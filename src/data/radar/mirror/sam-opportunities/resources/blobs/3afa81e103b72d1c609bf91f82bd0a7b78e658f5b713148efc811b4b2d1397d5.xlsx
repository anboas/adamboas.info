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ric_m_daly6_civ_us_navy_mil/Documents/Documents/Workload/Andrew/N68335-26-RFPREQ-BL41000-0082 SAP/"/>
    </mc:Choice>
  </mc:AlternateContent>
  <xr:revisionPtr revIDLastSave="0" documentId="8_{4F716E77-8AE0-486B-B247-40AEBD7C7B1B}" xr6:coauthVersionLast="47" xr6:coauthVersionMax="47" xr10:uidLastSave="{00000000-0000-0000-0000-000000000000}"/>
  <bookViews>
    <workbookView xWindow="-19310" yWindow="-110" windowWidth="19420" windowHeight="11500" tabRatio="945" xr2:uid="{00000000-000D-0000-FFFF-FFFF00000000}"/>
  </bookViews>
  <sheets>
    <sheet name="SEID" sheetId="63" r:id="rId1"/>
    <sheet name="Tool Set, Flight Equipment" sheetId="94" r:id="rId2"/>
    <sheet name="Tool Set, Flight E Shop Equip" sheetId="37" r:id="rId3"/>
    <sheet name="Tool Set, Structure Box (A)" sheetId="177" r:id="rId4"/>
    <sheet name="Tool Set, LO Composite (A)" sheetId="156" r:id="rId5"/>
    <sheet name="Tool Set, Structure Box (BC)" sheetId="112" r:id="rId6"/>
    <sheet name="Tool Set, Power Plants (A)" sheetId="157" r:id="rId7"/>
    <sheet name="Tool Set, Engine (BC)" sheetId="110" r:id="rId8"/>
    <sheet name="Tool Set, Tire Back Shop (A)" sheetId="36" r:id="rId9"/>
    <sheet name="Tool Set, ECS (BC)" sheetId="113" r:id="rId10"/>
    <sheet name="Tool Set, Support Equip (AB)" sheetId="158" r:id="rId11"/>
    <sheet name="Tool Set, AF Shop Equip (BC)" sheetId="135" r:id="rId12"/>
    <sheet name="Tool Set, MALS Tire Buildup (B)" sheetId="131" r:id="rId13"/>
    <sheet name="Tool Set, Ordnance Shop (B)" sheetId="143" r:id="rId14"/>
    <sheet name="Tool Set, Ordnance Shop (C)" sheetId="142" r:id="rId15"/>
    <sheet name="Tool Set, Gun Maint Shop (BC)" sheetId="145" r:id="rId16"/>
    <sheet name="Tool Set, LO Shop Equip (BC)" sheetId="149" r:id="rId17"/>
    <sheet name="Tool Set, Mask Oxygen Only" sheetId="105" r:id="rId18"/>
    <sheet name="Tool Set, Electrical Shop (C)" sheetId="127" r:id="rId19"/>
    <sheet name="Tool Set, Supplemental (BC)" sheetId="139" r:id="rId20"/>
    <sheet name="Tool Set, Master Puller Kit (AB" sheetId="184" r:id="rId21"/>
    <sheet name="Tool Set, Seat Survival" sheetId="188" r:id="rId22"/>
    <sheet name="Tool Set, AF Hyd (BC)" sheetId="114" r:id="rId23"/>
    <sheet name="Tool Set, PP Shop (BC)" sheetId="115" r:id="rId24"/>
    <sheet name="Tool Set, Lift Systems (B)" sheetId="91" r:id="rId25"/>
    <sheet name="Tool Set, Egress (A)" sheetId="159" r:id="rId26"/>
    <sheet name="Tool Set, Egress (BC)" sheetId="108" r:id="rId27"/>
    <sheet name="Tool Set, Torque Head " sheetId="23" r:id="rId28"/>
    <sheet name="Tool Set, Fuels  (A)" sheetId="160" r:id="rId29"/>
    <sheet name="Tool Set, Fuels (BC)" sheetId="116" r:id="rId30"/>
    <sheet name="Tool Set, Panel Kit (A)" sheetId="161" r:id="rId31"/>
    <sheet name="Tool Set, Tire Wheel (A)" sheetId="162" r:id="rId32"/>
    <sheet name="Tool Set, OML Pouch (A)" sheetId="163" r:id="rId33"/>
    <sheet name="Tool Set, Tire Wheel (C)" sheetId="96" r:id="rId34"/>
    <sheet name="Tool Set, Avi Maint (A)" sheetId="164" r:id="rId35"/>
    <sheet name="Tool Set, Avi Electrical (A)" sheetId="195" r:id="rId36"/>
    <sheet name="Tool Set, Gun Jam Clearing (A)" sheetId="166" r:id="rId37"/>
    <sheet name="Tool Set, Weapons (A)" sheetId="167" r:id="rId38"/>
    <sheet name="Tool Set, Gun Jam Clearing (BC)" sheetId="124" r:id="rId39"/>
    <sheet name="Tool Set, Wpns Load Kit (BC)" sheetId="100" r:id="rId40"/>
    <sheet name="Tool Set, Egress Dispatch (A)" sheetId="168" r:id="rId41"/>
    <sheet name="Tool Box, Oxygen Use Only (A)" sheetId="169" r:id="rId42"/>
    <sheet name="Tool Set, 13B FS Pouch (B)" sheetId="137" r:id="rId43"/>
    <sheet name="Tool Set, 310 FS Pouch (B)" sheetId="102" r:id="rId44"/>
    <sheet name="Tool Set, 310 Shop Pouch (C)" sheetId="103" r:id="rId45"/>
    <sheet name="Tool Set, Traffic Directing (B)" sheetId="104" r:id="rId46"/>
    <sheet name="Tool Set, Crew Chief (A)" sheetId="170" r:id="rId47"/>
    <sheet name="Tool Set, CC Pouch (BC)" sheetId="27" r:id="rId48"/>
    <sheet name="Fuel Shop Dispatch (A)" sheetId="171" r:id="rId49"/>
    <sheet name="Tool Set, LO Dispatch (A)" sheetId="172" r:id="rId50"/>
    <sheet name="Tool Set, Fastener (A)" sheetId="173" r:id="rId51"/>
    <sheet name="Tool Set, Eddie Bolt" sheetId="26" r:id="rId52"/>
    <sheet name="Tool Set, Rivet" sheetId="121" r:id="rId53"/>
    <sheet name="Tool Set, Captive Fastener" sheetId="122" r:id="rId54"/>
    <sheet name="Tool Set, LO Composite (BC)" sheetId="111" r:id="rId55"/>
    <sheet name="Tool Set, OML Pouch (BC)" sheetId="136" r:id="rId56"/>
    <sheet name="Tool Box, Oxygen Use Only (BC)" sheetId="93" r:id="rId57"/>
    <sheet name="Tool Set, 13B FS Pouch (C)" sheetId="101" r:id="rId58"/>
    <sheet name="Tool Set, Traffic Directing (C)" sheetId="147" r:id="rId59"/>
    <sheet name="Tool Set, Fastener (BC)" sheetId="120" r:id="rId60"/>
    <sheet name="Tool Set, AF Servicing Pouch(B)" sheetId="133" r:id="rId61"/>
    <sheet name="Tool Set, AF Servicing Pouch(C)" sheetId="132" r:id="rId62"/>
    <sheet name="Tool Set, PL Tire Removal (B)" sheetId="118" r:id="rId63"/>
    <sheet name="Tool Set, Avionics Maint (B) " sheetId="97" r:id="rId64"/>
    <sheet name="Tool Set, Avi Maint Pouch (B)" sheetId="134" r:id="rId65"/>
    <sheet name="Tool Set, Avionics Line (B)" sheetId="98" r:id="rId66"/>
    <sheet name="Tool Set, Weapons Maint (BC)" sheetId="99" r:id="rId67"/>
    <sheet name="Tool Set, 110 FR Pouch (C)" sheetId="146" r:id="rId68"/>
    <sheet name="Tool Set, 040 Inspect Box (C)" sheetId="119" r:id="rId69"/>
    <sheet name="Tool Set, Ordnance TD (B)" sheetId="148" r:id="rId70"/>
    <sheet name="Tool Set, Oxygen Use Only" sheetId="106" r:id="rId71"/>
    <sheet name="Tool Set, LO Dispatch (BC)" sheetId="123" r:id="rId72"/>
    <sheet name="Tool Set, Panel Line Box (B)" sheetId="107" r:id="rId73"/>
    <sheet name="Tool Set, Electrical Main (C)" sheetId="51" r:id="rId74"/>
    <sheet name="Tool Set, Electrical TS (C)" sheetId="125" r:id="rId75"/>
    <sheet name="Tool Set, Wire Repair (C)" sheetId="126" r:id="rId76"/>
    <sheet name="Tool Set, Avi Maint (C)" sheetId="128" r:id="rId77"/>
    <sheet name="Tool Set, Avi TS (C)" sheetId="129" r:id="rId78"/>
    <sheet name="Tool Set, Avi TS Pouch (C)" sheetId="130" r:id="rId79"/>
    <sheet name="Tool Set, EOTS Maint (C)" sheetId="150" r:id="rId80"/>
    <sheet name="Tool Set, Control Surfaces" sheetId="190" r:id="rId81"/>
  </sheets>
  <externalReferences>
    <externalReference r:id="rId82"/>
    <externalReference r:id="rId83"/>
  </externalReferences>
  <definedNames>
    <definedName name="_012009_Doug_OTE_List" localSheetId="41">#REF!</definedName>
    <definedName name="_012009_Doug_OTE_List" localSheetId="67">#REF!</definedName>
    <definedName name="_012009_Doug_OTE_List" localSheetId="42">#REF!</definedName>
    <definedName name="_012009_Doug_OTE_List" localSheetId="60">#REF!</definedName>
    <definedName name="_012009_Doug_OTE_List" localSheetId="61">#REF!</definedName>
    <definedName name="_012009_Doug_OTE_List" localSheetId="11">#REF!</definedName>
    <definedName name="_012009_Doug_OTE_List" localSheetId="35">#REF!</definedName>
    <definedName name="_012009_Doug_OTE_List" localSheetId="64">#REF!</definedName>
    <definedName name="_012009_Doug_OTE_List" localSheetId="65">#REF!</definedName>
    <definedName name="_012009_Doug_OTE_List" localSheetId="63">#REF!</definedName>
    <definedName name="_012009_Doug_OTE_List" localSheetId="80">#REF!</definedName>
    <definedName name="_012009_Doug_OTE_List" localSheetId="79">#REF!</definedName>
    <definedName name="_012009_Doug_OTE_List" localSheetId="15">#REF!</definedName>
    <definedName name="_012009_Doug_OTE_List" localSheetId="71">#REF!</definedName>
    <definedName name="_012009_Doug_OTE_List" localSheetId="16">#REF!</definedName>
    <definedName name="_012009_Doug_OTE_List" localSheetId="12">#REF!</definedName>
    <definedName name="_012009_Doug_OTE_List" localSheetId="17">#REF!</definedName>
    <definedName name="_012009_Doug_OTE_List" localSheetId="20">#REF!</definedName>
    <definedName name="_012009_Doug_OTE_List" localSheetId="55">#REF!</definedName>
    <definedName name="_012009_Doug_OTE_List" localSheetId="13">#REF!</definedName>
    <definedName name="_012009_Doug_OTE_List" localSheetId="14">#REF!</definedName>
    <definedName name="_012009_Doug_OTE_List" localSheetId="69">#REF!</definedName>
    <definedName name="_012009_Doug_OTE_List" localSheetId="70">#REF!</definedName>
    <definedName name="_012009_Doug_OTE_List" localSheetId="72">#REF!</definedName>
    <definedName name="_012009_Doug_OTE_List" localSheetId="21">#REF!</definedName>
    <definedName name="_012009_Doug_OTE_List" localSheetId="58">#REF!</definedName>
    <definedName name="_012009_Doug_OTE_List" localSheetId="66">#REF!</definedName>
    <definedName name="_012009_Doug_OTE_List">#REF!</definedName>
    <definedName name="_xlnm._FilterDatabase" localSheetId="48" hidden="1">'Fuel Shop Dispatch (A)'!$A$1:$G$1</definedName>
    <definedName name="_xlnm._FilterDatabase" localSheetId="0" hidden="1">SEID!$B$1:$D$81</definedName>
    <definedName name="_xlnm._FilterDatabase" localSheetId="41" hidden="1">'Tool Box, Oxygen Use Only (A)'!$A$1:$H$1</definedName>
    <definedName name="_xlnm._FilterDatabase" localSheetId="56" hidden="1">'Tool Box, Oxygen Use Only (BC)'!$A$1:$G$1</definedName>
    <definedName name="_xlnm._FilterDatabase" localSheetId="68" hidden="1">'Tool Set, 040 Inspect Box (C)'!$A$1:$G$1</definedName>
    <definedName name="_xlnm._FilterDatabase" localSheetId="67" hidden="1">'Tool Set, 110 FR Pouch (C)'!$A$1:$G$1</definedName>
    <definedName name="_xlnm._FilterDatabase" localSheetId="42" hidden="1">'Tool Set, 13B FS Pouch (B)'!$A$1:$G$1</definedName>
    <definedName name="_xlnm._FilterDatabase" localSheetId="57" hidden="1">'Tool Set, 13B FS Pouch (C)'!$A$1:$G$1</definedName>
    <definedName name="_xlnm._FilterDatabase" localSheetId="43" hidden="1">'Tool Set, 310 FS Pouch (B)'!$A$1:$G$1</definedName>
    <definedName name="_xlnm._FilterDatabase" localSheetId="44" hidden="1">'Tool Set, 310 Shop Pouch (C)'!$A$1:$G$1</definedName>
    <definedName name="_xlnm._FilterDatabase" localSheetId="22" hidden="1">'Tool Set, AF Hyd (BC)'!$A$1:$G$1</definedName>
    <definedName name="_xlnm._FilterDatabase" localSheetId="60" hidden="1">'Tool Set, AF Servicing Pouch(B)'!$A$1:$G$1</definedName>
    <definedName name="_xlnm._FilterDatabase" localSheetId="61" hidden="1">'Tool Set, AF Servicing Pouch(C)'!$A$1:$G$1</definedName>
    <definedName name="_xlnm._FilterDatabase" localSheetId="11" hidden="1">'Tool Set, AF Shop Equip (BC)'!$A$1:$H$1</definedName>
    <definedName name="_xlnm._FilterDatabase" localSheetId="35" hidden="1">'Tool Set, Avi Electrical (A)'!#REF!</definedName>
    <definedName name="_xlnm._FilterDatabase" localSheetId="34" hidden="1">'Tool Set, Avi Maint (A)'!$A$1:$H$1</definedName>
    <definedName name="_xlnm._FilterDatabase" localSheetId="76" hidden="1">'Tool Set, Avi Maint (C)'!$A$1:$G$1</definedName>
    <definedName name="_xlnm._FilterDatabase" localSheetId="64" hidden="1">'Tool Set, Avi Maint Pouch (B)'!$A$1:$G$1</definedName>
    <definedName name="_xlnm._FilterDatabase" localSheetId="77" hidden="1">'Tool Set, Avi TS (C)'!$A$1:$G$1</definedName>
    <definedName name="_xlnm._FilterDatabase" localSheetId="78" hidden="1">'Tool Set, Avi TS Pouch (C)'!$A$1:$G$1</definedName>
    <definedName name="_xlnm._FilterDatabase" localSheetId="65" hidden="1">'Tool Set, Avionics Line (B)'!$A$1:$G$1</definedName>
    <definedName name="_xlnm._FilterDatabase" localSheetId="63" hidden="1">'Tool Set, Avionics Maint (B) '!$A$1:$G$1</definedName>
    <definedName name="_xlnm._FilterDatabase" localSheetId="53" hidden="1">'Tool Set, Captive Fastener'!$A$1:$G$1</definedName>
    <definedName name="_xlnm._FilterDatabase" localSheetId="47" hidden="1">'Tool Set, CC Pouch (BC)'!$A$1:$G$1</definedName>
    <definedName name="_xlnm._FilterDatabase" localSheetId="80" hidden="1">'Tool Set, Control Surfaces'!$A$1:$G$1</definedName>
    <definedName name="_xlnm._FilterDatabase" localSheetId="46" hidden="1">'Tool Set, Crew Chief (A)'!$A$1:$G$1</definedName>
    <definedName name="_xlnm._FilterDatabase" localSheetId="9" hidden="1">'Tool Set, ECS (BC)'!$A$1:$K$130</definedName>
    <definedName name="_xlnm._FilterDatabase" localSheetId="51" hidden="1">'Tool Set, Eddie Bolt'!$A$1:$G$1</definedName>
    <definedName name="_xlnm._FilterDatabase" localSheetId="25" hidden="1">'Tool Set, Egress (A)'!$A$1:$H$1</definedName>
    <definedName name="_xlnm._FilterDatabase" localSheetId="26" hidden="1">'Tool Set, Egress (BC)'!#REF!</definedName>
    <definedName name="_xlnm._FilterDatabase" localSheetId="40" hidden="1">'Tool Set, Egress Dispatch (A)'!$A$1:$H$1</definedName>
    <definedName name="_xlnm._FilterDatabase" localSheetId="73" hidden="1">'Tool Set, Electrical Main (C)'!$A$1:$G$1</definedName>
    <definedName name="_xlnm._FilterDatabase" localSheetId="18" hidden="1">'Tool Set, Electrical Shop (C)'!$A$1:$H$1</definedName>
    <definedName name="_xlnm._FilterDatabase" localSheetId="74" hidden="1">'Tool Set, Electrical TS (C)'!$A$1:$G$1</definedName>
    <definedName name="_xlnm._FilterDatabase" localSheetId="7" hidden="1">'Tool Set, Engine (BC)'!$A$1:$I$130</definedName>
    <definedName name="_xlnm._FilterDatabase" localSheetId="79" hidden="1">'Tool Set, EOTS Maint (C)'!$A$1:$G$1</definedName>
    <definedName name="_xlnm._FilterDatabase" localSheetId="50" hidden="1">'Tool Set, Fastener (A)'!$A$1:$H$1</definedName>
    <definedName name="_xlnm._FilterDatabase" localSheetId="59" hidden="1">'Tool Set, Fastener (BC)'!$B$1:$B$66</definedName>
    <definedName name="_xlnm._FilterDatabase" localSheetId="2" hidden="1">'Tool Set, Flight E Shop Equip'!$A$1:$H$1</definedName>
    <definedName name="_xlnm._FilterDatabase" localSheetId="1" hidden="1">'Tool Set, Flight Equipment'!$A$1:$H$1</definedName>
    <definedName name="_xlnm._FilterDatabase" localSheetId="28" hidden="1">'Tool Set, Fuels  (A)'!$A$2:$H$2</definedName>
    <definedName name="_xlnm._FilterDatabase" localSheetId="29" hidden="1">'Tool Set, Fuels (BC)'!$A$1:$G$1</definedName>
    <definedName name="_xlnm._FilterDatabase" localSheetId="36" hidden="1">'Tool Set, Gun Jam Clearing (A)'!#REF!</definedName>
    <definedName name="_xlnm._FilterDatabase" localSheetId="38" hidden="1">'Tool Set, Gun Jam Clearing (BC)'!$A$1:$H$1</definedName>
    <definedName name="_xlnm._FilterDatabase" localSheetId="15" hidden="1">'Tool Set, Gun Maint Shop (BC)'!$A$1:$H$1</definedName>
    <definedName name="_xlnm._FilterDatabase" localSheetId="24" hidden="1">'Tool Set, Lift Systems (B)'!$A$1:$H$1</definedName>
    <definedName name="_xlnm._FilterDatabase" localSheetId="4" hidden="1">'Tool Set, LO Composite (A)'!#REF!</definedName>
    <definedName name="_xlnm._FilterDatabase" localSheetId="54" hidden="1">'Tool Set, LO Composite (BC)'!$A$1:$G$1</definedName>
    <definedName name="_xlnm._FilterDatabase" localSheetId="49" hidden="1">'Tool Set, LO Dispatch (A)'!$A$1:$G$1</definedName>
    <definedName name="_xlnm._FilterDatabase" localSheetId="71" hidden="1">'Tool Set, LO Dispatch (BC)'!$A$1:$G$1</definedName>
    <definedName name="_xlnm._FilterDatabase" localSheetId="16" hidden="1">'Tool Set, LO Shop Equip (BC)'!$A$1:$H$1</definedName>
    <definedName name="_xlnm._FilterDatabase" localSheetId="12" hidden="1">'Tool Set, MALS Tire Buildup (B)'!$A$1:$H$1</definedName>
    <definedName name="_xlnm._FilterDatabase" localSheetId="17" hidden="1">'Tool Set, Mask Oxygen Only'!$A$1:$H$1</definedName>
    <definedName name="_xlnm._FilterDatabase" localSheetId="20" hidden="1">'Tool Set, Master Puller Kit (AB'!$A$1:$H$1</definedName>
    <definedName name="_xlnm._FilterDatabase" localSheetId="32" hidden="1">'Tool Set, OML Pouch (A)'!$A$1:$H$1</definedName>
    <definedName name="_xlnm._FilterDatabase" localSheetId="55" hidden="1">'Tool Set, OML Pouch (BC)'!$A$1:$G$1</definedName>
    <definedName name="_xlnm._FilterDatabase" localSheetId="13" hidden="1">'Tool Set, Ordnance Shop (B)'!$A$1:$H$1</definedName>
    <definedName name="_xlnm._FilterDatabase" localSheetId="14" hidden="1">'Tool Set, Ordnance Shop (C)'!$A$1:$H$1</definedName>
    <definedName name="_xlnm._FilterDatabase" localSheetId="69" hidden="1">'Tool Set, Ordnance TD (B)'!$A$1:$F$1</definedName>
    <definedName name="_xlnm._FilterDatabase" localSheetId="70" hidden="1">'Tool Set, Oxygen Use Only'!$A$1:$G$1</definedName>
    <definedName name="_xlnm._FilterDatabase" localSheetId="30" hidden="1">'Tool Set, Panel Kit (A)'!$A$1:$H$1</definedName>
    <definedName name="_xlnm._FilterDatabase" localSheetId="72" hidden="1">'Tool Set, Panel Line Box (B)'!$A$1:$G$1</definedName>
    <definedName name="_xlnm._FilterDatabase" localSheetId="62" hidden="1">'Tool Set, PL Tire Removal (B)'!$A$1:$G$1</definedName>
    <definedName name="_xlnm._FilterDatabase" localSheetId="6" hidden="1">'Tool Set, Power Plants (A)'!$C$1:$C$305</definedName>
    <definedName name="_xlnm._FilterDatabase" localSheetId="23" hidden="1">'Tool Set, PP Shop (BC)'!#REF!</definedName>
    <definedName name="_xlnm._FilterDatabase" localSheetId="21" hidden="1">'Tool Set, Seat Survival'!$A$1:$H$1</definedName>
    <definedName name="_xlnm._FilterDatabase" localSheetId="3" hidden="1">'Tool Set, Structure Box (A)'!$A$1:$H$1</definedName>
    <definedName name="_xlnm._FilterDatabase" localSheetId="5" hidden="1">'Tool Set, Structure Box (BC)'!$I$1:$I$164</definedName>
    <definedName name="_xlnm._FilterDatabase" localSheetId="19" hidden="1">'Tool Set, Supplemental (BC)'!$A$1:$H$1</definedName>
    <definedName name="_xlnm._FilterDatabase" localSheetId="10" hidden="1">'Tool Set, Support Equip (AB)'!$A$1:$H$1</definedName>
    <definedName name="_xlnm._FilterDatabase" localSheetId="8" hidden="1">'Tool Set, Tire Back Shop (A)'!$A$1:$J$57</definedName>
    <definedName name="_xlnm._FilterDatabase" localSheetId="31" hidden="1">'Tool Set, Tire Wheel (A)'!$A$1:$H$1</definedName>
    <definedName name="_xlnm._FilterDatabase" localSheetId="33" hidden="1">'Tool Set, Tire Wheel (C)'!$A$1:$H$1</definedName>
    <definedName name="_xlnm._FilterDatabase" localSheetId="27" hidden="1">'Tool Set, Torque Head '!$A$1:$H$1</definedName>
    <definedName name="_xlnm._FilterDatabase" localSheetId="45" hidden="1">'Tool Set, Traffic Directing (B)'!$A$1:$F$1</definedName>
    <definedName name="_xlnm._FilterDatabase" localSheetId="58" hidden="1">'Tool Set, Traffic Directing (C)'!$A$1:$F$1</definedName>
    <definedName name="_xlnm._FilterDatabase" localSheetId="37" hidden="1">'Tool Set, Weapons (A)'!$A$1:$H$1</definedName>
    <definedName name="_xlnm._FilterDatabase" localSheetId="66" hidden="1">'Tool Set, Weapons Maint (BC)'!$A$1:$G$2</definedName>
    <definedName name="_xlnm._FilterDatabase" localSheetId="75" hidden="1">'Tool Set, Wire Repair (C)'!$A$1:$G$1</definedName>
    <definedName name="_xlnm._FilterDatabase" localSheetId="39" hidden="1">'Tool Set, Wpns Load Kit (BC)'!$A$1:$H$1</definedName>
    <definedName name="_xlnm.Print_Area" localSheetId="11">'Tool Set, AF Shop Equip (BC)'!#REF!</definedName>
    <definedName name="_xlnm.Print_Area" localSheetId="35">'Tool Set, Avi Electrical (A)'!$A$1:$G$83</definedName>
    <definedName name="_xlnm.Print_Area" localSheetId="64">'Tool Set, Avi Maint Pouch (B)'!#REF!</definedName>
    <definedName name="_xlnm.Print_Area" localSheetId="65">'Tool Set, Avionics Line (B)'!$A$1:$F$41</definedName>
    <definedName name="_xlnm.Print_Area" localSheetId="63">'Tool Set, Avionics Maint (B) '!$A$1:$F$45</definedName>
    <definedName name="_xlnm.Print_Area" localSheetId="80">'Tool Set, Control Surfaces'!#REF!</definedName>
    <definedName name="_xlnm.Print_Area" localSheetId="46">'Tool Set, Crew Chief (A)'!#REF!</definedName>
    <definedName name="_xlnm.Print_Area" localSheetId="1">'Tool Set, Flight Equipment'!#REF!</definedName>
    <definedName name="_xlnm.Print_Area" localSheetId="13">'Tool Set, Ordnance Shop (B)'!#REF!</definedName>
    <definedName name="_xlnm.Print_Area" localSheetId="14">'Tool Set, Ordnance Shop (C)'!#REF!</definedName>
    <definedName name="_xlnm.Print_Area" localSheetId="21">'Tool Set, Seat Survival'!#REF!</definedName>
    <definedName name="_xlnm.Print_Area" localSheetId="3">'Tool Set, Structure Box (A)'!#REF!</definedName>
    <definedName name="_xlnm.Print_Area" localSheetId="5">'Tool Set, Structure Box (BC)'!#REF!</definedName>
    <definedName name="_xlnm.Print_Area" localSheetId="37">'Tool Set, Weapons (A)'!#REF!</definedName>
    <definedName name="_xlnm.Print_Area" localSheetId="66">'Tool Set, Weapons Maint (BC)'!#REF!</definedName>
    <definedName name="TOA_Totals" localSheetId="68">'[1]Current Total Rqd by SQDN'!$A$2:$U$632</definedName>
    <definedName name="TOA_Totals" localSheetId="67">'[1]Current Total Rqd by SQDN'!$A$2:$U$632</definedName>
    <definedName name="TOA_Totals" localSheetId="22">'[1]Current Total Rqd by SQDN'!$A$2:$U$632</definedName>
    <definedName name="TOA_Totals" localSheetId="60">'[1]Current Total Rqd by SQDN'!$A$2:$U$632</definedName>
    <definedName name="TOA_Totals" localSheetId="61">'[1]Current Total Rqd by SQDN'!$A$2:$U$632</definedName>
    <definedName name="TOA_Totals" localSheetId="11">'[1]Current Total Rqd by SQDN'!$A$2:$U$632</definedName>
    <definedName name="TOA_Totals" localSheetId="53">'[1]Current Total Rqd by SQDN'!$A$2:$U$632</definedName>
    <definedName name="TOA_Totals" localSheetId="9">'[1]Current Total Rqd by SQDN'!$A$2:$U$632</definedName>
    <definedName name="TOA_Totals" localSheetId="59">'[1]Current Total Rqd by SQDN'!$A$2:$U$632</definedName>
    <definedName name="TOA_Totals" localSheetId="29">'[1]Current Total Rqd by SQDN'!$A$2:$U$632</definedName>
    <definedName name="TOA_Totals" localSheetId="71">'[1]Current Total Rqd by SQDN'!$A$2:$U$632</definedName>
    <definedName name="TOA_Totals" localSheetId="32">'[1]Current Total Rqd by SQDN'!$A$2:$U$632</definedName>
    <definedName name="TOA_Totals" localSheetId="55">'[1]Current Total Rqd by SQDN'!$A$2:$U$632</definedName>
    <definedName name="TOA_Totals" localSheetId="62">'[1]Current Total Rqd by SQDN'!$A$2:$U$632</definedName>
    <definedName name="TOA_Totals" localSheetId="23">'[1]Current Total Rqd by SQDN'!$A$2:$U$632</definedName>
    <definedName name="TOA_Totals" localSheetId="52">'[1]Current Total Rqd by SQDN'!$A$2:$U$632</definedName>
    <definedName name="TOA_Totals" localSheetId="5">'[1]Current Total Rqd by SQDN'!$A$2:$U$632</definedName>
    <definedName name="TOA_Totals">'[2]Current Total Rqd by SQDN'!$A$2:$U$632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69" l="1"/>
  <c r="I20" i="169"/>
  <c r="I19" i="169"/>
  <c r="I18" i="169"/>
  <c r="I17" i="169"/>
  <c r="I16" i="169"/>
  <c r="I15" i="169"/>
  <c r="I14" i="169"/>
  <c r="I13" i="169"/>
  <c r="I12" i="169"/>
  <c r="I11" i="169"/>
  <c r="I10" i="169"/>
  <c r="I9" i="169"/>
  <c r="I8" i="169"/>
  <c r="I7" i="169"/>
  <c r="I6" i="169"/>
  <c r="I5" i="169"/>
  <c r="I4" i="169"/>
  <c r="I3" i="169"/>
  <c r="I2" i="169"/>
  <c r="I54" i="168"/>
  <c r="I53" i="168"/>
  <c r="I52" i="168"/>
  <c r="I51" i="168"/>
  <c r="I50" i="168"/>
  <c r="I49" i="168"/>
  <c r="I48" i="168"/>
  <c r="I47" i="168"/>
  <c r="I46" i="168"/>
  <c r="I45" i="168"/>
  <c r="I44" i="168"/>
  <c r="I43" i="168"/>
  <c r="I42" i="168"/>
  <c r="I41" i="168"/>
  <c r="I40" i="168"/>
  <c r="I39" i="168"/>
  <c r="I38" i="168"/>
  <c r="I37" i="168"/>
  <c r="I36" i="168"/>
  <c r="I35" i="168"/>
  <c r="I34" i="168"/>
  <c r="I33" i="168"/>
  <c r="I32" i="168"/>
  <c r="I31" i="168"/>
  <c r="I30" i="168"/>
  <c r="I29" i="168"/>
  <c r="I28" i="168"/>
  <c r="I27" i="168"/>
  <c r="I26" i="168"/>
  <c r="I25" i="168"/>
  <c r="I24" i="168"/>
  <c r="I23" i="168"/>
  <c r="I22" i="168"/>
  <c r="I21" i="168"/>
  <c r="I20" i="168"/>
  <c r="I19" i="168"/>
  <c r="I18" i="168"/>
  <c r="I17" i="168"/>
  <c r="I16" i="168"/>
  <c r="I15" i="168"/>
  <c r="I14" i="168"/>
  <c r="I13" i="168"/>
  <c r="I12" i="168"/>
  <c r="I11" i="168"/>
  <c r="I10" i="168"/>
  <c r="I9" i="168"/>
  <c r="I8" i="168"/>
  <c r="I7" i="168"/>
  <c r="I6" i="168"/>
  <c r="I5" i="168"/>
  <c r="I4" i="168"/>
  <c r="I3" i="168"/>
  <c r="I2" i="168"/>
  <c r="I21" i="100"/>
  <c r="I20" i="100"/>
  <c r="I19" i="100"/>
  <c r="I18" i="100"/>
  <c r="I17" i="100"/>
  <c r="I16" i="100"/>
  <c r="I15" i="100"/>
  <c r="I14" i="100"/>
  <c r="I13" i="100"/>
  <c r="I12" i="100"/>
  <c r="I11" i="100"/>
  <c r="I10" i="100"/>
  <c r="I9" i="100"/>
  <c r="I8" i="100"/>
  <c r="I7" i="100"/>
  <c r="I6" i="100"/>
  <c r="I5" i="100"/>
  <c r="I4" i="100"/>
  <c r="I3" i="100"/>
  <c r="I2" i="100"/>
  <c r="I45" i="124"/>
  <c r="I44" i="124"/>
  <c r="I43" i="124"/>
  <c r="I42" i="124"/>
  <c r="I41" i="124"/>
  <c r="I40" i="124"/>
  <c r="I39" i="124"/>
  <c r="I38" i="124"/>
  <c r="I37" i="124"/>
  <c r="I36" i="124"/>
  <c r="I35" i="124"/>
  <c r="I34" i="124"/>
  <c r="I33" i="124"/>
  <c r="I32" i="124"/>
  <c r="I31" i="124"/>
  <c r="I30" i="124"/>
  <c r="I29" i="124"/>
  <c r="I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I6" i="124"/>
  <c r="I5" i="124"/>
  <c r="I4" i="124"/>
  <c r="I3" i="124"/>
  <c r="I2" i="124"/>
  <c r="I2" i="167"/>
  <c r="I3" i="167"/>
  <c r="I4" i="167"/>
  <c r="I5" i="167"/>
  <c r="I6" i="167"/>
  <c r="I7" i="167"/>
  <c r="I8" i="167"/>
  <c r="I9" i="167"/>
  <c r="I10" i="167"/>
  <c r="I11" i="167"/>
  <c r="I12" i="167"/>
  <c r="I13" i="167"/>
  <c r="I14" i="167"/>
  <c r="I15" i="167"/>
  <c r="I16" i="167"/>
  <c r="I17" i="167"/>
  <c r="I18" i="167"/>
  <c r="I19" i="167"/>
  <c r="I20" i="167"/>
  <c r="I21" i="167"/>
  <c r="I22" i="167"/>
  <c r="I23" i="167"/>
  <c r="I24" i="167"/>
  <c r="I25" i="167"/>
  <c r="I26" i="167"/>
  <c r="I27" i="167"/>
  <c r="I28" i="167"/>
  <c r="I29" i="167"/>
  <c r="I30" i="167"/>
  <c r="I31" i="167"/>
  <c r="I32" i="167"/>
  <c r="I33" i="167"/>
  <c r="I34" i="167"/>
  <c r="I35" i="167"/>
  <c r="I36" i="167"/>
  <c r="I37" i="167"/>
  <c r="I38" i="167"/>
  <c r="I39" i="167"/>
  <c r="I40" i="167"/>
  <c r="I41" i="167"/>
  <c r="I42" i="167"/>
  <c r="I43" i="167"/>
  <c r="I44" i="167"/>
  <c r="I45" i="167"/>
  <c r="I46" i="167"/>
  <c r="I47" i="167"/>
  <c r="I48" i="167"/>
  <c r="I49" i="167"/>
  <c r="I50" i="167"/>
  <c r="I51" i="167"/>
  <c r="I52" i="167"/>
  <c r="I53" i="167"/>
  <c r="I54" i="167"/>
  <c r="I55" i="167"/>
  <c r="I56" i="167"/>
  <c r="I57" i="167"/>
  <c r="I58" i="167"/>
  <c r="I59" i="167"/>
  <c r="I60" i="167"/>
  <c r="I61" i="167"/>
  <c r="I62" i="167"/>
  <c r="I63" i="167"/>
  <c r="I64" i="167"/>
  <c r="I65" i="167"/>
  <c r="I66" i="167"/>
  <c r="I67" i="167"/>
  <c r="I68" i="167"/>
  <c r="I69" i="167"/>
  <c r="I70" i="167"/>
  <c r="I71" i="167"/>
  <c r="I72" i="167"/>
  <c r="I73" i="167"/>
  <c r="I74" i="167"/>
  <c r="I75" i="167"/>
  <c r="I76" i="167"/>
  <c r="I77" i="167"/>
  <c r="I78" i="167"/>
  <c r="I79" i="167"/>
  <c r="I80" i="167"/>
  <c r="I81" i="167"/>
  <c r="I82" i="167"/>
  <c r="I83" i="167"/>
  <c r="I84" i="167"/>
  <c r="I85" i="167"/>
  <c r="I86" i="167"/>
  <c r="I87" i="167"/>
  <c r="I88" i="167"/>
  <c r="I89" i="167"/>
  <c r="I90" i="167"/>
  <c r="I91" i="167"/>
  <c r="I92" i="167"/>
  <c r="I93" i="167"/>
  <c r="I94" i="167"/>
  <c r="I95" i="167"/>
  <c r="I96" i="167"/>
  <c r="I97" i="167"/>
  <c r="I98" i="167"/>
  <c r="I99" i="167"/>
  <c r="I100" i="167"/>
  <c r="I101" i="167"/>
  <c r="I102" i="167"/>
  <c r="I103" i="167"/>
  <c r="I104" i="167"/>
  <c r="I105" i="167"/>
  <c r="I106" i="167"/>
  <c r="I107" i="167"/>
  <c r="I108" i="167"/>
  <c r="I109" i="167"/>
  <c r="I110" i="167"/>
  <c r="I111" i="167"/>
  <c r="I112" i="167"/>
  <c r="I113" i="167"/>
  <c r="I114" i="167"/>
  <c r="I115" i="167"/>
  <c r="I116" i="167"/>
  <c r="I117" i="167"/>
  <c r="I118" i="167"/>
  <c r="I119" i="167"/>
  <c r="I120" i="167"/>
  <c r="I121" i="167"/>
  <c r="I122" i="167"/>
  <c r="I123" i="167"/>
  <c r="I124" i="167"/>
  <c r="I125" i="167"/>
  <c r="I126" i="167"/>
  <c r="I127" i="167"/>
  <c r="I128" i="167"/>
  <c r="I129" i="167"/>
  <c r="I130" i="167"/>
  <c r="I131" i="167"/>
  <c r="I132" i="167"/>
  <c r="I133" i="167"/>
  <c r="I134" i="167"/>
  <c r="I135" i="167"/>
  <c r="I136" i="167"/>
  <c r="I137" i="167"/>
  <c r="I138" i="167"/>
  <c r="I169" i="195"/>
  <c r="I168" i="195"/>
  <c r="I167" i="195"/>
  <c r="I166" i="195"/>
  <c r="I165" i="195"/>
  <c r="I164" i="195"/>
  <c r="I163" i="195"/>
  <c r="I162" i="195"/>
  <c r="I161" i="195"/>
  <c r="I160" i="195"/>
  <c r="I159" i="195"/>
  <c r="I158" i="195"/>
  <c r="I157" i="195"/>
  <c r="I156" i="195"/>
  <c r="I155" i="195"/>
  <c r="I154" i="195"/>
  <c r="I153" i="195"/>
  <c r="I152" i="195"/>
  <c r="I151" i="195"/>
  <c r="I150" i="195"/>
  <c r="I149" i="195"/>
  <c r="I148" i="195"/>
  <c r="I147" i="195"/>
  <c r="I146" i="195"/>
  <c r="I145" i="195"/>
  <c r="I144" i="195"/>
  <c r="I143" i="195"/>
  <c r="I142" i="195"/>
  <c r="I141" i="195"/>
  <c r="I140" i="195"/>
  <c r="I139" i="195"/>
  <c r="I138" i="195"/>
  <c r="I137" i="195"/>
  <c r="I136" i="195"/>
  <c r="I135" i="195"/>
  <c r="I134" i="195"/>
  <c r="I133" i="195"/>
  <c r="I132" i="195"/>
  <c r="I131" i="195"/>
  <c r="I130" i="195"/>
  <c r="I129" i="195"/>
  <c r="I128" i="195"/>
  <c r="I127" i="195"/>
  <c r="I126" i="195"/>
  <c r="I125" i="195"/>
  <c r="I124" i="195"/>
  <c r="I123" i="195"/>
  <c r="I122" i="195"/>
  <c r="I121" i="195"/>
  <c r="I120" i="195"/>
  <c r="I119" i="195"/>
  <c r="I118" i="195"/>
  <c r="I117" i="195"/>
  <c r="I116" i="195"/>
  <c r="I115" i="195"/>
  <c r="I114" i="195"/>
  <c r="I113" i="195"/>
  <c r="I112" i="195"/>
  <c r="I111" i="195"/>
  <c r="I110" i="195"/>
  <c r="I109" i="195"/>
  <c r="I108" i="195"/>
  <c r="I107" i="195"/>
  <c r="I106" i="195"/>
  <c r="I105" i="195"/>
  <c r="I104" i="195"/>
  <c r="I103" i="195"/>
  <c r="I102" i="195"/>
  <c r="I101" i="195"/>
  <c r="I100" i="195"/>
  <c r="I99" i="195"/>
  <c r="I98" i="195"/>
  <c r="I97" i="195"/>
  <c r="I96" i="195"/>
  <c r="I95" i="195"/>
  <c r="I94" i="195"/>
  <c r="I93" i="195"/>
  <c r="I92" i="195"/>
  <c r="I91" i="195"/>
  <c r="I90" i="195"/>
  <c r="I89" i="195"/>
  <c r="I88" i="195"/>
  <c r="I87" i="195"/>
  <c r="I86" i="195"/>
  <c r="I85" i="195"/>
  <c r="I84" i="195"/>
  <c r="I83" i="195"/>
  <c r="I82" i="195"/>
  <c r="I81" i="195"/>
  <c r="I80" i="195"/>
  <c r="I79" i="195"/>
  <c r="I78" i="195"/>
  <c r="I77" i="195"/>
  <c r="I76" i="195"/>
  <c r="I75" i="195"/>
  <c r="I74" i="195"/>
  <c r="I73" i="195"/>
  <c r="I72" i="195"/>
  <c r="I71" i="195"/>
  <c r="I70" i="195"/>
  <c r="I69" i="195"/>
  <c r="I68" i="195"/>
  <c r="I67" i="195"/>
  <c r="I66" i="195"/>
  <c r="I65" i="195"/>
  <c r="I64" i="195"/>
  <c r="I63" i="195"/>
  <c r="I62" i="195"/>
  <c r="I61" i="195"/>
  <c r="I60" i="195"/>
  <c r="I59" i="195"/>
  <c r="I58" i="195"/>
  <c r="I57" i="195"/>
  <c r="I56" i="195"/>
  <c r="I55" i="195"/>
  <c r="I54" i="195"/>
  <c r="I53" i="195"/>
  <c r="I52" i="195"/>
  <c r="I51" i="195"/>
  <c r="I50" i="195"/>
  <c r="I49" i="195"/>
  <c r="I48" i="195"/>
  <c r="I47" i="195"/>
  <c r="I46" i="195"/>
  <c r="I45" i="195"/>
  <c r="I44" i="195"/>
  <c r="I43" i="195"/>
  <c r="I42" i="195"/>
  <c r="I41" i="195"/>
  <c r="I40" i="195"/>
  <c r="I39" i="195"/>
  <c r="I38" i="195"/>
  <c r="I37" i="195"/>
  <c r="I36" i="195"/>
  <c r="I35" i="195"/>
  <c r="I34" i="195"/>
  <c r="I33" i="195"/>
  <c r="I32" i="195"/>
  <c r="I31" i="195"/>
  <c r="I30" i="195"/>
  <c r="I29" i="195"/>
  <c r="I28" i="195"/>
  <c r="I27" i="195"/>
  <c r="I26" i="195"/>
  <c r="I25" i="195"/>
  <c r="I24" i="195"/>
  <c r="I23" i="195"/>
  <c r="I22" i="195"/>
  <c r="I21" i="195"/>
  <c r="I20" i="195"/>
  <c r="I19" i="195"/>
  <c r="I18" i="195"/>
  <c r="I17" i="195"/>
  <c r="I16" i="195"/>
  <c r="I15" i="195"/>
  <c r="I14" i="195"/>
  <c r="I13" i="195"/>
  <c r="I12" i="195"/>
  <c r="I11" i="195"/>
  <c r="I10" i="195"/>
  <c r="I9" i="195"/>
  <c r="I8" i="195"/>
  <c r="I7" i="195"/>
  <c r="I6" i="195"/>
  <c r="I5" i="195"/>
  <c r="I4" i="195"/>
  <c r="I3" i="195"/>
  <c r="I2" i="195"/>
  <c r="I2" i="164"/>
  <c r="I3" i="164"/>
  <c r="I4" i="164"/>
  <c r="I5" i="164"/>
  <c r="I6" i="164"/>
  <c r="I7" i="164"/>
  <c r="I8" i="164"/>
  <c r="I9" i="164"/>
  <c r="I10" i="164"/>
  <c r="I11" i="164"/>
  <c r="I12" i="164"/>
  <c r="I13" i="164"/>
  <c r="I14" i="164"/>
  <c r="I15" i="164"/>
  <c r="I16" i="164"/>
  <c r="I17" i="164"/>
  <c r="I18" i="164"/>
  <c r="I19" i="164"/>
  <c r="I20" i="164"/>
  <c r="I21" i="164"/>
  <c r="I22" i="164"/>
  <c r="I23" i="164"/>
  <c r="I24" i="164"/>
  <c r="I25" i="164"/>
  <c r="I26" i="164"/>
  <c r="I27" i="164"/>
  <c r="I28" i="164"/>
  <c r="I29" i="164"/>
  <c r="I30" i="164"/>
  <c r="I31" i="164"/>
  <c r="I32" i="164"/>
  <c r="I33" i="164"/>
  <c r="I34" i="164"/>
  <c r="I35" i="164"/>
  <c r="I36" i="164"/>
  <c r="I37" i="164"/>
  <c r="I38" i="164"/>
  <c r="I39" i="164"/>
  <c r="I40" i="164"/>
  <c r="I41" i="164"/>
  <c r="I42" i="164"/>
  <c r="I43" i="164"/>
  <c r="I44" i="164"/>
  <c r="I45" i="164"/>
  <c r="I46" i="164"/>
  <c r="I47" i="164"/>
  <c r="I48" i="164"/>
  <c r="I49" i="164"/>
  <c r="I50" i="164"/>
  <c r="I51" i="164"/>
  <c r="I52" i="164"/>
  <c r="I53" i="164"/>
  <c r="I54" i="164"/>
  <c r="I55" i="164"/>
  <c r="I56" i="164"/>
  <c r="I57" i="164"/>
  <c r="I58" i="164"/>
  <c r="I59" i="164"/>
  <c r="I60" i="164"/>
  <c r="I61" i="164"/>
  <c r="I62" i="164"/>
  <c r="I63" i="164"/>
  <c r="I64" i="164"/>
  <c r="I65" i="164"/>
  <c r="I66" i="164"/>
  <c r="I67" i="164"/>
  <c r="I68" i="164"/>
  <c r="I69" i="164"/>
  <c r="I70" i="164"/>
  <c r="I71" i="164"/>
  <c r="I72" i="164"/>
  <c r="I73" i="164"/>
  <c r="I74" i="164"/>
  <c r="I75" i="164"/>
  <c r="I76" i="164"/>
  <c r="I77" i="164"/>
  <c r="I78" i="164"/>
  <c r="I79" i="164"/>
  <c r="I80" i="164"/>
  <c r="I81" i="164"/>
  <c r="I82" i="164"/>
  <c r="I83" i="164"/>
  <c r="I84" i="164"/>
  <c r="I85" i="164"/>
  <c r="I86" i="164"/>
  <c r="I87" i="164"/>
  <c r="I88" i="164"/>
  <c r="I89" i="164"/>
  <c r="I90" i="164"/>
  <c r="I91" i="164"/>
  <c r="I92" i="164"/>
  <c r="I93" i="164"/>
  <c r="I94" i="164"/>
  <c r="I95" i="164"/>
  <c r="I96" i="164"/>
  <c r="I97" i="164"/>
  <c r="I98" i="164"/>
  <c r="I99" i="164"/>
  <c r="I100" i="164"/>
  <c r="I101" i="164"/>
  <c r="I102" i="164"/>
  <c r="I103" i="164"/>
  <c r="I104" i="164"/>
  <c r="I105" i="164"/>
  <c r="I106" i="164"/>
  <c r="I107" i="164"/>
  <c r="I108" i="164"/>
  <c r="I109" i="164"/>
  <c r="I110" i="164"/>
  <c r="I111" i="164"/>
  <c r="I112" i="164"/>
  <c r="I113" i="164"/>
  <c r="I114" i="164"/>
  <c r="I115" i="164"/>
  <c r="I116" i="164"/>
  <c r="I117" i="164"/>
  <c r="I118" i="164"/>
  <c r="I119" i="164"/>
  <c r="I120" i="164"/>
  <c r="I121" i="164"/>
  <c r="I122" i="164"/>
  <c r="I123" i="164"/>
  <c r="I124" i="164"/>
  <c r="I125" i="164"/>
  <c r="I126" i="164"/>
  <c r="I127" i="164"/>
  <c r="I128" i="164"/>
  <c r="I129" i="164"/>
  <c r="I130" i="164"/>
  <c r="I131" i="164"/>
  <c r="I132" i="164"/>
  <c r="I133" i="164"/>
  <c r="I134" i="164"/>
  <c r="I135" i="164"/>
  <c r="I136" i="164"/>
  <c r="I137" i="164"/>
  <c r="I138" i="164"/>
  <c r="I139" i="164"/>
  <c r="I34" i="96"/>
  <c r="I33" i="96"/>
  <c r="I32" i="96"/>
  <c r="I31" i="96"/>
  <c r="I30" i="96"/>
  <c r="I29" i="96"/>
  <c r="I28" i="96"/>
  <c r="I27" i="96"/>
  <c r="I26" i="96"/>
  <c r="I25" i="96"/>
  <c r="I24" i="96"/>
  <c r="I23" i="96"/>
  <c r="I22" i="96"/>
  <c r="I21" i="96"/>
  <c r="I20" i="96"/>
  <c r="I19" i="96"/>
  <c r="I18" i="96"/>
  <c r="I17" i="96"/>
  <c r="I16" i="96"/>
  <c r="I15" i="96"/>
  <c r="I14" i="96"/>
  <c r="I13" i="96"/>
  <c r="I12" i="96"/>
  <c r="I11" i="96"/>
  <c r="I10" i="96"/>
  <c r="I9" i="96"/>
  <c r="I8" i="96"/>
  <c r="I7" i="96"/>
  <c r="I6" i="96"/>
  <c r="I5" i="96"/>
  <c r="I4" i="96"/>
  <c r="I3" i="96"/>
  <c r="I2" i="96"/>
  <c r="I49" i="166"/>
  <c r="I48" i="166"/>
  <c r="I47" i="166"/>
  <c r="I46" i="166"/>
  <c r="I45" i="166"/>
  <c r="I44" i="166"/>
  <c r="I43" i="166"/>
  <c r="I42" i="166"/>
  <c r="I41" i="166"/>
  <c r="I40" i="166"/>
  <c r="I39" i="166"/>
  <c r="I38" i="166"/>
  <c r="I37" i="166"/>
  <c r="I36" i="166"/>
  <c r="I35" i="166"/>
  <c r="I34" i="166"/>
  <c r="I33" i="166"/>
  <c r="I32" i="166"/>
  <c r="I31" i="166"/>
  <c r="I30" i="166"/>
  <c r="I29" i="166"/>
  <c r="I28" i="166"/>
  <c r="I27" i="166"/>
  <c r="I26" i="166"/>
  <c r="I25" i="166"/>
  <c r="I24" i="166"/>
  <c r="I23" i="166"/>
  <c r="I22" i="166"/>
  <c r="I21" i="166"/>
  <c r="I20" i="166"/>
  <c r="I19" i="166"/>
  <c r="I18" i="166"/>
  <c r="I17" i="166"/>
  <c r="I16" i="166"/>
  <c r="I15" i="166"/>
  <c r="I14" i="166"/>
  <c r="I13" i="166"/>
  <c r="I12" i="166"/>
  <c r="I11" i="166"/>
  <c r="I10" i="166"/>
  <c r="I9" i="166"/>
  <c r="I8" i="166"/>
  <c r="I7" i="166"/>
  <c r="I6" i="166"/>
  <c r="I5" i="166"/>
  <c r="I4" i="166"/>
  <c r="I3" i="166"/>
  <c r="I2" i="166"/>
  <c r="I12" i="163"/>
  <c r="I11" i="163"/>
  <c r="I10" i="163"/>
  <c r="I9" i="163"/>
  <c r="I8" i="163"/>
  <c r="I7" i="163"/>
  <c r="I6" i="163"/>
  <c r="I5" i="163"/>
  <c r="I4" i="163"/>
  <c r="I3" i="163"/>
  <c r="I2" i="163"/>
  <c r="I13" i="163" s="1"/>
  <c r="B17" i="163" s="1"/>
  <c r="I43" i="162"/>
  <c r="I42" i="162"/>
  <c r="I41" i="162"/>
  <c r="I40" i="162"/>
  <c r="I39" i="162"/>
  <c r="I38" i="162"/>
  <c r="I37" i="162"/>
  <c r="I36" i="162"/>
  <c r="I35" i="162"/>
  <c r="I34" i="162"/>
  <c r="I33" i="162"/>
  <c r="I32" i="162"/>
  <c r="I31" i="162"/>
  <c r="I30" i="162"/>
  <c r="I29" i="162"/>
  <c r="I28" i="162"/>
  <c r="I27" i="162"/>
  <c r="I26" i="162"/>
  <c r="I25" i="162"/>
  <c r="I24" i="162"/>
  <c r="I23" i="162"/>
  <c r="I22" i="162"/>
  <c r="I21" i="162"/>
  <c r="I20" i="162"/>
  <c r="I19" i="162"/>
  <c r="I18" i="162"/>
  <c r="I17" i="162"/>
  <c r="I16" i="162"/>
  <c r="I15" i="162"/>
  <c r="I14" i="162"/>
  <c r="I13" i="162"/>
  <c r="I12" i="162"/>
  <c r="I11" i="162"/>
  <c r="I10" i="162"/>
  <c r="I9" i="162"/>
  <c r="I8" i="162"/>
  <c r="I7" i="162"/>
  <c r="I6" i="162"/>
  <c r="I5" i="162"/>
  <c r="I4" i="162"/>
  <c r="I3" i="162"/>
  <c r="I2" i="162"/>
  <c r="I23" i="161"/>
  <c r="I22" i="161"/>
  <c r="I21" i="161"/>
  <c r="I20" i="161"/>
  <c r="I19" i="161"/>
  <c r="I18" i="161"/>
  <c r="I17" i="161"/>
  <c r="I16" i="161"/>
  <c r="I15" i="161"/>
  <c r="I14" i="161"/>
  <c r="I13" i="161"/>
  <c r="I12" i="161"/>
  <c r="I11" i="161"/>
  <c r="I10" i="161"/>
  <c r="I9" i="161"/>
  <c r="I8" i="161"/>
  <c r="I7" i="161"/>
  <c r="I6" i="161"/>
  <c r="I5" i="161"/>
  <c r="I4" i="161"/>
  <c r="I3" i="161"/>
  <c r="I2" i="161"/>
  <c r="I123" i="116"/>
  <c r="B129" i="116" s="1"/>
  <c r="I122" i="116"/>
  <c r="I121" i="116"/>
  <c r="I120" i="116"/>
  <c r="I119" i="116"/>
  <c r="I118" i="116"/>
  <c r="I117" i="116"/>
  <c r="I116" i="116"/>
  <c r="I115" i="116"/>
  <c r="I114" i="116"/>
  <c r="I113" i="116"/>
  <c r="I112" i="116"/>
  <c r="I111" i="116"/>
  <c r="I110" i="116"/>
  <c r="I109" i="116"/>
  <c r="I108" i="116"/>
  <c r="I107" i="116"/>
  <c r="I106" i="116"/>
  <c r="I105" i="116"/>
  <c r="I104" i="116"/>
  <c r="I103" i="116"/>
  <c r="I102" i="116"/>
  <c r="I101" i="116"/>
  <c r="I100" i="116"/>
  <c r="I99" i="116"/>
  <c r="I98" i="116"/>
  <c r="I97" i="116"/>
  <c r="I96" i="116"/>
  <c r="I95" i="116"/>
  <c r="I94" i="116"/>
  <c r="I93" i="116"/>
  <c r="I92" i="116"/>
  <c r="I91" i="116"/>
  <c r="I90" i="116"/>
  <c r="I89" i="116"/>
  <c r="I88" i="116"/>
  <c r="I87" i="116"/>
  <c r="I86" i="116"/>
  <c r="I85" i="116"/>
  <c r="I84" i="116"/>
  <c r="I83" i="116"/>
  <c r="I82" i="116"/>
  <c r="I81" i="116"/>
  <c r="I80" i="116"/>
  <c r="I79" i="116"/>
  <c r="I78" i="116"/>
  <c r="I77" i="116"/>
  <c r="I76" i="116"/>
  <c r="I75" i="116"/>
  <c r="I74" i="116"/>
  <c r="I73" i="116"/>
  <c r="I72" i="116"/>
  <c r="I71" i="116"/>
  <c r="I70" i="116"/>
  <c r="I69" i="116"/>
  <c r="I68" i="116"/>
  <c r="I67" i="116"/>
  <c r="I66" i="116"/>
  <c r="I65" i="116"/>
  <c r="I64" i="116"/>
  <c r="I63" i="116"/>
  <c r="I62" i="116"/>
  <c r="I61" i="116"/>
  <c r="I60" i="116"/>
  <c r="I59" i="116"/>
  <c r="I58" i="116"/>
  <c r="I57" i="116"/>
  <c r="I56" i="116"/>
  <c r="I55" i="116"/>
  <c r="I54" i="116"/>
  <c r="I53" i="116"/>
  <c r="I52" i="116"/>
  <c r="I51" i="116"/>
  <c r="I50" i="116"/>
  <c r="I49" i="116"/>
  <c r="I48" i="116"/>
  <c r="I47" i="116"/>
  <c r="I46" i="116"/>
  <c r="I45" i="116"/>
  <c r="I44" i="116"/>
  <c r="I43" i="116"/>
  <c r="I42" i="116"/>
  <c r="I41" i="116"/>
  <c r="I40" i="116"/>
  <c r="I39" i="116"/>
  <c r="I38" i="116"/>
  <c r="I37" i="116"/>
  <c r="I36" i="116"/>
  <c r="I35" i="116"/>
  <c r="I34" i="116"/>
  <c r="I33" i="116"/>
  <c r="I32" i="116"/>
  <c r="I31" i="116"/>
  <c r="I30" i="116"/>
  <c r="I29" i="116"/>
  <c r="I28" i="116"/>
  <c r="I27" i="116"/>
  <c r="I26" i="116"/>
  <c r="I25" i="116"/>
  <c r="I24" i="116"/>
  <c r="I23" i="116"/>
  <c r="I22" i="116"/>
  <c r="I21" i="116"/>
  <c r="I20" i="116"/>
  <c r="I19" i="116"/>
  <c r="I18" i="116"/>
  <c r="I17" i="116"/>
  <c r="I16" i="116"/>
  <c r="I15" i="116"/>
  <c r="I14" i="116"/>
  <c r="I13" i="116"/>
  <c r="I12" i="116"/>
  <c r="I11" i="116"/>
  <c r="I10" i="116"/>
  <c r="I9" i="116"/>
  <c r="I8" i="116"/>
  <c r="I7" i="116"/>
  <c r="I6" i="116"/>
  <c r="I5" i="116"/>
  <c r="I4" i="116"/>
  <c r="I3" i="116"/>
  <c r="I2" i="116"/>
  <c r="I136" i="160"/>
  <c r="B142" i="160" s="1"/>
  <c r="I135" i="160"/>
  <c r="I134" i="160"/>
  <c r="I133" i="160"/>
  <c r="I132" i="160"/>
  <c r="I131" i="160"/>
  <c r="I130" i="160"/>
  <c r="I129" i="160"/>
  <c r="I128" i="160"/>
  <c r="I127" i="160"/>
  <c r="I126" i="160"/>
  <c r="I125" i="160"/>
  <c r="I124" i="160"/>
  <c r="I123" i="160"/>
  <c r="I122" i="160"/>
  <c r="I121" i="160"/>
  <c r="I120" i="160"/>
  <c r="I119" i="160"/>
  <c r="I118" i="160"/>
  <c r="I117" i="160"/>
  <c r="I116" i="160"/>
  <c r="I115" i="160"/>
  <c r="I114" i="160"/>
  <c r="I113" i="160"/>
  <c r="I112" i="160"/>
  <c r="I111" i="160"/>
  <c r="I110" i="160"/>
  <c r="I109" i="160"/>
  <c r="I108" i="160"/>
  <c r="I107" i="160"/>
  <c r="I106" i="160"/>
  <c r="I105" i="160"/>
  <c r="I104" i="160"/>
  <c r="I103" i="160"/>
  <c r="I102" i="160"/>
  <c r="I101" i="160"/>
  <c r="I100" i="160"/>
  <c r="I99" i="160"/>
  <c r="I98" i="160"/>
  <c r="I97" i="160"/>
  <c r="I96" i="160"/>
  <c r="I95" i="160"/>
  <c r="I94" i="160"/>
  <c r="I93" i="160"/>
  <c r="I92" i="160"/>
  <c r="I91" i="160"/>
  <c r="I90" i="160"/>
  <c r="I89" i="160"/>
  <c r="I88" i="160"/>
  <c r="I87" i="160"/>
  <c r="I86" i="160"/>
  <c r="I85" i="160"/>
  <c r="I84" i="160"/>
  <c r="I83" i="160"/>
  <c r="I82" i="160"/>
  <c r="I81" i="160"/>
  <c r="I80" i="160"/>
  <c r="I79" i="160"/>
  <c r="I78" i="160"/>
  <c r="I77" i="160"/>
  <c r="I76" i="160"/>
  <c r="I75" i="160"/>
  <c r="I74" i="160"/>
  <c r="I73" i="160"/>
  <c r="I72" i="160"/>
  <c r="I71" i="160"/>
  <c r="I70" i="160"/>
  <c r="I69" i="160"/>
  <c r="I68" i="160"/>
  <c r="I67" i="160"/>
  <c r="I66" i="160"/>
  <c r="I65" i="160"/>
  <c r="I64" i="160"/>
  <c r="I63" i="160"/>
  <c r="I62" i="160"/>
  <c r="I61" i="160"/>
  <c r="I60" i="160"/>
  <c r="I59" i="160"/>
  <c r="I58" i="160"/>
  <c r="I57" i="160"/>
  <c r="I56" i="160"/>
  <c r="I55" i="160"/>
  <c r="I54" i="160"/>
  <c r="I53" i="160"/>
  <c r="I52" i="160"/>
  <c r="I51" i="160"/>
  <c r="I50" i="160"/>
  <c r="I49" i="160"/>
  <c r="I48" i="160"/>
  <c r="I47" i="160"/>
  <c r="I46" i="160"/>
  <c r="I45" i="160"/>
  <c r="I44" i="160"/>
  <c r="I43" i="160"/>
  <c r="I42" i="160"/>
  <c r="I41" i="160"/>
  <c r="I40" i="160"/>
  <c r="I39" i="160"/>
  <c r="I38" i="160"/>
  <c r="I37" i="160"/>
  <c r="I36" i="160"/>
  <c r="I35" i="160"/>
  <c r="I34" i="160"/>
  <c r="I33" i="160"/>
  <c r="I32" i="160"/>
  <c r="I31" i="160"/>
  <c r="I30" i="160"/>
  <c r="I29" i="160"/>
  <c r="I28" i="160"/>
  <c r="I27" i="160"/>
  <c r="I26" i="160"/>
  <c r="I25" i="160"/>
  <c r="I24" i="160"/>
  <c r="I23" i="160"/>
  <c r="I22" i="160"/>
  <c r="I21" i="160"/>
  <c r="I20" i="160"/>
  <c r="I19" i="160"/>
  <c r="I18" i="160"/>
  <c r="I17" i="160"/>
  <c r="I16" i="160"/>
  <c r="I15" i="160"/>
  <c r="I14" i="160"/>
  <c r="I13" i="160"/>
  <c r="I12" i="160"/>
  <c r="I11" i="160"/>
  <c r="I10" i="160"/>
  <c r="I9" i="160"/>
  <c r="I8" i="160"/>
  <c r="I7" i="160"/>
  <c r="I6" i="160"/>
  <c r="I5" i="160"/>
  <c r="I4" i="160"/>
  <c r="I3" i="160"/>
  <c r="I2" i="23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112" i="108"/>
  <c r="I111" i="108"/>
  <c r="I110" i="108"/>
  <c r="I109" i="108"/>
  <c r="I108" i="108"/>
  <c r="I107" i="108"/>
  <c r="I106" i="108"/>
  <c r="I105" i="108"/>
  <c r="I104" i="108"/>
  <c r="I103" i="108"/>
  <c r="I102" i="108"/>
  <c r="I101" i="108"/>
  <c r="I100" i="108"/>
  <c r="I99" i="108"/>
  <c r="I98" i="108"/>
  <c r="I97" i="108"/>
  <c r="I96" i="108"/>
  <c r="I95" i="108"/>
  <c r="I94" i="108"/>
  <c r="I93" i="108"/>
  <c r="I92" i="108"/>
  <c r="I91" i="108"/>
  <c r="I90" i="108"/>
  <c r="I89" i="108"/>
  <c r="I88" i="108"/>
  <c r="I87" i="108"/>
  <c r="I86" i="108"/>
  <c r="I85" i="108"/>
  <c r="I84" i="108"/>
  <c r="I83" i="108"/>
  <c r="I82" i="108"/>
  <c r="I81" i="108"/>
  <c r="I80" i="108"/>
  <c r="I79" i="108"/>
  <c r="I78" i="108"/>
  <c r="I77" i="108"/>
  <c r="I76" i="108"/>
  <c r="I75" i="108"/>
  <c r="I74" i="108"/>
  <c r="I73" i="108"/>
  <c r="I72" i="108"/>
  <c r="I71" i="108"/>
  <c r="I70" i="108"/>
  <c r="I69" i="108"/>
  <c r="I68" i="108"/>
  <c r="I67" i="108"/>
  <c r="I66" i="108"/>
  <c r="I65" i="108"/>
  <c r="I64" i="108"/>
  <c r="I63" i="108"/>
  <c r="I62" i="108"/>
  <c r="I61" i="108"/>
  <c r="I60" i="108"/>
  <c r="I59" i="108"/>
  <c r="I58" i="108"/>
  <c r="I57" i="108"/>
  <c r="I56" i="108"/>
  <c r="I55" i="108"/>
  <c r="I54" i="108"/>
  <c r="I53" i="108"/>
  <c r="I52" i="108"/>
  <c r="I51" i="108"/>
  <c r="I50" i="108"/>
  <c r="I49" i="108"/>
  <c r="I48" i="108"/>
  <c r="I47" i="108"/>
  <c r="I46" i="108"/>
  <c r="I45" i="108"/>
  <c r="I44" i="108"/>
  <c r="I43" i="108"/>
  <c r="I42" i="108"/>
  <c r="I41" i="108"/>
  <c r="I40" i="108"/>
  <c r="I39" i="108"/>
  <c r="I38" i="108"/>
  <c r="I37" i="108"/>
  <c r="I36" i="108"/>
  <c r="I35" i="108"/>
  <c r="I34" i="108"/>
  <c r="I33" i="108"/>
  <c r="I32" i="108"/>
  <c r="I31" i="108"/>
  <c r="I30" i="108"/>
  <c r="I29" i="108"/>
  <c r="I28" i="108"/>
  <c r="I27" i="108"/>
  <c r="I26" i="108"/>
  <c r="I25" i="108"/>
  <c r="I24" i="108"/>
  <c r="I23" i="108"/>
  <c r="I22" i="108"/>
  <c r="I21" i="108"/>
  <c r="I20" i="108"/>
  <c r="I19" i="108"/>
  <c r="I18" i="108"/>
  <c r="I17" i="108"/>
  <c r="I16" i="108"/>
  <c r="I15" i="108"/>
  <c r="I14" i="108"/>
  <c r="I13" i="108"/>
  <c r="I12" i="108"/>
  <c r="I11" i="108"/>
  <c r="I10" i="108"/>
  <c r="I9" i="108"/>
  <c r="I8" i="108"/>
  <c r="I7" i="108"/>
  <c r="I6" i="108"/>
  <c r="I5" i="108"/>
  <c r="I4" i="108"/>
  <c r="I3" i="108"/>
  <c r="I2" i="108"/>
  <c r="I106" i="159"/>
  <c r="I105" i="159"/>
  <c r="I104" i="159"/>
  <c r="I103" i="159"/>
  <c r="I102" i="159"/>
  <c r="I101" i="159"/>
  <c r="I100" i="159"/>
  <c r="I99" i="159"/>
  <c r="I98" i="159"/>
  <c r="I97" i="159"/>
  <c r="I96" i="159"/>
  <c r="I95" i="159"/>
  <c r="I94" i="159"/>
  <c r="I93" i="159"/>
  <c r="I92" i="159"/>
  <c r="I91" i="159"/>
  <c r="I90" i="159"/>
  <c r="I89" i="159"/>
  <c r="I88" i="159"/>
  <c r="I87" i="159"/>
  <c r="I86" i="159"/>
  <c r="I85" i="159"/>
  <c r="I84" i="159"/>
  <c r="I83" i="159"/>
  <c r="I82" i="159"/>
  <c r="I81" i="159"/>
  <c r="I80" i="159"/>
  <c r="I79" i="159"/>
  <c r="I78" i="159"/>
  <c r="I77" i="159"/>
  <c r="I76" i="159"/>
  <c r="I75" i="159"/>
  <c r="I74" i="159"/>
  <c r="I73" i="159"/>
  <c r="I72" i="159"/>
  <c r="I71" i="159"/>
  <c r="I70" i="159"/>
  <c r="I69" i="159"/>
  <c r="I68" i="159"/>
  <c r="I67" i="159"/>
  <c r="I66" i="159"/>
  <c r="I65" i="159"/>
  <c r="I64" i="159"/>
  <c r="I63" i="159"/>
  <c r="I62" i="159"/>
  <c r="I61" i="159"/>
  <c r="I60" i="159"/>
  <c r="I59" i="159"/>
  <c r="I58" i="159"/>
  <c r="I57" i="159"/>
  <c r="I56" i="159"/>
  <c r="I55" i="159"/>
  <c r="I54" i="159"/>
  <c r="I53" i="159"/>
  <c r="I52" i="159"/>
  <c r="I51" i="159"/>
  <c r="I50" i="159"/>
  <c r="I49" i="159"/>
  <c r="I48" i="159"/>
  <c r="I47" i="159"/>
  <c r="I46" i="159"/>
  <c r="I45" i="159"/>
  <c r="I44" i="159"/>
  <c r="I43" i="159"/>
  <c r="I42" i="159"/>
  <c r="I41" i="159"/>
  <c r="I40" i="159"/>
  <c r="I39" i="159"/>
  <c r="I38" i="159"/>
  <c r="I37" i="159"/>
  <c r="I36" i="159"/>
  <c r="I35" i="159"/>
  <c r="I34" i="159"/>
  <c r="I33" i="159"/>
  <c r="I32" i="159"/>
  <c r="I31" i="159"/>
  <c r="I30" i="159"/>
  <c r="I29" i="159"/>
  <c r="I28" i="159"/>
  <c r="I27" i="159"/>
  <c r="I26" i="159"/>
  <c r="I25" i="159"/>
  <c r="I24" i="159"/>
  <c r="I23" i="159"/>
  <c r="I22" i="159"/>
  <c r="I21" i="159"/>
  <c r="I20" i="159"/>
  <c r="I19" i="159"/>
  <c r="I18" i="159"/>
  <c r="I17" i="159"/>
  <c r="I16" i="159"/>
  <c r="I15" i="159"/>
  <c r="I14" i="159"/>
  <c r="I13" i="159"/>
  <c r="I12" i="159"/>
  <c r="I11" i="159"/>
  <c r="I10" i="159"/>
  <c r="I9" i="159"/>
  <c r="I8" i="159"/>
  <c r="I7" i="159"/>
  <c r="I6" i="159"/>
  <c r="I5" i="159"/>
  <c r="I4" i="159"/>
  <c r="I3" i="159"/>
  <c r="I2" i="159"/>
  <c r="I115" i="91"/>
  <c r="I114" i="91"/>
  <c r="I113" i="91"/>
  <c r="I112" i="91"/>
  <c r="I111" i="91"/>
  <c r="I110" i="91"/>
  <c r="I109" i="91"/>
  <c r="I108" i="91"/>
  <c r="I107" i="91"/>
  <c r="I106" i="91"/>
  <c r="I105" i="91"/>
  <c r="I104" i="91"/>
  <c r="I103" i="91"/>
  <c r="I102" i="91"/>
  <c r="I101" i="91"/>
  <c r="I100" i="91"/>
  <c r="I99" i="91"/>
  <c r="I98" i="91"/>
  <c r="I97" i="91"/>
  <c r="I96" i="91"/>
  <c r="I95" i="91"/>
  <c r="I94" i="91"/>
  <c r="I93" i="91"/>
  <c r="I92" i="91"/>
  <c r="I91" i="91"/>
  <c r="I90" i="91"/>
  <c r="I89" i="91"/>
  <c r="I88" i="91"/>
  <c r="I87" i="91"/>
  <c r="I86" i="91"/>
  <c r="I85" i="91"/>
  <c r="I84" i="91"/>
  <c r="I83" i="91"/>
  <c r="I82" i="91"/>
  <c r="I81" i="91"/>
  <c r="I80" i="91"/>
  <c r="I79" i="91"/>
  <c r="I78" i="91"/>
  <c r="I77" i="91"/>
  <c r="I76" i="91"/>
  <c r="I75" i="91"/>
  <c r="I74" i="91"/>
  <c r="I73" i="91"/>
  <c r="I72" i="91"/>
  <c r="I71" i="91"/>
  <c r="I70" i="91"/>
  <c r="I69" i="91"/>
  <c r="I68" i="91"/>
  <c r="I67" i="91"/>
  <c r="I66" i="91"/>
  <c r="I65" i="91"/>
  <c r="I64" i="91"/>
  <c r="I63" i="91"/>
  <c r="I62" i="91"/>
  <c r="I61" i="91"/>
  <c r="I60" i="91"/>
  <c r="I59" i="91"/>
  <c r="I58" i="91"/>
  <c r="I57" i="91"/>
  <c r="I56" i="91"/>
  <c r="I55" i="91"/>
  <c r="I54" i="91"/>
  <c r="I53" i="91"/>
  <c r="I52" i="91"/>
  <c r="I51" i="91"/>
  <c r="I50" i="91"/>
  <c r="I49" i="91"/>
  <c r="I48" i="91"/>
  <c r="I47" i="91"/>
  <c r="I46" i="91"/>
  <c r="I45" i="91"/>
  <c r="I44" i="91"/>
  <c r="I43" i="91"/>
  <c r="I42" i="91"/>
  <c r="I41" i="91"/>
  <c r="I40" i="91"/>
  <c r="I39" i="91"/>
  <c r="I38" i="91"/>
  <c r="I37" i="91"/>
  <c r="I36" i="91"/>
  <c r="I35" i="91"/>
  <c r="I34" i="91"/>
  <c r="I33" i="91"/>
  <c r="I32" i="91"/>
  <c r="I31" i="91"/>
  <c r="I30" i="91"/>
  <c r="I29" i="91"/>
  <c r="I28" i="91"/>
  <c r="I27" i="91"/>
  <c r="I26" i="91"/>
  <c r="I25" i="91"/>
  <c r="I24" i="91"/>
  <c r="I23" i="91"/>
  <c r="I22" i="91"/>
  <c r="I21" i="91"/>
  <c r="I20" i="91"/>
  <c r="I19" i="91"/>
  <c r="I18" i="91"/>
  <c r="I17" i="91"/>
  <c r="I16" i="91"/>
  <c r="I15" i="91"/>
  <c r="I14" i="91"/>
  <c r="I13" i="91"/>
  <c r="I12" i="91"/>
  <c r="I11" i="91"/>
  <c r="I10" i="91"/>
  <c r="I9" i="91"/>
  <c r="I8" i="91"/>
  <c r="I7" i="91"/>
  <c r="I6" i="91"/>
  <c r="I5" i="91"/>
  <c r="I4" i="91"/>
  <c r="I3" i="91"/>
  <c r="I2" i="91"/>
  <c r="I133" i="115"/>
  <c r="I132" i="115"/>
  <c r="I131" i="115"/>
  <c r="I130" i="115"/>
  <c r="I129" i="115"/>
  <c r="I128" i="115"/>
  <c r="I127" i="115"/>
  <c r="I126" i="115"/>
  <c r="I125" i="115"/>
  <c r="I124" i="115"/>
  <c r="I123" i="115"/>
  <c r="I122" i="115"/>
  <c r="I121" i="115"/>
  <c r="I120" i="115"/>
  <c r="I119" i="115"/>
  <c r="I118" i="115"/>
  <c r="I117" i="115"/>
  <c r="I116" i="115"/>
  <c r="I115" i="115"/>
  <c r="I114" i="115"/>
  <c r="I113" i="115"/>
  <c r="I112" i="115"/>
  <c r="I111" i="115"/>
  <c r="I110" i="115"/>
  <c r="I109" i="115"/>
  <c r="I108" i="115"/>
  <c r="I107" i="115"/>
  <c r="I106" i="115"/>
  <c r="I105" i="115"/>
  <c r="I104" i="115"/>
  <c r="I103" i="115"/>
  <c r="I102" i="115"/>
  <c r="I101" i="115"/>
  <c r="I100" i="115"/>
  <c r="I99" i="115"/>
  <c r="I98" i="115"/>
  <c r="I97" i="115"/>
  <c r="I96" i="115"/>
  <c r="I95" i="115"/>
  <c r="I94" i="115"/>
  <c r="I93" i="115"/>
  <c r="I92" i="115"/>
  <c r="I91" i="115"/>
  <c r="I90" i="115"/>
  <c r="I89" i="115"/>
  <c r="I88" i="115"/>
  <c r="I87" i="115"/>
  <c r="I86" i="115"/>
  <c r="I85" i="115"/>
  <c r="I84" i="115"/>
  <c r="I83" i="115"/>
  <c r="I82" i="115"/>
  <c r="I81" i="115"/>
  <c r="I80" i="115"/>
  <c r="I79" i="115"/>
  <c r="I78" i="115"/>
  <c r="I77" i="115"/>
  <c r="I76" i="115"/>
  <c r="I75" i="115"/>
  <c r="I74" i="115"/>
  <c r="I73" i="115"/>
  <c r="I72" i="115"/>
  <c r="I71" i="115"/>
  <c r="I70" i="115"/>
  <c r="I69" i="115"/>
  <c r="I68" i="115"/>
  <c r="I67" i="115"/>
  <c r="I66" i="115"/>
  <c r="I65" i="115"/>
  <c r="I64" i="115"/>
  <c r="I63" i="115"/>
  <c r="I62" i="115"/>
  <c r="I61" i="115"/>
  <c r="I60" i="115"/>
  <c r="I59" i="115"/>
  <c r="I58" i="115"/>
  <c r="I57" i="115"/>
  <c r="I56" i="115"/>
  <c r="I55" i="115"/>
  <c r="I54" i="115"/>
  <c r="I53" i="115"/>
  <c r="I52" i="115"/>
  <c r="I51" i="115"/>
  <c r="I50" i="115"/>
  <c r="I49" i="115"/>
  <c r="I48" i="115"/>
  <c r="I47" i="115"/>
  <c r="I46" i="115"/>
  <c r="I45" i="115"/>
  <c r="I44" i="115"/>
  <c r="I43" i="115"/>
  <c r="I42" i="115"/>
  <c r="I41" i="115"/>
  <c r="I40" i="115"/>
  <c r="I39" i="115"/>
  <c r="I38" i="115"/>
  <c r="I37" i="115"/>
  <c r="I36" i="115"/>
  <c r="I35" i="115"/>
  <c r="I34" i="115"/>
  <c r="I33" i="115"/>
  <c r="I32" i="115"/>
  <c r="I31" i="115"/>
  <c r="I30" i="115"/>
  <c r="I29" i="115"/>
  <c r="I28" i="115"/>
  <c r="I27" i="115"/>
  <c r="I26" i="115"/>
  <c r="I25" i="115"/>
  <c r="I24" i="115"/>
  <c r="I23" i="115"/>
  <c r="I22" i="115"/>
  <c r="I21" i="115"/>
  <c r="I20" i="115"/>
  <c r="I19" i="115"/>
  <c r="I18" i="115"/>
  <c r="I17" i="115"/>
  <c r="I16" i="115"/>
  <c r="I15" i="115"/>
  <c r="I14" i="115"/>
  <c r="I13" i="115"/>
  <c r="I12" i="115"/>
  <c r="I11" i="115"/>
  <c r="I10" i="115"/>
  <c r="I9" i="115"/>
  <c r="I8" i="115"/>
  <c r="I7" i="115"/>
  <c r="I6" i="115"/>
  <c r="I5" i="115"/>
  <c r="I4" i="115"/>
  <c r="I3" i="115"/>
  <c r="I2" i="115"/>
  <c r="I137" i="114"/>
  <c r="I136" i="114"/>
  <c r="I135" i="114"/>
  <c r="I134" i="114"/>
  <c r="I133" i="114"/>
  <c r="I132" i="114"/>
  <c r="I131" i="114"/>
  <c r="I130" i="114"/>
  <c r="I129" i="114"/>
  <c r="I128" i="114"/>
  <c r="I127" i="114"/>
  <c r="I126" i="114"/>
  <c r="I125" i="114"/>
  <c r="I124" i="114"/>
  <c r="I123" i="114"/>
  <c r="I122" i="114"/>
  <c r="I121" i="114"/>
  <c r="I120" i="114"/>
  <c r="I119" i="114"/>
  <c r="I118" i="114"/>
  <c r="I117" i="114"/>
  <c r="I116" i="114"/>
  <c r="I115" i="114"/>
  <c r="I114" i="114"/>
  <c r="I113" i="114"/>
  <c r="I112" i="114"/>
  <c r="I111" i="114"/>
  <c r="I110" i="114"/>
  <c r="I109" i="114"/>
  <c r="I108" i="114"/>
  <c r="I107" i="114"/>
  <c r="I106" i="114"/>
  <c r="I105" i="114"/>
  <c r="I104" i="114"/>
  <c r="I103" i="114"/>
  <c r="I102" i="114"/>
  <c r="I101" i="114"/>
  <c r="I100" i="114"/>
  <c r="I99" i="114"/>
  <c r="I98" i="114"/>
  <c r="I97" i="114"/>
  <c r="I96" i="114"/>
  <c r="I95" i="114"/>
  <c r="I94" i="114"/>
  <c r="I93" i="114"/>
  <c r="I92" i="114"/>
  <c r="I91" i="114"/>
  <c r="I90" i="114"/>
  <c r="I89" i="114"/>
  <c r="I88" i="114"/>
  <c r="I87" i="114"/>
  <c r="I86" i="114"/>
  <c r="I85" i="114"/>
  <c r="I84" i="114"/>
  <c r="I83" i="114"/>
  <c r="I82" i="114"/>
  <c r="I81" i="114"/>
  <c r="I80" i="114"/>
  <c r="I79" i="114"/>
  <c r="I78" i="114"/>
  <c r="I77" i="114"/>
  <c r="I76" i="114"/>
  <c r="I75" i="114"/>
  <c r="I74" i="114"/>
  <c r="I73" i="114"/>
  <c r="I72" i="114"/>
  <c r="I71" i="114"/>
  <c r="I70" i="114"/>
  <c r="I69" i="114"/>
  <c r="I68" i="114"/>
  <c r="I67" i="114"/>
  <c r="I66" i="114"/>
  <c r="I65" i="114"/>
  <c r="I64" i="114"/>
  <c r="I63" i="114"/>
  <c r="I62" i="114"/>
  <c r="I61" i="114"/>
  <c r="I60" i="114"/>
  <c r="I59" i="114"/>
  <c r="I58" i="114"/>
  <c r="I57" i="114"/>
  <c r="I56" i="114"/>
  <c r="I55" i="114"/>
  <c r="I54" i="114"/>
  <c r="I53" i="114"/>
  <c r="I52" i="114"/>
  <c r="I51" i="114"/>
  <c r="I50" i="114"/>
  <c r="I49" i="114"/>
  <c r="I48" i="114"/>
  <c r="I47" i="114"/>
  <c r="I46" i="114"/>
  <c r="I45" i="114"/>
  <c r="I44" i="114"/>
  <c r="I43" i="114"/>
  <c r="I42" i="114"/>
  <c r="I41" i="114"/>
  <c r="I40" i="114"/>
  <c r="I39" i="114"/>
  <c r="I38" i="114"/>
  <c r="I37" i="114"/>
  <c r="I36" i="114"/>
  <c r="I35" i="114"/>
  <c r="I34" i="114"/>
  <c r="I33" i="114"/>
  <c r="I32" i="114"/>
  <c r="I31" i="114"/>
  <c r="I30" i="114"/>
  <c r="I29" i="114"/>
  <c r="I28" i="114"/>
  <c r="I27" i="114"/>
  <c r="I26" i="114"/>
  <c r="I25" i="114"/>
  <c r="I24" i="114"/>
  <c r="I23" i="114"/>
  <c r="I22" i="114"/>
  <c r="I21" i="114"/>
  <c r="I20" i="114"/>
  <c r="I19" i="114"/>
  <c r="I18" i="114"/>
  <c r="I17" i="114"/>
  <c r="I16" i="114"/>
  <c r="I15" i="114"/>
  <c r="I14" i="114"/>
  <c r="I13" i="114"/>
  <c r="I12" i="114"/>
  <c r="I11" i="114"/>
  <c r="I10" i="114"/>
  <c r="I9" i="114"/>
  <c r="I8" i="114"/>
  <c r="I7" i="114"/>
  <c r="I6" i="114"/>
  <c r="I5" i="114"/>
  <c r="I4" i="114"/>
  <c r="I3" i="114"/>
  <c r="I2" i="114"/>
  <c r="I2" i="188"/>
  <c r="I3" i="188"/>
  <c r="I4" i="188"/>
  <c r="I5" i="188"/>
  <c r="I6" i="188"/>
  <c r="I7" i="188"/>
  <c r="I8" i="188"/>
  <c r="I9" i="188"/>
  <c r="I10" i="188"/>
  <c r="I11" i="188"/>
  <c r="I12" i="188"/>
  <c r="I13" i="188"/>
  <c r="I14" i="188"/>
  <c r="I15" i="188"/>
  <c r="I16" i="188"/>
  <c r="I17" i="188"/>
  <c r="I18" i="188"/>
  <c r="I19" i="188"/>
  <c r="I20" i="188"/>
  <c r="I21" i="188"/>
  <c r="I22" i="188"/>
  <c r="I23" i="188"/>
  <c r="I24" i="188"/>
  <c r="I25" i="188"/>
  <c r="I26" i="188"/>
  <c r="I27" i="188"/>
  <c r="I28" i="188"/>
  <c r="I29" i="188"/>
  <c r="I30" i="188"/>
  <c r="I31" i="188"/>
  <c r="I32" i="188"/>
  <c r="I33" i="188"/>
  <c r="I34" i="188"/>
  <c r="I4" i="184"/>
  <c r="I3" i="184"/>
  <c r="I2" i="184"/>
  <c r="I5" i="184" s="1"/>
  <c r="B11" i="184" s="1"/>
  <c r="I2" i="139"/>
  <c r="I3" i="139"/>
  <c r="I4" i="139"/>
  <c r="I5" i="139"/>
  <c r="I6" i="139"/>
  <c r="I7" i="139"/>
  <c r="I8" i="139"/>
  <c r="I9" i="139"/>
  <c r="I10" i="139"/>
  <c r="I11" i="139"/>
  <c r="I12" i="139"/>
  <c r="I13" i="139"/>
  <c r="I14" i="139"/>
  <c r="I15" i="139"/>
  <c r="I16" i="139"/>
  <c r="I17" i="139"/>
  <c r="I18" i="139"/>
  <c r="I19" i="139"/>
  <c r="I20" i="139"/>
  <c r="I21" i="139"/>
  <c r="I22" i="139"/>
  <c r="I23" i="139"/>
  <c r="I24" i="139"/>
  <c r="I25" i="139"/>
  <c r="I26" i="139"/>
  <c r="I27" i="139"/>
  <c r="I28" i="139"/>
  <c r="I29" i="139"/>
  <c r="I30" i="139"/>
  <c r="I31" i="139"/>
  <c r="I32" i="139"/>
  <c r="I33" i="139"/>
  <c r="I34" i="139"/>
  <c r="I35" i="139"/>
  <c r="I36" i="139"/>
  <c r="I37" i="139"/>
  <c r="I38" i="139"/>
  <c r="I39" i="139"/>
  <c r="I40" i="139"/>
  <c r="I41" i="139"/>
  <c r="I42" i="139"/>
  <c r="I43" i="139"/>
  <c r="I44" i="139"/>
  <c r="I45" i="139"/>
  <c r="I46" i="139"/>
  <c r="I47" i="139"/>
  <c r="I48" i="139"/>
  <c r="I49" i="139"/>
  <c r="I50" i="139"/>
  <c r="I51" i="139"/>
  <c r="I52" i="139"/>
  <c r="I53" i="139"/>
  <c r="I54" i="139"/>
  <c r="I55" i="139"/>
  <c r="I56" i="139"/>
  <c r="I57" i="139"/>
  <c r="I58" i="139"/>
  <c r="I59" i="139"/>
  <c r="I60" i="139"/>
  <c r="I61" i="139"/>
  <c r="I62" i="139"/>
  <c r="I63" i="139"/>
  <c r="I64" i="139"/>
  <c r="I65" i="139"/>
  <c r="I66" i="139"/>
  <c r="I67" i="139"/>
  <c r="I68" i="139"/>
  <c r="I69" i="139"/>
  <c r="I70" i="139"/>
  <c r="I71" i="139"/>
  <c r="I72" i="139"/>
  <c r="I73" i="139"/>
  <c r="I74" i="139"/>
  <c r="I75" i="139"/>
  <c r="I76" i="139"/>
  <c r="I77" i="139"/>
  <c r="I78" i="139"/>
  <c r="I79" i="139"/>
  <c r="I80" i="139"/>
  <c r="I81" i="139"/>
  <c r="I82" i="139"/>
  <c r="I83" i="139"/>
  <c r="I84" i="139"/>
  <c r="I85" i="139"/>
  <c r="I86" i="139"/>
  <c r="I87" i="139"/>
  <c r="I88" i="139"/>
  <c r="I89" i="139"/>
  <c r="I90" i="139"/>
  <c r="I91" i="139"/>
  <c r="I92" i="139"/>
  <c r="I93" i="139"/>
  <c r="I94" i="139"/>
  <c r="I95" i="139"/>
  <c r="I96" i="139"/>
  <c r="I97" i="139"/>
  <c r="I98" i="139"/>
  <c r="I99" i="139"/>
  <c r="I100" i="139"/>
  <c r="I101" i="139"/>
  <c r="I102" i="139"/>
  <c r="I103" i="139"/>
  <c r="I104" i="139"/>
  <c r="I105" i="139"/>
  <c r="I106" i="139"/>
  <c r="I107" i="139"/>
  <c r="I108" i="139"/>
  <c r="I109" i="139"/>
  <c r="I110" i="139"/>
  <c r="I111" i="139"/>
  <c r="I112" i="139"/>
  <c r="I113" i="139"/>
  <c r="I114" i="139"/>
  <c r="I115" i="139"/>
  <c r="I116" i="139"/>
  <c r="I117" i="139"/>
  <c r="I118" i="139"/>
  <c r="I119" i="139"/>
  <c r="I120" i="139"/>
  <c r="I121" i="139"/>
  <c r="I122" i="139"/>
  <c r="I123" i="139"/>
  <c r="I124" i="139"/>
  <c r="I125" i="139"/>
  <c r="I126" i="139"/>
  <c r="I127" i="139"/>
  <c r="I128" i="139"/>
  <c r="I129" i="139"/>
  <c r="I130" i="139"/>
  <c r="I131" i="139"/>
  <c r="I132" i="139"/>
  <c r="I133" i="139"/>
  <c r="I134" i="139"/>
  <c r="I135" i="139"/>
  <c r="I136" i="139"/>
  <c r="I137" i="139"/>
  <c r="I138" i="139"/>
  <c r="I139" i="139"/>
  <c r="I140" i="139"/>
  <c r="I141" i="139"/>
  <c r="I142" i="139"/>
  <c r="I143" i="139"/>
  <c r="I144" i="139"/>
  <c r="I145" i="139"/>
  <c r="I146" i="139"/>
  <c r="I147" i="139"/>
  <c r="I148" i="139"/>
  <c r="I149" i="139"/>
  <c r="I150" i="139"/>
  <c r="I151" i="139"/>
  <c r="I152" i="139"/>
  <c r="I153" i="139"/>
  <c r="I154" i="139"/>
  <c r="I155" i="139"/>
  <c r="I156" i="139"/>
  <c r="I157" i="139"/>
  <c r="I158" i="139"/>
  <c r="I159" i="139"/>
  <c r="I160" i="139"/>
  <c r="I161" i="139"/>
  <c r="I162" i="139"/>
  <c r="I163" i="139"/>
  <c r="I164" i="139"/>
  <c r="I165" i="139"/>
  <c r="I166" i="139"/>
  <c r="I167" i="139"/>
  <c r="I168" i="139"/>
  <c r="I169" i="139"/>
  <c r="I170" i="139"/>
  <c r="I171" i="139"/>
  <c r="I172" i="139"/>
  <c r="I173" i="139"/>
  <c r="I174" i="139"/>
  <c r="I175" i="139"/>
  <c r="I176" i="139"/>
  <c r="I177" i="139"/>
  <c r="I178" i="139"/>
  <c r="I179" i="139"/>
  <c r="I180" i="139"/>
  <c r="I181" i="139"/>
  <c r="I182" i="139"/>
  <c r="I183" i="139"/>
  <c r="I184" i="139"/>
  <c r="I185" i="139"/>
  <c r="I186" i="139"/>
  <c r="I187" i="139"/>
  <c r="I188" i="139"/>
  <c r="I189" i="139"/>
  <c r="I190" i="139"/>
  <c r="I191" i="139"/>
  <c r="I192" i="139"/>
  <c r="I193" i="139"/>
  <c r="I194" i="139"/>
  <c r="I195" i="139"/>
  <c r="I196" i="139"/>
  <c r="I197" i="139"/>
  <c r="I198" i="139"/>
  <c r="I199" i="139"/>
  <c r="I200" i="139"/>
  <c r="I201" i="139"/>
  <c r="I202" i="139"/>
  <c r="I203" i="139"/>
  <c r="I204" i="139"/>
  <c r="I205" i="139"/>
  <c r="I206" i="139"/>
  <c r="I207" i="139"/>
  <c r="I208" i="139"/>
  <c r="I209" i="139"/>
  <c r="I210" i="139"/>
  <c r="I211" i="139"/>
  <c r="I212" i="139"/>
  <c r="I213" i="139"/>
  <c r="I214" i="139"/>
  <c r="I215" i="139"/>
  <c r="I216" i="139"/>
  <c r="I217" i="139"/>
  <c r="I218" i="139"/>
  <c r="I219" i="139"/>
  <c r="I220" i="139"/>
  <c r="I221" i="139"/>
  <c r="I222" i="139"/>
  <c r="I223" i="139"/>
  <c r="I224" i="139"/>
  <c r="I225" i="139"/>
  <c r="I226" i="139"/>
  <c r="I227" i="139"/>
  <c r="I228" i="139"/>
  <c r="I229" i="139"/>
  <c r="I230" i="139"/>
  <c r="I231" i="139"/>
  <c r="I232" i="139"/>
  <c r="I233" i="139"/>
  <c r="I234" i="139"/>
  <c r="I235" i="139"/>
  <c r="I236" i="139"/>
  <c r="I237" i="139"/>
  <c r="I238" i="139"/>
  <c r="I239" i="139"/>
  <c r="I240" i="139"/>
  <c r="I241" i="139"/>
  <c r="I242" i="139"/>
  <c r="I243" i="139"/>
  <c r="I244" i="139"/>
  <c r="I245" i="139"/>
  <c r="I246" i="139"/>
  <c r="I247" i="139"/>
  <c r="I248" i="139"/>
  <c r="I249" i="139"/>
  <c r="I250" i="139"/>
  <c r="I251" i="139"/>
  <c r="I252" i="139"/>
  <c r="I253" i="139"/>
  <c r="I254" i="139"/>
  <c r="I255" i="139"/>
  <c r="I256" i="139"/>
  <c r="I257" i="139"/>
  <c r="I258" i="139"/>
  <c r="I259" i="139"/>
  <c r="I260" i="139"/>
  <c r="I261" i="139"/>
  <c r="I262" i="139"/>
  <c r="I263" i="139"/>
  <c r="I264" i="139"/>
  <c r="I265" i="139"/>
  <c r="I266" i="139"/>
  <c r="I267" i="139"/>
  <c r="I268" i="139"/>
  <c r="I269" i="139"/>
  <c r="I270" i="139"/>
  <c r="I271" i="139"/>
  <c r="I272" i="139"/>
  <c r="I273" i="139"/>
  <c r="I274" i="139"/>
  <c r="I275" i="139"/>
  <c r="I276" i="139"/>
  <c r="I277" i="139"/>
  <c r="I278" i="139"/>
  <c r="I279" i="139"/>
  <c r="I280" i="139"/>
  <c r="I281" i="139"/>
  <c r="I282" i="139"/>
  <c r="I283" i="139"/>
  <c r="I284" i="139"/>
  <c r="I285" i="139"/>
  <c r="I286" i="139"/>
  <c r="I287" i="139"/>
  <c r="I288" i="139"/>
  <c r="I289" i="139"/>
  <c r="I290" i="139"/>
  <c r="I291" i="139"/>
  <c r="I292" i="139"/>
  <c r="I293" i="139"/>
  <c r="I294" i="139"/>
  <c r="I295" i="139"/>
  <c r="I296" i="139"/>
  <c r="I297" i="139"/>
  <c r="I298" i="139"/>
  <c r="I299" i="139"/>
  <c r="I300" i="139"/>
  <c r="I301" i="139"/>
  <c r="I302" i="139"/>
  <c r="I303" i="139"/>
  <c r="I304" i="139"/>
  <c r="I305" i="139"/>
  <c r="I306" i="139"/>
  <c r="I307" i="139"/>
  <c r="I308" i="139"/>
  <c r="I309" i="139"/>
  <c r="I310" i="139"/>
  <c r="I311" i="139"/>
  <c r="I312" i="139"/>
  <c r="I313" i="139"/>
  <c r="I314" i="139"/>
  <c r="I315" i="139"/>
  <c r="I316" i="139"/>
  <c r="I317" i="139"/>
  <c r="I318" i="139"/>
  <c r="I319" i="139"/>
  <c r="I320" i="139"/>
  <c r="I321" i="139"/>
  <c r="I322" i="139"/>
  <c r="I323" i="139"/>
  <c r="I324" i="139"/>
  <c r="I325" i="139"/>
  <c r="I326" i="139"/>
  <c r="I327" i="139"/>
  <c r="I328" i="139"/>
  <c r="I329" i="139"/>
  <c r="I330" i="139"/>
  <c r="I331" i="139"/>
  <c r="I332" i="139"/>
  <c r="I333" i="139"/>
  <c r="I334" i="139"/>
  <c r="I335" i="139"/>
  <c r="I336" i="139"/>
  <c r="I337" i="139"/>
  <c r="I338" i="139"/>
  <c r="I339" i="139"/>
  <c r="I340" i="139"/>
  <c r="I341" i="139"/>
  <c r="I342" i="139"/>
  <c r="I343" i="139"/>
  <c r="I344" i="139"/>
  <c r="I345" i="139"/>
  <c r="I346" i="139"/>
  <c r="I347" i="139"/>
  <c r="I348" i="139"/>
  <c r="I349" i="139"/>
  <c r="I350" i="139"/>
  <c r="I351" i="139"/>
  <c r="I352" i="139"/>
  <c r="I353" i="139"/>
  <c r="I354" i="139"/>
  <c r="I355" i="139"/>
  <c r="I356" i="139"/>
  <c r="I357" i="139"/>
  <c r="I358" i="139"/>
  <c r="I359" i="139"/>
  <c r="I360" i="139"/>
  <c r="I361" i="139"/>
  <c r="I362" i="139"/>
  <c r="I363" i="139"/>
  <c r="I364" i="139"/>
  <c r="I365" i="139"/>
  <c r="I366" i="139"/>
  <c r="I367" i="139"/>
  <c r="I368" i="139"/>
  <c r="I369" i="139"/>
  <c r="I370" i="139"/>
  <c r="I371" i="139"/>
  <c r="I372" i="139"/>
  <c r="I373" i="139"/>
  <c r="I374" i="139"/>
  <c r="I375" i="139"/>
  <c r="I376" i="139"/>
  <c r="I377" i="139"/>
  <c r="I378" i="139"/>
  <c r="I379" i="139"/>
  <c r="I380" i="139"/>
  <c r="I381" i="139"/>
  <c r="I382" i="139"/>
  <c r="I383" i="139"/>
  <c r="I384" i="139"/>
  <c r="I385" i="139"/>
  <c r="I386" i="139"/>
  <c r="I387" i="139"/>
  <c r="I388" i="139"/>
  <c r="I389" i="139"/>
  <c r="I390" i="139"/>
  <c r="I391" i="139"/>
  <c r="I392" i="139"/>
  <c r="I393" i="139"/>
  <c r="I394" i="139"/>
  <c r="I395" i="139"/>
  <c r="I396" i="139"/>
  <c r="I397" i="139"/>
  <c r="I398" i="139"/>
  <c r="I399" i="139"/>
  <c r="I400" i="139"/>
  <c r="I401" i="139"/>
  <c r="I402" i="139"/>
  <c r="I403" i="139"/>
  <c r="I404" i="139"/>
  <c r="I405" i="139"/>
  <c r="I406" i="139"/>
  <c r="I407" i="139"/>
  <c r="I408" i="139"/>
  <c r="I409" i="139"/>
  <c r="I410" i="139"/>
  <c r="I411" i="139"/>
  <c r="I412" i="139"/>
  <c r="I413" i="139"/>
  <c r="I414" i="139"/>
  <c r="I415" i="139"/>
  <c r="I416" i="139"/>
  <c r="I417" i="139"/>
  <c r="I418" i="139"/>
  <c r="I419" i="139"/>
  <c r="I420" i="139"/>
  <c r="I421" i="139"/>
  <c r="I422" i="139"/>
  <c r="I423" i="139"/>
  <c r="I424" i="139"/>
  <c r="I425" i="139"/>
  <c r="I426" i="139"/>
  <c r="I427" i="139"/>
  <c r="I428" i="139"/>
  <c r="I429" i="139"/>
  <c r="I430" i="139"/>
  <c r="I431" i="139"/>
  <c r="I432" i="139"/>
  <c r="I433" i="139"/>
  <c r="I434" i="139"/>
  <c r="I435" i="139"/>
  <c r="I436" i="139"/>
  <c r="I437" i="139"/>
  <c r="I438" i="139"/>
  <c r="I439" i="139"/>
  <c r="I440" i="139"/>
  <c r="I441" i="139"/>
  <c r="I442" i="139"/>
  <c r="I443" i="139"/>
  <c r="I444" i="139"/>
  <c r="I445" i="139"/>
  <c r="I446" i="139"/>
  <c r="I447" i="139"/>
  <c r="I448" i="139"/>
  <c r="I449" i="139"/>
  <c r="I450" i="139"/>
  <c r="I451" i="139"/>
  <c r="I452" i="139"/>
  <c r="I453" i="139"/>
  <c r="I454" i="139"/>
  <c r="I455" i="139"/>
  <c r="I3" i="127"/>
  <c r="I2" i="127"/>
  <c r="I4" i="127" s="1"/>
  <c r="B10" i="127" s="1"/>
  <c r="I27" i="105"/>
  <c r="I26" i="105"/>
  <c r="I25" i="105"/>
  <c r="I24" i="105"/>
  <c r="I23" i="105"/>
  <c r="I22" i="105"/>
  <c r="I21" i="105"/>
  <c r="I20" i="105"/>
  <c r="I19" i="105"/>
  <c r="I18" i="105"/>
  <c r="I17" i="105"/>
  <c r="I16" i="105"/>
  <c r="I15" i="105"/>
  <c r="I14" i="105"/>
  <c r="I13" i="105"/>
  <c r="I12" i="105"/>
  <c r="I11" i="105"/>
  <c r="I10" i="105"/>
  <c r="I9" i="105"/>
  <c r="I8" i="105"/>
  <c r="I7" i="105"/>
  <c r="I6" i="105"/>
  <c r="I5" i="105"/>
  <c r="I4" i="105"/>
  <c r="I3" i="105"/>
  <c r="I2" i="105"/>
  <c r="I2" i="149"/>
  <c r="I3" i="149"/>
  <c r="B9" i="149" s="1"/>
  <c r="I2" i="145"/>
  <c r="I3" i="145"/>
  <c r="I4" i="145"/>
  <c r="I5" i="145"/>
  <c r="I6" i="145"/>
  <c r="I7" i="145"/>
  <c r="I8" i="145"/>
  <c r="I9" i="145"/>
  <c r="I10" i="145"/>
  <c r="I11" i="145"/>
  <c r="I12" i="145"/>
  <c r="I13" i="145"/>
  <c r="I14" i="145"/>
  <c r="I15" i="145"/>
  <c r="I16" i="145"/>
  <c r="I17" i="145"/>
  <c r="I18" i="145"/>
  <c r="I19" i="145"/>
  <c r="I20" i="145"/>
  <c r="I21" i="145"/>
  <c r="I22" i="145"/>
  <c r="I23" i="145"/>
  <c r="I24" i="145"/>
  <c r="I25" i="145"/>
  <c r="I26" i="145"/>
  <c r="I27" i="145"/>
  <c r="I2" i="142"/>
  <c r="I3" i="142"/>
  <c r="I4" i="142"/>
  <c r="I5" i="142"/>
  <c r="I6" i="142"/>
  <c r="I7" i="142"/>
  <c r="I8" i="142"/>
  <c r="I9" i="142"/>
  <c r="I10" i="142"/>
  <c r="I11" i="142"/>
  <c r="I12" i="142"/>
  <c r="I13" i="142"/>
  <c r="I14" i="142"/>
  <c r="I15" i="142"/>
  <c r="I16" i="142"/>
  <c r="I2" i="143"/>
  <c r="I3" i="143"/>
  <c r="I4" i="143"/>
  <c r="I5" i="143"/>
  <c r="I6" i="143"/>
  <c r="I7" i="143"/>
  <c r="I8" i="143"/>
  <c r="I9" i="143"/>
  <c r="I10" i="143"/>
  <c r="I11" i="143"/>
  <c r="I12" i="143"/>
  <c r="I13" i="143"/>
  <c r="I14" i="143"/>
  <c r="I15" i="143"/>
  <c r="I16" i="143"/>
  <c r="I11" i="135"/>
  <c r="I10" i="135"/>
  <c r="I9" i="135"/>
  <c r="I8" i="135"/>
  <c r="I7" i="135"/>
  <c r="I6" i="135"/>
  <c r="I5" i="135"/>
  <c r="I4" i="135"/>
  <c r="I3" i="135"/>
  <c r="I2" i="135"/>
  <c r="I12" i="135" s="1"/>
  <c r="B17" i="135" s="1"/>
  <c r="I240" i="158"/>
  <c r="I243" i="158"/>
  <c r="I242" i="158"/>
  <c r="I241" i="158"/>
  <c r="I239" i="158"/>
  <c r="I238" i="158"/>
  <c r="I237" i="158"/>
  <c r="I236" i="158"/>
  <c r="I235" i="158"/>
  <c r="I234" i="158"/>
  <c r="I233" i="158"/>
  <c r="I231" i="158"/>
  <c r="I230" i="158"/>
  <c r="I229" i="158"/>
  <c r="I228" i="158"/>
  <c r="I227" i="158"/>
  <c r="I226" i="158"/>
  <c r="I225" i="158"/>
  <c r="I224" i="158"/>
  <c r="I223" i="158"/>
  <c r="I222" i="158"/>
  <c r="I221" i="158"/>
  <c r="I220" i="158"/>
  <c r="I219" i="158"/>
  <c r="I218" i="158"/>
  <c r="I217" i="158"/>
  <c r="I216" i="158"/>
  <c r="I215" i="158"/>
  <c r="I214" i="158"/>
  <c r="I213" i="158"/>
  <c r="I212" i="158"/>
  <c r="I211" i="158"/>
  <c r="I210" i="158"/>
  <c r="I209" i="158"/>
  <c r="I208" i="158"/>
  <c r="I207" i="158"/>
  <c r="I206" i="158"/>
  <c r="I205" i="158"/>
  <c r="I204" i="158"/>
  <c r="I203" i="158"/>
  <c r="I202" i="158"/>
  <c r="I201" i="158"/>
  <c r="I200" i="158"/>
  <c r="I199" i="158"/>
  <c r="I198" i="158"/>
  <c r="I197" i="158"/>
  <c r="I196" i="158"/>
  <c r="I195" i="158"/>
  <c r="I194" i="158"/>
  <c r="I193" i="158"/>
  <c r="I192" i="158"/>
  <c r="I191" i="158"/>
  <c r="I190" i="158"/>
  <c r="I189" i="158"/>
  <c r="I188" i="158"/>
  <c r="I187" i="158"/>
  <c r="I186" i="158"/>
  <c r="I185" i="158"/>
  <c r="I184" i="158"/>
  <c r="I183" i="158"/>
  <c r="I182" i="158"/>
  <c r="I181" i="158"/>
  <c r="I180" i="158"/>
  <c r="I179" i="158"/>
  <c r="I178" i="158"/>
  <c r="I177" i="158"/>
  <c r="I176" i="158"/>
  <c r="I175" i="158"/>
  <c r="I174" i="158"/>
  <c r="I173" i="158"/>
  <c r="I172" i="158"/>
  <c r="I171" i="158"/>
  <c r="I170" i="158"/>
  <c r="I169" i="158"/>
  <c r="I168" i="158"/>
  <c r="I167" i="158"/>
  <c r="I166" i="158"/>
  <c r="I165" i="158"/>
  <c r="I164" i="158"/>
  <c r="I163" i="158"/>
  <c r="I162" i="158"/>
  <c r="I161" i="158"/>
  <c r="I160" i="158"/>
  <c r="I159" i="158"/>
  <c r="I158" i="158"/>
  <c r="I157" i="158"/>
  <c r="I156" i="158"/>
  <c r="I155" i="158"/>
  <c r="I154" i="158"/>
  <c r="I153" i="158"/>
  <c r="I152" i="158"/>
  <c r="I151" i="158"/>
  <c r="I150" i="158"/>
  <c r="I149" i="158"/>
  <c r="I148" i="158"/>
  <c r="I147" i="158"/>
  <c r="I146" i="158"/>
  <c r="I145" i="158"/>
  <c r="I144" i="158"/>
  <c r="I143" i="158"/>
  <c r="I142" i="158"/>
  <c r="I141" i="158"/>
  <c r="I140" i="158"/>
  <c r="I139" i="158"/>
  <c r="I138" i="158"/>
  <c r="I137" i="158"/>
  <c r="I136" i="158"/>
  <c r="I135" i="158"/>
  <c r="I134" i="158"/>
  <c r="I133" i="158"/>
  <c r="I132" i="158"/>
  <c r="I131" i="158"/>
  <c r="I130" i="158"/>
  <c r="I129" i="158"/>
  <c r="I128" i="158"/>
  <c r="I127" i="158"/>
  <c r="I126" i="158"/>
  <c r="I125" i="158"/>
  <c r="I124" i="158"/>
  <c r="I123" i="158"/>
  <c r="I122" i="158"/>
  <c r="I121" i="158"/>
  <c r="I120" i="158"/>
  <c r="I119" i="158"/>
  <c r="I118" i="158"/>
  <c r="I117" i="158"/>
  <c r="I116" i="158"/>
  <c r="I115" i="158"/>
  <c r="I114" i="158"/>
  <c r="I113" i="158"/>
  <c r="I112" i="158"/>
  <c r="I111" i="158"/>
  <c r="I110" i="158"/>
  <c r="I109" i="158"/>
  <c r="I108" i="158"/>
  <c r="I107" i="158"/>
  <c r="I106" i="158"/>
  <c r="I105" i="158"/>
  <c r="I104" i="158"/>
  <c r="I103" i="158"/>
  <c r="I102" i="158"/>
  <c r="I101" i="158"/>
  <c r="I100" i="158"/>
  <c r="I99" i="158"/>
  <c r="I98" i="158"/>
  <c r="I97" i="158"/>
  <c r="I96" i="158"/>
  <c r="I95" i="158"/>
  <c r="I94" i="158"/>
  <c r="I93" i="158"/>
  <c r="I92" i="158"/>
  <c r="I91" i="158"/>
  <c r="I90" i="158"/>
  <c r="I89" i="158"/>
  <c r="I88" i="158"/>
  <c r="I87" i="158"/>
  <c r="I86" i="158"/>
  <c r="I85" i="158"/>
  <c r="I84" i="158"/>
  <c r="I83" i="158"/>
  <c r="I82" i="158"/>
  <c r="I81" i="158"/>
  <c r="I80" i="158"/>
  <c r="I79" i="158"/>
  <c r="I78" i="158"/>
  <c r="I77" i="158"/>
  <c r="I76" i="158"/>
  <c r="I75" i="158"/>
  <c r="I74" i="158"/>
  <c r="I73" i="158"/>
  <c r="I72" i="158"/>
  <c r="I71" i="158"/>
  <c r="I70" i="158"/>
  <c r="I69" i="158"/>
  <c r="I68" i="158"/>
  <c r="I67" i="158"/>
  <c r="I66" i="158"/>
  <c r="I65" i="158"/>
  <c r="I64" i="158"/>
  <c r="I63" i="158"/>
  <c r="I62" i="158"/>
  <c r="I61" i="158"/>
  <c r="I60" i="158"/>
  <c r="I59" i="158"/>
  <c r="I58" i="158"/>
  <c r="I57" i="158"/>
  <c r="I56" i="158"/>
  <c r="I55" i="158"/>
  <c r="I54" i="158"/>
  <c r="I53" i="158"/>
  <c r="I52" i="158"/>
  <c r="I51" i="158"/>
  <c r="I50" i="158"/>
  <c r="I49" i="158"/>
  <c r="I48" i="158"/>
  <c r="I47" i="158"/>
  <c r="I46" i="158"/>
  <c r="I45" i="158"/>
  <c r="I44" i="158"/>
  <c r="I43" i="158"/>
  <c r="I42" i="158"/>
  <c r="I41" i="158"/>
  <c r="I40" i="158"/>
  <c r="I39" i="158"/>
  <c r="I38" i="158"/>
  <c r="I37" i="158"/>
  <c r="I36" i="158"/>
  <c r="I35" i="158"/>
  <c r="I34" i="158"/>
  <c r="I33" i="158"/>
  <c r="I32" i="158"/>
  <c r="I31" i="158"/>
  <c r="I30" i="158"/>
  <c r="I29" i="158"/>
  <c r="I28" i="158"/>
  <c r="I27" i="158"/>
  <c r="I26" i="158"/>
  <c r="I25" i="158"/>
  <c r="I24" i="158"/>
  <c r="I23" i="158"/>
  <c r="I22" i="158"/>
  <c r="I21" i="158"/>
  <c r="I20" i="158"/>
  <c r="I19" i="158"/>
  <c r="I18" i="158"/>
  <c r="I17" i="158"/>
  <c r="I16" i="158"/>
  <c r="I15" i="158"/>
  <c r="I14" i="158"/>
  <c r="I13" i="158"/>
  <c r="I12" i="158"/>
  <c r="I11" i="158"/>
  <c r="I10" i="158"/>
  <c r="I9" i="158"/>
  <c r="I8" i="158"/>
  <c r="I7" i="158"/>
  <c r="I6" i="158"/>
  <c r="I5" i="158"/>
  <c r="I4" i="158"/>
  <c r="I3" i="158"/>
  <c r="I2" i="158"/>
  <c r="I124" i="113"/>
  <c r="I123" i="113"/>
  <c r="I122" i="113"/>
  <c r="I121" i="113"/>
  <c r="I120" i="113"/>
  <c r="I119" i="113"/>
  <c r="I118" i="113"/>
  <c r="I117" i="113"/>
  <c r="I116" i="113"/>
  <c r="I115" i="113"/>
  <c r="I114" i="113"/>
  <c r="I113" i="113"/>
  <c r="I112" i="113"/>
  <c r="I111" i="113"/>
  <c r="I110" i="113"/>
  <c r="I109" i="113"/>
  <c r="I108" i="113"/>
  <c r="I107" i="113"/>
  <c r="I106" i="113"/>
  <c r="I105" i="113"/>
  <c r="I104" i="113"/>
  <c r="I103" i="113"/>
  <c r="I102" i="113"/>
  <c r="I101" i="113"/>
  <c r="I100" i="113"/>
  <c r="I99" i="113"/>
  <c r="I98" i="113"/>
  <c r="I97" i="113"/>
  <c r="I96" i="113"/>
  <c r="I95" i="113"/>
  <c r="I94" i="113"/>
  <c r="I93" i="113"/>
  <c r="I92" i="113"/>
  <c r="I91" i="113"/>
  <c r="I90" i="113"/>
  <c r="I89" i="113"/>
  <c r="I88" i="113"/>
  <c r="I87" i="113"/>
  <c r="I86" i="113"/>
  <c r="I85" i="113"/>
  <c r="I84" i="113"/>
  <c r="I83" i="113"/>
  <c r="I82" i="113"/>
  <c r="I81" i="113"/>
  <c r="I80" i="113"/>
  <c r="I79" i="113"/>
  <c r="I78" i="113"/>
  <c r="I77" i="113"/>
  <c r="I76" i="113"/>
  <c r="I75" i="113"/>
  <c r="I74" i="113"/>
  <c r="I73" i="113"/>
  <c r="I72" i="113"/>
  <c r="I71" i="113"/>
  <c r="I70" i="113"/>
  <c r="I69" i="113"/>
  <c r="I68" i="113"/>
  <c r="I67" i="113"/>
  <c r="I66" i="113"/>
  <c r="I65" i="113"/>
  <c r="I64" i="113"/>
  <c r="I63" i="113"/>
  <c r="I62" i="113"/>
  <c r="I61" i="113"/>
  <c r="I60" i="113"/>
  <c r="I59" i="113"/>
  <c r="I58" i="113"/>
  <c r="I57" i="113"/>
  <c r="I56" i="113"/>
  <c r="I55" i="113"/>
  <c r="I54" i="113"/>
  <c r="I53" i="113"/>
  <c r="I52" i="113"/>
  <c r="I51" i="113"/>
  <c r="I50" i="113"/>
  <c r="I49" i="113"/>
  <c r="I48" i="113"/>
  <c r="I47" i="113"/>
  <c r="I46" i="113"/>
  <c r="I45" i="113"/>
  <c r="I44" i="113"/>
  <c r="I43" i="113"/>
  <c r="I42" i="113"/>
  <c r="I41" i="113"/>
  <c r="I40" i="113"/>
  <c r="I39" i="113"/>
  <c r="I38" i="113"/>
  <c r="I37" i="113"/>
  <c r="I36" i="113"/>
  <c r="I35" i="113"/>
  <c r="I34" i="113"/>
  <c r="I33" i="113"/>
  <c r="I32" i="113"/>
  <c r="I31" i="113"/>
  <c r="I30" i="113"/>
  <c r="I29" i="113"/>
  <c r="I28" i="113"/>
  <c r="I27" i="113"/>
  <c r="I26" i="113"/>
  <c r="I25" i="113"/>
  <c r="I24" i="113"/>
  <c r="I23" i="113"/>
  <c r="I22" i="113"/>
  <c r="I21" i="113"/>
  <c r="I20" i="113"/>
  <c r="I19" i="113"/>
  <c r="I18" i="113"/>
  <c r="I17" i="113"/>
  <c r="I16" i="113"/>
  <c r="I15" i="113"/>
  <c r="I14" i="113"/>
  <c r="I13" i="113"/>
  <c r="I12" i="113"/>
  <c r="I11" i="113"/>
  <c r="I10" i="113"/>
  <c r="I9" i="113"/>
  <c r="I8" i="113"/>
  <c r="I7" i="113"/>
  <c r="I6" i="113"/>
  <c r="I5" i="113"/>
  <c r="I4" i="113"/>
  <c r="I3" i="113"/>
  <c r="I2" i="113"/>
  <c r="I50" i="36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I10" i="36"/>
  <c r="I9" i="36"/>
  <c r="I8" i="36"/>
  <c r="I7" i="36"/>
  <c r="I6" i="36"/>
  <c r="I5" i="36"/>
  <c r="I4" i="36"/>
  <c r="I3" i="36"/>
  <c r="I123" i="110"/>
  <c r="I122" i="110"/>
  <c r="I121" i="110"/>
  <c r="I120" i="110"/>
  <c r="I119" i="110"/>
  <c r="I118" i="110"/>
  <c r="I117" i="110"/>
  <c r="I116" i="110"/>
  <c r="I115" i="110"/>
  <c r="I114" i="110"/>
  <c r="I113" i="110"/>
  <c r="I112" i="110"/>
  <c r="I111" i="110"/>
  <c r="I110" i="110"/>
  <c r="I109" i="110"/>
  <c r="I108" i="110"/>
  <c r="I107" i="110"/>
  <c r="I106" i="110"/>
  <c r="I105" i="110"/>
  <c r="I104" i="110"/>
  <c r="I103" i="110"/>
  <c r="I102" i="110"/>
  <c r="I101" i="110"/>
  <c r="I100" i="110"/>
  <c r="I99" i="110"/>
  <c r="I98" i="110"/>
  <c r="I97" i="110"/>
  <c r="I96" i="110"/>
  <c r="I95" i="110"/>
  <c r="I94" i="110"/>
  <c r="I93" i="110"/>
  <c r="I92" i="110"/>
  <c r="I91" i="110"/>
  <c r="I90" i="110"/>
  <c r="I89" i="110"/>
  <c r="I88" i="110"/>
  <c r="I87" i="110"/>
  <c r="I86" i="110"/>
  <c r="I85" i="110"/>
  <c r="I84" i="110"/>
  <c r="I83" i="110"/>
  <c r="I82" i="110"/>
  <c r="I81" i="110"/>
  <c r="I80" i="110"/>
  <c r="I79" i="110"/>
  <c r="I78" i="110"/>
  <c r="I77" i="110"/>
  <c r="I76" i="110"/>
  <c r="I75" i="110"/>
  <c r="I74" i="110"/>
  <c r="I73" i="110"/>
  <c r="I72" i="110"/>
  <c r="I71" i="110"/>
  <c r="I70" i="110"/>
  <c r="I69" i="110"/>
  <c r="I68" i="110"/>
  <c r="I67" i="110"/>
  <c r="I66" i="110"/>
  <c r="I65" i="110"/>
  <c r="I64" i="110"/>
  <c r="I63" i="110"/>
  <c r="I62" i="110"/>
  <c r="I61" i="110"/>
  <c r="I60" i="110"/>
  <c r="I59" i="110"/>
  <c r="I58" i="110"/>
  <c r="I57" i="110"/>
  <c r="I56" i="110"/>
  <c r="I55" i="110"/>
  <c r="I54" i="110"/>
  <c r="I53" i="110"/>
  <c r="I52" i="110"/>
  <c r="I51" i="110"/>
  <c r="I50" i="110"/>
  <c r="I49" i="110"/>
  <c r="I48" i="110"/>
  <c r="I47" i="110"/>
  <c r="I46" i="110"/>
  <c r="I45" i="110"/>
  <c r="I44" i="110"/>
  <c r="I43" i="110"/>
  <c r="I42" i="110"/>
  <c r="I41" i="110"/>
  <c r="I40" i="110"/>
  <c r="I39" i="110"/>
  <c r="I38" i="110"/>
  <c r="I37" i="110"/>
  <c r="I36" i="110"/>
  <c r="I35" i="110"/>
  <c r="I34" i="110"/>
  <c r="I33" i="110"/>
  <c r="I32" i="110"/>
  <c r="I31" i="110"/>
  <c r="I30" i="110"/>
  <c r="I29" i="110"/>
  <c r="I28" i="110"/>
  <c r="I27" i="110"/>
  <c r="I26" i="110"/>
  <c r="I25" i="110"/>
  <c r="I24" i="110"/>
  <c r="I23" i="110"/>
  <c r="I22" i="110"/>
  <c r="I21" i="110"/>
  <c r="I20" i="110"/>
  <c r="I19" i="110"/>
  <c r="I18" i="110"/>
  <c r="I17" i="110"/>
  <c r="I16" i="110"/>
  <c r="I15" i="110"/>
  <c r="I14" i="110"/>
  <c r="I13" i="110"/>
  <c r="I12" i="110"/>
  <c r="I11" i="110"/>
  <c r="I10" i="110"/>
  <c r="I9" i="110"/>
  <c r="I8" i="110"/>
  <c r="I7" i="110"/>
  <c r="I6" i="110"/>
  <c r="I5" i="110"/>
  <c r="I4" i="110"/>
  <c r="I3" i="110"/>
  <c r="I2" i="110"/>
  <c r="I299" i="157"/>
  <c r="I298" i="157"/>
  <c r="I297" i="157"/>
  <c r="I296" i="157"/>
  <c r="I295" i="157"/>
  <c r="I294" i="157"/>
  <c r="I293" i="157"/>
  <c r="I292" i="157"/>
  <c r="I291" i="157"/>
  <c r="I290" i="157"/>
  <c r="I289" i="157"/>
  <c r="I288" i="157"/>
  <c r="I287" i="157"/>
  <c r="I286" i="157"/>
  <c r="I285" i="157"/>
  <c r="I284" i="157"/>
  <c r="I283" i="157"/>
  <c r="I282" i="157"/>
  <c r="I281" i="157"/>
  <c r="I280" i="157"/>
  <c r="I279" i="157"/>
  <c r="I278" i="157"/>
  <c r="I277" i="157"/>
  <c r="I276" i="157"/>
  <c r="I275" i="157"/>
  <c r="I274" i="157"/>
  <c r="I273" i="157"/>
  <c r="I272" i="157"/>
  <c r="I271" i="157"/>
  <c r="I270" i="157"/>
  <c r="I269" i="157"/>
  <c r="I268" i="157"/>
  <c r="I267" i="157"/>
  <c r="I266" i="157"/>
  <c r="I265" i="157"/>
  <c r="I264" i="157"/>
  <c r="I263" i="157"/>
  <c r="I262" i="157"/>
  <c r="I261" i="157"/>
  <c r="I260" i="157"/>
  <c r="I259" i="157"/>
  <c r="I258" i="157"/>
  <c r="I257" i="157"/>
  <c r="I256" i="157"/>
  <c r="I255" i="157"/>
  <c r="I254" i="157"/>
  <c r="I253" i="157"/>
  <c r="I252" i="157"/>
  <c r="I251" i="157"/>
  <c r="I250" i="157"/>
  <c r="I249" i="157"/>
  <c r="I248" i="157"/>
  <c r="I247" i="157"/>
  <c r="I246" i="157"/>
  <c r="I245" i="157"/>
  <c r="I244" i="157"/>
  <c r="I243" i="157"/>
  <c r="I242" i="157"/>
  <c r="I241" i="157"/>
  <c r="I240" i="157"/>
  <c r="I239" i="157"/>
  <c r="I238" i="157"/>
  <c r="I237" i="157"/>
  <c r="I236" i="157"/>
  <c r="I235" i="157"/>
  <c r="I234" i="157"/>
  <c r="I233" i="157"/>
  <c r="I232" i="157"/>
  <c r="I231" i="157"/>
  <c r="I230" i="157"/>
  <c r="I229" i="157"/>
  <c r="I228" i="157"/>
  <c r="I227" i="157"/>
  <c r="I226" i="157"/>
  <c r="I225" i="157"/>
  <c r="I224" i="157"/>
  <c r="I223" i="157"/>
  <c r="I222" i="157"/>
  <c r="I221" i="157"/>
  <c r="I220" i="157"/>
  <c r="I219" i="157"/>
  <c r="I218" i="157"/>
  <c r="I217" i="157"/>
  <c r="I216" i="157"/>
  <c r="I215" i="157"/>
  <c r="I214" i="157"/>
  <c r="I213" i="157"/>
  <c r="I212" i="157"/>
  <c r="I211" i="157"/>
  <c r="I210" i="157"/>
  <c r="I209" i="157"/>
  <c r="I208" i="157"/>
  <c r="I207" i="157"/>
  <c r="I206" i="157"/>
  <c r="I205" i="157"/>
  <c r="I204" i="157"/>
  <c r="I203" i="157"/>
  <c r="I202" i="157"/>
  <c r="I201" i="157"/>
  <c r="I200" i="157"/>
  <c r="I199" i="157"/>
  <c r="I198" i="157"/>
  <c r="I197" i="157"/>
  <c r="I196" i="157"/>
  <c r="I195" i="157"/>
  <c r="I194" i="157"/>
  <c r="I193" i="157"/>
  <c r="I192" i="157"/>
  <c r="I191" i="157"/>
  <c r="I190" i="157"/>
  <c r="I189" i="157"/>
  <c r="I188" i="157"/>
  <c r="I187" i="157"/>
  <c r="I186" i="157"/>
  <c r="I185" i="157"/>
  <c r="I184" i="157"/>
  <c r="I183" i="157"/>
  <c r="I182" i="157"/>
  <c r="I181" i="157"/>
  <c r="I180" i="157"/>
  <c r="I179" i="157"/>
  <c r="I178" i="157"/>
  <c r="I177" i="157"/>
  <c r="I176" i="157"/>
  <c r="I175" i="157"/>
  <c r="I174" i="157"/>
  <c r="I173" i="157"/>
  <c r="I172" i="157"/>
  <c r="I171" i="157"/>
  <c r="I170" i="157"/>
  <c r="I169" i="157"/>
  <c r="I168" i="157"/>
  <c r="I167" i="157"/>
  <c r="I166" i="157"/>
  <c r="I165" i="157"/>
  <c r="I164" i="157"/>
  <c r="I163" i="157"/>
  <c r="I162" i="157"/>
  <c r="I161" i="157"/>
  <c r="I160" i="157"/>
  <c r="I159" i="157"/>
  <c r="I158" i="157"/>
  <c r="I157" i="157"/>
  <c r="I156" i="157"/>
  <c r="I155" i="157"/>
  <c r="I154" i="157"/>
  <c r="I153" i="157"/>
  <c r="I152" i="157"/>
  <c r="I151" i="157"/>
  <c r="I150" i="157"/>
  <c r="I149" i="157"/>
  <c r="I148" i="157"/>
  <c r="I147" i="157"/>
  <c r="I146" i="157"/>
  <c r="I145" i="157"/>
  <c r="I144" i="157"/>
  <c r="I143" i="157"/>
  <c r="I142" i="157"/>
  <c r="I141" i="157"/>
  <c r="I140" i="157"/>
  <c r="I139" i="157"/>
  <c r="I138" i="157"/>
  <c r="I137" i="157"/>
  <c r="I136" i="157"/>
  <c r="I135" i="157"/>
  <c r="I134" i="157"/>
  <c r="I133" i="157"/>
  <c r="I132" i="157"/>
  <c r="I131" i="157"/>
  <c r="I130" i="157"/>
  <c r="I129" i="157"/>
  <c r="I128" i="157"/>
  <c r="I127" i="157"/>
  <c r="I126" i="157"/>
  <c r="I125" i="157"/>
  <c r="I124" i="157"/>
  <c r="I123" i="157"/>
  <c r="I122" i="157"/>
  <c r="I121" i="157"/>
  <c r="I120" i="157"/>
  <c r="I119" i="157"/>
  <c r="I118" i="157"/>
  <c r="I117" i="157"/>
  <c r="I116" i="157"/>
  <c r="I115" i="157"/>
  <c r="I114" i="157"/>
  <c r="I113" i="157"/>
  <c r="I112" i="157"/>
  <c r="I111" i="157"/>
  <c r="I110" i="157"/>
  <c r="I109" i="157"/>
  <c r="I108" i="157"/>
  <c r="I107" i="157"/>
  <c r="I106" i="157"/>
  <c r="I105" i="157"/>
  <c r="I104" i="157"/>
  <c r="I103" i="157"/>
  <c r="I102" i="157"/>
  <c r="I101" i="157"/>
  <c r="I100" i="157"/>
  <c r="I99" i="157"/>
  <c r="I98" i="157"/>
  <c r="I97" i="157"/>
  <c r="I96" i="157"/>
  <c r="I95" i="157"/>
  <c r="I94" i="157"/>
  <c r="I93" i="157"/>
  <c r="I92" i="157"/>
  <c r="I91" i="157"/>
  <c r="I90" i="157"/>
  <c r="I89" i="157"/>
  <c r="I88" i="157"/>
  <c r="I87" i="157"/>
  <c r="I86" i="157"/>
  <c r="I85" i="157"/>
  <c r="I84" i="157"/>
  <c r="I83" i="157"/>
  <c r="I82" i="157"/>
  <c r="I81" i="157"/>
  <c r="I80" i="157"/>
  <c r="I79" i="157"/>
  <c r="I78" i="157"/>
  <c r="I77" i="157"/>
  <c r="I76" i="157"/>
  <c r="I75" i="157"/>
  <c r="I74" i="157"/>
  <c r="I73" i="157"/>
  <c r="I72" i="157"/>
  <c r="I71" i="157"/>
  <c r="I70" i="157"/>
  <c r="I69" i="157"/>
  <c r="I68" i="157"/>
  <c r="I67" i="157"/>
  <c r="I66" i="157"/>
  <c r="I65" i="157"/>
  <c r="I64" i="157"/>
  <c r="I63" i="157"/>
  <c r="I62" i="157"/>
  <c r="I61" i="157"/>
  <c r="I60" i="157"/>
  <c r="I59" i="157"/>
  <c r="I58" i="157"/>
  <c r="I57" i="157"/>
  <c r="I56" i="157"/>
  <c r="I55" i="157"/>
  <c r="I54" i="157"/>
  <c r="I53" i="157"/>
  <c r="I52" i="157"/>
  <c r="I51" i="157"/>
  <c r="I50" i="157"/>
  <c r="I49" i="157"/>
  <c r="I48" i="157"/>
  <c r="I47" i="157"/>
  <c r="I46" i="157"/>
  <c r="I45" i="157"/>
  <c r="I44" i="157"/>
  <c r="I43" i="157"/>
  <c r="I42" i="157"/>
  <c r="I41" i="157"/>
  <c r="I40" i="157"/>
  <c r="I39" i="157"/>
  <c r="I38" i="157"/>
  <c r="I37" i="157"/>
  <c r="I36" i="157"/>
  <c r="I35" i="157"/>
  <c r="I34" i="157"/>
  <c r="I33" i="157"/>
  <c r="I32" i="157"/>
  <c r="I31" i="157"/>
  <c r="I30" i="157"/>
  <c r="I29" i="157"/>
  <c r="I28" i="157"/>
  <c r="I27" i="157"/>
  <c r="I26" i="157"/>
  <c r="I25" i="157"/>
  <c r="I24" i="157"/>
  <c r="I23" i="157"/>
  <c r="I22" i="157"/>
  <c r="I21" i="157"/>
  <c r="I20" i="157"/>
  <c r="I19" i="157"/>
  <c r="I18" i="157"/>
  <c r="I17" i="157"/>
  <c r="I16" i="157"/>
  <c r="I15" i="157"/>
  <c r="I14" i="157"/>
  <c r="I13" i="157"/>
  <c r="I12" i="157"/>
  <c r="I11" i="157"/>
  <c r="I10" i="157"/>
  <c r="I9" i="157"/>
  <c r="I8" i="157"/>
  <c r="I7" i="157"/>
  <c r="I6" i="157"/>
  <c r="I5" i="157"/>
  <c r="I4" i="157"/>
  <c r="I3" i="157"/>
  <c r="I2" i="157"/>
  <c r="I51" i="36" l="1"/>
  <c r="B57" i="36" s="1"/>
  <c r="I28" i="105"/>
  <c r="B34" i="105" s="1"/>
  <c r="I113" i="108"/>
  <c r="B117" i="108" s="1"/>
  <c r="I170" i="195"/>
  <c r="B174" i="195" s="1"/>
  <c r="I22" i="100"/>
  <c r="B28" i="100" s="1"/>
  <c r="I125" i="113"/>
  <c r="B130" i="113" s="1"/>
  <c r="I138" i="114"/>
  <c r="B143" i="114" s="1"/>
  <c r="I22" i="169"/>
  <c r="B28" i="169" s="1"/>
  <c r="I55" i="168"/>
  <c r="B60" i="168" s="1"/>
  <c r="I44" i="162"/>
  <c r="B49" i="162" s="1"/>
  <c r="I124" i="110"/>
  <c r="B130" i="110" s="1"/>
  <c r="I46" i="124"/>
  <c r="B53" i="124" s="1"/>
  <c r="I116" i="91"/>
  <c r="B120" i="91" s="1"/>
  <c r="I24" i="161"/>
  <c r="B30" i="161" s="1"/>
  <c r="I300" i="157"/>
  <c r="B305" i="157" s="1"/>
  <c r="I50" i="166"/>
  <c r="B56" i="166" s="1"/>
  <c r="I35" i="96"/>
  <c r="B40" i="96" s="1"/>
  <c r="I244" i="158"/>
  <c r="B248" i="158" s="1"/>
  <c r="I139" i="167"/>
  <c r="B145" i="167" s="1"/>
  <c r="I140" i="164"/>
  <c r="B145" i="164" s="1"/>
  <c r="I40" i="23"/>
  <c r="B46" i="23" s="1"/>
  <c r="I107" i="159"/>
  <c r="B123" i="159" s="1"/>
  <c r="I134" i="115"/>
  <c r="B140" i="115" s="1"/>
  <c r="I35" i="188"/>
  <c r="B40" i="188" s="1"/>
  <c r="I456" i="139"/>
  <c r="B462" i="139" s="1"/>
  <c r="I28" i="145"/>
  <c r="B34" i="145" s="1"/>
  <c r="I17" i="143"/>
  <c r="B22" i="143" s="1"/>
  <c r="I17" i="142"/>
  <c r="B23" i="142" s="1"/>
  <c r="I157" i="112"/>
  <c r="I156" i="112"/>
  <c r="I155" i="112"/>
  <c r="I154" i="112"/>
  <c r="I153" i="112"/>
  <c r="I152" i="112"/>
  <c r="I151" i="112"/>
  <c r="I150" i="112"/>
  <c r="I149" i="112"/>
  <c r="I148" i="112"/>
  <c r="I147" i="112"/>
  <c r="I146" i="112"/>
  <c r="I145" i="112"/>
  <c r="I144" i="112"/>
  <c r="I143" i="112"/>
  <c r="I141" i="112"/>
  <c r="I140" i="112"/>
  <c r="I139" i="112"/>
  <c r="I138" i="112"/>
  <c r="I137" i="112"/>
  <c r="I136" i="112"/>
  <c r="I135" i="112"/>
  <c r="I134" i="112"/>
  <c r="I133" i="112"/>
  <c r="I132" i="112"/>
  <c r="I131" i="112"/>
  <c r="I130" i="112"/>
  <c r="I129" i="112"/>
  <c r="I128" i="112"/>
  <c r="I127" i="112"/>
  <c r="I126" i="112"/>
  <c r="I125" i="112"/>
  <c r="I124" i="112"/>
  <c r="I123" i="112"/>
  <c r="I122" i="112"/>
  <c r="I121" i="112"/>
  <c r="I120" i="112"/>
  <c r="I119" i="112"/>
  <c r="I118" i="112"/>
  <c r="I117" i="112"/>
  <c r="I116" i="112"/>
  <c r="I115" i="112"/>
  <c r="I114" i="112"/>
  <c r="I113" i="112"/>
  <c r="I112" i="112"/>
  <c r="I111" i="112"/>
  <c r="I110" i="112"/>
  <c r="I109" i="112"/>
  <c r="I108" i="112"/>
  <c r="I107" i="112"/>
  <c r="I106" i="112"/>
  <c r="I105" i="112"/>
  <c r="I104" i="112"/>
  <c r="I103" i="112"/>
  <c r="I102" i="112"/>
  <c r="I101" i="112"/>
  <c r="I100" i="112"/>
  <c r="I99" i="112"/>
  <c r="I98" i="112"/>
  <c r="I97" i="112"/>
  <c r="I96" i="112"/>
  <c r="I95" i="112"/>
  <c r="I94" i="112"/>
  <c r="I93" i="112"/>
  <c r="I92" i="112"/>
  <c r="I91" i="112"/>
  <c r="I90" i="112"/>
  <c r="I89" i="112"/>
  <c r="I88" i="112"/>
  <c r="I87" i="112"/>
  <c r="I86" i="112"/>
  <c r="I85" i="112"/>
  <c r="I84" i="112"/>
  <c r="I83" i="112"/>
  <c r="I82" i="112"/>
  <c r="I81" i="112"/>
  <c r="I80" i="112"/>
  <c r="I79" i="112"/>
  <c r="I78" i="112"/>
  <c r="I77" i="112"/>
  <c r="I76" i="112"/>
  <c r="I75" i="112"/>
  <c r="I74" i="112"/>
  <c r="I73" i="112"/>
  <c r="I72" i="112"/>
  <c r="I71" i="112"/>
  <c r="I70" i="112"/>
  <c r="I69" i="112"/>
  <c r="I68" i="112"/>
  <c r="I67" i="112"/>
  <c r="I66" i="112"/>
  <c r="I65" i="112"/>
  <c r="I64" i="112"/>
  <c r="I63" i="112"/>
  <c r="I62" i="112"/>
  <c r="I61" i="112"/>
  <c r="I60" i="112"/>
  <c r="I59" i="112"/>
  <c r="I58" i="112"/>
  <c r="I57" i="112"/>
  <c r="I56" i="112"/>
  <c r="I55" i="112"/>
  <c r="I54" i="112"/>
  <c r="I53" i="112"/>
  <c r="I52" i="112"/>
  <c r="I51" i="112"/>
  <c r="I50" i="112"/>
  <c r="I49" i="112"/>
  <c r="I48" i="112"/>
  <c r="I47" i="112"/>
  <c r="I46" i="112"/>
  <c r="I45" i="112"/>
  <c r="I44" i="112"/>
  <c r="I43" i="112"/>
  <c r="I42" i="112"/>
  <c r="I41" i="112"/>
  <c r="I40" i="112"/>
  <c r="I39" i="112"/>
  <c r="I38" i="112"/>
  <c r="I37" i="112"/>
  <c r="I36" i="112"/>
  <c r="I35" i="112"/>
  <c r="I34" i="112"/>
  <c r="I33" i="112"/>
  <c r="I32" i="112"/>
  <c r="I31" i="112"/>
  <c r="I30" i="112"/>
  <c r="I29" i="112"/>
  <c r="I28" i="112"/>
  <c r="I27" i="112"/>
  <c r="I26" i="112"/>
  <c r="I25" i="112"/>
  <c r="I24" i="112"/>
  <c r="I23" i="112"/>
  <c r="I22" i="112"/>
  <c r="I21" i="112"/>
  <c r="I20" i="112"/>
  <c r="I19" i="112"/>
  <c r="I18" i="112"/>
  <c r="I17" i="112"/>
  <c r="I16" i="112"/>
  <c r="I15" i="112"/>
  <c r="I14" i="112"/>
  <c r="I13" i="112"/>
  <c r="I12" i="112"/>
  <c r="I11" i="112"/>
  <c r="I10" i="112"/>
  <c r="I9" i="112"/>
  <c r="I8" i="112"/>
  <c r="I7" i="112"/>
  <c r="I6" i="112"/>
  <c r="I5" i="112"/>
  <c r="I4" i="112"/>
  <c r="I3" i="112"/>
  <c r="I2" i="112"/>
  <c r="I158" i="112" l="1"/>
  <c r="B164" i="112" s="1"/>
  <c r="I110" i="156"/>
  <c r="I109" i="156"/>
  <c r="I108" i="156"/>
  <c r="I107" i="156"/>
  <c r="I106" i="156"/>
  <c r="I105" i="156"/>
  <c r="I104" i="156"/>
  <c r="I103" i="156"/>
  <c r="I102" i="156"/>
  <c r="I101" i="156"/>
  <c r="I100" i="156"/>
  <c r="I99" i="156"/>
  <c r="I98" i="156"/>
  <c r="I97" i="156"/>
  <c r="I96" i="156"/>
  <c r="I95" i="156"/>
  <c r="I94" i="156"/>
  <c r="I93" i="156"/>
  <c r="I92" i="156"/>
  <c r="I91" i="156"/>
  <c r="I90" i="156"/>
  <c r="I89" i="156"/>
  <c r="I88" i="156"/>
  <c r="I87" i="156"/>
  <c r="I86" i="156"/>
  <c r="I85" i="156"/>
  <c r="I84" i="156"/>
  <c r="I83" i="156"/>
  <c r="I82" i="156"/>
  <c r="I81" i="156"/>
  <c r="I80" i="156"/>
  <c r="I79" i="156"/>
  <c r="I78" i="156"/>
  <c r="I77" i="156"/>
  <c r="I76" i="156"/>
  <c r="I75" i="156"/>
  <c r="I74" i="156"/>
  <c r="I73" i="156"/>
  <c r="I72" i="156"/>
  <c r="I71" i="156"/>
  <c r="I70" i="156"/>
  <c r="I69" i="156"/>
  <c r="I68" i="156"/>
  <c r="I67" i="156"/>
  <c r="I66" i="156"/>
  <c r="I65" i="156"/>
  <c r="I64" i="156"/>
  <c r="I63" i="156"/>
  <c r="I62" i="156"/>
  <c r="I61" i="156"/>
  <c r="I60" i="156"/>
  <c r="I59" i="156"/>
  <c r="I58" i="156"/>
  <c r="I57" i="156"/>
  <c r="I56" i="156"/>
  <c r="I55" i="156"/>
  <c r="I54" i="156"/>
  <c r="I53" i="156"/>
  <c r="I52" i="156"/>
  <c r="I51" i="156"/>
  <c r="I50" i="156"/>
  <c r="I49" i="156"/>
  <c r="I48" i="156"/>
  <c r="I47" i="156"/>
  <c r="I46" i="156"/>
  <c r="I45" i="156"/>
  <c r="I44" i="156"/>
  <c r="I43" i="156"/>
  <c r="I42" i="156"/>
  <c r="I41" i="156"/>
  <c r="I40" i="156"/>
  <c r="I39" i="156"/>
  <c r="I38" i="156"/>
  <c r="I37" i="156"/>
  <c r="I36" i="156"/>
  <c r="I35" i="156"/>
  <c r="I34" i="156"/>
  <c r="I33" i="156"/>
  <c r="I32" i="156"/>
  <c r="I31" i="156"/>
  <c r="I30" i="156"/>
  <c r="I29" i="156"/>
  <c r="I28" i="156"/>
  <c r="I27" i="156"/>
  <c r="I26" i="156"/>
  <c r="I25" i="156"/>
  <c r="I24" i="156"/>
  <c r="I23" i="156"/>
  <c r="I22" i="156"/>
  <c r="I21" i="156"/>
  <c r="I20" i="156"/>
  <c r="I19" i="156"/>
  <c r="I18" i="156"/>
  <c r="I17" i="156"/>
  <c r="I16" i="156"/>
  <c r="I15" i="156"/>
  <c r="I14" i="156"/>
  <c r="I13" i="156"/>
  <c r="I12" i="156"/>
  <c r="I11" i="156"/>
  <c r="I10" i="156"/>
  <c r="I9" i="156"/>
  <c r="I8" i="156"/>
  <c r="I7" i="156"/>
  <c r="I6" i="156"/>
  <c r="I5" i="156"/>
  <c r="I4" i="156"/>
  <c r="I3" i="156"/>
  <c r="I2" i="156"/>
  <c r="I129" i="177"/>
  <c r="I128" i="177"/>
  <c r="I127" i="177"/>
  <c r="I126" i="177"/>
  <c r="I125" i="177"/>
  <c r="I124" i="177"/>
  <c r="I123" i="177"/>
  <c r="I122" i="177"/>
  <c r="I121" i="177"/>
  <c r="I120" i="177"/>
  <c r="I119" i="177"/>
  <c r="I118" i="177"/>
  <c r="I117" i="177"/>
  <c r="I116" i="177"/>
  <c r="I115" i="177"/>
  <c r="I114" i="177"/>
  <c r="I113" i="177"/>
  <c r="I112" i="177"/>
  <c r="I111" i="177"/>
  <c r="I110" i="177"/>
  <c r="I109" i="177"/>
  <c r="I108" i="177"/>
  <c r="I107" i="177"/>
  <c r="I106" i="177"/>
  <c r="I105" i="177"/>
  <c r="I104" i="177"/>
  <c r="I103" i="177"/>
  <c r="I102" i="177"/>
  <c r="I101" i="177"/>
  <c r="I99" i="177"/>
  <c r="I98" i="177"/>
  <c r="I97" i="177"/>
  <c r="I96" i="177"/>
  <c r="I95" i="177"/>
  <c r="I94" i="177"/>
  <c r="I93" i="177"/>
  <c r="I92" i="177"/>
  <c r="I91" i="177"/>
  <c r="I90" i="177"/>
  <c r="I89" i="177"/>
  <c r="I88" i="177"/>
  <c r="I87" i="177"/>
  <c r="I86" i="177"/>
  <c r="I85" i="177"/>
  <c r="I84" i="177"/>
  <c r="I83" i="177"/>
  <c r="I82" i="177"/>
  <c r="I81" i="177"/>
  <c r="I80" i="177"/>
  <c r="I79" i="177"/>
  <c r="I78" i="177"/>
  <c r="I77" i="177"/>
  <c r="I76" i="177"/>
  <c r="I75" i="177"/>
  <c r="I74" i="177"/>
  <c r="I73" i="177"/>
  <c r="I72" i="177"/>
  <c r="I71" i="177"/>
  <c r="I70" i="177"/>
  <c r="I69" i="177"/>
  <c r="I68" i="177"/>
  <c r="I67" i="177"/>
  <c r="I66" i="177"/>
  <c r="I65" i="177"/>
  <c r="I64" i="177"/>
  <c r="I63" i="177"/>
  <c r="I62" i="177"/>
  <c r="I61" i="177"/>
  <c r="I60" i="177"/>
  <c r="I59" i="177"/>
  <c r="I58" i="177"/>
  <c r="I57" i="177"/>
  <c r="I56" i="177"/>
  <c r="I55" i="177"/>
  <c r="I54" i="177"/>
  <c r="I53" i="177"/>
  <c r="I52" i="177"/>
  <c r="I51" i="177"/>
  <c r="I50" i="177"/>
  <c r="I49" i="177"/>
  <c r="I48" i="177"/>
  <c r="I47" i="177"/>
  <c r="I46" i="177"/>
  <c r="I45" i="177"/>
  <c r="I44" i="177"/>
  <c r="I43" i="177"/>
  <c r="I42" i="177"/>
  <c r="I41" i="177"/>
  <c r="I40" i="177"/>
  <c r="I39" i="177"/>
  <c r="I38" i="177"/>
  <c r="I37" i="177"/>
  <c r="I36" i="177"/>
  <c r="I35" i="177"/>
  <c r="I34" i="177"/>
  <c r="I33" i="177"/>
  <c r="I32" i="177"/>
  <c r="I31" i="177"/>
  <c r="I30" i="177"/>
  <c r="I29" i="177"/>
  <c r="I28" i="177"/>
  <c r="I27" i="177"/>
  <c r="I26" i="177"/>
  <c r="I25" i="177"/>
  <c r="I24" i="177"/>
  <c r="I23" i="177"/>
  <c r="I22" i="177"/>
  <c r="I21" i="177"/>
  <c r="I20" i="177"/>
  <c r="I19" i="177"/>
  <c r="I18" i="177"/>
  <c r="I17" i="177"/>
  <c r="I16" i="177"/>
  <c r="I15" i="177"/>
  <c r="I14" i="177"/>
  <c r="I13" i="177"/>
  <c r="I12" i="177"/>
  <c r="I11" i="177"/>
  <c r="I10" i="177"/>
  <c r="I9" i="177"/>
  <c r="I8" i="177"/>
  <c r="I7" i="177"/>
  <c r="I6" i="177"/>
  <c r="I5" i="177"/>
  <c r="I4" i="177"/>
  <c r="I3" i="177"/>
  <c r="I2" i="177"/>
  <c r="I4" i="37"/>
  <c r="I3" i="37"/>
  <c r="I2" i="37"/>
  <c r="I5" i="37"/>
  <c r="B10" i="37" s="1"/>
  <c r="I31" i="131"/>
  <c r="I30" i="131"/>
  <c r="I29" i="131"/>
  <c r="I28" i="131"/>
  <c r="I27" i="131"/>
  <c r="I26" i="131"/>
  <c r="I25" i="131"/>
  <c r="I24" i="131"/>
  <c r="I23" i="131"/>
  <c r="I22" i="131"/>
  <c r="I21" i="131"/>
  <c r="I20" i="131"/>
  <c r="I19" i="131"/>
  <c r="I18" i="131"/>
  <c r="I17" i="131"/>
  <c r="I16" i="131"/>
  <c r="I15" i="131"/>
  <c r="I14" i="131"/>
  <c r="I13" i="131"/>
  <c r="I12" i="131"/>
  <c r="I11" i="131"/>
  <c r="I10" i="131"/>
  <c r="I9" i="131"/>
  <c r="I8" i="131"/>
  <c r="I7" i="131"/>
  <c r="I6" i="131"/>
  <c r="I5" i="131"/>
  <c r="I4" i="131"/>
  <c r="I3" i="131"/>
  <c r="I2" i="131"/>
  <c r="I130" i="177" l="1"/>
  <c r="B136" i="177" s="1"/>
  <c r="I111" i="156"/>
  <c r="B115" i="156" s="1"/>
  <c r="I32" i="131"/>
  <c r="B40" i="131" s="1"/>
  <c r="H2" i="190"/>
  <c r="H3" i="190"/>
  <c r="H4" i="190"/>
  <c r="H5" i="190"/>
  <c r="H6" i="190"/>
  <c r="H7" i="190"/>
  <c r="I57" i="94"/>
  <c r="I56" i="94"/>
  <c r="I55" i="94"/>
  <c r="I2" i="94"/>
  <c r="I3" i="94"/>
  <c r="I4" i="94"/>
  <c r="I5" i="94"/>
  <c r="I6" i="94"/>
  <c r="I7" i="94"/>
  <c r="I8" i="94"/>
  <c r="I9" i="94"/>
  <c r="I10" i="94"/>
  <c r="I11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24" i="94"/>
  <c r="I25" i="94"/>
  <c r="I26" i="94"/>
  <c r="I27" i="94"/>
  <c r="I28" i="94"/>
  <c r="I29" i="94"/>
  <c r="I30" i="94"/>
  <c r="I31" i="94"/>
  <c r="I32" i="94"/>
  <c r="I33" i="94"/>
  <c r="I34" i="94"/>
  <c r="I35" i="94"/>
  <c r="I36" i="94"/>
  <c r="I37" i="94"/>
  <c r="I38" i="94"/>
  <c r="I39" i="94"/>
  <c r="I40" i="94"/>
  <c r="I41" i="94"/>
  <c r="I42" i="94"/>
  <c r="I43" i="94"/>
  <c r="I44" i="94"/>
  <c r="I45" i="94"/>
  <c r="I46" i="94"/>
  <c r="I47" i="94"/>
  <c r="I48" i="94"/>
  <c r="I49" i="94"/>
  <c r="I50" i="94"/>
  <c r="I51" i="94"/>
  <c r="I52" i="94"/>
  <c r="I53" i="94"/>
  <c r="I54" i="94"/>
  <c r="H8" i="190" l="1"/>
  <c r="B12" i="190" s="1"/>
  <c r="I58" i="94"/>
  <c r="B64" i="94" s="1"/>
  <c r="F115" i="97"/>
  <c r="F9" i="103" l="1"/>
  <c r="F20" i="107" l="1"/>
</calcChain>
</file>

<file path=xl/sharedStrings.xml><?xml version="1.0" encoding="utf-8"?>
<sst xmlns="http://schemas.openxmlformats.org/spreadsheetml/2006/main" count="15412" uniqueCount="3375">
  <si>
    <t>Nomenclature</t>
  </si>
  <si>
    <t>Part Number</t>
  </si>
  <si>
    <t>FP41E</t>
  </si>
  <si>
    <t>Adapter, Socket Wrench, 1/2" Female to 3/8" Male</t>
  </si>
  <si>
    <t>Adapter, Socket Wrench, 1/4" Female to 3/8" Male</t>
  </si>
  <si>
    <t>Adapter, Socket Wrench, 3/8" Female to 1/2" Male</t>
  </si>
  <si>
    <t>Adapter, Socket Wrench, 3/8" Female to 1/4" Male</t>
  </si>
  <si>
    <t>FC72A</t>
  </si>
  <si>
    <t>Extension, 1/2" Drive, 20"</t>
  </si>
  <si>
    <t>Extension, 1/2" Drive, 5"</t>
  </si>
  <si>
    <t>Extension, 1/4" Drive, 4"</t>
  </si>
  <si>
    <t>Extension, 3/8" Drive, 3"</t>
  </si>
  <si>
    <t>Extension, 3/8" Drive, 6"</t>
  </si>
  <si>
    <t>Finger, Mechanical, Flexible, 22"</t>
  </si>
  <si>
    <t>Flashlight, Hands Free</t>
  </si>
  <si>
    <t>Handle, Socket Wrench, Speeder, 1/4" Drive</t>
  </si>
  <si>
    <t>Handle, Socket Wrench, Speeder, 3/8" Drive</t>
  </si>
  <si>
    <t>Key, Socket Head Screw, Hex, T Handle, 7/32"</t>
  </si>
  <si>
    <t>Pliers, Duckbill, 8"</t>
  </si>
  <si>
    <t>PPB612A</t>
  </si>
  <si>
    <t>Scriber, Machinist's, 8"</t>
  </si>
  <si>
    <t>FTX60E</t>
  </si>
  <si>
    <t>LDH542</t>
  </si>
  <si>
    <t>Socket, 1/2" Drive, 11/16", Spline #22</t>
  </si>
  <si>
    <t>Socket, 1/2" Drive, 15/16", Spline #30</t>
  </si>
  <si>
    <t>Socket, 1/2" Drive, 3/4", Spline #24</t>
  </si>
  <si>
    <t>Socket, 1/2" Drive, 5/8", Spline #20</t>
  </si>
  <si>
    <t>Socket, 1/2" Drive, 7/8", Spline #28</t>
  </si>
  <si>
    <t>Socket, 1/2" Drive, 9/16", Spline #18</t>
  </si>
  <si>
    <t>Socket, 1/4" Drive, 3/8", Spline #12</t>
  </si>
  <si>
    <t>Socket, 1/4" Drive, 5/16", Spline #10</t>
  </si>
  <si>
    <t>TM7</t>
  </si>
  <si>
    <t>Socket, 3/4" Drive, 1-11/16"</t>
  </si>
  <si>
    <t>Socket, 3/4" Drive, 1-3/4"</t>
  </si>
  <si>
    <t>Socket, 3/8" Drive, 1/2", Spline #16</t>
  </si>
  <si>
    <t>Socket, 3/8" Drive, 3/8", Spline #12</t>
  </si>
  <si>
    <t>Socket, 3/8" Drive, 7/16", Spline #14</t>
  </si>
  <si>
    <t>Universal Joint, 1/4" Drive</t>
  </si>
  <si>
    <t>TMU8B</t>
  </si>
  <si>
    <t>Universal Joint, 3/8" Drive</t>
  </si>
  <si>
    <t>RTB12</t>
  </si>
  <si>
    <t>RTB10</t>
  </si>
  <si>
    <t>RTB14</t>
  </si>
  <si>
    <t>GLA72A</t>
  </si>
  <si>
    <t>Adapter, Socket Wrench, 3/4" Female to 1/2" Male</t>
  </si>
  <si>
    <t>FCO16A</t>
  </si>
  <si>
    <t>AN850827B</t>
  </si>
  <si>
    <t>1395AS1527</t>
  </si>
  <si>
    <t>Handle, Socket Wrench, Comfort Knob, Speeder, 3/8" Drive</t>
  </si>
  <si>
    <t>Handle, Socket Wrench, Reversible, 3/4" Drive</t>
  </si>
  <si>
    <t>Handle, Socket Wrench, Speeder, 1/2" Drive</t>
  </si>
  <si>
    <t>CNDD108</t>
  </si>
  <si>
    <t>F31E</t>
  </si>
  <si>
    <t>FAB10E</t>
  </si>
  <si>
    <t>Socket, 3/4" Drive, 1", Spline #32</t>
  </si>
  <si>
    <t>Socket, 3/4" Drive, 1-1/16", Spline #34</t>
  </si>
  <si>
    <t>Socket, 3/4" Drive, 7/8", Spline #28</t>
  </si>
  <si>
    <t>Tool, Bolt Cocking</t>
  </si>
  <si>
    <t>1732AS410</t>
  </si>
  <si>
    <t>Wrench, Open End, 1/2" x 9/16"</t>
  </si>
  <si>
    <t>VO1618B</t>
  </si>
  <si>
    <t>Wrench, Open End, 4-Way Angle Head, 1/2"</t>
  </si>
  <si>
    <t>VS16B</t>
  </si>
  <si>
    <t>GMB3042</t>
  </si>
  <si>
    <t>F40B</t>
  </si>
  <si>
    <t>TM61A</t>
  </si>
  <si>
    <t>Magnifier, 10X, Illuminated</t>
  </si>
  <si>
    <t>HBSE10</t>
  </si>
  <si>
    <t>Screwdriver, Phillips, #1, 3"</t>
  </si>
  <si>
    <t>FABL6E</t>
  </si>
  <si>
    <t>TMA3.5E</t>
  </si>
  <si>
    <t>Socket, 3/8" Drive, 10 mm</t>
  </si>
  <si>
    <t>Socket, 3/8" Drive, 14 mm</t>
  </si>
  <si>
    <t>TMD6</t>
  </si>
  <si>
    <t>STMD6</t>
  </si>
  <si>
    <t>TMD7</t>
  </si>
  <si>
    <t>TMD8</t>
  </si>
  <si>
    <t>TMD10</t>
  </si>
  <si>
    <t>TMD12</t>
  </si>
  <si>
    <t>TMD18</t>
  </si>
  <si>
    <t>F201</t>
  </si>
  <si>
    <t>SF201</t>
  </si>
  <si>
    <t>F241</t>
  </si>
  <si>
    <t>Socket, 1/2" Drive, 1"</t>
  </si>
  <si>
    <t>FS321</t>
  </si>
  <si>
    <t>Socket, 1/2" Drive, 1-1/4"</t>
  </si>
  <si>
    <t>TW401</t>
  </si>
  <si>
    <t>TMA8E</t>
  </si>
  <si>
    <t>TMA6E</t>
  </si>
  <si>
    <t>FA10E</t>
  </si>
  <si>
    <t>TA3</t>
  </si>
  <si>
    <t>GFAT1E</t>
  </si>
  <si>
    <t>T72</t>
  </si>
  <si>
    <t>TL72</t>
  </si>
  <si>
    <t>F80</t>
  </si>
  <si>
    <t>TMCO14</t>
  </si>
  <si>
    <t>TMCO16</t>
  </si>
  <si>
    <t>TMCO18</t>
  </si>
  <si>
    <t>FCO20A</t>
  </si>
  <si>
    <t>FCO32A</t>
  </si>
  <si>
    <t>AN850816B</t>
  </si>
  <si>
    <t>Extension, 1/4" Drive, 6"</t>
  </si>
  <si>
    <t>YA338</t>
  </si>
  <si>
    <t>FRDH101</t>
  </si>
  <si>
    <t>STM10</t>
  </si>
  <si>
    <t>Holder, Screwdriver Bit, 1/4" Drive, 1/4"</t>
  </si>
  <si>
    <t>Adapter, Ratcheting, 1/2" Drive, 1/2"</t>
  </si>
  <si>
    <t>SCO48</t>
  </si>
  <si>
    <t>Extension, 1/4" Drive, 1-1/4"</t>
  </si>
  <si>
    <t>Extension, 1/4" Drive, 14"</t>
  </si>
  <si>
    <t>TMXK140</t>
  </si>
  <si>
    <t>Extension, 3/8" Drive, 8"</t>
  </si>
  <si>
    <t>HBFE16</t>
  </si>
  <si>
    <t>SW401</t>
  </si>
  <si>
    <t>SES261</t>
  </si>
  <si>
    <t>Tool, Cable Tie, 200-600 lb</t>
  </si>
  <si>
    <t>GS4MT</t>
  </si>
  <si>
    <t>XS1012A</t>
  </si>
  <si>
    <t>R1012C</t>
  </si>
  <si>
    <t>OEX32B</t>
  </si>
  <si>
    <t>OEX30B</t>
  </si>
  <si>
    <t>Wrench, Open End, 1-1/16" X 1-1/4"</t>
  </si>
  <si>
    <t>Wrench, Open End, 11/16" x 3/4"</t>
  </si>
  <si>
    <t>VO2224B</t>
  </si>
  <si>
    <t>Wrench, Open End, 1-1/4" X 1-5/16"</t>
  </si>
  <si>
    <t>Wrench, Open End, 3/4" X 13/16"</t>
  </si>
  <si>
    <t>Wrench, Open End, 4-Way Angle Head, 1"</t>
  </si>
  <si>
    <t>VS32B</t>
  </si>
  <si>
    <t>Wrench, Open End, 4-Way Angle Head, 11/16"</t>
  </si>
  <si>
    <t>VS22B</t>
  </si>
  <si>
    <t>Wrench, Open End, 4-Way Angle Head, 1-1/4"</t>
  </si>
  <si>
    <t>VS40B</t>
  </si>
  <si>
    <t>Wrench, Open End, 4-Way Angle Head, 1-1/8"</t>
  </si>
  <si>
    <t>VS36B</t>
  </si>
  <si>
    <t>Wrench, Open End, 4-Way Angle Head, 3/4"</t>
  </si>
  <si>
    <t>VS24B</t>
  </si>
  <si>
    <t>Wrench, Open End, 4-Way Angle Head, 7/8"</t>
  </si>
  <si>
    <t>VS28B</t>
  </si>
  <si>
    <t>Wrench, Open End, 4-Way Angle Head, 9/16"</t>
  </si>
  <si>
    <t>VS18B</t>
  </si>
  <si>
    <t>LTA2022</t>
  </si>
  <si>
    <t>Valve Tool Deflator, High Pressure</t>
  </si>
  <si>
    <t>Adapter, Gun Spline External</t>
  </si>
  <si>
    <t>Adapter, Gun Spline Internal</t>
  </si>
  <si>
    <t>Boss, Alignment – Fixed</t>
  </si>
  <si>
    <t>Boss, Alignment – Floating</t>
  </si>
  <si>
    <t>Pin, Cocking</t>
  </si>
  <si>
    <t>Pin, Safing</t>
  </si>
  <si>
    <t>Puller, Muzzle Clamp</t>
  </si>
  <si>
    <t>CG250HL</t>
  </si>
  <si>
    <t>Tool – Lock, Rotor</t>
  </si>
  <si>
    <t>Tool, Positioning - Arming Fire Lever</t>
  </si>
  <si>
    <t>Tool, Positioning – Fire Lever</t>
  </si>
  <si>
    <t>Tool, Projectile Detector</t>
  </si>
  <si>
    <t>GFA6E</t>
  </si>
  <si>
    <t>Craftool, MD/LG Pointed Spoon</t>
  </si>
  <si>
    <t>Craftool, Point/Stylus</t>
  </si>
  <si>
    <t>Opener, Paint Can</t>
  </si>
  <si>
    <t>Roller, Rubber, 2"</t>
  </si>
  <si>
    <t>Tool, Air Release</t>
  </si>
  <si>
    <t>Tool, Modeling, Spoon &amp; Stylus</t>
  </si>
  <si>
    <t>Tool, Removal, Gap Filler</t>
  </si>
  <si>
    <t>Ripper, Seam</t>
  </si>
  <si>
    <t>SCS-1</t>
  </si>
  <si>
    <t>SGDTX320BR</t>
  </si>
  <si>
    <t>Tape, Measuring, Fabric</t>
  </si>
  <si>
    <t>SHD6R</t>
  </si>
  <si>
    <t>Wrench, Combination, 1-1/8"</t>
  </si>
  <si>
    <t>OEX711B</t>
  </si>
  <si>
    <t>211FCOA</t>
  </si>
  <si>
    <t>F121</t>
  </si>
  <si>
    <t>FXK6</t>
  </si>
  <si>
    <t>FABL10E</t>
  </si>
  <si>
    <t>FN100</t>
  </si>
  <si>
    <t>YA145-2</t>
  </si>
  <si>
    <t>Block, Gage, .050</t>
  </si>
  <si>
    <t>DBTBC121</t>
  </si>
  <si>
    <t>Extractor, Screw, Fulcrum Bar</t>
  </si>
  <si>
    <t>Extractor, Screw, Tapered, 5/32" to 7/32"</t>
  </si>
  <si>
    <t>Gage, Countersink, Adjustable</t>
  </si>
  <si>
    <t>Pliers, Needle Nose with Side Cut, 6-1/2"</t>
  </si>
  <si>
    <t>Positioner, Pull, 6"</t>
  </si>
  <si>
    <t>VS48B</t>
  </si>
  <si>
    <t>Wrench, Open End, 4-Way Angle Head, 13/16"</t>
  </si>
  <si>
    <t>VS26B</t>
  </si>
  <si>
    <t>Wrench, Open End, 4-Way Angle Head, 5/8"</t>
  </si>
  <si>
    <t>VS20B</t>
  </si>
  <si>
    <t>Bit, Router, Diamond Coated, 1/2"</t>
  </si>
  <si>
    <t>Bit, Router, Diamond Coated, 1/4"</t>
  </si>
  <si>
    <t>Bit, Router, Diamond Coated, 3/8"</t>
  </si>
  <si>
    <t>Clamp, Bar Spreader, 6"</t>
  </si>
  <si>
    <t>Cutter, Depth Controlled (3 Pieces with case)</t>
  </si>
  <si>
    <t>Protractor, Steel Square Head, 6"</t>
  </si>
  <si>
    <t>Rod, Dasher</t>
  </si>
  <si>
    <t>Gun, Dispensing, Manual</t>
  </si>
  <si>
    <t>Bag, Tool</t>
  </si>
  <si>
    <t>Handle, Socket Wrench, Hinged, 3/4" Drive, 22"</t>
  </si>
  <si>
    <t>Key Set, Socket Head Screw, Hex, 9 Self-Contained</t>
  </si>
  <si>
    <t>Pliers, Multiple Tongue and Groove, 7"</t>
  </si>
  <si>
    <t>OEX22B</t>
  </si>
  <si>
    <t>Wrench, Paddle Gage, Eddie Nut Removal, 1/4"</t>
  </si>
  <si>
    <t>Wrench, Paddle Gage, Eddie Nut Removal, 3/16"</t>
  </si>
  <si>
    <t>Adapter, Socket Wrench, 1/2" Female to 3/4" Male</t>
  </si>
  <si>
    <t>FCO26A</t>
  </si>
  <si>
    <t>AN850811B</t>
  </si>
  <si>
    <t>Extension, 1/4" Drive, 11"</t>
  </si>
  <si>
    <t>TMXK110</t>
  </si>
  <si>
    <t>Extension, 1/4" Drive, 8"</t>
  </si>
  <si>
    <t>TMXK80</t>
  </si>
  <si>
    <t>Extension, 3/8" Drive, 11"</t>
  </si>
  <si>
    <t>FXK11</t>
  </si>
  <si>
    <t>Extension, 3/8" Drive, 18"</t>
  </si>
  <si>
    <t>FX18</t>
  </si>
  <si>
    <t>Handle, Spline Lok Key</t>
  </si>
  <si>
    <t>Key, Spline Lok, 2-1/2"</t>
  </si>
  <si>
    <t>FTX40E</t>
  </si>
  <si>
    <t>TW241</t>
  </si>
  <si>
    <t>S481</t>
  </si>
  <si>
    <t>XSO1214A</t>
  </si>
  <si>
    <t>XB2022A</t>
  </si>
  <si>
    <t>XB1820A</t>
  </si>
  <si>
    <t>VO4852B</t>
  </si>
  <si>
    <t>Wrench, Open End, 1-1/8" x 1-3/16"</t>
  </si>
  <si>
    <t>FRDH181</t>
  </si>
  <si>
    <t>Wrench, Paddle Gage, Eddie Nut Removal, 3/8"</t>
  </si>
  <si>
    <t>Wrench, Paddle Gage, Eddie Nut Removal, 5/32"</t>
  </si>
  <si>
    <t>Inspection Tool, Eddie Bolt, Grip Gage</t>
  </si>
  <si>
    <t>Inspection Tool, Eddie Bolt, Pin Protrusion</t>
  </si>
  <si>
    <t>Inspection Tool, Eddie Bolt, Thimble, .22"</t>
  </si>
  <si>
    <t>Inspection Tool, Eddie Bolt, Thimble, .25"</t>
  </si>
  <si>
    <t>Inspection Tool, Eddie Bolt, Thimble, .33"</t>
  </si>
  <si>
    <t>Key, Eddie Bolt, Spline Lock, 1.04"</t>
  </si>
  <si>
    <t>Key, Eddie Bolt, Spline Lock, 1.07"</t>
  </si>
  <si>
    <t>Key, Eddie Bolt, Spline Lock, 1.23"</t>
  </si>
  <si>
    <t>Wrench, Eddie Bolt, Off Set, Ratcheting, -5</t>
  </si>
  <si>
    <t>Wrench, Eddie Bolt, Off Set, Ratcheting, -6</t>
  </si>
  <si>
    <t>Wrench, Eddie Bolt, Ratcheting, -5</t>
  </si>
  <si>
    <t>Wrench, Eddie Bolt, Ratcheting, -6</t>
  </si>
  <si>
    <t>Wrench, Eddie Bolt, Ratcheting, -8</t>
  </si>
  <si>
    <t>SHD8R</t>
  </si>
  <si>
    <t>LES323</t>
  </si>
  <si>
    <t>TTX20E</t>
  </si>
  <si>
    <t>TMP22E</t>
  </si>
  <si>
    <t>F12LA</t>
  </si>
  <si>
    <t>SES181</t>
  </si>
  <si>
    <t>FU8A</t>
  </si>
  <si>
    <t>SGDMRC1A</t>
  </si>
  <si>
    <t>OSH26B</t>
  </si>
  <si>
    <t>SW341</t>
  </si>
  <si>
    <t>FM10</t>
  </si>
  <si>
    <t>FM14</t>
  </si>
  <si>
    <t>FC40A</t>
  </si>
  <si>
    <t>F4LBK</t>
  </si>
  <si>
    <t>R1214C</t>
  </si>
  <si>
    <t>R1618C</t>
  </si>
  <si>
    <t>R810C</t>
  </si>
  <si>
    <t>SX20</t>
  </si>
  <si>
    <t>F261</t>
  </si>
  <si>
    <t>BP8B</t>
  </si>
  <si>
    <t>Socket Wrench Attachment, 1/4" Drive, Phillips #2</t>
  </si>
  <si>
    <t>GLA12B</t>
  </si>
  <si>
    <t>QDRIVER1P</t>
  </si>
  <si>
    <t>FC48A</t>
  </si>
  <si>
    <t>SDM2716D</t>
  </si>
  <si>
    <t>SDM2708D</t>
  </si>
  <si>
    <t>SDM2712D</t>
  </si>
  <si>
    <t>SDM2706D</t>
  </si>
  <si>
    <t>SDM2710D</t>
  </si>
  <si>
    <t>SDM2705D</t>
  </si>
  <si>
    <t>SDM2714D</t>
  </si>
  <si>
    <t>SDM2707D</t>
  </si>
  <si>
    <t>SDM2709D</t>
  </si>
  <si>
    <t>FTX50E</t>
  </si>
  <si>
    <t>FTX55E</t>
  </si>
  <si>
    <t>PWC52A</t>
  </si>
  <si>
    <t>FC36A</t>
  </si>
  <si>
    <t>FC44A</t>
  </si>
  <si>
    <t>TMXWK4</t>
  </si>
  <si>
    <t>FXK3</t>
  </si>
  <si>
    <t>SXK11</t>
  </si>
  <si>
    <t>FB335</t>
  </si>
  <si>
    <t>FBL325A</t>
  </si>
  <si>
    <t>UIM225</t>
  </si>
  <si>
    <t>SDM221C</t>
  </si>
  <si>
    <t>SDM222ZB</t>
  </si>
  <si>
    <t>SDM223C</t>
  </si>
  <si>
    <t>WTR1A</t>
  </si>
  <si>
    <t>YA339</t>
  </si>
  <si>
    <t>PRH57A</t>
  </si>
  <si>
    <t>TES14</t>
  </si>
  <si>
    <t>SES221</t>
  </si>
  <si>
    <t>SW161A</t>
  </si>
  <si>
    <t>SW321</t>
  </si>
  <si>
    <t>SW221</t>
  </si>
  <si>
    <t>SW361</t>
  </si>
  <si>
    <t>SW261</t>
  </si>
  <si>
    <t>SW441</t>
  </si>
  <si>
    <t>SES301</t>
  </si>
  <si>
    <t>SW421</t>
  </si>
  <si>
    <t>SW241</t>
  </si>
  <si>
    <t>SES241</t>
  </si>
  <si>
    <t>SW201</t>
  </si>
  <si>
    <t>SES281</t>
  </si>
  <si>
    <t>SW181A</t>
  </si>
  <si>
    <t>STMD8</t>
  </si>
  <si>
    <t>STMD10</t>
  </si>
  <si>
    <t>TMD14</t>
  </si>
  <si>
    <t>STMD7</t>
  </si>
  <si>
    <t>F321</t>
  </si>
  <si>
    <t>F301</t>
  </si>
  <si>
    <t>SF241</t>
  </si>
  <si>
    <t>SF141</t>
  </si>
  <si>
    <t>F281</t>
  </si>
  <si>
    <t>SF281</t>
  </si>
  <si>
    <t>F181</t>
  </si>
  <si>
    <t>SF181</t>
  </si>
  <si>
    <t>F161</t>
  </si>
  <si>
    <t>F221</t>
  </si>
  <si>
    <t>OEX160B</t>
  </si>
  <si>
    <t>OEX080B</t>
  </si>
  <si>
    <t>OEX120B</t>
  </si>
  <si>
    <t>OEX100B</t>
  </si>
  <si>
    <t>OEX34B</t>
  </si>
  <si>
    <t>OEX36B</t>
  </si>
  <si>
    <t>OEX8B</t>
  </si>
  <si>
    <t>OEX26B</t>
  </si>
  <si>
    <t>OEX24B</t>
  </si>
  <si>
    <t>OEX12B</t>
  </si>
  <si>
    <t>OEX14B</t>
  </si>
  <si>
    <t>OEX28B</t>
  </si>
  <si>
    <t>OEX20B</t>
  </si>
  <si>
    <t>AN85088B</t>
  </si>
  <si>
    <t>AN850813B</t>
  </si>
  <si>
    <t>AN850812B</t>
  </si>
  <si>
    <t>AN85086B</t>
  </si>
  <si>
    <t>AN850814B</t>
  </si>
  <si>
    <t>AN85089B</t>
  </si>
  <si>
    <t>RTB8</t>
  </si>
  <si>
    <t>Adapter, Socket Wrench, 3/4" Female to 1" Male</t>
  </si>
  <si>
    <t>Socket, 1/4" Drive, 5/16", 6 Point</t>
  </si>
  <si>
    <t>STMD14</t>
  </si>
  <si>
    <t>Wrench, Combination, Ratcheting, 1-1/16", Spline #34</t>
  </si>
  <si>
    <t>OXI5SB</t>
  </si>
  <si>
    <t>Wrench, Open End, 1 5/8"X1 1/2"</t>
  </si>
  <si>
    <t>VS38B</t>
  </si>
  <si>
    <t>Wrench, Open End, 4-Way Angle Head, 15/16"</t>
  </si>
  <si>
    <t>VS30B</t>
  </si>
  <si>
    <t>OXI6B</t>
  </si>
  <si>
    <t>OXI7B</t>
  </si>
  <si>
    <t>OXI8B</t>
  </si>
  <si>
    <t>OXI9B</t>
  </si>
  <si>
    <t>OXI10B</t>
  </si>
  <si>
    <t>OXI11B</t>
  </si>
  <si>
    <t>OXI12B</t>
  </si>
  <si>
    <t>OXI14B</t>
  </si>
  <si>
    <t>OXI16B</t>
  </si>
  <si>
    <t>OXI18B</t>
  </si>
  <si>
    <t>OEX10B</t>
  </si>
  <si>
    <t>OEX11B</t>
  </si>
  <si>
    <t>OEX16B</t>
  </si>
  <si>
    <t>OEX18B</t>
  </si>
  <si>
    <t>OEX38B</t>
  </si>
  <si>
    <t>OEX40B</t>
  </si>
  <si>
    <t>OEX42B</t>
  </si>
  <si>
    <t>OEX44B</t>
  </si>
  <si>
    <t>OEX46B</t>
  </si>
  <si>
    <t>OEX48B</t>
  </si>
  <si>
    <t>RTB16</t>
  </si>
  <si>
    <t>RTB18</t>
  </si>
  <si>
    <t>R2022C</t>
  </si>
  <si>
    <t>GTMX2</t>
  </si>
  <si>
    <t>GTMX60</t>
  </si>
  <si>
    <t>GFXK3</t>
  </si>
  <si>
    <t>GFXK6</t>
  </si>
  <si>
    <t>GFXK11</t>
  </si>
  <si>
    <t>SXK5</t>
  </si>
  <si>
    <t>SX36</t>
  </si>
  <si>
    <t>S8</t>
  </si>
  <si>
    <t>GTA3</t>
  </si>
  <si>
    <t>GAF2A</t>
  </si>
  <si>
    <t>TMS4E</t>
  </si>
  <si>
    <t>S4</t>
  </si>
  <si>
    <t>F10LC</t>
  </si>
  <si>
    <t>SN18B</t>
  </si>
  <si>
    <t>11-04432</t>
  </si>
  <si>
    <t>Pliers, Needle Nose, 6"</t>
  </si>
  <si>
    <t>BPN16B</t>
  </si>
  <si>
    <t>SHDP22IRR</t>
  </si>
  <si>
    <t>FC52A</t>
  </si>
  <si>
    <t>THLF72</t>
  </si>
  <si>
    <t>LES343</t>
  </si>
  <si>
    <t>SGD4BR</t>
  </si>
  <si>
    <t>Socket, Universal, 1/4" Drive, 1/4"</t>
  </si>
  <si>
    <t>Socket, Universal, 1/4" Drive, 3/8"</t>
  </si>
  <si>
    <t>Socket, Universal, 1/4" Drive, 5/16"</t>
  </si>
  <si>
    <t>Socket, Universal, 1/4" Drive, 7/16"</t>
  </si>
  <si>
    <t>TMU101A</t>
  </si>
  <si>
    <t>TMU121A</t>
  </si>
  <si>
    <t>TMU141A</t>
  </si>
  <si>
    <t>SCO58</t>
  </si>
  <si>
    <t>SCO42</t>
  </si>
  <si>
    <t>SCO64</t>
  </si>
  <si>
    <t>CP9</t>
  </si>
  <si>
    <t>FCO14A</t>
  </si>
  <si>
    <t>F141</t>
  </si>
  <si>
    <t>TTX15E</t>
  </si>
  <si>
    <t>FTX30E</t>
  </si>
  <si>
    <t>AWCG1614B</t>
  </si>
  <si>
    <t>Wrench, Eddie Bolt, Off Set, Ratcheting, -8</t>
  </si>
  <si>
    <t>SRT10S25BB</t>
  </si>
  <si>
    <t>Screwdriver, Phillips, #2, 8"</t>
  </si>
  <si>
    <t>SGDP82BR</t>
  </si>
  <si>
    <t>Quantity</t>
  </si>
  <si>
    <t>FCO12A</t>
  </si>
  <si>
    <t>FCO18A</t>
  </si>
  <si>
    <t>FCO22A</t>
  </si>
  <si>
    <t>FCO24A</t>
  </si>
  <si>
    <t>FCO28A</t>
  </si>
  <si>
    <t>FCO30A</t>
  </si>
  <si>
    <t>FC34B</t>
  </si>
  <si>
    <t>FC38A</t>
  </si>
  <si>
    <t>FC42A</t>
  </si>
  <si>
    <t>FC46A</t>
  </si>
  <si>
    <t>FC50A</t>
  </si>
  <si>
    <t>FC54A</t>
  </si>
  <si>
    <t>FC56A</t>
  </si>
  <si>
    <t>FC58A</t>
  </si>
  <si>
    <t>FC60A</t>
  </si>
  <si>
    <t>FC62A</t>
  </si>
  <si>
    <t>FC64A</t>
  </si>
  <si>
    <t>FC80A</t>
  </si>
  <si>
    <t>AN85087B</t>
  </si>
  <si>
    <t>AN850810B</t>
  </si>
  <si>
    <t>AN850815B</t>
  </si>
  <si>
    <t>TMD9</t>
  </si>
  <si>
    <t>TMD11</t>
  </si>
  <si>
    <t>TMD16</t>
  </si>
  <si>
    <t>SW381</t>
  </si>
  <si>
    <t>STMD16</t>
  </si>
  <si>
    <t>STMD9</t>
  </si>
  <si>
    <t>STMD11</t>
  </si>
  <si>
    <t>STMD12</t>
  </si>
  <si>
    <t>SF321</t>
  </si>
  <si>
    <t>SF221</t>
  </si>
  <si>
    <t>SF261</t>
  </si>
  <si>
    <t>SF301</t>
  </si>
  <si>
    <t>S341</t>
  </si>
  <si>
    <t>S361</t>
  </si>
  <si>
    <t>S381</t>
  </si>
  <si>
    <t>S401</t>
  </si>
  <si>
    <t>UIM125</t>
  </si>
  <si>
    <t>5130-01-387-0272</t>
  </si>
  <si>
    <t>5130-01-251-4798</t>
  </si>
  <si>
    <t>5130-01-387-0263</t>
  </si>
  <si>
    <t>SHDP63IRR</t>
  </si>
  <si>
    <t>SGDP101BR</t>
  </si>
  <si>
    <t>SHD1R</t>
  </si>
  <si>
    <t>GCP10</t>
  </si>
  <si>
    <t>SRES34</t>
  </si>
  <si>
    <t>Pliers, Diagonal Cut, 5"</t>
  </si>
  <si>
    <t>Tool, Removal, Mask Oxygen Line</t>
  </si>
  <si>
    <t>LMF357</t>
  </si>
  <si>
    <t>SF121</t>
  </si>
  <si>
    <t>Tool Box</t>
  </si>
  <si>
    <t xml:space="preserve">Tool Box </t>
  </si>
  <si>
    <t>GSAF1F</t>
  </si>
  <si>
    <t>A2A</t>
  </si>
  <si>
    <t>TMRX10</t>
  </si>
  <si>
    <t>TMXK2</t>
  </si>
  <si>
    <t>TMXK4</t>
  </si>
  <si>
    <t>FX1</t>
  </si>
  <si>
    <t>YA837A</t>
  </si>
  <si>
    <t>PCD2610</t>
  </si>
  <si>
    <t>HBBD16</t>
  </si>
  <si>
    <t>SN15B</t>
  </si>
  <si>
    <t>S80A</t>
  </si>
  <si>
    <t>F4LB</t>
  </si>
  <si>
    <t>GAW1914</t>
  </si>
  <si>
    <t>SET309N2STE</t>
  </si>
  <si>
    <t>JHWPL76C</t>
  </si>
  <si>
    <t>LST51348</t>
  </si>
  <si>
    <t>SHD4R</t>
  </si>
  <si>
    <t>SHDP22IRO</t>
  </si>
  <si>
    <t>SHDP82O</t>
  </si>
  <si>
    <t>TMA3E</t>
  </si>
  <si>
    <t>TMA5E</t>
  </si>
  <si>
    <t>TMA7E</t>
  </si>
  <si>
    <t>S441</t>
  </si>
  <si>
    <t>SES201</t>
  </si>
  <si>
    <t>SW281</t>
  </si>
  <si>
    <t>IMD542</t>
  </si>
  <si>
    <t>IMD562</t>
  </si>
  <si>
    <t>F081</t>
  </si>
  <si>
    <t>F101</t>
  </si>
  <si>
    <t>PRH57A-1</t>
  </si>
  <si>
    <t>OXI7SB</t>
  </si>
  <si>
    <t>OEXL32B</t>
  </si>
  <si>
    <t>OEX110B</t>
  </si>
  <si>
    <t>OEXR20</t>
  </si>
  <si>
    <t>OEXR18</t>
  </si>
  <si>
    <t>OEXR10</t>
  </si>
  <si>
    <t>OEXR16</t>
  </si>
  <si>
    <t>OEXR22</t>
  </si>
  <si>
    <t>OEXR12</t>
  </si>
  <si>
    <t>OEXR14</t>
  </si>
  <si>
    <t>AW3D</t>
  </si>
  <si>
    <t>IM124B</t>
  </si>
  <si>
    <t>IM72</t>
  </si>
  <si>
    <t>AN850819B</t>
  </si>
  <si>
    <t>TMXK60</t>
  </si>
  <si>
    <t>AWL1010DK</t>
  </si>
  <si>
    <t>AW4-1/2D</t>
  </si>
  <si>
    <t>BF620C</t>
  </si>
  <si>
    <t>PPR2</t>
  </si>
  <si>
    <t>PPR4</t>
  </si>
  <si>
    <t>WT11B</t>
  </si>
  <si>
    <t>SGD6BO</t>
  </si>
  <si>
    <t>JHWX-1254</t>
  </si>
  <si>
    <t>F25E</t>
  </si>
  <si>
    <t>TMA4.5E</t>
  </si>
  <si>
    <t>FA12LE</t>
  </si>
  <si>
    <t>LES483</t>
  </si>
  <si>
    <t>LES383</t>
  </si>
  <si>
    <t>SW301</t>
  </si>
  <si>
    <t>LES342NP</t>
  </si>
  <si>
    <t>LES282NP</t>
  </si>
  <si>
    <t>MCI07119167</t>
  </si>
  <si>
    <t>RXFS1618B</t>
  </si>
  <si>
    <t>RXFS2022B</t>
  </si>
  <si>
    <t>AWL10D</t>
  </si>
  <si>
    <t>APS351B</t>
  </si>
  <si>
    <t>TMAB5E</t>
  </si>
  <si>
    <t>TM4CSA</t>
  </si>
  <si>
    <t>CNDD112</t>
  </si>
  <si>
    <t>SRPC7090</t>
  </si>
  <si>
    <t>RYA810</t>
  </si>
  <si>
    <t>SGDP31IRBO</t>
  </si>
  <si>
    <t>TMA2E</t>
  </si>
  <si>
    <t>TMAB6E</t>
  </si>
  <si>
    <t>TMAB4E</t>
  </si>
  <si>
    <t>TMA2.5E</t>
  </si>
  <si>
    <t>TTX10E</t>
  </si>
  <si>
    <t>FABL4E</t>
  </si>
  <si>
    <t>FABL7E</t>
  </si>
  <si>
    <t>OEX200B</t>
  </si>
  <si>
    <t>OSH12B</t>
  </si>
  <si>
    <t>OEX140B</t>
  </si>
  <si>
    <t>AW2D</t>
  </si>
  <si>
    <t>ATIT10A1</t>
  </si>
  <si>
    <t>SSDE63C</t>
  </si>
  <si>
    <t>SDD204O</t>
  </si>
  <si>
    <t>SHDP31IRR</t>
  </si>
  <si>
    <t>SHDP62IRR</t>
  </si>
  <si>
    <t>S77A</t>
  </si>
  <si>
    <t>TMRX12</t>
  </si>
  <si>
    <t>FRH320S</t>
  </si>
  <si>
    <t>FRH220S</t>
  </si>
  <si>
    <t>FRH280S</t>
  </si>
  <si>
    <t>FRH180S</t>
  </si>
  <si>
    <t>TMX1</t>
  </si>
  <si>
    <t>FXK8</t>
  </si>
  <si>
    <t>LST51344</t>
  </si>
  <si>
    <t>SGD8BO</t>
  </si>
  <si>
    <t>TMUS101A</t>
  </si>
  <si>
    <t>VO3440B</t>
  </si>
  <si>
    <t>VO4042B</t>
  </si>
  <si>
    <t>VO3638B</t>
  </si>
  <si>
    <t>VO2426B</t>
  </si>
  <si>
    <t>JHWP-40</t>
  </si>
  <si>
    <t>PPC905B</t>
  </si>
  <si>
    <t>PPC108A</t>
  </si>
  <si>
    <t>PPC104A</t>
  </si>
  <si>
    <t>PPC106A</t>
  </si>
  <si>
    <t>PPC103A</t>
  </si>
  <si>
    <t>PPC105A</t>
  </si>
  <si>
    <t>PPR8</t>
  </si>
  <si>
    <t>ATISK3614</t>
  </si>
  <si>
    <t>JHWC-16</t>
  </si>
  <si>
    <t>HBFE24</t>
  </si>
  <si>
    <t>SET306N2STE</t>
  </si>
  <si>
    <t>SHDP42IRR</t>
  </si>
  <si>
    <t>SHD2R</t>
  </si>
  <si>
    <t>SCO60</t>
  </si>
  <si>
    <t>PPC4A</t>
  </si>
  <si>
    <t>TM12</t>
  </si>
  <si>
    <t>2SJJ04036-01</t>
  </si>
  <si>
    <t>SPBS24R</t>
  </si>
  <si>
    <t>2SJJ04025-01</t>
  </si>
  <si>
    <t>2SJJ04026-01</t>
  </si>
  <si>
    <t>2SJJ04027-01</t>
  </si>
  <si>
    <t>PPB1226A</t>
  </si>
  <si>
    <t>2SJJ04313-01</t>
  </si>
  <si>
    <t>2SJJ04314-01</t>
  </si>
  <si>
    <t>2SJJ04035-02</t>
  </si>
  <si>
    <t>2SJJ04034-01</t>
  </si>
  <si>
    <t>MCI93640167</t>
  </si>
  <si>
    <t>MCI93640225</t>
  </si>
  <si>
    <t>AKUKUT1</t>
  </si>
  <si>
    <t>LST50314</t>
  </si>
  <si>
    <t>CCP-7900101</t>
  </si>
  <si>
    <t>MCI84970094</t>
  </si>
  <si>
    <t>LST50672</t>
  </si>
  <si>
    <t>388RODSHR</t>
  </si>
  <si>
    <t>MCI89398069</t>
  </si>
  <si>
    <t>SCS-2</t>
  </si>
  <si>
    <t>MCI93640134</t>
  </si>
  <si>
    <t>PW10C</t>
  </si>
  <si>
    <t>FA8E</t>
  </si>
  <si>
    <t>FA7E</t>
  </si>
  <si>
    <t>FA4.5E</t>
  </si>
  <si>
    <t>FTX20E</t>
  </si>
  <si>
    <t>AW050D</t>
  </si>
  <si>
    <t>MCI43476944</t>
  </si>
  <si>
    <t>MCI43461755</t>
  </si>
  <si>
    <t>LST52680</t>
  </si>
  <si>
    <t>GLASS9BK</t>
  </si>
  <si>
    <t>OEX300B</t>
  </si>
  <si>
    <t>LST51375</t>
  </si>
  <si>
    <t>MCI79405304</t>
  </si>
  <si>
    <t>SDM211B</t>
  </si>
  <si>
    <t>YA337A</t>
  </si>
  <si>
    <t>WWG19C727</t>
  </si>
  <si>
    <t>B02165</t>
  </si>
  <si>
    <t>B02175</t>
  </si>
  <si>
    <t>B02150</t>
  </si>
  <si>
    <t>B02190</t>
  </si>
  <si>
    <t>B02205</t>
  </si>
  <si>
    <t>DBTBC1/8</t>
  </si>
  <si>
    <t>DBTBC3/8</t>
  </si>
  <si>
    <t>EXD10</t>
  </si>
  <si>
    <t>HBPT16</t>
  </si>
  <si>
    <t>MCI84970086</t>
  </si>
  <si>
    <t>AIR59</t>
  </si>
  <si>
    <t>MCI40124950</t>
  </si>
  <si>
    <t>AIR401C</t>
  </si>
  <si>
    <t>LST51349</t>
  </si>
  <si>
    <t>LST51509</t>
  </si>
  <si>
    <t>LST56368</t>
  </si>
  <si>
    <t>VGP22412</t>
  </si>
  <si>
    <t>ATI540-7</t>
  </si>
  <si>
    <t>EX2</t>
  </si>
  <si>
    <t>EX3</t>
  </si>
  <si>
    <t>EX4</t>
  </si>
  <si>
    <t>Extractor, Screw, Tapered, 7/32" to 9/32"</t>
  </si>
  <si>
    <t>Extractor, Screw, Tapered, 9/32" to 3/8"</t>
  </si>
  <si>
    <t>AWEF9K</t>
  </si>
  <si>
    <t>AWP65</t>
  </si>
  <si>
    <t>PPR2-1/2</t>
  </si>
  <si>
    <t>PPR3</t>
  </si>
  <si>
    <t>PPR5</t>
  </si>
  <si>
    <t>PPR6</t>
  </si>
  <si>
    <t>PPR7</t>
  </si>
  <si>
    <t>PPR16</t>
  </si>
  <si>
    <t>LDH602</t>
  </si>
  <si>
    <t>LTA2426</t>
  </si>
  <si>
    <t>PPB1012A</t>
  </si>
  <si>
    <t>VO3032B</t>
  </si>
  <si>
    <t>VO1416B</t>
  </si>
  <si>
    <t>VO1820B</t>
  </si>
  <si>
    <t>FA8LE</t>
  </si>
  <si>
    <t>FAN8508-18</t>
  </si>
  <si>
    <t>FAN8508-5</t>
  </si>
  <si>
    <t>SF161</t>
  </si>
  <si>
    <t>JHW3562</t>
  </si>
  <si>
    <t>E713BCG</t>
  </si>
  <si>
    <t>SGDP42IRBR</t>
  </si>
  <si>
    <t>TMU81B</t>
  </si>
  <si>
    <t>TMDS11</t>
  </si>
  <si>
    <t>SGCP1BO</t>
  </si>
  <si>
    <t>SCO80</t>
  </si>
  <si>
    <t>SCO72</t>
  </si>
  <si>
    <t>FRH140S</t>
  </si>
  <si>
    <t>AW1013DK</t>
  </si>
  <si>
    <t>SDDP204BO</t>
  </si>
  <si>
    <t>TM10</t>
  </si>
  <si>
    <t>LDH562</t>
  </si>
  <si>
    <t>FU14B</t>
  </si>
  <si>
    <t>TM05</t>
  </si>
  <si>
    <t>XDES2630A</t>
  </si>
  <si>
    <t>XDES2224A</t>
  </si>
  <si>
    <t>OEX180B</t>
  </si>
  <si>
    <t>GSRDH36-4CL</t>
  </si>
  <si>
    <t>GTMXK110</t>
  </si>
  <si>
    <t>AWP120</t>
  </si>
  <si>
    <t>GA353B</t>
  </si>
  <si>
    <t>BP16B</t>
  </si>
  <si>
    <t>FRDH121</t>
  </si>
  <si>
    <t>FRDH141</t>
  </si>
  <si>
    <t>ATI590RGK-4X</t>
  </si>
  <si>
    <t>WAVEBRT100-8</t>
  </si>
  <si>
    <t>WAVEBRT100-6</t>
  </si>
  <si>
    <t>WAVEBRT100-5</t>
  </si>
  <si>
    <t>WAVEB2G1400</t>
  </si>
  <si>
    <t>WAVEB2G1309</t>
  </si>
  <si>
    <t>WAVEB2G10005</t>
  </si>
  <si>
    <t>WAVEB2G10008</t>
  </si>
  <si>
    <t>WAVEB2G10012</t>
  </si>
  <si>
    <t>WAVSPK650-52</t>
  </si>
  <si>
    <t>WAVSPK650-62</t>
  </si>
  <si>
    <t>WAVSPK650-82</t>
  </si>
  <si>
    <t>WAVEB2T50006</t>
  </si>
  <si>
    <t>WAVEB2T50008</t>
  </si>
  <si>
    <t>WAVEB2T52005</t>
  </si>
  <si>
    <t>WAVEB2T52006</t>
  </si>
  <si>
    <t>WAVEB2T52008</t>
  </si>
  <si>
    <t>ATISK3595</t>
  </si>
  <si>
    <t>WAVSPKH-8</t>
  </si>
  <si>
    <t>WAV093-9202</t>
  </si>
  <si>
    <t>WAVEB2T40282</t>
  </si>
  <si>
    <t>DBTBC129</t>
  </si>
  <si>
    <t>PDR5000A</t>
  </si>
  <si>
    <t>HBBT16</t>
  </si>
  <si>
    <t>B260A</t>
  </si>
  <si>
    <t>PPC6B</t>
  </si>
  <si>
    <t>CSA8C</t>
  </si>
  <si>
    <t>SGD153BR</t>
  </si>
  <si>
    <t>SHD480O</t>
  </si>
  <si>
    <t>TMA4E</t>
  </si>
  <si>
    <t>S321</t>
  </si>
  <si>
    <t>SFM7</t>
  </si>
  <si>
    <t>SAM10E</t>
  </si>
  <si>
    <t>SAM12E</t>
  </si>
  <si>
    <t>SAM14E</t>
  </si>
  <si>
    <t>SAM17E</t>
  </si>
  <si>
    <t>SAM19E</t>
  </si>
  <si>
    <t>SA12E</t>
  </si>
  <si>
    <t>SA14E</t>
  </si>
  <si>
    <t>SA16E</t>
  </si>
  <si>
    <t>SA18E</t>
  </si>
  <si>
    <t>SA20E</t>
  </si>
  <si>
    <t>AWMG9</t>
  </si>
  <si>
    <t>MTF89311</t>
  </si>
  <si>
    <t>ATI445E410</t>
  </si>
  <si>
    <t>ATI445E421</t>
  </si>
  <si>
    <t>ATI445E430</t>
  </si>
  <si>
    <t>ATI445E440</t>
  </si>
  <si>
    <t>ATI445E4-1/4</t>
  </si>
  <si>
    <t>LST52119</t>
  </si>
  <si>
    <t>MCI43131424</t>
  </si>
  <si>
    <t>ATI551WNXEL</t>
  </si>
  <si>
    <t>ATI553WNXEL</t>
  </si>
  <si>
    <t>ATI552WNXEL</t>
  </si>
  <si>
    <t>ATI556WNXEL</t>
  </si>
  <si>
    <t>ATI554WNXEL</t>
  </si>
  <si>
    <t>ATI557WNXL</t>
  </si>
  <si>
    <t>ATI556WNXL</t>
  </si>
  <si>
    <t>TM8</t>
  </si>
  <si>
    <t>FA6E</t>
  </si>
  <si>
    <t>KGVFL758PKS</t>
  </si>
  <si>
    <t>PPC3A</t>
  </si>
  <si>
    <t>Socket, 3/8 Drive 1"</t>
  </si>
  <si>
    <t>MBEU254214</t>
  </si>
  <si>
    <t>Locking Pin</t>
  </si>
  <si>
    <t>MBEU254219</t>
  </si>
  <si>
    <t>Withdrawl Tool</t>
  </si>
  <si>
    <t>MBEU119217</t>
  </si>
  <si>
    <t>Cartridge Extractor</t>
  </si>
  <si>
    <t>MBEU171842</t>
  </si>
  <si>
    <t>ESD Wrist Strap</t>
  </si>
  <si>
    <t>P36814</t>
  </si>
  <si>
    <t>ESD Coil Lead</t>
  </si>
  <si>
    <t>Sticker Clip Fitting Removal tool</t>
  </si>
  <si>
    <t>MBEU254212/3</t>
  </si>
  <si>
    <t>MCI93485324</t>
  </si>
  <si>
    <t>BF185A</t>
  </si>
  <si>
    <t>Squeegee</t>
  </si>
  <si>
    <t>MCI91713883</t>
  </si>
  <si>
    <t>DBTBC1/4</t>
  </si>
  <si>
    <t>DBTBC3/16</t>
  </si>
  <si>
    <t>DBTBC5/16</t>
  </si>
  <si>
    <t>Handle, Skiving Tool</t>
  </si>
  <si>
    <t>08376A01</t>
  </si>
  <si>
    <t>SGD8BR</t>
  </si>
  <si>
    <t>SGDP61BR</t>
  </si>
  <si>
    <t>LMF352</t>
  </si>
  <si>
    <t>2028-13</t>
  </si>
  <si>
    <t>Stand, Wire, Heat Gun</t>
  </si>
  <si>
    <t>WWG5KNR3</t>
  </si>
  <si>
    <t>MCI01543206</t>
  </si>
  <si>
    <t>Adaptor, Sander</t>
  </si>
  <si>
    <t>CLA673-A0409</t>
  </si>
  <si>
    <t>SDR10P40R3</t>
  </si>
  <si>
    <t>SAG03S20</t>
  </si>
  <si>
    <t>PJB5539</t>
  </si>
  <si>
    <t>45-0980</t>
  </si>
  <si>
    <t>45-1982</t>
  </si>
  <si>
    <t>MCI73490393</t>
  </si>
  <si>
    <t>Hose, Vacuum Port, Quick Coupler</t>
  </si>
  <si>
    <t>Port, Vacuum</t>
  </si>
  <si>
    <t>MCI73037996</t>
  </si>
  <si>
    <t>FBS9</t>
  </si>
  <si>
    <t>MCI43461623</t>
  </si>
  <si>
    <t>DBC260A</t>
  </si>
  <si>
    <t>SHD304O</t>
  </si>
  <si>
    <t>MCI01931336</t>
  </si>
  <si>
    <t>FM19</t>
  </si>
  <si>
    <t>FM18</t>
  </si>
  <si>
    <t>FM17</t>
  </si>
  <si>
    <t>FM16</t>
  </si>
  <si>
    <t>FM15</t>
  </si>
  <si>
    <t>FM13</t>
  </si>
  <si>
    <t>FM12</t>
  </si>
  <si>
    <t>FM11</t>
  </si>
  <si>
    <t>FM9</t>
  </si>
  <si>
    <t>FM8</t>
  </si>
  <si>
    <t>SFM19</t>
  </si>
  <si>
    <t>SFM18</t>
  </si>
  <si>
    <t>SFM17</t>
  </si>
  <si>
    <t>SFM16</t>
  </si>
  <si>
    <t>SFM15</t>
  </si>
  <si>
    <t>SFM14</t>
  </si>
  <si>
    <t>SFM13</t>
  </si>
  <si>
    <t>SFM12</t>
  </si>
  <si>
    <t>SFM11</t>
  </si>
  <si>
    <t>SFM10</t>
  </si>
  <si>
    <t>SFM9</t>
  </si>
  <si>
    <t>SFM8</t>
  </si>
  <si>
    <t>FAM10E</t>
  </si>
  <si>
    <t>FAM9E</t>
  </si>
  <si>
    <t>FAM8E</t>
  </si>
  <si>
    <t>FAM7E</t>
  </si>
  <si>
    <t>FAM6E</t>
  </si>
  <si>
    <t>FAM5E</t>
  </si>
  <si>
    <t>FAM4E</t>
  </si>
  <si>
    <t>FAM3E</t>
  </si>
  <si>
    <t>FAM2.5E</t>
  </si>
  <si>
    <t>FAM2E</t>
  </si>
  <si>
    <t>FA12E</t>
  </si>
  <si>
    <t>FA5E</t>
  </si>
  <si>
    <t>FA4E</t>
  </si>
  <si>
    <t>SGDP42IRBO</t>
  </si>
  <si>
    <t>SGDP63IRBO</t>
  </si>
  <si>
    <t>SHDP31IRO</t>
  </si>
  <si>
    <t>SPBS24O</t>
  </si>
  <si>
    <t>Prybar, Ladyfoot, 20"</t>
  </si>
  <si>
    <t>SGD4BO</t>
  </si>
  <si>
    <t>SGD2BO</t>
  </si>
  <si>
    <t>SGDP61BO</t>
  </si>
  <si>
    <t>PW18C</t>
  </si>
  <si>
    <t>Wrench, Adjustable, 8"</t>
  </si>
  <si>
    <t>PWC28A</t>
  </si>
  <si>
    <t>OEXLM13B</t>
  </si>
  <si>
    <t>OEXLM14B</t>
  </si>
  <si>
    <t>OEXLM15B</t>
  </si>
  <si>
    <t>OEXLM16B</t>
  </si>
  <si>
    <t>OEXLM17B</t>
  </si>
  <si>
    <t>OEXLM18B</t>
  </si>
  <si>
    <t>OEXLM19B</t>
  </si>
  <si>
    <t>OEXM220B</t>
  </si>
  <si>
    <t>OEXLM11B</t>
  </si>
  <si>
    <t>OEXLM12B</t>
  </si>
  <si>
    <t>OEXLM10B</t>
  </si>
  <si>
    <t>Wrench, Combination, 3/8", 6 Point</t>
  </si>
  <si>
    <t>TKTR16BH</t>
  </si>
  <si>
    <t>BH123D</t>
  </si>
  <si>
    <t>FA10LE</t>
  </si>
  <si>
    <t>TTX30E</t>
  </si>
  <si>
    <t>FP22E</t>
  </si>
  <si>
    <t>These are possible additions at later date. Info only.</t>
  </si>
  <si>
    <t>TW281</t>
  </si>
  <si>
    <t>SCO52</t>
  </si>
  <si>
    <t>Adapter, Socket Wrench, 1" Female to 3/4" Male</t>
  </si>
  <si>
    <t>Rudder EHA Swing Link Tool RH/LH</t>
  </si>
  <si>
    <t>AN850818B</t>
  </si>
  <si>
    <t>AW10D</t>
  </si>
  <si>
    <t>WAVRWB100-80</t>
  </si>
  <si>
    <t>MCI09270059</t>
  </si>
  <si>
    <t>MTZ68140</t>
  </si>
  <si>
    <t>Socket Wrench Attachment, 1/4" Drive, Phillips #1</t>
  </si>
  <si>
    <t>MCI01595776</t>
  </si>
  <si>
    <t>MCI04569729</t>
  </si>
  <si>
    <t>MCI07118797</t>
  </si>
  <si>
    <t>SDMTA55</t>
  </si>
  <si>
    <t>SW461</t>
  </si>
  <si>
    <t>TR109</t>
  </si>
  <si>
    <t>SRES24</t>
  </si>
  <si>
    <t>FRES10</t>
  </si>
  <si>
    <t>TMCO11</t>
  </si>
  <si>
    <t>TMP12E</t>
  </si>
  <si>
    <t>TTXL10E</t>
  </si>
  <si>
    <t>609ACP</t>
  </si>
  <si>
    <t>PPB1002A</t>
  </si>
  <si>
    <t>MCI04569695</t>
  </si>
  <si>
    <t>MCI45905429</t>
  </si>
  <si>
    <t>JHWH-41AA</t>
  </si>
  <si>
    <t>PJB14211</t>
  </si>
  <si>
    <t>MCI06945778</t>
  </si>
  <si>
    <t>FEL160NP</t>
  </si>
  <si>
    <t>LST52660</t>
  </si>
  <si>
    <t>LST52661</t>
  </si>
  <si>
    <t>FM7</t>
  </si>
  <si>
    <t>PPR708BK</t>
  </si>
  <si>
    <t>DBTR3/32</t>
  </si>
  <si>
    <t>DBTR5/32</t>
  </si>
  <si>
    <t>Extension, 1/2" Drive, 15"</t>
  </si>
  <si>
    <t>SX15</t>
  </si>
  <si>
    <t>GLAS1F</t>
  </si>
  <si>
    <t>GFEL260A</t>
  </si>
  <si>
    <t>GFRDH321-4CL</t>
  </si>
  <si>
    <t>MCI45906161</t>
  </si>
  <si>
    <t>PPC104LA</t>
  </si>
  <si>
    <t>GFRDH361-4CL</t>
  </si>
  <si>
    <t xml:space="preserve">Gage, Vacuum </t>
  </si>
  <si>
    <t>AQD500BF</t>
  </si>
  <si>
    <t>MCI83295618</t>
  </si>
  <si>
    <t>AIRVAC22</t>
  </si>
  <si>
    <t>SDM222IRB</t>
  </si>
  <si>
    <t>SDM212B</t>
  </si>
  <si>
    <t>SRES42</t>
  </si>
  <si>
    <t>SRES32</t>
  </si>
  <si>
    <t>SRES36</t>
  </si>
  <si>
    <t>STNKT318</t>
  </si>
  <si>
    <t>LES403</t>
  </si>
  <si>
    <t>LES362</t>
  </si>
  <si>
    <t>WAV21037T12</t>
  </si>
  <si>
    <t>MCI75245233</t>
  </si>
  <si>
    <t>MCI52676939</t>
  </si>
  <si>
    <t>Valve Core Repair Tool Bit</t>
  </si>
  <si>
    <t>MCI04569539</t>
  </si>
  <si>
    <t>FTNT2797-14</t>
  </si>
  <si>
    <t>FTNT2797-16</t>
  </si>
  <si>
    <t>FTNT2797-10</t>
  </si>
  <si>
    <t>FTNT2797-10D</t>
  </si>
  <si>
    <t>FTNT2797-12</t>
  </si>
  <si>
    <t>FTNT2797-6</t>
  </si>
  <si>
    <t>FTNT2797-8</t>
  </si>
  <si>
    <t>Elbow Assembly</t>
  </si>
  <si>
    <t>KRW185</t>
  </si>
  <si>
    <t>WAV2T4020-10</t>
  </si>
  <si>
    <t>WAVRTO100-10</t>
  </si>
  <si>
    <t>WAVRWB100400</t>
  </si>
  <si>
    <t>KRA2007FPBO</t>
  </si>
  <si>
    <t>MCI04569703</t>
  </si>
  <si>
    <t>T72FOD</t>
  </si>
  <si>
    <t>95CF</t>
  </si>
  <si>
    <t>SGSR1AR</t>
  </si>
  <si>
    <t>SGSR4AR</t>
  </si>
  <si>
    <t>ANADJ8A</t>
  </si>
  <si>
    <t>PPC910B</t>
  </si>
  <si>
    <t>TMS70A</t>
  </si>
  <si>
    <t>TMCO10</t>
  </si>
  <si>
    <t>AWCG1600B</t>
  </si>
  <si>
    <t>GOGGLE1</t>
  </si>
  <si>
    <t>SDM213B</t>
  </si>
  <si>
    <t>SDM214C</t>
  </si>
  <si>
    <t>SDM215C</t>
  </si>
  <si>
    <t>BHS13A</t>
  </si>
  <si>
    <t>RES810C</t>
  </si>
  <si>
    <t>RES1214C</t>
  </si>
  <si>
    <t>RES1820C</t>
  </si>
  <si>
    <t>RES2630C</t>
  </si>
  <si>
    <t>222SFFS</t>
  </si>
  <si>
    <t>GSHD1R</t>
  </si>
  <si>
    <t>ATI300B</t>
  </si>
  <si>
    <t>ATI301B</t>
  </si>
  <si>
    <t>PKN500</t>
  </si>
  <si>
    <t>RBZ605</t>
  </si>
  <si>
    <t>AWBPH13</t>
  </si>
  <si>
    <t>RTB607</t>
  </si>
  <si>
    <t>SCOM32</t>
  </si>
  <si>
    <t>GFEL160NP</t>
  </si>
  <si>
    <t>S241</t>
  </si>
  <si>
    <t>Block, Gage, .100</t>
  </si>
  <si>
    <t>CLA675-12304</t>
  </si>
  <si>
    <t>TTXB20E</t>
  </si>
  <si>
    <t>FTXB30E</t>
  </si>
  <si>
    <t>TM14</t>
  </si>
  <si>
    <t>TM18</t>
  </si>
  <si>
    <t>TN72</t>
  </si>
  <si>
    <t>FR80</t>
  </si>
  <si>
    <t>AWL4-1/2D</t>
  </si>
  <si>
    <t>HBSE20</t>
  </si>
  <si>
    <t>Roll Cab, 7 Drawers, Gloss Black</t>
  </si>
  <si>
    <t>OEXL707B</t>
  </si>
  <si>
    <t>VO806B</t>
  </si>
  <si>
    <t>OSH711B</t>
  </si>
  <si>
    <t>RBYA605</t>
  </si>
  <si>
    <t>RXFS605B</t>
  </si>
  <si>
    <t>110TMDY</t>
  </si>
  <si>
    <t>110STMDY</t>
  </si>
  <si>
    <t>214SFY</t>
  </si>
  <si>
    <t>214FSY</t>
  </si>
  <si>
    <t>313SYA</t>
  </si>
  <si>
    <t>313SWYA</t>
  </si>
  <si>
    <t>Socket, 1/4" Drive, 7/16", Spline #14</t>
  </si>
  <si>
    <t>Socket, 3/8" Drive, 9/16", Spline #18</t>
  </si>
  <si>
    <t>SES161</t>
  </si>
  <si>
    <t>TW341</t>
  </si>
  <si>
    <t>FA5LE</t>
  </si>
  <si>
    <t>FABL5E</t>
  </si>
  <si>
    <t>FABL8E</t>
  </si>
  <si>
    <t>FABL12E</t>
  </si>
  <si>
    <t>SGDP31IRBR</t>
  </si>
  <si>
    <t>CA2210T-4</t>
  </si>
  <si>
    <t>Tool Control B Box</t>
  </si>
  <si>
    <t>Tool Control C Box</t>
  </si>
  <si>
    <t>Tool Control F Box</t>
  </si>
  <si>
    <t>8538K18</t>
  </si>
  <si>
    <t>XB3234A</t>
  </si>
  <si>
    <t>Tool Control A Box</t>
  </si>
  <si>
    <t xml:space="preserve">NAVYMAT-12 </t>
  </si>
  <si>
    <t>STN350293250</t>
  </si>
  <si>
    <t>STN35029562</t>
  </si>
  <si>
    <t>JHT15</t>
  </si>
  <si>
    <t>JHT16</t>
  </si>
  <si>
    <t>JHT17</t>
  </si>
  <si>
    <t>JBT16</t>
  </si>
  <si>
    <t>JHT18</t>
  </si>
  <si>
    <t>JHT19</t>
  </si>
  <si>
    <t>JBT17</t>
  </si>
  <si>
    <t>JBT18</t>
  </si>
  <si>
    <t>JHT20</t>
  </si>
  <si>
    <t>JBT19</t>
  </si>
  <si>
    <t>JHT21</t>
  </si>
  <si>
    <t>JHT22</t>
  </si>
  <si>
    <t>JBT20</t>
  </si>
  <si>
    <t>JHT23</t>
  </si>
  <si>
    <t>JHT24</t>
  </si>
  <si>
    <t>JBT21</t>
  </si>
  <si>
    <t>JHT25</t>
  </si>
  <si>
    <t>JHT27</t>
  </si>
  <si>
    <t>JHT28</t>
  </si>
  <si>
    <t>JHT30</t>
  </si>
  <si>
    <t>JHT34</t>
  </si>
  <si>
    <t>Crowfoot Attachment, 1/2" Drive, 1-5/16" Open End</t>
  </si>
  <si>
    <t>Crowfoot Attachment, 1/4" Drive, 5/16" Flare Nut</t>
  </si>
  <si>
    <t>Crowfoot Attachment, 3/8" Drive, 1" Open End</t>
  </si>
  <si>
    <t>Crowfoot Attachment, 3/8" Drive, 11/16" Open End</t>
  </si>
  <si>
    <t>Crowfoot Attachment, 3/8" Drive, 1-1/2" Open End</t>
  </si>
  <si>
    <t>Crowfoot Attachment, 3/8" Drive, 1-1/4" Open End</t>
  </si>
  <si>
    <t>Crowfoot Attachment, 3/8" Drive, 1-3/8" Open End</t>
  </si>
  <si>
    <t>Crowfoot Attachment, 3/8" Drive, 3/4" Open End</t>
  </si>
  <si>
    <t>Crowfoot Attachment, 3/8" Drive, 3/8" Open End</t>
  </si>
  <si>
    <t>Crowfoot Attachment, 3/8" Drive, 5/8" Open End</t>
  </si>
  <si>
    <t>Crowfoot Attachment, 3/8" Drive, 7/8" Open End</t>
  </si>
  <si>
    <t>Crowfoot Attachment, 3/8" Drive, 9/16" Open End</t>
  </si>
  <si>
    <t>Extension, 1/4” Drive, 2"</t>
  </si>
  <si>
    <t>Extension, 3/8" Drive, 1-1/2"</t>
  </si>
  <si>
    <t>Gauge, Thickness, 35 Leaves, 3"</t>
  </si>
  <si>
    <t>Handle, Socket Wrench, Hinged, 3/8" Drive, 12"</t>
  </si>
  <si>
    <t>Pliers, Slip Joint, Electrical Connector, 9"</t>
  </si>
  <si>
    <t>Punch, Center, 1/8" x 5"</t>
  </si>
  <si>
    <t>Screwdriver, Flat Tip, 1/4" x 1-1/2"</t>
  </si>
  <si>
    <t>Socket Wrench Attachment, 3/8" Drive, Phillips #4</t>
  </si>
  <si>
    <t>Socket Wrench Attachment, 3/8" Drive, Torx #50</t>
  </si>
  <si>
    <t>Socket Wrench Attachment, 3/8" Drive, Torx #55</t>
  </si>
  <si>
    <t>Socket, 1/4" Drive, 7/32", 6 Point</t>
  </si>
  <si>
    <t>Socket, 3/8" Drive, 1/4"</t>
  </si>
  <si>
    <t>Socket, 3/8" Drive, 3/8"</t>
  </si>
  <si>
    <t>Socket, 3/8" Drive, 5/16"</t>
  </si>
  <si>
    <t>Socket, 3/8" Drive, 7/16"</t>
  </si>
  <si>
    <t>Socket, 3/8” Drive, 11/16”</t>
  </si>
  <si>
    <t>Socket, 3/8” Drive, 7/8”</t>
  </si>
  <si>
    <t>Wrench, Combination, 1-1/16"</t>
  </si>
  <si>
    <t>Wrench, Combination, 3/4”</t>
  </si>
  <si>
    <t>Wrench, Combination, Midget, 3/16”</t>
  </si>
  <si>
    <t>Key, Socket Head Screw, Hex, 5/16"</t>
  </si>
  <si>
    <t>Key, Socket Head Screw, Hex, 3/32"</t>
  </si>
  <si>
    <t>Socket Wrench Attachment, 3/8" Drive, Hex, 3/16"</t>
  </si>
  <si>
    <t>Socket Wrench Attachment, 3/8" Drive, Hex, 1/4"</t>
  </si>
  <si>
    <t>Crowfoot Attachment, 3/8" Drive, 1-13/16" Open End</t>
  </si>
  <si>
    <t>Crowfoot Attachment, 3/8" Drive, 2" Open End</t>
  </si>
  <si>
    <t>Crowfoot Attachment, 3/8" Drive, 2-1/2" Open End</t>
  </si>
  <si>
    <t>Adapter, Torque Wrench, 3/8" Drive, 5/16", Spline #10</t>
  </si>
  <si>
    <t>Hammer, Deadblow, 16 oz</t>
  </si>
  <si>
    <t>Socket, 3/4" Drive, Impact, 1-11/16"</t>
  </si>
  <si>
    <t>Socket, 3/4" Drive, Impact, 1-3/4"</t>
  </si>
  <si>
    <t>Wrench, Combination, Short, 11/32"</t>
  </si>
  <si>
    <t>Wrench, Combination, 1-7/16"</t>
  </si>
  <si>
    <t>Wrench, Combination, Long, 1"</t>
  </si>
  <si>
    <t>Wrench, Combination, Ratcheting, 5/16"</t>
  </si>
  <si>
    <t>Wrench, Combination, Ratcheting, 3/8"</t>
  </si>
  <si>
    <t>Wrench, Combination, Ratcheting, 7/16"</t>
  </si>
  <si>
    <t>Wrench, Combination, Ratcheting, 1/2"</t>
  </si>
  <si>
    <t>Wrench, Combination, Ratcheting, 9/16"</t>
  </si>
  <si>
    <t>Wrench, Combination, Ratcheting, 5/8"</t>
  </si>
  <si>
    <t>Wrench, Combination, Ratcheting, 11/16"</t>
  </si>
  <si>
    <t>Wrench, Combination, Midget, 7/32"</t>
  </si>
  <si>
    <t>Socket, 1/2" Drive, Deep, 1-1/8"</t>
  </si>
  <si>
    <t>Socket, 1/2" Drive, Deep, 1-3/8"</t>
  </si>
  <si>
    <t>Bit, Screwdriver, 1/4" Hex Shank, Flat Tip, 5/16"</t>
  </si>
  <si>
    <t>Adapter, Torque Wrench, 1/2" Drive, 3/4", Spline #24</t>
  </si>
  <si>
    <t>Adapter, Torque Wrench, 1/2" Drive, 1", Spline #32</t>
  </si>
  <si>
    <t>Adapter, Torque Wrench, 1/2" Drive, 1-1/8", Spline #36</t>
  </si>
  <si>
    <t>Socket Wrench Attachment, 3/8" Drive, Torx #60</t>
  </si>
  <si>
    <t>Handle, Socket Wrench, Reversible, 1/4" Drive</t>
  </si>
  <si>
    <t>Socket Wrench Attachment, 1/4" Drive, Hex, 7/64"</t>
  </si>
  <si>
    <t>Socket Wrench Attachment, 1/4" Drive, Hex, 3/32"</t>
  </si>
  <si>
    <t>Socket Wrench Attachment, 1/4" Drive, Hex, 5/32"</t>
  </si>
  <si>
    <t>Socket Wrench Attachment, 1/4" Drive, Hex, 7/32"</t>
  </si>
  <si>
    <t>Tape, Measuring, 12 ft</t>
  </si>
  <si>
    <t>Wrench, Combination, Ratcheting, 5/16", Spline #10</t>
  </si>
  <si>
    <t>Socket Wrench Attachment, 3/8" Drive, Torx #30</t>
  </si>
  <si>
    <t>Socket Wrench Attachment, 3/8" Drive, Torx #40</t>
  </si>
  <si>
    <t>Crowfoot Attachment, 1/2" Drive, 1-3/16" Deep Flare Nut</t>
  </si>
  <si>
    <t>Crowfoot Attachment, 1/2" Drive, 1-11/16" Deep Flare Nut</t>
  </si>
  <si>
    <t>Key, Socket Head Screw, Hex, 9/64"</t>
  </si>
  <si>
    <t>CPM00-118</t>
  </si>
  <si>
    <t>FC46A.25TH</t>
  </si>
  <si>
    <t>G012-1151-01</t>
  </si>
  <si>
    <t>GFCO60TH.3</t>
  </si>
  <si>
    <t>MCI04569604</t>
  </si>
  <si>
    <t>MCI42176545</t>
  </si>
  <si>
    <t>MCI43149160</t>
  </si>
  <si>
    <t>MCI55166714</t>
  </si>
  <si>
    <t>MCI62961727</t>
  </si>
  <si>
    <t>MCI84967397</t>
  </si>
  <si>
    <t>PJB09346</t>
  </si>
  <si>
    <t>P-25-02</t>
  </si>
  <si>
    <t>GFEL220</t>
  </si>
  <si>
    <t>GFEL240</t>
  </si>
  <si>
    <t>GFEL280</t>
  </si>
  <si>
    <t>GFEL300</t>
  </si>
  <si>
    <t>GFEL320</t>
  </si>
  <si>
    <t>GSEL341</t>
  </si>
  <si>
    <t>GSEL361</t>
  </si>
  <si>
    <t>GSEL381</t>
  </si>
  <si>
    <t>GSEL401</t>
  </si>
  <si>
    <t>SPK49710</t>
  </si>
  <si>
    <t>SPK49714</t>
  </si>
  <si>
    <t>ATI557WNXEL</t>
  </si>
  <si>
    <t>Bit, Screwdriver, 1/4" Hex Shank, Phillips #1</t>
  </si>
  <si>
    <t>Bit, Screwdriver, 1/4" Hex Shank, Phillips #2</t>
  </si>
  <si>
    <t>Bit, Screwdriver, 1/4" Hex Shank, Torx, #10</t>
  </si>
  <si>
    <t>Bit, Screwdriver, 1/4" Hex Shank, Torx, #15</t>
  </si>
  <si>
    <t>Bit, Screwdriver, 1/4" Hex Shank, Torx, #20</t>
  </si>
  <si>
    <t>Bit, Screwdriver, 1/4" Hex Shank, Torx, #25</t>
  </si>
  <si>
    <t>Bit, Screwdriver, 1/4" Hex Shank, Torx, #30</t>
  </si>
  <si>
    <t>Bit, Screwdriver, 1/4" Hex Shank, Torx, #40</t>
  </si>
  <si>
    <t>Crowfoot Attachment, 1/2" Drive, 1-1/2" Open End</t>
  </si>
  <si>
    <t>Crowfoot Attachment, 1/2" Drive, 1-13/16" Open End</t>
  </si>
  <si>
    <t>Crowfoot Attachment, 1/2" Drive, 1-7/8" Open End</t>
  </si>
  <si>
    <t>Crowfoot Attachment, 1/2" Drive, 2" Open End</t>
  </si>
  <si>
    <t>Crowfoot Attachment, 1/2" Drive, 2-1/2" Open End</t>
  </si>
  <si>
    <t>Crowfoot Attachment, 1/2" Drive, 2-1/4" Open End</t>
  </si>
  <si>
    <t>Crowfoot Attachment, 1/4" Drive, 1/2" Deep Flare Nut</t>
  </si>
  <si>
    <t>Crowfoot Attachment, 1/4" Drive, 3/8" Deep Flare Nut</t>
  </si>
  <si>
    <t>Crowfoot Attachment, 1/4" Drive, 7/16" Deep Flare Nut</t>
  </si>
  <si>
    <t>Crowfoot Attachment, 1/4" Drive, 9/16" Deep Flare Nut</t>
  </si>
  <si>
    <t>Crowfoot Attachment, 3/8" Drive, 1/2" Open End</t>
  </si>
  <si>
    <t>Crowfoot Attachment, 3/8" Drive, 11/16" Deep Flare Nut</t>
  </si>
  <si>
    <t>Crowfoot Attachment, 3/8" Drive, 11/16" Flare Nut, 6 Point</t>
  </si>
  <si>
    <t>Crowfoot Attachment, 3/8" Drive, 1-1/8" Open End</t>
  </si>
  <si>
    <t>Crowfoot Attachment, 3/8" Drive, 13/16" Deep Flare Nut</t>
  </si>
  <si>
    <t>Crowfoot Attachment, 3/8" Drive, 13/16" Open End</t>
  </si>
  <si>
    <t>Crowfoot Attachment, 3/8" Drive, 3/4" Deep Flare Nut</t>
  </si>
  <si>
    <t>Crowfoot Attachment, 3/8" Drive, 7/16" Flare Nut, 6 Point</t>
  </si>
  <si>
    <t>Crowfoot Attachment, 3/8" Drive, 7/16" Open End</t>
  </si>
  <si>
    <t>Crowfoot Attachment, 3/8" Drive, 7/8" Deep Flare Nut</t>
  </si>
  <si>
    <t>Crowfoot Attachment, 3/8" Drive, 9/16" Flare Nut, 6 Point</t>
  </si>
  <si>
    <t>Extension, 1/2" Drive, 11"</t>
  </si>
  <si>
    <t>Extension, 1/4" Drive, 4", Wobble</t>
  </si>
  <si>
    <t>Gauge, Thickness, 25 Leaves, 12"</t>
  </si>
  <si>
    <t>Gauge, Tire Tread, Depth</t>
  </si>
  <si>
    <t>Hammer, Ball Peen, 8 oz</t>
  </si>
  <si>
    <t>Handle, Socket Wrench, Hinged, 1/2" Drive, 18"</t>
  </si>
  <si>
    <t>Holder, Screwdriver Bit, 3/8" Drive, 1/4"</t>
  </si>
  <si>
    <t>Key Set, Socket Head Screw, Hex (13 Pcs)</t>
  </si>
  <si>
    <t>Mallet, Rubber Face, 11"</t>
  </si>
  <si>
    <t>Mirror, Inspection, Telescoping, 2-1/4" Diameter, 35" Extension</t>
  </si>
  <si>
    <t>Pliers, Diagonal Cut, 6"</t>
  </si>
  <si>
    <t>Pliers, Needle Nose, 11"</t>
  </si>
  <si>
    <t>Pliers, Needle Nose, Curved, 6"</t>
  </si>
  <si>
    <t>Screwdriver, Flat Tip, 3/8" x 8"</t>
  </si>
  <si>
    <t>Screwdriver, Phillips, #2, 4"</t>
  </si>
  <si>
    <t>Socket, 1/2" Drive, 1-1/8"</t>
  </si>
  <si>
    <t>Socket, 1/2" Drive, 1-3/16"</t>
  </si>
  <si>
    <t>Socket, 1/2" Drive, 1-3/8"</t>
  </si>
  <si>
    <t>Socket, 1/2" Drive, 1-5/16"</t>
  </si>
  <si>
    <t>Socket, 1/4" Drive, 1/2"</t>
  </si>
  <si>
    <t>Socket, 1/4" Drive, 5/32", 6 Point</t>
  </si>
  <si>
    <t>Socket, 1/4" Drive, Deep, 3/8"</t>
  </si>
  <si>
    <t>Socket, 1/4" Drive, Deep, 7/16"</t>
  </si>
  <si>
    <t>Socket, 3/8" Drive, Deep, 7/8"</t>
  </si>
  <si>
    <t>Socket, 3/8” Drive, 15/16”</t>
  </si>
  <si>
    <t>Socket, 3/8” Drive, Deep, 3/4”</t>
  </si>
  <si>
    <t>Socket, Universal, 3/8" Drive, 7/16"</t>
  </si>
  <si>
    <t>Tape, Measuring, 25 ft</t>
  </si>
  <si>
    <t>Wrench, Box, Angle Head, 13/16" x 15/16", Spline #26 x #30</t>
  </si>
  <si>
    <t>Wrench, Box, Offset, Short, 5/16" x 3/8"</t>
  </si>
  <si>
    <t>Wrench, Combination, 1/2”</t>
  </si>
  <si>
    <t>Wrench, Combination, 11/16”</t>
  </si>
  <si>
    <t>Wrench, Combination, 1-1/2"</t>
  </si>
  <si>
    <t>Wrench, Combination, 15/16”</t>
  </si>
  <si>
    <t>Wrench, Combination, 3/8”</t>
  </si>
  <si>
    <t>Wrench, Combination, 5/8”</t>
  </si>
  <si>
    <t>Wrench, Combination, 7/16”</t>
  </si>
  <si>
    <t>Wrench, Combination, 9/16”</t>
  </si>
  <si>
    <t>Wrench, Combination, Midget, 5/32", 6 Point</t>
  </si>
  <si>
    <t>Wrench, Combination, Midget, 9/16"</t>
  </si>
  <si>
    <t>Wrench, Combination, Short, 3/8”</t>
  </si>
  <si>
    <t>Wrench, Combination, Short, 7/16”</t>
  </si>
  <si>
    <t>Handle, Socket Wrench, Reversible, 3/8" Drive</t>
  </si>
  <si>
    <t>Socket, 3/8" Drive, 1/2"</t>
  </si>
  <si>
    <t>Socket, 3/8" Drive, 9/16"</t>
  </si>
  <si>
    <t>Socket, 3/8” Drive, 9/16”</t>
  </si>
  <si>
    <t>Socket, 3/8" Drive, 5/8"</t>
  </si>
  <si>
    <t>Socket, 3/8” Drive, 5/8"</t>
  </si>
  <si>
    <t>Socket, 3/8” Drive, 13/16"</t>
  </si>
  <si>
    <t>Handle, Breaker Bar, 3/8" Drive, 10"</t>
  </si>
  <si>
    <t>Crowfoot Attachment, 3/8" Drive, 1" Deep Flare Nut</t>
  </si>
  <si>
    <t>Crowfoot Attachment, 1/2" Drive, 1-1/8" Deep Flare Nut</t>
  </si>
  <si>
    <t>Wrench, Box, Offset, 1" X 1-1/16"</t>
  </si>
  <si>
    <t>Wrench, Combination, Ratcheting, 1" Spline #32</t>
  </si>
  <si>
    <t>Wrench, Combination, Midget, 11/32"</t>
  </si>
  <si>
    <t>Bit, Screwdriver, 1/4" Hex Shank, Phillips #3</t>
  </si>
  <si>
    <t>Crowfoot Attachment, 3/8" Drive, 1" Flarenut,  6 Point</t>
  </si>
  <si>
    <t>Crowfoot Attachment, 3/8" Drive, 7/8" Flarenut, 6 Point</t>
  </si>
  <si>
    <t>Goggles, Industrial, Safety Type</t>
  </si>
  <si>
    <t>Hammer, Deadblow, Ball Peen, 16 oz</t>
  </si>
  <si>
    <t>Handle, Socket Wrench, Reversible, 1/2" Drive</t>
  </si>
  <si>
    <t>Pliers, Diagonal Cut, 7-1/2"</t>
  </si>
  <si>
    <t>Punch, Bronze, 3/8" x 6"</t>
  </si>
  <si>
    <t>Punch, Round, Brass, 3/4" x 10"</t>
  </si>
  <si>
    <t>Pliers, Wire Twister with Cutter, 8-1/2"</t>
  </si>
  <si>
    <t>Pliers, Wire Twister with Cutter, Reversible, 8-3/4"</t>
  </si>
  <si>
    <t>Screwdriver, Flat Tip, 1/4" x 4"</t>
  </si>
  <si>
    <t>Socket, 1/2" Drive, Deep, 1-1/8", 6 Point</t>
  </si>
  <si>
    <t>TS361</t>
  </si>
  <si>
    <t>Socket, 1/2" Drive, Deep, 3/4", Spline #24</t>
  </si>
  <si>
    <t>Socket, 1/2" Drive, 1/2"</t>
  </si>
  <si>
    <t>Socket, 1/2" Drive, 1-1/16"</t>
  </si>
  <si>
    <t>Socket, 1/2" Drive, 11/16"</t>
  </si>
  <si>
    <t>Socket, 1/2" Drive, 13/16"</t>
  </si>
  <si>
    <t>Socket, 1/2" Drive, 13/16", Spline #26</t>
  </si>
  <si>
    <t>Socket, 1/2" Drive, 15/16"</t>
  </si>
  <si>
    <t>Socket, 1/2" Drive, 3/4"</t>
  </si>
  <si>
    <t>Socket, 1/2" Drive, 5/8"</t>
  </si>
  <si>
    <t>Socket, 1/2" Drive, 7/8"</t>
  </si>
  <si>
    <t>Socket, 1/2" Drive, 9/16"</t>
  </si>
  <si>
    <t>Socket, 1/4" Drive, 3/8", 6 Point</t>
  </si>
  <si>
    <t>Socket, 1/4" Drive, Semi-Deep, 11/32"</t>
  </si>
  <si>
    <t>Socket, 1/4" Drive, 1/4"</t>
  </si>
  <si>
    <t>Socket, 1/4" Drive, 1/4", Spline #8</t>
  </si>
  <si>
    <t>Socket, 1/4" Drive, 3/16"</t>
  </si>
  <si>
    <t>Socket, 1/4" Drive, 3/8"</t>
  </si>
  <si>
    <t>Socket, 1/4" Drive, 5/16"</t>
  </si>
  <si>
    <t>Socket, 1/4" Drive, 7/16"</t>
  </si>
  <si>
    <t>Socket, 1/4" Drive, 7/32"</t>
  </si>
  <si>
    <t>Socket, 1/4" Drive, 7/32", Spline #7</t>
  </si>
  <si>
    <t>Socket, 1/4" Drive, Deep, 1/4"</t>
  </si>
  <si>
    <t>Socket, 1/4" Drive, Deep, 3/16"</t>
  </si>
  <si>
    <t>Socket, 1/4" Drive, Deep, 5/16"</t>
  </si>
  <si>
    <t>Socket, 1/4" Drive, Deep, 7/32"</t>
  </si>
  <si>
    <t xml:space="preserve">Socket, 3/8" Drive, 5/8", Spline #20 </t>
  </si>
  <si>
    <t>Socket, 3/8" Drive, Deep, 1/2"</t>
  </si>
  <si>
    <t>Socket, 3/8" Drive, Deep, 1"</t>
  </si>
  <si>
    <t>Socket, 3/8" Drive, Deep, 11/16"</t>
  </si>
  <si>
    <t>Socket, 3/8" Drive, Deep, 13/16"</t>
  </si>
  <si>
    <t>Socket, 3/8" Drive, Deep, 15/16"</t>
  </si>
  <si>
    <t>Socket, 3/8" Drive, Deep, 3/8"</t>
  </si>
  <si>
    <t>Socket, 3/8" Drive, Deep, 5/8"</t>
  </si>
  <si>
    <t>Socket, 3/8" Drive, Deep, 7/16"</t>
  </si>
  <si>
    <t>Socket, 3/8" Drive, Deep, 9/16"</t>
  </si>
  <si>
    <t>Socket, Universal, 1/4" Drive, 5/16", 6 Point</t>
  </si>
  <si>
    <t>Wrench, Box, Angle Head, 3/4" x 11/16", Spline #22 x #24</t>
  </si>
  <si>
    <t>Wrench, Combination, Short, 5/16"</t>
  </si>
  <si>
    <t>Wrench, Combination, Short, 1/4”</t>
  </si>
  <si>
    <t>Wrench, Combination, Short, 5/8”</t>
  </si>
  <si>
    <t>Glasses, Safety</t>
  </si>
  <si>
    <t>Socket Wrench Attachment, 3/8" Drive, Hex, 3/8", Extra Long</t>
  </si>
  <si>
    <t>Adapter, Torque Wrench, 3/8" Drive, 1", 4" CL</t>
  </si>
  <si>
    <t>Adapter, Torque Wrench, 3/8" Drive, 1-1/8", 4" CL</t>
  </si>
  <si>
    <t>Set, Socket, 1/4" Drive, Deep, (3/16" to 9/16") (10 pcs.)</t>
  </si>
  <si>
    <t>Set, Socket, 1/4" Drive, (3/16" to 9/16") (10 pcs.)</t>
  </si>
  <si>
    <t>Pliers, Diagonal Cut, 4-1/2"</t>
  </si>
  <si>
    <t>Pliers, Needle Nose with Side Cut, 8"</t>
  </si>
  <si>
    <t>Set, Crowfoot Attachment, 3/8" Drive, Open End, (3/8” to 1”) (11 pcs)</t>
  </si>
  <si>
    <t>Set, Socket, 3/8" Drive, 6-Point (1/4" to 1") (14 pcs)</t>
  </si>
  <si>
    <t>Set, Socket, 3/8" Drive, Deep, (1/4" to 1") (14 pcs)</t>
  </si>
  <si>
    <t>Set, Socket, 1/2" Drive, (3/8" to 1-1/8") (13 pcs)</t>
  </si>
  <si>
    <t>Set, Socket, 1/2" Drive, Deep, (3/8" to 1-1/8") (13 pcs)</t>
  </si>
  <si>
    <t>Key Set, Socket Head Screw, Hex, 0.050" - 3/8", Ball End (13 pcs plus case)</t>
  </si>
  <si>
    <t>Installation Tool, Retaining Ring</t>
  </si>
  <si>
    <t>Hammer, Deadblow, Slimline, 10 oz</t>
  </si>
  <si>
    <t>Mirror, Inspection, Telescoping, 2-1/4" Diameter, 33" Extension</t>
  </si>
  <si>
    <t>Socket, 3/8" Drive, Deep, 1/2", Spline #16</t>
  </si>
  <si>
    <t>Socket, 3/8" Drive, Deep, 3/8", Spline #12</t>
  </si>
  <si>
    <t>Socket, 3/8" Drive, Deep, 5/8", Spline #20</t>
  </si>
  <si>
    <t>Socket, 3/8" Drive, Deep, 7/16", Spline #14</t>
  </si>
  <si>
    <t>Socket, 3/8" Drive, Deep, 9/16", Spline #18</t>
  </si>
  <si>
    <t>Crowfoot Attachment, 1/4" Drive, 9/16" Open End</t>
  </si>
  <si>
    <t>Crowfoot Attachment, 1/4" Drive, 11/32" Open End</t>
  </si>
  <si>
    <t>Caliper, Digital, Range 0" - 6", with Case</t>
  </si>
  <si>
    <t>Wrench, Pliers, Locking, 10"</t>
  </si>
  <si>
    <t>Wrench, Combination, Midget, 7/32", 6 Point</t>
  </si>
  <si>
    <t>Screwdriver, Phillips, #2, 1-1/2"</t>
  </si>
  <si>
    <t>Handle, Socket Wrench, Hinged, 1/2" Drive</t>
  </si>
  <si>
    <t>Crowfoot Attachment, 3/8" Drive, 1-5/8" Open End</t>
  </si>
  <si>
    <t>Crowfoot Attachment, 1/4" Drive, 5/16" Open End</t>
  </si>
  <si>
    <t>Crowfoot Attachment, 1/4" Drive, 1/2" Open End</t>
  </si>
  <si>
    <t>Crowfoot Attachment, 1/4" Drive, 7/16" Open End</t>
  </si>
  <si>
    <t>Crowfoot Attachment, 3/8" Drive, 1-5/16" Open End</t>
  </si>
  <si>
    <t>Crowfoot Attachment, 3/8" Drive, 1-15/16" Open End</t>
  </si>
  <si>
    <t>Socket Wrench Attachment, 3/8" Drive, Flat Tip, 5/16"</t>
  </si>
  <si>
    <t>Socket Wrench Attachment, 3/8" Drive, Flat Tip, 3/8"</t>
  </si>
  <si>
    <t>Driver, 3/8" Drive, Plastic Handle</t>
  </si>
  <si>
    <t>Socket Wrench Attachment, 3/8" Drive, Hex, 5/16"</t>
  </si>
  <si>
    <t>Socket Wrench Attachment, 3/8" Drive, Hex, 5/16", Long</t>
  </si>
  <si>
    <t>Socket Wrench Attachment, 3/8" Drive, Hex, 3/8"</t>
  </si>
  <si>
    <t>Socket Wrench Attachment, 3/8" Drive, Hex, 9/64"</t>
  </si>
  <si>
    <t>Socket Wrench Attachment, 3/8" Drive, Hex, 1/8"</t>
  </si>
  <si>
    <t>Socket Wrench Attachment, 3/8" Drive, Hex, 5/32"</t>
  </si>
  <si>
    <t>Socket Wrench Attachment, 3/8" Drive, Hex, 5/32", Long</t>
  </si>
  <si>
    <t>Socket Wrench Attachment, 3/8" Drive, Hex, 7/32"</t>
  </si>
  <si>
    <t>Socket Wrench Attachment, 3/8" Drive, Hex, 1/4", Long</t>
  </si>
  <si>
    <t>Socket Wrench Attachment, 3/8" Drive, Hex, 5/16", Ball End</t>
  </si>
  <si>
    <t>Socket Wrench Attachment, 3/8" Drive, Hex, 5/32", Long, Ball End</t>
  </si>
  <si>
    <t>Socket Wrench Attachment, 3/8" Drive, Hex, 5/16", Long, Ball End</t>
  </si>
  <si>
    <t>Socket Wrench Attachment, 3/8" Drive, Hex, 3/8", Long, Ball End</t>
  </si>
  <si>
    <t>Socket Wrench Attachment, 3/8" Drive, Hex, 1/8", Long, Ball End</t>
  </si>
  <si>
    <t>Socket Wrench Attachment, 3/8" Drive, Hex, 3/16", Long, Ball End</t>
  </si>
  <si>
    <t>Socket Wrench Attachment, 3/8" Drive, Hex, 7/32", Long, Ball End</t>
  </si>
  <si>
    <t>Socket Wrench Attachment, 3/8" Drive, Hex, 1/4", Long, Ball End</t>
  </si>
  <si>
    <t>Wrench, Combination, 11/32"</t>
  </si>
  <si>
    <t>Wrench, Combination, Short, 15/16"</t>
  </si>
  <si>
    <t>Wrench, Combination, 1-1/4"</t>
  </si>
  <si>
    <t>Wrench, Combination, 1-3/16"</t>
  </si>
  <si>
    <t>Wrench, Combination, 1-5/16"</t>
  </si>
  <si>
    <t>Wrench, Combination, 1-3/8"</t>
  </si>
  <si>
    <t>Set, Wrench, Combination, 3/8" - 1" (11 pcs plus case)</t>
  </si>
  <si>
    <t>Set, Wrench, Combination, Long, 3/8" - 3/4" (7 pcs plus case)</t>
  </si>
  <si>
    <t>Wrench, Combination, 13/16", 6 Point</t>
  </si>
  <si>
    <t>Set, Wrench, Combination, 3/8" - 1" 6 Point (11 pcs)</t>
  </si>
  <si>
    <t>Wrench, Combination, Midget, 5/16"</t>
  </si>
  <si>
    <t>Wrench, Combination, Midget, 3/8"</t>
  </si>
  <si>
    <t>Wrench, Combination, Midget, 7/16"</t>
  </si>
  <si>
    <t>Wrench, Combination, Midget, 1/2"</t>
  </si>
  <si>
    <t>Wrench, Combination, Midget, 1/4"</t>
  </si>
  <si>
    <t>Wrench, Combination, Midget, 9/32"</t>
  </si>
  <si>
    <t>Socket, 1/4" Drive, 7/16", 6 Point</t>
  </si>
  <si>
    <t>Socket, 1/4" Drive, 9/16", 6 Point</t>
  </si>
  <si>
    <t>Handle, Socket Wrench, Spin Type, 1/4" Drive</t>
  </si>
  <si>
    <t>Extension, 1/4" Drive, 6", Flexible</t>
  </si>
  <si>
    <t>Socket, 1/4" Drive, 1/4", 6 Point</t>
  </si>
  <si>
    <t>Socket Wrench Attachment, 1/4" Drive, Hex, 5/64"</t>
  </si>
  <si>
    <t>Socket Wrench Attachment, 1/4" Drive, Hex, 1/16"</t>
  </si>
  <si>
    <t>Socket Wrench Attachment, 1/4" Drive, Hex, 9/64"</t>
  </si>
  <si>
    <t>Socket Wrench Attachment, 1/4" Drive, Hex, 1/8"</t>
  </si>
  <si>
    <t>Socket Wrench Attachment, 1/4" Drive, Hex, 3/16"</t>
  </si>
  <si>
    <t>Socket Wrench Attachment, 1/4" Drive, Hex, 1/4"</t>
  </si>
  <si>
    <t>Socket Wrench Attachment, 1/4" Drive, Hex, 1/8", Ball End</t>
  </si>
  <si>
    <t>Socket Wrench Attachment, 1/4" Drive, Hex, 5/32", Ball End</t>
  </si>
  <si>
    <t>Socket Wrench Attachment, 1/4" Drive, Hex, 3/16", Ball End</t>
  </si>
  <si>
    <t>Socket, 1/4" Drive, 11/32"</t>
  </si>
  <si>
    <t>Socket, 1/4" Drive, 9/16"</t>
  </si>
  <si>
    <t>Finger, Mechanical, Flexible, 24"</t>
  </si>
  <si>
    <t>Holder, Screwdriver Bit, Magnetic, 3/8" Drive, 5/16" Hex</t>
  </si>
  <si>
    <t>Crowfoot Attachment, 3/8" Drive, 1-1/16" Open End</t>
  </si>
  <si>
    <t>Crowfoot Attachment, 3/8" Drive, 1-3/16" Open End</t>
  </si>
  <si>
    <t>Crowfoot Attachment, 3/8" Drive, 1-7/16" Open End</t>
  </si>
  <si>
    <t>Crowfoot Attachment, 3/8" Drive, 1/4 Thickness, 1-7/16" Open End</t>
  </si>
  <si>
    <t>Crowfoot Attachment, 3/8" Drive, 1-9/16" Open End</t>
  </si>
  <si>
    <t>Crowfoot Attachment, 3/8" Drive, 1-11/16" Open End</t>
  </si>
  <si>
    <t>Crowfoot Attachment, 3/8" Drive, 1-3/4" Open End</t>
  </si>
  <si>
    <t>Crowfoot Attachment, 3/8" Drive, 1-7/8" Open End</t>
  </si>
  <si>
    <t>Crowfoot Attachment, 3/8" Drive, 2-1/4" Open End</t>
  </si>
  <si>
    <t>Crowfoot Attachment, 3/8" Drive, 15/16" Open End</t>
  </si>
  <si>
    <t>Thermo Hygrometer, Digital</t>
  </si>
  <si>
    <t>Socket Wrench Attachment, 3/8" Drive, Phillips #2</t>
  </si>
  <si>
    <t>Adapter, Torque Wrench, 3/8" Drive, 5/16"</t>
  </si>
  <si>
    <t>Adapter, Torque Wrench, 3/8" Drive, 3/8"</t>
  </si>
  <si>
    <t>Adapter, Torque Wrench, 3/8" Drive, 7/16"</t>
  </si>
  <si>
    <t>Adapter, Torque Wrench, 3/8" Drive, 9/16"</t>
  </si>
  <si>
    <t>Socket, 3/8" Drive, 1", 6 Point</t>
  </si>
  <si>
    <t>Socket Wrench Attachment, 3/8" Drive, Torx #20</t>
  </si>
  <si>
    <t>Socket Wrench Attachment, 3/8" Drive, Torx #30, Heavy Duty</t>
  </si>
  <si>
    <t>Socket, Universal, 3/8" Drive, 3/8"</t>
  </si>
  <si>
    <t>Oxygen Mask Kit (7 pcs plus case)</t>
  </si>
  <si>
    <t>Protectors, Hearing</t>
  </si>
  <si>
    <t>Finger, Mechanical, Flexible, 17-1/2"</t>
  </si>
  <si>
    <t>Pliers, Remover, Grease Cap</t>
  </si>
  <si>
    <t>Crowfoot Attachment, 3/8" Drive, 1-7/8" Open End, 5/16" Thickness</t>
  </si>
  <si>
    <t>Socket, 3/8" Drive, Deep, 11/16", Spline #22</t>
  </si>
  <si>
    <t>Socket, 3/8" Drive, Deep, 3/4", Spline #24</t>
  </si>
  <si>
    <t>Socket, 3/8" Drive, Deep, 13/16", Spline #26</t>
  </si>
  <si>
    <t>Socket, 3/8" Drive, Deep, 7/8", Spline #28</t>
  </si>
  <si>
    <t>Socket, 3/8" Drive, Deep, 15/16", Spline #30</t>
  </si>
  <si>
    <t>Socket, 3/8" Drive, Deep, 1", Spline #32</t>
  </si>
  <si>
    <t>Adapter, Socket Wrench, 1/4" Hex to 1/4" Male</t>
  </si>
  <si>
    <t>Socket, 1/2" Drive, Deep, 1-1/16", Spline #34</t>
  </si>
  <si>
    <t>Socket, 1/2" Drive, Deep, 1-1/8", Spline #36</t>
  </si>
  <si>
    <t>Socket, 1/2" Drive, Deep, 1-3/16", Spline #38</t>
  </si>
  <si>
    <t>Socket, 1/2" Drive, Deep, 1-1/4", Spline #40</t>
  </si>
  <si>
    <t>Extension, 1/4" Drive, 2"</t>
  </si>
  <si>
    <t>Wrench, Box, 1" x 1-1/16", Spline #32 x #34</t>
  </si>
  <si>
    <t>Hammer, Bronze, 16 oz</t>
  </si>
  <si>
    <t>Hammer, Deadblow, 24 oz</t>
  </si>
  <si>
    <t>Hammer, Deadblow, Plastic Tip, 16 oz</t>
  </si>
  <si>
    <t>Hammer, Dead Blow, Slimline, 20 oz</t>
  </si>
  <si>
    <t>Hammer, Ball Peen, 16 oz</t>
  </si>
  <si>
    <t>Frame, Hand, Hacksaw, 12" with Blade</t>
  </si>
  <si>
    <t>Adapter, Socket Wrench, Impact, 3/4" Female to 1" Male</t>
  </si>
  <si>
    <t>Socket, 3/4" Drive, 1-7/8"</t>
  </si>
  <si>
    <t>Socket, 1" Drive, 1", Spline #32</t>
  </si>
  <si>
    <t>Socket, 1" Drive, 1-1/16", Spline #34</t>
  </si>
  <si>
    <t>Socket, 3/4" Drive, 1-1/8", Spline #36</t>
  </si>
  <si>
    <t>Socket, 1" Drive, 1-3/16", Spline #38</t>
  </si>
  <si>
    <t>Socket, 1" Drive, 1-1/4", Spline #40</t>
  </si>
  <si>
    <t>Socket, 1" Drive, 1-1/2", Spline #48</t>
  </si>
  <si>
    <t>Gauge, Thickness, 26 Leaves, 3"</t>
  </si>
  <si>
    <t>Socket, 1/2" Drive, Deep, 3/4"</t>
  </si>
  <si>
    <t>Socket, 1/2" Drive, Deep, 1"</t>
  </si>
  <si>
    <t>Socket, 1/2" Drive, Deep, 1-1/16"</t>
  </si>
  <si>
    <t>Socket, 1/2" Drive, Deep, 1-3/16"</t>
  </si>
  <si>
    <t>Socket, 1/2" Drive, Deep, 1-1/4"</t>
  </si>
  <si>
    <t>Socket, 1/2" Drive, Deep, 1-1/2"</t>
  </si>
  <si>
    <t>Universal Joint, 1/2" Drive</t>
  </si>
  <si>
    <t>Socket Wrench Attachment, 1/2" Drive, Hex, 3/8"</t>
  </si>
  <si>
    <t>Socket Wrench Attachment, 1/2" Drive, Hex, 7/16"</t>
  </si>
  <si>
    <t>Socket Wrench Attachment, 1/2" Drive, Hex, 1/2"</t>
  </si>
  <si>
    <t>Socket Wrench Attachment, 1/2" Drive, Hex, 9/16"</t>
  </si>
  <si>
    <t>Socket Wrench Attachment, 1/2" Drive, Hex, 5/8"</t>
  </si>
  <si>
    <t>Crowfoot Attachment, 1/2" Drive, 1-5/8" Open End</t>
  </si>
  <si>
    <t>Scissors, Steel, 5"</t>
  </si>
  <si>
    <t>Scissors, Steel, 7"</t>
  </si>
  <si>
    <t>Screwdriver, Flat Tip, 1/8" x 2"</t>
  </si>
  <si>
    <t>Bit, Screwdriver, 1/4" Hex Shank, Flat Tip, 3/16"</t>
  </si>
  <si>
    <t>Bit, Screwdriver, 1/4" Hex Shank, Flat Tip, 7/32"</t>
  </si>
  <si>
    <t>Bit, Screwdriver, 1/4" Hex Shank, Flat Tip, 1/4"</t>
  </si>
  <si>
    <t>Bit, Screwdriver, 1/4" Hex Shank, Flat Tip, 3/8"</t>
  </si>
  <si>
    <t>Bit, Screwdriver, 1/4" Hex Shank, Phillips, #2 ACR</t>
  </si>
  <si>
    <t>Mirror, Inspection, Telescoping, 1-1/4" Diameter, 33" Extension</t>
  </si>
  <si>
    <t>Socket, 1/2" Drive, 1/2", Spline #16</t>
  </si>
  <si>
    <t>Adapter, Torque Wrench, 1/2" Drive, 1-1/16", Spline #34</t>
  </si>
  <si>
    <t>Adapter, Torque Wrench, 1/2" Drive, 1-5/16", Spline #42</t>
  </si>
  <si>
    <t>Pliers, Retaining Ring, Internal/External, 90 Degree, 0.070"</t>
  </si>
  <si>
    <t>Screwdriver, Flat Tip, 3/16" x 3"</t>
  </si>
  <si>
    <t>Socket, 1/4" Drive, Deep, 5/16", 6 Point</t>
  </si>
  <si>
    <t>Socket, 1/4" Drive, Deep, 11/32"</t>
  </si>
  <si>
    <t>Socket, 1/4" Drive, Deep, 1/2"</t>
  </si>
  <si>
    <t>Socket, 1/4" Drive, Deep, 9/32"</t>
  </si>
  <si>
    <t>Socket, 1/2" Drive, 1-7/16"</t>
  </si>
  <si>
    <t>Extension, 1/2" Drive, 36"</t>
  </si>
  <si>
    <t>Gauge, Depth, Tire Tread</t>
  </si>
  <si>
    <t>Socket, 1/4" Drive, Deep, 5/16", Spline #10</t>
  </si>
  <si>
    <t>Socket, 1/4" Drive, Deep, 7/32", Spline #7</t>
  </si>
  <si>
    <t>Socket, 1/4" Drive, Deep, 1/4", Spline #8</t>
  </si>
  <si>
    <t>Socket, 1/4" Drive, 9/32", Spline #9</t>
  </si>
  <si>
    <t>Handle, Socket Wrench, Reversible, 1/4" Drive, Flexible</t>
  </si>
  <si>
    <t>Hammer, Deadblow, Non Sparking, 16 oz</t>
  </si>
  <si>
    <t>Socket, 1/4" Drive, 9/32"</t>
  </si>
  <si>
    <t>Crowfoot Attachment, 1/4" Drive, 3/8" Flare Nut</t>
  </si>
  <si>
    <t>Gauge/Inflator, Tire Pressure, 10 - 120 PSI</t>
  </si>
  <si>
    <t>Valve Removal Tool</t>
  </si>
  <si>
    <t>Socket Wrench Attachment, 1/4" Drive, Torx #10</t>
  </si>
  <si>
    <t>Socket Wrench Attachment, 1/4" Drive, Torx #20, Heavy Duty</t>
  </si>
  <si>
    <t>Socket Wrench Attachment, 1/4" Drive, Torx #10, Long</t>
  </si>
  <si>
    <t>Socket, 1/2" Drive, 3/4", 6 Point</t>
  </si>
  <si>
    <t>Socket, 1/2" Drive, 7/8", 6 Point</t>
  </si>
  <si>
    <t>Socket, 1/2" Drive, 1-1/16", 6 Point</t>
  </si>
  <si>
    <t>Socket, 1/2" Drive, 1-1/4", 6 Point</t>
  </si>
  <si>
    <t>Mirror, Inspection, Telescoping, 1-1/4" Diameter, 35" Extension</t>
  </si>
  <si>
    <t>Wrench, Pliers, C-Clamp Type, 12"</t>
  </si>
  <si>
    <t>Wrench, Open End, 7/16" x 1/2"</t>
  </si>
  <si>
    <t>Wrench, Open End, 9/16" x 5/8"</t>
  </si>
  <si>
    <t>Wrench, Open End, 15/16" x 1"</t>
  </si>
  <si>
    <t>Set, Wrench, Combination, 1/4” - 15/16” (6 pcs)</t>
  </si>
  <si>
    <t>Wrench, Open End, 4-Way Angle Head, 1-3/16"</t>
  </si>
  <si>
    <t>Wrench, Open End, 4-Way Angle Head, 1-1/2"</t>
  </si>
  <si>
    <t>Wrench, Pliers, Locking, 7"</t>
  </si>
  <si>
    <t>Wrench, Box, Deep Offset, 3/8" x 7/16"</t>
  </si>
  <si>
    <t>Wrench, Box, 5/8" x 11/16"</t>
  </si>
  <si>
    <t>Wrench, Box, 9/16" x 5/8"</t>
  </si>
  <si>
    <t>Gun, Air Blow</t>
  </si>
  <si>
    <t>Scriber, Bent Tip, 7"</t>
  </si>
  <si>
    <t>Brush, File Cleaner</t>
  </si>
  <si>
    <t>Bit, Screwdriver, 1/4" Hex Shank, Torq-Set, #10</t>
  </si>
  <si>
    <t>Bit, Screwdriver, 1/4" Hex Shank, Torq-Set, #8</t>
  </si>
  <si>
    <t>Micrometer, Depth, 0 - 6" (7 pcs plus case)</t>
  </si>
  <si>
    <t>Square, Combination, with Ruler, 12"</t>
  </si>
  <si>
    <t>Wrench, Open End, Low-Torque Slimline, 5/8" x 11/16"</t>
  </si>
  <si>
    <t>Socket, 3/4" Drive, Impact, 2-1/2", 6 Point</t>
  </si>
  <si>
    <t>Adapter, Torque Head, Ratcheting, 1/4" Drive, 250 in-lb max</t>
  </si>
  <si>
    <t>Adapter, Torque Head, Ratcheting, 3/8" Drive, 1250 in-lb max</t>
  </si>
  <si>
    <t>Adapter, Torque Head, Crowfoot, 9/16" Open End, 400 in-lb max</t>
  </si>
  <si>
    <t>Adapter, Torque Head, Crowfoot, 11/16" Open End, 800 in-lb max</t>
  </si>
  <si>
    <t>Adapter, Torque Head, Crowfoot, 7/8" Open End, 1500 in-lb max</t>
  </si>
  <si>
    <t>Adapter, Torque Head, Flare Nut, 15/16", 900 in-lb max</t>
  </si>
  <si>
    <t>Adapter, Torque Head, Box Head, 5/16", 350 in-lb max</t>
  </si>
  <si>
    <t>Adapter, Torque Head, Box Head, 3/8", 450 in-lb max</t>
  </si>
  <si>
    <t>Adapter, Torque Head, Box Head, 1-1/16", 3150 in-lb max</t>
  </si>
  <si>
    <t>Wrench, Open End, Low-Torque Slimline, 3/4" x 13/16"</t>
  </si>
  <si>
    <t>Knife, Putty, Nonmetallic, 1-1/2"</t>
  </si>
  <si>
    <t>Scraper, Plastic</t>
  </si>
  <si>
    <t>Screwdriver, Jeweler's, Phillips, #000</t>
  </si>
  <si>
    <t>Screwdriver, Jeweler's, Phillips, #0</t>
  </si>
  <si>
    <t>Screwdriver, Jeweler's, Phillips, #00</t>
  </si>
  <si>
    <t>Socket, 1/4" Drive, Deep, 3/16", Spline #26</t>
  </si>
  <si>
    <t>Socket, 1/4" Drive, Deep, 9/32", Spline #9</t>
  </si>
  <si>
    <t>Socket, 1/2" Drive, Deep, 13/16", Spline #26</t>
  </si>
  <si>
    <t>Socket, 1/2" Drive, Deep, 15/16", Spline #30</t>
  </si>
  <si>
    <t>Wrench, Combination, Ratcheting, 7/16", Spline #14</t>
  </si>
  <si>
    <t>Wrench, Combination, Ratcheting, 15/16", Spline #30</t>
  </si>
  <si>
    <t>Set, Pick, O-Ring, Brass (2pcs)</t>
  </si>
  <si>
    <t>Needle, Straight, Size E</t>
  </si>
  <si>
    <t>Scraper, Plastic, 8"</t>
  </si>
  <si>
    <t>Needle, Bodkin, Ball Point, 7"</t>
  </si>
  <si>
    <t>Pick, O-Ring, Nonmetallic</t>
  </si>
  <si>
    <t>Ripper, Seam, Heavy Duty</t>
  </si>
  <si>
    <t>Screwdriver, Jeweler's, 0.050"</t>
  </si>
  <si>
    <t>Drill Set, Carbide, 1/8" - 1/2" (13 pcs plus case)</t>
  </si>
  <si>
    <t>Cord, Extension, Electrical, 50 ft</t>
  </si>
  <si>
    <t>Set, Rotary Burr (9 pcs in Tube with 2 caps)</t>
  </si>
  <si>
    <t>Carbide Burr, Cone 3/8" dia</t>
  </si>
  <si>
    <t>Compressor, Air, 80 PSI</t>
  </si>
  <si>
    <t>1/4" Female x 1/8" Male Brass Adaptor</t>
  </si>
  <si>
    <t>Holder, Blade, Razor, Large with blade</t>
  </si>
  <si>
    <t>Holder, Blade, Razor, Small with Blade</t>
  </si>
  <si>
    <t>Screwdriver Bit Set and Handle, Hex (11 pcs plus case)</t>
  </si>
  <si>
    <t>Knife, Craftsman's, Small with Blade</t>
  </si>
  <si>
    <t>Knife, Craftsman's, Medium with Blade</t>
  </si>
  <si>
    <t>Knife, Craftsman's, Large with Blade</t>
  </si>
  <si>
    <t>Gun, Dispensing, Mixpac, 50mL</t>
  </si>
  <si>
    <t>Wrench, Adjustable, Auto</t>
  </si>
  <si>
    <t>Pliers, Swage, 8"</t>
  </si>
  <si>
    <t>Adapter, Socket Wrench, Impact, 1/2" Female to 3/8" Male</t>
  </si>
  <si>
    <t>Scrapers, Non-Abrasive (5pcs plus case)</t>
  </si>
  <si>
    <t>Caliper, Dial, 0 - 6"</t>
  </si>
  <si>
    <t>Crowfoot Attachment, 3/8" Drive, 1-1/8" Flare Nut</t>
  </si>
  <si>
    <t>Crowfoot Attachment, 3/8" Drive, 5/16" Flare Nut</t>
  </si>
  <si>
    <t>Tool,Captive Fastener, T3A7-10</t>
  </si>
  <si>
    <t>Tool,Captive Fastener, T3A7-10D</t>
  </si>
  <si>
    <t>Tool,Captive Fastener, T3A7-12</t>
  </si>
  <si>
    <t>Tool,Captive Fastener, T3A7-14</t>
  </si>
  <si>
    <t>Tool,Captive Fastener, T3A7-16</t>
  </si>
  <si>
    <t>Tool,Captive Fastener, T3A7-6</t>
  </si>
  <si>
    <t>Tool,Captive Fastener, T3A7-8</t>
  </si>
  <si>
    <t>Wrench, Open End, Thin, Single Head, 1-15/16"</t>
  </si>
  <si>
    <t>Chisel, Cold, Hand, 1/2" x 6"</t>
  </si>
  <si>
    <t>Punch, Center, 3/8" x 5"</t>
  </si>
  <si>
    <t>Socket, 1" Drive, 1-11/16"</t>
  </si>
  <si>
    <t>Socket, 1/2" Drive, 4", 6 Point</t>
  </si>
  <si>
    <t>Transducer, Vacuum</t>
  </si>
  <si>
    <t>Crowfoot Attachment, 3/8" Drive, 5/8" Deep Flare Nut</t>
  </si>
  <si>
    <t>Crowfoot Attachment, 3/8" Drive, 15/16" Deep Flare Nut</t>
  </si>
  <si>
    <t>Wrench, Adjustable, Aluminum, AN Fittings, 8"</t>
  </si>
  <si>
    <t>Wrench, Spanner, Adjustable, 3/4" to 2" Capacity</t>
  </si>
  <si>
    <t>Coupling Assembly, Quick Disconnect</t>
  </si>
  <si>
    <t>Drill, Pneumatic, 3/8" Capacity, Reversible</t>
  </si>
  <si>
    <t>Drill, Chuck, Angle Attachment, 90 Degrees</t>
  </si>
  <si>
    <t>Drill, Chuck, Angle Attachment, 45 Degrees</t>
  </si>
  <si>
    <t>Countersink, Integral Pilot, 100 Degree, 1/4"</t>
  </si>
  <si>
    <t>Countersink, Integral Pilot, 100 Degree, #10</t>
  </si>
  <si>
    <t>Countersink, Integral Pilot, 100 Degree, #21</t>
  </si>
  <si>
    <t>Countersink, Integral Pilot, 100 Degree, #30</t>
  </si>
  <si>
    <t>Countersink, Integral Pilot, 100 Degree, #40</t>
  </si>
  <si>
    <t>Holder, Sheet Metal, Wing Nut, 1/4"</t>
  </si>
  <si>
    <t>Holder, Sheet Metal, Wing Nut, 5/16"</t>
  </si>
  <si>
    <t>Holder, Sheet Metal, Wing Nut, 1/8", Extra Long</t>
  </si>
  <si>
    <t>Holder, Sheet Metal, Wing Nut, 5/32", Extra Long</t>
  </si>
  <si>
    <t>Holder, Sheet Metal, Wing Nut, 3/32", Extra Long</t>
  </si>
  <si>
    <t>Holder, Sheet Metal, Wing Nut, 1/4", Extra Long</t>
  </si>
  <si>
    <t>Holder, Sheet Metal, Wing Nut, 5/16", Extra Long</t>
  </si>
  <si>
    <t>Holder, Sheet Metal, Wing Nut, 3/16", Extra Long</t>
  </si>
  <si>
    <t>Handle, Socket Wrench, Reversible, 1/4" Drive, Hi-Lok</t>
  </si>
  <si>
    <t>Handle, Socket Wrench, Reversible, 3/8" Drive, Hi-Lok</t>
  </si>
  <si>
    <t>Vacuum, Pneumatic</t>
  </si>
  <si>
    <t>Key, Socket Head Screw, Hex, 0.050"</t>
  </si>
  <si>
    <t>Punch, Tapered, Bronze, 3/8" x 10"</t>
  </si>
  <si>
    <t>Punch, Drift, Bronze, 13/16" x 12"</t>
  </si>
  <si>
    <t>Punch, Drive Pin, 9/32" x 4-7/32"</t>
  </si>
  <si>
    <t>Punch, Roll Pin, 1/2" x 6"</t>
  </si>
  <si>
    <t>Punch, Roll Pin, 1/16" x 3-5/32"</t>
  </si>
  <si>
    <t>Punch, Roll Pin, 5/64" x 3-1/2"</t>
  </si>
  <si>
    <t>Punch, Roll Pin, 3/32" x 3-29/32"</t>
  </si>
  <si>
    <t>Punch, Roll Pin, 1/8" x 4-1/4"</t>
  </si>
  <si>
    <t>Punch, Roll Pin, 5/32" x 4-5/8"</t>
  </si>
  <si>
    <t>Punch, Roll Pin, 3/16" x 5"</t>
  </si>
  <si>
    <t>Punch, Roll Pin, 7/32" x 5-3/8"</t>
  </si>
  <si>
    <t>Punch, Roll Pin, 1/4" x 5-3/4"</t>
  </si>
  <si>
    <t>Set, Punch, Drive Pin</t>
  </si>
  <si>
    <t>Shroud, Router</t>
  </si>
  <si>
    <t>Frame, Roller, Paint, 4"</t>
  </si>
  <si>
    <t>0.040" Gap Gage</t>
  </si>
  <si>
    <t>Punch, Drive Pin, 1/8" x 4-3/4"</t>
  </si>
  <si>
    <t>Punch, Drive Pin, Long, 1/8" x 5-5/16"</t>
  </si>
  <si>
    <t>Punch, Drive Pin, 5/32" x 5"</t>
  </si>
  <si>
    <t>Punch, Drive Pin, 3/16" x 5-1/4"</t>
  </si>
  <si>
    <t>Punch, Drive Pin, 1/4" x 5-3/4"</t>
  </si>
  <si>
    <t>Punch, Center, Solid, 3/16" x 6"</t>
  </si>
  <si>
    <t>Punch, Center, Solid, 5/16" x 7"</t>
  </si>
  <si>
    <t>Punch, Drift Pin, 5/32" x 8"</t>
  </si>
  <si>
    <t>Punch, Drift Pin, 5/16" x 9"</t>
  </si>
  <si>
    <t>Tool, Insertion/Extraction, Pin, 20 AWG</t>
  </si>
  <si>
    <t>Fixture Assembly, Detent Pin, Restraining</t>
  </si>
  <si>
    <t>Comparator, Optical (3 pcs plus Case)</t>
  </si>
  <si>
    <t>Set, Socket, 3/8" Drive, Shallow/Deep, 6 Point, (1/4" - 7/8") (22 pcs)</t>
  </si>
  <si>
    <t>Adapter Assembly, Gun Rotor</t>
  </si>
  <si>
    <t>Pliers, Slip Joint, Combination</t>
  </si>
  <si>
    <t>Screwdriver, Flat Tip, .032" x 7"</t>
  </si>
  <si>
    <t>Screwdriver, Flat Tip, 5/16" x 6"</t>
  </si>
  <si>
    <t>Screwdriver, Flat Tip, 1/2" x 8"</t>
  </si>
  <si>
    <t>Screwdriver, Phillips, #1, 10"</t>
  </si>
  <si>
    <t>Screwdriver, Phillips, #3, 6"</t>
  </si>
  <si>
    <t>Seal Remover, Spoon Tip, 5-1/4"</t>
  </si>
  <si>
    <t>Seal Remover, Contoured Tip, 5-1/4"</t>
  </si>
  <si>
    <t>Screwdriver, Flat Tip, 1/8" x 3"</t>
  </si>
  <si>
    <t>Screwdriver, Flat Tip, 7/32" x 8"</t>
  </si>
  <si>
    <t>Screwdriver, Phillips, #2, 6"</t>
  </si>
  <si>
    <t>Rivet Set, Straight, 3/32"</t>
  </si>
  <si>
    <t>Rivet Set, Straight, 1/8"</t>
  </si>
  <si>
    <t>Rivet Set, Straight, 5/32"</t>
  </si>
  <si>
    <t>Rivet Set, Sraight, 3/16"</t>
  </si>
  <si>
    <t>Rivet Set, Flush Head, 1-1/4"</t>
  </si>
  <si>
    <t>Rivet Set, 10 Degree Offset, 1/8"</t>
  </si>
  <si>
    <t>Rivet Set, 10 Degree Offset, 5/32"</t>
  </si>
  <si>
    <t>Rivet Set, 10 Degree Offset, 3/16"</t>
  </si>
  <si>
    <t>Screwdriver, Torx #20, 3"</t>
  </si>
  <si>
    <t>Hold-Out Tool</t>
  </si>
  <si>
    <t>Socket, Eddie Nut, 3/8" Drive, -10</t>
  </si>
  <si>
    <t>Inspection Tool, Eddie Bolt, Thimble, .41"</t>
  </si>
  <si>
    <t>Wrench, Paddle Gage, Eddie Nut Removal, -10</t>
  </si>
  <si>
    <t>Wrench, Square Drive Roller, 3/8" Drive</t>
  </si>
  <si>
    <t>Wrench, Square Drive Roller, 1/4" Drive</t>
  </si>
  <si>
    <t>Set, Screwdriver, Jeweler's (12pcs plus case)</t>
  </si>
  <si>
    <t>Socket, 3/4" Drive, 3-1/8",Thin, Nose Landing Gear</t>
  </si>
  <si>
    <t>Router, Pin Type, Pneumatic with Wrenches</t>
  </si>
  <si>
    <t>Pry Bar, 24"</t>
  </si>
  <si>
    <t>Wrench, AMRAAM Wing and Fin</t>
  </si>
  <si>
    <t>Screwdriver, Phillips, #1</t>
  </si>
  <si>
    <t>Set, Pliers, Retaining Ring, Convertible, .036”, .047”, .070” (12 pcs)</t>
  </si>
  <si>
    <t>Adapter, Torque Wrench, 1/2" Drive, 1-1/8", 4" Long</t>
  </si>
  <si>
    <t>Grease Tube (for Grease Gun)</t>
  </si>
  <si>
    <t>Gun, Grease</t>
  </si>
  <si>
    <t>Pliers, Slip Joint, 6-1/2"</t>
  </si>
  <si>
    <t>Pliers, Slip Joint, 9"</t>
  </si>
  <si>
    <t>Bit, Screwdriver, 1/4" Hex Shank, Power Drive, Torque Set, #8 ACR</t>
  </si>
  <si>
    <t>Bit, Screwdriver, 1/4" Hex Shank, Power Drive, Torque Set, #10 ACR</t>
  </si>
  <si>
    <t>Pliers, Duckbill, 9"</t>
  </si>
  <si>
    <t>Drift Rod, Nylon, 1/2" x 12"</t>
  </si>
  <si>
    <t>Wrench, Adjustable, 10"</t>
  </si>
  <si>
    <t>Wrench, Adjustable, 6"</t>
  </si>
  <si>
    <t>Key, Socket Head Screw, Hex, 1/16"</t>
  </si>
  <si>
    <t>Key Set, Socket Head Screw, Hex, Ball End (13 pcs plus case)</t>
  </si>
  <si>
    <t>Key Set, Socket Head Screw, Hex, T-Handle (8 pcs plus case)</t>
  </si>
  <si>
    <t>Key Set, Socket Head Screw, Hex, Long (10 pcs plus case)</t>
  </si>
  <si>
    <t>Key, Socket Head Screw, Hex, 5/16", Long</t>
  </si>
  <si>
    <t>Key, Socket Head Screw, Hex, 9/64", Long</t>
  </si>
  <si>
    <t>Key Set, Socket Head Screw, Metric, Hex (9 pcs plus case)</t>
  </si>
  <si>
    <t>Pliers, Multiple Tongue and Groove, 12"</t>
  </si>
  <si>
    <t>Pliers, Cable Clamp, 7-3/8"</t>
  </si>
  <si>
    <t>Pliers, Needle Nose, Curved, 5"</t>
  </si>
  <si>
    <t>Carbide Bur, Cyclinder, 1/4"</t>
  </si>
  <si>
    <t>Carbide Bur, Cyclinder, 3/8"</t>
  </si>
  <si>
    <t>Carbide Bur, Ball Cone, 1/4"</t>
  </si>
  <si>
    <t>Carbide Bur, Ball Cone, 3/8"</t>
  </si>
  <si>
    <t>Carbide Bur, Cone, 1/4"</t>
  </si>
  <si>
    <t>Bit, Screwdriver, 1/4" Hex Shank, Torque Set, #10 ACR</t>
  </si>
  <si>
    <t>Bit, Screwdriver, 1/4" Hex Shank, Torque Set, #8 ACR</t>
  </si>
  <si>
    <t>Pliers, Diagonal Cut, Long Reach, 11"</t>
  </si>
  <si>
    <t>Sanding Block, 5" x 2-3/4"</t>
  </si>
  <si>
    <t>Drill, Twist, Aramid Type, Brad point, 1/4"</t>
  </si>
  <si>
    <t>Drill, Twist, Aramid Type, Brad point, 1/8"</t>
  </si>
  <si>
    <t>Drill, Twist, Aramid Type, Brad point, 3/16"</t>
  </si>
  <si>
    <t>Drill, Twist, Aramid Type, Brad point, 3/8"</t>
  </si>
  <si>
    <t>Drill, Twist, Aramid Type, Brad point, 5/16"</t>
  </si>
  <si>
    <t>Hammer, Sledge, 48 oz</t>
  </si>
  <si>
    <t>Gage, Wet Film Thickness, with Pouch</t>
  </si>
  <si>
    <t>Puller, Slide Hammer, 2-Jaw, 6-Ton, 6"</t>
  </si>
  <si>
    <t>Nut Driver, Insulated, 1/4"</t>
  </si>
  <si>
    <t>Nut Driver, Insulated, 3/8"</t>
  </si>
  <si>
    <t>Puller, Cotter Pin, 10"</t>
  </si>
  <si>
    <t>Protractor, 18"</t>
  </si>
  <si>
    <t>Knife, Scraping, Rigid, 3"</t>
  </si>
  <si>
    <t>Snips, Aviation, Left Hand Cut</t>
  </si>
  <si>
    <t>Drill Set, Twist, Cobalt, #1 to #60 (60 pcs plus case)</t>
  </si>
  <si>
    <t>Drill, Twist, Cobalt, 1/8"</t>
  </si>
  <si>
    <t>Drill, Twist, Cobalt, 5/16"</t>
  </si>
  <si>
    <t>Drill, Twist, Cobalt, 1/4"</t>
  </si>
  <si>
    <t>Drill, Twist, Cobalt, 3/8"</t>
  </si>
  <si>
    <t>Drill, Twist, Cobalt, 3/16"</t>
  </si>
  <si>
    <t>Drill Set, Twist, Cobalt, 1/16" to 3/8" (21 pcs plus case)</t>
  </si>
  <si>
    <t>Drill Set, Twist, Cobalt, 1/16" to 1/2" (29 pcs plus case)</t>
  </si>
  <si>
    <t>Drill, Twist, Mechanic's, 3/32"</t>
  </si>
  <si>
    <t>Drill, Twist, Mechanic's, 5/32"</t>
  </si>
  <si>
    <t>Pliers, Electronic, End Cut, 5"</t>
  </si>
  <si>
    <t>Flashlight, 2 Cell, LED</t>
  </si>
  <si>
    <t>Tip Assortment, Pliers, Retaining Ring</t>
  </si>
  <si>
    <t>Pliers, Multiple Tongue and Groove, Pipe, 10"</t>
  </si>
  <si>
    <t>Pliers, Multiple Tongue and Groove, Pipe, 18"</t>
  </si>
  <si>
    <t>Stripper, Wire, Hand, 8-22 AWG</t>
  </si>
  <si>
    <t>Wrench, Torque, Screwdriver Type, 1/4" Drive, 6 - 32 in-oz</t>
  </si>
  <si>
    <t>Wrench, Ratchet, Box, 5/8" x 11/16"</t>
  </si>
  <si>
    <t>Wrench Set, Ratchet, Box, 25° Offset, 1/4" to 7/8" (5 pcs)</t>
  </si>
  <si>
    <t>Wrench Set, Ratchet, Box, 1/4"-7/8" (5 pcs)</t>
  </si>
  <si>
    <t>Wrench, Ratchet, Box, 3/8" x 7/16", Spline #12 x #14</t>
  </si>
  <si>
    <t>Wrench, Ratchet, Box, 9/16" x 5/8", Spline #18 x #20</t>
  </si>
  <si>
    <t>Wrench, Ratchet, Box, 13/16" x 15/16", Spline #26 x #30</t>
  </si>
  <si>
    <t>Wrench, Ratchet, Box, 1/4" x 5/16", Spline #8 and #10</t>
  </si>
  <si>
    <t>Wrench, Ratchet, Box, T-Handle, 1/2"</t>
  </si>
  <si>
    <t>Wrench, Ratchet, Box, T-Handle, 9/16"</t>
  </si>
  <si>
    <t>Wrench Set, Ratchet, Box, T-Handle, 1/4" - 9/16" (7 pcs)</t>
  </si>
  <si>
    <t>Wrench, Flare-Nut, 6 Point, 1/2" x 9/16"</t>
  </si>
  <si>
    <t>Wrench, Flare-Nut, 6 Point, 5/8" x 11/16"</t>
  </si>
  <si>
    <t>Wrench Set, Flare Nut, 6-Point, 1/4" - 13/16" (5 pcs)</t>
  </si>
  <si>
    <t>Wrench, Ratchet, Box, 25° Offset, 1/4" x 5/16"</t>
  </si>
  <si>
    <t>Socket, 1/2" Drive, 1-1/16", 6 Point, Custom Flat</t>
  </si>
  <si>
    <t>Bit, Screwdriver, 1/4" Hex Shank, Power Drive, Torque Set, #6 ACR</t>
  </si>
  <si>
    <t>Screwdriver, Ratcheting, Stubby , Interchangeable</t>
  </si>
  <si>
    <t>Screwdriver, Jeweler's, 0.070"</t>
  </si>
  <si>
    <t>Screwdriver, Jeweler's, 0.080"</t>
  </si>
  <si>
    <t>Screwdriver, Jeweler's, 0.100"</t>
  </si>
  <si>
    <t>Screwdriver, Jeweler's, 0.055"</t>
  </si>
  <si>
    <t>Die Grinder, Angle, Pneumatic</t>
  </si>
  <si>
    <t>FRES20</t>
  </si>
  <si>
    <t>Adapter, Torque Wrench, 3/8" Drive, 5/8", Spline #20</t>
  </si>
  <si>
    <t>Air Chuck, Dual Foot, Open</t>
  </si>
  <si>
    <t>SWM321</t>
  </si>
  <si>
    <t>SEID</t>
  </si>
  <si>
    <t>JBT23</t>
  </si>
  <si>
    <t>JHT39</t>
  </si>
  <si>
    <t>JBT22</t>
  </si>
  <si>
    <t>JHT40</t>
  </si>
  <si>
    <t>JHT41</t>
  </si>
  <si>
    <t>JHT42</t>
  </si>
  <si>
    <t>JHT47</t>
  </si>
  <si>
    <t>JHT52</t>
  </si>
  <si>
    <t>JHT35</t>
  </si>
  <si>
    <t>JHT38</t>
  </si>
  <si>
    <t>JHT48</t>
  </si>
  <si>
    <t>JHT44</t>
  </si>
  <si>
    <t>JHT43</t>
  </si>
  <si>
    <t>JBT24</t>
  </si>
  <si>
    <t>JHT50</t>
  </si>
  <si>
    <t>JHT51</t>
  </si>
  <si>
    <t>JHT49</t>
  </si>
  <si>
    <t>JHT37</t>
  </si>
  <si>
    <t>JHT45</t>
  </si>
  <si>
    <t xml:space="preserve">   </t>
  </si>
  <si>
    <t>WAVEB2T83-06</t>
  </si>
  <si>
    <t>WAVEB2T83-08</t>
  </si>
  <si>
    <t>Tool Set, Flight Equipment</t>
  </si>
  <si>
    <t>Tool Set, Flight E Shop Equip</t>
  </si>
  <si>
    <t>Tool Set, Structure Box (A)</t>
  </si>
  <si>
    <t>Tool Set, LO Composite (A)</t>
  </si>
  <si>
    <t>Tool Set, Structure Box (B/C)</t>
  </si>
  <si>
    <t>Tool Set, Power Plants (A)</t>
  </si>
  <si>
    <t>Tool Set, Engine (B/C)</t>
  </si>
  <si>
    <t>Tool Set, Tire Back Shop (A)</t>
  </si>
  <si>
    <t>Tool Set, ECS (B/C)</t>
  </si>
  <si>
    <t>Tool Set, Power Plant Shop (B/C)</t>
  </si>
  <si>
    <t>Tool Set, Lift Systems (B)</t>
  </si>
  <si>
    <t>Tool Set, Egress (A)</t>
  </si>
  <si>
    <t xml:space="preserve">Tool Set, Egress (B/C) </t>
  </si>
  <si>
    <t xml:space="preserve">Tool Set, Torque Head </t>
  </si>
  <si>
    <t>Tool Set, Fuels  (A)</t>
  </si>
  <si>
    <t>Tool Set, Fuels  (B/C)</t>
  </si>
  <si>
    <t>Tool Set, Panel Kit (A)</t>
  </si>
  <si>
    <t>Tool Set, Tire Wheel (A)</t>
  </si>
  <si>
    <t>Tool Set, Tire Wheel (C)</t>
  </si>
  <si>
    <t>Tool Set, Avionics Maint  (A)</t>
  </si>
  <si>
    <t>Tool Set, Gun Jam Clearing Box (A)</t>
  </si>
  <si>
    <t>Tool Set, Gun Jam Clearing (B/C)</t>
  </si>
  <si>
    <t>Tool Set, Wpns Load Kit (B/C)</t>
  </si>
  <si>
    <t>Tool Set, Egress Dispatch (A)</t>
  </si>
  <si>
    <t>Tool Set, Crew Chief (A)</t>
  </si>
  <si>
    <t>Tool Set, Cross Country Pouch (B/C)</t>
  </si>
  <si>
    <t>Tool Set, Fuel Shop Dispatch (A)</t>
  </si>
  <si>
    <t>Tool Set, LO Dispatch (A)</t>
  </si>
  <si>
    <t xml:space="preserve">Tool Set, Eddie Bolt  </t>
  </si>
  <si>
    <t xml:space="preserve">Tool Set, Rivet </t>
  </si>
  <si>
    <t xml:space="preserve">Tool Set, Captive Fastener </t>
  </si>
  <si>
    <t>Tool Set, LO Composite (B/C)</t>
  </si>
  <si>
    <t>Toolbox Name: Tool Set, Egress (A)</t>
  </si>
  <si>
    <t>Toolbox Name: Tool Set, Egress (B/C)</t>
  </si>
  <si>
    <t>Toolbox Name: Tool Set, ECS (B/C)</t>
  </si>
  <si>
    <t>Toolbox Name: Tool Set, Tire Wheel (A)</t>
  </si>
  <si>
    <t>Toolbox Name: Tool Set, Tire Wheel (C)</t>
  </si>
  <si>
    <t>Toolbox Name: Tool Set, Tire Back Shop (A)</t>
  </si>
  <si>
    <t>Toolbox Name: Tool Set, Gun Jam Clearing Box (A)</t>
  </si>
  <si>
    <t>Toolbox Name: Tool Set, Power Plant Shop (B/C)</t>
  </si>
  <si>
    <t>Toolbox Name: Tool Set, Gun Jam Clearing (B/C)</t>
  </si>
  <si>
    <t>Toolbox Name: Tool Set, LO Composite (A)</t>
  </si>
  <si>
    <t>Toolbox Name: Tool Set, LO Dispatch (A)</t>
  </si>
  <si>
    <t>Toolbox Name: Tool Set, LO Composite (B/C)</t>
  </si>
  <si>
    <t>Toolbox Name: Tool Set, Wpns Load Kit (B/C)</t>
  </si>
  <si>
    <t>Toolbox Name: Tool Set, Flight Equipment</t>
  </si>
  <si>
    <t>Toolbox Name: Tool Set, Flight E Shop Equip</t>
  </si>
  <si>
    <t>Toolbox Name: Tool Set, Structure Box (A)</t>
  </si>
  <si>
    <t>Toolbox Name: Tool Set, Structure Box (B/C)</t>
  </si>
  <si>
    <t>Toolbox Name: Tool Set, Fuels  (A)</t>
  </si>
  <si>
    <t>Toolbox Name: Tool Set, Fuels  (B/C)</t>
  </si>
  <si>
    <t>Toolbox Name: Tool Set, Lift Systems (B)</t>
  </si>
  <si>
    <t>Toolbox Name: Tool Set, Cross Country Pouch (B/C)</t>
  </si>
  <si>
    <t>Toolbox Name: Tool Set, Crew Chief (A)</t>
  </si>
  <si>
    <t>Toolbox Name: Tool Set, Power Plants (A)</t>
  </si>
  <si>
    <t>Toolbox Name: Tool Set, Support Equipment</t>
  </si>
  <si>
    <t xml:space="preserve">Toolbox Name: Tool Set, Torque Head </t>
  </si>
  <si>
    <t xml:space="preserve">Toolbox Name: Tool Set, Rivet </t>
  </si>
  <si>
    <t xml:space="preserve">Toolbox Name: Tool Set, Captive Fastener </t>
  </si>
  <si>
    <t xml:space="preserve">Toolbox Name: Tool Set, Eddie Bolt  </t>
  </si>
  <si>
    <t>Toolbox Name: Tool Set, Panel Kit (A)</t>
  </si>
  <si>
    <t>Toolbox Name: Tool Set, Egress Dispatch (A)</t>
  </si>
  <si>
    <t>Toolbox Name: Tool Set, Fuel Shop Dispatch (A)</t>
  </si>
  <si>
    <t>Toolbox Name: Tool Set, Avionics Maint  (A)</t>
  </si>
  <si>
    <t>Air Tool Oil 4 oz</t>
  </si>
  <si>
    <t>A-1142</t>
  </si>
  <si>
    <t>Bar, Bucking, Rivet, 1.25 lbs</t>
  </si>
  <si>
    <t>ATI638</t>
  </si>
  <si>
    <t>Bar, Bucking, Rivet, 1.5 lbs</t>
  </si>
  <si>
    <t>ATI647</t>
  </si>
  <si>
    <t>Bar, Bucking, Rivet, 2 lbs</t>
  </si>
  <si>
    <t>ATI670</t>
  </si>
  <si>
    <t>ATI681</t>
  </si>
  <si>
    <t>Rivet Gun, 1/4" Capacity</t>
  </si>
  <si>
    <t>ATIATC4X</t>
  </si>
  <si>
    <t>Spring, Quick Change</t>
  </si>
  <si>
    <t>ATI114C-3</t>
  </si>
  <si>
    <t>Rivet Set, Flush Head, with Rubber Guard, 1"</t>
  </si>
  <si>
    <t>ATI110CB</t>
  </si>
  <si>
    <t>ATI100A35/32</t>
  </si>
  <si>
    <t>ATI100A33/16</t>
  </si>
  <si>
    <t>ATI100A33/32</t>
  </si>
  <si>
    <t>ATI100A3-1/8</t>
  </si>
  <si>
    <t>ATI101A35/32</t>
  </si>
  <si>
    <t>ATI101A3316</t>
  </si>
  <si>
    <t>Rivet Set, 10 Degree Offset, 3/32"</t>
  </si>
  <si>
    <t>ATI101A33/32</t>
  </si>
  <si>
    <t>ATI101A3-1/8</t>
  </si>
  <si>
    <t>ATI107A-2</t>
  </si>
  <si>
    <t>Rivet Set, Flush Head, 10 Degree Offset, 1/2"</t>
  </si>
  <si>
    <t>ATI101AF-3A</t>
  </si>
  <si>
    <t>85CF</t>
  </si>
  <si>
    <t>TES8B</t>
  </si>
  <si>
    <t>TES10B</t>
  </si>
  <si>
    <t>FES160B</t>
  </si>
  <si>
    <t>FES120B</t>
  </si>
  <si>
    <t>FES140B</t>
  </si>
  <si>
    <t>Crowfoot Attachment, 3/8" Drive, 9/16" Open End Shaved Thin</t>
  </si>
  <si>
    <t>FES180B</t>
  </si>
  <si>
    <t>FES200B</t>
  </si>
  <si>
    <t>FEL120B</t>
  </si>
  <si>
    <t>FEL140B</t>
  </si>
  <si>
    <t>FEL180B</t>
  </si>
  <si>
    <t>FEL200B</t>
  </si>
  <si>
    <t>M10</t>
  </si>
  <si>
    <t>AVSOSL9</t>
  </si>
  <si>
    <t>MCI04569828</t>
  </si>
  <si>
    <t>TES7B</t>
  </si>
  <si>
    <t>TEL8B</t>
  </si>
  <si>
    <t>TEL10B</t>
  </si>
  <si>
    <t>TEL7B</t>
  </si>
  <si>
    <t>Tool, Gage, Go Plug (used with Green Handle)</t>
  </si>
  <si>
    <t>Tool, Gage, Hi Limit, Red Handle</t>
  </si>
  <si>
    <t>Tool, Gage, Go Plug, Green Handle</t>
  </si>
  <si>
    <t>Tool, No-Go Hi Limit Pitch Diameter (used with Red Handle)</t>
  </si>
  <si>
    <t>Tool, No-Go Hi Limit Ramp (used with Red Handle)</t>
  </si>
  <si>
    <t>PA4F</t>
  </si>
  <si>
    <t>46CF</t>
  </si>
  <si>
    <t>JBT25</t>
  </si>
  <si>
    <t>SPK49711</t>
  </si>
  <si>
    <t>SPK49712</t>
  </si>
  <si>
    <t>SPK49713</t>
  </si>
  <si>
    <t>Bit, Screwdriver, 1/4" Hex Shank, 5/64” Hex</t>
  </si>
  <si>
    <t>Bit, Screwdriver, 1/4" Hex Shank, 3/32” Hex</t>
  </si>
  <si>
    <t>Bit, Screwdriver, 1/4" Hex Shank, 7/64” Hex</t>
  </si>
  <si>
    <t>Bit, Screwdriver, 1/4" Hex Shank, 1/8” Hex</t>
  </si>
  <si>
    <t>Bit, Screwdriver, 1/4" Hex Shank, 9/64” Hex</t>
  </si>
  <si>
    <t>Bit, Screwdriver, 1/4" Hex Shank, 5/32” Hex</t>
  </si>
  <si>
    <t>Bit, Screwdriver, 1/4" Hex Shank, 3/16” Hex</t>
  </si>
  <si>
    <t>Bit, Screwdriver, 1/4" Hex Shank, 7/32” Hex</t>
  </si>
  <si>
    <t>Bit, Screwdriver, 1/4" Hex Shank, 1/4” Hex</t>
  </si>
  <si>
    <t>WAVEB2T50005</t>
  </si>
  <si>
    <t>EB2T7000-8LA</t>
  </si>
  <si>
    <t>EB2G1100-8</t>
  </si>
  <si>
    <t>No Box</t>
  </si>
  <si>
    <t>NAVYMAT-S-BLACK</t>
  </si>
  <si>
    <t>KMC18043NBK</t>
  </si>
  <si>
    <t>Snap-On (8 drawer)</t>
  </si>
  <si>
    <t>Extractor Set, Screw, Right Hand (10 pcs plus case)</t>
  </si>
  <si>
    <t>Awl, Screwdriver Type, 3"</t>
  </si>
  <si>
    <t>MFG Part Number</t>
  </si>
  <si>
    <t>Cage Code</t>
  </si>
  <si>
    <t>TES9B</t>
  </si>
  <si>
    <t>05510</t>
  </si>
  <si>
    <t>JNT411B60</t>
  </si>
  <si>
    <t>J5214SPL</t>
  </si>
  <si>
    <t>13910</t>
  </si>
  <si>
    <t>J4706DPL</t>
  </si>
  <si>
    <t>J4709DPL</t>
  </si>
  <si>
    <t>J4708SPL</t>
  </si>
  <si>
    <t>J5324DPL</t>
  </si>
  <si>
    <t xml:space="preserve">J5326DPL </t>
  </si>
  <si>
    <t>J5330DPL</t>
  </si>
  <si>
    <t>J5736SPL</t>
  </si>
  <si>
    <t>51-1851</t>
  </si>
  <si>
    <t xml:space="preserve">JSCR14 </t>
  </si>
  <si>
    <t xml:space="preserve">JSCV30 </t>
  </si>
  <si>
    <t>09270059</t>
  </si>
  <si>
    <t>46445</t>
  </si>
  <si>
    <t>GTP530A</t>
  </si>
  <si>
    <t>32.931SY</t>
  </si>
  <si>
    <t>783NG29</t>
  </si>
  <si>
    <t>ISU05747549</t>
  </si>
  <si>
    <t>501X</t>
  </si>
  <si>
    <t>MT1406</t>
  </si>
  <si>
    <t>7782</t>
  </si>
  <si>
    <t>CD3825</t>
  </si>
  <si>
    <t>728012002668</t>
  </si>
  <si>
    <t>501 1/2</t>
  </si>
  <si>
    <t>025480054</t>
  </si>
  <si>
    <t>36201</t>
  </si>
  <si>
    <t>47375027</t>
  </si>
  <si>
    <t>C2002</t>
  </si>
  <si>
    <t>222P-4-2</t>
  </si>
  <si>
    <t>J4905BD</t>
  </si>
  <si>
    <t xml:space="preserve">28-500 </t>
  </si>
  <si>
    <t xml:space="preserve">28-100 </t>
  </si>
  <si>
    <t>MR05000</t>
  </si>
  <si>
    <t>PA-1 BLUE</t>
  </si>
  <si>
    <t>DMA51-00-10</t>
  </si>
  <si>
    <t>8039-02</t>
  </si>
  <si>
    <t>8039-03</t>
  </si>
  <si>
    <t>8039-06</t>
  </si>
  <si>
    <t>09346</t>
  </si>
  <si>
    <t>14211</t>
  </si>
  <si>
    <t>05539</t>
  </si>
  <si>
    <t>GSCC2.506</t>
  </si>
  <si>
    <t>Heat Gun Stand XX10</t>
  </si>
  <si>
    <t>55719</t>
  </si>
  <si>
    <t>0MA04</t>
  </si>
  <si>
    <t>03WJ4</t>
  </si>
  <si>
    <t>3RWH7</t>
  </si>
  <si>
    <t>5M916</t>
  </si>
  <si>
    <t>30003</t>
  </si>
  <si>
    <t>05606</t>
  </si>
  <si>
    <t>1EMD6</t>
  </si>
  <si>
    <t>1CV05</t>
  </si>
  <si>
    <t>16331</t>
  </si>
  <si>
    <t>4E208</t>
  </si>
  <si>
    <t>636D0</t>
  </si>
  <si>
    <t>03705</t>
  </si>
  <si>
    <t>89750</t>
  </si>
  <si>
    <t>39428</t>
  </si>
  <si>
    <t>53912</t>
  </si>
  <si>
    <t>25257</t>
  </si>
  <si>
    <t>97853</t>
  </si>
  <si>
    <t>29372</t>
  </si>
  <si>
    <t>4X592</t>
  </si>
  <si>
    <t>0C1P4</t>
  </si>
  <si>
    <t>Quint Measuring</t>
  </si>
  <si>
    <t>5R793</t>
  </si>
  <si>
    <t>4U744</t>
  </si>
  <si>
    <t>58794</t>
  </si>
  <si>
    <t>60240</t>
  </si>
  <si>
    <t>06383</t>
  </si>
  <si>
    <t>57235</t>
  </si>
  <si>
    <t>29891</t>
  </si>
  <si>
    <t>3DN12</t>
  </si>
  <si>
    <t>0JXT0</t>
  </si>
  <si>
    <t>4J007</t>
  </si>
  <si>
    <t xml:space="preserve"> 76970</t>
  </si>
  <si>
    <t xml:space="preserve"> 18037</t>
  </si>
  <si>
    <t>Dritz</t>
  </si>
  <si>
    <t>76970</t>
  </si>
  <si>
    <t xml:space="preserve"> 7K485</t>
  </si>
  <si>
    <t>5YN58</t>
  </si>
  <si>
    <t>57309</t>
  </si>
  <si>
    <t>1CG98</t>
  </si>
  <si>
    <t xml:space="preserve"> 0ALY1</t>
  </si>
  <si>
    <t>23030</t>
  </si>
  <si>
    <t>60933</t>
  </si>
  <si>
    <t>04AE5</t>
  </si>
  <si>
    <t>72274</t>
  </si>
  <si>
    <t>76381</t>
  </si>
  <si>
    <t>Curbell</t>
  </si>
  <si>
    <t>20954</t>
  </si>
  <si>
    <t>7V918</t>
  </si>
  <si>
    <t>48453</t>
  </si>
  <si>
    <t xml:space="preserve">  7J136 </t>
  </si>
  <si>
    <t>65442</t>
  </si>
  <si>
    <t>64334</t>
  </si>
  <si>
    <t>0GMY6</t>
  </si>
  <si>
    <t>17353</t>
  </si>
  <si>
    <t>1YXT9</t>
  </si>
  <si>
    <t>www.palcodistributing.com</t>
  </si>
  <si>
    <t>C0774</t>
  </si>
  <si>
    <t>65309</t>
  </si>
  <si>
    <t>5180-01-468-1769</t>
  </si>
  <si>
    <t>EB2G1000-6</t>
  </si>
  <si>
    <t>EBRT100-12</t>
  </si>
  <si>
    <t>SRDH321</t>
  </si>
  <si>
    <t>JHWH-51B</t>
  </si>
  <si>
    <t>T-03-7071</t>
  </si>
  <si>
    <t>Socket Wrench Attachment, 1/4" Drive, Hex, 9/64", Long</t>
  </si>
  <si>
    <t>TMA4.5LE</t>
  </si>
  <si>
    <t>196ACF</t>
  </si>
  <si>
    <t>T-16</t>
  </si>
  <si>
    <t>CNT51-2031</t>
  </si>
  <si>
    <t>87ACF</t>
  </si>
  <si>
    <t>IM802A</t>
  </si>
  <si>
    <t>LST64514</t>
  </si>
  <si>
    <t>SRPC9090A</t>
  </si>
  <si>
    <t>JHWAP-6A</t>
  </si>
  <si>
    <t>JHWAP-8A</t>
  </si>
  <si>
    <t>JHWAP-10A</t>
  </si>
  <si>
    <t>GXDES3234A</t>
  </si>
  <si>
    <t>CNT58-0635</t>
  </si>
  <si>
    <t>MCI06530943</t>
  </si>
  <si>
    <t>MCI06530927</t>
  </si>
  <si>
    <t>HNA210LRK</t>
  </si>
  <si>
    <t>CNT97-0207</t>
  </si>
  <si>
    <t>Shears, Heavy Duty, 9"</t>
  </si>
  <si>
    <t>CNT51-2036</t>
  </si>
  <si>
    <t>DRR17749</t>
  </si>
  <si>
    <t>DRR17799</t>
  </si>
  <si>
    <t>DRR18049</t>
  </si>
  <si>
    <t>DRR18089</t>
  </si>
  <si>
    <t>DRR19419</t>
  </si>
  <si>
    <t>PDR3000A</t>
  </si>
  <si>
    <t>CNT51-2024</t>
  </si>
  <si>
    <t>CNT51-2025</t>
  </si>
  <si>
    <t>CNT51-2026</t>
  </si>
  <si>
    <t>CNT51-2027</t>
  </si>
  <si>
    <t>CNT51-2028</t>
  </si>
  <si>
    <t>CNT51-2039</t>
  </si>
  <si>
    <t>CNT51-2038</t>
  </si>
  <si>
    <t>CNT51-2426</t>
  </si>
  <si>
    <t>CNT51-2084</t>
  </si>
  <si>
    <t>T-701S</t>
  </si>
  <si>
    <t>TGIFS1</t>
  </si>
  <si>
    <t>STL33302</t>
  </si>
  <si>
    <t>49ACF</t>
  </si>
  <si>
    <t>ISU05510</t>
  </si>
  <si>
    <t>MCI04569554</t>
  </si>
  <si>
    <t>ATS3539IT-1/4</t>
  </si>
  <si>
    <t>ATS3539IT-3/8</t>
  </si>
  <si>
    <t>Wrench, Paddle Gauge, Inspection</t>
  </si>
  <si>
    <t>WAVEB2G11008</t>
  </si>
  <si>
    <t>Wrench, Eddie Bolt, Curved, -8</t>
  </si>
  <si>
    <t>WAV2T70008LA</t>
  </si>
  <si>
    <t>093-09202</t>
  </si>
  <si>
    <t>EB2T4020-10</t>
  </si>
  <si>
    <t>EB2G1000-5</t>
  </si>
  <si>
    <t>WAVEB2G10006</t>
  </si>
  <si>
    <t>EB2G1000-8</t>
  </si>
  <si>
    <t>EB2G1000-12</t>
  </si>
  <si>
    <t>EB2G1309</t>
  </si>
  <si>
    <t>ALC-EB2G1400</t>
  </si>
  <si>
    <t>Socket, Eddie Nut Drive, -6</t>
  </si>
  <si>
    <t>WAVEB2T4020</t>
  </si>
  <si>
    <t>EB2T4020-6</t>
  </si>
  <si>
    <t>Socket, Eddie Nut Drive, -8</t>
  </si>
  <si>
    <t>EB2T4020-8-2</t>
  </si>
  <si>
    <t>EB2T5000-5</t>
  </si>
  <si>
    <t>EB2T5000-6</t>
  </si>
  <si>
    <t>EB2T5000-8</t>
  </si>
  <si>
    <t>EB2T5200-5</t>
  </si>
  <si>
    <t>EB2T5200-6</t>
  </si>
  <si>
    <t>EB2T5200-8</t>
  </si>
  <si>
    <t>Removal Tool, Eddie Bolt, Collet, Nut, -06</t>
  </si>
  <si>
    <t>EB2T8300-06SPK</t>
  </si>
  <si>
    <t>Removal Tool, Eddie Bolt, Collet, Nut, -08</t>
  </si>
  <si>
    <t>EB2T8300-08SPK</t>
  </si>
  <si>
    <t>WAVEBRT100-1</t>
  </si>
  <si>
    <t>EBRT100-5</t>
  </si>
  <si>
    <t>EBRT100-6</t>
  </si>
  <si>
    <t>EBRT100-8</t>
  </si>
  <si>
    <t>EBRTO100-10</t>
  </si>
  <si>
    <t>RWB100-400</t>
  </si>
  <si>
    <t>RWB100-80</t>
  </si>
  <si>
    <t>SPK650-5-2</t>
  </si>
  <si>
    <t>SPK650-6-2</t>
  </si>
  <si>
    <t>SPK650-8-2</t>
  </si>
  <si>
    <t>SPKH-8</t>
  </si>
  <si>
    <t>Wrench, Square Drive Roller, 5/16" Drive</t>
  </si>
  <si>
    <t>WAVRWB100-13</t>
  </si>
  <si>
    <t>RWB100-130-312</t>
  </si>
  <si>
    <t>Key, Eddie Bolt, Spline Lock, 1.25"</t>
  </si>
  <si>
    <t>WAVSPK650121</t>
  </si>
  <si>
    <t>SPK650-12-1</t>
  </si>
  <si>
    <t>Socket, Eddie Nut Drive, -5</t>
  </si>
  <si>
    <t>WAVEB2T40205</t>
  </si>
  <si>
    <t>EB2T4020-5</t>
  </si>
  <si>
    <t>Socket, Eddie Nut Drive, -12</t>
  </si>
  <si>
    <t>WAVEB2T40212</t>
  </si>
  <si>
    <t>EB2T4020-12</t>
  </si>
  <si>
    <t>Socket Set, Eddie Nut Savi</t>
  </si>
  <si>
    <t>WAVVI56810EB</t>
  </si>
  <si>
    <t>SAVI-56810-EB</t>
  </si>
  <si>
    <t>Socket, Eddie Nut, .22, -6</t>
  </si>
  <si>
    <t>WAVEB2T40246</t>
  </si>
  <si>
    <t>EB2T4024-6</t>
  </si>
  <si>
    <t>Wrench, Square Drive Roller Reverse, 1/4" Drive</t>
  </si>
  <si>
    <t>WAVRWB10080R</t>
  </si>
  <si>
    <t>RWB100-80R</t>
  </si>
  <si>
    <t>Wrench, Paddle Gage, Eddie Nut Removal, -8</t>
  </si>
  <si>
    <t>WAVEBRT01008</t>
  </si>
  <si>
    <t>EBRTO100-8</t>
  </si>
  <si>
    <t>A3042</t>
  </si>
  <si>
    <t>Adapter, Socket Wrench, 1/4" Hex to 3/8" Male</t>
  </si>
  <si>
    <t>Wrench, Refrigeration</t>
  </si>
  <si>
    <t>R404</t>
  </si>
  <si>
    <t>FRES18</t>
  </si>
  <si>
    <t>FRES16</t>
  </si>
  <si>
    <t>FRES12</t>
  </si>
  <si>
    <t>FRES14</t>
  </si>
  <si>
    <t>FRES24</t>
  </si>
  <si>
    <t>FRES22</t>
  </si>
  <si>
    <t>XDES810A</t>
  </si>
  <si>
    <t>XDES79A</t>
  </si>
  <si>
    <t>XDES1820A</t>
  </si>
  <si>
    <t>XDES1214A</t>
  </si>
  <si>
    <t>Adapter, Torque Wrench, 3/8" Drive, 9/16", Spline #18</t>
  </si>
  <si>
    <t>Adapter, Torque Wrench, 3/8" Drive, 1/2", Spline #16</t>
  </si>
  <si>
    <t>Adapter, Torque Wrench, 3/8" Drive, 3/8", Spline #12</t>
  </si>
  <si>
    <t>Adapter, Torque Wrench, 3/8" Drive, 7/16", Spline #14</t>
  </si>
  <si>
    <t>Adapter, Torque Wrench, 3/8" Drive, 3/4", Spline #24</t>
  </si>
  <si>
    <t>Adapter, Torque Wrench, 3/8" Drive, 11/16", Spline #22</t>
  </si>
  <si>
    <t>Wrench, Box, Angle Head, 1/4" x 5/16", Spline #8 x #10</t>
  </si>
  <si>
    <t>Wrench, Box, Angle Head, 7/32" x 9/32", Spline #7 x #9</t>
  </si>
  <si>
    <t>Wrench, Box, Angle Head, 9/16" x 5/8", Spline #18 x #20</t>
  </si>
  <si>
    <t>Wrench, Box, Angle Head, 3/8" x 7/16", Spline #12 x #14</t>
  </si>
  <si>
    <t>Wrench, Combination, 2"</t>
  </si>
  <si>
    <t>Nose Pc Assy Pnl Grommet Flare Tool</t>
  </si>
  <si>
    <t>Mandrel, Back Up, Collapsible Pilot</t>
  </si>
  <si>
    <t>STNV3814</t>
  </si>
  <si>
    <t>STNV1414</t>
  </si>
  <si>
    <t>TTXL20E</t>
  </si>
  <si>
    <t>Socket Wrench Attachment, 1/4" Drive, Torx #20, Long</t>
  </si>
  <si>
    <t>F35SPLI17</t>
  </si>
  <si>
    <t>F35SPLE23</t>
  </si>
  <si>
    <t>F35LG1280</t>
  </si>
  <si>
    <t>TWM32</t>
  </si>
  <si>
    <t>MCQ05D11014</t>
  </si>
  <si>
    <t>WAV2013</t>
  </si>
  <si>
    <t>497ACF</t>
  </si>
  <si>
    <t>ATI3594</t>
  </si>
  <si>
    <t>MCQ690</t>
  </si>
  <si>
    <t>MCI06530901</t>
  </si>
  <si>
    <t>MCQ448</t>
  </si>
  <si>
    <t>OEX64A</t>
  </si>
  <si>
    <t>Flashlight, AA, 4 Cell</t>
  </si>
  <si>
    <t>Flashlight, AA, 4 Cell, with Optional Lens, Blue and Cone</t>
  </si>
  <si>
    <t>Key, Socket Head Screw, Hex 5/64"</t>
  </si>
  <si>
    <t>AW2-1/2D</t>
  </si>
  <si>
    <t>Key, Socket Head Screw, Hex 1/8"</t>
  </si>
  <si>
    <t>AW4D</t>
  </si>
  <si>
    <t>TMAM2.5E</t>
  </si>
  <si>
    <t>Toolbox Name: Tool Set, Mask Oxygen Only</t>
  </si>
  <si>
    <t>Tool Set, Mask Oxygen Only</t>
  </si>
  <si>
    <t>Toolbox Name: Tool Set, LO Dispatch (B/C)</t>
  </si>
  <si>
    <t>Tool Set, LO Dispatch (B/C)</t>
  </si>
  <si>
    <t>Wrench, Combination, Midget, 3/4"</t>
  </si>
  <si>
    <t>OXI24B</t>
  </si>
  <si>
    <t>Extractor Set, Multispline (10 pcs plus case)</t>
  </si>
  <si>
    <t>REX10B</t>
  </si>
  <si>
    <t>Fastener, Captive, Insert &amp; Removal</t>
  </si>
  <si>
    <t>CA21037-T12</t>
  </si>
  <si>
    <t>SCO76</t>
  </si>
  <si>
    <t>12 Point Shallow Socket (11pcs) (1/4-7/8")</t>
  </si>
  <si>
    <t>211FY</t>
  </si>
  <si>
    <t>12 Point Shallow Socket (11/32)</t>
  </si>
  <si>
    <t>F111</t>
  </si>
  <si>
    <t>STNJNA9</t>
  </si>
  <si>
    <t>STNJNB11</t>
  </si>
  <si>
    <t>STNJNC13</t>
  </si>
  <si>
    <t>STNJND15</t>
  </si>
  <si>
    <t>STNJNE17</t>
  </si>
  <si>
    <t>STNJNF19</t>
  </si>
  <si>
    <t>7/32" Combo Wrench</t>
  </si>
  <si>
    <t>STNJNG21</t>
  </si>
  <si>
    <t>STNJNH23</t>
  </si>
  <si>
    <t>STNJNJ25</t>
  </si>
  <si>
    <t>Planner, Field, Tan, 4-5/8" x 7"</t>
  </si>
  <si>
    <t xml:space="preserve"> MCQ448</t>
  </si>
  <si>
    <t>AB3042</t>
  </si>
  <si>
    <t>Toolbox Name: Tool Set, Engine (B/C)</t>
  </si>
  <si>
    <t>ZEPTS2128</t>
  </si>
  <si>
    <t>KDTGOVF35GJI</t>
  </si>
  <si>
    <t>KDTGOVF3GJE2</t>
  </si>
  <si>
    <t>Adapter, Torque Head, 1/2" Drive, 13/16"</t>
  </si>
  <si>
    <t>IMFS260</t>
  </si>
  <si>
    <t>Socket, 3/8" Drive, 3/8", Spline</t>
  </si>
  <si>
    <t>OES16B</t>
  </si>
  <si>
    <t>OES8B</t>
  </si>
  <si>
    <t>OES12B</t>
  </si>
  <si>
    <t>OES14B</t>
  </si>
  <si>
    <t>OES18B</t>
  </si>
  <si>
    <t>Wrench, Combination, 1/2”, Spline ratchet</t>
  </si>
  <si>
    <t>Pry Bar, 18"</t>
  </si>
  <si>
    <t>SDM311B</t>
  </si>
  <si>
    <t>Toolbox Name: Tool Set, Airframe Shop Equip (B/C)</t>
  </si>
  <si>
    <t>Extension, 1/4” Drive, 11"</t>
  </si>
  <si>
    <t>Socket, 3/8” Drive, Universal, 3/8"</t>
  </si>
  <si>
    <t>Socket, 3/8” Drive, Universal, 5/16"</t>
  </si>
  <si>
    <t>Socket, 1/4” Drive, Universal, 1/4"</t>
  </si>
  <si>
    <t>FU10B</t>
  </si>
  <si>
    <t>FU12B</t>
  </si>
  <si>
    <t>Hammer, Dead Blow, Steel and Soft Face, 16 oz</t>
  </si>
  <si>
    <t>HSPD16</t>
  </si>
  <si>
    <t>Key Set, Socket Head Screw, Hex (13 pcs plus case)</t>
  </si>
  <si>
    <t>AWS13</t>
  </si>
  <si>
    <t>Tool Set, Airframe Shop Equip (B/C)</t>
  </si>
  <si>
    <t>Tool Set, Support Equipment (A/B)</t>
  </si>
  <si>
    <t>Tool Set, Avionics/Electrical (A)</t>
  </si>
  <si>
    <t>Tool Set, Avionics Line (B)</t>
  </si>
  <si>
    <t>Tool Set, Avionics Maint Pouch (B)</t>
  </si>
  <si>
    <t>Tool Set, Weapons (A)</t>
  </si>
  <si>
    <t>Wrench, Box, 7/8" x 15/16"</t>
  </si>
  <si>
    <t>XB2830A</t>
  </si>
  <si>
    <t>Wrench, Box, Short, 1/4" x 5/16"</t>
  </si>
  <si>
    <t>XS810A</t>
  </si>
  <si>
    <t>Wrench, Combination, Ratcheting, 7/8" Spline #28</t>
  </si>
  <si>
    <t>Wrench, Combination, Ratcheting, 5/8" Spline #20</t>
  </si>
  <si>
    <t>Wrench, Combination, Ratcheting, 3/4" Spline #24</t>
  </si>
  <si>
    <t>Tool Set, Power Line Tire Removal (B)</t>
  </si>
  <si>
    <t>OEX240B</t>
  </si>
  <si>
    <t>Wrench, Combination, Short, 3/4”</t>
  </si>
  <si>
    <t>LTA1618</t>
  </si>
  <si>
    <t>Wrench, Open End, Low-Torque Slimline, 1/2" x 9/16"</t>
  </si>
  <si>
    <t>Toolbox Name: Tool Set, Airframe Servicing Pouch (B)</t>
  </si>
  <si>
    <t>Tool Set, Airframes Servicing Pouch (B)</t>
  </si>
  <si>
    <t>Tool Set, Airframes Servicing Pouch (C)</t>
  </si>
  <si>
    <t>Flashlight, AA, 4 Cell, with Blue Lense and Cone (cut to 4")</t>
  </si>
  <si>
    <t>Toolbox Name: Tool Set, Airframe Servicing Pouch (C)</t>
  </si>
  <si>
    <t xml:space="preserve"> </t>
  </si>
  <si>
    <t>STNA</t>
  </si>
  <si>
    <t>Tool Set, OML Pouch (A)</t>
  </si>
  <si>
    <t>Tool Set, OML Pouch (B/C)</t>
  </si>
  <si>
    <t>Toolbox Name: Tool Set, OML Pouch (B/C)</t>
  </si>
  <si>
    <t>Gauge, Depth</t>
  </si>
  <si>
    <t>643 (Starret)</t>
  </si>
  <si>
    <t>Toolbox Name: Tool Box, Oxygen Use Only (A)</t>
  </si>
  <si>
    <t>Toolbox Name: Tool Box, Oxygen Use Only (B/C)</t>
  </si>
  <si>
    <t>SDMTA50</t>
  </si>
  <si>
    <t>Tool Set, MALS Tire Buildup (B)</t>
  </si>
  <si>
    <t>Toolbox Name: Tool Set, MALS Tire Build Up (B)</t>
  </si>
  <si>
    <t>Toolbox Name: Tool Set, Avionics Maintenance (B)</t>
  </si>
  <si>
    <t>Wrench, Combination, 13/16"</t>
  </si>
  <si>
    <t>Wrench, Combination, 5/16"</t>
  </si>
  <si>
    <t>Toolbox Name: Tool Set, Weapons (A)</t>
  </si>
  <si>
    <t>Cam Assembly, Arming/Safing</t>
  </si>
  <si>
    <t>Wrench, Combination, 1"</t>
  </si>
  <si>
    <t>Toolbox Name: Tool Set, Weapons Maintenance (B/C)</t>
  </si>
  <si>
    <t>AWBXL13</t>
  </si>
  <si>
    <t>Key Set, Socket Head Screw, Hex, Long, Ball End (13 pcs plus case)</t>
  </si>
  <si>
    <t>Tool Set, Weapons Maintenance (B/C)</t>
  </si>
  <si>
    <t>Toolbox Name: Tool Set, Ordnance Shop (C)</t>
  </si>
  <si>
    <t>Toolbox Name: Tool Set, Ordnance Shop (B)</t>
  </si>
  <si>
    <t>Tool Set, Ordnance Shop (B)</t>
  </si>
  <si>
    <t>Tool Set, Ordnance Shop (C)</t>
  </si>
  <si>
    <t>Set, Pry Tools</t>
  </si>
  <si>
    <t>Toolbox Name: Tool Set, Gun Maintenance Shop (B/C)</t>
  </si>
  <si>
    <t>Tool Set, Gun Maintenance Shop (BC)</t>
  </si>
  <si>
    <t>3L5M5</t>
  </si>
  <si>
    <t>18894-20057635-01</t>
  </si>
  <si>
    <t>Adaptor, 1/4" Hex To 3/8" Square</t>
  </si>
  <si>
    <t>SPBS18</t>
  </si>
  <si>
    <t>Toolbox Name: Tool Set, 13B Flight Service Pouch (B)</t>
  </si>
  <si>
    <t>Toolbox Name: Tool Set, 13B Flight Service Pouch (C)</t>
  </si>
  <si>
    <t>Tool Set, 13B Flight Service Pouch (B)</t>
  </si>
  <si>
    <t>Tool Set, 13B Flight Service Pouch (C)</t>
  </si>
  <si>
    <t>Toolbox Name: Tool Set, 310 Flight Servicing Pouch (B)</t>
  </si>
  <si>
    <t>Tool Set, 310 Flight Servicing Pouch (B)</t>
  </si>
  <si>
    <t>Tool Set, 310 Shop Pouch (C)</t>
  </si>
  <si>
    <t>Toolbox Name: Tool Set, 310 Shop Pouch (C)</t>
  </si>
  <si>
    <t>Toolbox Name: Tool Set, 110 Flight Recovery Pouch (C)</t>
  </si>
  <si>
    <t>Toolbox Name: Tool Set, 040 Inspection Box (C)</t>
  </si>
  <si>
    <t>Tool Set, 110 Flight Recovery Pouch (C)</t>
  </si>
  <si>
    <t>Mirror, Inspection, Rectangular, 11"</t>
  </si>
  <si>
    <t>Tool Set, 040 Inspection Box (C)</t>
  </si>
  <si>
    <t>GA52B</t>
  </si>
  <si>
    <t>Toolbox Name: Tool Set, Fastener (A)</t>
  </si>
  <si>
    <t>Toolbox Name: Tool Set, Fastener (B/C)</t>
  </si>
  <si>
    <t>Tool Set, Fastener (A)</t>
  </si>
  <si>
    <t>Tool Set, Fastener (B/C)</t>
  </si>
  <si>
    <t>Tool Set, Traffic Directing (C)</t>
  </si>
  <si>
    <t>Tool Set, Traffic Directing (B)</t>
  </si>
  <si>
    <t>Kit</t>
  </si>
  <si>
    <t>Traffic Directing Pouch</t>
  </si>
  <si>
    <t>MXM25801</t>
  </si>
  <si>
    <t>Contains  10 pouches w/2 flashlights  ea</t>
  </si>
  <si>
    <t>Toolbox Name: Tool Set, Traffic Directing (B)</t>
  </si>
  <si>
    <t>FA6LE</t>
  </si>
  <si>
    <t>FA7LE</t>
  </si>
  <si>
    <t>Wrench, Combination, Short, 9/16”</t>
  </si>
  <si>
    <t>Toolbox Name: Tool Set, Avionics Line (B)</t>
  </si>
  <si>
    <t>Toolbox Name: Tool Set, Ordnance Traffic Directing (B)</t>
  </si>
  <si>
    <t>Tool Set, Ordnance Traffic Directing (B)</t>
  </si>
  <si>
    <t>Probe Set</t>
  </si>
  <si>
    <t>Tool Set, LO Shop Equipment (B/C)</t>
  </si>
  <si>
    <t>Toolbox Name: Tool Set, Panel Line Box (B)</t>
  </si>
  <si>
    <t>Tool Set, Panel Line Box (B)</t>
  </si>
  <si>
    <t>Crowfoot Attachment, 1/4" Drive, 3/8" Open End</t>
  </si>
  <si>
    <t>TMCO12</t>
  </si>
  <si>
    <t>TMM9</t>
  </si>
  <si>
    <t>Socket, Universal, 1/4" Drive, 3/8", 6 Point</t>
  </si>
  <si>
    <t>Socket, Universal, 1/4" Drive, 7/16", 6 Point</t>
  </si>
  <si>
    <t>TMUS121A</t>
  </si>
  <si>
    <t>TMUS141A</t>
  </si>
  <si>
    <t>TM11</t>
  </si>
  <si>
    <t>SOEXM9</t>
  </si>
  <si>
    <t>TMUS81A</t>
  </si>
  <si>
    <t>Socket, 1/4" Drive, 5/8", 6 Point</t>
  </si>
  <si>
    <t>TM20</t>
  </si>
  <si>
    <t>Handle, Socket Wrench, Reversible, Flex Head, 1/4" Drive</t>
  </si>
  <si>
    <t>TF72</t>
  </si>
  <si>
    <t>SGCP1BR</t>
  </si>
  <si>
    <t>Manufacturers P/N</t>
  </si>
  <si>
    <t>FS241</t>
  </si>
  <si>
    <t>Socket, 3/8” Drive, 3/4”, 6 Point</t>
  </si>
  <si>
    <t>OEX320B</t>
  </si>
  <si>
    <t>OEX400B</t>
  </si>
  <si>
    <t>Wrench, Combination, Short, 1-1/4"</t>
  </si>
  <si>
    <t xml:space="preserve">Wrench, Combination, Short, 1” </t>
  </si>
  <si>
    <t>Wrench, Open End, 4-Way Angle Head, 7/16"</t>
  </si>
  <si>
    <t>VS14B</t>
  </si>
  <si>
    <t>RBZ810</t>
  </si>
  <si>
    <t>Wrench, Box, Ratcheting, 1/4" x 5/16"</t>
  </si>
  <si>
    <t>FRES8</t>
  </si>
  <si>
    <t>Adapter, Torque Wrench, 3/8" Drive, 1/4", Spline #8</t>
  </si>
  <si>
    <t>Adapter, Torque Wrench, 1/2" Drive, 13/16", Spline #26</t>
  </si>
  <si>
    <t>Adapter, Torque Wrench, 1/2" Drive, 7/8", Spline #28</t>
  </si>
  <si>
    <t>SRES28</t>
  </si>
  <si>
    <t>SRES26</t>
  </si>
  <si>
    <t>Adapter, Torque Wrench, 1/2" Drive, 15/16", Spline #30</t>
  </si>
  <si>
    <t>SRES30A</t>
  </si>
  <si>
    <t>FRDH161</t>
  </si>
  <si>
    <t>FRDH221</t>
  </si>
  <si>
    <t>FRDH241</t>
  </si>
  <si>
    <t>DBTB121</t>
  </si>
  <si>
    <t>Drill Set, Twist, High Speed, 1/16" to 3/8" (21 pcs plus case)</t>
  </si>
  <si>
    <t>Set, Grinder, Burr</t>
  </si>
  <si>
    <t>Grinder, Pencil</t>
  </si>
  <si>
    <t>VWB700B</t>
  </si>
  <si>
    <t>TMMD5</t>
  </si>
  <si>
    <t>TMMD5.5</t>
  </si>
  <si>
    <t>TMMD6</t>
  </si>
  <si>
    <t>TMMD7</t>
  </si>
  <si>
    <t>TMMD8</t>
  </si>
  <si>
    <t>TMMD9</t>
  </si>
  <si>
    <t>TMMD10</t>
  </si>
  <si>
    <t>TMMD11</t>
  </si>
  <si>
    <t>TMMD12</t>
  </si>
  <si>
    <t>TMMD13</t>
  </si>
  <si>
    <t>TMMD14</t>
  </si>
  <si>
    <t>STMMD5</t>
  </si>
  <si>
    <t>STMMD5.5</t>
  </si>
  <si>
    <t>STMMD6</t>
  </si>
  <si>
    <t>STMMD7</t>
  </si>
  <si>
    <t>STMMD8</t>
  </si>
  <si>
    <t>STMMD9</t>
  </si>
  <si>
    <t>STMMD10</t>
  </si>
  <si>
    <t>STMMD11</t>
  </si>
  <si>
    <t>STMMD12</t>
  </si>
  <si>
    <t>STMMD13</t>
  </si>
  <si>
    <t>STMMD14</t>
  </si>
  <si>
    <t>STMD18</t>
  </si>
  <si>
    <t>TMC104E</t>
  </si>
  <si>
    <t>FXK4</t>
  </si>
  <si>
    <t>SX2</t>
  </si>
  <si>
    <t>SXK3</t>
  </si>
  <si>
    <t>SXK8</t>
  </si>
  <si>
    <t>SWM201</t>
  </si>
  <si>
    <t>SWM211</t>
  </si>
  <si>
    <t>SWM221</t>
  </si>
  <si>
    <t>SWM231</t>
  </si>
  <si>
    <t>SWM241</t>
  </si>
  <si>
    <t>SWM251</t>
  </si>
  <si>
    <t>SWM261</t>
  </si>
  <si>
    <t>SWM271</t>
  </si>
  <si>
    <t>SWM281</t>
  </si>
  <si>
    <t>SWM291</t>
  </si>
  <si>
    <t>SWM301</t>
  </si>
  <si>
    <t>SWM311</t>
  </si>
  <si>
    <t>SW481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</si>
  <si>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</si>
  <si>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</si>
  <si>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</si>
  <si>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</si>
  <si>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</si>
  <si>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</si>
  <si>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</si>
  <si>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</si>
  <si>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</si>
  <si>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</si>
  <si>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</si>
  <si>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</si>
  <si>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</si>
  <si>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S421</t>
  </si>
  <si>
    <t>S461</t>
  </si>
  <si>
    <t>SA10E</t>
  </si>
  <si>
    <t xml:space="preserve">SA24E </t>
  </si>
  <si>
    <t>RYA1011</t>
  </si>
  <si>
    <t>RYA1214</t>
  </si>
  <si>
    <t>RYA1618</t>
  </si>
  <si>
    <t>RYA2022</t>
  </si>
  <si>
    <t>RYA2428</t>
  </si>
  <si>
    <t>XDES1618A</t>
  </si>
  <si>
    <t>XDES2832A</t>
  </si>
  <si>
    <t>OEXM80B</t>
  </si>
  <si>
    <t>OEXM90B</t>
  </si>
  <si>
    <t>OEXM100B</t>
  </si>
  <si>
    <t>OEXM110B</t>
  </si>
  <si>
    <t>OEXM120B</t>
  </si>
  <si>
    <t>OEXM130B</t>
  </si>
  <si>
    <t>OEXM140B</t>
  </si>
  <si>
    <t>OEXM150B</t>
  </si>
  <si>
    <t>OEXM160B</t>
  </si>
  <si>
    <t>OEXM170B</t>
  </si>
  <si>
    <t>OEXM180B</t>
  </si>
  <si>
    <t>OEXM190B</t>
  </si>
  <si>
    <t>OEXM200B</t>
  </si>
  <si>
    <t>OEXM210B</t>
  </si>
  <si>
    <t>OEXM230B</t>
  </si>
  <si>
    <t>OEXM240B</t>
  </si>
  <si>
    <t>OEXM250B</t>
  </si>
  <si>
    <t>OEXM260B</t>
  </si>
  <si>
    <t>OEXM270B</t>
  </si>
  <si>
    <t>OEXM280B</t>
  </si>
  <si>
    <t>OEXM290B</t>
  </si>
  <si>
    <t>OEXM300B</t>
  </si>
  <si>
    <t>OEXM320B</t>
  </si>
  <si>
    <t>OEXM340B</t>
  </si>
  <si>
    <t>OEXM360B</t>
  </si>
  <si>
    <t>OEX50B</t>
  </si>
  <si>
    <t>OEX52B</t>
  </si>
  <si>
    <t>OXIM10B</t>
  </si>
  <si>
    <t>OXIM11B</t>
  </si>
  <si>
    <t>OXIM12B</t>
  </si>
  <si>
    <t>OXIM13B</t>
  </si>
  <si>
    <t>OXIM14B</t>
  </si>
  <si>
    <t>OXIM15B</t>
  </si>
  <si>
    <t>OXIM16B</t>
  </si>
  <si>
    <t>OXIM17B</t>
  </si>
  <si>
    <t>OXIM18B</t>
  </si>
  <si>
    <t>OXIM19B</t>
  </si>
  <si>
    <t>OXI20B</t>
  </si>
  <si>
    <t>OXI22B</t>
  </si>
  <si>
    <t>VSM5210B</t>
  </si>
  <si>
    <t>VSM5211B</t>
  </si>
  <si>
    <t>VSM5212B</t>
  </si>
  <si>
    <t>VSM5213B</t>
  </si>
  <si>
    <t>VSM5214B</t>
  </si>
  <si>
    <t>VSM5215B</t>
  </si>
  <si>
    <t>VSM5216B</t>
  </si>
  <si>
    <t>VSM5217B</t>
  </si>
  <si>
    <t>VSM5218B</t>
  </si>
  <si>
    <t>VSM5219B</t>
  </si>
  <si>
    <t>VSM5221B</t>
  </si>
  <si>
    <t>VSM5222B</t>
  </si>
  <si>
    <t>VSM5224B</t>
  </si>
  <si>
    <t>VSM5227B</t>
  </si>
  <si>
    <t>Wrench, Open End, 4-Way Angle Head, 1/4"</t>
  </si>
  <si>
    <t>VS8B</t>
  </si>
  <si>
    <t>Wrench, Open End, 4-Way Angle Head, 5/16"</t>
  </si>
  <si>
    <t>VS10B</t>
  </si>
  <si>
    <t>Wrench, Open End, 4-Way Angle Head, 11/32"</t>
  </si>
  <si>
    <t>VS11B</t>
  </si>
  <si>
    <t>Wrench, Open End, 4-Way Angle Head, 3/8"</t>
  </si>
  <si>
    <t>VS12B</t>
  </si>
  <si>
    <t>VS34B</t>
  </si>
  <si>
    <t>VS42B</t>
  </si>
  <si>
    <t>VS44B</t>
  </si>
  <si>
    <t>VS46B</t>
  </si>
  <si>
    <t>VS52B</t>
  </si>
  <si>
    <t>VS54B</t>
  </si>
  <si>
    <t>VS56B</t>
  </si>
  <si>
    <t>VS58B</t>
  </si>
  <si>
    <t>VS60B</t>
  </si>
  <si>
    <t>Wrench, Open End, 4-Way Angle Head, 2"</t>
  </si>
  <si>
    <t>VS64B</t>
  </si>
  <si>
    <t>TMCO8</t>
  </si>
  <si>
    <t>SCO34</t>
  </si>
  <si>
    <t>SCO36</t>
  </si>
  <si>
    <t>SCO38</t>
  </si>
  <si>
    <t>SCO40</t>
  </si>
  <si>
    <t>SCO44</t>
  </si>
  <si>
    <t>SCO46</t>
  </si>
  <si>
    <t>SCO50</t>
  </si>
  <si>
    <t>SCO54</t>
  </si>
  <si>
    <t>SCO56</t>
  </si>
  <si>
    <t>TMRX8</t>
  </si>
  <si>
    <t>AN850817B</t>
  </si>
  <si>
    <t>AN850820B</t>
  </si>
  <si>
    <t>AN850821B</t>
  </si>
  <si>
    <t>AN850822B</t>
  </si>
  <si>
    <t>AN850823B</t>
  </si>
  <si>
    <t>AN850824B</t>
  </si>
  <si>
    <t>AN850825B</t>
  </si>
  <si>
    <t>AN850826B</t>
  </si>
  <si>
    <t>AN850828B</t>
  </si>
  <si>
    <t>AN850829B</t>
  </si>
  <si>
    <t>AN850830B</t>
  </si>
  <si>
    <t>AN850831B</t>
  </si>
  <si>
    <t>AN850832B</t>
  </si>
  <si>
    <t>PW8C</t>
  </si>
  <si>
    <t>PW14C</t>
  </si>
  <si>
    <t>Miniature Screwdriver/Awl Set</t>
  </si>
  <si>
    <t>CM6551</t>
  </si>
  <si>
    <t>SGDP102BR</t>
  </si>
  <si>
    <t>SGD4100BR</t>
  </si>
  <si>
    <t>Prybar, Heavy Duty, Gooseneck, Single Chisel/Claw, 48"</t>
  </si>
  <si>
    <t>PBHG48</t>
  </si>
  <si>
    <t>PPC820B</t>
  </si>
  <si>
    <t>PPC812B</t>
  </si>
  <si>
    <t>PPC816B</t>
  </si>
  <si>
    <t>PPC206A</t>
  </si>
  <si>
    <t>PPC205A</t>
  </si>
  <si>
    <t>PPC203A</t>
  </si>
  <si>
    <t>PPC208A</t>
  </si>
  <si>
    <t>PPC204A</t>
  </si>
  <si>
    <t>CSA8CR</t>
  </si>
  <si>
    <t>CSA12CR</t>
  </si>
  <si>
    <t>CSA14CR</t>
  </si>
  <si>
    <t>TDTDM500A</t>
  </si>
  <si>
    <t>REX25B</t>
  </si>
  <si>
    <t>Toolbox Name: Tool Set, Supplemental (B/C)</t>
  </si>
  <si>
    <t>Tool Set, Supplemental (B/C)</t>
  </si>
  <si>
    <t>Toolbox Name: Tool Set, Avionics Troubleshooter Pouch (C)</t>
  </si>
  <si>
    <t>Tool Set, Avionics Troubleshooter (C)</t>
  </si>
  <si>
    <t>Tool Set, Avionics Troubleshooter Pouch (C)</t>
  </si>
  <si>
    <t>Tool Set, Avionics Maintenance (C)</t>
  </si>
  <si>
    <t>Toolbox Name: Tool Set, Avionics Maintenance (C)</t>
  </si>
  <si>
    <t>Tool Set, Wire Repair (C)</t>
  </si>
  <si>
    <t>Toolbox Name: Tool Set, Avionics Troubleshooter ©</t>
  </si>
  <si>
    <t>Tool Set, Electrical Shop Equipment (C)</t>
  </si>
  <si>
    <t>Tool Set, EOTS Maintenance (C)</t>
  </si>
  <si>
    <t>Toolbox Name: Tool Set, EOTS Maintenance (C)</t>
  </si>
  <si>
    <t xml:space="preserve">Wrench, Combination, Short, 1/2", Spline #16 </t>
  </si>
  <si>
    <t>Wrench, Combination, Short, 5/16", Spline #10</t>
  </si>
  <si>
    <t>Wrench, Combination, Short, 7/16", Spline #14</t>
  </si>
  <si>
    <t>Wrench, Combination, Short, 9/16", Spline #18</t>
  </si>
  <si>
    <t xml:space="preserve">Wrench, Open End, 1/4" x 5/16" </t>
  </si>
  <si>
    <t>Toolbox Name: Tool Set, Wire Repair (C)</t>
  </si>
  <si>
    <t>Toolbox Name: Tool Set, Electrical Shop Equipment (C)</t>
  </si>
  <si>
    <t>Toolbox Name: Tool Set, Power Line Tire Removal (B)</t>
  </si>
  <si>
    <t>Tool Set, Avionics Maint (B)</t>
  </si>
  <si>
    <t>Socket, 3/8” Drive, 3/8”</t>
  </si>
  <si>
    <t>OES22B</t>
  </si>
  <si>
    <t>OES10B</t>
  </si>
  <si>
    <t>OES20B</t>
  </si>
  <si>
    <t>Wrench, Open End, Thin, Single Head, 13/16"</t>
  </si>
  <si>
    <t>JHW3526</t>
  </si>
  <si>
    <t>VO810B</t>
  </si>
  <si>
    <t>Tool Set, Electrical Troubleshooter (C)</t>
  </si>
  <si>
    <t>Desoldering Tool</t>
  </si>
  <si>
    <t>Soldering Iron, Pencil, 60 Watt</t>
  </si>
  <si>
    <t>K809 (11851)</t>
  </si>
  <si>
    <t>Tool, Positioner</t>
  </si>
  <si>
    <t xml:space="preserve">MCI93485324 </t>
  </si>
  <si>
    <t>Crowfoot Attachment, 1/2" Drive, 2-3/8" Open End</t>
  </si>
  <si>
    <t>Crowfoot Attachment, 3/8" Drive, 1-1/4" Deep Flare Nut</t>
  </si>
  <si>
    <t>Crowfoot Attachment, 3/8" Drive, 1-5/16" Deep Flare Nut</t>
  </si>
  <si>
    <t>Crowfoot Attachment, 3/8" Drive, 1-3/8" Deep Flare Nut</t>
  </si>
  <si>
    <t>Crowfoot Attachment, 3/8" Drive, 1-7/16" Deep Flare Nut</t>
  </si>
  <si>
    <t>Crowfoot Attachment, 3/8" Drive, 1-1/2" Deep Flare Nut</t>
  </si>
  <si>
    <t>Crowfoot Attachment, 3/8" Drive, 1-9/16" Deep Flare Nut</t>
  </si>
  <si>
    <t>Crowfoot Attachment, 3/8" Drive, 1-5/8" Deep Flare Nut</t>
  </si>
  <si>
    <t>Crowfoot Attachment, 3/8" Drive, 1-3/4" Deep Flare Nut</t>
  </si>
  <si>
    <t>Crowfoot Attachment, 3/8" Drive, 1-13/16" Deep Flare Nut</t>
  </si>
  <si>
    <t>Crowfoot Attachment, 3/8" Drive, 1-7/8" Deep Flare Nut</t>
  </si>
  <si>
    <t>Crowfoot Attachment, 3/8" Drive, 1-15/16" Deep Flare Nut</t>
  </si>
  <si>
    <t>Crowfoot Attachment, 3/8" Drive, 2" Deep Flare Nut</t>
  </si>
  <si>
    <t>Crowfoot Attachment, 3/8" Drive, 1-1/16" Deep Flare Nut</t>
  </si>
  <si>
    <t>Wrench, Combination, 10 mm</t>
  </si>
  <si>
    <t>Wrench, Combination, 9 mm</t>
  </si>
  <si>
    <t>Wrench, Combination, 8 mm</t>
  </si>
  <si>
    <t>Wrench, Combination, 36 mm</t>
  </si>
  <si>
    <t>Wrench, Combination, 34 mm</t>
  </si>
  <si>
    <t>Wrench, Combination, 32 mm</t>
  </si>
  <si>
    <t>Wrench, Combination, 30 mm</t>
  </si>
  <si>
    <t>Wrench, Combination, 29 mm</t>
  </si>
  <si>
    <t>Wrench, Combination, 28 mm</t>
  </si>
  <si>
    <t>Wrench, Combination, 27 mm</t>
  </si>
  <si>
    <t>Wrench, Combination, 26 mm</t>
  </si>
  <si>
    <t>Wrench, Combination, 25 mm</t>
  </si>
  <si>
    <t>Wrench, Combination, 24 mm</t>
  </si>
  <si>
    <t>Wrench, Combination, 23 mm</t>
  </si>
  <si>
    <t>Wrench, Combination, 21 mm</t>
  </si>
  <si>
    <t>Wrench, Combination, 20 mm</t>
  </si>
  <si>
    <t>Wrench, Combination, 19 mm</t>
  </si>
  <si>
    <t>Wrench, Combination, 18 mm</t>
  </si>
  <si>
    <t>Wrench, Combination, 17 mm</t>
  </si>
  <si>
    <t>Wrench, Combination, 16 mm</t>
  </si>
  <si>
    <t>Wrench, Combination, 15 mm</t>
  </si>
  <si>
    <t>Wrench, Combination, 14 mm</t>
  </si>
  <si>
    <t>Wrench, Combination, 13 mm</t>
  </si>
  <si>
    <t>Wrench, Combination, 12 mm</t>
  </si>
  <si>
    <t>Wrench, Combination, 11 mm</t>
  </si>
  <si>
    <t>Wrench, Combination, 1- 5/8"</t>
  </si>
  <si>
    <t>Wrench, Combination, 1-9/16"</t>
  </si>
  <si>
    <t>Wrench, Combination, Midget, 5/8"</t>
  </si>
  <si>
    <t>Wrench, Combination, Midget, 11/16"</t>
  </si>
  <si>
    <t>Wrench, Combination, Midget, 10 mm</t>
  </si>
  <si>
    <t>Wrench, Combination, Midget, 11 mm</t>
  </si>
  <si>
    <t>Wrench, Combination, Midget, 12 mm</t>
  </si>
  <si>
    <t>Wrench, Combination, Midget, 13 mm</t>
  </si>
  <si>
    <t>Wrench, Combination, Midget, 14 mm</t>
  </si>
  <si>
    <t>Wrench, Combination, Midget, 15 mm</t>
  </si>
  <si>
    <t>Wrench, Combination, Midget, 16 mm</t>
  </si>
  <si>
    <t>Wrench, Combination, Midget, 17 mm</t>
  </si>
  <si>
    <t>Wrench, Combination, Midget, 18 mm</t>
  </si>
  <si>
    <t>Wrench, Combination, Midget, 19 mm</t>
  </si>
  <si>
    <t>Socket, 1/2" Drive, Deep, 20 mm</t>
  </si>
  <si>
    <t>Socket, 1/2" Drive, Deep, 21 mm</t>
  </si>
  <si>
    <t>Socket, 1/2" Drive, Deep, 22 mm</t>
  </si>
  <si>
    <t>Socket, 1/2" Drive, Deep, 23 mm</t>
  </si>
  <si>
    <t>Socket, 1/2" Drive, Deep, 24 mm</t>
  </si>
  <si>
    <t>Socket, 1/2" Drive, Deep, 25 mm</t>
  </si>
  <si>
    <t>Socket, 1/2" Drive, Deep, 26 mm</t>
  </si>
  <si>
    <t>Socket, 1/2" Drive, Deep, 27 mm</t>
  </si>
  <si>
    <t>Socket, 1/2" Drive, Deep, 28 mm</t>
  </si>
  <si>
    <t>Socket, 1/2" Drive, Deep, 29 mm</t>
  </si>
  <si>
    <t>Socket, 1/2" Drive, Deep, 30 mm</t>
  </si>
  <si>
    <t>Socket, 1/2" Drive, Deep, 31 mm</t>
  </si>
  <si>
    <t>Socket, 1/2" Drive, Deep, 32 mm</t>
  </si>
  <si>
    <t>Socket, 1/2" Drive, 1-1/2"</t>
  </si>
  <si>
    <t>Socket, 1/2" Drive, 20 mm</t>
  </si>
  <si>
    <t>Socket, 1/2" Drive, 21 mm</t>
  </si>
  <si>
    <t>Socket, 1/2" Drive, 22 mm</t>
  </si>
  <si>
    <t>Socket, 1/2" Drive, 23 mm</t>
  </si>
  <si>
    <t>Socket, 1/2" Drive, 24 mm</t>
  </si>
  <si>
    <t>Socket, 1/2" Drive, 25 mm</t>
  </si>
  <si>
    <t>Socket, 1/2" Drive, 26 mm</t>
  </si>
  <si>
    <t>Socket, 1/2" Drive, 27 mm</t>
  </si>
  <si>
    <t>Socket, 1/2" Drive, 28 mm</t>
  </si>
  <si>
    <t>Socket, 1/2" Drive, 29 mm</t>
  </si>
  <si>
    <t>Socket, 1/2" Drive, 30 mm</t>
  </si>
  <si>
    <t>Socket, 1/2" Drive, 31 mm</t>
  </si>
  <si>
    <t>Socket, 1/4" Drive, 10 mm</t>
  </si>
  <si>
    <t>Socket, 1/4" Drive, 11 mm</t>
  </si>
  <si>
    <t>Socket, 1/4" Drive, 12 mm</t>
  </si>
  <si>
    <t>Socket, 1/4" Drive, 13 mm</t>
  </si>
  <si>
    <t>Socket, 1/4" Drive, 14 mm</t>
  </si>
  <si>
    <t>Socket, 1/4" Drive, 5 mm</t>
  </si>
  <si>
    <t>Socket, 1/4" Drive, 5.5 mm</t>
  </si>
  <si>
    <t>Socket, 1/4" Drive, 6 mm</t>
  </si>
  <si>
    <t>Socket, 1/4" Drive, 7 mm</t>
  </si>
  <si>
    <t>Socket, 1/4" Drive, 8 mm</t>
  </si>
  <si>
    <t>Socket, 1/4" Drive, 9 mm</t>
  </si>
  <si>
    <t>Socket, 1/4" Drive, Deep, 10 mm</t>
  </si>
  <si>
    <t>Socket, 1/4" Drive, Deep, 11 mm</t>
  </si>
  <si>
    <t>Socket, 1/4" Drive, Deep, 12 mm</t>
  </si>
  <si>
    <t>Socket, 1/4" Drive, Deep, 13 mm</t>
  </si>
  <si>
    <t>Socket, 1/4" Drive, Deep, 14 mm</t>
  </si>
  <si>
    <t>Socket, 1/4" Drive, Deep, 5 mm</t>
  </si>
  <si>
    <t>Socket, 1/4" Drive, Deep, 5.5 mm</t>
  </si>
  <si>
    <t>Socket, 1/4" Drive, Deep, 6 mm</t>
  </si>
  <si>
    <t>Socket, 1/4" Drive, Deep, 7 mm</t>
  </si>
  <si>
    <t>Socket, 1/4" Drive, Deep, 8 mm</t>
  </si>
  <si>
    <t>Socket, 1/4" Drive, Deep, 9 mm</t>
  </si>
  <si>
    <t>Wrench, Open End, 4-Way Angle Head, 1-1/16"</t>
  </si>
  <si>
    <t>Wrench, Open End, 4-Way Angle Head, 1-5/16"</t>
  </si>
  <si>
    <t>Wrench, Open End, 4-Way Angle Head, 1-3/8"</t>
  </si>
  <si>
    <t>Wrench, Open End, 4-Way Angle Head, 1-7/16"</t>
  </si>
  <si>
    <t>Wrench, Open End, 4-Way Angle Head, 1-5/8"</t>
  </si>
  <si>
    <t>Wrench, Open End, 4-Way Angle Head, 1-11/16"</t>
  </si>
  <si>
    <t>Wrench, Open End, 4-Way Angle Head, 1-3/4"</t>
  </si>
  <si>
    <t>Wrench, Open End, 4-Way Angle Head, 1-13/16"</t>
  </si>
  <si>
    <t>Wrench, Open End, 4-Way Angle Head, 1-7/8"</t>
  </si>
  <si>
    <t>Wrench, Open End, 4-Way Angle Head, 10 mm</t>
  </si>
  <si>
    <t>Wrench, Open End, 4-Way Angle Head, 11 mm</t>
  </si>
  <si>
    <t>Wrench, Open End, 4-Way Angle Head, 12 mm</t>
  </si>
  <si>
    <t>Wrench, Open End, 4-Way Angle Head, 13 mm</t>
  </si>
  <si>
    <t>Wrench, Open End, 4-Way Angle Head, 14 mm</t>
  </si>
  <si>
    <t>Wrench, Open End, 4-Way Angle Head, 15 mm</t>
  </si>
  <si>
    <t>Wrench, Open End, 4-Way Angle Head, 16 mm</t>
  </si>
  <si>
    <t>Wrench, Open End, 4-Way Angle Head, 17 mm</t>
  </si>
  <si>
    <t>Wrench, Open End, 4-Way Angle Head, 18 mm</t>
  </si>
  <si>
    <t>Wrench, Open End, 4-Way Angle Head, 19 mm</t>
  </si>
  <si>
    <t>Wrench, Open End, 4-Way Angle Head, 21 mm</t>
  </si>
  <si>
    <t>Wrench, Open End, 4-Way Angle Head, 22 mm</t>
  </si>
  <si>
    <t>Wrench, Open End, 4-Way Angle Head, 24 mm</t>
  </si>
  <si>
    <t>Wrench, Open End, 4-Way Angle Head, 27 mm</t>
  </si>
  <si>
    <t>Wrench, Box, Angle Head, 1/2" x 9/16", Spline #16 x #18</t>
  </si>
  <si>
    <t>Wrench, Box, Angle Head, 7/8" x 1", Spline #28 x #32</t>
  </si>
  <si>
    <t>Crowfoot Attachment, 1/4" Drive, 1/4" Flare Nut</t>
  </si>
  <si>
    <t>Socket, 1/4" Drive, Deep, 9/16"</t>
  </si>
  <si>
    <t>Crowfoot Attachment, 1/2" Drive, 1-1/16" Open End</t>
  </si>
  <si>
    <t>Crowfoot Attachment, 1/2" Drive, 1-1/8" Open End</t>
  </si>
  <si>
    <t>Crowfoot Attachment, 1/2" Drive, 1-3/16" Open End</t>
  </si>
  <si>
    <t>Crowfoot Attachment, 1/2" Drive, 1-1/4" Open End</t>
  </si>
  <si>
    <t>Crowfoot Attachment, 1/2" Drive, 1-3/8" Open End</t>
  </si>
  <si>
    <t>Crowfoot Attachment, 1/2" Drive, 1-7/16" Open End</t>
  </si>
  <si>
    <t>Crowfoot Attachment, 1/2" Drive, 1-9/16" Open End</t>
  </si>
  <si>
    <t>Crowfoot Attachment, 1/2" Drive, 1-11/16" Open End</t>
  </si>
  <si>
    <t>Crowfoot Attachment, 1/2" Drive, 1-3/4" Open End</t>
  </si>
  <si>
    <t>Wrench, Ratchet, Box, 25° Offset, 5/16" x 11/32"</t>
  </si>
  <si>
    <t>Wrench, Ratchet, Box, 25° Offset, 3/8"-7/16"</t>
  </si>
  <si>
    <t>Wrench, Ratchet, Box, 25° Offset, 1/2"-9/16"</t>
  </si>
  <si>
    <t>Wrench, Ratchet, Box, 25° Offset, 5/8"-11/16"</t>
  </si>
  <si>
    <t>Wrench, Ratchet, Box, 25° Offset, 3/4"-7/8"</t>
  </si>
  <si>
    <t>Crowfoot Attachment, 1/4" Drive, 1/4" Open End</t>
  </si>
  <si>
    <t>Extension, 1/2" Drive, 3"</t>
  </si>
  <si>
    <t>Extension, 1/2" Drive, 3.5"</t>
  </si>
  <si>
    <t>Extension, 1/2" Drive, 8"</t>
  </si>
  <si>
    <t>Socket, 1/2" Drive, Deep, 1-5/16"</t>
  </si>
  <si>
    <t>Socket, 1/2" Drive, Deep, 1-7/16"</t>
  </si>
  <si>
    <t>Socket Wrench Attachment, 1/2" Drive, Hex, 5/16"</t>
  </si>
  <si>
    <t>Socket Wrench Attachment, 1/2" Drive, Hex, 3/4"</t>
  </si>
  <si>
    <t>Punch, Drive Pin, 3/32" x 5-1/2"</t>
  </si>
  <si>
    <t>Punch, Drive Pin, 1/8" x 5-3/4"</t>
  </si>
  <si>
    <t>Punch, Drive Pin, 5/32" x 6"</t>
  </si>
  <si>
    <t>Punch, Drive Pin, 3/16" x 6-1/4"</t>
  </si>
  <si>
    <t>Punch, Drive Pin, 1/4" x 6-3/4"</t>
  </si>
  <si>
    <t>Extension, 3/8" Drive, 4"</t>
  </si>
  <si>
    <t>Chisel, Flat, Hand, 3/8" x 5-1/2"</t>
  </si>
  <si>
    <t>Chisel, Flat, Hand, 1/2" x 6"</t>
  </si>
  <si>
    <t>Chisel, Flat, Hand, 5/8" x 6-1/2"</t>
  </si>
  <si>
    <t>Pliers, Multiple Tongue and Groove, Pipe, 14"</t>
  </si>
  <si>
    <t>Pliers, Multiple Tongue and Groove, Pipe, 8"</t>
  </si>
  <si>
    <t>Carbon Scraper, Rigid, Red, 1" x 12-7/8"</t>
  </si>
  <si>
    <t>Carbon Scraper, Rigid, Red, 1-1/2" x 14"</t>
  </si>
  <si>
    <t>Carbon Scraper, Rigid, Red, 7/8" x 7-5/8"</t>
  </si>
  <si>
    <t>Pliers, Needle Nose, Electronic, 6-1/2"</t>
  </si>
  <si>
    <t>Set, Extractor, Multi-Spline (25 pcs plus case)</t>
  </si>
  <si>
    <t>Screwdriver, Flat Tip, 1/4" x 14"</t>
  </si>
  <si>
    <t>Socket, Jam Nut, A9</t>
  </si>
  <si>
    <t>Socket, Jam Nut, J25</t>
  </si>
  <si>
    <t>Socket, Jam Nut, H23</t>
  </si>
  <si>
    <t>Socket, Jam Nut, G21</t>
  </si>
  <si>
    <t>Socket, Jam Nut, F19</t>
  </si>
  <si>
    <t>Socket, Jam Nut, E17</t>
  </si>
  <si>
    <t>Socket, Jam Nut, D15</t>
  </si>
  <si>
    <t>Socket, Jam Nut, C13</t>
  </si>
  <si>
    <t>Socket, Jam Nut, B11</t>
  </si>
  <si>
    <t>Set, Tap and Die, U.S./Metric Combination (76 pcs plus case)</t>
  </si>
  <si>
    <t>Socket Wrench Attachment, 1/4" Drive, Flat Tip,  3/16"</t>
  </si>
  <si>
    <t>Tool Control G Box</t>
  </si>
  <si>
    <t>Tool Set, Oxygen Use Only</t>
  </si>
  <si>
    <t>Toolbox Name: Tool Set, Oxygen Use Only</t>
  </si>
  <si>
    <t>WAV3580000216</t>
  </si>
  <si>
    <t>WAV3580004</t>
  </si>
  <si>
    <t>Flashlight, AA, 2 Cell, with Optional Lens, Blue, and Optional Baton, Traffic</t>
  </si>
  <si>
    <t>MCI93250843</t>
  </si>
  <si>
    <t>ESG</t>
  </si>
  <si>
    <t>Flashlight, AA, 2 Cell, with Optional Lens, Red, and Optional Baton, Traffic</t>
  </si>
  <si>
    <t>PCD1495NF</t>
  </si>
  <si>
    <t>184CCP</t>
  </si>
  <si>
    <t>T-90108</t>
  </si>
  <si>
    <t>CNT51-2032</t>
  </si>
  <si>
    <t>SGSR104AR</t>
  </si>
  <si>
    <t>GBM35826-6-3/11</t>
  </si>
  <si>
    <t xml:space="preserve">  McMaster Carr</t>
  </si>
  <si>
    <t>Toolbox Name: Tool Set, Electrical Maintenance (C)</t>
  </si>
  <si>
    <t>Toolbox Name: Tool Set, Electrical Troubleshooter (C)</t>
  </si>
  <si>
    <t>55-1945 (Moody)</t>
  </si>
  <si>
    <t>LSTRS050A1</t>
  </si>
  <si>
    <t>LSTRS100A1</t>
  </si>
  <si>
    <t>T30155A</t>
  </si>
  <si>
    <t>T30175A</t>
  </si>
  <si>
    <t>T30195A</t>
  </si>
  <si>
    <t>FTXR50E</t>
  </si>
  <si>
    <t>Socket Wrench Attachment, 1/4" Drive, Tamper Resistant, Torx, #20</t>
  </si>
  <si>
    <t>Socket Wrench Attachment, 1/4" Drive, Tamper Resistant, Torx, #30</t>
  </si>
  <si>
    <t>Valve, Fuel Drain</t>
  </si>
  <si>
    <t>STNFDT</t>
  </si>
  <si>
    <t>44ACF</t>
  </si>
  <si>
    <t>86ACF</t>
  </si>
  <si>
    <t>85ACF</t>
  </si>
  <si>
    <t>911ACF</t>
  </si>
  <si>
    <t>HSPI6KT1</t>
  </si>
  <si>
    <t>HSPI6KT2</t>
  </si>
  <si>
    <t>HSPI6KT3</t>
  </si>
  <si>
    <t>HSPI6KT6</t>
  </si>
  <si>
    <t>TES12B</t>
  </si>
  <si>
    <t>GTN358000-4</t>
  </si>
  <si>
    <t>Handle, Socket Wrench, 1/4" Drive, Female Drive in Handle</t>
  </si>
  <si>
    <t>Socket, 1/4" Drive, 11/32", 6 Point</t>
  </si>
  <si>
    <t>Socket Wrench Attachment, 1/4" Drive, Hex, 1/16", Long</t>
  </si>
  <si>
    <t>JBT26</t>
  </si>
  <si>
    <t>JBT27</t>
  </si>
  <si>
    <t>JBT28</t>
  </si>
  <si>
    <t>JBT29</t>
  </si>
  <si>
    <t>JBT30</t>
  </si>
  <si>
    <t>JBT31</t>
  </si>
  <si>
    <t>JBT32</t>
  </si>
  <si>
    <t>JBT33</t>
  </si>
  <si>
    <t>JBT34</t>
  </si>
  <si>
    <t>JHT53</t>
  </si>
  <si>
    <t>JHT58</t>
  </si>
  <si>
    <t>JHT59</t>
  </si>
  <si>
    <t>JHT60</t>
  </si>
  <si>
    <t>JHT74</t>
  </si>
  <si>
    <t>JHT75</t>
  </si>
  <si>
    <t>JHT76</t>
  </si>
  <si>
    <t>JHT77</t>
  </si>
  <si>
    <t>JHT68</t>
  </si>
  <si>
    <t>JHT69</t>
  </si>
  <si>
    <t>JHT70</t>
  </si>
  <si>
    <t>JHT71</t>
  </si>
  <si>
    <t>JHT72</t>
  </si>
  <si>
    <t>JHT73</t>
  </si>
  <si>
    <t>JHT57</t>
  </si>
  <si>
    <t>JHT54</t>
  </si>
  <si>
    <t>JHT55</t>
  </si>
  <si>
    <t>JHT65</t>
  </si>
  <si>
    <t>JHT66</t>
  </si>
  <si>
    <t>JHT56</t>
  </si>
  <si>
    <t>JHT67</t>
  </si>
  <si>
    <t>JHT61</t>
  </si>
  <si>
    <t>JHT62</t>
  </si>
  <si>
    <t>JHT63</t>
  </si>
  <si>
    <t>JHT29</t>
  </si>
  <si>
    <t>JHT33</t>
  </si>
  <si>
    <t>JHT64</t>
  </si>
  <si>
    <t>2SJL01081-0002</t>
  </si>
  <si>
    <t>2SJL01116-0002</t>
  </si>
  <si>
    <t>2SJL01117-0001</t>
  </si>
  <si>
    <t>2SJL01118-0002</t>
  </si>
  <si>
    <t>2SJL01119-0002</t>
  </si>
  <si>
    <t>2SJL01121-0002</t>
  </si>
  <si>
    <t>2SJL01123-0002</t>
  </si>
  <si>
    <t>2SJL01125-0002</t>
  </si>
  <si>
    <t>2SJL01083-0002</t>
  </si>
  <si>
    <t>2SJL01084-0002</t>
  </si>
  <si>
    <t>2SJL01086-0002</t>
  </si>
  <si>
    <t>2SJL01087-0002</t>
  </si>
  <si>
    <t>2SJL01088-0002</t>
  </si>
  <si>
    <t>2SJL01091-0002</t>
  </si>
  <si>
    <t>2SJL01095-0002</t>
  </si>
  <si>
    <t>2SJL01100-0002</t>
  </si>
  <si>
    <t>2SJL01106-0002</t>
  </si>
  <si>
    <t>2SJL01109-0002</t>
  </si>
  <si>
    <t>2SJL01110-0002</t>
  </si>
  <si>
    <t>2SJL01112-0002</t>
  </si>
  <si>
    <t>2SJL01113-0002</t>
  </si>
  <si>
    <t>2SJL01114-0002</t>
  </si>
  <si>
    <t>2SJL01120-0002</t>
  </si>
  <si>
    <t>2SJL01122-0002</t>
  </si>
  <si>
    <t>2SJL01124-0002</t>
  </si>
  <si>
    <t>2SJL01078-0002</t>
  </si>
  <si>
    <t>2SJL01079-0002</t>
  </si>
  <si>
    <t>2SJL01080-0002</t>
  </si>
  <si>
    <t>2SJL01082-0002</t>
  </si>
  <si>
    <t>2SJL01085-0002</t>
  </si>
  <si>
    <t>2SJL01090-0002</t>
  </si>
  <si>
    <t>2SJL01092-0002</t>
  </si>
  <si>
    <t>2SJL01096-0002</t>
  </si>
  <si>
    <t>2SJL01097-0002</t>
  </si>
  <si>
    <t>2SJL01098-0002</t>
  </si>
  <si>
    <t>2SJL01101-0002</t>
  </si>
  <si>
    <t>2SJL01104-0002</t>
  </si>
  <si>
    <t>2SJL01105-0002</t>
  </si>
  <si>
    <t>2SJL01107-0002</t>
  </si>
  <si>
    <t>2SJL01111-0002</t>
  </si>
  <si>
    <t>2SJL01115-0002</t>
  </si>
  <si>
    <t>JSF P/N</t>
  </si>
  <si>
    <t>JSCV10A</t>
  </si>
  <si>
    <t>JSCV12A</t>
  </si>
  <si>
    <t>JSCV18A</t>
  </si>
  <si>
    <t>JSCV20A</t>
  </si>
  <si>
    <t>JSCV24A</t>
  </si>
  <si>
    <t>JSCV28A</t>
  </si>
  <si>
    <t>JSCV32A</t>
  </si>
  <si>
    <t>J293XL</t>
  </si>
  <si>
    <t>J293WRXL</t>
  </si>
  <si>
    <t>J286LNXL</t>
  </si>
  <si>
    <t>J291XL</t>
  </si>
  <si>
    <t>JSCV34A</t>
  </si>
  <si>
    <t>JSCV14A</t>
  </si>
  <si>
    <t>JSCV16A</t>
  </si>
  <si>
    <t>Wrench, Pliers, Locking, 9"</t>
  </si>
  <si>
    <t>Wrench, Pliers, Locking, Curved with cutter, 5.5"</t>
  </si>
  <si>
    <t>Wrench, Pliers, Locking, Long Nose, 7"</t>
  </si>
  <si>
    <t>ATI560MF12</t>
  </si>
  <si>
    <t>PJB930458101</t>
  </si>
  <si>
    <t>S148</t>
  </si>
  <si>
    <t>Socket Wrench Attachment, 3/8" Drive, Tamper Resistant, Torx, #40</t>
  </si>
  <si>
    <t>Socket Wrench Attachment, 1/4" Drive, Tamper Resistant, Torx, #15</t>
  </si>
  <si>
    <t>J4765</t>
  </si>
  <si>
    <t>Extension, 1/4" Drive, 6.25", Flexible</t>
  </si>
  <si>
    <t>Handle, Screwdriver, Offset</t>
  </si>
  <si>
    <t>Bit, Screwdriver, Offset Ratcheting, Phillips, #1</t>
  </si>
  <si>
    <t>Bit, Screwdriver, Offset Ratcheting, Phillips, #2</t>
  </si>
  <si>
    <t>Bit, Screwdriver, Offset Ratcheting, Flat Tip, 1/4"</t>
  </si>
  <si>
    <t>Bit, Screwdriver, Offset Ratcheting, Flat Tip, 3/8"</t>
  </si>
  <si>
    <t>CM-13</t>
  </si>
  <si>
    <t>CMP-20</t>
  </si>
  <si>
    <t>CMP-21</t>
  </si>
  <si>
    <t>CM-17</t>
  </si>
  <si>
    <t>CM-19</t>
  </si>
  <si>
    <t>9X250</t>
  </si>
  <si>
    <t>74BH012Z</t>
  </si>
  <si>
    <t>Socket, 3/8” Drive, 1”</t>
  </si>
  <si>
    <t>Adapter, Torque Wrench, 3/8" Drive, 1/2"</t>
  </si>
  <si>
    <t>Wrench, Combination, 7/8"</t>
  </si>
  <si>
    <t>Wrench, Combination, Ratcheting, 3/4"</t>
  </si>
  <si>
    <t>GTN358000-3</t>
  </si>
  <si>
    <t>GTN358000-5</t>
  </si>
  <si>
    <t>GTN358000-6</t>
  </si>
  <si>
    <t>GTN3580000-2-16</t>
  </si>
  <si>
    <t xml:space="preserve">Set, Bearing Race and Seal Driver </t>
  </si>
  <si>
    <t xml:space="preserve">Set, Puller, Master Interchangeable (without cabinet) </t>
  </si>
  <si>
    <t xml:space="preserve">Socket, Locknut, 2 1/4"  for front axle </t>
  </si>
  <si>
    <t>Socket, Locknut, 2 3/8”  for rear axle</t>
  </si>
  <si>
    <t>CJ2000A</t>
  </si>
  <si>
    <t>Bit, Hex Insert  .050 X 1”</t>
  </si>
  <si>
    <t>0HL78</t>
  </si>
  <si>
    <t>Socket Wrench Attachment, 3/8" Drive, Torx, #30</t>
  </si>
  <si>
    <t>FTX30TPE</t>
  </si>
  <si>
    <t>ATI444S1</t>
  </si>
  <si>
    <t>Scraper, Large</t>
  </si>
  <si>
    <t>PKNG90</t>
  </si>
  <si>
    <t>Wrench, Combination, 1/4"</t>
  </si>
  <si>
    <t>Adapter, Torque Wrench, 3/8" Drive, 5/8"</t>
  </si>
  <si>
    <t>FRDH201</t>
  </si>
  <si>
    <t>Adapter, Torque Wrench, 3/8" Drive, 11/16"</t>
  </si>
  <si>
    <t>Adapter, Torque Wrench, 3/8" Drive, 3/4"</t>
  </si>
  <si>
    <t>Adapter, Torque Wrench, 3/8" Drive, 15/16"</t>
  </si>
  <si>
    <t>FRDH301</t>
  </si>
  <si>
    <t>Rule, Steel, Machinist's, Semi-Flexible, 12"</t>
  </si>
  <si>
    <t>LST52679</t>
  </si>
  <si>
    <t>SGDMRC1-10</t>
  </si>
  <si>
    <t>Shank/Bit Holder, Magnetic, 3-1/4"</t>
  </si>
  <si>
    <t>American Beauty</t>
  </si>
  <si>
    <t>STL68200</t>
  </si>
  <si>
    <t xml:space="preserve">STL68200 </t>
  </si>
  <si>
    <t>GBM35826-3-3/11</t>
  </si>
  <si>
    <t>GBM35826-4-3/11</t>
  </si>
  <si>
    <t>GBM35826-5-3/11</t>
  </si>
  <si>
    <t>GBM35826-5-12/20</t>
  </si>
  <si>
    <t>GBM35826-4-12/20</t>
  </si>
  <si>
    <t>GBM35826-6-12/20</t>
  </si>
  <si>
    <t xml:space="preserve">S8695C </t>
  </si>
  <si>
    <t>ZEPTS1701</t>
  </si>
  <si>
    <t>Bit, Screwdriver, 1/4" Hex Shank, Power Torque Set</t>
  </si>
  <si>
    <t>STN35029-625</t>
  </si>
  <si>
    <t>Toolbox Name: Tool Set, Traffic Directing (C)</t>
  </si>
  <si>
    <t>Socket Wrench Attachment, 1/4" Drive, Torx, #15</t>
  </si>
  <si>
    <t>Socket Wrench Attachment, 1/4" Drive, Torx, #20</t>
  </si>
  <si>
    <t>Socket Wrench Attachment, 1/4" Drive, Torx, #30</t>
  </si>
  <si>
    <t>Needle, Carpet, Round Point, 4"</t>
  </si>
  <si>
    <t>Needle, Curved, Round Point, 3"</t>
  </si>
  <si>
    <t>Sander, 3", Dual Action, with Shroud (4PCS)</t>
  </si>
  <si>
    <t>Drill, Pneumatic, 3/8" Capacity, Reversible (2 PCS)</t>
  </si>
  <si>
    <t>Drill, Pneumatic, 1/2" Capacity, Reversible (3 PCS)</t>
  </si>
  <si>
    <t>Drill, Pneumatic, 1/2" Capacity, Reversible, 0-300 in-lb (3 PCS)</t>
  </si>
  <si>
    <t>Crowfoot Attachment, 1/2" Drive, 3-1/4" Thin</t>
  </si>
  <si>
    <t>SEID: JBT16</t>
  </si>
  <si>
    <t>SEID: JBT17</t>
  </si>
  <si>
    <t>SEID: JBT19</t>
  </si>
  <si>
    <t>SEID: JBT26</t>
  </si>
  <si>
    <t>SEID: JBT20</t>
  </si>
  <si>
    <t>SEID: JBT21</t>
  </si>
  <si>
    <t>SEID: JBT22</t>
  </si>
  <si>
    <t>SEID: JBT23</t>
  </si>
  <si>
    <t>SEID: JBT24</t>
  </si>
  <si>
    <t>SEID: JBT25</t>
  </si>
  <si>
    <t>SEID: JHT15</t>
  </si>
  <si>
    <t>SEID: JHT58</t>
  </si>
  <si>
    <t>SEID: JHT59</t>
  </si>
  <si>
    <t>SEID: JHT16</t>
  </si>
  <si>
    <t>SEID: JHT17</t>
  </si>
  <si>
    <t>Snap-On (Silver Roll)</t>
  </si>
  <si>
    <t>Snap-On (Skinny Roll)</t>
  </si>
  <si>
    <t>SEID: JHT18</t>
  </si>
  <si>
    <t>SEID: JHT19</t>
  </si>
  <si>
    <t>SEID: JHT20</t>
  </si>
  <si>
    <t>SEID: JHT21</t>
  </si>
  <si>
    <t>SEID: JHT22</t>
  </si>
  <si>
    <t>SEID: JHT23</t>
  </si>
  <si>
    <t>SEID: JHT24</t>
  </si>
  <si>
    <t>Toolbox Name: Tool Set, OML Pouch (A)</t>
  </si>
  <si>
    <t>SEID: JHT25</t>
  </si>
  <si>
    <t>SEID: JHT53</t>
  </si>
  <si>
    <t>SEID: JBT27</t>
  </si>
  <si>
    <t>SEID: JHT60</t>
  </si>
  <si>
    <t>SEID: JHT27</t>
  </si>
  <si>
    <t>SEID: JHT28</t>
  </si>
  <si>
    <t>SEID: JHT29</t>
  </si>
  <si>
    <t>SEID: JHT61</t>
  </si>
  <si>
    <t>Toolbox Name: Tool Set, Avionics Maint Pouch (B)</t>
  </si>
  <si>
    <t>SEID: JHT62</t>
  </si>
  <si>
    <t>SEID: JHT63</t>
  </si>
  <si>
    <t>SEID: JHT30</t>
  </si>
  <si>
    <t>SEID: JHT33</t>
  </si>
  <si>
    <t>SEID: JHT64</t>
  </si>
  <si>
    <t>Toolbox Name: LO Shop Equipment (B/C)</t>
  </si>
  <si>
    <t>SEID: JHT77</t>
  </si>
  <si>
    <t>SEID: JHT76</t>
  </si>
  <si>
    <t>SEID: JHT75</t>
  </si>
  <si>
    <t>SEID: JHT74</t>
  </si>
  <si>
    <t>SEID: JBT33</t>
  </si>
  <si>
    <t>SEID: JHT73</t>
  </si>
  <si>
    <t>SEID: JHT72</t>
  </si>
  <si>
    <t>SEID: JHT71</t>
  </si>
  <si>
    <t>SEID: JHT70</t>
  </si>
  <si>
    <t>SEID: JHT69</t>
  </si>
  <si>
    <t>SEID: JHT68</t>
  </si>
  <si>
    <t>SEID: JBT32</t>
  </si>
  <si>
    <t>SEID: JBT31</t>
  </si>
  <si>
    <t>SEID: JHT52</t>
  </si>
  <si>
    <t>SEID: JHT51</t>
  </si>
  <si>
    <t>SEID: JHT50</t>
  </si>
  <si>
    <t>SEID: JHT49</t>
  </si>
  <si>
    <t>SEID: JHT57</t>
  </si>
  <si>
    <t>SEID: JHT48</t>
  </si>
  <si>
    <t>SEID: JHT47</t>
  </si>
  <si>
    <t>SEID: JHT45</t>
  </si>
  <si>
    <t>SEID: JHT44</t>
  </si>
  <si>
    <t>SEID: JHT43</t>
  </si>
  <si>
    <t>SEID: JHT67</t>
  </si>
  <si>
    <t>SEID: JHT56</t>
  </si>
  <si>
    <t>SEID: JHT42</t>
  </si>
  <si>
    <t>SEID: JHT66</t>
  </si>
  <si>
    <t>SEID: JHT41</t>
  </si>
  <si>
    <t>SEID: JHT40</t>
  </si>
  <si>
    <t>SEID: JHT55</t>
  </si>
  <si>
    <t>SEID: JHT39</t>
  </si>
  <si>
    <t>SEID: JHT54</t>
  </si>
  <si>
    <t>SEID: JHT38</t>
  </si>
  <si>
    <t>SEID: JHT37</t>
  </si>
  <si>
    <t>SEID: JHT35</t>
  </si>
  <si>
    <t>SEID: JBT30</t>
  </si>
  <si>
    <t>SEID: JBT29</t>
  </si>
  <si>
    <t>SEID: JBT28</t>
  </si>
  <si>
    <t>SEID: JHT34</t>
  </si>
  <si>
    <t>Calipers, Outside Joint</t>
  </si>
  <si>
    <t>TSB-1200</t>
  </si>
  <si>
    <t>TSB-750</t>
  </si>
  <si>
    <t>TSB-500</t>
  </si>
  <si>
    <t>TSB-230</t>
  </si>
  <si>
    <t>TSB-170</t>
  </si>
  <si>
    <t xml:space="preserve">2083A48 </t>
  </si>
  <si>
    <t>Scale, Digital, 0-2000g</t>
  </si>
  <si>
    <t>AMW-2000</t>
  </si>
  <si>
    <t>www.americanweigh.com</t>
  </si>
  <si>
    <t>Gap Blade, Holder Adaptor, Torlon</t>
  </si>
  <si>
    <t>01JC6</t>
  </si>
  <si>
    <t>Scraper Blades, Torlon, .170"</t>
  </si>
  <si>
    <t>Scraper Blades, Torlon, .230"</t>
  </si>
  <si>
    <t>Scraper Blades, Torlon, .750"</t>
  </si>
  <si>
    <t>Scraper Blades, Torlon, Full"</t>
  </si>
  <si>
    <t>Scraper Blades, Torlon, .500"</t>
  </si>
  <si>
    <t>Gap Blades, Torlon, .075" x .075"</t>
  </si>
  <si>
    <t>TGB-75-75</t>
  </si>
  <si>
    <t>Gap Blades, Torlon, .075" x .160"</t>
  </si>
  <si>
    <t>TGB-75-16</t>
  </si>
  <si>
    <t>Gap Blades, Torlon, .075" x .250"</t>
  </si>
  <si>
    <t>TGB-75-25</t>
  </si>
  <si>
    <t>Gap Blades, Torlon, .100" x .075"</t>
  </si>
  <si>
    <t>TGB-10-75</t>
  </si>
  <si>
    <t>Gap Blades, Torlon, .100" x .160"</t>
  </si>
  <si>
    <t>TGB-10-16</t>
  </si>
  <si>
    <t>Gap Blades, Torlon, .100" x .250"</t>
  </si>
  <si>
    <t>TGB-10-25</t>
  </si>
  <si>
    <t>Gap Blades, Torlon, .125" x .075"</t>
  </si>
  <si>
    <t>TGB-12-75</t>
  </si>
  <si>
    <t>Gap Blades, Torlon, .125" x .160"</t>
  </si>
  <si>
    <t>TGB-12-16</t>
  </si>
  <si>
    <t>Gap Blades, Torlon, .125" x .250"</t>
  </si>
  <si>
    <t>TGB-12-25</t>
  </si>
  <si>
    <t>Gap Blades, Torlon, .170" x .075"</t>
  </si>
  <si>
    <t>TGB-17-75</t>
  </si>
  <si>
    <t>Gap Blades, Torlon, .170" x .160"</t>
  </si>
  <si>
    <t>TGB-17-16</t>
  </si>
  <si>
    <t>Gap Blades, Torlon, .170" x .250"</t>
  </si>
  <si>
    <t>TGB-17-25</t>
  </si>
  <si>
    <t>Gap Blades, Torlon, .230" x .075"</t>
  </si>
  <si>
    <t>TGB-23-75</t>
  </si>
  <si>
    <t>Gap Blades, Torlon, .230" x .160"</t>
  </si>
  <si>
    <t>Gap Blades, Torlon, .230" x .250"</t>
  </si>
  <si>
    <t>TGB-23-16</t>
  </si>
  <si>
    <t>TGB-23-25</t>
  </si>
  <si>
    <t>EADMA200</t>
  </si>
  <si>
    <t>Handle, Pocket Tool</t>
  </si>
  <si>
    <t>ESSBH002</t>
  </si>
  <si>
    <t>ESHA006</t>
  </si>
  <si>
    <t>FLUKE 971</t>
  </si>
  <si>
    <t>VACGAUGE30</t>
  </si>
  <si>
    <t>Toolbox Name: Tool Set, Airframe/Hydraulic (B/C)</t>
  </si>
  <si>
    <t>Tool Set, Airframe/Hydraulic (B/C)</t>
  </si>
  <si>
    <t xml:space="preserve">OTC 1902  </t>
  </si>
  <si>
    <t>274AB</t>
  </si>
  <si>
    <t>Gauge, Belt Tension SGNSC</t>
  </si>
  <si>
    <t>760699-001</t>
  </si>
  <si>
    <t>TTXL20E2</t>
  </si>
  <si>
    <t>Gun, Dispensing, 200mL</t>
  </si>
  <si>
    <t>Bit, Screwdriver, 1/4" Hex Shank, Long, Torx, #20</t>
  </si>
  <si>
    <t>LES322B</t>
  </si>
  <si>
    <t>SG3ASACR</t>
  </si>
  <si>
    <t>STNK8630P1/A1-N</t>
  </si>
  <si>
    <t>Socket Wrench Attachment, 3/8" Drive, Tamper Resistant, Torx, #55</t>
  </si>
  <si>
    <t>3112-60</t>
  </si>
  <si>
    <t>Wrench, Spanner, Adjustable, 3/4" to 4" Capacity</t>
  </si>
  <si>
    <t>AHS304B</t>
  </si>
  <si>
    <t>Sharpener, Blades, Torlon</t>
  </si>
  <si>
    <t>ESSBS001</t>
  </si>
  <si>
    <t>Toolbox Name: Tool Set, Master Puller Kit (A/B)</t>
  </si>
  <si>
    <t>SEID: JBT35</t>
  </si>
  <si>
    <t>JBT35</t>
  </si>
  <si>
    <t>Tool Set, Master Puller Kit (A/B)</t>
  </si>
  <si>
    <t>KRL1032FPBO</t>
  </si>
  <si>
    <t xml:space="preserve">MOI6194-LLR </t>
  </si>
  <si>
    <t>Scissors, Industrial Fabric, 10-5/8"</t>
  </si>
  <si>
    <t>FRDHM8</t>
  </si>
  <si>
    <t>Adapter, Torque Wrench, 3/8" Drive, 1"</t>
  </si>
  <si>
    <t>US340</t>
  </si>
  <si>
    <t>Socket Wrench Attachment, 3/8" Drive, Tamper Resistant, Torx, #50</t>
  </si>
  <si>
    <t>Insert Tool, Helicoil, Tangless</t>
  </si>
  <si>
    <t>17751-06</t>
  </si>
  <si>
    <t>01556</t>
  </si>
  <si>
    <t>A1310SB</t>
  </si>
  <si>
    <t>SEID: JBT18</t>
  </si>
  <si>
    <t>CER99PS40N</t>
  </si>
  <si>
    <t>SEID: JBT34</t>
  </si>
  <si>
    <t>SEID: JHT65</t>
  </si>
  <si>
    <t>Tool Set, Oxygen Use Only (A)</t>
  </si>
  <si>
    <t>Tool Set, Oxygen Use Only (B/C)</t>
  </si>
  <si>
    <t>Adapter, Torque Head, Box Head, 2-1/8", 480 ft-lb max</t>
  </si>
  <si>
    <t>QZX68A</t>
  </si>
  <si>
    <t>Adapter, Torque Head, Box Head, 2", 480 ft-lb max</t>
  </si>
  <si>
    <t>QZX64A</t>
  </si>
  <si>
    <t>Adapter, Torque Head, Box Head, 13/16", 275 ft-lb max</t>
  </si>
  <si>
    <t>QZX26ADP</t>
  </si>
  <si>
    <t>SWO706</t>
  </si>
  <si>
    <t>61cf</t>
  </si>
  <si>
    <t>Wrench, Eddie Bolt, Offset, -6</t>
  </si>
  <si>
    <t>EB2T7210-6LA</t>
  </si>
  <si>
    <t>Adapter, Torque Head, Box Head, 2-1/4", 480 ft-lb max</t>
  </si>
  <si>
    <t>QZX72A</t>
  </si>
  <si>
    <t>Bit, Screwdriver, 5/16" Hex Shank, Torx, #50</t>
  </si>
  <si>
    <t>Bit, Screwdriver, 5/16" Hex Shank, Torx, #55</t>
  </si>
  <si>
    <t>Gauge, Depth, Knurl</t>
  </si>
  <si>
    <t>KNURLGA64P</t>
  </si>
  <si>
    <t>J6930</t>
  </si>
  <si>
    <t>Holder, Screwdriver Bit, 3/8" Drive, 5/16" Shank</t>
  </si>
  <si>
    <t>Needle, Curved 6 inch</t>
  </si>
  <si>
    <t>CBO5016</t>
  </si>
  <si>
    <t>TMCOM7</t>
  </si>
  <si>
    <t xml:space="preserve">STNKT318 </t>
  </si>
  <si>
    <t>TMA2LE</t>
  </si>
  <si>
    <t>312CF</t>
  </si>
  <si>
    <t>JBT36</t>
  </si>
  <si>
    <t>Assembly, Disc Pad, Roloc, 2", Hard (4 Pcs)</t>
  </si>
  <si>
    <t>Disc Pad, Roloc, 2", Medium</t>
  </si>
  <si>
    <t>GBM35826-3-12/20</t>
  </si>
  <si>
    <t>Gun, Huck (3 PCS)</t>
  </si>
  <si>
    <t>Knife, Putty, Flexible Blade, 1-1/2"</t>
  </si>
  <si>
    <t>Adapter, Torque Head, Crowfoot, 6 mm Open End</t>
  </si>
  <si>
    <t>Bit, Screwdriver, 1/4" Hex Shank, Flat Tip, 3.1 mm</t>
  </si>
  <si>
    <t>Crowfoot Attachment, 1/2" Drive, 32 mm Open End</t>
  </si>
  <si>
    <t>Crowfoot, 3/8" Dr, 5/8" (Thin 4 mm)</t>
  </si>
  <si>
    <t>Socket Wrench Attachment, 1/2" Drive, Hex, 10 mm</t>
  </si>
  <si>
    <t>Socket Wrench Attachment, 1/2" Drive, Hex, 12 mm</t>
  </si>
  <si>
    <t>Socket Wrench Attachment, 1/2" Drive, Hex, 14 mm</t>
  </si>
  <si>
    <t>Socket Wrench Attachment, 1/2" Drive, Hex, 17 mm</t>
  </si>
  <si>
    <t>Socket Wrench Attachment, 1/2" Drive, Hex, 19 mm</t>
  </si>
  <si>
    <t>Socket Wrench Attachment, 3/8" Drive, Hex, 10 mm</t>
  </si>
  <si>
    <t>Socket Wrench Attachment, 3/8" Drive, Hex, 2.5 mm</t>
  </si>
  <si>
    <t>Socket Wrench Attachment, 3/8" Drive, Hex, 2 mm</t>
  </si>
  <si>
    <t>Socket Wrench Attachment, 3/8" Drive, Hex, 3 mm</t>
  </si>
  <si>
    <t>Socket Wrench Attachment, 3/8" Drive, Hex, 4 mm</t>
  </si>
  <si>
    <t>Socket Wrench Attachment, 3/8" Drive, Hex, 5 mm</t>
  </si>
  <si>
    <t>Socket Wrench Attachment, 3/8" Drive, Hex, 6 mm</t>
  </si>
  <si>
    <t>Socket Wrench Attachment, 3/8" Drive, Hex, 7 mm</t>
  </si>
  <si>
    <t>Socket Wrench Attachment, 3/8" Drive, Hex, 8 mm</t>
  </si>
  <si>
    <t>Socket Wrench Attachment, 3/8" Drive, Hex, 9 mm</t>
  </si>
  <si>
    <t>Socket, 1/2" Drive, 32 mm</t>
  </si>
  <si>
    <t xml:space="preserve">Socket, 1/2" Drive, 32 mm,  6 point </t>
  </si>
  <si>
    <t>Socket, 1/4" Drive, 9 mm, 6 point</t>
  </si>
  <si>
    <t>Socket, 3/8" Drive, 11 mm</t>
  </si>
  <si>
    <t>Socket, 3/8" Drive, 12 mm</t>
  </si>
  <si>
    <t>Socket, 3/8" Drive, 13 mm</t>
  </si>
  <si>
    <t>Socket, 3/8" Drive, 15 mm</t>
  </si>
  <si>
    <t>Socket, 3/8" Drive, 16 mm</t>
  </si>
  <si>
    <t>Socket, 3/8" Drive, 17 mm</t>
  </si>
  <si>
    <t>Socket, 3/8" Drive, 18 mm</t>
  </si>
  <si>
    <t>Socket, 3/8" Drive, 19 mm</t>
  </si>
  <si>
    <t>Socket, 3/8" Drive, 7 mm</t>
  </si>
  <si>
    <t>Socket, 3/8" Drive, 8 mm</t>
  </si>
  <si>
    <t>Socket, 3/8" Drive, 9 mm</t>
  </si>
  <si>
    <t>Socket, 3/8" Drive, Deep, 10 mm</t>
  </si>
  <si>
    <t>Socket, 3/8" Drive, Deep, 11 mm</t>
  </si>
  <si>
    <t>Socket, 3/8" Drive, Deep, 12 mm</t>
  </si>
  <si>
    <t>Socket, 3/8" Drive, Deep, 13 mm</t>
  </si>
  <si>
    <t>Socket, 3/8" Drive, Deep, 14 mm</t>
  </si>
  <si>
    <t>Socket, 3/8" Drive, Deep, 15 mm</t>
  </si>
  <si>
    <t>Socket, 3/8" Drive, Deep, 16 mm</t>
  </si>
  <si>
    <t>Socket, 3/8" Drive, Deep, 17 mm</t>
  </si>
  <si>
    <t>Socket, 3/8" Drive, Deep, 18 mm</t>
  </si>
  <si>
    <t>Socket, 3/8" Drive, Deep, 19 mm</t>
  </si>
  <si>
    <t>Socket, 3/8" Drive, Deep, 7 mm</t>
  </si>
  <si>
    <t>Socket, 3/8" Drive, Deep, 8 mm</t>
  </si>
  <si>
    <t>Socket, 3/8" Drive, Deep, 9 mm</t>
  </si>
  <si>
    <t>Wrench, Combination, 22 mm</t>
  </si>
  <si>
    <t>Wrench, Combination, Long, 10 mm</t>
  </si>
  <si>
    <t>Wrench, Combination, Long, 11 mm</t>
  </si>
  <si>
    <t>Wrench, Combination, Long, 12 mm</t>
  </si>
  <si>
    <t>Wrench, Combination, Long, 13 mm</t>
  </si>
  <si>
    <t>Wrench, Combination, Long, 14 mm</t>
  </si>
  <si>
    <t>Wrench, Combination, Long, 15 mm</t>
  </si>
  <si>
    <t>Wrench, Combination, Long, 16 mm</t>
  </si>
  <si>
    <t>Wrench, Combination, Long, 17 mm</t>
  </si>
  <si>
    <t>Wrench, Combination, Long, 18 mm</t>
  </si>
  <si>
    <t>Wrench, Combination, Long, 19 mm</t>
  </si>
  <si>
    <t>Wrench, Combination, Ratcheting, 12 mm</t>
  </si>
  <si>
    <t>Adapter, Torque Wrench, 3/8" Drive, 8 mm</t>
  </si>
  <si>
    <t>Socket Wrench Attachment, 1/4" Drive, Hex, 2.5 mm</t>
  </si>
  <si>
    <t>Wrench, Ratchet, Box, T-Handle, 1/4"</t>
  </si>
  <si>
    <t>Wrench, Ratchet, Box, T-Handle, 3/8"</t>
  </si>
  <si>
    <t>Wrench, Ratchet, Box, T-Handle, 5/16"</t>
  </si>
  <si>
    <t>Wrench, Ratchet, Box, T-Handle, 7/16"</t>
  </si>
  <si>
    <t>Wrench, Ratchet, Box, 1/2" x 9/16"</t>
  </si>
  <si>
    <t>Wrench, Ratchet, Box, 1/4" x 5/16"</t>
  </si>
  <si>
    <t>Wrench, Ratchet, Box, 3/8" x 7/16"</t>
  </si>
  <si>
    <t>Wrench, Ratchet, Box, 5/16" x 3/8"</t>
  </si>
  <si>
    <t>Tool Set, Electrical Maintenance ©</t>
  </si>
  <si>
    <t>Tool Set, Seat Survival</t>
  </si>
  <si>
    <t>JHT79</t>
  </si>
  <si>
    <t>Tool Set, Control Surfaces</t>
  </si>
  <si>
    <t>Toolbox Name: Tool Set, Seat Survival</t>
  </si>
  <si>
    <t>SEID: JBT36</t>
  </si>
  <si>
    <t>Crowfoot Attachment, 1/4" Drive, 3/16" Flare Nut</t>
  </si>
  <si>
    <t>TMRX6NP</t>
  </si>
  <si>
    <t>Adapter, Torque Head, Crowfoot, 24mm Open End</t>
  </si>
  <si>
    <t>PME819952</t>
  </si>
  <si>
    <t>Crowfoot Attachment, 1/4" Drive, 7mm, Open End</t>
  </si>
  <si>
    <t>Socket Wrench Attachment, 1/4" Drive, Hex, 5/16"</t>
  </si>
  <si>
    <t>Socket, 1/4" Drive, 5/32"</t>
  </si>
  <si>
    <t>TMD05</t>
  </si>
  <si>
    <t>Wrench, Combination, Midget, 5/32"</t>
  </si>
  <si>
    <t>OXI5B</t>
  </si>
  <si>
    <t>Toolbox Name: Tool Set, Control Surfaces</t>
  </si>
  <si>
    <t>SEID: JHT79</t>
  </si>
  <si>
    <t>Socket, 3/4" Drive, 2"</t>
  </si>
  <si>
    <t>LDH642</t>
  </si>
  <si>
    <t>Socket, 3/4" Drive, 2-1/8"</t>
  </si>
  <si>
    <t>LDH682</t>
  </si>
  <si>
    <t>Wrench, Combination, 2-1/8"</t>
  </si>
  <si>
    <t>GOEX68A</t>
  </si>
  <si>
    <t>SWO718</t>
  </si>
  <si>
    <t>410R with 185XR</t>
  </si>
  <si>
    <t>Key Set, Socket Head Screw, Hex, Long, Ball End (13 pcs)</t>
  </si>
  <si>
    <t>Set, File, Rotary (8 pcs)</t>
  </si>
  <si>
    <t>Socket Wrench Attachment, 3/8" Drive, Hex, 5/32", Ball End, Long</t>
  </si>
  <si>
    <t>B Box</t>
  </si>
  <si>
    <t>TTXR15E</t>
  </si>
  <si>
    <t>FTXR40E</t>
  </si>
  <si>
    <t>TS21210R</t>
  </si>
  <si>
    <t>TS2128ACR</t>
  </si>
  <si>
    <t>TS21210</t>
  </si>
  <si>
    <t>LST50189</t>
  </si>
  <si>
    <t>Screwdriver, Jeweler's, 0.125"</t>
  </si>
  <si>
    <t>Screwdriver, Jeweler's, Phillips, #1</t>
  </si>
  <si>
    <t>Screwdriver, Jeweler's, Hex, 5/64"</t>
  </si>
  <si>
    <t>Screwdriver, Jeweler's, Hex, 3/32"</t>
  </si>
  <si>
    <t>Screwdriver, Jeweler's, Hex, 7/64"</t>
  </si>
  <si>
    <t>Set, Screwdriver, Jeweler's</t>
  </si>
  <si>
    <t>Socket, 3/8” Drive, 3/4"</t>
  </si>
  <si>
    <t>Socket, 3/8” Drive, 1"</t>
  </si>
  <si>
    <t>Wrench, Combination, Ratcheting, 3/8", Spline #12</t>
  </si>
  <si>
    <t>Wrench, Combination, Ratcheting, 9/16", Spline #18</t>
  </si>
  <si>
    <t>Snap-on (Black Plastic Roll)</t>
  </si>
  <si>
    <t>Wrench, Combination, Short, 3/8", Spline #12</t>
  </si>
  <si>
    <t>Wrench, Combination, Short, 1/2", Spline #16</t>
  </si>
  <si>
    <t>Wrench, Combination, Short, 1/2"</t>
  </si>
  <si>
    <t>Wrench, Combination, Short, 9/16"</t>
  </si>
  <si>
    <t>Wrench, Combination, Short, 1/4", Spline #8</t>
  </si>
  <si>
    <t>Wrench, Combination, Short, 5/8", Spline #20</t>
  </si>
  <si>
    <t>Wrench, Combination, Short, 11/16", Spline #22</t>
  </si>
  <si>
    <t>Pliers, Retaining Ring, Internal/External, 90 Degree, 0.090"</t>
  </si>
  <si>
    <t>Baton, Traffic (Optional: Cut to Stubby)</t>
  </si>
  <si>
    <t>Rule, Steel, Machinist's, 6", 1/8", 1/16", 1/32", 1/64"</t>
  </si>
  <si>
    <t>Rule, Steel, Machinist's, 12", 1/8", 1/16", 1/32", 1/64"</t>
  </si>
  <si>
    <t>Rule, Steel, Machinist's, 18", 1/8", 1/16", 1/32", 1/64"</t>
  </si>
  <si>
    <t>Rule, Steel, Machinist's, 12", 1/10", 1/100", 1/32", 1/64"</t>
  </si>
  <si>
    <t>Rule, Steel, Machinist's, 12", 1/50", 1/100", 1/32", 1/64"</t>
  </si>
  <si>
    <t>Rule, Steel, Machinist's, 18", 1/10", 1/100", 1/32", 1/64"</t>
  </si>
  <si>
    <t>Rule, Steel, Machinist's, 24", 1/50", 1/100", 1/32", 1/64"</t>
  </si>
  <si>
    <t>TMA10E</t>
  </si>
  <si>
    <t>Crowfoot Attachment, 1/4" Drive, 6 mm Flare Nut</t>
  </si>
  <si>
    <t>TMRXM6NP</t>
  </si>
  <si>
    <t>Set, Stamp, Metal, 0-9</t>
  </si>
  <si>
    <t>GA237</t>
  </si>
  <si>
    <t>KMC18062PBK</t>
  </si>
  <si>
    <t>KRL7022DPBO</t>
  </si>
  <si>
    <t>EA51-1.1/2.1</t>
  </si>
  <si>
    <t>OXR10</t>
  </si>
  <si>
    <t>YA339A</t>
  </si>
  <si>
    <t>Snap-on Offering</t>
  </si>
  <si>
    <t>Name:FLTEQUIP20</t>
  </si>
  <si>
    <t>Name:FLTEQPSHP20</t>
  </si>
  <si>
    <t>Set Name: ASTRUCTBX20</t>
  </si>
  <si>
    <t>Set Name: ALOCOMPSIT20</t>
  </si>
  <si>
    <t>2 Bank Roll Cabinet Red</t>
  </si>
  <si>
    <t>Roll Cabinet 6 Drawer w/Lock Bar</t>
  </si>
  <si>
    <t>Set Name: BCSTRUCBX20</t>
  </si>
  <si>
    <t>Name:  EOTSMAINT20</t>
  </si>
  <si>
    <t>Name: AVIPOUCHC11</t>
  </si>
  <si>
    <t>Name: AVITSC20</t>
  </si>
  <si>
    <t>Name: AVIMAINTC20</t>
  </si>
  <si>
    <t>Name: WIREREPC20</t>
  </si>
  <si>
    <t>Name: ELECTSC20</t>
  </si>
  <si>
    <t>Name: ELECMNTC20</t>
  </si>
  <si>
    <t>Name: PANLLINEB20</t>
  </si>
  <si>
    <t>Name: BCLODISPBX20</t>
  </si>
  <si>
    <t>Name: OXYUSE20</t>
  </si>
  <si>
    <t>Name: ORDTRAFIRB20</t>
  </si>
  <si>
    <t>Name: 040INSPBXC20</t>
  </si>
  <si>
    <t>Name: 110FRPCHC20</t>
  </si>
  <si>
    <t>Name: BCWPNMAINT20</t>
  </si>
  <si>
    <t>Name: AVILINEB20</t>
  </si>
  <si>
    <t>Name: AVMAINPCHB20</t>
  </si>
  <si>
    <t>18 Inch All Weather 8 Drawer Box Black</t>
  </si>
  <si>
    <t>Name:AVIMAINTB20</t>
  </si>
  <si>
    <t>Name: AFSERVPCHC20</t>
  </si>
  <si>
    <t>Name: PLTIRREMB20</t>
  </si>
  <si>
    <t>Name: AFSERVPCHB20</t>
  </si>
  <si>
    <t>Name: FASTENERBC20</t>
  </si>
  <si>
    <t>Name: OXYUSEBC20</t>
  </si>
  <si>
    <t>Name: OMLPCHBC20</t>
  </si>
  <si>
    <t>Name: ABCCAPTFST20</t>
  </si>
  <si>
    <t>Name: RIVETBX20</t>
  </si>
  <si>
    <t>Name: ABCEDIEBX20</t>
  </si>
  <si>
    <t>Set Name: APPBX20</t>
  </si>
  <si>
    <t>Set Name: BCENGBOX20</t>
  </si>
  <si>
    <t>Set Name: ATIRBCKSHP20</t>
  </si>
  <si>
    <t>Name: TRAFDIRC20</t>
  </si>
  <si>
    <t>Name: 13BFSPCHB20</t>
  </si>
  <si>
    <t>Name: LOCOMPBC20</t>
  </si>
  <si>
    <t>Name: FASTENERA20</t>
  </si>
  <si>
    <t>Name: ALODISPBX20</t>
  </si>
  <si>
    <t>Name: AFUELDISCH20</t>
  </si>
  <si>
    <t>Name: ACREWCHIEF20</t>
  </si>
  <si>
    <t>Name: TRAFDIRB20</t>
  </si>
  <si>
    <t>Name: 310SHPPCHC20</t>
  </si>
  <si>
    <t>Name: 310FSPCHB20</t>
  </si>
  <si>
    <t>Name: 13BFSPCHC20</t>
  </si>
  <si>
    <t>Name: OXYUSEA20</t>
  </si>
  <si>
    <t>Name: AEGRESDISP20</t>
  </si>
  <si>
    <t>Name: BCWEAPLOAD20</t>
  </si>
  <si>
    <t>Name: BCGNJAMCLR20</t>
  </si>
  <si>
    <t>Name: AWPNSBOX20</t>
  </si>
  <si>
    <t>Name: AGUNJAMCLR20</t>
  </si>
  <si>
    <t>Name: AAVIONELEC20</t>
  </si>
  <si>
    <t>Name: AAVIONMTN20</t>
  </si>
  <si>
    <t>Name: CTIRWHLBX20</t>
  </si>
  <si>
    <t>Name: OMLPCHA20</t>
  </si>
  <si>
    <t>Name: ATIRWHLBX20</t>
  </si>
  <si>
    <t>Name: APANELKIT20</t>
  </si>
  <si>
    <t>Name: BCFUELBOX11</t>
  </si>
  <si>
    <t>Name: AFUELBOX20</t>
  </si>
  <si>
    <t>Name: TORQHDBX20</t>
  </si>
  <si>
    <t>Name: BCCROSCTRY20</t>
  </si>
  <si>
    <t>Name: BCEGRESS20</t>
  </si>
  <si>
    <t>Name: AEGRESS20</t>
  </si>
  <si>
    <t>Name: LIFTSYSTB20</t>
  </si>
  <si>
    <t>Name: BCPPSHPBX20</t>
  </si>
  <si>
    <t>Name: BCAIRFRMHY20</t>
  </si>
  <si>
    <t>Name: SEATSURV20</t>
  </si>
  <si>
    <t>Name: ABMSTRPUL20</t>
  </si>
  <si>
    <t>Name: SUPLEMNTBC20</t>
  </si>
  <si>
    <t>Name: ELECTSHOPC20</t>
  </si>
  <si>
    <t>Name: MASKOXY20</t>
  </si>
  <si>
    <t>Name: LOSHPEQPBC20</t>
  </si>
  <si>
    <t>Name: GUNMAINBC20</t>
  </si>
  <si>
    <t>Face, Hammer, Inserted, Steel</t>
  </si>
  <si>
    <t>Face, Hammer, Inserted, Medium</t>
  </si>
  <si>
    <t>Holder, Inserted Hammer Face</t>
  </si>
  <si>
    <t xml:space="preserve"> Face, Hammer, Inserted, Steel</t>
  </si>
  <si>
    <t>Face, Hammer, Inserted, Soft</t>
  </si>
  <si>
    <t>Name: ORDNSHPC20</t>
  </si>
  <si>
    <t>Name: ORDNSHPB20</t>
  </si>
  <si>
    <t>Name: MALSTIRBUB20</t>
  </si>
  <si>
    <t>Name: AFSHPEQBC20</t>
  </si>
  <si>
    <t>Name: ABSEEQUIP20</t>
  </si>
  <si>
    <t>Name: BCECS20</t>
  </si>
  <si>
    <t>Name: CONTSURF20</t>
  </si>
  <si>
    <t>Toolbox Name: Tool Set, Avionics/Electrical (A)</t>
  </si>
  <si>
    <t>OXR12</t>
  </si>
  <si>
    <t>BC20057635</t>
  </si>
  <si>
    <t>Listed for inventory purposes only. Part of PRH57A</t>
  </si>
  <si>
    <t>Tool box Unit Price:</t>
  </si>
  <si>
    <t>Unit Price</t>
  </si>
  <si>
    <t>Extended price</t>
  </si>
  <si>
    <t>Unit price</t>
  </si>
  <si>
    <t>N/A</t>
  </si>
  <si>
    <t>Replacement</t>
  </si>
  <si>
    <t>Country of Origin</t>
  </si>
  <si>
    <t>Tool Set Unit Price: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</si>
</sst>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_);\-#,##0.00;&quot;&lt;Default Format&gt;&quot;"/>
    <numFmt numFmtId="165" formatCode="#,##0_);\-#,##0;&quot;&lt;Default Format&gt;&quot;"/>
    <numFmt numFmtId="166" formatCode="#,##0.000"/>
    <numFmt numFmtId="167" formatCode="0.0000"/>
    <numFmt numFmtId="168" formatCode="_-* #,##0.00_-;_-* #,##0.00\-;_-* &quot;-&quot;??_-;_-@_-"/>
    <numFmt numFmtId="169" formatCode="&quot;$&quot;#,##0.00"/>
  </numFmts>
  <fonts count="85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4"/>
      <name val="Arial"/>
      <family val="2"/>
    </font>
    <font>
      <u/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color rgb="FFFA7D00"/>
      <name val="Times New Roman"/>
      <family val="2"/>
    </font>
    <font>
      <sz val="12"/>
      <color rgb="FF3F3F76"/>
      <name val="Times New Roman"/>
      <family val="2"/>
    </font>
    <font>
      <sz val="12"/>
      <color theme="1"/>
      <name val="Times New Roman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indexed="8"/>
      <name val="Arial"/>
      <family val="2"/>
    </font>
    <font>
      <b/>
      <u/>
      <sz val="12"/>
      <color theme="1"/>
      <name val="Arial"/>
      <family val="2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  <charset val="162"/>
    </font>
    <font>
      <sz val="11"/>
      <color indexed="9"/>
      <name val="Calibri"/>
      <family val="2"/>
    </font>
    <font>
      <sz val="11"/>
      <color indexed="20"/>
      <name val="Calibri"/>
      <family val="2"/>
      <charset val="16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  <charset val="162"/>
    </font>
    <font>
      <i/>
      <sz val="11"/>
      <color indexed="23"/>
      <name val="Calibri"/>
      <family val="2"/>
    </font>
    <font>
      <sz val="11"/>
      <color indexed="17"/>
      <name val="Calibri"/>
      <family val="2"/>
      <charset val="162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62"/>
    </font>
    <font>
      <b/>
      <sz val="15"/>
      <color indexed="56"/>
      <name val="Calibri"/>
      <family val="2"/>
    </font>
    <font>
      <b/>
      <sz val="13"/>
      <color indexed="56"/>
      <name val="Calibri"/>
      <family val="2"/>
      <charset val="162"/>
    </font>
    <font>
      <b/>
      <sz val="13"/>
      <color indexed="56"/>
      <name val="Calibri"/>
      <family val="2"/>
    </font>
    <font>
      <b/>
      <sz val="11"/>
      <color indexed="56"/>
      <name val="Calibri"/>
      <family val="2"/>
      <charset val="16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62"/>
      <name val="Calibri"/>
      <family val="2"/>
      <charset val="162"/>
    </font>
    <font>
      <sz val="11"/>
      <color indexed="52"/>
      <name val="Calibri"/>
      <family val="2"/>
      <charset val="162"/>
    </font>
    <font>
      <sz val="11"/>
      <color indexed="52"/>
      <name val="Calibri"/>
      <family val="2"/>
    </font>
    <font>
      <sz val="11"/>
      <color indexed="60"/>
      <name val="Calibri"/>
      <family val="2"/>
      <charset val="16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  <charset val="162"/>
    </font>
    <font>
      <b/>
      <sz val="11"/>
      <color indexed="63"/>
      <name val="Calibri"/>
      <family val="2"/>
    </font>
    <font>
      <b/>
      <sz val="18"/>
      <color indexed="56"/>
      <name val="Cambria"/>
      <family val="2"/>
      <charset val="162"/>
    </font>
    <font>
      <b/>
      <sz val="18"/>
      <color indexed="56"/>
      <name val="Cambria"/>
      <family val="2"/>
    </font>
    <font>
      <b/>
      <sz val="11"/>
      <color indexed="8"/>
      <name val="Calibri"/>
      <family val="2"/>
      <charset val="162"/>
    </font>
    <font>
      <b/>
      <sz val="11"/>
      <color indexed="8"/>
      <name val="Calibri"/>
      <family val="2"/>
    </font>
    <font>
      <sz val="11"/>
      <color indexed="10"/>
      <name val="Calibri"/>
      <family val="2"/>
      <charset val="16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16"/>
      <name val="Calibri"/>
      <family val="2"/>
    </font>
    <font>
      <b/>
      <sz val="15"/>
      <color indexed="62"/>
      <name val="Calibri"/>
      <family val="2"/>
    </font>
    <font>
      <b/>
      <sz val="24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4F81B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</borders>
  <cellStyleXfs count="1353">
    <xf numFmtId="0" fontId="0" fillId="0" borderId="0"/>
    <xf numFmtId="0" fontId="11" fillId="2" borderId="7" applyNumberFormat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2" fillId="3" borderId="7" applyNumberFormat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4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3" fillId="0" borderId="0"/>
    <xf numFmtId="0" fontId="13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6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6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8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8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8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8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8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8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8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8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8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8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8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0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3" fillId="26" borderId="10" applyNumberFormat="0" applyAlignment="0" applyProtection="0"/>
    <xf numFmtId="0" fontId="33" fillId="26" borderId="10" applyNumberFormat="0" applyAlignment="0" applyProtection="0"/>
    <xf numFmtId="0" fontId="33" fillId="26" borderId="10" applyNumberFormat="0" applyAlignment="0" applyProtection="0"/>
    <xf numFmtId="0" fontId="33" fillId="26" borderId="10" applyNumberFormat="0" applyAlignment="0" applyProtection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4" fillId="27" borderId="11" applyNumberFormat="0" applyAlignment="0" applyProtection="0"/>
    <xf numFmtId="0" fontId="25" fillId="7" borderId="9" applyNumberFormat="0" applyAlignment="0" applyProtection="0"/>
    <xf numFmtId="0" fontId="35" fillId="27" borderId="11" applyNumberFormat="0" applyAlignment="0" applyProtection="0"/>
    <xf numFmtId="0" fontId="25" fillId="7" borderId="9" applyNumberFormat="0" applyAlignment="0" applyProtection="0"/>
    <xf numFmtId="0" fontId="35" fillId="27" borderId="11" applyNumberFormat="0" applyAlignment="0" applyProtection="0"/>
    <xf numFmtId="166" fontId="36" fillId="0" borderId="12" applyFont="0" applyFill="0" applyBorder="0" applyAlignment="0" applyProtection="0">
      <alignment horizontal="right"/>
    </xf>
    <xf numFmtId="166" fontId="36" fillId="0" borderId="12" applyFont="0" applyFill="0" applyBorder="0" applyAlignment="0" applyProtection="0">
      <alignment horizontal="right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36" fillId="0" borderId="13" applyFont="0" applyFill="0" applyBorder="0" applyAlignment="0" applyProtection="0"/>
    <xf numFmtId="167" fontId="36" fillId="0" borderId="13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5" fillId="0" borderId="14" applyNumberFormat="0" applyAlignment="0" applyProtection="0">
      <alignment horizontal="left" vertical="center"/>
    </xf>
    <xf numFmtId="0" fontId="5" fillId="0" borderId="15">
      <alignment horizontal="left" vertical="center"/>
    </xf>
    <xf numFmtId="0" fontId="5" fillId="0" borderId="15">
      <alignment horizontal="left" vertical="center"/>
    </xf>
    <xf numFmtId="0" fontId="5" fillId="0" borderId="15">
      <alignment horizontal="left" vertical="center"/>
    </xf>
    <xf numFmtId="0" fontId="5" fillId="0" borderId="15">
      <alignment horizontal="left" vertical="center"/>
    </xf>
    <xf numFmtId="0" fontId="5" fillId="0" borderId="15">
      <alignment horizontal="left" vertical="center"/>
    </xf>
    <xf numFmtId="0" fontId="41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13" borderId="10" applyNumberFormat="0" applyAlignment="0" applyProtection="0"/>
    <xf numFmtId="0" fontId="47" fillId="13" borderId="10" applyNumberFormat="0" applyAlignment="0" applyProtection="0"/>
    <xf numFmtId="0" fontId="47" fillId="13" borderId="10" applyNumberFormat="0" applyAlignment="0" applyProtection="0"/>
    <xf numFmtId="0" fontId="47" fillId="13" borderId="10" applyNumberFormat="0" applyAlignment="0" applyProtection="0"/>
    <xf numFmtId="0" fontId="47" fillId="13" borderId="10" applyNumberFormat="0" applyAlignment="0" applyProtection="0"/>
    <xf numFmtId="0" fontId="48" fillId="13" borderId="10" applyNumberFormat="0" applyAlignment="0" applyProtection="0"/>
    <xf numFmtId="0" fontId="48" fillId="13" borderId="10" applyNumberFormat="0" applyAlignment="0" applyProtection="0"/>
    <xf numFmtId="0" fontId="48" fillId="13" borderId="10" applyNumberFormat="0" applyAlignment="0" applyProtection="0"/>
    <xf numFmtId="0" fontId="48" fillId="13" borderId="10" applyNumberFormat="0" applyAlignment="0" applyProtection="0"/>
    <xf numFmtId="0" fontId="47" fillId="13" borderId="10" applyNumberFormat="0" applyAlignment="0" applyProtection="0"/>
    <xf numFmtId="0" fontId="47" fillId="13" borderId="10" applyNumberFormat="0" applyAlignment="0" applyProtection="0"/>
    <xf numFmtId="0" fontId="47" fillId="13" borderId="10" applyNumberFormat="0" applyAlignment="0" applyProtection="0"/>
    <xf numFmtId="0" fontId="47" fillId="13" borderId="10" applyNumberFormat="0" applyAlignment="0" applyProtection="0"/>
    <xf numFmtId="0" fontId="47" fillId="13" borderId="10" applyNumberFormat="0" applyAlignment="0" applyProtection="0"/>
    <xf numFmtId="0" fontId="49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1" fillId="28" borderId="0" applyNumberFormat="0" applyBorder="0" applyAlignment="0" applyProtection="0"/>
    <xf numFmtId="0" fontId="52" fillId="28" borderId="0" applyNumberFormat="0" applyBorder="0" applyAlignment="0" applyProtection="0"/>
    <xf numFmtId="0" fontId="52" fillId="28" borderId="0" applyNumberFormat="0" applyBorder="0" applyAlignment="0" applyProtection="0"/>
    <xf numFmtId="0" fontId="10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10" fillId="0" borderId="0"/>
    <xf numFmtId="0" fontId="10" fillId="0" borderId="0"/>
    <xf numFmtId="0" fontId="36" fillId="0" borderId="0"/>
    <xf numFmtId="0" fontId="10" fillId="0" borderId="0"/>
    <xf numFmtId="0" fontId="2" fillId="0" borderId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53" fillId="29" borderId="20" applyNumberFormat="0" applyFont="0" applyAlignment="0" applyProtection="0"/>
    <xf numFmtId="0" fontId="53" fillId="29" borderId="20" applyNumberFormat="0" applyFont="0" applyAlignment="0" applyProtection="0"/>
    <xf numFmtId="0" fontId="53" fillId="29" borderId="20" applyNumberFormat="0" applyFont="0" applyAlignment="0" applyProtection="0"/>
    <xf numFmtId="0" fontId="53" fillId="29" borderId="20" applyNumberFormat="0" applyFont="0" applyAlignment="0" applyProtection="0"/>
    <xf numFmtId="0" fontId="53" fillId="29" borderId="20" applyNumberFormat="0" applyFont="0" applyAlignment="0" applyProtection="0"/>
    <xf numFmtId="0" fontId="53" fillId="29" borderId="20" applyNumberFormat="0" applyFont="0" applyAlignment="0" applyProtection="0"/>
    <xf numFmtId="0" fontId="54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4" fillId="26" borderId="21" applyNumberFormat="0" applyAlignment="0" applyProtection="0"/>
    <xf numFmtId="0" fontId="54" fillId="26" borderId="21" applyNumberFormat="0" applyAlignment="0" applyProtection="0"/>
    <xf numFmtId="0" fontId="54" fillId="26" borderId="21" applyNumberFormat="0" applyAlignment="0" applyProtection="0"/>
    <xf numFmtId="0" fontId="54" fillId="26" borderId="21" applyNumberFormat="0" applyAlignment="0" applyProtection="0"/>
    <xf numFmtId="0" fontId="54" fillId="26" borderId="21" applyNumberFormat="0" applyAlignment="0" applyProtection="0"/>
    <xf numFmtId="0" fontId="54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0" fontId="55" fillId="26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9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2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3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4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4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7" fillId="1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29" fillId="18" borderId="0" applyNumberFormat="0" applyBorder="0" applyAlignment="0" applyProtection="0"/>
    <xf numFmtId="0" fontId="65" fillId="34" borderId="0" applyNumberFormat="0" applyBorder="0" applyAlignment="0" applyProtection="0"/>
    <xf numFmtId="0" fontId="29" fillId="16" borderId="0" applyNumberFormat="0" applyBorder="0" applyAlignment="0" applyProtection="0"/>
    <xf numFmtId="0" fontId="65" fillId="41" borderId="0" applyNumberFormat="0" applyBorder="0" applyAlignment="0" applyProtection="0"/>
    <xf numFmtId="0" fontId="29" fillId="19" borderId="0" applyNumberFormat="0" applyBorder="0" applyAlignment="0" applyProtection="0"/>
    <xf numFmtId="0" fontId="65" fillId="45" borderId="0" applyNumberFormat="0" applyBorder="0" applyAlignment="0" applyProtection="0"/>
    <xf numFmtId="0" fontId="29" fillId="21" borderId="0" applyNumberFormat="0" applyBorder="0" applyAlignment="0" applyProtection="0"/>
    <xf numFmtId="0" fontId="65" fillId="50" borderId="0" applyNumberFormat="0" applyBorder="0" applyAlignment="0" applyProtection="0"/>
    <xf numFmtId="0" fontId="29" fillId="22" borderId="0" applyNumberFormat="0" applyBorder="0" applyAlignment="0" applyProtection="0"/>
    <xf numFmtId="0" fontId="65" fillId="31" borderId="0" applyNumberFormat="0" applyBorder="0" applyAlignment="0" applyProtection="0"/>
    <xf numFmtId="0" fontId="29" fillId="23" borderId="0" applyNumberFormat="0" applyBorder="0" applyAlignment="0" applyProtection="0"/>
    <xf numFmtId="0" fontId="65" fillId="35" borderId="0" applyNumberFormat="0" applyBorder="0" applyAlignment="0" applyProtection="0"/>
    <xf numFmtId="0" fontId="29" fillId="24" borderId="0" applyNumberFormat="0" applyBorder="0" applyAlignment="0" applyProtection="0"/>
    <xf numFmtId="0" fontId="65" fillId="38" borderId="0" applyNumberFormat="0" applyBorder="0" applyAlignment="0" applyProtection="0"/>
    <xf numFmtId="0" fontId="29" fillId="19" borderId="0" applyNumberFormat="0" applyBorder="0" applyAlignment="0" applyProtection="0"/>
    <xf numFmtId="0" fontId="65" fillId="42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32" fillId="26" borderId="10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7" fillId="0" borderId="16" applyNumberFormat="0" applyFill="0" applyAlignment="0" applyProtection="0"/>
    <xf numFmtId="0" fontId="67" fillId="0" borderId="27" applyNumberFormat="0" applyFill="0" applyAlignment="0" applyProtection="0"/>
    <xf numFmtId="0" fontId="44" fillId="0" borderId="17" applyNumberFormat="0" applyFill="0" applyAlignment="0" applyProtection="0"/>
    <xf numFmtId="0" fontId="63" fillId="0" borderId="23" applyNumberFormat="0" applyFill="0" applyAlignment="0" applyProtection="0"/>
    <xf numFmtId="0" fontId="46" fillId="0" borderId="18" applyNumberFormat="0" applyFill="0" applyAlignment="0" applyProtection="0"/>
    <xf numFmtId="0" fontId="64" fillId="0" borderId="24" applyNumberFormat="0" applyFill="0" applyAlignment="0" applyProtection="0"/>
    <xf numFmtId="0" fontId="4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3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" fillId="29" borderId="20" applyNumberFormat="0" applyFont="0" applyAlignment="0" applyProtection="0"/>
    <xf numFmtId="0" fontId="2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27" fillId="29" borderId="20" applyNumberFormat="0" applyFont="0" applyAlignment="0" applyProtection="0"/>
    <xf numFmtId="0" fontId="27" fillId="30" borderId="25" applyNumberFormat="0" applyFont="0" applyAlignment="0" applyProtection="0"/>
    <xf numFmtId="0" fontId="27" fillId="29" borderId="20" applyNumberFormat="0" applyFont="0" applyAlignment="0" applyProtection="0"/>
    <xf numFmtId="0" fontId="55" fillId="26" borderId="21" applyNumberFormat="0" applyAlignment="0" applyProtection="0"/>
    <xf numFmtId="0" fontId="5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59" fillId="0" borderId="22" applyNumberFormat="0" applyFill="0" applyAlignment="0" applyProtection="0"/>
    <xf numFmtId="0" fontId="2" fillId="0" borderId="0"/>
    <xf numFmtId="0" fontId="11" fillId="2" borderId="7" applyNumberFormat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2" fillId="3" borderId="7" applyNumberFormat="0" applyAlignment="0" applyProtection="0"/>
    <xf numFmtId="0" fontId="2" fillId="0" borderId="0"/>
    <xf numFmtId="0" fontId="2" fillId="0" borderId="0"/>
    <xf numFmtId="0" fontId="2" fillId="0" borderId="0"/>
    <xf numFmtId="0" fontId="72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710">
    <xf numFmtId="0" fontId="0" fillId="0" borderId="0" xfId="0"/>
    <xf numFmtId="0" fontId="15" fillId="0" borderId="0" xfId="34" applyFont="1" applyFill="1"/>
    <xf numFmtId="0" fontId="15" fillId="0" borderId="0" xfId="34" applyFont="1" applyFill="1" applyAlignment="1">
      <alignment horizontal="center"/>
    </xf>
    <xf numFmtId="0" fontId="8" fillId="0" borderId="0" xfId="25" applyFont="1" applyFill="1" applyAlignment="1">
      <alignment horizontal="center"/>
    </xf>
    <xf numFmtId="0" fontId="8" fillId="0" borderId="0" xfId="25" applyFont="1" applyFill="1"/>
    <xf numFmtId="0" fontId="8" fillId="0" borderId="0" xfId="25" applyFont="1" applyFill="1" applyAlignment="1">
      <alignment vertical="center"/>
    </xf>
    <xf numFmtId="0" fontId="7" fillId="0" borderId="1" xfId="24" applyFont="1" applyFill="1" applyBorder="1" applyAlignment="1">
      <alignment horizontal="center"/>
    </xf>
    <xf numFmtId="0" fontId="7" fillId="0" borderId="0" xfId="8" applyFont="1"/>
    <xf numFmtId="0" fontId="7" fillId="0" borderId="1" xfId="34" applyFont="1" applyFill="1" applyBorder="1" applyAlignment="1">
      <alignment vertical="center"/>
    </xf>
    <xf numFmtId="0" fontId="7" fillId="0" borderId="1" xfId="34" applyFont="1" applyFill="1" applyBorder="1" applyAlignment="1">
      <alignment horizontal="center" vertical="center"/>
    </xf>
    <xf numFmtId="0" fontId="7" fillId="0" borderId="1" xfId="2" applyNumberFormat="1" applyFont="1" applyFill="1" applyBorder="1" applyAlignment="1" applyProtection="1">
      <alignment horizontal="center" vertical="center"/>
    </xf>
    <xf numFmtId="0" fontId="15" fillId="0" borderId="0" xfId="34" applyFont="1" applyFill="1" applyBorder="1"/>
    <xf numFmtId="0" fontId="7" fillId="0" borderId="1" xfId="34" applyFont="1" applyFill="1" applyBorder="1" applyAlignment="1">
      <alignment vertical="center" wrapText="1"/>
    </xf>
    <xf numFmtId="0" fontId="5" fillId="0" borderId="1" xfId="34" applyFont="1" applyFill="1" applyBorder="1" applyAlignment="1">
      <alignment horizontal="center" wrapText="1"/>
    </xf>
    <xf numFmtId="0" fontId="7" fillId="0" borderId="1" xfId="34" applyFont="1" applyFill="1" applyBorder="1"/>
    <xf numFmtId="0" fontId="7" fillId="0" borderId="1" xfId="34" applyFont="1" applyFill="1" applyBorder="1" applyAlignment="1">
      <alignment horizontal="center"/>
    </xf>
    <xf numFmtId="0" fontId="7" fillId="0" borderId="0" xfId="34" applyFont="1" applyFill="1"/>
    <xf numFmtId="0" fontId="7" fillId="0" borderId="0" xfId="34" applyFont="1" applyFill="1" applyAlignment="1">
      <alignment horizontal="center"/>
    </xf>
    <xf numFmtId="0" fontId="7" fillId="0" borderId="1" xfId="8" applyFont="1" applyBorder="1" applyAlignment="1">
      <alignment horizontal="center"/>
    </xf>
    <xf numFmtId="0" fontId="16" fillId="0" borderId="1" xfId="34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5" fillId="0" borderId="1" xfId="25" applyFont="1" applyFill="1" applyBorder="1" applyAlignment="1">
      <alignment horizontal="center"/>
    </xf>
    <xf numFmtId="0" fontId="15" fillId="0" borderId="0" xfId="34" applyFont="1" applyFill="1" applyBorder="1" applyAlignment="1">
      <alignment horizontal="center"/>
    </xf>
    <xf numFmtId="0" fontId="5" fillId="0" borderId="1" xfId="24" applyFont="1" applyFill="1" applyBorder="1" applyAlignment="1">
      <alignment horizontal="center" wrapText="1"/>
    </xf>
    <xf numFmtId="0" fontId="7" fillId="0" borderId="1" xfId="24" applyFont="1" applyFill="1" applyBorder="1" applyAlignment="1">
      <alignment horizontal="left" wrapText="1"/>
    </xf>
    <xf numFmtId="0" fontId="7" fillId="0" borderId="1" xfId="25" applyFont="1" applyFill="1" applyBorder="1" applyAlignment="1">
      <alignment horizontal="center"/>
    </xf>
    <xf numFmtId="0" fontId="7" fillId="0" borderId="1" xfId="34" applyFont="1" applyFill="1" applyBorder="1" applyAlignment="1">
      <alignment horizontal="left" wrapText="1"/>
    </xf>
    <xf numFmtId="0" fontId="7" fillId="0" borderId="1" xfId="34" applyFont="1" applyFill="1" applyBorder="1" applyAlignment="1">
      <alignment horizontal="center" wrapText="1"/>
    </xf>
    <xf numFmtId="0" fontId="5" fillId="0" borderId="1" xfId="18" applyFont="1" applyBorder="1" applyAlignment="1">
      <alignment horizontal="center"/>
    </xf>
    <xf numFmtId="0" fontId="7" fillId="0" borderId="1" xfId="8" applyFont="1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4" fillId="0" borderId="0" xfId="34" applyFont="1" applyFill="1"/>
    <xf numFmtId="0" fontId="14" fillId="0" borderId="0" xfId="34" applyFont="1"/>
    <xf numFmtId="0" fontId="14" fillId="0" borderId="0" xfId="34" applyFont="1" applyFill="1" applyAlignment="1">
      <alignment horizontal="center"/>
    </xf>
    <xf numFmtId="0" fontId="16" fillId="0" borderId="1" xfId="46" applyFont="1" applyFill="1" applyBorder="1" applyAlignment="1">
      <alignment horizontal="center"/>
    </xf>
    <xf numFmtId="0" fontId="16" fillId="0" borderId="1" xfId="46" applyFont="1" applyFill="1" applyBorder="1"/>
    <xf numFmtId="0" fontId="8" fillId="0" borderId="0" xfId="25" applyFont="1" applyFill="1" applyAlignment="1">
      <alignment horizontal="left"/>
    </xf>
    <xf numFmtId="0" fontId="7" fillId="0" borderId="1" xfId="34" applyFont="1" applyFill="1" applyBorder="1" applyAlignment="1">
      <alignment horizontal="left"/>
    </xf>
    <xf numFmtId="0" fontId="16" fillId="0" borderId="1" xfId="34" applyFont="1" applyFill="1" applyBorder="1" applyAlignment="1">
      <alignment horizontal="left"/>
    </xf>
    <xf numFmtId="0" fontId="7" fillId="0" borderId="0" xfId="34" applyFont="1" applyFill="1" applyBorder="1" applyAlignment="1">
      <alignment horizontal="center"/>
    </xf>
    <xf numFmtId="0" fontId="16" fillId="0" borderId="1" xfId="0" applyFont="1" applyFill="1" applyBorder="1"/>
    <xf numFmtId="0" fontId="7" fillId="0" borderId="1" xfId="8" applyFont="1" applyFill="1" applyBorder="1" applyAlignment="1">
      <alignment horizontal="center"/>
    </xf>
    <xf numFmtId="0" fontId="7" fillId="0" borderId="0" xfId="8" applyFont="1" applyFill="1"/>
    <xf numFmtId="0" fontId="7" fillId="0" borderId="1" xfId="8" applyFont="1" applyFill="1" applyBorder="1"/>
    <xf numFmtId="0" fontId="7" fillId="0" borderId="1" xfId="24" applyFont="1" applyFill="1" applyBorder="1" applyAlignment="1">
      <alignment horizontal="center" wrapText="1"/>
    </xf>
    <xf numFmtId="0" fontId="7" fillId="0" borderId="1" xfId="25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18" fillId="0" borderId="0" xfId="0" applyFont="1"/>
    <xf numFmtId="0" fontId="5" fillId="0" borderId="1" xfId="42" applyFont="1" applyFill="1" applyBorder="1" applyAlignment="1">
      <alignment horizontal="center" wrapText="1"/>
    </xf>
    <xf numFmtId="0" fontId="7" fillId="0" borderId="1" xfId="42" applyFont="1" applyFill="1" applyBorder="1" applyAlignment="1">
      <alignment horizontal="center" wrapText="1"/>
    </xf>
    <xf numFmtId="0" fontId="7" fillId="0" borderId="1" xfId="25" applyFont="1" applyFill="1" applyBorder="1" applyAlignment="1">
      <alignment horizontal="left" wrapText="1"/>
    </xf>
    <xf numFmtId="0" fontId="5" fillId="0" borderId="1" xfId="25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left"/>
    </xf>
    <xf numFmtId="0" fontId="7" fillId="0" borderId="1" xfId="25" applyFont="1" applyFill="1" applyBorder="1"/>
    <xf numFmtId="0" fontId="7" fillId="0" borderId="0" xfId="25" applyFont="1" applyFill="1"/>
    <xf numFmtId="0" fontId="7" fillId="0" borderId="0" xfId="25" applyFont="1" applyFill="1" applyAlignment="1">
      <alignment horizontal="center"/>
    </xf>
    <xf numFmtId="0" fontId="7" fillId="0" borderId="0" xfId="25" applyFont="1" applyFill="1" applyAlignment="1">
      <alignment horizontal="left"/>
    </xf>
    <xf numFmtId="0" fontId="7" fillId="0" borderId="0" xfId="24" applyFont="1" applyFill="1" applyBorder="1" applyAlignment="1">
      <alignment horizontal="center"/>
    </xf>
    <xf numFmtId="0" fontId="7" fillId="0" borderId="1" xfId="46" applyFont="1" applyFill="1" applyBorder="1" applyAlignment="1">
      <alignment horizontal="left" wrapText="1"/>
    </xf>
    <xf numFmtId="0" fontId="7" fillId="0" borderId="1" xfId="46" applyFont="1" applyFill="1" applyBorder="1" applyAlignment="1">
      <alignment horizontal="center" wrapText="1"/>
    </xf>
    <xf numFmtId="0" fontId="7" fillId="0" borderId="1" xfId="46" applyFont="1" applyFill="1" applyBorder="1"/>
    <xf numFmtId="0" fontId="16" fillId="0" borderId="0" xfId="46" applyFont="1" applyFill="1" applyBorder="1" applyAlignment="1">
      <alignment horizontal="center"/>
    </xf>
    <xf numFmtId="0" fontId="19" fillId="0" borderId="1" xfId="34" applyFont="1" applyFill="1" applyBorder="1" applyAlignment="1">
      <alignment horizontal="center"/>
    </xf>
    <xf numFmtId="0" fontId="16" fillId="0" borderId="0" xfId="34" applyFont="1" applyFill="1"/>
    <xf numFmtId="0" fontId="16" fillId="0" borderId="0" xfId="34" applyFont="1" applyFill="1" applyAlignment="1">
      <alignment horizontal="center"/>
    </xf>
    <xf numFmtId="0" fontId="16" fillId="0" borderId="0" xfId="34" applyFont="1"/>
    <xf numFmtId="0" fontId="7" fillId="0" borderId="1" xfId="34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center" vertical="center"/>
    </xf>
    <xf numFmtId="0" fontId="7" fillId="0" borderId="0" xfId="8" applyFont="1" applyAlignment="1">
      <alignment horizontal="center"/>
    </xf>
    <xf numFmtId="0" fontId="7" fillId="0" borderId="1" xfId="18" applyFont="1" applyFill="1" applyBorder="1" applyAlignment="1">
      <alignment horizontal="center"/>
    </xf>
    <xf numFmtId="0" fontId="7" fillId="0" borderId="1" xfId="46" applyFont="1" applyFill="1" applyBorder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18" applyFont="1" applyBorder="1" applyAlignment="1">
      <alignment horizontal="left"/>
    </xf>
    <xf numFmtId="0" fontId="7" fillId="0" borderId="1" xfId="18" applyFont="1" applyBorder="1" applyAlignment="1">
      <alignment horizontal="center"/>
    </xf>
    <xf numFmtId="0" fontId="5" fillId="0" borderId="1" xfId="18" applyFont="1" applyBorder="1"/>
    <xf numFmtId="0" fontId="7" fillId="0" borderId="1" xfId="18" applyFont="1" applyBorder="1"/>
    <xf numFmtId="0" fontId="7" fillId="0" borderId="1" xfId="18" applyFont="1" applyFill="1" applyBorder="1" applyAlignment="1">
      <alignment horizontal="left"/>
    </xf>
    <xf numFmtId="0" fontId="7" fillId="0" borderId="0" xfId="18" applyFont="1" applyFill="1"/>
    <xf numFmtId="0" fontId="7" fillId="0" borderId="1" xfId="24" applyFont="1" applyFill="1" applyBorder="1" applyAlignment="1">
      <alignment horizontal="center" vertical="center" wrapText="1"/>
    </xf>
    <xf numFmtId="0" fontId="16" fillId="0" borderId="0" xfId="0" applyFont="1" applyFill="1" applyBorder="1"/>
    <xf numFmtId="0" fontId="7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34" applyFont="1" applyFill="1" applyAlignment="1">
      <alignment horizontal="center"/>
    </xf>
    <xf numFmtId="0" fontId="7" fillId="0" borderId="0" xfId="28" applyFont="1" applyFill="1" applyBorder="1" applyAlignment="1">
      <alignment horizontal="center" vertical="center"/>
    </xf>
    <xf numFmtId="0" fontId="7" fillId="0" borderId="0" xfId="37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5" fillId="0" borderId="1" xfId="8" applyFont="1" applyFill="1" applyBorder="1" applyAlignment="1">
      <alignment horizontal="center"/>
    </xf>
    <xf numFmtId="0" fontId="7" fillId="0" borderId="1" xfId="34" applyFont="1" applyFill="1" applyBorder="1" applyAlignment="1">
      <alignment horizontal="center" vertical="center" wrapText="1"/>
    </xf>
    <xf numFmtId="0" fontId="5" fillId="0" borderId="1" xfId="8" applyFont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7" fillId="0" borderId="0" xfId="46" applyFont="1" applyFill="1" applyBorder="1" applyAlignment="1">
      <alignment horizontal="center"/>
    </xf>
    <xf numFmtId="0" fontId="7" fillId="0" borderId="0" xfId="24" applyFont="1" applyFill="1" applyAlignment="1">
      <alignment horizontal="center"/>
    </xf>
    <xf numFmtId="0" fontId="5" fillId="0" borderId="1" xfId="8" applyFont="1" applyFill="1" applyBorder="1"/>
    <xf numFmtId="0" fontId="19" fillId="0" borderId="1" xfId="0" applyFont="1" applyFill="1" applyBorder="1"/>
    <xf numFmtId="0" fontId="5" fillId="0" borderId="1" xfId="24" applyFont="1" applyFill="1" applyBorder="1" applyAlignment="1">
      <alignment horizontal="center" vertical="center" wrapText="1"/>
    </xf>
    <xf numFmtId="0" fontId="19" fillId="0" borderId="1" xfId="46" applyFont="1" applyFill="1" applyBorder="1" applyAlignment="1">
      <alignment horizontal="center"/>
    </xf>
    <xf numFmtId="0" fontId="5" fillId="0" borderId="1" xfId="46" applyFont="1" applyFill="1" applyBorder="1" applyAlignment="1">
      <alignment horizontal="center" wrapText="1"/>
    </xf>
    <xf numFmtId="0" fontId="16" fillId="0" borderId="0" xfId="46" applyFont="1" applyFill="1" applyBorder="1"/>
    <xf numFmtId="0" fontId="19" fillId="0" borderId="1" xfId="46" applyFont="1" applyFill="1" applyBorder="1"/>
    <xf numFmtId="0" fontId="16" fillId="0" borderId="2" xfId="46" applyFont="1" applyFill="1" applyBorder="1"/>
    <xf numFmtId="0" fontId="7" fillId="0" borderId="0" xfId="46" applyFont="1" applyFill="1" applyBorder="1"/>
    <xf numFmtId="0" fontId="7" fillId="0" borderId="0" xfId="18" applyFont="1" applyFill="1" applyAlignment="1">
      <alignment horizontal="center"/>
    </xf>
    <xf numFmtId="0" fontId="5" fillId="0" borderId="0" xfId="34" applyFont="1" applyFill="1" applyBorder="1" applyAlignment="1">
      <alignment horizontal="center" wrapText="1"/>
    </xf>
    <xf numFmtId="0" fontId="5" fillId="0" borderId="0" xfId="34" applyFont="1" applyFill="1" applyBorder="1" applyAlignment="1">
      <alignment horizontal="center"/>
    </xf>
    <xf numFmtId="0" fontId="5" fillId="0" borderId="0" xfId="34" applyFont="1" applyFill="1" applyBorder="1" applyAlignment="1">
      <alignment horizontal="center" vertical="center" wrapText="1"/>
    </xf>
    <xf numFmtId="0" fontId="15" fillId="0" borderId="0" xfId="0" applyFont="1"/>
    <xf numFmtId="0" fontId="6" fillId="0" borderId="1" xfId="0" applyFont="1" applyBorder="1" applyAlignment="1">
      <alignment horizontal="center" vertical="center"/>
    </xf>
    <xf numFmtId="0" fontId="16" fillId="0" borderId="0" xfId="0" applyFont="1" applyFill="1" applyAlignment="1">
      <alignment wrapText="1"/>
    </xf>
    <xf numFmtId="0" fontId="7" fillId="0" borderId="1" xfId="9" applyFont="1" applyFill="1" applyBorder="1" applyAlignment="1">
      <alignment horizontal="left"/>
    </xf>
    <xf numFmtId="0" fontId="7" fillId="0" borderId="1" xfId="9" applyFont="1" applyFill="1" applyBorder="1" applyAlignment="1">
      <alignment horizontal="center"/>
    </xf>
    <xf numFmtId="0" fontId="5" fillId="0" borderId="1" xfId="9" applyFont="1" applyFill="1" applyBorder="1" applyAlignment="1">
      <alignment horizontal="center"/>
    </xf>
    <xf numFmtId="0" fontId="7" fillId="0" borderId="1" xfId="9" applyFont="1" applyFill="1" applyBorder="1"/>
    <xf numFmtId="0" fontId="7" fillId="0" borderId="0" xfId="24" applyFont="1" applyFill="1" applyBorder="1"/>
    <xf numFmtId="0" fontId="7" fillId="0" borderId="0" xfId="24" applyFont="1" applyFill="1" applyBorder="1" applyAlignment="1">
      <alignment horizontal="left"/>
    </xf>
    <xf numFmtId="0" fontId="16" fillId="0" borderId="0" xfId="0" applyFont="1" applyFill="1"/>
    <xf numFmtId="0" fontId="7" fillId="0" borderId="0" xfId="42" applyFont="1" applyFill="1" applyAlignment="1">
      <alignment horizontal="center"/>
    </xf>
    <xf numFmtId="0" fontId="16" fillId="0" borderId="0" xfId="24" applyFont="1" applyFill="1"/>
    <xf numFmtId="0" fontId="7" fillId="0" borderId="0" xfId="24" applyFont="1" applyFill="1"/>
    <xf numFmtId="0" fontId="5" fillId="0" borderId="1" xfId="25" applyFont="1" applyFill="1" applyBorder="1" applyAlignment="1">
      <alignment horizontal="center" vertical="center"/>
    </xf>
    <xf numFmtId="0" fontId="7" fillId="0" borderId="0" xfId="34" applyFont="1" applyFill="1" applyAlignment="1">
      <alignment horizontal="center" vertical="center"/>
    </xf>
    <xf numFmtId="0" fontId="16" fillId="0" borderId="0" xfId="34" applyFont="1" applyFill="1" applyAlignment="1">
      <alignment horizontal="center" vertical="center"/>
    </xf>
    <xf numFmtId="0" fontId="16" fillId="0" borderId="0" xfId="0" applyNumberFormat="1" applyFont="1" applyFill="1" applyBorder="1" applyAlignment="1" applyProtection="1"/>
    <xf numFmtId="0" fontId="16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18" applyFont="1"/>
    <xf numFmtId="164" fontId="6" fillId="0" borderId="0" xfId="0" applyNumberFormat="1" applyFont="1" applyAlignment="1">
      <alignment horizontal="right" vertical="center"/>
    </xf>
    <xf numFmtId="0" fontId="21" fillId="0" borderId="0" xfId="0" applyNumberFormat="1" applyFont="1" applyAlignment="1">
      <alignment horizontal="right" vertical="center"/>
    </xf>
    <xf numFmtId="8" fontId="21" fillId="0" borderId="0" xfId="0" applyNumberFormat="1" applyFont="1" applyAlignment="1">
      <alignment horizontal="right" vertical="center"/>
    </xf>
    <xf numFmtId="0" fontId="7" fillId="0" borderId="0" xfId="0" applyFont="1" applyFill="1"/>
    <xf numFmtId="0" fontId="5" fillId="0" borderId="6" xfId="46" applyFont="1" applyFill="1" applyBorder="1" applyAlignment="1">
      <alignment horizontal="center" wrapText="1"/>
    </xf>
    <xf numFmtId="0" fontId="5" fillId="0" borderId="4" xfId="25" applyFont="1" applyFill="1" applyBorder="1" applyAlignment="1">
      <alignment horizontal="center"/>
    </xf>
    <xf numFmtId="0" fontId="5" fillId="0" borderId="4" xfId="46" applyFont="1" applyFill="1" applyBorder="1" applyAlignment="1">
      <alignment horizontal="center" wrapText="1"/>
    </xf>
    <xf numFmtId="49" fontId="7" fillId="0" borderId="0" xfId="18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7" fillId="0" borderId="1" xfId="25" applyFont="1" applyFill="1" applyBorder="1" applyAlignment="1">
      <alignment horizontal="center" wrapText="1"/>
    </xf>
    <xf numFmtId="0" fontId="22" fillId="0" borderId="1" xfId="0" applyFont="1" applyFill="1" applyBorder="1" applyAlignment="1">
      <alignment horizontal="center"/>
    </xf>
    <xf numFmtId="0" fontId="22" fillId="0" borderId="3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0" fillId="0" borderId="0" xfId="0" applyFill="1"/>
    <xf numFmtId="0" fontId="23" fillId="0" borderId="1" xfId="9" applyNumberFormat="1" applyFont="1" applyFill="1" applyBorder="1" applyAlignment="1">
      <alignment horizontal="left" vertical="center"/>
    </xf>
    <xf numFmtId="0" fontId="7" fillId="0" borderId="1" xfId="18" applyFont="1" applyFill="1" applyBorder="1" applyAlignment="1">
      <alignment vertical="center"/>
    </xf>
    <xf numFmtId="0" fontId="1" fillId="0" borderId="1" xfId="2" applyFill="1" applyBorder="1" applyAlignment="1" applyProtection="1"/>
    <xf numFmtId="0" fontId="7" fillId="0" borderId="0" xfId="2" applyNumberFormat="1" applyFont="1" applyFill="1" applyBorder="1" applyAlignment="1" applyProtection="1">
      <alignment horizontal="center" vertical="center"/>
    </xf>
    <xf numFmtId="0" fontId="7" fillId="0" borderId="1" xfId="24" applyFont="1" applyFill="1" applyBorder="1" applyAlignment="1">
      <alignment vertical="center"/>
    </xf>
    <xf numFmtId="0" fontId="16" fillId="5" borderId="1" xfId="0" applyFont="1" applyFill="1" applyBorder="1"/>
    <xf numFmtId="0" fontId="68" fillId="0" borderId="0" xfId="25" applyFont="1" applyFill="1" applyAlignment="1">
      <alignment horizontal="center"/>
    </xf>
    <xf numFmtId="0" fontId="7" fillId="0" borderId="1" xfId="34" applyFont="1" applyFill="1" applyBorder="1" applyAlignment="1">
      <alignment horizontal="left" vertical="center" wrapText="1"/>
    </xf>
    <xf numFmtId="0" fontId="7" fillId="0" borderId="1" xfId="5" applyFont="1" applyFill="1" applyBorder="1"/>
    <xf numFmtId="0" fontId="23" fillId="0" borderId="1" xfId="46" applyNumberFormat="1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/>
    </xf>
    <xf numFmtId="0" fontId="16" fillId="0" borderId="0" xfId="0" applyFont="1" applyFill="1" applyAlignment="1">
      <alignment horizontal="left"/>
    </xf>
    <xf numFmtId="0" fontId="7" fillId="0" borderId="1" xfId="2" applyFont="1" applyFill="1" applyBorder="1" applyAlignment="1" applyProtection="1">
      <alignment horizontal="left" vertical="center"/>
    </xf>
    <xf numFmtId="0" fontId="7" fillId="0" borderId="1" xfId="9" applyFont="1" applyFill="1" applyBorder="1" applyAlignment="1">
      <alignment horizontal="left" vertical="center"/>
    </xf>
    <xf numFmtId="0" fontId="5" fillId="0" borderId="1" xfId="9" applyFont="1" applyFill="1" applyBorder="1"/>
    <xf numFmtId="0" fontId="7" fillId="0" borderId="0" xfId="9" applyFont="1" applyFill="1"/>
    <xf numFmtId="0" fontId="7" fillId="0" borderId="1" xfId="9" applyFont="1" applyFill="1" applyBorder="1" applyAlignment="1">
      <alignment horizontal="center" vertical="center"/>
    </xf>
    <xf numFmtId="0" fontId="7" fillId="0" borderId="0" xfId="9" applyFont="1" applyFill="1" applyAlignment="1">
      <alignment horizontal="center" vertical="center"/>
    </xf>
    <xf numFmtId="0" fontId="7" fillId="0" borderId="0" xfId="9" applyFont="1" applyFill="1" applyAlignment="1">
      <alignment horizontal="center"/>
    </xf>
    <xf numFmtId="0" fontId="7" fillId="0" borderId="0" xfId="9" applyFont="1" applyFill="1" applyAlignment="1">
      <alignment vertical="center"/>
    </xf>
    <xf numFmtId="0" fontId="2" fillId="0" borderId="0" xfId="9"/>
    <xf numFmtId="0" fontId="7" fillId="0" borderId="1" xfId="9" applyFont="1" applyBorder="1" applyAlignment="1">
      <alignment horizontal="center"/>
    </xf>
    <xf numFmtId="0" fontId="7" fillId="0" borderId="0" xfId="9" applyFont="1"/>
    <xf numFmtId="0" fontId="7" fillId="0" borderId="0" xfId="9" applyFont="1" applyAlignment="1">
      <alignment horizontal="center"/>
    </xf>
    <xf numFmtId="0" fontId="2" fillId="0" borderId="0" xfId="9" applyAlignment="1">
      <alignment horizontal="center"/>
    </xf>
    <xf numFmtId="0" fontId="2" fillId="0" borderId="0" xfId="9" applyFill="1" applyAlignment="1">
      <alignment horizontal="center"/>
    </xf>
    <xf numFmtId="0" fontId="5" fillId="0" borderId="1" xfId="9" applyFont="1" applyBorder="1" applyAlignment="1">
      <alignment horizontal="center"/>
    </xf>
    <xf numFmtId="0" fontId="5" fillId="0" borderId="1" xfId="9" applyFont="1" applyBorder="1"/>
    <xf numFmtId="0" fontId="7" fillId="0" borderId="1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7" fillId="0" borderId="0" xfId="9" applyFont="1" applyFill="1" applyAlignment="1">
      <alignment horizontal="left"/>
    </xf>
    <xf numFmtId="0" fontId="8" fillId="0" borderId="0" xfId="9" applyFont="1" applyFill="1"/>
    <xf numFmtId="0" fontId="23" fillId="0" borderId="0" xfId="34" applyNumberFormat="1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8" fillId="0" borderId="0" xfId="9" applyFont="1" applyFill="1" applyAlignment="1">
      <alignment horizontal="center"/>
    </xf>
    <xf numFmtId="0" fontId="5" fillId="0" borderId="1" xfId="9" applyFont="1" applyFill="1" applyBorder="1" applyAlignment="1">
      <alignment horizontal="left"/>
    </xf>
    <xf numFmtId="0" fontId="5" fillId="0" borderId="1" xfId="9" applyFont="1" applyFill="1" applyBorder="1" applyAlignment="1">
      <alignment horizontal="center" vertical="center"/>
    </xf>
    <xf numFmtId="0" fontId="7" fillId="0" borderId="0" xfId="9" applyFont="1" applyBorder="1" applyAlignment="1">
      <alignment horizontal="left"/>
    </xf>
    <xf numFmtId="0" fontId="7" fillId="0" borderId="0" xfId="9" applyFont="1" applyBorder="1" applyAlignment="1">
      <alignment horizontal="center" vertical="center"/>
    </xf>
    <xf numFmtId="0" fontId="7" fillId="0" borderId="0" xfId="9" applyFont="1" applyBorder="1" applyAlignment="1">
      <alignment horizontal="center"/>
    </xf>
    <xf numFmtId="0" fontId="7" fillId="0" borderId="0" xfId="9" applyFont="1" applyBorder="1"/>
    <xf numFmtId="0" fontId="7" fillId="0" borderId="0" xfId="9" applyFont="1" applyAlignment="1">
      <alignment horizontal="left"/>
    </xf>
    <xf numFmtId="0" fontId="2" fillId="0" borderId="0" xfId="9" applyFill="1"/>
    <xf numFmtId="0" fontId="2" fillId="0" borderId="0" xfId="9" applyFont="1" applyFill="1" applyAlignment="1">
      <alignment horizontal="center"/>
    </xf>
    <xf numFmtId="0" fontId="7" fillId="5" borderId="1" xfId="18" applyFont="1" applyFill="1" applyBorder="1" applyAlignment="1">
      <alignment horizontal="center"/>
    </xf>
    <xf numFmtId="0" fontId="7" fillId="0" borderId="1" xfId="9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34" applyNumberFormat="1" applyFont="1" applyBorder="1" applyAlignment="1">
      <alignment horizontal="left" vertical="center"/>
    </xf>
    <xf numFmtId="0" fontId="7" fillId="0" borderId="1" xfId="34" applyNumberFormat="1" applyFont="1" applyFill="1" applyBorder="1" applyAlignment="1">
      <alignment horizontal="left" vertical="center"/>
    </xf>
    <xf numFmtId="0" fontId="7" fillId="0" borderId="1" xfId="18" applyNumberFormat="1" applyFont="1" applyFill="1" applyBorder="1" applyAlignment="1">
      <alignment horizontal="left" vertical="center" wrapText="1"/>
    </xf>
    <xf numFmtId="0" fontId="7" fillId="0" borderId="1" xfId="34" applyNumberFormat="1" applyFont="1" applyFill="1" applyBorder="1" applyAlignment="1">
      <alignment horizontal="center" vertical="center"/>
    </xf>
    <xf numFmtId="0" fontId="7" fillId="0" borderId="1" xfId="8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7" fillId="0" borderId="1" xfId="9" applyNumberFormat="1" applyFont="1" applyBorder="1" applyAlignment="1">
      <alignment horizontal="left" vertical="center"/>
    </xf>
    <xf numFmtId="0" fontId="7" fillId="0" borderId="1" xfId="25" applyNumberFormat="1" applyFont="1" applyBorder="1" applyAlignment="1">
      <alignment horizontal="left" vertical="center"/>
    </xf>
    <xf numFmtId="0" fontId="7" fillId="0" borderId="0" xfId="34" applyFont="1" applyFill="1" applyBorder="1" applyAlignment="1">
      <alignment vertical="center"/>
    </xf>
    <xf numFmtId="0" fontId="7" fillId="0" borderId="1" xfId="9" applyNumberFormat="1" applyFont="1" applyBorder="1" applyAlignment="1">
      <alignment horizontal="center" vertical="center"/>
    </xf>
    <xf numFmtId="0" fontId="7" fillId="0" borderId="1" xfId="24" applyNumberFormat="1" applyFont="1" applyFill="1" applyBorder="1" applyAlignment="1">
      <alignment horizontal="left" vertical="center"/>
    </xf>
    <xf numFmtId="0" fontId="7" fillId="0" borderId="1" xfId="25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2" applyFont="1" applyFill="1" applyBorder="1" applyAlignment="1" applyProtection="1">
      <alignment horizontal="left" vertical="center"/>
    </xf>
    <xf numFmtId="0" fontId="7" fillId="0" borderId="1" xfId="5" applyNumberFormat="1" applyFont="1" applyBorder="1" applyAlignment="1">
      <alignment horizontal="left"/>
    </xf>
    <xf numFmtId="0" fontId="0" fillId="0" borderId="0" xfId="0" applyFont="1"/>
    <xf numFmtId="0" fontId="14" fillId="0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0" fillId="0" borderId="0" xfId="0"/>
    <xf numFmtId="0" fontId="7" fillId="0" borderId="1" xfId="24" applyNumberFormat="1" applyFont="1" applyBorder="1" applyAlignment="1">
      <alignment vertical="center"/>
    </xf>
    <xf numFmtId="0" fontId="7" fillId="0" borderId="1" xfId="34" applyNumberFormat="1" applyFont="1" applyBorder="1" applyAlignment="1">
      <alignment vertical="center"/>
    </xf>
    <xf numFmtId="0" fontId="16" fillId="0" borderId="0" xfId="0" applyFont="1" applyFill="1"/>
    <xf numFmtId="0" fontId="7" fillId="0" borderId="0" xfId="8" applyFont="1" applyFill="1" applyAlignment="1"/>
    <xf numFmtId="0" fontId="7" fillId="0" borderId="1" xfId="18" applyFont="1" applyFill="1" applyBorder="1" applyAlignment="1"/>
    <xf numFmtId="0" fontId="5" fillId="0" borderId="5" xfId="18" applyFont="1" applyFill="1" applyBorder="1" applyAlignment="1"/>
    <xf numFmtId="0" fontId="8" fillId="0" borderId="0" xfId="25" applyFont="1" applyFill="1" applyAlignment="1"/>
    <xf numFmtId="0" fontId="5" fillId="0" borderId="5" xfId="18" applyFont="1" applyBorder="1" applyAlignment="1">
      <alignment horizontal="center"/>
    </xf>
    <xf numFmtId="0" fontId="5" fillId="0" borderId="5" xfId="25" applyFont="1" applyFill="1" applyBorder="1" applyAlignment="1">
      <alignment horizontal="center"/>
    </xf>
    <xf numFmtId="0" fontId="7" fillId="0" borderId="0" xfId="24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34" applyFont="1" applyFill="1" applyBorder="1" applyAlignment="1">
      <alignment horizontal="center" wrapText="1"/>
    </xf>
    <xf numFmtId="0" fontId="5" fillId="0" borderId="5" xfId="24" applyFont="1" applyFill="1" applyBorder="1" applyAlignment="1">
      <alignment horizontal="center" wrapText="1"/>
    </xf>
    <xf numFmtId="0" fontId="7" fillId="0" borderId="0" xfId="34" applyFont="1" applyFill="1"/>
    <xf numFmtId="0" fontId="7" fillId="0" borderId="1" xfId="34" applyFont="1" applyFill="1" applyBorder="1" applyAlignment="1">
      <alignment horizontal="left" wrapText="1"/>
    </xf>
    <xf numFmtId="0" fontId="7" fillId="0" borderId="1" xfId="34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center" vertical="center"/>
    </xf>
    <xf numFmtId="0" fontId="7" fillId="0" borderId="0" xfId="18" applyFont="1" applyFill="1"/>
    <xf numFmtId="0" fontId="7" fillId="0" borderId="0" xfId="18" applyFont="1" applyFill="1" applyAlignment="1">
      <alignment horizontal="center"/>
    </xf>
    <xf numFmtId="0" fontId="5" fillId="0" borderId="5" xfId="25" applyFont="1" applyFill="1" applyBorder="1" applyAlignment="1">
      <alignment horizontal="center"/>
    </xf>
    <xf numFmtId="0" fontId="5" fillId="0" borderId="5" xfId="18" applyFont="1" applyFill="1" applyBorder="1" applyAlignment="1">
      <alignment horizontal="center"/>
    </xf>
    <xf numFmtId="0" fontId="5" fillId="0" borderId="5" xfId="18" applyFont="1" applyFill="1" applyBorder="1"/>
    <xf numFmtId="0" fontId="5" fillId="0" borderId="5" xfId="9" applyFont="1" applyFill="1" applyBorder="1"/>
    <xf numFmtId="0" fontId="7" fillId="0" borderId="1" xfId="34" applyFont="1" applyFill="1" applyBorder="1" applyAlignment="1">
      <alignment horizontal="center" vertical="center"/>
    </xf>
    <xf numFmtId="0" fontId="7" fillId="0" borderId="1" xfId="34" applyFont="1" applyFill="1" applyBorder="1" applyAlignment="1">
      <alignment horizontal="center"/>
    </xf>
    <xf numFmtId="0" fontId="7" fillId="0" borderId="1" xfId="34" applyFont="1" applyFill="1" applyBorder="1" applyAlignment="1">
      <alignment horizontal="left" wrapText="1"/>
    </xf>
    <xf numFmtId="0" fontId="7" fillId="0" borderId="1" xfId="34" applyFont="1" applyFill="1" applyBorder="1" applyAlignment="1">
      <alignment horizontal="center" wrapText="1"/>
    </xf>
    <xf numFmtId="0" fontId="7" fillId="0" borderId="1" xfId="34" applyFont="1" applyFill="1" applyBorder="1" applyAlignment="1">
      <alignment horizontal="left"/>
    </xf>
    <xf numFmtId="0" fontId="16" fillId="0" borderId="1" xfId="0" applyFont="1" applyFill="1" applyBorder="1" applyAlignment="1">
      <alignment horizontal="center" vertical="center"/>
    </xf>
    <xf numFmtId="0" fontId="7" fillId="0" borderId="1" xfId="34" applyFont="1" applyFill="1" applyBorder="1" applyAlignment="1">
      <alignment horizontal="left" wrapText="1"/>
    </xf>
    <xf numFmtId="0" fontId="7" fillId="0" borderId="1" xfId="34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/>
    <xf numFmtId="0" fontId="16" fillId="0" borderId="1" xfId="0" applyFont="1" applyFill="1" applyBorder="1" applyAlignment="1">
      <alignment horizontal="left"/>
    </xf>
    <xf numFmtId="0" fontId="7" fillId="0" borderId="1" xfId="46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center" vertical="center"/>
    </xf>
    <xf numFmtId="0" fontId="7" fillId="0" borderId="1" xfId="9" applyFont="1" applyFill="1" applyBorder="1" applyAlignment="1">
      <alignment horizontal="center"/>
    </xf>
    <xf numFmtId="0" fontId="7" fillId="0" borderId="1" xfId="9" applyFont="1" applyFill="1" applyBorder="1"/>
    <xf numFmtId="0" fontId="16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7" fillId="0" borderId="1" xfId="24" applyFont="1" applyFill="1" applyBorder="1" applyAlignment="1">
      <alignment vertical="center"/>
    </xf>
    <xf numFmtId="0" fontId="7" fillId="0" borderId="0" xfId="9" applyFont="1" applyFill="1"/>
    <xf numFmtId="0" fontId="7" fillId="0" borderId="1" xfId="24" applyNumberFormat="1" applyFont="1" applyBorder="1" applyAlignment="1">
      <alignment vertical="center"/>
    </xf>
    <xf numFmtId="0" fontId="5" fillId="0" borderId="5" xfId="25" applyFont="1" applyFill="1" applyBorder="1" applyAlignment="1">
      <alignment horizontal="center"/>
    </xf>
    <xf numFmtId="0" fontId="5" fillId="0" borderId="5" xfId="25" applyFont="1" applyFill="1" applyBorder="1" applyAlignment="1">
      <alignment horizontal="center" wrapText="1"/>
    </xf>
    <xf numFmtId="0" fontId="5" fillId="0" borderId="26" xfId="25" applyFont="1" applyFill="1" applyBorder="1" applyAlignment="1">
      <alignment horizontal="center" wrapText="1"/>
    </xf>
    <xf numFmtId="0" fontId="15" fillId="0" borderId="0" xfId="34" applyFont="1" applyFill="1"/>
    <xf numFmtId="0" fontId="7" fillId="0" borderId="1" xfId="34" applyFont="1" applyFill="1" applyBorder="1"/>
    <xf numFmtId="0" fontId="7" fillId="0" borderId="1" xfId="34" applyFont="1" applyFill="1" applyBorder="1" applyAlignment="1">
      <alignment horizontal="center"/>
    </xf>
    <xf numFmtId="0" fontId="7" fillId="0" borderId="1" xfId="25" applyFont="1" applyFill="1" applyBorder="1" applyAlignment="1">
      <alignment horizontal="left" wrapText="1"/>
    </xf>
    <xf numFmtId="0" fontId="7" fillId="0" borderId="0" xfId="25" applyFont="1" applyFill="1"/>
    <xf numFmtId="0" fontId="7" fillId="0" borderId="0" xfId="25" applyFont="1" applyFill="1" applyAlignment="1">
      <alignment horizontal="center"/>
    </xf>
    <xf numFmtId="0" fontId="7" fillId="0" borderId="0" xfId="25" applyFont="1" applyFill="1" applyAlignment="1">
      <alignment horizontal="left"/>
    </xf>
    <xf numFmtId="0" fontId="16" fillId="0" borderId="1" xfId="0" applyFont="1" applyFill="1" applyBorder="1" applyAlignment="1">
      <alignment horizontal="center" vertical="center"/>
    </xf>
    <xf numFmtId="0" fontId="7" fillId="0" borderId="1" xfId="9" applyFont="1" applyFill="1" applyBorder="1" applyAlignment="1">
      <alignment horizontal="center"/>
    </xf>
    <xf numFmtId="0" fontId="7" fillId="0" borderId="1" xfId="25" applyFont="1" applyFill="1" applyBorder="1" applyAlignment="1">
      <alignment horizontal="center" wrapText="1"/>
    </xf>
    <xf numFmtId="0" fontId="7" fillId="0" borderId="8" xfId="24" applyFont="1" applyFill="1" applyBorder="1" applyAlignment="1">
      <alignment vertical="center"/>
    </xf>
    <xf numFmtId="0" fontId="7" fillId="0" borderId="8" xfId="25" applyFont="1" applyFill="1" applyBorder="1" applyAlignment="1">
      <alignment horizontal="left" wrapText="1"/>
    </xf>
    <xf numFmtId="0" fontId="7" fillId="0" borderId="1" xfId="25" applyNumberFormat="1" applyFont="1" applyBorder="1" applyAlignment="1">
      <alignment horizontal="center" wrapText="1"/>
    </xf>
    <xf numFmtId="0" fontId="7" fillId="0" borderId="1" xfId="9" applyNumberFormat="1" applyFont="1" applyBorder="1" applyAlignment="1">
      <alignment horizontal="center"/>
    </xf>
    <xf numFmtId="0" fontId="7" fillId="0" borderId="1" xfId="25" applyNumberFormat="1" applyFont="1" applyBorder="1" applyAlignment="1">
      <alignment horizontal="left" wrapText="1"/>
    </xf>
    <xf numFmtId="0" fontId="69" fillId="0" borderId="1" xfId="24" applyNumberFormat="1" applyFont="1" applyFill="1" applyBorder="1" applyAlignment="1">
      <alignment vertical="center"/>
    </xf>
    <xf numFmtId="0" fontId="71" fillId="0" borderId="1" xfId="9" applyNumberFormat="1" applyFont="1" applyFill="1" applyBorder="1" applyAlignment="1">
      <alignment horizontal="center" vertical="center"/>
    </xf>
    <xf numFmtId="0" fontId="69" fillId="0" borderId="1" xfId="34" applyFont="1" applyFill="1" applyBorder="1" applyAlignment="1">
      <alignment horizontal="center" wrapText="1"/>
    </xf>
    <xf numFmtId="0" fontId="7" fillId="0" borderId="4" xfId="24" applyNumberFormat="1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34" applyFont="1" applyFill="1" applyBorder="1" applyAlignment="1">
      <alignment horizontal="center" wrapText="1"/>
    </xf>
    <xf numFmtId="0" fontId="5" fillId="0" borderId="5" xfId="8" applyFont="1" applyFill="1" applyBorder="1" applyAlignment="1">
      <alignment horizontal="center"/>
    </xf>
    <xf numFmtId="0" fontId="5" fillId="0" borderId="5" xfId="8" applyFont="1" applyFill="1" applyBorder="1"/>
    <xf numFmtId="0" fontId="0" fillId="0" borderId="0" xfId="0"/>
    <xf numFmtId="0" fontId="6" fillId="0" borderId="0" xfId="0" applyFont="1" applyFill="1" applyBorder="1" applyAlignment="1">
      <alignment horizontal="center" vertical="center"/>
    </xf>
    <xf numFmtId="0" fontId="5" fillId="0" borderId="5" xfId="25" applyFont="1" applyFill="1" applyBorder="1" applyAlignment="1">
      <alignment horizontal="center"/>
    </xf>
    <xf numFmtId="0" fontId="5" fillId="0" borderId="5" xfId="25" applyFont="1" applyFill="1" applyBorder="1" applyAlignment="1">
      <alignment horizontal="center" vertical="center"/>
    </xf>
    <xf numFmtId="0" fontId="7" fillId="0" borderId="8" xfId="24" applyNumberFormat="1" applyFont="1" applyBorder="1" applyAlignment="1">
      <alignment vertical="center"/>
    </xf>
    <xf numFmtId="0" fontId="7" fillId="0" borderId="8" xfId="0" applyFont="1" applyFill="1" applyBorder="1" applyAlignment="1">
      <alignment horizontal="left" vertical="center"/>
    </xf>
    <xf numFmtId="0" fontId="7" fillId="0" borderId="8" xfId="24" applyNumberFormat="1" applyFont="1" applyFill="1" applyBorder="1" applyAlignment="1">
      <alignment vertical="center"/>
    </xf>
    <xf numFmtId="0" fontId="5" fillId="0" borderId="26" xfId="24" applyFont="1" applyFill="1" applyBorder="1" applyAlignment="1">
      <alignment horizontal="center" wrapText="1"/>
    </xf>
    <xf numFmtId="0" fontId="7" fillId="0" borderId="31" xfId="8" applyNumberFormat="1" applyFont="1" applyFill="1" applyBorder="1" applyAlignment="1"/>
    <xf numFmtId="0" fontId="7" fillId="0" borderId="31" xfId="8" applyNumberFormat="1" applyFont="1" applyFill="1" applyBorder="1" applyAlignment="1">
      <alignment horizontal="center"/>
    </xf>
    <xf numFmtId="0" fontId="7" fillId="0" borderId="31" xfId="8" applyNumberFormat="1" applyFont="1" applyBorder="1" applyAlignment="1"/>
    <xf numFmtId="0" fontId="7" fillId="0" borderId="31" xfId="8" applyNumberFormat="1" applyFont="1" applyBorder="1" applyAlignment="1">
      <alignment horizontal="center"/>
    </xf>
    <xf numFmtId="0" fontId="0" fillId="0" borderId="0" xfId="25" applyFont="1" applyFill="1" applyAlignment="1">
      <alignment horizontal="center"/>
    </xf>
    <xf numFmtId="0" fontId="7" fillId="0" borderId="1" xfId="34" applyNumberFormat="1" applyFont="1" applyBorder="1" applyAlignment="1">
      <alignment horizontal="center"/>
    </xf>
    <xf numFmtId="0" fontId="7" fillId="0" borderId="0" xfId="18" applyFont="1" applyBorder="1" applyAlignment="1">
      <alignment horizontal="left"/>
    </xf>
    <xf numFmtId="0" fontId="7" fillId="0" borderId="1" xfId="8" applyFont="1" applyFill="1" applyBorder="1" applyAlignment="1"/>
    <xf numFmtId="0" fontId="7" fillId="0" borderId="0" xfId="18" applyFont="1" applyFill="1" applyBorder="1" applyAlignment="1"/>
    <xf numFmtId="0" fontId="7" fillId="0" borderId="1" xfId="8" applyFont="1" applyFill="1" applyBorder="1" applyAlignment="1">
      <alignment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7" fillId="0" borderId="4" xfId="2" applyNumberFormat="1" applyFont="1" applyFill="1" applyBorder="1" applyAlignment="1" applyProtection="1">
      <alignment horizontal="center" vertical="center"/>
    </xf>
    <xf numFmtId="0" fontId="0" fillId="0" borderId="0" xfId="24" applyFont="1" applyFill="1" applyBorder="1" applyAlignment="1">
      <alignment horizontal="center"/>
    </xf>
    <xf numFmtId="0" fontId="7" fillId="0" borderId="1" xfId="24" applyNumberFormat="1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0" xfId="0"/>
    <xf numFmtId="0" fontId="8" fillId="0" borderId="0" xfId="25" applyFont="1" applyFill="1"/>
    <xf numFmtId="0" fontId="8" fillId="0" borderId="0" xfId="25" applyFont="1" applyFill="1" applyAlignment="1">
      <alignment horizontal="center"/>
    </xf>
    <xf numFmtId="0" fontId="8" fillId="0" borderId="0" xfId="25" applyFont="1" applyFill="1" applyAlignment="1">
      <alignment horizontal="left"/>
    </xf>
    <xf numFmtId="0" fontId="15" fillId="0" borderId="0" xfId="34" applyFont="1" applyFill="1" applyBorder="1"/>
    <xf numFmtId="0" fontId="7" fillId="0" borderId="1" xfId="34" applyFont="1" applyFill="1" applyBorder="1" applyAlignment="1">
      <alignment horizontal="center"/>
    </xf>
    <xf numFmtId="0" fontId="7" fillId="0" borderId="1" xfId="34" applyFont="1" applyFill="1" applyBorder="1" applyAlignment="1">
      <alignment horizontal="left"/>
    </xf>
    <xf numFmtId="0" fontId="16" fillId="0" borderId="1" xfId="0" applyFont="1" applyFill="1" applyBorder="1" applyAlignment="1">
      <alignment horizontal="center" vertical="center"/>
    </xf>
    <xf numFmtId="0" fontId="16" fillId="0" borderId="1" xfId="34" applyFont="1" applyFill="1" applyBorder="1" applyAlignment="1">
      <alignment horizontal="left"/>
    </xf>
    <xf numFmtId="0" fontId="16" fillId="0" borderId="1" xfId="34" applyFont="1" applyFill="1" applyBorder="1" applyAlignment="1">
      <alignment horizontal="center"/>
    </xf>
    <xf numFmtId="0" fontId="16" fillId="0" borderId="0" xfId="34" applyFont="1" applyFill="1" applyBorder="1" applyAlignment="1">
      <alignment horizontal="left"/>
    </xf>
    <xf numFmtId="0" fontId="16" fillId="0" borderId="0" xfId="34" applyFont="1" applyFill="1" applyBorder="1" applyAlignment="1">
      <alignment horizontal="center"/>
    </xf>
    <xf numFmtId="0" fontId="15" fillId="0" borderId="0" xfId="34" applyFont="1" applyFill="1" applyBorder="1" applyAlignment="1">
      <alignment horizontal="center"/>
    </xf>
    <xf numFmtId="0" fontId="7" fillId="0" borderId="8" xfId="34" applyFont="1" applyFill="1" applyBorder="1" applyAlignment="1">
      <alignment horizontal="left" wrapText="1"/>
    </xf>
    <xf numFmtId="0" fontId="7" fillId="0" borderId="8" xfId="25" applyFont="1" applyFill="1" applyBorder="1" applyAlignment="1">
      <alignment vertical="center"/>
    </xf>
    <xf numFmtId="0" fontId="5" fillId="0" borderId="26" xfId="34" applyFont="1" applyFill="1" applyBorder="1" applyAlignment="1">
      <alignment horizontal="center" wrapText="1"/>
    </xf>
    <xf numFmtId="0" fontId="5" fillId="0" borderId="5" xfId="25" applyFont="1" applyFill="1" applyBorder="1" applyAlignment="1">
      <alignment horizontal="center"/>
    </xf>
    <xf numFmtId="0" fontId="5" fillId="0" borderId="5" xfId="34" applyFont="1" applyFill="1" applyBorder="1" applyAlignment="1">
      <alignment horizontal="center" wrapText="1"/>
    </xf>
    <xf numFmtId="0" fontId="15" fillId="0" borderId="0" xfId="34" applyFont="1" applyFill="1" applyAlignment="1">
      <alignment horizontal="center"/>
    </xf>
    <xf numFmtId="0" fontId="7" fillId="54" borderId="1" xfId="34" applyNumberFormat="1" applyFont="1" applyFill="1" applyBorder="1" applyAlignment="1">
      <alignment horizontal="center"/>
    </xf>
    <xf numFmtId="0" fontId="7" fillId="0" borderId="31" xfId="8" applyFont="1" applyFill="1" applyBorder="1"/>
    <xf numFmtId="0" fontId="7" fillId="0" borderId="31" xfId="34" applyFont="1" applyFill="1" applyBorder="1" applyAlignment="1">
      <alignment horizontal="center"/>
    </xf>
    <xf numFmtId="0" fontId="16" fillId="0" borderId="31" xfId="0" applyFont="1" applyFill="1" applyBorder="1" applyAlignment="1">
      <alignment horizontal="center" vertical="center"/>
    </xf>
    <xf numFmtId="0" fontId="7" fillId="0" borderId="31" xfId="25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9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7" fillId="0" borderId="1" xfId="34" applyNumberFormat="1" applyFont="1" applyFill="1" applyBorder="1" applyAlignment="1">
      <alignment horizontal="center"/>
    </xf>
    <xf numFmtId="0" fontId="7" fillId="0" borderId="1" xfId="34" applyNumberFormat="1" applyFont="1" applyFill="1" applyBorder="1" applyAlignment="1">
      <alignment vertical="center"/>
    </xf>
    <xf numFmtId="0" fontId="15" fillId="0" borderId="0" xfId="34" applyNumberFormat="1" applyFont="1" applyFill="1" applyBorder="1" applyAlignment="1">
      <alignment horizontal="center"/>
    </xf>
    <xf numFmtId="0" fontId="73" fillId="0" borderId="1" xfId="2" applyNumberFormat="1" applyFont="1" applyFill="1" applyBorder="1" applyAlignment="1" applyProtection="1">
      <alignment horizontal="center" vertical="center"/>
    </xf>
    <xf numFmtId="0" fontId="0" fillId="0" borderId="0" xfId="34" applyFont="1" applyFill="1"/>
    <xf numFmtId="0" fontId="16" fillId="0" borderId="0" xfId="0" applyFont="1" applyFill="1" applyBorder="1" applyAlignment="1">
      <alignment horizontal="left"/>
    </xf>
    <xf numFmtId="0" fontId="5" fillId="0" borderId="0" xfId="24" applyFont="1" applyFill="1" applyBorder="1" applyAlignment="1">
      <alignment horizontal="center" vertical="center"/>
    </xf>
    <xf numFmtId="0" fontId="7" fillId="0" borderId="0" xfId="9" applyFont="1" applyFill="1" applyBorder="1"/>
    <xf numFmtId="0" fontId="16" fillId="54" borderId="1" xfId="0" applyFont="1" applyFill="1" applyBorder="1" applyAlignment="1">
      <alignment horizontal="left" vertical="center"/>
    </xf>
    <xf numFmtId="0" fontId="7" fillId="0" borderId="30" xfId="34" applyFont="1" applyFill="1" applyBorder="1" applyAlignment="1">
      <alignment vertical="center"/>
    </xf>
    <xf numFmtId="0" fontId="16" fillId="54" borderId="1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73" fillId="0" borderId="1" xfId="24" applyNumberFormat="1" applyFont="1" applyBorder="1" applyAlignment="1">
      <alignment vertical="center"/>
    </xf>
    <xf numFmtId="0" fontId="75" fillId="0" borderId="1" xfId="0" applyFont="1" applyBorder="1" applyAlignment="1">
      <alignment horizontal="center" vertical="center"/>
    </xf>
    <xf numFmtId="0" fontId="73" fillId="0" borderId="1" xfId="9" applyNumberFormat="1" applyFont="1" applyBorder="1" applyAlignment="1">
      <alignment horizontal="center"/>
    </xf>
    <xf numFmtId="0" fontId="7" fillId="0" borderId="32" xfId="24" applyFont="1" applyFill="1" applyBorder="1" applyAlignment="1">
      <alignment vertical="center"/>
    </xf>
    <xf numFmtId="0" fontId="7" fillId="0" borderId="32" xfId="34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 vertical="center"/>
    </xf>
    <xf numFmtId="0" fontId="7" fillId="0" borderId="32" xfId="9" applyFont="1" applyFill="1" applyBorder="1" applyAlignment="1">
      <alignment horizontal="center"/>
    </xf>
    <xf numFmtId="0" fontId="7" fillId="0" borderId="35" xfId="9" applyFont="1" applyFill="1" applyBorder="1" applyAlignment="1">
      <alignment horizontal="left"/>
    </xf>
    <xf numFmtId="0" fontId="16" fillId="0" borderId="35" xfId="0" applyFont="1" applyFill="1" applyBorder="1" applyAlignment="1">
      <alignment horizontal="center" vertical="center"/>
    </xf>
    <xf numFmtId="0" fontId="7" fillId="0" borderId="35" xfId="24" applyFont="1" applyFill="1" applyBorder="1" applyAlignment="1">
      <alignment vertical="center"/>
    </xf>
    <xf numFmtId="0" fontId="74" fillId="0" borderId="1" xfId="0" applyFont="1" applyFill="1" applyBorder="1" applyAlignment="1">
      <alignment horizontal="center" vertical="center"/>
    </xf>
    <xf numFmtId="0" fontId="73" fillId="0" borderId="8" xfId="24" applyFont="1" applyFill="1" applyBorder="1" applyAlignment="1">
      <alignment vertical="center"/>
    </xf>
    <xf numFmtId="0" fontId="73" fillId="0" borderId="1" xfId="34" applyFont="1" applyFill="1" applyBorder="1" applyAlignment="1">
      <alignment horizontal="center"/>
    </xf>
    <xf numFmtId="0" fontId="75" fillId="0" borderId="1" xfId="0" applyFont="1" applyFill="1" applyBorder="1" applyAlignment="1">
      <alignment horizontal="center" vertical="center"/>
    </xf>
    <xf numFmtId="0" fontId="0" fillId="0" borderId="0" xfId="9" applyFont="1" applyFill="1"/>
    <xf numFmtId="0" fontId="7" fillId="0" borderId="0" xfId="34" applyNumberFormat="1" applyFont="1" applyFill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6" fillId="0" borderId="0" xfId="0" applyFont="1"/>
    <xf numFmtId="0" fontId="77" fillId="0" borderId="0" xfId="0" applyFont="1" applyAlignment="1">
      <alignment vertical="center"/>
    </xf>
    <xf numFmtId="0" fontId="5" fillId="0" borderId="1" xfId="25" applyNumberFormat="1" applyFont="1" applyBorder="1" applyAlignment="1">
      <alignment horizontal="center"/>
    </xf>
    <xf numFmtId="0" fontId="5" fillId="0" borderId="5" xfId="34" applyNumberFormat="1" applyFont="1" applyFill="1" applyBorder="1" applyAlignment="1">
      <alignment horizontal="center" wrapText="1"/>
    </xf>
    <xf numFmtId="0" fontId="5" fillId="0" borderId="5" xfId="25" applyNumberFormat="1" applyFont="1" applyFill="1" applyBorder="1" applyAlignment="1">
      <alignment horizontal="center"/>
    </xf>
    <xf numFmtId="0" fontId="5" fillId="0" borderId="1" xfId="25" applyNumberFormat="1" applyFont="1" applyFill="1" applyBorder="1" applyAlignment="1">
      <alignment horizontal="center"/>
    </xf>
    <xf numFmtId="0" fontId="7" fillId="0" borderId="0" xfId="34" applyNumberFormat="1" applyFont="1" applyFill="1"/>
    <xf numFmtId="0" fontId="7" fillId="0" borderId="1" xfId="34" applyNumberFormat="1" applyFont="1" applyFill="1" applyBorder="1" applyAlignment="1">
      <alignment horizontal="left" wrapText="1"/>
    </xf>
    <xf numFmtId="0" fontId="8" fillId="0" borderId="0" xfId="25" applyNumberFormat="1" applyFont="1" applyFill="1"/>
    <xf numFmtId="0" fontId="73" fillId="0" borderId="1" xfId="34" applyNumberFormat="1" applyFont="1" applyFill="1" applyBorder="1" applyAlignment="1">
      <alignment horizontal="left" wrapText="1"/>
    </xf>
    <xf numFmtId="0" fontId="73" fillId="0" borderId="1" xfId="34" applyNumberFormat="1" applyFont="1" applyFill="1" applyBorder="1" applyAlignment="1">
      <alignment horizontal="center" vertical="center"/>
    </xf>
    <xf numFmtId="0" fontId="7" fillId="0" borderId="0" xfId="34" applyNumberFormat="1" applyFont="1" applyFill="1" applyAlignment="1">
      <alignment horizontal="center"/>
    </xf>
    <xf numFmtId="0" fontId="8" fillId="0" borderId="0" xfId="25" applyNumberFormat="1" applyFont="1" applyFill="1" applyAlignment="1">
      <alignment horizontal="center"/>
    </xf>
    <xf numFmtId="0" fontId="8" fillId="0" borderId="0" xfId="9" applyFont="1"/>
    <xf numFmtId="0" fontId="73" fillId="0" borderId="1" xfId="8" applyFont="1" applyFill="1" applyBorder="1"/>
    <xf numFmtId="0" fontId="7" fillId="4" borderId="8" xfId="34" applyFont="1" applyFill="1" applyBorder="1" applyAlignment="1">
      <alignment horizontal="left" wrapText="1"/>
    </xf>
    <xf numFmtId="0" fontId="7" fillId="4" borderId="0" xfId="34" applyNumberFormat="1" applyFont="1" applyFill="1" applyBorder="1" applyAlignment="1">
      <alignment horizontal="left" wrapText="1"/>
    </xf>
    <xf numFmtId="0" fontId="7" fillId="4" borderId="1" xfId="34" applyNumberFormat="1" applyFont="1" applyFill="1" applyBorder="1" applyAlignment="1">
      <alignment horizontal="left" wrapText="1"/>
    </xf>
    <xf numFmtId="0" fontId="15" fillId="0" borderId="1" xfId="34" applyNumberFormat="1" applyFont="1" applyFill="1" applyBorder="1" applyAlignment="1">
      <alignment horizontal="center"/>
    </xf>
    <xf numFmtId="0" fontId="69" fillId="0" borderId="1" xfId="34" applyNumberFormat="1" applyFont="1" applyFill="1" applyBorder="1" applyAlignment="1">
      <alignment horizontal="left" wrapText="1"/>
    </xf>
    <xf numFmtId="0" fontId="7" fillId="0" borderId="4" xfId="34" applyNumberFormat="1" applyFont="1" applyFill="1" applyBorder="1" applyAlignment="1">
      <alignment horizontal="left" wrapText="1"/>
    </xf>
    <xf numFmtId="0" fontId="69" fillId="0" borderId="1" xfId="34" applyNumberFormat="1" applyFont="1" applyFill="1" applyBorder="1" applyAlignment="1">
      <alignment horizontal="center" vertical="center"/>
    </xf>
    <xf numFmtId="0" fontId="7" fillId="0" borderId="4" xfId="34" applyNumberFormat="1" applyFont="1" applyFill="1" applyBorder="1" applyAlignment="1">
      <alignment horizontal="center" vertical="center"/>
    </xf>
    <xf numFmtId="0" fontId="69" fillId="0" borderId="1" xfId="2" applyNumberFormat="1" applyFont="1" applyFill="1" applyBorder="1" applyAlignment="1" applyProtection="1">
      <alignment horizontal="center" vertical="center"/>
    </xf>
    <xf numFmtId="0" fontId="7" fillId="0" borderId="8" xfId="34" applyFont="1" applyFill="1" applyBorder="1" applyAlignment="1">
      <alignment vertical="center"/>
    </xf>
    <xf numFmtId="0" fontId="7" fillId="0" borderId="0" xfId="46" applyFont="1" applyFill="1" applyBorder="1" applyAlignment="1">
      <alignment horizontal="left" wrapText="1"/>
    </xf>
    <xf numFmtId="0" fontId="7" fillId="0" borderId="0" xfId="46" applyFont="1" applyFill="1" applyBorder="1" applyAlignment="1">
      <alignment horizontal="center" wrapText="1"/>
    </xf>
    <xf numFmtId="0" fontId="7" fillId="0" borderId="33" xfId="24" applyFont="1" applyFill="1" applyBorder="1" applyAlignment="1">
      <alignment vertical="center"/>
    </xf>
    <xf numFmtId="0" fontId="7" fillId="0" borderId="29" xfId="24" applyFont="1" applyFill="1" applyBorder="1" applyAlignment="1">
      <alignment vertical="center"/>
    </xf>
    <xf numFmtId="0" fontId="16" fillId="0" borderId="32" xfId="0" applyFont="1" applyFill="1" applyBorder="1" applyAlignment="1">
      <alignment horizontal="center" vertical="center"/>
    </xf>
    <xf numFmtId="0" fontId="7" fillId="0" borderId="32" xfId="2" applyNumberFormat="1" applyFont="1" applyFill="1" applyBorder="1" applyAlignment="1" applyProtection="1">
      <alignment horizontal="center" vertical="center"/>
    </xf>
    <xf numFmtId="0" fontId="73" fillId="0" borderId="8" xfId="24" applyNumberFormat="1" applyFont="1" applyFill="1" applyBorder="1" applyAlignment="1">
      <alignment vertical="center"/>
    </xf>
    <xf numFmtId="0" fontId="7" fillId="0" borderId="29" xfId="24" applyNumberFormat="1" applyFont="1" applyBorder="1" applyAlignment="1">
      <alignment vertical="center"/>
    </xf>
    <xf numFmtId="0" fontId="74" fillId="0" borderId="1" xfId="24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7" fillId="0" borderId="1" xfId="9" applyNumberFormat="1" applyFont="1" applyBorder="1" applyAlignment="1">
      <alignment horizontal="center" vertical="center"/>
    </xf>
    <xf numFmtId="0" fontId="7" fillId="0" borderId="1" xfId="8" applyNumberFormat="1" applyFont="1" applyFill="1" applyBorder="1" applyAlignment="1"/>
    <xf numFmtId="0" fontId="7" fillId="0" borderId="1" xfId="8" applyNumberFormat="1" applyFont="1" applyFill="1" applyBorder="1" applyAlignment="1">
      <alignment horizontal="center"/>
    </xf>
    <xf numFmtId="0" fontId="7" fillId="0" borderId="0" xfId="8" applyFont="1" applyFill="1" applyAlignment="1">
      <alignment horizontal="center"/>
    </xf>
    <xf numFmtId="0" fontId="5" fillId="0" borderId="1" xfId="18" applyFont="1" applyFill="1" applyBorder="1" applyAlignment="1">
      <alignment horizontal="center"/>
    </xf>
    <xf numFmtId="0" fontId="73" fillId="0" borderId="1" xfId="34" applyNumberFormat="1" applyFont="1" applyFill="1" applyBorder="1" applyAlignment="1">
      <alignment horizontal="center"/>
    </xf>
    <xf numFmtId="0" fontId="7" fillId="0" borderId="1" xfId="9" applyNumberFormat="1" applyFont="1" applyFill="1" applyBorder="1" applyAlignment="1">
      <alignment horizontal="center"/>
    </xf>
    <xf numFmtId="0" fontId="73" fillId="0" borderId="32" xfId="24" applyNumberFormat="1" applyFont="1" applyFill="1" applyBorder="1" applyAlignment="1">
      <alignment vertical="center"/>
    </xf>
    <xf numFmtId="0" fontId="74" fillId="0" borderId="32" xfId="0" applyFont="1" applyFill="1" applyBorder="1" applyAlignment="1">
      <alignment horizontal="center" vertical="center"/>
    </xf>
    <xf numFmtId="0" fontId="73" fillId="0" borderId="32" xfId="2" applyNumberFormat="1" applyFont="1" applyFill="1" applyBorder="1" applyAlignment="1" applyProtection="1">
      <alignment horizontal="center" vertical="center"/>
    </xf>
    <xf numFmtId="0" fontId="7" fillId="0" borderId="0" xfId="24" applyNumberFormat="1" applyFont="1" applyFill="1" applyBorder="1" applyAlignment="1">
      <alignment vertical="center"/>
    </xf>
    <xf numFmtId="0" fontId="7" fillId="0" borderId="1" xfId="34" applyNumberFormat="1" applyFont="1" applyFill="1" applyBorder="1" applyAlignment="1">
      <alignment horizontal="center" wrapText="1"/>
    </xf>
    <xf numFmtId="0" fontId="7" fillId="0" borderId="0" xfId="42" applyFont="1" applyFill="1" applyAlignment="1"/>
    <xf numFmtId="0" fontId="7" fillId="0" borderId="1" xfId="24" applyFont="1" applyFill="1" applyBorder="1" applyAlignment="1"/>
    <xf numFmtId="0" fontId="7" fillId="0" borderId="0" xfId="9" applyFont="1" applyFill="1" applyAlignment="1"/>
    <xf numFmtId="0" fontId="7" fillId="0" borderId="30" xfId="24" applyFont="1" applyFill="1" applyBorder="1" applyAlignment="1"/>
    <xf numFmtId="0" fontId="6" fillId="0" borderId="30" xfId="0" applyFont="1" applyFill="1" applyBorder="1" applyAlignment="1">
      <alignment horizontal="center"/>
    </xf>
    <xf numFmtId="0" fontId="19" fillId="0" borderId="37" xfId="34" applyNumberFormat="1" applyFont="1" applyBorder="1" applyAlignment="1">
      <alignment horizontal="left"/>
    </xf>
    <xf numFmtId="0" fontId="19" fillId="0" borderId="36" xfId="34" applyNumberFormat="1" applyFont="1" applyBorder="1" applyAlignment="1">
      <alignment horizontal="left"/>
    </xf>
    <xf numFmtId="0" fontId="80" fillId="0" borderId="5" xfId="25" applyFont="1" applyFill="1" applyBorder="1" applyAlignment="1">
      <alignment horizontal="center"/>
    </xf>
    <xf numFmtId="0" fontId="15" fillId="53" borderId="1" xfId="34" applyFont="1" applyFill="1" applyBorder="1" applyAlignment="1">
      <alignment horizontal="center"/>
    </xf>
    <xf numFmtId="0" fontId="82" fillId="53" borderId="1" xfId="0" applyFont="1" applyFill="1" applyBorder="1" applyAlignment="1">
      <alignment horizontal="center"/>
    </xf>
    <xf numFmtId="0" fontId="8" fillId="0" borderId="1" xfId="25" applyFont="1" applyFill="1" applyBorder="1"/>
    <xf numFmtId="0" fontId="76" fillId="0" borderId="1" xfId="0" applyFont="1" applyBorder="1"/>
    <xf numFmtId="0" fontId="15" fillId="0" borderId="1" xfId="34" applyFont="1" applyFill="1" applyBorder="1" applyAlignment="1">
      <alignment horizontal="center"/>
    </xf>
    <xf numFmtId="0" fontId="8" fillId="0" borderId="1" xfId="25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9" fillId="0" borderId="1" xfId="34" applyNumberFormat="1" applyFont="1" applyBorder="1" applyAlignment="1">
      <alignment horizontal="left"/>
    </xf>
    <xf numFmtId="0" fontId="0" fillId="53" borderId="1" xfId="0" applyFill="1" applyBorder="1"/>
    <xf numFmtId="0" fontId="7" fillId="53" borderId="1" xfId="34" applyFont="1" applyFill="1" applyBorder="1"/>
    <xf numFmtId="0" fontId="7" fillId="53" borderId="1" xfId="34" applyNumberFormat="1" applyFont="1" applyFill="1" applyBorder="1" applyAlignment="1">
      <alignment horizontal="center"/>
    </xf>
    <xf numFmtId="0" fontId="8" fillId="0" borderId="1" xfId="34" applyFont="1" applyFill="1" applyBorder="1"/>
    <xf numFmtId="0" fontId="16" fillId="53" borderId="1" xfId="0" applyFont="1" applyFill="1" applyBorder="1" applyAlignment="1">
      <alignment wrapText="1"/>
    </xf>
    <xf numFmtId="0" fontId="16" fillId="53" borderId="1" xfId="0" applyFont="1" applyFill="1" applyBorder="1"/>
    <xf numFmtId="0" fontId="76" fillId="53" borderId="1" xfId="0" applyFont="1" applyFill="1" applyBorder="1"/>
    <xf numFmtId="0" fontId="8" fillId="0" borderId="1" xfId="25" applyNumberFormat="1" applyFont="1" applyFill="1" applyBorder="1"/>
    <xf numFmtId="0" fontId="8" fillId="0" borderId="1" xfId="25" applyNumberFormat="1" applyFont="1" applyFill="1" applyBorder="1" applyAlignment="1">
      <alignment horizontal="center"/>
    </xf>
    <xf numFmtId="0" fontId="8" fillId="0" borderId="1" xfId="34" applyNumberFormat="1" applyFont="1" applyFill="1" applyBorder="1"/>
    <xf numFmtId="0" fontId="16" fillId="53" borderId="1" xfId="0" applyFont="1" applyFill="1" applyBorder="1" applyAlignment="1">
      <alignment horizontal="center"/>
    </xf>
    <xf numFmtId="0" fontId="7" fillId="53" borderId="1" xfId="9" applyFont="1" applyFill="1" applyBorder="1" applyAlignment="1">
      <alignment horizontal="left"/>
    </xf>
    <xf numFmtId="0" fontId="7" fillId="53" borderId="1" xfId="9" applyFont="1" applyFill="1" applyBorder="1"/>
    <xf numFmtId="0" fontId="19" fillId="0" borderId="1" xfId="34" applyNumberFormat="1" applyFont="1" applyBorder="1" applyAlignment="1">
      <alignment horizontal="center"/>
    </xf>
    <xf numFmtId="0" fontId="7" fillId="53" borderId="1" xfId="34" applyFont="1" applyFill="1" applyBorder="1" applyAlignment="1">
      <alignment vertical="center"/>
    </xf>
    <xf numFmtId="0" fontId="7" fillId="0" borderId="1" xfId="24" applyFont="1" applyFill="1" applyBorder="1"/>
    <xf numFmtId="0" fontId="7" fillId="53" borderId="1" xfId="24" applyFont="1" applyFill="1" applyBorder="1"/>
    <xf numFmtId="0" fontId="0" fillId="53" borderId="0" xfId="0" applyFill="1"/>
    <xf numFmtId="0" fontId="7" fillId="53" borderId="1" xfId="25" applyFont="1" applyFill="1" applyBorder="1" applyAlignment="1">
      <alignment horizontal="left"/>
    </xf>
    <xf numFmtId="0" fontId="79" fillId="53" borderId="1" xfId="34" applyFont="1" applyFill="1" applyBorder="1" applyAlignment="1">
      <alignment horizontal="center"/>
    </xf>
    <xf numFmtId="0" fontId="15" fillId="53" borderId="1" xfId="34" applyFont="1" applyFill="1" applyBorder="1"/>
    <xf numFmtId="0" fontId="76" fillId="0" borderId="1" xfId="0" applyFont="1" applyFill="1" applyBorder="1"/>
    <xf numFmtId="0" fontId="0" fillId="0" borderId="1" xfId="0" applyFill="1" applyBorder="1"/>
    <xf numFmtId="0" fontId="15" fillId="0" borderId="1" xfId="34" applyFont="1" applyFill="1" applyBorder="1"/>
    <xf numFmtId="0" fontId="16" fillId="53" borderId="1" xfId="34" applyFont="1" applyFill="1" applyBorder="1"/>
    <xf numFmtId="0" fontId="7" fillId="53" borderId="1" xfId="25" applyNumberFormat="1" applyFont="1" applyFill="1" applyBorder="1" applyAlignment="1">
      <alignment horizontal="left"/>
    </xf>
    <xf numFmtId="0" fontId="7" fillId="53" borderId="1" xfId="0" applyFont="1" applyFill="1" applyBorder="1" applyAlignment="1">
      <alignment horizontal="center"/>
    </xf>
    <xf numFmtId="0" fontId="73" fillId="53" borderId="1" xfId="24" applyNumberFormat="1" applyFont="1" applyFill="1" applyBorder="1" applyAlignment="1">
      <alignment horizontal="left"/>
    </xf>
    <xf numFmtId="0" fontId="0" fillId="0" borderId="1" xfId="0" applyBorder="1"/>
    <xf numFmtId="0" fontId="7" fillId="55" borderId="1" xfId="34" applyNumberFormat="1" applyFont="1" applyFill="1" applyBorder="1" applyAlignment="1">
      <alignment horizontal="center"/>
    </xf>
    <xf numFmtId="0" fontId="16" fillId="53" borderId="0" xfId="34" applyFont="1" applyFill="1" applyBorder="1"/>
    <xf numFmtId="0" fontId="7" fillId="53" borderId="0" xfId="9" applyFont="1" applyFill="1"/>
    <xf numFmtId="0" fontId="70" fillId="53" borderId="1" xfId="34" applyFont="1" applyFill="1" applyBorder="1"/>
    <xf numFmtId="0" fontId="16" fillId="53" borderId="4" xfId="34" applyFont="1" applyFill="1" applyBorder="1"/>
    <xf numFmtId="0" fontId="2" fillId="0" borderId="1" xfId="9" applyBorder="1" applyAlignment="1">
      <alignment horizontal="center"/>
    </xf>
    <xf numFmtId="0" fontId="2" fillId="53" borderId="1" xfId="9" applyFill="1" applyBorder="1"/>
    <xf numFmtId="0" fontId="7" fillId="53" borderId="1" xfId="9" applyFont="1" applyFill="1" applyBorder="1" applyAlignment="1">
      <alignment horizontal="left" vertical="center" wrapText="1"/>
    </xf>
    <xf numFmtId="0" fontId="14" fillId="53" borderId="1" xfId="34" applyFont="1" applyFill="1" applyBorder="1"/>
    <xf numFmtId="0" fontId="14" fillId="0" borderId="1" xfId="34" applyFont="1" applyFill="1" applyBorder="1" applyAlignment="1">
      <alignment horizontal="center"/>
    </xf>
    <xf numFmtId="0" fontId="7" fillId="53" borderId="1" xfId="25" applyFont="1" applyFill="1" applyBorder="1" applyAlignment="1">
      <alignment horizontal="left" vertical="center"/>
    </xf>
    <xf numFmtId="0" fontId="7" fillId="53" borderId="0" xfId="25" applyFont="1" applyFill="1"/>
    <xf numFmtId="0" fontId="73" fillId="53" borderId="1" xfId="25" applyFont="1" applyFill="1" applyBorder="1" applyAlignment="1">
      <alignment horizontal="left" vertical="center"/>
    </xf>
    <xf numFmtId="0" fontId="7" fillId="53" borderId="0" xfId="25" applyFont="1" applyFill="1" applyBorder="1" applyAlignment="1">
      <alignment horizontal="left" vertical="center"/>
    </xf>
    <xf numFmtId="0" fontId="73" fillId="0" borderId="3" xfId="2" applyNumberFormat="1" applyFont="1" applyFill="1" applyBorder="1" applyAlignment="1" applyProtection="1">
      <alignment horizontal="center" vertical="center"/>
    </xf>
    <xf numFmtId="0" fontId="7" fillId="0" borderId="3" xfId="2" applyNumberFormat="1" applyFont="1" applyFill="1" applyBorder="1" applyAlignment="1" applyProtection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7" fillId="0" borderId="40" xfId="2" applyNumberFormat="1" applyFont="1" applyFill="1" applyBorder="1" applyAlignment="1" applyProtection="1">
      <alignment horizontal="center" vertical="center"/>
    </xf>
    <xf numFmtId="0" fontId="73" fillId="53" borderId="1" xfId="24" applyFont="1" applyFill="1" applyBorder="1" applyAlignment="1">
      <alignment horizontal="left"/>
    </xf>
    <xf numFmtId="0" fontId="7" fillId="53" borderId="1" xfId="24" applyFont="1" applyFill="1" applyBorder="1" applyAlignment="1">
      <alignment horizontal="left"/>
    </xf>
    <xf numFmtId="0" fontId="7" fillId="53" borderId="1" xfId="24" applyFont="1" applyFill="1" applyBorder="1" applyAlignment="1">
      <alignment horizontal="center"/>
    </xf>
    <xf numFmtId="0" fontId="8" fillId="53" borderId="1" xfId="25" applyFont="1" applyFill="1" applyBorder="1" applyAlignment="1">
      <alignment horizontal="center" vertical="center"/>
    </xf>
    <xf numFmtId="0" fontId="7" fillId="53" borderId="1" xfId="25" applyFont="1" applyFill="1" applyBorder="1" applyAlignment="1">
      <alignment horizontal="left" wrapText="1"/>
    </xf>
    <xf numFmtId="0" fontId="79" fillId="53" borderId="0" xfId="9" applyFont="1" applyFill="1" applyAlignment="1">
      <alignment horizontal="center"/>
    </xf>
    <xf numFmtId="0" fontId="8" fillId="53" borderId="1" xfId="25" applyFont="1" applyFill="1" applyBorder="1"/>
    <xf numFmtId="0" fontId="8" fillId="53" borderId="1" xfId="25" applyFont="1" applyFill="1" applyBorder="1" applyAlignment="1">
      <alignment horizontal="center"/>
    </xf>
    <xf numFmtId="0" fontId="2" fillId="0" borderId="1" xfId="9" applyFill="1" applyBorder="1"/>
    <xf numFmtId="0" fontId="7" fillId="53" borderId="1" xfId="9" applyFont="1" applyFill="1" applyBorder="1" applyAlignment="1">
      <alignment horizontal="center"/>
    </xf>
    <xf numFmtId="0" fontId="2" fillId="0" borderId="1" xfId="9" applyFill="1" applyBorder="1" applyAlignment="1">
      <alignment horizontal="center"/>
    </xf>
    <xf numFmtId="0" fontId="16" fillId="0" borderId="3" xfId="46" applyFont="1" applyFill="1" applyBorder="1" applyAlignment="1">
      <alignment horizontal="center"/>
    </xf>
    <xf numFmtId="0" fontId="16" fillId="0" borderId="41" xfId="46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8" fillId="53" borderId="1" xfId="0" applyFont="1" applyFill="1" applyBorder="1"/>
    <xf numFmtId="0" fontId="8" fillId="0" borderId="1" xfId="9" applyFont="1" applyFill="1" applyBorder="1"/>
    <xf numFmtId="0" fontId="8" fillId="0" borderId="1" xfId="9" applyFont="1" applyFill="1" applyBorder="1" applyAlignment="1">
      <alignment horizontal="center" vertical="center"/>
    </xf>
    <xf numFmtId="0" fontId="7" fillId="0" borderId="3" xfId="9" applyFont="1" applyFill="1" applyBorder="1" applyAlignment="1">
      <alignment horizontal="center"/>
    </xf>
    <xf numFmtId="0" fontId="7" fillId="0" borderId="41" xfId="9" applyFont="1" applyFill="1" applyBorder="1" applyAlignment="1">
      <alignment horizontal="center"/>
    </xf>
    <xf numFmtId="0" fontId="7" fillId="53" borderId="1" xfId="24" applyFont="1" applyFill="1" applyBorder="1" applyAlignment="1">
      <alignment vertical="center"/>
    </xf>
    <xf numFmtId="0" fontId="7" fillId="53" borderId="1" xfId="18" applyFont="1" applyFill="1" applyBorder="1"/>
    <xf numFmtId="0" fontId="7" fillId="53" borderId="0" xfId="18" applyFont="1" applyFill="1"/>
    <xf numFmtId="0" fontId="7" fillId="53" borderId="1" xfId="18" applyFont="1" applyFill="1" applyBorder="1" applyAlignment="1">
      <alignment horizontal="center"/>
    </xf>
    <xf numFmtId="165" fontId="6" fillId="53" borderId="1" xfId="0" applyNumberFormat="1" applyFont="1" applyFill="1" applyBorder="1" applyAlignment="1">
      <alignment horizontal="right" vertical="center"/>
    </xf>
    <xf numFmtId="0" fontId="81" fillId="53" borderId="0" xfId="18" applyFont="1" applyFill="1" applyAlignment="1">
      <alignment horizontal="center" vertical="center"/>
    </xf>
    <xf numFmtId="0" fontId="7" fillId="53" borderId="1" xfId="46" applyFont="1" applyFill="1" applyBorder="1" applyAlignment="1">
      <alignment horizontal="center" wrapText="1"/>
    </xf>
    <xf numFmtId="0" fontId="7" fillId="53" borderId="1" xfId="0" applyFont="1" applyFill="1" applyBorder="1" applyAlignment="1">
      <alignment horizontal="center" wrapText="1"/>
    </xf>
    <xf numFmtId="0" fontId="7" fillId="53" borderId="1" xfId="8" applyFont="1" applyFill="1" applyBorder="1" applyAlignment="1">
      <alignment horizontal="center"/>
    </xf>
    <xf numFmtId="0" fontId="7" fillId="53" borderId="1" xfId="8" applyFont="1" applyFill="1" applyBorder="1"/>
    <xf numFmtId="0" fontId="7" fillId="0" borderId="42" xfId="9" applyFont="1" applyFill="1" applyBorder="1" applyAlignment="1">
      <alignment horizontal="center"/>
    </xf>
    <xf numFmtId="0" fontId="7" fillId="53" borderId="1" xfId="9" applyFont="1" applyFill="1" applyBorder="1" applyAlignment="1"/>
    <xf numFmtId="0" fontId="8" fillId="0" borderId="1" xfId="25" applyFont="1" applyFill="1" applyBorder="1" applyAlignment="1"/>
    <xf numFmtId="0" fontId="8" fillId="0" borderId="1" xfId="9" applyFont="1" applyFill="1" applyBorder="1" applyAlignment="1"/>
    <xf numFmtId="0" fontId="2" fillId="0" borderId="0" xfId="9" applyBorder="1"/>
    <xf numFmtId="0" fontId="16" fillId="55" borderId="1" xfId="0" applyFont="1" applyFill="1" applyBorder="1" applyAlignment="1">
      <alignment horizontal="left" vertical="center"/>
    </xf>
    <xf numFmtId="0" fontId="16" fillId="54" borderId="3" xfId="0" applyFont="1" applyFill="1" applyBorder="1" applyAlignment="1">
      <alignment horizontal="center" vertical="center"/>
    </xf>
    <xf numFmtId="0" fontId="7" fillId="0" borderId="42" xfId="2" applyNumberFormat="1" applyFont="1" applyFill="1" applyBorder="1" applyAlignment="1" applyProtection="1">
      <alignment horizontal="center" vertical="center"/>
    </xf>
    <xf numFmtId="0" fontId="18" fillId="0" borderId="1" xfId="0" applyFont="1" applyBorder="1" applyAlignment="1">
      <alignment horizontal="center"/>
    </xf>
    <xf numFmtId="0" fontId="16" fillId="0" borderId="1" xfId="34" applyFont="1" applyFill="1" applyBorder="1" applyAlignment="1">
      <alignment horizontal="center" vertical="center"/>
    </xf>
    <xf numFmtId="0" fontId="7" fillId="0" borderId="1" xfId="42" applyFont="1" applyFill="1" applyBorder="1" applyAlignment="1">
      <alignment horizontal="center"/>
    </xf>
    <xf numFmtId="0" fontId="5" fillId="0" borderId="1" xfId="24" applyFont="1" applyFill="1" applyBorder="1" applyAlignment="1">
      <alignment horizontal="center" vertical="center"/>
    </xf>
    <xf numFmtId="0" fontId="7" fillId="53" borderId="1" xfId="25" applyFont="1" applyFill="1" applyBorder="1" applyAlignment="1">
      <alignment horizontal="center"/>
    </xf>
    <xf numFmtId="0" fontId="8" fillId="0" borderId="1" xfId="9" applyFont="1" applyFill="1" applyBorder="1" applyAlignment="1">
      <alignment horizontal="center"/>
    </xf>
    <xf numFmtId="169" fontId="16" fillId="0" borderId="0" xfId="0" applyNumberFormat="1" applyFont="1" applyFill="1"/>
    <xf numFmtId="0" fontId="7" fillId="54" borderId="1" xfId="34" applyNumberFormat="1" applyFont="1" applyFill="1" applyBorder="1" applyAlignment="1">
      <alignment horizontal="left" wrapText="1"/>
    </xf>
    <xf numFmtId="0" fontId="7" fillId="54" borderId="1" xfId="34" applyNumberFormat="1" applyFont="1" applyFill="1" applyBorder="1" applyAlignment="1">
      <alignment horizontal="center" wrapText="1"/>
    </xf>
    <xf numFmtId="44" fontId="78" fillId="53" borderId="1" xfId="1352" applyFont="1" applyFill="1" applyBorder="1" applyAlignment="1"/>
    <xf numFmtId="0" fontId="7" fillId="53" borderId="1" xfId="34" applyFont="1" applyFill="1" applyBorder="1" applyAlignment="1">
      <alignment horizontal="center"/>
    </xf>
    <xf numFmtId="0" fontId="79" fillId="0" borderId="8" xfId="34" applyFont="1" applyFill="1" applyBorder="1" applyAlignment="1">
      <alignment horizontal="left" wrapText="1"/>
    </xf>
    <xf numFmtId="0" fontId="79" fillId="0" borderId="1" xfId="34" applyFont="1" applyFill="1" applyBorder="1" applyAlignment="1">
      <alignment horizontal="center"/>
    </xf>
    <xf numFmtId="0" fontId="79" fillId="0" borderId="0" xfId="34" applyNumberFormat="1" applyFont="1" applyFill="1" applyAlignment="1">
      <alignment horizontal="center"/>
    </xf>
    <xf numFmtId="0" fontId="83" fillId="0" borderId="0" xfId="34" applyFont="1" applyFill="1" applyAlignment="1">
      <alignment horizontal="center"/>
    </xf>
    <xf numFmtId="169" fontId="19" fillId="0" borderId="1" xfId="34" applyNumberFormat="1" applyFont="1" applyBorder="1" applyAlignment="1">
      <alignment horizontal="center"/>
    </xf>
    <xf numFmtId="169" fontId="7" fillId="53" borderId="1" xfId="25" applyNumberFormat="1" applyFont="1" applyFill="1" applyBorder="1" applyAlignment="1">
      <alignment horizontal="left"/>
    </xf>
    <xf numFmtId="169" fontId="79" fillId="53" borderId="1" xfId="25" applyNumberFormat="1" applyFont="1" applyFill="1" applyBorder="1" applyAlignment="1">
      <alignment horizontal="left"/>
    </xf>
    <xf numFmtId="169" fontId="8" fillId="0" borderId="0" xfId="25" applyNumberFormat="1" applyFont="1" applyFill="1" applyAlignment="1">
      <alignment horizontal="left"/>
    </xf>
    <xf numFmtId="169" fontId="15" fillId="0" borderId="0" xfId="34" applyNumberFormat="1" applyFont="1" applyFill="1" applyBorder="1"/>
    <xf numFmtId="0" fontId="79" fillId="0" borderId="29" xfId="34" applyFont="1" applyFill="1" applyBorder="1" applyAlignment="1">
      <alignment horizontal="left" wrapText="1"/>
    </xf>
    <xf numFmtId="0" fontId="79" fillId="0" borderId="4" xfId="34" applyFont="1" applyFill="1" applyBorder="1" applyAlignment="1">
      <alignment horizontal="center"/>
    </xf>
    <xf numFmtId="0" fontId="79" fillId="0" borderId="0" xfId="34" applyNumberFormat="1" applyFont="1" applyFill="1" applyBorder="1" applyAlignment="1">
      <alignment horizontal="center"/>
    </xf>
    <xf numFmtId="0" fontId="83" fillId="0" borderId="0" xfId="34" applyFont="1" applyFill="1" applyBorder="1" applyAlignment="1">
      <alignment horizontal="center"/>
    </xf>
    <xf numFmtId="169" fontId="79" fillId="53" borderId="4" xfId="25" applyNumberFormat="1" applyFont="1" applyFill="1" applyBorder="1" applyAlignment="1">
      <alignment horizontal="left"/>
    </xf>
    <xf numFmtId="0" fontId="79" fillId="53" borderId="4" xfId="34" applyNumberFormat="1" applyFont="1" applyFill="1" applyBorder="1" applyAlignment="1">
      <alignment horizontal="center"/>
    </xf>
    <xf numFmtId="169" fontId="19" fillId="0" borderId="36" xfId="34" applyNumberFormat="1" applyFont="1" applyBorder="1" applyAlignment="1">
      <alignment horizontal="left"/>
    </xf>
    <xf numFmtId="169" fontId="7" fillId="53" borderId="1" xfId="8" applyNumberFormat="1" applyFont="1" applyFill="1" applyBorder="1"/>
    <xf numFmtId="169" fontId="8" fillId="0" borderId="0" xfId="25" applyNumberFormat="1" applyFont="1" applyFill="1"/>
    <xf numFmtId="169" fontId="7" fillId="0" borderId="0" xfId="8" applyNumberFormat="1" applyFont="1" applyFill="1"/>
    <xf numFmtId="169" fontId="16" fillId="53" borderId="1" xfId="0" applyNumberFormat="1" applyFont="1" applyFill="1" applyBorder="1"/>
    <xf numFmtId="169" fontId="7" fillId="53" borderId="1" xfId="0" applyNumberFormat="1" applyFont="1" applyFill="1" applyBorder="1"/>
    <xf numFmtId="169" fontId="19" fillId="0" borderId="37" xfId="34" applyNumberFormat="1" applyFont="1" applyBorder="1" applyAlignment="1">
      <alignment horizontal="center"/>
    </xf>
    <xf numFmtId="169" fontId="7" fillId="53" borderId="1" xfId="34" applyNumberFormat="1" applyFont="1" applyFill="1" applyBorder="1"/>
    <xf numFmtId="169" fontId="7" fillId="0" borderId="1" xfId="34" applyNumberFormat="1" applyFont="1" applyFill="1" applyBorder="1"/>
    <xf numFmtId="169" fontId="7" fillId="53" borderId="1" xfId="34" applyNumberFormat="1" applyFont="1" applyFill="1" applyBorder="1" applyAlignment="1">
      <alignment horizontal="center"/>
    </xf>
    <xf numFmtId="169" fontId="7" fillId="0" borderId="0" xfId="34" applyNumberFormat="1" applyFont="1" applyFill="1"/>
    <xf numFmtId="169" fontId="15" fillId="53" borderId="1" xfId="34" applyNumberFormat="1" applyFont="1" applyFill="1" applyBorder="1" applyAlignment="1">
      <alignment horizontal="center"/>
    </xf>
    <xf numFmtId="169" fontId="16" fillId="53" borderId="1" xfId="0" applyNumberFormat="1" applyFont="1" applyFill="1" applyBorder="1" applyAlignment="1">
      <alignment wrapText="1"/>
    </xf>
    <xf numFmtId="169" fontId="16" fillId="0" borderId="0" xfId="0" applyNumberFormat="1" applyFont="1" applyFill="1" applyAlignment="1">
      <alignment wrapText="1"/>
    </xf>
    <xf numFmtId="169" fontId="7" fillId="53" borderId="3" xfId="25" applyNumberFormat="1" applyFont="1" applyFill="1" applyBorder="1" applyAlignment="1">
      <alignment horizontal="left"/>
    </xf>
    <xf numFmtId="169" fontId="7" fillId="0" borderId="3" xfId="25" applyNumberFormat="1" applyFont="1" applyFill="1" applyBorder="1" applyAlignment="1">
      <alignment horizontal="left"/>
    </xf>
    <xf numFmtId="169" fontId="16" fillId="55" borderId="1" xfId="34" applyNumberFormat="1" applyFont="1" applyFill="1" applyBorder="1" applyAlignment="1"/>
    <xf numFmtId="169" fontId="7" fillId="0" borderId="1" xfId="25" applyNumberFormat="1" applyFont="1" applyBorder="1" applyAlignment="1">
      <alignment horizontal="left"/>
    </xf>
    <xf numFmtId="169" fontId="7" fillId="54" borderId="1" xfId="25" applyNumberFormat="1" applyFont="1" applyFill="1" applyBorder="1" applyAlignment="1">
      <alignment horizontal="left"/>
    </xf>
    <xf numFmtId="169" fontId="0" fillId="0" borderId="1" xfId="0" applyNumberFormat="1" applyFill="1" applyBorder="1"/>
    <xf numFmtId="169" fontId="16" fillId="0" borderId="1" xfId="0" applyNumberFormat="1" applyFont="1" applyFill="1" applyBorder="1"/>
    <xf numFmtId="169" fontId="79" fillId="0" borderId="1" xfId="34" applyNumberFormat="1" applyFont="1" applyFill="1" applyBorder="1" applyAlignment="1">
      <alignment horizontal="center" vertical="center"/>
    </xf>
    <xf numFmtId="169" fontId="74" fillId="53" borderId="1" xfId="0" applyNumberFormat="1" applyFont="1" applyFill="1" applyBorder="1" applyAlignment="1">
      <alignment wrapText="1"/>
    </xf>
    <xf numFmtId="169" fontId="70" fillId="53" borderId="1" xfId="34" applyNumberFormat="1" applyFont="1" applyFill="1" applyBorder="1" applyAlignment="1">
      <alignment wrapText="1"/>
    </xf>
    <xf numFmtId="169" fontId="19" fillId="0" borderId="39" xfId="34" applyNumberFormat="1" applyFont="1" applyBorder="1" applyAlignment="1">
      <alignment horizontal="center"/>
    </xf>
    <xf numFmtId="169" fontId="16" fillId="53" borderId="1" xfId="0" applyNumberFormat="1" applyFont="1" applyFill="1" applyBorder="1" applyAlignment="1">
      <alignment horizontal="center"/>
    </xf>
    <xf numFmtId="169" fontId="7" fillId="53" borderId="1" xfId="9" applyNumberFormat="1" applyFont="1" applyFill="1" applyBorder="1" applyAlignment="1">
      <alignment horizontal="left"/>
    </xf>
    <xf numFmtId="169" fontId="7" fillId="0" borderId="1" xfId="9" applyNumberFormat="1" applyFont="1" applyFill="1" applyBorder="1"/>
    <xf numFmtId="169" fontId="7" fillId="53" borderId="1" xfId="25" applyNumberFormat="1" applyFont="1" applyFill="1" applyBorder="1" applyAlignment="1">
      <alignment horizontal="left" vertical="center"/>
    </xf>
    <xf numFmtId="169" fontId="16" fillId="0" borderId="0" xfId="0" applyNumberFormat="1" applyFont="1" applyFill="1" applyBorder="1"/>
    <xf numFmtId="169" fontId="7" fillId="0" borderId="0" xfId="9" applyNumberFormat="1" applyFont="1" applyFill="1" applyAlignment="1">
      <alignment horizontal="center"/>
    </xf>
    <xf numFmtId="169" fontId="16" fillId="53" borderId="1" xfId="0" applyNumberFormat="1" applyFont="1" applyFill="1" applyBorder="1" applyAlignment="1">
      <alignment horizontal="left" vertical="top" wrapText="1"/>
    </xf>
    <xf numFmtId="169" fontId="7" fillId="53" borderId="1" xfId="0" applyNumberFormat="1" applyFont="1" applyFill="1" applyBorder="1" applyAlignment="1">
      <alignment horizontal="left"/>
    </xf>
    <xf numFmtId="169" fontId="7" fillId="53" borderId="1" xfId="34" applyNumberFormat="1" applyFont="1" applyFill="1" applyBorder="1" applyAlignment="1">
      <alignment vertical="center"/>
    </xf>
    <xf numFmtId="169" fontId="7" fillId="53" borderId="1" xfId="2" applyNumberFormat="1" applyFont="1" applyFill="1" applyBorder="1" applyAlignment="1" applyProtection="1">
      <alignment horizontal="center"/>
    </xf>
    <xf numFmtId="169" fontId="7" fillId="0" borderId="0" xfId="34" applyNumberFormat="1" applyFont="1" applyFill="1" applyBorder="1" applyAlignment="1">
      <alignment horizontal="center"/>
    </xf>
    <xf numFmtId="169" fontId="8" fillId="0" borderId="0" xfId="25" applyNumberFormat="1" applyFont="1" applyFill="1" applyAlignment="1">
      <alignment horizontal="center"/>
    </xf>
    <xf numFmtId="169" fontId="7" fillId="0" borderId="1" xfId="24" applyNumberFormat="1" applyFont="1" applyFill="1" applyBorder="1"/>
    <xf numFmtId="169" fontId="7" fillId="53" borderId="1" xfId="25" applyNumberFormat="1" applyFont="1" applyFill="1" applyBorder="1" applyAlignment="1">
      <alignment horizontal="center"/>
    </xf>
    <xf numFmtId="169" fontId="8" fillId="0" borderId="0" xfId="9" applyNumberFormat="1" applyFont="1" applyFill="1"/>
    <xf numFmtId="0" fontId="7" fillId="53" borderId="1" xfId="34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/>
    <xf numFmtId="169" fontId="19" fillId="0" borderId="1" xfId="1352" applyNumberFormat="1" applyFont="1" applyBorder="1" applyAlignment="1">
      <alignment horizontal="center"/>
    </xf>
    <xf numFmtId="169" fontId="7" fillId="53" borderId="1" xfId="1352" applyNumberFormat="1" applyFont="1" applyFill="1" applyBorder="1" applyAlignment="1">
      <alignment horizontal="left" vertical="center"/>
    </xf>
    <xf numFmtId="169" fontId="7" fillId="53" borderId="31" xfId="1352" applyNumberFormat="1" applyFont="1" applyFill="1" applyBorder="1" applyAlignment="1"/>
    <xf numFmtId="169" fontId="7" fillId="0" borderId="0" xfId="1352" applyNumberFormat="1" applyFont="1" applyFill="1" applyAlignment="1">
      <alignment horizontal="left"/>
    </xf>
    <xf numFmtId="169" fontId="7" fillId="0" borderId="0" xfId="1352" applyNumberFormat="1" applyFont="1" applyFill="1"/>
    <xf numFmtId="169" fontId="8" fillId="0" borderId="0" xfId="1352" applyNumberFormat="1" applyFont="1" applyFill="1"/>
    <xf numFmtId="169" fontId="7" fillId="0" borderId="0" xfId="25" applyNumberFormat="1" applyFont="1" applyFill="1"/>
    <xf numFmtId="169" fontId="16" fillId="0" borderId="0" xfId="34" applyNumberFormat="1" applyFont="1" applyFill="1"/>
    <xf numFmtId="169" fontId="7" fillId="53" borderId="31" xfId="8" applyNumberFormat="1" applyFont="1" applyFill="1" applyBorder="1" applyAlignment="1"/>
    <xf numFmtId="169" fontId="7" fillId="0" borderId="0" xfId="25" applyNumberFormat="1" applyFont="1" applyFill="1" applyAlignment="1">
      <alignment horizontal="left"/>
    </xf>
    <xf numFmtId="0" fontId="7" fillId="53" borderId="0" xfId="34" applyFont="1" applyFill="1" applyBorder="1" applyAlignment="1">
      <alignment horizontal="center"/>
    </xf>
    <xf numFmtId="0" fontId="81" fillId="0" borderId="4" xfId="0" applyNumberFormat="1" applyFont="1" applyFill="1" applyBorder="1" applyAlignment="1" applyProtection="1">
      <alignment horizontal="center" vertical="center"/>
    </xf>
    <xf numFmtId="169" fontId="79" fillId="0" borderId="0" xfId="0" applyNumberFormat="1" applyFont="1" applyFill="1" applyBorder="1"/>
    <xf numFmtId="0" fontId="79" fillId="0" borderId="4" xfId="0" applyNumberFormat="1" applyFont="1" applyFill="1" applyBorder="1" applyAlignment="1" applyProtection="1">
      <alignment vertical="center"/>
    </xf>
    <xf numFmtId="0" fontId="79" fillId="0" borderId="4" xfId="0" applyNumberFormat="1" applyFont="1" applyFill="1" applyBorder="1" applyAlignment="1" applyProtection="1">
      <alignment horizontal="center"/>
    </xf>
    <xf numFmtId="0" fontId="79" fillId="0" borderId="4" xfId="0" applyNumberFormat="1" applyFont="1" applyFill="1" applyBorder="1" applyAlignment="1" applyProtection="1">
      <alignment horizontal="center" wrapText="1"/>
    </xf>
    <xf numFmtId="169" fontId="79" fillId="0" borderId="40" xfId="0" applyNumberFormat="1" applyFont="1" applyFill="1" applyBorder="1" applyAlignment="1">
      <alignment horizontal="left" vertical="center"/>
    </xf>
    <xf numFmtId="0" fontId="79" fillId="0" borderId="4" xfId="0" applyNumberFormat="1" applyFont="1" applyFill="1" applyBorder="1" applyAlignment="1" applyProtection="1"/>
    <xf numFmtId="169" fontId="79" fillId="0" borderId="40" xfId="0" applyNumberFormat="1" applyFont="1" applyFill="1" applyBorder="1" applyAlignment="1" applyProtection="1">
      <alignment horizontal="left" vertical="center"/>
    </xf>
    <xf numFmtId="169" fontId="79" fillId="0" borderId="0" xfId="0" applyNumberFormat="1" applyFont="1" applyFill="1" applyBorder="1" applyAlignment="1" applyProtection="1"/>
    <xf numFmtId="169" fontId="73" fillId="53" borderId="1" xfId="25" applyNumberFormat="1" applyFont="1" applyFill="1" applyBorder="1" applyAlignment="1">
      <alignment horizontal="left" vertical="center"/>
    </xf>
    <xf numFmtId="169" fontId="7" fillId="53" borderId="1" xfId="8" applyNumberFormat="1" applyFont="1" applyFill="1" applyBorder="1" applyAlignment="1"/>
    <xf numFmtId="169" fontId="7" fillId="53" borderId="31" xfId="25" applyNumberFormat="1" applyFont="1" applyFill="1" applyBorder="1" applyAlignment="1">
      <alignment horizontal="left" vertical="center"/>
    </xf>
    <xf numFmtId="169" fontId="79" fillId="53" borderId="40" xfId="0" applyNumberFormat="1" applyFont="1" applyFill="1" applyBorder="1" applyAlignment="1" applyProtection="1">
      <alignment horizontal="left" vertical="center"/>
    </xf>
    <xf numFmtId="169" fontId="81" fillId="0" borderId="0" xfId="0" applyNumberFormat="1" applyFont="1" applyFill="1" applyBorder="1" applyAlignment="1" applyProtection="1"/>
    <xf numFmtId="169" fontId="7" fillId="53" borderId="1" xfId="9" applyNumberFormat="1" applyFont="1" applyFill="1" applyBorder="1"/>
    <xf numFmtId="169" fontId="7" fillId="0" borderId="0" xfId="9" applyNumberFormat="1" applyFont="1"/>
    <xf numFmtId="169" fontId="15" fillId="0" borderId="1" xfId="34" applyNumberFormat="1" applyFont="1" applyFill="1" applyBorder="1" applyAlignment="1">
      <alignment horizontal="center"/>
    </xf>
    <xf numFmtId="169" fontId="16" fillId="53" borderId="1" xfId="34" applyNumberFormat="1" applyFont="1" applyFill="1" applyBorder="1"/>
    <xf numFmtId="169" fontId="6" fillId="0" borderId="1" xfId="0" applyNumberFormat="1" applyFont="1" applyFill="1" applyBorder="1" applyAlignment="1">
      <alignment horizontal="center" vertical="center"/>
    </xf>
    <xf numFmtId="169" fontId="16" fillId="53" borderId="4" xfId="34" applyNumberFormat="1" applyFont="1" applyFill="1" applyBorder="1"/>
    <xf numFmtId="0" fontId="76" fillId="0" borderId="0" xfId="0" applyFont="1" applyFill="1"/>
    <xf numFmtId="169" fontId="15" fillId="0" borderId="0" xfId="34" applyNumberFormat="1" applyFont="1" applyFill="1" applyBorder="1" applyAlignment="1">
      <alignment horizontal="center"/>
    </xf>
    <xf numFmtId="169" fontId="0" fillId="0" borderId="0" xfId="0" applyNumberFormat="1"/>
    <xf numFmtId="169" fontId="7" fillId="0" borderId="0" xfId="24" applyNumberFormat="1" applyFont="1" applyFill="1" applyBorder="1"/>
    <xf numFmtId="169" fontId="16" fillId="53" borderId="0" xfId="34" applyNumberFormat="1" applyFont="1" applyFill="1" applyBorder="1"/>
    <xf numFmtId="169" fontId="16" fillId="0" borderId="0" xfId="0" applyNumberFormat="1" applyFont="1"/>
    <xf numFmtId="0" fontId="84" fillId="0" borderId="4" xfId="0" applyFont="1" applyBorder="1" applyAlignment="1">
      <alignment horizontal="center" vertical="center"/>
    </xf>
    <xf numFmtId="0" fontId="84" fillId="0" borderId="4" xfId="0" applyFont="1" applyFill="1" applyBorder="1" applyAlignment="1">
      <alignment horizontal="center" vertical="center"/>
    </xf>
    <xf numFmtId="169" fontId="81" fillId="0" borderId="0" xfId="0" applyNumberFormat="1" applyFont="1" applyFill="1" applyBorder="1"/>
    <xf numFmtId="169" fontId="81" fillId="0" borderId="40" xfId="0" applyNumberFormat="1" applyFont="1" applyFill="1" applyBorder="1" applyAlignment="1" applyProtection="1"/>
    <xf numFmtId="0" fontId="6" fillId="53" borderId="1" xfId="0" applyFont="1" applyFill="1" applyBorder="1" applyAlignment="1">
      <alignment horizontal="center" vertical="center"/>
    </xf>
    <xf numFmtId="0" fontId="6" fillId="53" borderId="0" xfId="0" applyFont="1" applyFill="1" applyBorder="1" applyAlignment="1">
      <alignment horizontal="center" vertical="center"/>
    </xf>
    <xf numFmtId="0" fontId="84" fillId="0" borderId="4" xfId="0" applyNumberFormat="1" applyFont="1" applyFill="1" applyBorder="1" applyAlignment="1">
      <alignment horizontal="center" vertical="center"/>
    </xf>
    <xf numFmtId="0" fontId="16" fillId="53" borderId="1" xfId="0" applyFont="1" applyFill="1" applyBorder="1" applyAlignment="1">
      <alignment horizontal="center" vertical="center"/>
    </xf>
    <xf numFmtId="169" fontId="79" fillId="0" borderId="0" xfId="34" applyNumberFormat="1" applyFont="1" applyFill="1" applyAlignment="1">
      <alignment horizontal="center"/>
    </xf>
    <xf numFmtId="0" fontId="79" fillId="0" borderId="29" xfId="0" applyNumberFormat="1" applyFont="1" applyFill="1" applyBorder="1" applyAlignment="1" applyProtection="1">
      <alignment horizontal="left" wrapText="1"/>
    </xf>
    <xf numFmtId="0" fontId="79" fillId="53" borderId="0" xfId="0" applyNumberFormat="1" applyFont="1" applyFill="1" applyBorder="1" applyAlignment="1" applyProtection="1">
      <alignment horizontal="center"/>
    </xf>
    <xf numFmtId="0" fontId="83" fillId="0" borderId="2" xfId="0" applyNumberFormat="1" applyFont="1" applyFill="1" applyBorder="1" applyAlignment="1" applyProtection="1">
      <alignment horizontal="center"/>
    </xf>
    <xf numFmtId="169" fontId="79" fillId="53" borderId="40" xfId="0" applyNumberFormat="1" applyFont="1" applyFill="1" applyBorder="1" applyAlignment="1" applyProtection="1">
      <alignment horizontal="left"/>
    </xf>
    <xf numFmtId="169" fontId="79" fillId="0" borderId="0" xfId="0" applyNumberFormat="1" applyFont="1" applyFill="1" applyBorder="1" applyAlignment="1" applyProtection="1">
      <alignment horizontal="center"/>
    </xf>
    <xf numFmtId="169" fontId="7" fillId="53" borderId="1" xfId="0" applyNumberFormat="1" applyFont="1" applyFill="1" applyBorder="1" applyAlignment="1">
      <alignment horizontal="left" vertical="center"/>
    </xf>
    <xf numFmtId="169" fontId="7" fillId="53" borderId="1" xfId="2" applyNumberFormat="1" applyFont="1" applyFill="1" applyBorder="1" applyAlignment="1" applyProtection="1">
      <alignment horizontal="left" vertical="center"/>
    </xf>
    <xf numFmtId="169" fontId="5" fillId="53" borderId="1" xfId="0" applyNumberFormat="1" applyFont="1" applyFill="1" applyBorder="1" applyAlignment="1">
      <alignment horizontal="left"/>
    </xf>
    <xf numFmtId="169" fontId="7" fillId="0" borderId="1" xfId="25" applyNumberFormat="1" applyFont="1" applyFill="1" applyBorder="1"/>
    <xf numFmtId="169" fontId="16" fillId="0" borderId="1" xfId="24" applyNumberFormat="1" applyFont="1" applyFill="1" applyBorder="1"/>
    <xf numFmtId="169" fontId="16" fillId="0" borderId="0" xfId="24" applyNumberFormat="1" applyFont="1" applyFill="1"/>
    <xf numFmtId="169" fontId="16" fillId="0" borderId="0" xfId="24" applyNumberFormat="1" applyFont="1" applyFill="1" applyAlignment="1">
      <alignment horizontal="left"/>
    </xf>
    <xf numFmtId="169" fontId="15" fillId="0" borderId="1" xfId="34" applyNumberFormat="1" applyFont="1" applyFill="1" applyBorder="1"/>
    <xf numFmtId="169" fontId="15" fillId="0" borderId="0" xfId="34" applyNumberFormat="1" applyFont="1" applyFill="1"/>
    <xf numFmtId="169" fontId="16" fillId="53" borderId="1" xfId="46" applyNumberFormat="1" applyFont="1" applyFill="1" applyBorder="1" applyAlignment="1">
      <alignment horizontal="left"/>
    </xf>
    <xf numFmtId="169" fontId="16" fillId="0" borderId="1" xfId="46" applyNumberFormat="1" applyFont="1" applyFill="1" applyBorder="1"/>
    <xf numFmtId="169" fontId="16" fillId="0" borderId="0" xfId="46" applyNumberFormat="1" applyFont="1" applyFill="1" applyBorder="1" applyAlignment="1">
      <alignment horizontal="left"/>
    </xf>
    <xf numFmtId="169" fontId="16" fillId="0" borderId="0" xfId="46" applyNumberFormat="1" applyFont="1" applyFill="1" applyBorder="1"/>
    <xf numFmtId="169" fontId="16" fillId="0" borderId="1" xfId="46" applyNumberFormat="1" applyFont="1" applyFill="1" applyBorder="1" applyAlignment="1">
      <alignment horizontal="left"/>
    </xf>
    <xf numFmtId="169" fontId="7" fillId="0" borderId="0" xfId="46" applyNumberFormat="1" applyFont="1" applyFill="1" applyBorder="1" applyAlignment="1">
      <alignment horizontal="left"/>
    </xf>
    <xf numFmtId="0" fontId="16" fillId="53" borderId="0" xfId="0" applyFont="1" applyFill="1" applyBorder="1" applyAlignment="1">
      <alignment horizontal="center" vertical="center"/>
    </xf>
    <xf numFmtId="169" fontId="19" fillId="0" borderId="38" xfId="34" applyNumberFormat="1" applyFont="1" applyBorder="1" applyAlignment="1">
      <alignment horizontal="left"/>
    </xf>
    <xf numFmtId="169" fontId="79" fillId="0" borderId="0" xfId="8" applyNumberFormat="1" applyFont="1" applyFill="1" applyAlignment="1">
      <alignment horizontal="center"/>
    </xf>
    <xf numFmtId="169" fontId="7" fillId="53" borderId="0" xfId="8" applyNumberFormat="1" applyFont="1" applyFill="1" applyBorder="1"/>
    <xf numFmtId="169" fontId="7" fillId="0" borderId="0" xfId="8" applyNumberFormat="1" applyFont="1"/>
    <xf numFmtId="0" fontId="16" fillId="55" borderId="0" xfId="8" applyNumberFormat="1" applyFont="1" applyFill="1" applyAlignment="1">
      <alignment horizontal="center" vertical="center"/>
    </xf>
    <xf numFmtId="0" fontId="7" fillId="0" borderId="2" xfId="8" applyFont="1" applyFill="1" applyBorder="1" applyAlignment="1">
      <alignment horizontal="center"/>
    </xf>
    <xf numFmtId="0" fontId="16" fillId="53" borderId="0" xfId="8" applyFont="1" applyFill="1" applyAlignment="1">
      <alignment horizontal="center" vertical="center"/>
    </xf>
    <xf numFmtId="169" fontId="7" fillId="53" borderId="0" xfId="8" applyNumberFormat="1" applyFont="1" applyFill="1"/>
    <xf numFmtId="169" fontId="7" fillId="0" borderId="0" xfId="8" applyNumberFormat="1" applyFont="1" applyFill="1" applyAlignment="1">
      <alignment horizontal="center"/>
    </xf>
    <xf numFmtId="0" fontId="16" fillId="53" borderId="1" xfId="0" applyFont="1" applyFill="1" applyBorder="1" applyAlignment="1">
      <alignment horizontal="center" vertical="center" wrapText="1"/>
    </xf>
    <xf numFmtId="169" fontId="20" fillId="53" borderId="1" xfId="34" applyNumberFormat="1" applyFont="1" applyFill="1" applyBorder="1"/>
    <xf numFmtId="169" fontId="7" fillId="53" borderId="1" xfId="34" applyNumberFormat="1" applyFont="1" applyFill="1" applyBorder="1" applyAlignment="1">
      <alignment horizontal="center" vertical="center"/>
    </xf>
    <xf numFmtId="169" fontId="7" fillId="53" borderId="1" xfId="9" applyNumberFormat="1" applyFont="1" applyFill="1" applyBorder="1" applyAlignment="1">
      <alignment horizontal="left" vertical="center" wrapText="1"/>
    </xf>
    <xf numFmtId="169" fontId="7" fillId="53" borderId="1" xfId="24" applyNumberFormat="1" applyFont="1" applyFill="1" applyBorder="1" applyAlignment="1">
      <alignment horizontal="left"/>
    </xf>
    <xf numFmtId="169" fontId="7" fillId="0" borderId="0" xfId="9" applyNumberFormat="1" applyFont="1" applyFill="1" applyAlignment="1">
      <alignment horizontal="left"/>
    </xf>
    <xf numFmtId="169" fontId="7" fillId="0" borderId="0" xfId="9" applyNumberFormat="1" applyFont="1" applyFill="1"/>
    <xf numFmtId="169" fontId="16" fillId="53" borderId="1" xfId="46" applyNumberFormat="1" applyFont="1" applyFill="1" applyBorder="1" applyAlignment="1">
      <alignment horizontal="center" wrapText="1"/>
    </xf>
    <xf numFmtId="169" fontId="7" fillId="0" borderId="1" xfId="42" applyNumberFormat="1" applyFont="1" applyFill="1" applyBorder="1" applyAlignment="1"/>
    <xf numFmtId="169" fontId="7" fillId="0" borderId="0" xfId="34" applyNumberFormat="1" applyFont="1" applyFill="1" applyAlignment="1">
      <alignment wrapText="1"/>
    </xf>
    <xf numFmtId="169" fontId="7" fillId="0" borderId="0" xfId="42" applyNumberFormat="1" applyFont="1" applyFill="1" applyAlignment="1"/>
    <xf numFmtId="169" fontId="8" fillId="0" borderId="0" xfId="25" applyNumberFormat="1" applyFont="1" applyFill="1" applyAlignment="1"/>
    <xf numFmtId="169" fontId="16" fillId="0" borderId="0" xfId="34" applyNumberFormat="1" applyFont="1" applyFill="1" applyAlignment="1">
      <alignment wrapText="1"/>
    </xf>
    <xf numFmtId="169" fontId="16" fillId="53" borderId="1" xfId="24" applyNumberFormat="1" applyFont="1" applyFill="1" applyBorder="1" applyAlignment="1">
      <alignment horizontal="center"/>
    </xf>
    <xf numFmtId="169" fontId="7" fillId="0" borderId="0" xfId="25" applyNumberFormat="1" applyFont="1" applyFill="1" applyBorder="1" applyAlignment="1">
      <alignment horizontal="left"/>
    </xf>
    <xf numFmtId="169" fontId="16" fillId="0" borderId="0" xfId="24" applyNumberFormat="1" applyFont="1" applyFill="1" applyBorder="1" applyAlignment="1">
      <alignment horizontal="center"/>
    </xf>
    <xf numFmtId="169" fontId="80" fillId="0" borderId="5" xfId="25" applyNumberFormat="1" applyFont="1" applyFill="1" applyBorder="1" applyAlignment="1">
      <alignment horizontal="center"/>
    </xf>
    <xf numFmtId="169" fontId="7" fillId="53" borderId="1" xfId="0" applyNumberFormat="1" applyFont="1" applyFill="1" applyBorder="1" applyAlignment="1">
      <alignment horizontal="center"/>
    </xf>
    <xf numFmtId="169" fontId="7" fillId="53" borderId="0" xfId="0" applyNumberFormat="1" applyFont="1" applyFill="1" applyBorder="1" applyAlignment="1">
      <alignment horizontal="center"/>
    </xf>
    <xf numFmtId="0" fontId="16" fillId="0" borderId="43" xfId="0" applyFont="1" applyFill="1" applyBorder="1" applyAlignment="1">
      <alignment horizontal="center"/>
    </xf>
    <xf numFmtId="0" fontId="16" fillId="55" borderId="0" xfId="0" applyNumberFormat="1" applyFont="1" applyFill="1" applyBorder="1" applyAlignment="1">
      <alignment horizontal="center"/>
    </xf>
    <xf numFmtId="0" fontId="7" fillId="0" borderId="4" xfId="25" applyFont="1" applyFill="1" applyBorder="1" applyAlignment="1">
      <alignment horizontal="center"/>
    </xf>
    <xf numFmtId="0" fontId="16" fillId="53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169" fontId="7" fillId="53" borderId="40" xfId="25" applyNumberFormat="1" applyFont="1" applyFill="1" applyBorder="1" applyAlignment="1">
      <alignment horizontal="center"/>
    </xf>
    <xf numFmtId="0" fontId="16" fillId="53" borderId="32" xfId="0" applyFont="1" applyFill="1" applyBorder="1" applyAlignment="1">
      <alignment horizontal="center" vertical="center"/>
    </xf>
    <xf numFmtId="169" fontId="7" fillId="0" borderId="0" xfId="24" applyNumberFormat="1" applyFont="1" applyFill="1" applyBorder="1" applyAlignment="1">
      <alignment horizontal="left"/>
    </xf>
    <xf numFmtId="169" fontId="73" fillId="53" borderId="3" xfId="25" applyNumberFormat="1" applyFont="1" applyFill="1" applyBorder="1" applyAlignment="1">
      <alignment horizontal="left"/>
    </xf>
    <xf numFmtId="169" fontId="7" fillId="53" borderId="34" xfId="25" applyNumberFormat="1" applyFont="1" applyFill="1" applyBorder="1" applyAlignment="1">
      <alignment horizontal="left"/>
    </xf>
    <xf numFmtId="169" fontId="7" fillId="53" borderId="4" xfId="25" applyNumberFormat="1" applyFont="1" applyFill="1" applyBorder="1" applyAlignment="1">
      <alignment horizontal="left"/>
    </xf>
    <xf numFmtId="0" fontId="7" fillId="0" borderId="2" xfId="25" applyFont="1" applyFill="1" applyBorder="1" applyAlignment="1">
      <alignment horizontal="center"/>
    </xf>
    <xf numFmtId="0" fontId="7" fillId="0" borderId="43" xfId="25" applyFont="1" applyFill="1" applyBorder="1" applyAlignment="1">
      <alignment horizontal="center"/>
    </xf>
    <xf numFmtId="0" fontId="7" fillId="0" borderId="0" xfId="25" applyFont="1" applyFill="1" applyBorder="1"/>
    <xf numFmtId="0" fontId="7" fillId="0" borderId="0" xfId="25" applyFont="1" applyFill="1" applyBorder="1" applyAlignment="1">
      <alignment horizontal="center"/>
    </xf>
    <xf numFmtId="0" fontId="7" fillId="53" borderId="4" xfId="25" applyNumberFormat="1" applyFont="1" applyFill="1" applyBorder="1" applyAlignment="1">
      <alignment horizontal="center"/>
    </xf>
    <xf numFmtId="0" fontId="16" fillId="0" borderId="4" xfId="25" applyFont="1" applyFill="1" applyBorder="1" applyAlignment="1">
      <alignment horizontal="center" vertical="center"/>
    </xf>
    <xf numFmtId="169" fontId="7" fillId="53" borderId="40" xfId="25" applyNumberFormat="1" applyFont="1" applyFill="1" applyBorder="1" applyAlignment="1">
      <alignment horizontal="left"/>
    </xf>
    <xf numFmtId="169" fontId="7" fillId="0" borderId="0" xfId="25" applyNumberFormat="1" applyFont="1" applyFill="1" applyBorder="1"/>
    <xf numFmtId="169" fontId="16" fillId="0" borderId="1" xfId="34" applyNumberFormat="1" applyFont="1" applyFill="1" applyBorder="1"/>
    <xf numFmtId="0" fontId="7" fillId="53" borderId="1" xfId="34" applyFont="1" applyFill="1" applyBorder="1" applyAlignment="1">
      <alignment horizontal="center" vertical="center" wrapText="1"/>
    </xf>
    <xf numFmtId="169" fontId="7" fillId="53" borderId="1" xfId="34" applyNumberFormat="1" applyFont="1" applyFill="1" applyBorder="1" applyAlignment="1">
      <alignment horizontal="center" wrapText="1"/>
    </xf>
    <xf numFmtId="169" fontId="16" fillId="0" borderId="0" xfId="34" applyNumberFormat="1" applyFont="1" applyFill="1" applyAlignment="1">
      <alignment horizontal="center"/>
    </xf>
    <xf numFmtId="169" fontId="16" fillId="0" borderId="0" xfId="34" applyNumberFormat="1" applyFont="1"/>
    <xf numFmtId="169" fontId="7" fillId="53" borderId="1" xfId="46" applyNumberFormat="1" applyFont="1" applyFill="1" applyBorder="1" applyAlignment="1">
      <alignment horizontal="left" wrapText="1"/>
    </xf>
    <xf numFmtId="169" fontId="7" fillId="53" borderId="1" xfId="0" applyNumberFormat="1" applyFont="1" applyFill="1" applyBorder="1" applyAlignment="1">
      <alignment horizontal="left" wrapText="1"/>
    </xf>
    <xf numFmtId="169" fontId="7" fillId="53" borderId="4" xfId="46" applyNumberFormat="1" applyFont="1" applyFill="1" applyBorder="1" applyAlignment="1">
      <alignment horizontal="left" wrapText="1"/>
    </xf>
    <xf numFmtId="0" fontId="5" fillId="53" borderId="1" xfId="25" applyNumberFormat="1" applyFont="1" applyFill="1" applyBorder="1" applyAlignment="1">
      <alignment horizontal="center"/>
    </xf>
    <xf numFmtId="0" fontId="7" fillId="53" borderId="4" xfId="9" applyFont="1" applyFill="1" applyBorder="1" applyAlignment="1">
      <alignment horizontal="center"/>
    </xf>
    <xf numFmtId="0" fontId="73" fillId="53" borderId="1" xfId="9" applyNumberFormat="1" applyFont="1" applyFill="1" applyBorder="1" applyAlignment="1"/>
    <xf numFmtId="0" fontId="2" fillId="53" borderId="1" xfId="9" applyFont="1" applyFill="1" applyBorder="1"/>
    <xf numFmtId="0" fontId="7" fillId="53" borderId="1" xfId="9" applyNumberFormat="1" applyFont="1" applyFill="1" applyBorder="1" applyAlignment="1">
      <alignment horizontal="center" vertical="center"/>
    </xf>
    <xf numFmtId="0" fontId="7" fillId="53" borderId="0" xfId="34" applyFont="1" applyFill="1"/>
    <xf numFmtId="0" fontId="7" fillId="53" borderId="0" xfId="9" applyFont="1" applyFill="1" applyBorder="1" applyAlignment="1">
      <alignment horizontal="center"/>
    </xf>
  </cellXfs>
  <cellStyles count="1353">
    <cellStyle name="20% - Accent1 10" xfId="286" xr:uid="{00000000-0005-0000-0000-000000000000}"/>
    <cellStyle name="20% - Accent1 10 2" xfId="287" xr:uid="{00000000-0005-0000-0000-000001000000}"/>
    <cellStyle name="20% - Accent1 10 2 2" xfId="288" xr:uid="{00000000-0005-0000-0000-000002000000}"/>
    <cellStyle name="20% - Accent1 11" xfId="289" xr:uid="{00000000-0005-0000-0000-000003000000}"/>
    <cellStyle name="20% - Accent1 11 2" xfId="290" xr:uid="{00000000-0005-0000-0000-000004000000}"/>
    <cellStyle name="20% - Accent1 11 2 2" xfId="291" xr:uid="{00000000-0005-0000-0000-000005000000}"/>
    <cellStyle name="20% - Accent1 12" xfId="292" xr:uid="{00000000-0005-0000-0000-000006000000}"/>
    <cellStyle name="20% - Accent1 12 2" xfId="293" xr:uid="{00000000-0005-0000-0000-000007000000}"/>
    <cellStyle name="20% - Accent1 12 2 2" xfId="294" xr:uid="{00000000-0005-0000-0000-000008000000}"/>
    <cellStyle name="20% - Accent1 13" xfId="295" xr:uid="{00000000-0005-0000-0000-000009000000}"/>
    <cellStyle name="20% - Accent1 13 2" xfId="296" xr:uid="{00000000-0005-0000-0000-00000A000000}"/>
    <cellStyle name="20% - Accent1 13 2 2" xfId="297" xr:uid="{00000000-0005-0000-0000-00000B000000}"/>
    <cellStyle name="20% - Accent1 14" xfId="298" xr:uid="{00000000-0005-0000-0000-00000C000000}"/>
    <cellStyle name="20% - Accent1 14 2" xfId="299" xr:uid="{00000000-0005-0000-0000-00000D000000}"/>
    <cellStyle name="20% - Accent1 14 2 2" xfId="300" xr:uid="{00000000-0005-0000-0000-00000E000000}"/>
    <cellStyle name="20% - Accent1 15" xfId="301" xr:uid="{00000000-0005-0000-0000-00000F000000}"/>
    <cellStyle name="20% - Accent1 15 2" xfId="302" xr:uid="{00000000-0005-0000-0000-000010000000}"/>
    <cellStyle name="20% - Accent1 15 2 2" xfId="303" xr:uid="{00000000-0005-0000-0000-000011000000}"/>
    <cellStyle name="20% - Accent1 16" xfId="304" xr:uid="{00000000-0005-0000-0000-000012000000}"/>
    <cellStyle name="20% - Accent1 16 2" xfId="305" xr:uid="{00000000-0005-0000-0000-000013000000}"/>
    <cellStyle name="20% - Accent1 16 2 2" xfId="306" xr:uid="{00000000-0005-0000-0000-000014000000}"/>
    <cellStyle name="20% - Accent1 17" xfId="307" xr:uid="{00000000-0005-0000-0000-000015000000}"/>
    <cellStyle name="20% - Accent1 17 2" xfId="308" xr:uid="{00000000-0005-0000-0000-000016000000}"/>
    <cellStyle name="20% - Accent1 17 2 2" xfId="309" xr:uid="{00000000-0005-0000-0000-000017000000}"/>
    <cellStyle name="20% - Accent1 18" xfId="310" xr:uid="{00000000-0005-0000-0000-000018000000}"/>
    <cellStyle name="20% - Accent1 18 2" xfId="311" xr:uid="{00000000-0005-0000-0000-000019000000}"/>
    <cellStyle name="20% - Accent1 18 2 2" xfId="312" xr:uid="{00000000-0005-0000-0000-00001A000000}"/>
    <cellStyle name="20% - Accent1 19" xfId="313" xr:uid="{00000000-0005-0000-0000-00001B000000}"/>
    <cellStyle name="20% - Accent1 19 2" xfId="314" xr:uid="{00000000-0005-0000-0000-00001C000000}"/>
    <cellStyle name="20% - Accent1 19 2 2" xfId="315" xr:uid="{00000000-0005-0000-0000-00001D000000}"/>
    <cellStyle name="20% - Accent1 2" xfId="51" xr:uid="{00000000-0005-0000-0000-00001E000000}"/>
    <cellStyle name="20% - Accent1 2 2" xfId="52" xr:uid="{00000000-0005-0000-0000-00001F000000}"/>
    <cellStyle name="20% - Accent1 2 2 2" xfId="316" xr:uid="{00000000-0005-0000-0000-000020000000}"/>
    <cellStyle name="20% - Accent1 2 2 2 2" xfId="317" xr:uid="{00000000-0005-0000-0000-000021000000}"/>
    <cellStyle name="20% - Accent1 20" xfId="318" xr:uid="{00000000-0005-0000-0000-000022000000}"/>
    <cellStyle name="20% - Accent1 20 2" xfId="319" xr:uid="{00000000-0005-0000-0000-000023000000}"/>
    <cellStyle name="20% - Accent1 20 2 2" xfId="320" xr:uid="{00000000-0005-0000-0000-000024000000}"/>
    <cellStyle name="20% - Accent1 21" xfId="321" xr:uid="{00000000-0005-0000-0000-000025000000}"/>
    <cellStyle name="20% - Accent1 21 2" xfId="322" xr:uid="{00000000-0005-0000-0000-000026000000}"/>
    <cellStyle name="20% - Accent1 21 2 2" xfId="323" xr:uid="{00000000-0005-0000-0000-000027000000}"/>
    <cellStyle name="20% - Accent1 22" xfId="324" xr:uid="{00000000-0005-0000-0000-000028000000}"/>
    <cellStyle name="20% - Accent1 3" xfId="53" xr:uid="{00000000-0005-0000-0000-000029000000}"/>
    <cellStyle name="20% - Accent1 3 2" xfId="325" xr:uid="{00000000-0005-0000-0000-00002A000000}"/>
    <cellStyle name="20% - Accent1 3 2 2" xfId="326" xr:uid="{00000000-0005-0000-0000-00002B000000}"/>
    <cellStyle name="20% - Accent1 3 2 3" xfId="327" xr:uid="{00000000-0005-0000-0000-00002C000000}"/>
    <cellStyle name="20% - Accent1 3 2 3 2" xfId="328" xr:uid="{00000000-0005-0000-0000-00002D000000}"/>
    <cellStyle name="20% - Accent1 3 3" xfId="329" xr:uid="{00000000-0005-0000-0000-00002E000000}"/>
    <cellStyle name="20% - Accent1 3 3 2" xfId="330" xr:uid="{00000000-0005-0000-0000-00002F000000}"/>
    <cellStyle name="20% - Accent1 3 3 2 2" xfId="331" xr:uid="{00000000-0005-0000-0000-000030000000}"/>
    <cellStyle name="20% - Accent1 3 4" xfId="332" xr:uid="{00000000-0005-0000-0000-000031000000}"/>
    <cellStyle name="20% - Accent1 3 5" xfId="333" xr:uid="{00000000-0005-0000-0000-000032000000}"/>
    <cellStyle name="20% - Accent1 3 5 2" xfId="334" xr:uid="{00000000-0005-0000-0000-000033000000}"/>
    <cellStyle name="20% - Accent1 4" xfId="335" xr:uid="{00000000-0005-0000-0000-000034000000}"/>
    <cellStyle name="20% - Accent1 4 2" xfId="336" xr:uid="{00000000-0005-0000-0000-000035000000}"/>
    <cellStyle name="20% - Accent1 4 3" xfId="337" xr:uid="{00000000-0005-0000-0000-000036000000}"/>
    <cellStyle name="20% - Accent1 4 3 2" xfId="338" xr:uid="{00000000-0005-0000-0000-000037000000}"/>
    <cellStyle name="20% - Accent1 5" xfId="339" xr:uid="{00000000-0005-0000-0000-000038000000}"/>
    <cellStyle name="20% - Accent1 5 2" xfId="340" xr:uid="{00000000-0005-0000-0000-000039000000}"/>
    <cellStyle name="20% - Accent1 5 3" xfId="341" xr:uid="{00000000-0005-0000-0000-00003A000000}"/>
    <cellStyle name="20% - Accent1 5 3 2" xfId="342" xr:uid="{00000000-0005-0000-0000-00003B000000}"/>
    <cellStyle name="20% - Accent1 6" xfId="343" xr:uid="{00000000-0005-0000-0000-00003C000000}"/>
    <cellStyle name="20% - Accent1 6 2" xfId="344" xr:uid="{00000000-0005-0000-0000-00003D000000}"/>
    <cellStyle name="20% - Accent1 6 3" xfId="345" xr:uid="{00000000-0005-0000-0000-00003E000000}"/>
    <cellStyle name="20% - Accent1 6 3 2" xfId="346" xr:uid="{00000000-0005-0000-0000-00003F000000}"/>
    <cellStyle name="20% - Accent1 7" xfId="347" xr:uid="{00000000-0005-0000-0000-000040000000}"/>
    <cellStyle name="20% - Accent1 7 2" xfId="348" xr:uid="{00000000-0005-0000-0000-000041000000}"/>
    <cellStyle name="20% - Accent1 7 2 2" xfId="349" xr:uid="{00000000-0005-0000-0000-000042000000}"/>
    <cellStyle name="20% - Accent1 8" xfId="350" xr:uid="{00000000-0005-0000-0000-000043000000}"/>
    <cellStyle name="20% - Accent1 8 2" xfId="351" xr:uid="{00000000-0005-0000-0000-000044000000}"/>
    <cellStyle name="20% - Accent1 8 2 2" xfId="352" xr:uid="{00000000-0005-0000-0000-000045000000}"/>
    <cellStyle name="20% - Accent1 9" xfId="353" xr:uid="{00000000-0005-0000-0000-000046000000}"/>
    <cellStyle name="20% - Accent1 9 2" xfId="354" xr:uid="{00000000-0005-0000-0000-000047000000}"/>
    <cellStyle name="20% - Accent1 9 2 2" xfId="355" xr:uid="{00000000-0005-0000-0000-000048000000}"/>
    <cellStyle name="20% - Accent2 10" xfId="356" xr:uid="{00000000-0005-0000-0000-000049000000}"/>
    <cellStyle name="20% - Accent2 10 2" xfId="357" xr:uid="{00000000-0005-0000-0000-00004A000000}"/>
    <cellStyle name="20% - Accent2 10 2 2" xfId="358" xr:uid="{00000000-0005-0000-0000-00004B000000}"/>
    <cellStyle name="20% - Accent2 11" xfId="359" xr:uid="{00000000-0005-0000-0000-00004C000000}"/>
    <cellStyle name="20% - Accent2 11 2" xfId="360" xr:uid="{00000000-0005-0000-0000-00004D000000}"/>
    <cellStyle name="20% - Accent2 11 2 2" xfId="361" xr:uid="{00000000-0005-0000-0000-00004E000000}"/>
    <cellStyle name="20% - Accent2 12" xfId="362" xr:uid="{00000000-0005-0000-0000-00004F000000}"/>
    <cellStyle name="20% - Accent2 12 2" xfId="363" xr:uid="{00000000-0005-0000-0000-000050000000}"/>
    <cellStyle name="20% - Accent2 12 2 2" xfId="364" xr:uid="{00000000-0005-0000-0000-000051000000}"/>
    <cellStyle name="20% - Accent2 13" xfId="365" xr:uid="{00000000-0005-0000-0000-000052000000}"/>
    <cellStyle name="20% - Accent2 13 2" xfId="366" xr:uid="{00000000-0005-0000-0000-000053000000}"/>
    <cellStyle name="20% - Accent2 13 2 2" xfId="367" xr:uid="{00000000-0005-0000-0000-000054000000}"/>
    <cellStyle name="20% - Accent2 14" xfId="368" xr:uid="{00000000-0005-0000-0000-000055000000}"/>
    <cellStyle name="20% - Accent2 14 2" xfId="369" xr:uid="{00000000-0005-0000-0000-000056000000}"/>
    <cellStyle name="20% - Accent2 14 2 2" xfId="370" xr:uid="{00000000-0005-0000-0000-000057000000}"/>
    <cellStyle name="20% - Accent2 15" xfId="371" xr:uid="{00000000-0005-0000-0000-000058000000}"/>
    <cellStyle name="20% - Accent2 15 2" xfId="372" xr:uid="{00000000-0005-0000-0000-000059000000}"/>
    <cellStyle name="20% - Accent2 15 2 2" xfId="373" xr:uid="{00000000-0005-0000-0000-00005A000000}"/>
    <cellStyle name="20% - Accent2 16" xfId="374" xr:uid="{00000000-0005-0000-0000-00005B000000}"/>
    <cellStyle name="20% - Accent2 16 2" xfId="375" xr:uid="{00000000-0005-0000-0000-00005C000000}"/>
    <cellStyle name="20% - Accent2 16 2 2" xfId="376" xr:uid="{00000000-0005-0000-0000-00005D000000}"/>
    <cellStyle name="20% - Accent2 17" xfId="377" xr:uid="{00000000-0005-0000-0000-00005E000000}"/>
    <cellStyle name="20% - Accent2 17 2" xfId="378" xr:uid="{00000000-0005-0000-0000-00005F000000}"/>
    <cellStyle name="20% - Accent2 17 2 2" xfId="379" xr:uid="{00000000-0005-0000-0000-000060000000}"/>
    <cellStyle name="20% - Accent2 18" xfId="380" xr:uid="{00000000-0005-0000-0000-000061000000}"/>
    <cellStyle name="20% - Accent2 18 2" xfId="381" xr:uid="{00000000-0005-0000-0000-000062000000}"/>
    <cellStyle name="20% - Accent2 18 2 2" xfId="382" xr:uid="{00000000-0005-0000-0000-000063000000}"/>
    <cellStyle name="20% - Accent2 19" xfId="383" xr:uid="{00000000-0005-0000-0000-000064000000}"/>
    <cellStyle name="20% - Accent2 19 2" xfId="384" xr:uid="{00000000-0005-0000-0000-000065000000}"/>
    <cellStyle name="20% - Accent2 19 2 2" xfId="385" xr:uid="{00000000-0005-0000-0000-000066000000}"/>
    <cellStyle name="20% - Accent2 2" xfId="54" xr:uid="{00000000-0005-0000-0000-000067000000}"/>
    <cellStyle name="20% - Accent2 2 2" xfId="55" xr:uid="{00000000-0005-0000-0000-000068000000}"/>
    <cellStyle name="20% - Accent2 2 2 2" xfId="386" xr:uid="{00000000-0005-0000-0000-000069000000}"/>
    <cellStyle name="20% - Accent2 2 2 2 2" xfId="387" xr:uid="{00000000-0005-0000-0000-00006A000000}"/>
    <cellStyle name="20% - Accent2 20" xfId="388" xr:uid="{00000000-0005-0000-0000-00006B000000}"/>
    <cellStyle name="20% - Accent2 20 2" xfId="389" xr:uid="{00000000-0005-0000-0000-00006C000000}"/>
    <cellStyle name="20% - Accent2 20 2 2" xfId="390" xr:uid="{00000000-0005-0000-0000-00006D000000}"/>
    <cellStyle name="20% - Accent2 21" xfId="391" xr:uid="{00000000-0005-0000-0000-00006E000000}"/>
    <cellStyle name="20% - Accent2 21 2" xfId="392" xr:uid="{00000000-0005-0000-0000-00006F000000}"/>
    <cellStyle name="20% - Accent2 21 2 2" xfId="393" xr:uid="{00000000-0005-0000-0000-000070000000}"/>
    <cellStyle name="20% - Accent2 22" xfId="394" xr:uid="{00000000-0005-0000-0000-000071000000}"/>
    <cellStyle name="20% - Accent2 3" xfId="56" xr:uid="{00000000-0005-0000-0000-000072000000}"/>
    <cellStyle name="20% - Accent2 3 2" xfId="395" xr:uid="{00000000-0005-0000-0000-000073000000}"/>
    <cellStyle name="20% - Accent2 3 2 2" xfId="396" xr:uid="{00000000-0005-0000-0000-000074000000}"/>
    <cellStyle name="20% - Accent2 3 2 3" xfId="397" xr:uid="{00000000-0005-0000-0000-000075000000}"/>
    <cellStyle name="20% - Accent2 3 2 3 2" xfId="398" xr:uid="{00000000-0005-0000-0000-000076000000}"/>
    <cellStyle name="20% - Accent2 3 3" xfId="399" xr:uid="{00000000-0005-0000-0000-000077000000}"/>
    <cellStyle name="20% - Accent2 3 3 2" xfId="400" xr:uid="{00000000-0005-0000-0000-000078000000}"/>
    <cellStyle name="20% - Accent2 3 3 2 2" xfId="401" xr:uid="{00000000-0005-0000-0000-000079000000}"/>
    <cellStyle name="20% - Accent2 3 4" xfId="402" xr:uid="{00000000-0005-0000-0000-00007A000000}"/>
    <cellStyle name="20% - Accent2 3 5" xfId="403" xr:uid="{00000000-0005-0000-0000-00007B000000}"/>
    <cellStyle name="20% - Accent2 3 5 2" xfId="404" xr:uid="{00000000-0005-0000-0000-00007C000000}"/>
    <cellStyle name="20% - Accent2 4" xfId="405" xr:uid="{00000000-0005-0000-0000-00007D000000}"/>
    <cellStyle name="20% - Accent2 4 2" xfId="406" xr:uid="{00000000-0005-0000-0000-00007E000000}"/>
    <cellStyle name="20% - Accent2 4 3" xfId="407" xr:uid="{00000000-0005-0000-0000-00007F000000}"/>
    <cellStyle name="20% - Accent2 4 3 2" xfId="408" xr:uid="{00000000-0005-0000-0000-000080000000}"/>
    <cellStyle name="20% - Accent2 5" xfId="409" xr:uid="{00000000-0005-0000-0000-000081000000}"/>
    <cellStyle name="20% - Accent2 5 2" xfId="410" xr:uid="{00000000-0005-0000-0000-000082000000}"/>
    <cellStyle name="20% - Accent2 5 3" xfId="411" xr:uid="{00000000-0005-0000-0000-000083000000}"/>
    <cellStyle name="20% - Accent2 5 3 2" xfId="412" xr:uid="{00000000-0005-0000-0000-000084000000}"/>
    <cellStyle name="20% - Accent2 6" xfId="413" xr:uid="{00000000-0005-0000-0000-000085000000}"/>
    <cellStyle name="20% - Accent2 6 2" xfId="414" xr:uid="{00000000-0005-0000-0000-000086000000}"/>
    <cellStyle name="20% - Accent2 6 3" xfId="415" xr:uid="{00000000-0005-0000-0000-000087000000}"/>
    <cellStyle name="20% - Accent2 6 3 2" xfId="416" xr:uid="{00000000-0005-0000-0000-000088000000}"/>
    <cellStyle name="20% - Accent2 7" xfId="417" xr:uid="{00000000-0005-0000-0000-000089000000}"/>
    <cellStyle name="20% - Accent2 7 2" xfId="418" xr:uid="{00000000-0005-0000-0000-00008A000000}"/>
    <cellStyle name="20% - Accent2 7 2 2" xfId="419" xr:uid="{00000000-0005-0000-0000-00008B000000}"/>
    <cellStyle name="20% - Accent2 8" xfId="420" xr:uid="{00000000-0005-0000-0000-00008C000000}"/>
    <cellStyle name="20% - Accent2 8 2" xfId="421" xr:uid="{00000000-0005-0000-0000-00008D000000}"/>
    <cellStyle name="20% - Accent2 8 2 2" xfId="422" xr:uid="{00000000-0005-0000-0000-00008E000000}"/>
    <cellStyle name="20% - Accent2 9" xfId="423" xr:uid="{00000000-0005-0000-0000-00008F000000}"/>
    <cellStyle name="20% - Accent2 9 2" xfId="424" xr:uid="{00000000-0005-0000-0000-000090000000}"/>
    <cellStyle name="20% - Accent2 9 2 2" xfId="425" xr:uid="{00000000-0005-0000-0000-000091000000}"/>
    <cellStyle name="20% - Accent3 10" xfId="426" xr:uid="{00000000-0005-0000-0000-000092000000}"/>
    <cellStyle name="20% - Accent3 10 2" xfId="427" xr:uid="{00000000-0005-0000-0000-000093000000}"/>
    <cellStyle name="20% - Accent3 10 2 2" xfId="428" xr:uid="{00000000-0005-0000-0000-000094000000}"/>
    <cellStyle name="20% - Accent3 11" xfId="429" xr:uid="{00000000-0005-0000-0000-000095000000}"/>
    <cellStyle name="20% - Accent3 11 2" xfId="430" xr:uid="{00000000-0005-0000-0000-000096000000}"/>
    <cellStyle name="20% - Accent3 11 2 2" xfId="431" xr:uid="{00000000-0005-0000-0000-000097000000}"/>
    <cellStyle name="20% - Accent3 12" xfId="432" xr:uid="{00000000-0005-0000-0000-000098000000}"/>
    <cellStyle name="20% - Accent3 12 2" xfId="433" xr:uid="{00000000-0005-0000-0000-000099000000}"/>
    <cellStyle name="20% - Accent3 12 2 2" xfId="434" xr:uid="{00000000-0005-0000-0000-00009A000000}"/>
    <cellStyle name="20% - Accent3 13" xfId="435" xr:uid="{00000000-0005-0000-0000-00009B000000}"/>
    <cellStyle name="20% - Accent3 13 2" xfId="436" xr:uid="{00000000-0005-0000-0000-00009C000000}"/>
    <cellStyle name="20% - Accent3 13 2 2" xfId="437" xr:uid="{00000000-0005-0000-0000-00009D000000}"/>
    <cellStyle name="20% - Accent3 14" xfId="438" xr:uid="{00000000-0005-0000-0000-00009E000000}"/>
    <cellStyle name="20% - Accent3 14 2" xfId="439" xr:uid="{00000000-0005-0000-0000-00009F000000}"/>
    <cellStyle name="20% - Accent3 14 2 2" xfId="440" xr:uid="{00000000-0005-0000-0000-0000A0000000}"/>
    <cellStyle name="20% - Accent3 15" xfId="441" xr:uid="{00000000-0005-0000-0000-0000A1000000}"/>
    <cellStyle name="20% - Accent3 15 2" xfId="442" xr:uid="{00000000-0005-0000-0000-0000A2000000}"/>
    <cellStyle name="20% - Accent3 15 2 2" xfId="443" xr:uid="{00000000-0005-0000-0000-0000A3000000}"/>
    <cellStyle name="20% - Accent3 16" xfId="444" xr:uid="{00000000-0005-0000-0000-0000A4000000}"/>
    <cellStyle name="20% - Accent3 16 2" xfId="445" xr:uid="{00000000-0005-0000-0000-0000A5000000}"/>
    <cellStyle name="20% - Accent3 16 2 2" xfId="446" xr:uid="{00000000-0005-0000-0000-0000A6000000}"/>
    <cellStyle name="20% - Accent3 17" xfId="447" xr:uid="{00000000-0005-0000-0000-0000A7000000}"/>
    <cellStyle name="20% - Accent3 17 2" xfId="448" xr:uid="{00000000-0005-0000-0000-0000A8000000}"/>
    <cellStyle name="20% - Accent3 17 2 2" xfId="449" xr:uid="{00000000-0005-0000-0000-0000A9000000}"/>
    <cellStyle name="20% - Accent3 18" xfId="450" xr:uid="{00000000-0005-0000-0000-0000AA000000}"/>
    <cellStyle name="20% - Accent3 18 2" xfId="451" xr:uid="{00000000-0005-0000-0000-0000AB000000}"/>
    <cellStyle name="20% - Accent3 18 2 2" xfId="452" xr:uid="{00000000-0005-0000-0000-0000AC000000}"/>
    <cellStyle name="20% - Accent3 19" xfId="453" xr:uid="{00000000-0005-0000-0000-0000AD000000}"/>
    <cellStyle name="20% - Accent3 19 2" xfId="454" xr:uid="{00000000-0005-0000-0000-0000AE000000}"/>
    <cellStyle name="20% - Accent3 19 2 2" xfId="455" xr:uid="{00000000-0005-0000-0000-0000AF000000}"/>
    <cellStyle name="20% - Accent3 2" xfId="57" xr:uid="{00000000-0005-0000-0000-0000B0000000}"/>
    <cellStyle name="20% - Accent3 2 2" xfId="58" xr:uid="{00000000-0005-0000-0000-0000B1000000}"/>
    <cellStyle name="20% - Accent3 2 2 2" xfId="456" xr:uid="{00000000-0005-0000-0000-0000B2000000}"/>
    <cellStyle name="20% - Accent3 2 2 2 2" xfId="457" xr:uid="{00000000-0005-0000-0000-0000B3000000}"/>
    <cellStyle name="20% - Accent3 20" xfId="458" xr:uid="{00000000-0005-0000-0000-0000B4000000}"/>
    <cellStyle name="20% - Accent3 20 2" xfId="459" xr:uid="{00000000-0005-0000-0000-0000B5000000}"/>
    <cellStyle name="20% - Accent3 20 2 2" xfId="460" xr:uid="{00000000-0005-0000-0000-0000B6000000}"/>
    <cellStyle name="20% - Accent3 21" xfId="461" xr:uid="{00000000-0005-0000-0000-0000B7000000}"/>
    <cellStyle name="20% - Accent3 21 2" xfId="462" xr:uid="{00000000-0005-0000-0000-0000B8000000}"/>
    <cellStyle name="20% - Accent3 21 2 2" xfId="463" xr:uid="{00000000-0005-0000-0000-0000B9000000}"/>
    <cellStyle name="20% - Accent3 22" xfId="464" xr:uid="{00000000-0005-0000-0000-0000BA000000}"/>
    <cellStyle name="20% - Accent3 3" xfId="59" xr:uid="{00000000-0005-0000-0000-0000BB000000}"/>
    <cellStyle name="20% - Accent3 3 2" xfId="465" xr:uid="{00000000-0005-0000-0000-0000BC000000}"/>
    <cellStyle name="20% - Accent3 3 2 2" xfId="466" xr:uid="{00000000-0005-0000-0000-0000BD000000}"/>
    <cellStyle name="20% - Accent3 3 2 3" xfId="467" xr:uid="{00000000-0005-0000-0000-0000BE000000}"/>
    <cellStyle name="20% - Accent3 3 2 3 2" xfId="468" xr:uid="{00000000-0005-0000-0000-0000BF000000}"/>
    <cellStyle name="20% - Accent3 3 3" xfId="469" xr:uid="{00000000-0005-0000-0000-0000C0000000}"/>
    <cellStyle name="20% - Accent3 3 3 2" xfId="470" xr:uid="{00000000-0005-0000-0000-0000C1000000}"/>
    <cellStyle name="20% - Accent3 3 3 2 2" xfId="471" xr:uid="{00000000-0005-0000-0000-0000C2000000}"/>
    <cellStyle name="20% - Accent3 3 4" xfId="472" xr:uid="{00000000-0005-0000-0000-0000C3000000}"/>
    <cellStyle name="20% - Accent3 3 5" xfId="473" xr:uid="{00000000-0005-0000-0000-0000C4000000}"/>
    <cellStyle name="20% - Accent3 3 5 2" xfId="474" xr:uid="{00000000-0005-0000-0000-0000C5000000}"/>
    <cellStyle name="20% - Accent3 4" xfId="475" xr:uid="{00000000-0005-0000-0000-0000C6000000}"/>
    <cellStyle name="20% - Accent3 4 2" xfId="476" xr:uid="{00000000-0005-0000-0000-0000C7000000}"/>
    <cellStyle name="20% - Accent3 4 3" xfId="477" xr:uid="{00000000-0005-0000-0000-0000C8000000}"/>
    <cellStyle name="20% - Accent3 4 3 2" xfId="478" xr:uid="{00000000-0005-0000-0000-0000C9000000}"/>
    <cellStyle name="20% - Accent3 5" xfId="479" xr:uid="{00000000-0005-0000-0000-0000CA000000}"/>
    <cellStyle name="20% - Accent3 5 2" xfId="480" xr:uid="{00000000-0005-0000-0000-0000CB000000}"/>
    <cellStyle name="20% - Accent3 5 3" xfId="481" xr:uid="{00000000-0005-0000-0000-0000CC000000}"/>
    <cellStyle name="20% - Accent3 5 3 2" xfId="482" xr:uid="{00000000-0005-0000-0000-0000CD000000}"/>
    <cellStyle name="20% - Accent3 6" xfId="483" xr:uid="{00000000-0005-0000-0000-0000CE000000}"/>
    <cellStyle name="20% - Accent3 6 2" xfId="484" xr:uid="{00000000-0005-0000-0000-0000CF000000}"/>
    <cellStyle name="20% - Accent3 6 3" xfId="485" xr:uid="{00000000-0005-0000-0000-0000D0000000}"/>
    <cellStyle name="20% - Accent3 6 3 2" xfId="486" xr:uid="{00000000-0005-0000-0000-0000D1000000}"/>
    <cellStyle name="20% - Accent3 7" xfId="487" xr:uid="{00000000-0005-0000-0000-0000D2000000}"/>
    <cellStyle name="20% - Accent3 7 2" xfId="488" xr:uid="{00000000-0005-0000-0000-0000D3000000}"/>
    <cellStyle name="20% - Accent3 7 2 2" xfId="489" xr:uid="{00000000-0005-0000-0000-0000D4000000}"/>
    <cellStyle name="20% - Accent3 8" xfId="490" xr:uid="{00000000-0005-0000-0000-0000D5000000}"/>
    <cellStyle name="20% - Accent3 8 2" xfId="491" xr:uid="{00000000-0005-0000-0000-0000D6000000}"/>
    <cellStyle name="20% - Accent3 8 2 2" xfId="492" xr:uid="{00000000-0005-0000-0000-0000D7000000}"/>
    <cellStyle name="20% - Accent3 9" xfId="493" xr:uid="{00000000-0005-0000-0000-0000D8000000}"/>
    <cellStyle name="20% - Accent3 9 2" xfId="494" xr:uid="{00000000-0005-0000-0000-0000D9000000}"/>
    <cellStyle name="20% - Accent3 9 2 2" xfId="495" xr:uid="{00000000-0005-0000-0000-0000DA000000}"/>
    <cellStyle name="20% - Accent4 10" xfId="496" xr:uid="{00000000-0005-0000-0000-0000DB000000}"/>
    <cellStyle name="20% - Accent4 10 2" xfId="497" xr:uid="{00000000-0005-0000-0000-0000DC000000}"/>
    <cellStyle name="20% - Accent4 10 2 2" xfId="498" xr:uid="{00000000-0005-0000-0000-0000DD000000}"/>
    <cellStyle name="20% - Accent4 11" xfId="499" xr:uid="{00000000-0005-0000-0000-0000DE000000}"/>
    <cellStyle name="20% - Accent4 11 2" xfId="500" xr:uid="{00000000-0005-0000-0000-0000DF000000}"/>
    <cellStyle name="20% - Accent4 11 2 2" xfId="501" xr:uid="{00000000-0005-0000-0000-0000E0000000}"/>
    <cellStyle name="20% - Accent4 12" xfId="502" xr:uid="{00000000-0005-0000-0000-0000E1000000}"/>
    <cellStyle name="20% - Accent4 12 2" xfId="503" xr:uid="{00000000-0005-0000-0000-0000E2000000}"/>
    <cellStyle name="20% - Accent4 12 2 2" xfId="504" xr:uid="{00000000-0005-0000-0000-0000E3000000}"/>
    <cellStyle name="20% - Accent4 13" xfId="505" xr:uid="{00000000-0005-0000-0000-0000E4000000}"/>
    <cellStyle name="20% - Accent4 13 2" xfId="506" xr:uid="{00000000-0005-0000-0000-0000E5000000}"/>
    <cellStyle name="20% - Accent4 13 2 2" xfId="507" xr:uid="{00000000-0005-0000-0000-0000E6000000}"/>
    <cellStyle name="20% - Accent4 14" xfId="508" xr:uid="{00000000-0005-0000-0000-0000E7000000}"/>
    <cellStyle name="20% - Accent4 14 2" xfId="509" xr:uid="{00000000-0005-0000-0000-0000E8000000}"/>
    <cellStyle name="20% - Accent4 14 2 2" xfId="510" xr:uid="{00000000-0005-0000-0000-0000E9000000}"/>
    <cellStyle name="20% - Accent4 15" xfId="511" xr:uid="{00000000-0005-0000-0000-0000EA000000}"/>
    <cellStyle name="20% - Accent4 15 2" xfId="512" xr:uid="{00000000-0005-0000-0000-0000EB000000}"/>
    <cellStyle name="20% - Accent4 15 2 2" xfId="513" xr:uid="{00000000-0005-0000-0000-0000EC000000}"/>
    <cellStyle name="20% - Accent4 16" xfId="514" xr:uid="{00000000-0005-0000-0000-0000ED000000}"/>
    <cellStyle name="20% - Accent4 16 2" xfId="515" xr:uid="{00000000-0005-0000-0000-0000EE000000}"/>
    <cellStyle name="20% - Accent4 16 2 2" xfId="516" xr:uid="{00000000-0005-0000-0000-0000EF000000}"/>
    <cellStyle name="20% - Accent4 17" xfId="517" xr:uid="{00000000-0005-0000-0000-0000F0000000}"/>
    <cellStyle name="20% - Accent4 17 2" xfId="518" xr:uid="{00000000-0005-0000-0000-0000F1000000}"/>
    <cellStyle name="20% - Accent4 17 2 2" xfId="519" xr:uid="{00000000-0005-0000-0000-0000F2000000}"/>
    <cellStyle name="20% - Accent4 18" xfId="520" xr:uid="{00000000-0005-0000-0000-0000F3000000}"/>
    <cellStyle name="20% - Accent4 18 2" xfId="521" xr:uid="{00000000-0005-0000-0000-0000F4000000}"/>
    <cellStyle name="20% - Accent4 18 2 2" xfId="522" xr:uid="{00000000-0005-0000-0000-0000F5000000}"/>
    <cellStyle name="20% - Accent4 19" xfId="523" xr:uid="{00000000-0005-0000-0000-0000F6000000}"/>
    <cellStyle name="20% - Accent4 19 2" xfId="524" xr:uid="{00000000-0005-0000-0000-0000F7000000}"/>
    <cellStyle name="20% - Accent4 19 2 2" xfId="525" xr:uid="{00000000-0005-0000-0000-0000F8000000}"/>
    <cellStyle name="20% - Accent4 2" xfId="60" xr:uid="{00000000-0005-0000-0000-0000F9000000}"/>
    <cellStyle name="20% - Accent4 2 2" xfId="61" xr:uid="{00000000-0005-0000-0000-0000FA000000}"/>
    <cellStyle name="20% - Accent4 2 2 2" xfId="526" xr:uid="{00000000-0005-0000-0000-0000FB000000}"/>
    <cellStyle name="20% - Accent4 2 2 2 2" xfId="527" xr:uid="{00000000-0005-0000-0000-0000FC000000}"/>
    <cellStyle name="20% - Accent4 20" xfId="528" xr:uid="{00000000-0005-0000-0000-0000FD000000}"/>
    <cellStyle name="20% - Accent4 20 2" xfId="529" xr:uid="{00000000-0005-0000-0000-0000FE000000}"/>
    <cellStyle name="20% - Accent4 20 2 2" xfId="530" xr:uid="{00000000-0005-0000-0000-0000FF000000}"/>
    <cellStyle name="20% - Accent4 21" xfId="531" xr:uid="{00000000-0005-0000-0000-000000010000}"/>
    <cellStyle name="20% - Accent4 21 2" xfId="532" xr:uid="{00000000-0005-0000-0000-000001010000}"/>
    <cellStyle name="20% - Accent4 21 2 2" xfId="533" xr:uid="{00000000-0005-0000-0000-000002010000}"/>
    <cellStyle name="20% - Accent4 22" xfId="534" xr:uid="{00000000-0005-0000-0000-000003010000}"/>
    <cellStyle name="20% - Accent4 3" xfId="62" xr:uid="{00000000-0005-0000-0000-000004010000}"/>
    <cellStyle name="20% - Accent4 3 2" xfId="535" xr:uid="{00000000-0005-0000-0000-000005010000}"/>
    <cellStyle name="20% - Accent4 3 2 2" xfId="536" xr:uid="{00000000-0005-0000-0000-000006010000}"/>
    <cellStyle name="20% - Accent4 3 2 3" xfId="537" xr:uid="{00000000-0005-0000-0000-000007010000}"/>
    <cellStyle name="20% - Accent4 3 2 3 2" xfId="538" xr:uid="{00000000-0005-0000-0000-000008010000}"/>
    <cellStyle name="20% - Accent4 3 3" xfId="539" xr:uid="{00000000-0005-0000-0000-000009010000}"/>
    <cellStyle name="20% - Accent4 3 3 2" xfId="540" xr:uid="{00000000-0005-0000-0000-00000A010000}"/>
    <cellStyle name="20% - Accent4 3 3 2 2" xfId="541" xr:uid="{00000000-0005-0000-0000-00000B010000}"/>
    <cellStyle name="20% - Accent4 3 4" xfId="542" xr:uid="{00000000-0005-0000-0000-00000C010000}"/>
    <cellStyle name="20% - Accent4 3 5" xfId="543" xr:uid="{00000000-0005-0000-0000-00000D010000}"/>
    <cellStyle name="20% - Accent4 3 5 2" xfId="544" xr:uid="{00000000-0005-0000-0000-00000E010000}"/>
    <cellStyle name="20% - Accent4 4" xfId="545" xr:uid="{00000000-0005-0000-0000-00000F010000}"/>
    <cellStyle name="20% - Accent4 4 2" xfId="546" xr:uid="{00000000-0005-0000-0000-000010010000}"/>
    <cellStyle name="20% - Accent4 4 3" xfId="547" xr:uid="{00000000-0005-0000-0000-000011010000}"/>
    <cellStyle name="20% - Accent4 4 3 2" xfId="548" xr:uid="{00000000-0005-0000-0000-000012010000}"/>
    <cellStyle name="20% - Accent4 5" xfId="549" xr:uid="{00000000-0005-0000-0000-000013010000}"/>
    <cellStyle name="20% - Accent4 5 2" xfId="550" xr:uid="{00000000-0005-0000-0000-000014010000}"/>
    <cellStyle name="20% - Accent4 5 3" xfId="551" xr:uid="{00000000-0005-0000-0000-000015010000}"/>
    <cellStyle name="20% - Accent4 5 3 2" xfId="552" xr:uid="{00000000-0005-0000-0000-000016010000}"/>
    <cellStyle name="20% - Accent4 6" xfId="553" xr:uid="{00000000-0005-0000-0000-000017010000}"/>
    <cellStyle name="20% - Accent4 6 2" xfId="554" xr:uid="{00000000-0005-0000-0000-000018010000}"/>
    <cellStyle name="20% - Accent4 6 3" xfId="555" xr:uid="{00000000-0005-0000-0000-000019010000}"/>
    <cellStyle name="20% - Accent4 6 3 2" xfId="556" xr:uid="{00000000-0005-0000-0000-00001A010000}"/>
    <cellStyle name="20% - Accent4 7" xfId="557" xr:uid="{00000000-0005-0000-0000-00001B010000}"/>
    <cellStyle name="20% - Accent4 7 2" xfId="558" xr:uid="{00000000-0005-0000-0000-00001C010000}"/>
    <cellStyle name="20% - Accent4 7 2 2" xfId="559" xr:uid="{00000000-0005-0000-0000-00001D010000}"/>
    <cellStyle name="20% - Accent4 8" xfId="560" xr:uid="{00000000-0005-0000-0000-00001E010000}"/>
    <cellStyle name="20% - Accent4 8 2" xfId="561" xr:uid="{00000000-0005-0000-0000-00001F010000}"/>
    <cellStyle name="20% - Accent4 8 2 2" xfId="562" xr:uid="{00000000-0005-0000-0000-000020010000}"/>
    <cellStyle name="20% - Accent4 9" xfId="563" xr:uid="{00000000-0005-0000-0000-000021010000}"/>
    <cellStyle name="20% - Accent4 9 2" xfId="564" xr:uid="{00000000-0005-0000-0000-000022010000}"/>
    <cellStyle name="20% - Accent4 9 2 2" xfId="565" xr:uid="{00000000-0005-0000-0000-000023010000}"/>
    <cellStyle name="20% - Accent5 10" xfId="566" xr:uid="{00000000-0005-0000-0000-000024010000}"/>
    <cellStyle name="20% - Accent5 10 2" xfId="567" xr:uid="{00000000-0005-0000-0000-000025010000}"/>
    <cellStyle name="20% - Accent5 10 2 2" xfId="568" xr:uid="{00000000-0005-0000-0000-000026010000}"/>
    <cellStyle name="20% - Accent5 11" xfId="569" xr:uid="{00000000-0005-0000-0000-000027010000}"/>
    <cellStyle name="20% - Accent5 11 2" xfId="570" xr:uid="{00000000-0005-0000-0000-000028010000}"/>
    <cellStyle name="20% - Accent5 11 2 2" xfId="571" xr:uid="{00000000-0005-0000-0000-000029010000}"/>
    <cellStyle name="20% - Accent5 12" xfId="572" xr:uid="{00000000-0005-0000-0000-00002A010000}"/>
    <cellStyle name="20% - Accent5 12 2" xfId="573" xr:uid="{00000000-0005-0000-0000-00002B010000}"/>
    <cellStyle name="20% - Accent5 12 2 2" xfId="574" xr:uid="{00000000-0005-0000-0000-00002C010000}"/>
    <cellStyle name="20% - Accent5 13" xfId="575" xr:uid="{00000000-0005-0000-0000-00002D010000}"/>
    <cellStyle name="20% - Accent5 13 2" xfId="576" xr:uid="{00000000-0005-0000-0000-00002E010000}"/>
    <cellStyle name="20% - Accent5 13 2 2" xfId="577" xr:uid="{00000000-0005-0000-0000-00002F010000}"/>
    <cellStyle name="20% - Accent5 14" xfId="578" xr:uid="{00000000-0005-0000-0000-000030010000}"/>
    <cellStyle name="20% - Accent5 14 2" xfId="579" xr:uid="{00000000-0005-0000-0000-000031010000}"/>
    <cellStyle name="20% - Accent5 14 2 2" xfId="580" xr:uid="{00000000-0005-0000-0000-000032010000}"/>
    <cellStyle name="20% - Accent5 15" xfId="581" xr:uid="{00000000-0005-0000-0000-000033010000}"/>
    <cellStyle name="20% - Accent5 15 2" xfId="582" xr:uid="{00000000-0005-0000-0000-000034010000}"/>
    <cellStyle name="20% - Accent5 15 2 2" xfId="583" xr:uid="{00000000-0005-0000-0000-000035010000}"/>
    <cellStyle name="20% - Accent5 16" xfId="584" xr:uid="{00000000-0005-0000-0000-000036010000}"/>
    <cellStyle name="20% - Accent5 16 2" xfId="585" xr:uid="{00000000-0005-0000-0000-000037010000}"/>
    <cellStyle name="20% - Accent5 16 2 2" xfId="586" xr:uid="{00000000-0005-0000-0000-000038010000}"/>
    <cellStyle name="20% - Accent5 17" xfId="587" xr:uid="{00000000-0005-0000-0000-000039010000}"/>
    <cellStyle name="20% - Accent5 17 2" xfId="588" xr:uid="{00000000-0005-0000-0000-00003A010000}"/>
    <cellStyle name="20% - Accent5 17 2 2" xfId="589" xr:uid="{00000000-0005-0000-0000-00003B010000}"/>
    <cellStyle name="20% - Accent5 18" xfId="590" xr:uid="{00000000-0005-0000-0000-00003C010000}"/>
    <cellStyle name="20% - Accent5 18 2" xfId="591" xr:uid="{00000000-0005-0000-0000-00003D010000}"/>
    <cellStyle name="20% - Accent5 18 2 2" xfId="592" xr:uid="{00000000-0005-0000-0000-00003E010000}"/>
    <cellStyle name="20% - Accent5 19" xfId="593" xr:uid="{00000000-0005-0000-0000-00003F010000}"/>
    <cellStyle name="20% - Accent5 19 2" xfId="594" xr:uid="{00000000-0005-0000-0000-000040010000}"/>
    <cellStyle name="20% - Accent5 19 2 2" xfId="595" xr:uid="{00000000-0005-0000-0000-000041010000}"/>
    <cellStyle name="20% - Accent5 2" xfId="63" xr:uid="{00000000-0005-0000-0000-000042010000}"/>
    <cellStyle name="20% - Accent5 2 2" xfId="64" xr:uid="{00000000-0005-0000-0000-000043010000}"/>
    <cellStyle name="20% - Accent5 2 2 2" xfId="596" xr:uid="{00000000-0005-0000-0000-000044010000}"/>
    <cellStyle name="20% - Accent5 2 2 2 2" xfId="597" xr:uid="{00000000-0005-0000-0000-000045010000}"/>
    <cellStyle name="20% - Accent5 20" xfId="598" xr:uid="{00000000-0005-0000-0000-000046010000}"/>
    <cellStyle name="20% - Accent5 20 2" xfId="599" xr:uid="{00000000-0005-0000-0000-000047010000}"/>
    <cellStyle name="20% - Accent5 20 2 2" xfId="600" xr:uid="{00000000-0005-0000-0000-000048010000}"/>
    <cellStyle name="20% - Accent5 21" xfId="601" xr:uid="{00000000-0005-0000-0000-000049010000}"/>
    <cellStyle name="20% - Accent5 21 2" xfId="602" xr:uid="{00000000-0005-0000-0000-00004A010000}"/>
    <cellStyle name="20% - Accent5 21 2 2" xfId="603" xr:uid="{00000000-0005-0000-0000-00004B010000}"/>
    <cellStyle name="20% - Accent5 22" xfId="604" xr:uid="{00000000-0005-0000-0000-00004C010000}"/>
    <cellStyle name="20% - Accent5 3" xfId="65" xr:uid="{00000000-0005-0000-0000-00004D010000}"/>
    <cellStyle name="20% - Accent5 3 2" xfId="605" xr:uid="{00000000-0005-0000-0000-00004E010000}"/>
    <cellStyle name="20% - Accent5 3 2 2" xfId="606" xr:uid="{00000000-0005-0000-0000-00004F010000}"/>
    <cellStyle name="20% - Accent5 3 2 3" xfId="607" xr:uid="{00000000-0005-0000-0000-000050010000}"/>
    <cellStyle name="20% - Accent5 3 2 3 2" xfId="608" xr:uid="{00000000-0005-0000-0000-000051010000}"/>
    <cellStyle name="20% - Accent5 3 3" xfId="609" xr:uid="{00000000-0005-0000-0000-000052010000}"/>
    <cellStyle name="20% - Accent5 3 3 2" xfId="610" xr:uid="{00000000-0005-0000-0000-000053010000}"/>
    <cellStyle name="20% - Accent5 3 3 2 2" xfId="611" xr:uid="{00000000-0005-0000-0000-000054010000}"/>
    <cellStyle name="20% - Accent5 3 4" xfId="612" xr:uid="{00000000-0005-0000-0000-000055010000}"/>
    <cellStyle name="20% - Accent5 3 5" xfId="613" xr:uid="{00000000-0005-0000-0000-000056010000}"/>
    <cellStyle name="20% - Accent5 3 5 2" xfId="614" xr:uid="{00000000-0005-0000-0000-000057010000}"/>
    <cellStyle name="20% - Accent5 4" xfId="615" xr:uid="{00000000-0005-0000-0000-000058010000}"/>
    <cellStyle name="20% - Accent5 4 2" xfId="616" xr:uid="{00000000-0005-0000-0000-000059010000}"/>
    <cellStyle name="20% - Accent5 4 3" xfId="617" xr:uid="{00000000-0005-0000-0000-00005A010000}"/>
    <cellStyle name="20% - Accent5 4 3 2" xfId="618" xr:uid="{00000000-0005-0000-0000-00005B010000}"/>
    <cellStyle name="20% - Accent5 5" xfId="619" xr:uid="{00000000-0005-0000-0000-00005C010000}"/>
    <cellStyle name="20% - Accent5 5 2" xfId="620" xr:uid="{00000000-0005-0000-0000-00005D010000}"/>
    <cellStyle name="20% - Accent5 5 3" xfId="621" xr:uid="{00000000-0005-0000-0000-00005E010000}"/>
    <cellStyle name="20% - Accent5 5 3 2" xfId="622" xr:uid="{00000000-0005-0000-0000-00005F010000}"/>
    <cellStyle name="20% - Accent5 6" xfId="623" xr:uid="{00000000-0005-0000-0000-000060010000}"/>
    <cellStyle name="20% - Accent5 6 2" xfId="624" xr:uid="{00000000-0005-0000-0000-000061010000}"/>
    <cellStyle name="20% - Accent5 6 3" xfId="625" xr:uid="{00000000-0005-0000-0000-000062010000}"/>
    <cellStyle name="20% - Accent5 6 3 2" xfId="626" xr:uid="{00000000-0005-0000-0000-000063010000}"/>
    <cellStyle name="20% - Accent5 7" xfId="627" xr:uid="{00000000-0005-0000-0000-000064010000}"/>
    <cellStyle name="20% - Accent5 7 2" xfId="628" xr:uid="{00000000-0005-0000-0000-000065010000}"/>
    <cellStyle name="20% - Accent5 7 2 2" xfId="629" xr:uid="{00000000-0005-0000-0000-000066010000}"/>
    <cellStyle name="20% - Accent5 8" xfId="630" xr:uid="{00000000-0005-0000-0000-000067010000}"/>
    <cellStyle name="20% - Accent5 8 2" xfId="631" xr:uid="{00000000-0005-0000-0000-000068010000}"/>
    <cellStyle name="20% - Accent5 8 2 2" xfId="632" xr:uid="{00000000-0005-0000-0000-000069010000}"/>
    <cellStyle name="20% - Accent5 9" xfId="633" xr:uid="{00000000-0005-0000-0000-00006A010000}"/>
    <cellStyle name="20% - Accent5 9 2" xfId="634" xr:uid="{00000000-0005-0000-0000-00006B010000}"/>
    <cellStyle name="20% - Accent5 9 2 2" xfId="635" xr:uid="{00000000-0005-0000-0000-00006C010000}"/>
    <cellStyle name="20% - Accent6 10" xfId="636" xr:uid="{00000000-0005-0000-0000-00006D010000}"/>
    <cellStyle name="20% - Accent6 10 2" xfId="637" xr:uid="{00000000-0005-0000-0000-00006E010000}"/>
    <cellStyle name="20% - Accent6 10 2 2" xfId="638" xr:uid="{00000000-0005-0000-0000-00006F010000}"/>
    <cellStyle name="20% - Accent6 11" xfId="639" xr:uid="{00000000-0005-0000-0000-000070010000}"/>
    <cellStyle name="20% - Accent6 11 2" xfId="640" xr:uid="{00000000-0005-0000-0000-000071010000}"/>
    <cellStyle name="20% - Accent6 11 2 2" xfId="641" xr:uid="{00000000-0005-0000-0000-000072010000}"/>
    <cellStyle name="20% - Accent6 12" xfId="642" xr:uid="{00000000-0005-0000-0000-000073010000}"/>
    <cellStyle name="20% - Accent6 12 2" xfId="643" xr:uid="{00000000-0005-0000-0000-000074010000}"/>
    <cellStyle name="20% - Accent6 12 2 2" xfId="644" xr:uid="{00000000-0005-0000-0000-000075010000}"/>
    <cellStyle name="20% - Accent6 13" xfId="645" xr:uid="{00000000-0005-0000-0000-000076010000}"/>
    <cellStyle name="20% - Accent6 13 2" xfId="646" xr:uid="{00000000-0005-0000-0000-000077010000}"/>
    <cellStyle name="20% - Accent6 13 2 2" xfId="647" xr:uid="{00000000-0005-0000-0000-000078010000}"/>
    <cellStyle name="20% - Accent6 14" xfId="648" xr:uid="{00000000-0005-0000-0000-000079010000}"/>
    <cellStyle name="20% - Accent6 14 2" xfId="649" xr:uid="{00000000-0005-0000-0000-00007A010000}"/>
    <cellStyle name="20% - Accent6 14 2 2" xfId="650" xr:uid="{00000000-0005-0000-0000-00007B010000}"/>
    <cellStyle name="20% - Accent6 15" xfId="651" xr:uid="{00000000-0005-0000-0000-00007C010000}"/>
    <cellStyle name="20% - Accent6 15 2" xfId="652" xr:uid="{00000000-0005-0000-0000-00007D010000}"/>
    <cellStyle name="20% - Accent6 15 2 2" xfId="653" xr:uid="{00000000-0005-0000-0000-00007E010000}"/>
    <cellStyle name="20% - Accent6 16" xfId="654" xr:uid="{00000000-0005-0000-0000-00007F010000}"/>
    <cellStyle name="20% - Accent6 16 2" xfId="655" xr:uid="{00000000-0005-0000-0000-000080010000}"/>
    <cellStyle name="20% - Accent6 16 2 2" xfId="656" xr:uid="{00000000-0005-0000-0000-000081010000}"/>
    <cellStyle name="20% - Accent6 17" xfId="657" xr:uid="{00000000-0005-0000-0000-000082010000}"/>
    <cellStyle name="20% - Accent6 17 2" xfId="658" xr:uid="{00000000-0005-0000-0000-000083010000}"/>
    <cellStyle name="20% - Accent6 17 2 2" xfId="659" xr:uid="{00000000-0005-0000-0000-000084010000}"/>
    <cellStyle name="20% - Accent6 18" xfId="660" xr:uid="{00000000-0005-0000-0000-000085010000}"/>
    <cellStyle name="20% - Accent6 18 2" xfId="661" xr:uid="{00000000-0005-0000-0000-000086010000}"/>
    <cellStyle name="20% - Accent6 18 2 2" xfId="662" xr:uid="{00000000-0005-0000-0000-000087010000}"/>
    <cellStyle name="20% - Accent6 19" xfId="663" xr:uid="{00000000-0005-0000-0000-000088010000}"/>
    <cellStyle name="20% - Accent6 19 2" xfId="664" xr:uid="{00000000-0005-0000-0000-000089010000}"/>
    <cellStyle name="20% - Accent6 19 2 2" xfId="665" xr:uid="{00000000-0005-0000-0000-00008A010000}"/>
    <cellStyle name="20% - Accent6 2" xfId="66" xr:uid="{00000000-0005-0000-0000-00008B010000}"/>
    <cellStyle name="20% - Accent6 2 2" xfId="67" xr:uid="{00000000-0005-0000-0000-00008C010000}"/>
    <cellStyle name="20% - Accent6 2 2 2" xfId="666" xr:uid="{00000000-0005-0000-0000-00008D010000}"/>
    <cellStyle name="20% - Accent6 2 2 2 2" xfId="667" xr:uid="{00000000-0005-0000-0000-00008E010000}"/>
    <cellStyle name="20% - Accent6 20" xfId="668" xr:uid="{00000000-0005-0000-0000-00008F010000}"/>
    <cellStyle name="20% - Accent6 20 2" xfId="669" xr:uid="{00000000-0005-0000-0000-000090010000}"/>
    <cellStyle name="20% - Accent6 20 2 2" xfId="670" xr:uid="{00000000-0005-0000-0000-000091010000}"/>
    <cellStyle name="20% - Accent6 21" xfId="671" xr:uid="{00000000-0005-0000-0000-000092010000}"/>
    <cellStyle name="20% - Accent6 21 2" xfId="672" xr:uid="{00000000-0005-0000-0000-000093010000}"/>
    <cellStyle name="20% - Accent6 21 2 2" xfId="673" xr:uid="{00000000-0005-0000-0000-000094010000}"/>
    <cellStyle name="20% - Accent6 22" xfId="674" xr:uid="{00000000-0005-0000-0000-000095010000}"/>
    <cellStyle name="20% - Accent6 3" xfId="68" xr:uid="{00000000-0005-0000-0000-000096010000}"/>
    <cellStyle name="20% - Accent6 3 2" xfId="675" xr:uid="{00000000-0005-0000-0000-000097010000}"/>
    <cellStyle name="20% - Accent6 3 2 2" xfId="676" xr:uid="{00000000-0005-0000-0000-000098010000}"/>
    <cellStyle name="20% - Accent6 3 2 3" xfId="677" xr:uid="{00000000-0005-0000-0000-000099010000}"/>
    <cellStyle name="20% - Accent6 3 2 3 2" xfId="678" xr:uid="{00000000-0005-0000-0000-00009A010000}"/>
    <cellStyle name="20% - Accent6 3 3" xfId="679" xr:uid="{00000000-0005-0000-0000-00009B010000}"/>
    <cellStyle name="20% - Accent6 3 3 2" xfId="680" xr:uid="{00000000-0005-0000-0000-00009C010000}"/>
    <cellStyle name="20% - Accent6 3 3 2 2" xfId="681" xr:uid="{00000000-0005-0000-0000-00009D010000}"/>
    <cellStyle name="20% - Accent6 3 4" xfId="682" xr:uid="{00000000-0005-0000-0000-00009E010000}"/>
    <cellStyle name="20% - Accent6 3 5" xfId="683" xr:uid="{00000000-0005-0000-0000-00009F010000}"/>
    <cellStyle name="20% - Accent6 3 5 2" xfId="684" xr:uid="{00000000-0005-0000-0000-0000A0010000}"/>
    <cellStyle name="20% - Accent6 4" xfId="685" xr:uid="{00000000-0005-0000-0000-0000A1010000}"/>
    <cellStyle name="20% - Accent6 4 2" xfId="686" xr:uid="{00000000-0005-0000-0000-0000A2010000}"/>
    <cellStyle name="20% - Accent6 4 3" xfId="687" xr:uid="{00000000-0005-0000-0000-0000A3010000}"/>
    <cellStyle name="20% - Accent6 4 3 2" xfId="688" xr:uid="{00000000-0005-0000-0000-0000A4010000}"/>
    <cellStyle name="20% - Accent6 5" xfId="689" xr:uid="{00000000-0005-0000-0000-0000A5010000}"/>
    <cellStyle name="20% - Accent6 5 2" xfId="690" xr:uid="{00000000-0005-0000-0000-0000A6010000}"/>
    <cellStyle name="20% - Accent6 5 3" xfId="691" xr:uid="{00000000-0005-0000-0000-0000A7010000}"/>
    <cellStyle name="20% - Accent6 5 3 2" xfId="692" xr:uid="{00000000-0005-0000-0000-0000A8010000}"/>
    <cellStyle name="20% - Accent6 6" xfId="693" xr:uid="{00000000-0005-0000-0000-0000A9010000}"/>
    <cellStyle name="20% - Accent6 6 2" xfId="694" xr:uid="{00000000-0005-0000-0000-0000AA010000}"/>
    <cellStyle name="20% - Accent6 6 3" xfId="695" xr:uid="{00000000-0005-0000-0000-0000AB010000}"/>
    <cellStyle name="20% - Accent6 6 3 2" xfId="696" xr:uid="{00000000-0005-0000-0000-0000AC010000}"/>
    <cellStyle name="20% - Accent6 7" xfId="697" xr:uid="{00000000-0005-0000-0000-0000AD010000}"/>
    <cellStyle name="20% - Accent6 7 2" xfId="698" xr:uid="{00000000-0005-0000-0000-0000AE010000}"/>
    <cellStyle name="20% - Accent6 7 2 2" xfId="699" xr:uid="{00000000-0005-0000-0000-0000AF010000}"/>
    <cellStyle name="20% - Accent6 8" xfId="700" xr:uid="{00000000-0005-0000-0000-0000B0010000}"/>
    <cellStyle name="20% - Accent6 8 2" xfId="701" xr:uid="{00000000-0005-0000-0000-0000B1010000}"/>
    <cellStyle name="20% - Accent6 8 2 2" xfId="702" xr:uid="{00000000-0005-0000-0000-0000B2010000}"/>
    <cellStyle name="20% - Accent6 9" xfId="703" xr:uid="{00000000-0005-0000-0000-0000B3010000}"/>
    <cellStyle name="20% - Accent6 9 2" xfId="704" xr:uid="{00000000-0005-0000-0000-0000B4010000}"/>
    <cellStyle name="20% - Accent6 9 2 2" xfId="705" xr:uid="{00000000-0005-0000-0000-0000B5010000}"/>
    <cellStyle name="40% - Accent1 10" xfId="706" xr:uid="{00000000-0005-0000-0000-0000B6010000}"/>
    <cellStyle name="40% - Accent1 10 2" xfId="707" xr:uid="{00000000-0005-0000-0000-0000B7010000}"/>
    <cellStyle name="40% - Accent1 10 2 2" xfId="708" xr:uid="{00000000-0005-0000-0000-0000B8010000}"/>
    <cellStyle name="40% - Accent1 11" xfId="709" xr:uid="{00000000-0005-0000-0000-0000B9010000}"/>
    <cellStyle name="40% - Accent1 11 2" xfId="710" xr:uid="{00000000-0005-0000-0000-0000BA010000}"/>
    <cellStyle name="40% - Accent1 11 2 2" xfId="711" xr:uid="{00000000-0005-0000-0000-0000BB010000}"/>
    <cellStyle name="40% - Accent1 12" xfId="712" xr:uid="{00000000-0005-0000-0000-0000BC010000}"/>
    <cellStyle name="40% - Accent1 12 2" xfId="713" xr:uid="{00000000-0005-0000-0000-0000BD010000}"/>
    <cellStyle name="40% - Accent1 12 2 2" xfId="714" xr:uid="{00000000-0005-0000-0000-0000BE010000}"/>
    <cellStyle name="40% - Accent1 13" xfId="715" xr:uid="{00000000-0005-0000-0000-0000BF010000}"/>
    <cellStyle name="40% - Accent1 13 2" xfId="716" xr:uid="{00000000-0005-0000-0000-0000C0010000}"/>
    <cellStyle name="40% - Accent1 13 2 2" xfId="717" xr:uid="{00000000-0005-0000-0000-0000C1010000}"/>
    <cellStyle name="40% - Accent1 14" xfId="718" xr:uid="{00000000-0005-0000-0000-0000C2010000}"/>
    <cellStyle name="40% - Accent1 14 2" xfId="719" xr:uid="{00000000-0005-0000-0000-0000C3010000}"/>
    <cellStyle name="40% - Accent1 14 2 2" xfId="720" xr:uid="{00000000-0005-0000-0000-0000C4010000}"/>
    <cellStyle name="40% - Accent1 15" xfId="721" xr:uid="{00000000-0005-0000-0000-0000C5010000}"/>
    <cellStyle name="40% - Accent1 15 2" xfId="722" xr:uid="{00000000-0005-0000-0000-0000C6010000}"/>
    <cellStyle name="40% - Accent1 15 2 2" xfId="723" xr:uid="{00000000-0005-0000-0000-0000C7010000}"/>
    <cellStyle name="40% - Accent1 16" xfId="724" xr:uid="{00000000-0005-0000-0000-0000C8010000}"/>
    <cellStyle name="40% - Accent1 16 2" xfId="725" xr:uid="{00000000-0005-0000-0000-0000C9010000}"/>
    <cellStyle name="40% - Accent1 16 2 2" xfId="726" xr:uid="{00000000-0005-0000-0000-0000CA010000}"/>
    <cellStyle name="40% - Accent1 17" xfId="727" xr:uid="{00000000-0005-0000-0000-0000CB010000}"/>
    <cellStyle name="40% - Accent1 17 2" xfId="728" xr:uid="{00000000-0005-0000-0000-0000CC010000}"/>
    <cellStyle name="40% - Accent1 17 2 2" xfId="729" xr:uid="{00000000-0005-0000-0000-0000CD010000}"/>
    <cellStyle name="40% - Accent1 18" xfId="730" xr:uid="{00000000-0005-0000-0000-0000CE010000}"/>
    <cellStyle name="40% - Accent1 18 2" xfId="731" xr:uid="{00000000-0005-0000-0000-0000CF010000}"/>
    <cellStyle name="40% - Accent1 18 2 2" xfId="732" xr:uid="{00000000-0005-0000-0000-0000D0010000}"/>
    <cellStyle name="40% - Accent1 19" xfId="733" xr:uid="{00000000-0005-0000-0000-0000D1010000}"/>
    <cellStyle name="40% - Accent1 19 2" xfId="734" xr:uid="{00000000-0005-0000-0000-0000D2010000}"/>
    <cellStyle name="40% - Accent1 19 2 2" xfId="735" xr:uid="{00000000-0005-0000-0000-0000D3010000}"/>
    <cellStyle name="40% - Accent1 2" xfId="69" xr:uid="{00000000-0005-0000-0000-0000D4010000}"/>
    <cellStyle name="40% - Accent1 2 2" xfId="70" xr:uid="{00000000-0005-0000-0000-0000D5010000}"/>
    <cellStyle name="40% - Accent1 2 2 2" xfId="736" xr:uid="{00000000-0005-0000-0000-0000D6010000}"/>
    <cellStyle name="40% - Accent1 2 2 2 2" xfId="737" xr:uid="{00000000-0005-0000-0000-0000D7010000}"/>
    <cellStyle name="40% - Accent1 20" xfId="738" xr:uid="{00000000-0005-0000-0000-0000D8010000}"/>
    <cellStyle name="40% - Accent1 20 2" xfId="739" xr:uid="{00000000-0005-0000-0000-0000D9010000}"/>
    <cellStyle name="40% - Accent1 20 2 2" xfId="740" xr:uid="{00000000-0005-0000-0000-0000DA010000}"/>
    <cellStyle name="40% - Accent1 21" xfId="741" xr:uid="{00000000-0005-0000-0000-0000DB010000}"/>
    <cellStyle name="40% - Accent1 21 2" xfId="742" xr:uid="{00000000-0005-0000-0000-0000DC010000}"/>
    <cellStyle name="40% - Accent1 21 2 2" xfId="743" xr:uid="{00000000-0005-0000-0000-0000DD010000}"/>
    <cellStyle name="40% - Accent1 22" xfId="744" xr:uid="{00000000-0005-0000-0000-0000DE010000}"/>
    <cellStyle name="40% - Accent1 3" xfId="71" xr:uid="{00000000-0005-0000-0000-0000DF010000}"/>
    <cellStyle name="40% - Accent1 3 2" xfId="745" xr:uid="{00000000-0005-0000-0000-0000E0010000}"/>
    <cellStyle name="40% - Accent1 3 2 2" xfId="746" xr:uid="{00000000-0005-0000-0000-0000E1010000}"/>
    <cellStyle name="40% - Accent1 3 2 3" xfId="747" xr:uid="{00000000-0005-0000-0000-0000E2010000}"/>
    <cellStyle name="40% - Accent1 3 2 3 2" xfId="748" xr:uid="{00000000-0005-0000-0000-0000E3010000}"/>
    <cellStyle name="40% - Accent1 3 3" xfId="749" xr:uid="{00000000-0005-0000-0000-0000E4010000}"/>
    <cellStyle name="40% - Accent1 3 3 2" xfId="750" xr:uid="{00000000-0005-0000-0000-0000E5010000}"/>
    <cellStyle name="40% - Accent1 3 3 2 2" xfId="751" xr:uid="{00000000-0005-0000-0000-0000E6010000}"/>
    <cellStyle name="40% - Accent1 3 4" xfId="752" xr:uid="{00000000-0005-0000-0000-0000E7010000}"/>
    <cellStyle name="40% - Accent1 3 5" xfId="753" xr:uid="{00000000-0005-0000-0000-0000E8010000}"/>
    <cellStyle name="40% - Accent1 3 5 2" xfId="754" xr:uid="{00000000-0005-0000-0000-0000E9010000}"/>
    <cellStyle name="40% - Accent1 4" xfId="755" xr:uid="{00000000-0005-0000-0000-0000EA010000}"/>
    <cellStyle name="40% - Accent1 4 2" xfId="756" xr:uid="{00000000-0005-0000-0000-0000EB010000}"/>
    <cellStyle name="40% - Accent1 4 3" xfId="757" xr:uid="{00000000-0005-0000-0000-0000EC010000}"/>
    <cellStyle name="40% - Accent1 4 3 2" xfId="758" xr:uid="{00000000-0005-0000-0000-0000ED010000}"/>
    <cellStyle name="40% - Accent1 5" xfId="759" xr:uid="{00000000-0005-0000-0000-0000EE010000}"/>
    <cellStyle name="40% - Accent1 5 2" xfId="760" xr:uid="{00000000-0005-0000-0000-0000EF010000}"/>
    <cellStyle name="40% - Accent1 5 3" xfId="761" xr:uid="{00000000-0005-0000-0000-0000F0010000}"/>
    <cellStyle name="40% - Accent1 5 3 2" xfId="762" xr:uid="{00000000-0005-0000-0000-0000F1010000}"/>
    <cellStyle name="40% - Accent1 6" xfId="763" xr:uid="{00000000-0005-0000-0000-0000F2010000}"/>
    <cellStyle name="40% - Accent1 6 2" xfId="764" xr:uid="{00000000-0005-0000-0000-0000F3010000}"/>
    <cellStyle name="40% - Accent1 6 3" xfId="765" xr:uid="{00000000-0005-0000-0000-0000F4010000}"/>
    <cellStyle name="40% - Accent1 6 3 2" xfId="766" xr:uid="{00000000-0005-0000-0000-0000F5010000}"/>
    <cellStyle name="40% - Accent1 7" xfId="767" xr:uid="{00000000-0005-0000-0000-0000F6010000}"/>
    <cellStyle name="40% - Accent1 7 2" xfId="768" xr:uid="{00000000-0005-0000-0000-0000F7010000}"/>
    <cellStyle name="40% - Accent1 7 2 2" xfId="769" xr:uid="{00000000-0005-0000-0000-0000F8010000}"/>
    <cellStyle name="40% - Accent1 8" xfId="770" xr:uid="{00000000-0005-0000-0000-0000F9010000}"/>
    <cellStyle name="40% - Accent1 8 2" xfId="771" xr:uid="{00000000-0005-0000-0000-0000FA010000}"/>
    <cellStyle name="40% - Accent1 8 2 2" xfId="772" xr:uid="{00000000-0005-0000-0000-0000FB010000}"/>
    <cellStyle name="40% - Accent1 9" xfId="773" xr:uid="{00000000-0005-0000-0000-0000FC010000}"/>
    <cellStyle name="40% - Accent1 9 2" xfId="774" xr:uid="{00000000-0005-0000-0000-0000FD010000}"/>
    <cellStyle name="40% - Accent1 9 2 2" xfId="775" xr:uid="{00000000-0005-0000-0000-0000FE010000}"/>
    <cellStyle name="40% - Accent2 10" xfId="776" xr:uid="{00000000-0005-0000-0000-0000FF010000}"/>
    <cellStyle name="40% - Accent2 10 2" xfId="777" xr:uid="{00000000-0005-0000-0000-000000020000}"/>
    <cellStyle name="40% - Accent2 10 2 2" xfId="778" xr:uid="{00000000-0005-0000-0000-000001020000}"/>
    <cellStyle name="40% - Accent2 11" xfId="779" xr:uid="{00000000-0005-0000-0000-000002020000}"/>
    <cellStyle name="40% - Accent2 11 2" xfId="780" xr:uid="{00000000-0005-0000-0000-000003020000}"/>
    <cellStyle name="40% - Accent2 11 2 2" xfId="781" xr:uid="{00000000-0005-0000-0000-000004020000}"/>
    <cellStyle name="40% - Accent2 12" xfId="782" xr:uid="{00000000-0005-0000-0000-000005020000}"/>
    <cellStyle name="40% - Accent2 12 2" xfId="783" xr:uid="{00000000-0005-0000-0000-000006020000}"/>
    <cellStyle name="40% - Accent2 12 2 2" xfId="784" xr:uid="{00000000-0005-0000-0000-000007020000}"/>
    <cellStyle name="40% - Accent2 13" xfId="785" xr:uid="{00000000-0005-0000-0000-000008020000}"/>
    <cellStyle name="40% - Accent2 13 2" xfId="786" xr:uid="{00000000-0005-0000-0000-000009020000}"/>
    <cellStyle name="40% - Accent2 13 2 2" xfId="787" xr:uid="{00000000-0005-0000-0000-00000A020000}"/>
    <cellStyle name="40% - Accent2 14" xfId="788" xr:uid="{00000000-0005-0000-0000-00000B020000}"/>
    <cellStyle name="40% - Accent2 14 2" xfId="789" xr:uid="{00000000-0005-0000-0000-00000C020000}"/>
    <cellStyle name="40% - Accent2 14 2 2" xfId="790" xr:uid="{00000000-0005-0000-0000-00000D020000}"/>
    <cellStyle name="40% - Accent2 15" xfId="791" xr:uid="{00000000-0005-0000-0000-00000E020000}"/>
    <cellStyle name="40% - Accent2 15 2" xfId="792" xr:uid="{00000000-0005-0000-0000-00000F020000}"/>
    <cellStyle name="40% - Accent2 15 2 2" xfId="793" xr:uid="{00000000-0005-0000-0000-000010020000}"/>
    <cellStyle name="40% - Accent2 16" xfId="794" xr:uid="{00000000-0005-0000-0000-000011020000}"/>
    <cellStyle name="40% - Accent2 16 2" xfId="795" xr:uid="{00000000-0005-0000-0000-000012020000}"/>
    <cellStyle name="40% - Accent2 16 2 2" xfId="796" xr:uid="{00000000-0005-0000-0000-000013020000}"/>
    <cellStyle name="40% - Accent2 17" xfId="797" xr:uid="{00000000-0005-0000-0000-000014020000}"/>
    <cellStyle name="40% - Accent2 17 2" xfId="798" xr:uid="{00000000-0005-0000-0000-000015020000}"/>
    <cellStyle name="40% - Accent2 17 2 2" xfId="799" xr:uid="{00000000-0005-0000-0000-000016020000}"/>
    <cellStyle name="40% - Accent2 18" xfId="800" xr:uid="{00000000-0005-0000-0000-000017020000}"/>
    <cellStyle name="40% - Accent2 18 2" xfId="801" xr:uid="{00000000-0005-0000-0000-000018020000}"/>
    <cellStyle name="40% - Accent2 18 2 2" xfId="802" xr:uid="{00000000-0005-0000-0000-000019020000}"/>
    <cellStyle name="40% - Accent2 19" xfId="803" xr:uid="{00000000-0005-0000-0000-00001A020000}"/>
    <cellStyle name="40% - Accent2 19 2" xfId="804" xr:uid="{00000000-0005-0000-0000-00001B020000}"/>
    <cellStyle name="40% - Accent2 19 2 2" xfId="805" xr:uid="{00000000-0005-0000-0000-00001C020000}"/>
    <cellStyle name="40% - Accent2 2" xfId="72" xr:uid="{00000000-0005-0000-0000-00001D020000}"/>
    <cellStyle name="40% - Accent2 2 2" xfId="73" xr:uid="{00000000-0005-0000-0000-00001E020000}"/>
    <cellStyle name="40% - Accent2 2 2 2" xfId="806" xr:uid="{00000000-0005-0000-0000-00001F020000}"/>
    <cellStyle name="40% - Accent2 2 2 2 2" xfId="807" xr:uid="{00000000-0005-0000-0000-000020020000}"/>
    <cellStyle name="40% - Accent2 20" xfId="808" xr:uid="{00000000-0005-0000-0000-000021020000}"/>
    <cellStyle name="40% - Accent2 20 2" xfId="809" xr:uid="{00000000-0005-0000-0000-000022020000}"/>
    <cellStyle name="40% - Accent2 20 2 2" xfId="810" xr:uid="{00000000-0005-0000-0000-000023020000}"/>
    <cellStyle name="40% - Accent2 21" xfId="811" xr:uid="{00000000-0005-0000-0000-000024020000}"/>
    <cellStyle name="40% - Accent2 21 2" xfId="812" xr:uid="{00000000-0005-0000-0000-000025020000}"/>
    <cellStyle name="40% - Accent2 21 2 2" xfId="813" xr:uid="{00000000-0005-0000-0000-000026020000}"/>
    <cellStyle name="40% - Accent2 22" xfId="814" xr:uid="{00000000-0005-0000-0000-000027020000}"/>
    <cellStyle name="40% - Accent2 3" xfId="74" xr:uid="{00000000-0005-0000-0000-000028020000}"/>
    <cellStyle name="40% - Accent2 3 2" xfId="815" xr:uid="{00000000-0005-0000-0000-000029020000}"/>
    <cellStyle name="40% - Accent2 3 2 2" xfId="816" xr:uid="{00000000-0005-0000-0000-00002A020000}"/>
    <cellStyle name="40% - Accent2 3 2 3" xfId="817" xr:uid="{00000000-0005-0000-0000-00002B020000}"/>
    <cellStyle name="40% - Accent2 3 2 3 2" xfId="818" xr:uid="{00000000-0005-0000-0000-00002C020000}"/>
    <cellStyle name="40% - Accent2 3 3" xfId="819" xr:uid="{00000000-0005-0000-0000-00002D020000}"/>
    <cellStyle name="40% - Accent2 3 3 2" xfId="820" xr:uid="{00000000-0005-0000-0000-00002E020000}"/>
    <cellStyle name="40% - Accent2 3 3 2 2" xfId="821" xr:uid="{00000000-0005-0000-0000-00002F020000}"/>
    <cellStyle name="40% - Accent2 3 4" xfId="822" xr:uid="{00000000-0005-0000-0000-000030020000}"/>
    <cellStyle name="40% - Accent2 3 5" xfId="823" xr:uid="{00000000-0005-0000-0000-000031020000}"/>
    <cellStyle name="40% - Accent2 3 5 2" xfId="824" xr:uid="{00000000-0005-0000-0000-000032020000}"/>
    <cellStyle name="40% - Accent2 4" xfId="825" xr:uid="{00000000-0005-0000-0000-000033020000}"/>
    <cellStyle name="40% - Accent2 4 2" xfId="826" xr:uid="{00000000-0005-0000-0000-000034020000}"/>
    <cellStyle name="40% - Accent2 4 3" xfId="827" xr:uid="{00000000-0005-0000-0000-000035020000}"/>
    <cellStyle name="40% - Accent2 4 3 2" xfId="828" xr:uid="{00000000-0005-0000-0000-000036020000}"/>
    <cellStyle name="40% - Accent2 5" xfId="829" xr:uid="{00000000-0005-0000-0000-000037020000}"/>
    <cellStyle name="40% - Accent2 5 2" xfId="830" xr:uid="{00000000-0005-0000-0000-000038020000}"/>
    <cellStyle name="40% - Accent2 5 3" xfId="831" xr:uid="{00000000-0005-0000-0000-000039020000}"/>
    <cellStyle name="40% - Accent2 5 3 2" xfId="832" xr:uid="{00000000-0005-0000-0000-00003A020000}"/>
    <cellStyle name="40% - Accent2 6" xfId="833" xr:uid="{00000000-0005-0000-0000-00003B020000}"/>
    <cellStyle name="40% - Accent2 6 2" xfId="834" xr:uid="{00000000-0005-0000-0000-00003C020000}"/>
    <cellStyle name="40% - Accent2 6 3" xfId="835" xr:uid="{00000000-0005-0000-0000-00003D020000}"/>
    <cellStyle name="40% - Accent2 6 3 2" xfId="836" xr:uid="{00000000-0005-0000-0000-00003E020000}"/>
    <cellStyle name="40% - Accent2 7" xfId="837" xr:uid="{00000000-0005-0000-0000-00003F020000}"/>
    <cellStyle name="40% - Accent2 7 2" xfId="838" xr:uid="{00000000-0005-0000-0000-000040020000}"/>
    <cellStyle name="40% - Accent2 7 2 2" xfId="839" xr:uid="{00000000-0005-0000-0000-000041020000}"/>
    <cellStyle name="40% - Accent2 8" xfId="840" xr:uid="{00000000-0005-0000-0000-000042020000}"/>
    <cellStyle name="40% - Accent2 8 2" xfId="841" xr:uid="{00000000-0005-0000-0000-000043020000}"/>
    <cellStyle name="40% - Accent2 8 2 2" xfId="842" xr:uid="{00000000-0005-0000-0000-000044020000}"/>
    <cellStyle name="40% - Accent2 9" xfId="843" xr:uid="{00000000-0005-0000-0000-000045020000}"/>
    <cellStyle name="40% - Accent2 9 2" xfId="844" xr:uid="{00000000-0005-0000-0000-000046020000}"/>
    <cellStyle name="40% - Accent2 9 2 2" xfId="845" xr:uid="{00000000-0005-0000-0000-000047020000}"/>
    <cellStyle name="40% - Accent3 10" xfId="846" xr:uid="{00000000-0005-0000-0000-000048020000}"/>
    <cellStyle name="40% - Accent3 10 2" xfId="847" xr:uid="{00000000-0005-0000-0000-000049020000}"/>
    <cellStyle name="40% - Accent3 10 2 2" xfId="848" xr:uid="{00000000-0005-0000-0000-00004A020000}"/>
    <cellStyle name="40% - Accent3 11" xfId="849" xr:uid="{00000000-0005-0000-0000-00004B020000}"/>
    <cellStyle name="40% - Accent3 11 2" xfId="850" xr:uid="{00000000-0005-0000-0000-00004C020000}"/>
    <cellStyle name="40% - Accent3 11 2 2" xfId="851" xr:uid="{00000000-0005-0000-0000-00004D020000}"/>
    <cellStyle name="40% - Accent3 12" xfId="852" xr:uid="{00000000-0005-0000-0000-00004E020000}"/>
    <cellStyle name="40% - Accent3 12 2" xfId="853" xr:uid="{00000000-0005-0000-0000-00004F020000}"/>
    <cellStyle name="40% - Accent3 12 2 2" xfId="854" xr:uid="{00000000-0005-0000-0000-000050020000}"/>
    <cellStyle name="40% - Accent3 13" xfId="855" xr:uid="{00000000-0005-0000-0000-000051020000}"/>
    <cellStyle name="40% - Accent3 13 2" xfId="856" xr:uid="{00000000-0005-0000-0000-000052020000}"/>
    <cellStyle name="40% - Accent3 13 2 2" xfId="857" xr:uid="{00000000-0005-0000-0000-000053020000}"/>
    <cellStyle name="40% - Accent3 14" xfId="858" xr:uid="{00000000-0005-0000-0000-000054020000}"/>
    <cellStyle name="40% - Accent3 14 2" xfId="859" xr:uid="{00000000-0005-0000-0000-000055020000}"/>
    <cellStyle name="40% - Accent3 14 2 2" xfId="860" xr:uid="{00000000-0005-0000-0000-000056020000}"/>
    <cellStyle name="40% - Accent3 15" xfId="861" xr:uid="{00000000-0005-0000-0000-000057020000}"/>
    <cellStyle name="40% - Accent3 15 2" xfId="862" xr:uid="{00000000-0005-0000-0000-000058020000}"/>
    <cellStyle name="40% - Accent3 15 2 2" xfId="863" xr:uid="{00000000-0005-0000-0000-000059020000}"/>
    <cellStyle name="40% - Accent3 16" xfId="864" xr:uid="{00000000-0005-0000-0000-00005A020000}"/>
    <cellStyle name="40% - Accent3 16 2" xfId="865" xr:uid="{00000000-0005-0000-0000-00005B020000}"/>
    <cellStyle name="40% - Accent3 16 2 2" xfId="866" xr:uid="{00000000-0005-0000-0000-00005C020000}"/>
    <cellStyle name="40% - Accent3 17" xfId="867" xr:uid="{00000000-0005-0000-0000-00005D020000}"/>
    <cellStyle name="40% - Accent3 17 2" xfId="868" xr:uid="{00000000-0005-0000-0000-00005E020000}"/>
    <cellStyle name="40% - Accent3 17 2 2" xfId="869" xr:uid="{00000000-0005-0000-0000-00005F020000}"/>
    <cellStyle name="40% - Accent3 18" xfId="870" xr:uid="{00000000-0005-0000-0000-000060020000}"/>
    <cellStyle name="40% - Accent3 18 2" xfId="871" xr:uid="{00000000-0005-0000-0000-000061020000}"/>
    <cellStyle name="40% - Accent3 18 2 2" xfId="872" xr:uid="{00000000-0005-0000-0000-000062020000}"/>
    <cellStyle name="40% - Accent3 19" xfId="873" xr:uid="{00000000-0005-0000-0000-000063020000}"/>
    <cellStyle name="40% - Accent3 19 2" xfId="874" xr:uid="{00000000-0005-0000-0000-000064020000}"/>
    <cellStyle name="40% - Accent3 19 2 2" xfId="875" xr:uid="{00000000-0005-0000-0000-000065020000}"/>
    <cellStyle name="40% - Accent3 2" xfId="75" xr:uid="{00000000-0005-0000-0000-000066020000}"/>
    <cellStyle name="40% - Accent3 2 2" xfId="76" xr:uid="{00000000-0005-0000-0000-000067020000}"/>
    <cellStyle name="40% - Accent3 2 2 2" xfId="876" xr:uid="{00000000-0005-0000-0000-000068020000}"/>
    <cellStyle name="40% - Accent3 2 2 2 2" xfId="877" xr:uid="{00000000-0005-0000-0000-000069020000}"/>
    <cellStyle name="40% - Accent3 20" xfId="878" xr:uid="{00000000-0005-0000-0000-00006A020000}"/>
    <cellStyle name="40% - Accent3 20 2" xfId="879" xr:uid="{00000000-0005-0000-0000-00006B020000}"/>
    <cellStyle name="40% - Accent3 20 2 2" xfId="880" xr:uid="{00000000-0005-0000-0000-00006C020000}"/>
    <cellStyle name="40% - Accent3 21" xfId="881" xr:uid="{00000000-0005-0000-0000-00006D020000}"/>
    <cellStyle name="40% - Accent3 21 2" xfId="882" xr:uid="{00000000-0005-0000-0000-00006E020000}"/>
    <cellStyle name="40% - Accent3 21 2 2" xfId="883" xr:uid="{00000000-0005-0000-0000-00006F020000}"/>
    <cellStyle name="40% - Accent3 22" xfId="884" xr:uid="{00000000-0005-0000-0000-000070020000}"/>
    <cellStyle name="40% - Accent3 3" xfId="77" xr:uid="{00000000-0005-0000-0000-000071020000}"/>
    <cellStyle name="40% - Accent3 3 2" xfId="885" xr:uid="{00000000-0005-0000-0000-000072020000}"/>
    <cellStyle name="40% - Accent3 3 2 2" xfId="886" xr:uid="{00000000-0005-0000-0000-000073020000}"/>
    <cellStyle name="40% - Accent3 3 2 3" xfId="887" xr:uid="{00000000-0005-0000-0000-000074020000}"/>
    <cellStyle name="40% - Accent3 3 2 3 2" xfId="888" xr:uid="{00000000-0005-0000-0000-000075020000}"/>
    <cellStyle name="40% - Accent3 3 3" xfId="889" xr:uid="{00000000-0005-0000-0000-000076020000}"/>
    <cellStyle name="40% - Accent3 3 3 2" xfId="890" xr:uid="{00000000-0005-0000-0000-000077020000}"/>
    <cellStyle name="40% - Accent3 3 3 2 2" xfId="891" xr:uid="{00000000-0005-0000-0000-000078020000}"/>
    <cellStyle name="40% - Accent3 3 4" xfId="892" xr:uid="{00000000-0005-0000-0000-000079020000}"/>
    <cellStyle name="40% - Accent3 3 5" xfId="893" xr:uid="{00000000-0005-0000-0000-00007A020000}"/>
    <cellStyle name="40% - Accent3 3 5 2" xfId="894" xr:uid="{00000000-0005-0000-0000-00007B020000}"/>
    <cellStyle name="40% - Accent3 4" xfId="895" xr:uid="{00000000-0005-0000-0000-00007C020000}"/>
    <cellStyle name="40% - Accent3 4 2" xfId="896" xr:uid="{00000000-0005-0000-0000-00007D020000}"/>
    <cellStyle name="40% - Accent3 4 3" xfId="897" xr:uid="{00000000-0005-0000-0000-00007E020000}"/>
    <cellStyle name="40% - Accent3 4 3 2" xfId="898" xr:uid="{00000000-0005-0000-0000-00007F020000}"/>
    <cellStyle name="40% - Accent3 5" xfId="899" xr:uid="{00000000-0005-0000-0000-000080020000}"/>
    <cellStyle name="40% - Accent3 5 2" xfId="900" xr:uid="{00000000-0005-0000-0000-000081020000}"/>
    <cellStyle name="40% - Accent3 5 3" xfId="901" xr:uid="{00000000-0005-0000-0000-000082020000}"/>
    <cellStyle name="40% - Accent3 5 3 2" xfId="902" xr:uid="{00000000-0005-0000-0000-000083020000}"/>
    <cellStyle name="40% - Accent3 6" xfId="903" xr:uid="{00000000-0005-0000-0000-000084020000}"/>
    <cellStyle name="40% - Accent3 6 2" xfId="904" xr:uid="{00000000-0005-0000-0000-000085020000}"/>
    <cellStyle name="40% - Accent3 6 3" xfId="905" xr:uid="{00000000-0005-0000-0000-000086020000}"/>
    <cellStyle name="40% - Accent3 6 3 2" xfId="906" xr:uid="{00000000-0005-0000-0000-000087020000}"/>
    <cellStyle name="40% - Accent3 7" xfId="907" xr:uid="{00000000-0005-0000-0000-000088020000}"/>
    <cellStyle name="40% - Accent3 7 2" xfId="908" xr:uid="{00000000-0005-0000-0000-000089020000}"/>
    <cellStyle name="40% - Accent3 7 2 2" xfId="909" xr:uid="{00000000-0005-0000-0000-00008A020000}"/>
    <cellStyle name="40% - Accent3 8" xfId="910" xr:uid="{00000000-0005-0000-0000-00008B020000}"/>
    <cellStyle name="40% - Accent3 8 2" xfId="911" xr:uid="{00000000-0005-0000-0000-00008C020000}"/>
    <cellStyle name="40% - Accent3 8 2 2" xfId="912" xr:uid="{00000000-0005-0000-0000-00008D020000}"/>
    <cellStyle name="40% - Accent3 9" xfId="913" xr:uid="{00000000-0005-0000-0000-00008E020000}"/>
    <cellStyle name="40% - Accent3 9 2" xfId="914" xr:uid="{00000000-0005-0000-0000-00008F020000}"/>
    <cellStyle name="40% - Accent3 9 2 2" xfId="915" xr:uid="{00000000-0005-0000-0000-000090020000}"/>
    <cellStyle name="40% - Accent4 10" xfId="916" xr:uid="{00000000-0005-0000-0000-000091020000}"/>
    <cellStyle name="40% - Accent4 10 2" xfId="917" xr:uid="{00000000-0005-0000-0000-000092020000}"/>
    <cellStyle name="40% - Accent4 10 2 2" xfId="918" xr:uid="{00000000-0005-0000-0000-000093020000}"/>
    <cellStyle name="40% - Accent4 11" xfId="919" xr:uid="{00000000-0005-0000-0000-000094020000}"/>
    <cellStyle name="40% - Accent4 11 2" xfId="920" xr:uid="{00000000-0005-0000-0000-000095020000}"/>
    <cellStyle name="40% - Accent4 11 2 2" xfId="921" xr:uid="{00000000-0005-0000-0000-000096020000}"/>
    <cellStyle name="40% - Accent4 12" xfId="922" xr:uid="{00000000-0005-0000-0000-000097020000}"/>
    <cellStyle name="40% - Accent4 12 2" xfId="923" xr:uid="{00000000-0005-0000-0000-000098020000}"/>
    <cellStyle name="40% - Accent4 12 2 2" xfId="924" xr:uid="{00000000-0005-0000-0000-000099020000}"/>
    <cellStyle name="40% - Accent4 13" xfId="925" xr:uid="{00000000-0005-0000-0000-00009A020000}"/>
    <cellStyle name="40% - Accent4 13 2" xfId="926" xr:uid="{00000000-0005-0000-0000-00009B020000}"/>
    <cellStyle name="40% - Accent4 13 2 2" xfId="927" xr:uid="{00000000-0005-0000-0000-00009C020000}"/>
    <cellStyle name="40% - Accent4 14" xfId="928" xr:uid="{00000000-0005-0000-0000-00009D020000}"/>
    <cellStyle name="40% - Accent4 14 2" xfId="929" xr:uid="{00000000-0005-0000-0000-00009E020000}"/>
    <cellStyle name="40% - Accent4 14 2 2" xfId="930" xr:uid="{00000000-0005-0000-0000-00009F020000}"/>
    <cellStyle name="40% - Accent4 15" xfId="931" xr:uid="{00000000-0005-0000-0000-0000A0020000}"/>
    <cellStyle name="40% - Accent4 15 2" xfId="932" xr:uid="{00000000-0005-0000-0000-0000A1020000}"/>
    <cellStyle name="40% - Accent4 15 2 2" xfId="933" xr:uid="{00000000-0005-0000-0000-0000A2020000}"/>
    <cellStyle name="40% - Accent4 16" xfId="934" xr:uid="{00000000-0005-0000-0000-0000A3020000}"/>
    <cellStyle name="40% - Accent4 16 2" xfId="935" xr:uid="{00000000-0005-0000-0000-0000A4020000}"/>
    <cellStyle name="40% - Accent4 16 2 2" xfId="936" xr:uid="{00000000-0005-0000-0000-0000A5020000}"/>
    <cellStyle name="40% - Accent4 17" xfId="937" xr:uid="{00000000-0005-0000-0000-0000A6020000}"/>
    <cellStyle name="40% - Accent4 17 2" xfId="938" xr:uid="{00000000-0005-0000-0000-0000A7020000}"/>
    <cellStyle name="40% - Accent4 17 2 2" xfId="939" xr:uid="{00000000-0005-0000-0000-0000A8020000}"/>
    <cellStyle name="40% - Accent4 18" xfId="940" xr:uid="{00000000-0005-0000-0000-0000A9020000}"/>
    <cellStyle name="40% - Accent4 18 2" xfId="941" xr:uid="{00000000-0005-0000-0000-0000AA020000}"/>
    <cellStyle name="40% - Accent4 18 2 2" xfId="942" xr:uid="{00000000-0005-0000-0000-0000AB020000}"/>
    <cellStyle name="40% - Accent4 19" xfId="943" xr:uid="{00000000-0005-0000-0000-0000AC020000}"/>
    <cellStyle name="40% - Accent4 19 2" xfId="944" xr:uid="{00000000-0005-0000-0000-0000AD020000}"/>
    <cellStyle name="40% - Accent4 19 2 2" xfId="945" xr:uid="{00000000-0005-0000-0000-0000AE020000}"/>
    <cellStyle name="40% - Accent4 2" xfId="78" xr:uid="{00000000-0005-0000-0000-0000AF020000}"/>
    <cellStyle name="40% - Accent4 2 2" xfId="79" xr:uid="{00000000-0005-0000-0000-0000B0020000}"/>
    <cellStyle name="40% - Accent4 2 2 2" xfId="946" xr:uid="{00000000-0005-0000-0000-0000B1020000}"/>
    <cellStyle name="40% - Accent4 2 2 2 2" xfId="947" xr:uid="{00000000-0005-0000-0000-0000B2020000}"/>
    <cellStyle name="40% - Accent4 20" xfId="948" xr:uid="{00000000-0005-0000-0000-0000B3020000}"/>
    <cellStyle name="40% - Accent4 20 2" xfId="949" xr:uid="{00000000-0005-0000-0000-0000B4020000}"/>
    <cellStyle name="40% - Accent4 20 2 2" xfId="950" xr:uid="{00000000-0005-0000-0000-0000B5020000}"/>
    <cellStyle name="40% - Accent4 21" xfId="951" xr:uid="{00000000-0005-0000-0000-0000B6020000}"/>
    <cellStyle name="40% - Accent4 21 2" xfId="952" xr:uid="{00000000-0005-0000-0000-0000B7020000}"/>
    <cellStyle name="40% - Accent4 21 2 2" xfId="953" xr:uid="{00000000-0005-0000-0000-0000B8020000}"/>
    <cellStyle name="40% - Accent4 22" xfId="954" xr:uid="{00000000-0005-0000-0000-0000B9020000}"/>
    <cellStyle name="40% - Accent4 3" xfId="80" xr:uid="{00000000-0005-0000-0000-0000BA020000}"/>
    <cellStyle name="40% - Accent4 3 2" xfId="955" xr:uid="{00000000-0005-0000-0000-0000BB020000}"/>
    <cellStyle name="40% - Accent4 3 2 2" xfId="956" xr:uid="{00000000-0005-0000-0000-0000BC020000}"/>
    <cellStyle name="40% - Accent4 3 2 3" xfId="957" xr:uid="{00000000-0005-0000-0000-0000BD020000}"/>
    <cellStyle name="40% - Accent4 3 2 3 2" xfId="958" xr:uid="{00000000-0005-0000-0000-0000BE020000}"/>
    <cellStyle name="40% - Accent4 3 3" xfId="959" xr:uid="{00000000-0005-0000-0000-0000BF020000}"/>
    <cellStyle name="40% - Accent4 3 3 2" xfId="960" xr:uid="{00000000-0005-0000-0000-0000C0020000}"/>
    <cellStyle name="40% - Accent4 3 3 2 2" xfId="961" xr:uid="{00000000-0005-0000-0000-0000C1020000}"/>
    <cellStyle name="40% - Accent4 3 4" xfId="962" xr:uid="{00000000-0005-0000-0000-0000C2020000}"/>
    <cellStyle name="40% - Accent4 3 5" xfId="963" xr:uid="{00000000-0005-0000-0000-0000C3020000}"/>
    <cellStyle name="40% - Accent4 3 5 2" xfId="964" xr:uid="{00000000-0005-0000-0000-0000C4020000}"/>
    <cellStyle name="40% - Accent4 4" xfId="965" xr:uid="{00000000-0005-0000-0000-0000C5020000}"/>
    <cellStyle name="40% - Accent4 4 2" xfId="966" xr:uid="{00000000-0005-0000-0000-0000C6020000}"/>
    <cellStyle name="40% - Accent4 4 3" xfId="967" xr:uid="{00000000-0005-0000-0000-0000C7020000}"/>
    <cellStyle name="40% - Accent4 4 3 2" xfId="968" xr:uid="{00000000-0005-0000-0000-0000C8020000}"/>
    <cellStyle name="40% - Accent4 5" xfId="969" xr:uid="{00000000-0005-0000-0000-0000C9020000}"/>
    <cellStyle name="40% - Accent4 5 2" xfId="970" xr:uid="{00000000-0005-0000-0000-0000CA020000}"/>
    <cellStyle name="40% - Accent4 5 3" xfId="971" xr:uid="{00000000-0005-0000-0000-0000CB020000}"/>
    <cellStyle name="40% - Accent4 5 3 2" xfId="972" xr:uid="{00000000-0005-0000-0000-0000CC020000}"/>
    <cellStyle name="40% - Accent4 6" xfId="973" xr:uid="{00000000-0005-0000-0000-0000CD020000}"/>
    <cellStyle name="40% - Accent4 6 2" xfId="974" xr:uid="{00000000-0005-0000-0000-0000CE020000}"/>
    <cellStyle name="40% - Accent4 6 3" xfId="975" xr:uid="{00000000-0005-0000-0000-0000CF020000}"/>
    <cellStyle name="40% - Accent4 6 3 2" xfId="976" xr:uid="{00000000-0005-0000-0000-0000D0020000}"/>
    <cellStyle name="40% - Accent4 7" xfId="977" xr:uid="{00000000-0005-0000-0000-0000D1020000}"/>
    <cellStyle name="40% - Accent4 7 2" xfId="978" xr:uid="{00000000-0005-0000-0000-0000D2020000}"/>
    <cellStyle name="40% - Accent4 7 2 2" xfId="979" xr:uid="{00000000-0005-0000-0000-0000D3020000}"/>
    <cellStyle name="40% - Accent4 8" xfId="980" xr:uid="{00000000-0005-0000-0000-0000D4020000}"/>
    <cellStyle name="40% - Accent4 8 2" xfId="981" xr:uid="{00000000-0005-0000-0000-0000D5020000}"/>
    <cellStyle name="40% - Accent4 8 2 2" xfId="982" xr:uid="{00000000-0005-0000-0000-0000D6020000}"/>
    <cellStyle name="40% - Accent4 9" xfId="983" xr:uid="{00000000-0005-0000-0000-0000D7020000}"/>
    <cellStyle name="40% - Accent4 9 2" xfId="984" xr:uid="{00000000-0005-0000-0000-0000D8020000}"/>
    <cellStyle name="40% - Accent4 9 2 2" xfId="985" xr:uid="{00000000-0005-0000-0000-0000D9020000}"/>
    <cellStyle name="40% - Accent5 10" xfId="986" xr:uid="{00000000-0005-0000-0000-0000DA020000}"/>
    <cellStyle name="40% - Accent5 10 2" xfId="987" xr:uid="{00000000-0005-0000-0000-0000DB020000}"/>
    <cellStyle name="40% - Accent5 10 2 2" xfId="988" xr:uid="{00000000-0005-0000-0000-0000DC020000}"/>
    <cellStyle name="40% - Accent5 11" xfId="989" xr:uid="{00000000-0005-0000-0000-0000DD020000}"/>
    <cellStyle name="40% - Accent5 11 2" xfId="990" xr:uid="{00000000-0005-0000-0000-0000DE020000}"/>
    <cellStyle name="40% - Accent5 11 2 2" xfId="991" xr:uid="{00000000-0005-0000-0000-0000DF020000}"/>
    <cellStyle name="40% - Accent5 12" xfId="992" xr:uid="{00000000-0005-0000-0000-0000E0020000}"/>
    <cellStyle name="40% - Accent5 12 2" xfId="993" xr:uid="{00000000-0005-0000-0000-0000E1020000}"/>
    <cellStyle name="40% - Accent5 12 2 2" xfId="994" xr:uid="{00000000-0005-0000-0000-0000E2020000}"/>
    <cellStyle name="40% - Accent5 13" xfId="995" xr:uid="{00000000-0005-0000-0000-0000E3020000}"/>
    <cellStyle name="40% - Accent5 13 2" xfId="996" xr:uid="{00000000-0005-0000-0000-0000E4020000}"/>
    <cellStyle name="40% - Accent5 13 2 2" xfId="997" xr:uid="{00000000-0005-0000-0000-0000E5020000}"/>
    <cellStyle name="40% - Accent5 14" xfId="998" xr:uid="{00000000-0005-0000-0000-0000E6020000}"/>
    <cellStyle name="40% - Accent5 14 2" xfId="999" xr:uid="{00000000-0005-0000-0000-0000E7020000}"/>
    <cellStyle name="40% - Accent5 14 2 2" xfId="1000" xr:uid="{00000000-0005-0000-0000-0000E8020000}"/>
    <cellStyle name="40% - Accent5 15" xfId="1001" xr:uid="{00000000-0005-0000-0000-0000E9020000}"/>
    <cellStyle name="40% - Accent5 15 2" xfId="1002" xr:uid="{00000000-0005-0000-0000-0000EA020000}"/>
    <cellStyle name="40% - Accent5 15 2 2" xfId="1003" xr:uid="{00000000-0005-0000-0000-0000EB020000}"/>
    <cellStyle name="40% - Accent5 16" xfId="1004" xr:uid="{00000000-0005-0000-0000-0000EC020000}"/>
    <cellStyle name="40% - Accent5 16 2" xfId="1005" xr:uid="{00000000-0005-0000-0000-0000ED020000}"/>
    <cellStyle name="40% - Accent5 16 2 2" xfId="1006" xr:uid="{00000000-0005-0000-0000-0000EE020000}"/>
    <cellStyle name="40% - Accent5 17" xfId="1007" xr:uid="{00000000-0005-0000-0000-0000EF020000}"/>
    <cellStyle name="40% - Accent5 17 2" xfId="1008" xr:uid="{00000000-0005-0000-0000-0000F0020000}"/>
    <cellStyle name="40% - Accent5 17 2 2" xfId="1009" xr:uid="{00000000-0005-0000-0000-0000F1020000}"/>
    <cellStyle name="40% - Accent5 18" xfId="1010" xr:uid="{00000000-0005-0000-0000-0000F2020000}"/>
    <cellStyle name="40% - Accent5 18 2" xfId="1011" xr:uid="{00000000-0005-0000-0000-0000F3020000}"/>
    <cellStyle name="40% - Accent5 18 2 2" xfId="1012" xr:uid="{00000000-0005-0000-0000-0000F4020000}"/>
    <cellStyle name="40% - Accent5 19" xfId="1013" xr:uid="{00000000-0005-0000-0000-0000F5020000}"/>
    <cellStyle name="40% - Accent5 19 2" xfId="1014" xr:uid="{00000000-0005-0000-0000-0000F6020000}"/>
    <cellStyle name="40% - Accent5 19 2 2" xfId="1015" xr:uid="{00000000-0005-0000-0000-0000F7020000}"/>
    <cellStyle name="40% - Accent5 2" xfId="81" xr:uid="{00000000-0005-0000-0000-0000F8020000}"/>
    <cellStyle name="40% - Accent5 2 2" xfId="82" xr:uid="{00000000-0005-0000-0000-0000F9020000}"/>
    <cellStyle name="40% - Accent5 2 2 2" xfId="1016" xr:uid="{00000000-0005-0000-0000-0000FA020000}"/>
    <cellStyle name="40% - Accent5 2 2 2 2" xfId="1017" xr:uid="{00000000-0005-0000-0000-0000FB020000}"/>
    <cellStyle name="40% - Accent5 20" xfId="1018" xr:uid="{00000000-0005-0000-0000-0000FC020000}"/>
    <cellStyle name="40% - Accent5 20 2" xfId="1019" xr:uid="{00000000-0005-0000-0000-0000FD020000}"/>
    <cellStyle name="40% - Accent5 20 2 2" xfId="1020" xr:uid="{00000000-0005-0000-0000-0000FE020000}"/>
    <cellStyle name="40% - Accent5 21" xfId="1021" xr:uid="{00000000-0005-0000-0000-0000FF020000}"/>
    <cellStyle name="40% - Accent5 21 2" xfId="1022" xr:uid="{00000000-0005-0000-0000-000000030000}"/>
    <cellStyle name="40% - Accent5 21 2 2" xfId="1023" xr:uid="{00000000-0005-0000-0000-000001030000}"/>
    <cellStyle name="40% - Accent5 22" xfId="1024" xr:uid="{00000000-0005-0000-0000-000002030000}"/>
    <cellStyle name="40% - Accent5 3" xfId="83" xr:uid="{00000000-0005-0000-0000-000003030000}"/>
    <cellStyle name="40% - Accent5 3 2" xfId="1025" xr:uid="{00000000-0005-0000-0000-000004030000}"/>
    <cellStyle name="40% - Accent5 3 2 2" xfId="1026" xr:uid="{00000000-0005-0000-0000-000005030000}"/>
    <cellStyle name="40% - Accent5 3 2 3" xfId="1027" xr:uid="{00000000-0005-0000-0000-000006030000}"/>
    <cellStyle name="40% - Accent5 3 2 3 2" xfId="1028" xr:uid="{00000000-0005-0000-0000-000007030000}"/>
    <cellStyle name="40% - Accent5 3 3" xfId="1029" xr:uid="{00000000-0005-0000-0000-000008030000}"/>
    <cellStyle name="40% - Accent5 3 3 2" xfId="1030" xr:uid="{00000000-0005-0000-0000-000009030000}"/>
    <cellStyle name="40% - Accent5 3 3 2 2" xfId="1031" xr:uid="{00000000-0005-0000-0000-00000A030000}"/>
    <cellStyle name="40% - Accent5 3 4" xfId="1032" xr:uid="{00000000-0005-0000-0000-00000B030000}"/>
    <cellStyle name="40% - Accent5 3 5" xfId="1033" xr:uid="{00000000-0005-0000-0000-00000C030000}"/>
    <cellStyle name="40% - Accent5 3 5 2" xfId="1034" xr:uid="{00000000-0005-0000-0000-00000D030000}"/>
    <cellStyle name="40% - Accent5 4" xfId="1035" xr:uid="{00000000-0005-0000-0000-00000E030000}"/>
    <cellStyle name="40% - Accent5 4 2" xfId="1036" xr:uid="{00000000-0005-0000-0000-00000F030000}"/>
    <cellStyle name="40% - Accent5 4 3" xfId="1037" xr:uid="{00000000-0005-0000-0000-000010030000}"/>
    <cellStyle name="40% - Accent5 4 3 2" xfId="1038" xr:uid="{00000000-0005-0000-0000-000011030000}"/>
    <cellStyle name="40% - Accent5 5" xfId="1039" xr:uid="{00000000-0005-0000-0000-000012030000}"/>
    <cellStyle name="40% - Accent5 5 2" xfId="1040" xr:uid="{00000000-0005-0000-0000-000013030000}"/>
    <cellStyle name="40% - Accent5 5 3" xfId="1041" xr:uid="{00000000-0005-0000-0000-000014030000}"/>
    <cellStyle name="40% - Accent5 5 3 2" xfId="1042" xr:uid="{00000000-0005-0000-0000-000015030000}"/>
    <cellStyle name="40% - Accent5 6" xfId="1043" xr:uid="{00000000-0005-0000-0000-000016030000}"/>
    <cellStyle name="40% - Accent5 6 2" xfId="1044" xr:uid="{00000000-0005-0000-0000-000017030000}"/>
    <cellStyle name="40% - Accent5 6 3" xfId="1045" xr:uid="{00000000-0005-0000-0000-000018030000}"/>
    <cellStyle name="40% - Accent5 6 3 2" xfId="1046" xr:uid="{00000000-0005-0000-0000-000019030000}"/>
    <cellStyle name="40% - Accent5 7" xfId="1047" xr:uid="{00000000-0005-0000-0000-00001A030000}"/>
    <cellStyle name="40% - Accent5 7 2" xfId="1048" xr:uid="{00000000-0005-0000-0000-00001B030000}"/>
    <cellStyle name="40% - Accent5 7 2 2" xfId="1049" xr:uid="{00000000-0005-0000-0000-00001C030000}"/>
    <cellStyle name="40% - Accent5 8" xfId="1050" xr:uid="{00000000-0005-0000-0000-00001D030000}"/>
    <cellStyle name="40% - Accent5 8 2" xfId="1051" xr:uid="{00000000-0005-0000-0000-00001E030000}"/>
    <cellStyle name="40% - Accent5 8 2 2" xfId="1052" xr:uid="{00000000-0005-0000-0000-00001F030000}"/>
    <cellStyle name="40% - Accent5 9" xfId="1053" xr:uid="{00000000-0005-0000-0000-000020030000}"/>
    <cellStyle name="40% - Accent5 9 2" xfId="1054" xr:uid="{00000000-0005-0000-0000-000021030000}"/>
    <cellStyle name="40% - Accent5 9 2 2" xfId="1055" xr:uid="{00000000-0005-0000-0000-000022030000}"/>
    <cellStyle name="40% - Accent6 10" xfId="1056" xr:uid="{00000000-0005-0000-0000-000023030000}"/>
    <cellStyle name="40% - Accent6 10 2" xfId="1057" xr:uid="{00000000-0005-0000-0000-000024030000}"/>
    <cellStyle name="40% - Accent6 10 2 2" xfId="1058" xr:uid="{00000000-0005-0000-0000-000025030000}"/>
    <cellStyle name="40% - Accent6 11" xfId="1059" xr:uid="{00000000-0005-0000-0000-000026030000}"/>
    <cellStyle name="40% - Accent6 11 2" xfId="1060" xr:uid="{00000000-0005-0000-0000-000027030000}"/>
    <cellStyle name="40% - Accent6 11 2 2" xfId="1061" xr:uid="{00000000-0005-0000-0000-000028030000}"/>
    <cellStyle name="40% - Accent6 12" xfId="1062" xr:uid="{00000000-0005-0000-0000-000029030000}"/>
    <cellStyle name="40% - Accent6 12 2" xfId="1063" xr:uid="{00000000-0005-0000-0000-00002A030000}"/>
    <cellStyle name="40% - Accent6 12 2 2" xfId="1064" xr:uid="{00000000-0005-0000-0000-00002B030000}"/>
    <cellStyle name="40% - Accent6 13" xfId="1065" xr:uid="{00000000-0005-0000-0000-00002C030000}"/>
    <cellStyle name="40% - Accent6 13 2" xfId="1066" xr:uid="{00000000-0005-0000-0000-00002D030000}"/>
    <cellStyle name="40% - Accent6 13 2 2" xfId="1067" xr:uid="{00000000-0005-0000-0000-00002E030000}"/>
    <cellStyle name="40% - Accent6 14" xfId="1068" xr:uid="{00000000-0005-0000-0000-00002F030000}"/>
    <cellStyle name="40% - Accent6 14 2" xfId="1069" xr:uid="{00000000-0005-0000-0000-000030030000}"/>
    <cellStyle name="40% - Accent6 14 2 2" xfId="1070" xr:uid="{00000000-0005-0000-0000-000031030000}"/>
    <cellStyle name="40% - Accent6 15" xfId="1071" xr:uid="{00000000-0005-0000-0000-000032030000}"/>
    <cellStyle name="40% - Accent6 15 2" xfId="1072" xr:uid="{00000000-0005-0000-0000-000033030000}"/>
    <cellStyle name="40% - Accent6 15 2 2" xfId="1073" xr:uid="{00000000-0005-0000-0000-000034030000}"/>
    <cellStyle name="40% - Accent6 16" xfId="1074" xr:uid="{00000000-0005-0000-0000-000035030000}"/>
    <cellStyle name="40% - Accent6 16 2" xfId="1075" xr:uid="{00000000-0005-0000-0000-000036030000}"/>
    <cellStyle name="40% - Accent6 16 2 2" xfId="1076" xr:uid="{00000000-0005-0000-0000-000037030000}"/>
    <cellStyle name="40% - Accent6 17" xfId="1077" xr:uid="{00000000-0005-0000-0000-000038030000}"/>
    <cellStyle name="40% - Accent6 17 2" xfId="1078" xr:uid="{00000000-0005-0000-0000-000039030000}"/>
    <cellStyle name="40% - Accent6 17 2 2" xfId="1079" xr:uid="{00000000-0005-0000-0000-00003A030000}"/>
    <cellStyle name="40% - Accent6 18" xfId="1080" xr:uid="{00000000-0005-0000-0000-00003B030000}"/>
    <cellStyle name="40% - Accent6 18 2" xfId="1081" xr:uid="{00000000-0005-0000-0000-00003C030000}"/>
    <cellStyle name="40% - Accent6 18 2 2" xfId="1082" xr:uid="{00000000-0005-0000-0000-00003D030000}"/>
    <cellStyle name="40% - Accent6 19" xfId="1083" xr:uid="{00000000-0005-0000-0000-00003E030000}"/>
    <cellStyle name="40% - Accent6 19 2" xfId="1084" xr:uid="{00000000-0005-0000-0000-00003F030000}"/>
    <cellStyle name="40% - Accent6 19 2 2" xfId="1085" xr:uid="{00000000-0005-0000-0000-000040030000}"/>
    <cellStyle name="40% - Accent6 2" xfId="84" xr:uid="{00000000-0005-0000-0000-000041030000}"/>
    <cellStyle name="40% - Accent6 2 2" xfId="85" xr:uid="{00000000-0005-0000-0000-000042030000}"/>
    <cellStyle name="40% - Accent6 2 2 2" xfId="1086" xr:uid="{00000000-0005-0000-0000-000043030000}"/>
    <cellStyle name="40% - Accent6 2 2 2 2" xfId="1087" xr:uid="{00000000-0005-0000-0000-000044030000}"/>
    <cellStyle name="40% - Accent6 20" xfId="1088" xr:uid="{00000000-0005-0000-0000-000045030000}"/>
    <cellStyle name="40% - Accent6 20 2" xfId="1089" xr:uid="{00000000-0005-0000-0000-000046030000}"/>
    <cellStyle name="40% - Accent6 20 2 2" xfId="1090" xr:uid="{00000000-0005-0000-0000-000047030000}"/>
    <cellStyle name="40% - Accent6 21" xfId="1091" xr:uid="{00000000-0005-0000-0000-000048030000}"/>
    <cellStyle name="40% - Accent6 21 2" xfId="1092" xr:uid="{00000000-0005-0000-0000-000049030000}"/>
    <cellStyle name="40% - Accent6 21 2 2" xfId="1093" xr:uid="{00000000-0005-0000-0000-00004A030000}"/>
    <cellStyle name="40% - Accent6 22" xfId="1094" xr:uid="{00000000-0005-0000-0000-00004B030000}"/>
    <cellStyle name="40% - Accent6 3" xfId="86" xr:uid="{00000000-0005-0000-0000-00004C030000}"/>
    <cellStyle name="40% - Accent6 3 2" xfId="1095" xr:uid="{00000000-0005-0000-0000-00004D030000}"/>
    <cellStyle name="40% - Accent6 3 2 2" xfId="1096" xr:uid="{00000000-0005-0000-0000-00004E030000}"/>
    <cellStyle name="40% - Accent6 3 2 3" xfId="1097" xr:uid="{00000000-0005-0000-0000-00004F030000}"/>
    <cellStyle name="40% - Accent6 3 2 3 2" xfId="1098" xr:uid="{00000000-0005-0000-0000-000050030000}"/>
    <cellStyle name="40% - Accent6 3 3" xfId="1099" xr:uid="{00000000-0005-0000-0000-000051030000}"/>
    <cellStyle name="40% - Accent6 3 3 2" xfId="1100" xr:uid="{00000000-0005-0000-0000-000052030000}"/>
    <cellStyle name="40% - Accent6 3 3 2 2" xfId="1101" xr:uid="{00000000-0005-0000-0000-000053030000}"/>
    <cellStyle name="40% - Accent6 3 4" xfId="1102" xr:uid="{00000000-0005-0000-0000-000054030000}"/>
    <cellStyle name="40% - Accent6 3 5" xfId="1103" xr:uid="{00000000-0005-0000-0000-000055030000}"/>
    <cellStyle name="40% - Accent6 3 5 2" xfId="1104" xr:uid="{00000000-0005-0000-0000-000056030000}"/>
    <cellStyle name="40% - Accent6 4" xfId="1105" xr:uid="{00000000-0005-0000-0000-000057030000}"/>
    <cellStyle name="40% - Accent6 4 2" xfId="1106" xr:uid="{00000000-0005-0000-0000-000058030000}"/>
    <cellStyle name="40% - Accent6 4 3" xfId="1107" xr:uid="{00000000-0005-0000-0000-000059030000}"/>
    <cellStyle name="40% - Accent6 4 3 2" xfId="1108" xr:uid="{00000000-0005-0000-0000-00005A030000}"/>
    <cellStyle name="40% - Accent6 5" xfId="1109" xr:uid="{00000000-0005-0000-0000-00005B030000}"/>
    <cellStyle name="40% - Accent6 5 2" xfId="1110" xr:uid="{00000000-0005-0000-0000-00005C030000}"/>
    <cellStyle name="40% - Accent6 5 3" xfId="1111" xr:uid="{00000000-0005-0000-0000-00005D030000}"/>
    <cellStyle name="40% - Accent6 5 3 2" xfId="1112" xr:uid="{00000000-0005-0000-0000-00005E030000}"/>
    <cellStyle name="40% - Accent6 6" xfId="1113" xr:uid="{00000000-0005-0000-0000-00005F030000}"/>
    <cellStyle name="40% - Accent6 6 2" xfId="1114" xr:uid="{00000000-0005-0000-0000-000060030000}"/>
    <cellStyle name="40% - Accent6 6 3" xfId="1115" xr:uid="{00000000-0005-0000-0000-000061030000}"/>
    <cellStyle name="40% - Accent6 6 3 2" xfId="1116" xr:uid="{00000000-0005-0000-0000-000062030000}"/>
    <cellStyle name="40% - Accent6 7" xfId="1117" xr:uid="{00000000-0005-0000-0000-000063030000}"/>
    <cellStyle name="40% - Accent6 7 2" xfId="1118" xr:uid="{00000000-0005-0000-0000-000064030000}"/>
    <cellStyle name="40% - Accent6 7 2 2" xfId="1119" xr:uid="{00000000-0005-0000-0000-000065030000}"/>
    <cellStyle name="40% - Accent6 8" xfId="1120" xr:uid="{00000000-0005-0000-0000-000066030000}"/>
    <cellStyle name="40% - Accent6 8 2" xfId="1121" xr:uid="{00000000-0005-0000-0000-000067030000}"/>
    <cellStyle name="40% - Accent6 8 2 2" xfId="1122" xr:uid="{00000000-0005-0000-0000-000068030000}"/>
    <cellStyle name="40% - Accent6 9" xfId="1123" xr:uid="{00000000-0005-0000-0000-000069030000}"/>
    <cellStyle name="40% - Accent6 9 2" xfId="1124" xr:uid="{00000000-0005-0000-0000-00006A030000}"/>
    <cellStyle name="40% - Accent6 9 2 2" xfId="1125" xr:uid="{00000000-0005-0000-0000-00006B030000}"/>
    <cellStyle name="60% - Accent1 2" xfId="87" xr:uid="{00000000-0005-0000-0000-00006C030000}"/>
    <cellStyle name="60% - Accent1 2 2" xfId="88" xr:uid="{00000000-0005-0000-0000-00006D030000}"/>
    <cellStyle name="60% - Accent1 3" xfId="89" xr:uid="{00000000-0005-0000-0000-00006E030000}"/>
    <cellStyle name="60% - Accent1 3 2" xfId="1126" xr:uid="{00000000-0005-0000-0000-00006F030000}"/>
    <cellStyle name="60% - Accent1 3 3" xfId="1127" xr:uid="{00000000-0005-0000-0000-000070030000}"/>
    <cellStyle name="60% - Accent2 2" xfId="90" xr:uid="{00000000-0005-0000-0000-000071030000}"/>
    <cellStyle name="60% - Accent2 2 2" xfId="91" xr:uid="{00000000-0005-0000-0000-000072030000}"/>
    <cellStyle name="60% - Accent2 3" xfId="92" xr:uid="{00000000-0005-0000-0000-000073030000}"/>
    <cellStyle name="60% - Accent3 2" xfId="93" xr:uid="{00000000-0005-0000-0000-000074030000}"/>
    <cellStyle name="60% - Accent3 2 2" xfId="94" xr:uid="{00000000-0005-0000-0000-000075030000}"/>
    <cellStyle name="60% - Accent3 3" xfId="95" xr:uid="{00000000-0005-0000-0000-000076030000}"/>
    <cellStyle name="60% - Accent3 3 2" xfId="1128" xr:uid="{00000000-0005-0000-0000-000077030000}"/>
    <cellStyle name="60% - Accent3 3 3" xfId="1129" xr:uid="{00000000-0005-0000-0000-000078030000}"/>
    <cellStyle name="60% - Accent4 2" xfId="96" xr:uid="{00000000-0005-0000-0000-000079030000}"/>
    <cellStyle name="60% - Accent4 2 2" xfId="97" xr:uid="{00000000-0005-0000-0000-00007A030000}"/>
    <cellStyle name="60% - Accent4 3" xfId="98" xr:uid="{00000000-0005-0000-0000-00007B030000}"/>
    <cellStyle name="60% - Accent4 3 2" xfId="1130" xr:uid="{00000000-0005-0000-0000-00007C030000}"/>
    <cellStyle name="60% - Accent4 3 3" xfId="1131" xr:uid="{00000000-0005-0000-0000-00007D030000}"/>
    <cellStyle name="60% - Accent5 2" xfId="99" xr:uid="{00000000-0005-0000-0000-00007E030000}"/>
    <cellStyle name="60% - Accent5 2 2" xfId="100" xr:uid="{00000000-0005-0000-0000-00007F030000}"/>
    <cellStyle name="60% - Accent5 3" xfId="101" xr:uid="{00000000-0005-0000-0000-000080030000}"/>
    <cellStyle name="60% - Accent6 2" xfId="102" xr:uid="{00000000-0005-0000-0000-000081030000}"/>
    <cellStyle name="60% - Accent6 2 2" xfId="103" xr:uid="{00000000-0005-0000-0000-000082030000}"/>
    <cellStyle name="60% - Accent6 3" xfId="104" xr:uid="{00000000-0005-0000-0000-000083030000}"/>
    <cellStyle name="60% - Accent6 3 2" xfId="1132" xr:uid="{00000000-0005-0000-0000-000084030000}"/>
    <cellStyle name="60% - Accent6 3 3" xfId="1133" xr:uid="{00000000-0005-0000-0000-000085030000}"/>
    <cellStyle name="Accent1 2" xfId="105" xr:uid="{00000000-0005-0000-0000-000086030000}"/>
    <cellStyle name="Accent1 2 2" xfId="106" xr:uid="{00000000-0005-0000-0000-000087030000}"/>
    <cellStyle name="Accent1 3" xfId="107" xr:uid="{00000000-0005-0000-0000-000088030000}"/>
    <cellStyle name="Accent1 3 2" xfId="1134" xr:uid="{00000000-0005-0000-0000-000089030000}"/>
    <cellStyle name="Accent1 3 3" xfId="1135" xr:uid="{00000000-0005-0000-0000-00008A030000}"/>
    <cellStyle name="Accent2 2" xfId="108" xr:uid="{00000000-0005-0000-0000-00008B030000}"/>
    <cellStyle name="Accent2 2 2" xfId="109" xr:uid="{00000000-0005-0000-0000-00008C030000}"/>
    <cellStyle name="Accent2 3" xfId="110" xr:uid="{00000000-0005-0000-0000-00008D030000}"/>
    <cellStyle name="Accent2 3 2" xfId="1136" xr:uid="{00000000-0005-0000-0000-00008E030000}"/>
    <cellStyle name="Accent2 3 3" xfId="1137" xr:uid="{00000000-0005-0000-0000-00008F030000}"/>
    <cellStyle name="Accent3 2" xfId="111" xr:uid="{00000000-0005-0000-0000-000090030000}"/>
    <cellStyle name="Accent3 2 2" xfId="112" xr:uid="{00000000-0005-0000-0000-000091030000}"/>
    <cellStyle name="Accent3 3" xfId="113" xr:uid="{00000000-0005-0000-0000-000092030000}"/>
    <cellStyle name="Accent3 3 2" xfId="1138" xr:uid="{00000000-0005-0000-0000-000093030000}"/>
    <cellStyle name="Accent3 3 3" xfId="1139" xr:uid="{00000000-0005-0000-0000-000094030000}"/>
    <cellStyle name="Accent4 2" xfId="114" xr:uid="{00000000-0005-0000-0000-000095030000}"/>
    <cellStyle name="Accent4 2 2" xfId="115" xr:uid="{00000000-0005-0000-0000-000096030000}"/>
    <cellStyle name="Accent4 3" xfId="116" xr:uid="{00000000-0005-0000-0000-000097030000}"/>
    <cellStyle name="Accent4 3 2" xfId="1140" xr:uid="{00000000-0005-0000-0000-000098030000}"/>
    <cellStyle name="Accent4 3 3" xfId="1141" xr:uid="{00000000-0005-0000-0000-000099030000}"/>
    <cellStyle name="Accent5 2" xfId="117" xr:uid="{00000000-0005-0000-0000-00009A030000}"/>
    <cellStyle name="Accent5 2 2" xfId="118" xr:uid="{00000000-0005-0000-0000-00009B030000}"/>
    <cellStyle name="Accent5 3" xfId="119" xr:uid="{00000000-0005-0000-0000-00009C030000}"/>
    <cellStyle name="Accent6 2" xfId="120" xr:uid="{00000000-0005-0000-0000-00009D030000}"/>
    <cellStyle name="Accent6 2 2" xfId="121" xr:uid="{00000000-0005-0000-0000-00009E030000}"/>
    <cellStyle name="Accent6 3" xfId="122" xr:uid="{00000000-0005-0000-0000-00009F030000}"/>
    <cellStyle name="Bad 2" xfId="123" xr:uid="{00000000-0005-0000-0000-0000A0030000}"/>
    <cellStyle name="Bad 2 2" xfId="124" xr:uid="{00000000-0005-0000-0000-0000A1030000}"/>
    <cellStyle name="Bad 3" xfId="125" xr:uid="{00000000-0005-0000-0000-0000A2030000}"/>
    <cellStyle name="Bad 3 2" xfId="1142" xr:uid="{00000000-0005-0000-0000-0000A3030000}"/>
    <cellStyle name="Bad 3 3" xfId="1143" xr:uid="{00000000-0005-0000-0000-0000A4030000}"/>
    <cellStyle name="Calculation 2" xfId="1" xr:uid="{00000000-0005-0000-0000-0000A5030000}"/>
    <cellStyle name="Calculation 2 2" xfId="126" xr:uid="{00000000-0005-0000-0000-0000A6030000}"/>
    <cellStyle name="Calculation 2 2 2" xfId="127" xr:uid="{00000000-0005-0000-0000-0000A7030000}"/>
    <cellStyle name="Calculation 2 2 3" xfId="128" xr:uid="{00000000-0005-0000-0000-0000A8030000}"/>
    <cellStyle name="Calculation 2 2 4" xfId="129" xr:uid="{00000000-0005-0000-0000-0000A9030000}"/>
    <cellStyle name="Calculation 2 2 5" xfId="130" xr:uid="{00000000-0005-0000-0000-0000AA030000}"/>
    <cellStyle name="Calculation 2 3" xfId="131" xr:uid="{00000000-0005-0000-0000-0000AB030000}"/>
    <cellStyle name="Calculation 2 4" xfId="132" xr:uid="{00000000-0005-0000-0000-0000AC030000}"/>
    <cellStyle name="Calculation 2 5" xfId="133" xr:uid="{00000000-0005-0000-0000-0000AD030000}"/>
    <cellStyle name="Calculation 2 6" xfId="134" xr:uid="{00000000-0005-0000-0000-0000AE030000}"/>
    <cellStyle name="Calculation 2 7" xfId="1345" xr:uid="{00000000-0005-0000-0000-0000AF030000}"/>
    <cellStyle name="Calculation 3" xfId="135" xr:uid="{00000000-0005-0000-0000-0000B0030000}"/>
    <cellStyle name="Calculation 3 2" xfId="136" xr:uid="{00000000-0005-0000-0000-0000B1030000}"/>
    <cellStyle name="Calculation 3 2 2" xfId="1144" xr:uid="{00000000-0005-0000-0000-0000B2030000}"/>
    <cellStyle name="Calculation 3 3" xfId="137" xr:uid="{00000000-0005-0000-0000-0000B3030000}"/>
    <cellStyle name="Calculation 3 4" xfId="138" xr:uid="{00000000-0005-0000-0000-0000B4030000}"/>
    <cellStyle name="Calculation 3 5" xfId="139" xr:uid="{00000000-0005-0000-0000-0000B5030000}"/>
    <cellStyle name="Check Cell 2" xfId="140" xr:uid="{00000000-0005-0000-0000-0000B6030000}"/>
    <cellStyle name="Check Cell 2 2" xfId="141" xr:uid="{00000000-0005-0000-0000-0000B7030000}"/>
    <cellStyle name="Check Cell 3" xfId="142" xr:uid="{00000000-0005-0000-0000-0000B8030000}"/>
    <cellStyle name="Check Cell 4" xfId="143" xr:uid="{00000000-0005-0000-0000-0000B9030000}"/>
    <cellStyle name="Check Cell 5" xfId="144" xr:uid="{00000000-0005-0000-0000-0000BA030000}"/>
    <cellStyle name="Comma [3]" xfId="145" xr:uid="{00000000-0005-0000-0000-0000BB030000}"/>
    <cellStyle name="Comma [3] 2" xfId="146" xr:uid="{00000000-0005-0000-0000-0000BC030000}"/>
    <cellStyle name="Comma 10" xfId="1145" xr:uid="{00000000-0005-0000-0000-0000BD030000}"/>
    <cellStyle name="Comma 11" xfId="1146" xr:uid="{00000000-0005-0000-0000-0000BE030000}"/>
    <cellStyle name="Comma 12" xfId="1147" xr:uid="{00000000-0005-0000-0000-0000BF030000}"/>
    <cellStyle name="Comma 13" xfId="1148" xr:uid="{00000000-0005-0000-0000-0000C0030000}"/>
    <cellStyle name="Comma 14" xfId="1149" xr:uid="{00000000-0005-0000-0000-0000C1030000}"/>
    <cellStyle name="Comma 15" xfId="1150" xr:uid="{00000000-0005-0000-0000-0000C2030000}"/>
    <cellStyle name="Comma 16" xfId="1151" xr:uid="{00000000-0005-0000-0000-0000C3030000}"/>
    <cellStyle name="Comma 17" xfId="1152" xr:uid="{00000000-0005-0000-0000-0000C4030000}"/>
    <cellStyle name="Comma 18" xfId="1153" xr:uid="{00000000-0005-0000-0000-0000C5030000}"/>
    <cellStyle name="Comma 19" xfId="1154" xr:uid="{00000000-0005-0000-0000-0000C6030000}"/>
    <cellStyle name="Comma 2" xfId="147" xr:uid="{00000000-0005-0000-0000-0000C7030000}"/>
    <cellStyle name="Comma 2 2" xfId="148" xr:uid="{00000000-0005-0000-0000-0000C8030000}"/>
    <cellStyle name="Comma 2 3" xfId="149" xr:uid="{00000000-0005-0000-0000-0000C9030000}"/>
    <cellStyle name="Comma 20" xfId="1155" xr:uid="{00000000-0005-0000-0000-0000CA030000}"/>
    <cellStyle name="Comma 21" xfId="1156" xr:uid="{00000000-0005-0000-0000-0000CB030000}"/>
    <cellStyle name="Comma 22" xfId="1157" xr:uid="{00000000-0005-0000-0000-0000CC030000}"/>
    <cellStyle name="Comma 23" xfId="1158" xr:uid="{00000000-0005-0000-0000-0000CD030000}"/>
    <cellStyle name="Comma 24" xfId="1159" xr:uid="{00000000-0005-0000-0000-0000CE030000}"/>
    <cellStyle name="Comma 25" xfId="1160" xr:uid="{00000000-0005-0000-0000-0000CF030000}"/>
    <cellStyle name="Comma 26" xfId="1161" xr:uid="{00000000-0005-0000-0000-0000D0030000}"/>
    <cellStyle name="Comma 27" xfId="1162" xr:uid="{00000000-0005-0000-0000-0000D1030000}"/>
    <cellStyle name="Comma 28" xfId="1163" xr:uid="{00000000-0005-0000-0000-0000D2030000}"/>
    <cellStyle name="Comma 29" xfId="1164" xr:uid="{00000000-0005-0000-0000-0000D3030000}"/>
    <cellStyle name="Comma 3" xfId="150" xr:uid="{00000000-0005-0000-0000-0000D4030000}"/>
    <cellStyle name="Comma 3 2" xfId="151" xr:uid="{00000000-0005-0000-0000-0000D5030000}"/>
    <cellStyle name="Comma 30" xfId="1165" xr:uid="{00000000-0005-0000-0000-0000D6030000}"/>
    <cellStyle name="Comma 31" xfId="1166" xr:uid="{00000000-0005-0000-0000-0000D7030000}"/>
    <cellStyle name="Comma 32" xfId="1167" xr:uid="{00000000-0005-0000-0000-0000D8030000}"/>
    <cellStyle name="Comma 33" xfId="1168" xr:uid="{00000000-0005-0000-0000-0000D9030000}"/>
    <cellStyle name="Comma 4" xfId="152" xr:uid="{00000000-0005-0000-0000-0000DA030000}"/>
    <cellStyle name="Comma 4 2" xfId="1169" xr:uid="{00000000-0005-0000-0000-0000DB030000}"/>
    <cellStyle name="Comma 5" xfId="153" xr:uid="{00000000-0005-0000-0000-0000DC030000}"/>
    <cellStyle name="Comma 6" xfId="154" xr:uid="{00000000-0005-0000-0000-0000DD030000}"/>
    <cellStyle name="Comma 7" xfId="1170" xr:uid="{00000000-0005-0000-0000-0000DE030000}"/>
    <cellStyle name="Comma 8" xfId="1171" xr:uid="{00000000-0005-0000-0000-0000DF030000}"/>
    <cellStyle name="Comma 9" xfId="1172" xr:uid="{00000000-0005-0000-0000-0000E0030000}"/>
    <cellStyle name="Currency" xfId="1352" builtinId="4"/>
    <cellStyle name="Currency 12" xfId="155" xr:uid="{00000000-0005-0000-0000-0000E2030000}"/>
    <cellStyle name="Currency 2" xfId="156" xr:uid="{00000000-0005-0000-0000-0000E3030000}"/>
    <cellStyle name="Currency 2 2" xfId="1173" xr:uid="{00000000-0005-0000-0000-0000E4030000}"/>
    <cellStyle name="Currency 2 3" xfId="1174" xr:uid="{00000000-0005-0000-0000-0000E5030000}"/>
    <cellStyle name="Currency 2 3 2" xfId="1175" xr:uid="{00000000-0005-0000-0000-0000E6030000}"/>
    <cellStyle name="Escal" xfId="157" xr:uid="{00000000-0005-0000-0000-0000E7030000}"/>
    <cellStyle name="Escal 2" xfId="158" xr:uid="{00000000-0005-0000-0000-0000E8030000}"/>
    <cellStyle name="Explanatory Text 2" xfId="159" xr:uid="{00000000-0005-0000-0000-0000E9030000}"/>
    <cellStyle name="Explanatory Text 2 2" xfId="160" xr:uid="{00000000-0005-0000-0000-0000EA030000}"/>
    <cellStyle name="Explanatory Text 3" xfId="161" xr:uid="{00000000-0005-0000-0000-0000EB030000}"/>
    <cellStyle name="Good 2" xfId="162" xr:uid="{00000000-0005-0000-0000-0000EC030000}"/>
    <cellStyle name="Good 2 2" xfId="163" xr:uid="{00000000-0005-0000-0000-0000ED030000}"/>
    <cellStyle name="Good 3" xfId="164" xr:uid="{00000000-0005-0000-0000-0000EE030000}"/>
    <cellStyle name="Header1" xfId="165" xr:uid="{00000000-0005-0000-0000-0000EF030000}"/>
    <cellStyle name="Header2" xfId="166" xr:uid="{00000000-0005-0000-0000-0000F0030000}"/>
    <cellStyle name="Header2 2" xfId="167" xr:uid="{00000000-0005-0000-0000-0000F1030000}"/>
    <cellStyle name="Header2 3" xfId="168" xr:uid="{00000000-0005-0000-0000-0000F2030000}"/>
    <cellStyle name="Header2 4" xfId="169" xr:uid="{00000000-0005-0000-0000-0000F3030000}"/>
    <cellStyle name="Header2 5" xfId="170" xr:uid="{00000000-0005-0000-0000-0000F4030000}"/>
    <cellStyle name="Heading 1 2" xfId="171" xr:uid="{00000000-0005-0000-0000-0000F5030000}"/>
    <cellStyle name="Heading 1 2 2" xfId="172" xr:uid="{00000000-0005-0000-0000-0000F6030000}"/>
    <cellStyle name="Heading 1 3" xfId="173" xr:uid="{00000000-0005-0000-0000-0000F7030000}"/>
    <cellStyle name="Heading 1 3 2" xfId="1176" xr:uid="{00000000-0005-0000-0000-0000F8030000}"/>
    <cellStyle name="Heading 1 3 3" xfId="1177" xr:uid="{00000000-0005-0000-0000-0000F9030000}"/>
    <cellStyle name="Heading 2 2" xfId="174" xr:uid="{00000000-0005-0000-0000-0000FA030000}"/>
    <cellStyle name="Heading 2 2 2" xfId="175" xr:uid="{00000000-0005-0000-0000-0000FB030000}"/>
    <cellStyle name="Heading 2 3" xfId="176" xr:uid="{00000000-0005-0000-0000-0000FC030000}"/>
    <cellStyle name="Heading 2 3 2" xfId="1178" xr:uid="{00000000-0005-0000-0000-0000FD030000}"/>
    <cellStyle name="Heading 2 3 3" xfId="1179" xr:uid="{00000000-0005-0000-0000-0000FE030000}"/>
    <cellStyle name="Heading 3 2" xfId="177" xr:uid="{00000000-0005-0000-0000-0000FF030000}"/>
    <cellStyle name="Heading 3 2 2" xfId="178" xr:uid="{00000000-0005-0000-0000-000000040000}"/>
    <cellStyle name="Heading 3 3" xfId="179" xr:uid="{00000000-0005-0000-0000-000001040000}"/>
    <cellStyle name="Heading 3 3 2" xfId="1180" xr:uid="{00000000-0005-0000-0000-000002040000}"/>
    <cellStyle name="Heading 3 3 3" xfId="1181" xr:uid="{00000000-0005-0000-0000-000003040000}"/>
    <cellStyle name="Heading 4 2" xfId="180" xr:uid="{00000000-0005-0000-0000-000004040000}"/>
    <cellStyle name="Heading 4 2 2" xfId="181" xr:uid="{00000000-0005-0000-0000-000005040000}"/>
    <cellStyle name="Heading 4 3" xfId="182" xr:uid="{00000000-0005-0000-0000-000006040000}"/>
    <cellStyle name="Heading 4 3 2" xfId="1182" xr:uid="{00000000-0005-0000-0000-000007040000}"/>
    <cellStyle name="Heading 4 3 3" xfId="1183" xr:uid="{00000000-0005-0000-0000-000008040000}"/>
    <cellStyle name="Hyperlink" xfId="2" builtinId="8"/>
    <cellStyle name="Hyperlink 2" xfId="47" xr:uid="{00000000-0005-0000-0000-00000A040000}"/>
    <cellStyle name="Hyperlink 2 2" xfId="1346" xr:uid="{00000000-0005-0000-0000-00000B040000}"/>
    <cellStyle name="Hyperlink 3" xfId="49" xr:uid="{00000000-0005-0000-0000-00000C040000}"/>
    <cellStyle name="Hyperlink 4" xfId="1351" xr:uid="{00000000-0005-0000-0000-00000D040000}"/>
    <cellStyle name="Input 2" xfId="3" xr:uid="{00000000-0005-0000-0000-00000E040000}"/>
    <cellStyle name="Input 2 2" xfId="183" xr:uid="{00000000-0005-0000-0000-00000F040000}"/>
    <cellStyle name="Input 2 2 2" xfId="184" xr:uid="{00000000-0005-0000-0000-000010040000}"/>
    <cellStyle name="Input 2 2 3" xfId="185" xr:uid="{00000000-0005-0000-0000-000011040000}"/>
    <cellStyle name="Input 2 2 4" xfId="186" xr:uid="{00000000-0005-0000-0000-000012040000}"/>
    <cellStyle name="Input 2 2 5" xfId="187" xr:uid="{00000000-0005-0000-0000-000013040000}"/>
    <cellStyle name="Input 2 3" xfId="188" xr:uid="{00000000-0005-0000-0000-000014040000}"/>
    <cellStyle name="Input 2 4" xfId="189" xr:uid="{00000000-0005-0000-0000-000015040000}"/>
    <cellStyle name="Input 2 5" xfId="190" xr:uid="{00000000-0005-0000-0000-000016040000}"/>
    <cellStyle name="Input 2 6" xfId="191" xr:uid="{00000000-0005-0000-0000-000017040000}"/>
    <cellStyle name="Input 2 7" xfId="1347" xr:uid="{00000000-0005-0000-0000-000018040000}"/>
    <cellStyle name="Input 3" xfId="192" xr:uid="{00000000-0005-0000-0000-000019040000}"/>
    <cellStyle name="Input 3 2" xfId="193" xr:uid="{00000000-0005-0000-0000-00001A040000}"/>
    <cellStyle name="Input 3 3" xfId="194" xr:uid="{00000000-0005-0000-0000-00001B040000}"/>
    <cellStyle name="Input 3 4" xfId="195" xr:uid="{00000000-0005-0000-0000-00001C040000}"/>
    <cellStyle name="Input 3 5" xfId="196" xr:uid="{00000000-0005-0000-0000-00001D040000}"/>
    <cellStyle name="Linked Cell 2" xfId="197" xr:uid="{00000000-0005-0000-0000-00001E040000}"/>
    <cellStyle name="Linked Cell 2 2" xfId="198" xr:uid="{00000000-0005-0000-0000-00001F040000}"/>
    <cellStyle name="Linked Cell 3" xfId="199" xr:uid="{00000000-0005-0000-0000-000020040000}"/>
    <cellStyle name="Neutral 2" xfId="200" xr:uid="{00000000-0005-0000-0000-000021040000}"/>
    <cellStyle name="Neutral 2 2" xfId="201" xr:uid="{00000000-0005-0000-0000-000022040000}"/>
    <cellStyle name="Neutral 3" xfId="202" xr:uid="{00000000-0005-0000-0000-000023040000}"/>
    <cellStyle name="Normal" xfId="0" builtinId="0"/>
    <cellStyle name="Normal 10" xfId="4" xr:uid="{00000000-0005-0000-0000-000025040000}"/>
    <cellStyle name="Normal 10 2" xfId="1184" xr:uid="{00000000-0005-0000-0000-000026040000}"/>
    <cellStyle name="Normal 10 3" xfId="203" xr:uid="{00000000-0005-0000-0000-000027040000}"/>
    <cellStyle name="Normal 10 3 2" xfId="1185" xr:uid="{00000000-0005-0000-0000-000028040000}"/>
    <cellStyle name="Normal 11" xfId="5" xr:uid="{00000000-0005-0000-0000-000029040000}"/>
    <cellStyle name="Normal 11 2" xfId="1186" xr:uid="{00000000-0005-0000-0000-00002A040000}"/>
    <cellStyle name="Normal 11 2 2" xfId="1187" xr:uid="{00000000-0005-0000-0000-00002B040000}"/>
    <cellStyle name="Normal 12" xfId="6" xr:uid="{00000000-0005-0000-0000-00002C040000}"/>
    <cellStyle name="Normal 12 2" xfId="204" xr:uid="{00000000-0005-0000-0000-00002D040000}"/>
    <cellStyle name="Normal 12 2 2" xfId="1188" xr:uid="{00000000-0005-0000-0000-00002E040000}"/>
    <cellStyle name="Normal 13" xfId="7" xr:uid="{00000000-0005-0000-0000-00002F040000}"/>
    <cellStyle name="Normal 13 2" xfId="1189" xr:uid="{00000000-0005-0000-0000-000030040000}"/>
    <cellStyle name="Normal 13 2 2" xfId="1190" xr:uid="{00000000-0005-0000-0000-000031040000}"/>
    <cellStyle name="Normal 13 3" xfId="1191" xr:uid="{00000000-0005-0000-0000-000032040000}"/>
    <cellStyle name="Normal 14" xfId="8" xr:uid="{00000000-0005-0000-0000-000033040000}"/>
    <cellStyle name="Normal 14 2" xfId="9" xr:uid="{00000000-0005-0000-0000-000034040000}"/>
    <cellStyle name="Normal 14 2 2" xfId="1192" xr:uid="{00000000-0005-0000-0000-000035040000}"/>
    <cellStyle name="Normal 14 2 3" xfId="1193" xr:uid="{00000000-0005-0000-0000-000036040000}"/>
    <cellStyle name="Normal 14 3" xfId="1194" xr:uid="{00000000-0005-0000-0000-000037040000}"/>
    <cellStyle name="Normal 15" xfId="1195" xr:uid="{00000000-0005-0000-0000-000038040000}"/>
    <cellStyle name="Normal 15 2" xfId="1196" xr:uid="{00000000-0005-0000-0000-000039040000}"/>
    <cellStyle name="Normal 15 2 2" xfId="1197" xr:uid="{00000000-0005-0000-0000-00003A040000}"/>
    <cellStyle name="Normal 16" xfId="1198" xr:uid="{00000000-0005-0000-0000-00003B040000}"/>
    <cellStyle name="Normal 16 2" xfId="1199" xr:uid="{00000000-0005-0000-0000-00003C040000}"/>
    <cellStyle name="Normal 16 2 2" xfId="1200" xr:uid="{00000000-0005-0000-0000-00003D040000}"/>
    <cellStyle name="Normal 16 2 2 2" xfId="1201" xr:uid="{00000000-0005-0000-0000-00003E040000}"/>
    <cellStyle name="Normal 16 2 3" xfId="1202" xr:uid="{00000000-0005-0000-0000-00003F040000}"/>
    <cellStyle name="Normal 16 3" xfId="1203" xr:uid="{00000000-0005-0000-0000-000040040000}"/>
    <cellStyle name="Normal 17" xfId="1204" xr:uid="{00000000-0005-0000-0000-000041040000}"/>
    <cellStyle name="Normal 17 2" xfId="1205" xr:uid="{00000000-0005-0000-0000-000042040000}"/>
    <cellStyle name="Normal 18" xfId="1206" xr:uid="{00000000-0005-0000-0000-000043040000}"/>
    <cellStyle name="Normal 18 2" xfId="1207" xr:uid="{00000000-0005-0000-0000-000044040000}"/>
    <cellStyle name="Normal 19" xfId="1348" xr:uid="{00000000-0005-0000-0000-000045040000}"/>
    <cellStyle name="Normal 2" xfId="10" xr:uid="{00000000-0005-0000-0000-000046040000}"/>
    <cellStyle name="Normal 2 10" xfId="11" xr:uid="{00000000-0005-0000-0000-000047040000}"/>
    <cellStyle name="Normal 2 13" xfId="12" xr:uid="{00000000-0005-0000-0000-000048040000}"/>
    <cellStyle name="Normal 2 14" xfId="13" xr:uid="{00000000-0005-0000-0000-000049040000}"/>
    <cellStyle name="Normal 2 16" xfId="14" xr:uid="{00000000-0005-0000-0000-00004A040000}"/>
    <cellStyle name="Normal 2 17" xfId="15" xr:uid="{00000000-0005-0000-0000-00004B040000}"/>
    <cellStyle name="Normal 2 2" xfId="16" xr:uid="{00000000-0005-0000-0000-00004C040000}"/>
    <cellStyle name="Normal 2 2 11" xfId="1208" xr:uid="{00000000-0005-0000-0000-00004D040000}"/>
    <cellStyle name="Normal 2 2 2" xfId="205" xr:uid="{00000000-0005-0000-0000-00004E040000}"/>
    <cellStyle name="Normal 2 2 3" xfId="206" xr:uid="{00000000-0005-0000-0000-00004F040000}"/>
    <cellStyle name="Normal 2 2 4" xfId="1209" xr:uid="{00000000-0005-0000-0000-000050040000}"/>
    <cellStyle name="Normal 2 3" xfId="17" xr:uid="{00000000-0005-0000-0000-000051040000}"/>
    <cellStyle name="Normal 2 3 2" xfId="207" xr:uid="{00000000-0005-0000-0000-000052040000}"/>
    <cellStyle name="Normal 2 3 2 2" xfId="1210" xr:uid="{00000000-0005-0000-0000-000053040000}"/>
    <cellStyle name="Normal 2 3 3" xfId="1211" xr:uid="{00000000-0005-0000-0000-000054040000}"/>
    <cellStyle name="Normal 2 4" xfId="50" xr:uid="{00000000-0005-0000-0000-000055040000}"/>
    <cellStyle name="Normal 2 4 2" xfId="1212" xr:uid="{00000000-0005-0000-0000-000056040000}"/>
    <cellStyle name="Normal 2 4 2 2" xfId="1213" xr:uid="{00000000-0005-0000-0000-000057040000}"/>
    <cellStyle name="Normal 2 5" xfId="208" xr:uid="{00000000-0005-0000-0000-000058040000}"/>
    <cellStyle name="Normal 2_R10513143" xfId="1214" xr:uid="{00000000-0005-0000-0000-000059040000}"/>
    <cellStyle name="Normal 21" xfId="1215" xr:uid="{00000000-0005-0000-0000-00005A040000}"/>
    <cellStyle name="Normal 21 2" xfId="1216" xr:uid="{00000000-0005-0000-0000-00005B040000}"/>
    <cellStyle name="Normal 3" xfId="18" xr:uid="{00000000-0005-0000-0000-00005C040000}"/>
    <cellStyle name="Normal 3 11" xfId="1344" xr:uid="{00000000-0005-0000-0000-00005D040000}"/>
    <cellStyle name="Normal 3 2" xfId="48" xr:uid="{00000000-0005-0000-0000-00005E040000}"/>
    <cellStyle name="Normal 3 2 2" xfId="209" xr:uid="{00000000-0005-0000-0000-00005F040000}"/>
    <cellStyle name="Normal 3 2 32" xfId="1350" xr:uid="{00000000-0005-0000-0000-000060040000}"/>
    <cellStyle name="Normal 3 3" xfId="210" xr:uid="{00000000-0005-0000-0000-000061040000}"/>
    <cellStyle name="Normal 3 4" xfId="211" xr:uid="{00000000-0005-0000-0000-000062040000}"/>
    <cellStyle name="Normal 3_R10513143" xfId="1217" xr:uid="{00000000-0005-0000-0000-000063040000}"/>
    <cellStyle name="Normal 4" xfId="19" xr:uid="{00000000-0005-0000-0000-000064040000}"/>
    <cellStyle name="Normal 4 2" xfId="212" xr:uid="{00000000-0005-0000-0000-000065040000}"/>
    <cellStyle name="Normal 4 2 2" xfId="1218" xr:uid="{00000000-0005-0000-0000-000066040000}"/>
    <cellStyle name="Normal 4 2 2 2" xfId="1219" xr:uid="{00000000-0005-0000-0000-000067040000}"/>
    <cellStyle name="Normal 4 2 2 2 2" xfId="1220" xr:uid="{00000000-0005-0000-0000-000068040000}"/>
    <cellStyle name="Normal 4 2 2 3" xfId="1221" xr:uid="{00000000-0005-0000-0000-000069040000}"/>
    <cellStyle name="Normal 4 2 3" xfId="213" xr:uid="{00000000-0005-0000-0000-00006A040000}"/>
    <cellStyle name="Normal 4 2 3 2" xfId="1222" xr:uid="{00000000-0005-0000-0000-00006B040000}"/>
    <cellStyle name="Normal 4 2 4" xfId="1223" xr:uid="{00000000-0005-0000-0000-00006C040000}"/>
    <cellStyle name="Normal 4 3" xfId="214" xr:uid="{00000000-0005-0000-0000-00006D040000}"/>
    <cellStyle name="Normal 4 3 2" xfId="1224" xr:uid="{00000000-0005-0000-0000-00006E040000}"/>
    <cellStyle name="Normal 4 4" xfId="215" xr:uid="{00000000-0005-0000-0000-00006F040000}"/>
    <cellStyle name="Normal 4 4 2" xfId="1225" xr:uid="{00000000-0005-0000-0000-000070040000}"/>
    <cellStyle name="Normal 4 5" xfId="1226" xr:uid="{00000000-0005-0000-0000-000071040000}"/>
    <cellStyle name="Normal 4 5 2" xfId="1227" xr:uid="{00000000-0005-0000-0000-000072040000}"/>
    <cellStyle name="Normal 4 6" xfId="1228" xr:uid="{00000000-0005-0000-0000-000073040000}"/>
    <cellStyle name="Normal 4 6 2" xfId="1229" xr:uid="{00000000-0005-0000-0000-000074040000}"/>
    <cellStyle name="Normal 4 7" xfId="1230" xr:uid="{00000000-0005-0000-0000-000075040000}"/>
    <cellStyle name="Normal 4 8" xfId="1231" xr:uid="{00000000-0005-0000-0000-000076040000}"/>
    <cellStyle name="Normal 4_R10513143" xfId="1232" xr:uid="{00000000-0005-0000-0000-000077040000}"/>
    <cellStyle name="Normal 5" xfId="20" xr:uid="{00000000-0005-0000-0000-000078040000}"/>
    <cellStyle name="Normal 5 2" xfId="1233" xr:uid="{00000000-0005-0000-0000-000079040000}"/>
    <cellStyle name="Normal 5 2 2" xfId="1234" xr:uid="{00000000-0005-0000-0000-00007A040000}"/>
    <cellStyle name="Normal 5 3" xfId="1235" xr:uid="{00000000-0005-0000-0000-00007B040000}"/>
    <cellStyle name="Normal 5 3 2" xfId="1236" xr:uid="{00000000-0005-0000-0000-00007C040000}"/>
    <cellStyle name="Normal 5 4" xfId="1237" xr:uid="{00000000-0005-0000-0000-00007D040000}"/>
    <cellStyle name="Normal 5 5" xfId="1238" xr:uid="{00000000-0005-0000-0000-00007E040000}"/>
    <cellStyle name="Normal 6" xfId="21" xr:uid="{00000000-0005-0000-0000-00007F040000}"/>
    <cellStyle name="Normal 6 2" xfId="1239" xr:uid="{00000000-0005-0000-0000-000080040000}"/>
    <cellStyle name="Normal 6 2 2" xfId="1240" xr:uid="{00000000-0005-0000-0000-000081040000}"/>
    <cellStyle name="Normal 6 3" xfId="1241" xr:uid="{00000000-0005-0000-0000-000082040000}"/>
    <cellStyle name="Normal 7" xfId="22" xr:uid="{00000000-0005-0000-0000-000083040000}"/>
    <cellStyle name="Normal 7 2" xfId="1242" xr:uid="{00000000-0005-0000-0000-000084040000}"/>
    <cellStyle name="Normal 7 2 2" xfId="1243" xr:uid="{00000000-0005-0000-0000-000085040000}"/>
    <cellStyle name="Normal 7 2 2 2" xfId="1244" xr:uid="{00000000-0005-0000-0000-000086040000}"/>
    <cellStyle name="Normal 7 3" xfId="1245" xr:uid="{00000000-0005-0000-0000-000087040000}"/>
    <cellStyle name="Normal 7 3 2" xfId="1246" xr:uid="{00000000-0005-0000-0000-000088040000}"/>
    <cellStyle name="Normal 7 4" xfId="1247" xr:uid="{00000000-0005-0000-0000-000089040000}"/>
    <cellStyle name="Normal 74" xfId="1349" xr:uid="{00000000-0005-0000-0000-00008A040000}"/>
    <cellStyle name="Normal 8" xfId="23" xr:uid="{00000000-0005-0000-0000-00008B040000}"/>
    <cellStyle name="Normal 8 2" xfId="1248" xr:uid="{00000000-0005-0000-0000-00008C040000}"/>
    <cellStyle name="Normal 8 2 2" xfId="1249" xr:uid="{00000000-0005-0000-0000-00008D040000}"/>
    <cellStyle name="Normal 8 3" xfId="1250" xr:uid="{00000000-0005-0000-0000-00008E040000}"/>
    <cellStyle name="Normal 9" xfId="24" xr:uid="{00000000-0005-0000-0000-00008F040000}"/>
    <cellStyle name="Normal 9 2" xfId="25" xr:uid="{00000000-0005-0000-0000-000090040000}"/>
    <cellStyle name="Normal 9 2 2" xfId="26" xr:uid="{00000000-0005-0000-0000-000091040000}"/>
    <cellStyle name="Normal 9 2 2 2" xfId="27" xr:uid="{00000000-0005-0000-0000-000092040000}"/>
    <cellStyle name="Normal 9 2 2 2 2" xfId="28" xr:uid="{00000000-0005-0000-0000-000093040000}"/>
    <cellStyle name="Normal 9 2 2 3" xfId="29" xr:uid="{00000000-0005-0000-0000-000094040000}"/>
    <cellStyle name="Normal 9 2 2 4" xfId="30" xr:uid="{00000000-0005-0000-0000-000095040000}"/>
    <cellStyle name="Normal 9 2 3" xfId="31" xr:uid="{00000000-0005-0000-0000-000096040000}"/>
    <cellStyle name="Normal 9 2 4" xfId="32" xr:uid="{00000000-0005-0000-0000-000097040000}"/>
    <cellStyle name="Normal 9 2 5" xfId="33" xr:uid="{00000000-0005-0000-0000-000098040000}"/>
    <cellStyle name="Normal 9 3" xfId="34" xr:uid="{00000000-0005-0000-0000-000099040000}"/>
    <cellStyle name="Normal 9 3 2" xfId="35" xr:uid="{00000000-0005-0000-0000-00009A040000}"/>
    <cellStyle name="Normal 9 3 2 2" xfId="36" xr:uid="{00000000-0005-0000-0000-00009B040000}"/>
    <cellStyle name="Normal 9 3 2 2 2" xfId="37" xr:uid="{00000000-0005-0000-0000-00009C040000}"/>
    <cellStyle name="Normal 9 3 2 3" xfId="38" xr:uid="{00000000-0005-0000-0000-00009D040000}"/>
    <cellStyle name="Normal 9 3 2 4" xfId="39" xr:uid="{00000000-0005-0000-0000-00009E040000}"/>
    <cellStyle name="Normal 9 3 3" xfId="40" xr:uid="{00000000-0005-0000-0000-00009F040000}"/>
    <cellStyle name="Normal 9 3 4" xfId="41" xr:uid="{00000000-0005-0000-0000-0000A0040000}"/>
    <cellStyle name="Normal 9 3 5" xfId="42" xr:uid="{00000000-0005-0000-0000-0000A1040000}"/>
    <cellStyle name="Normal 9 3 6" xfId="43" xr:uid="{00000000-0005-0000-0000-0000A2040000}"/>
    <cellStyle name="Normal 9 3 7" xfId="44" xr:uid="{00000000-0005-0000-0000-0000A3040000}"/>
    <cellStyle name="Normal 9 3 8" xfId="45" xr:uid="{00000000-0005-0000-0000-0000A4040000}"/>
    <cellStyle name="Normal 9 4" xfId="46" xr:uid="{00000000-0005-0000-0000-0000A5040000}"/>
    <cellStyle name="Note 10" xfId="1251" xr:uid="{00000000-0005-0000-0000-0000A6040000}"/>
    <cellStyle name="Note 10 2" xfId="1252" xr:uid="{00000000-0005-0000-0000-0000A7040000}"/>
    <cellStyle name="Note 10 3" xfId="1253" xr:uid="{00000000-0005-0000-0000-0000A8040000}"/>
    <cellStyle name="Note 11" xfId="1254" xr:uid="{00000000-0005-0000-0000-0000A9040000}"/>
    <cellStyle name="Note 11 2" xfId="1255" xr:uid="{00000000-0005-0000-0000-0000AA040000}"/>
    <cellStyle name="Note 11 3" xfId="1256" xr:uid="{00000000-0005-0000-0000-0000AB040000}"/>
    <cellStyle name="Note 12" xfId="1257" xr:uid="{00000000-0005-0000-0000-0000AC040000}"/>
    <cellStyle name="Note 12 2" xfId="1258" xr:uid="{00000000-0005-0000-0000-0000AD040000}"/>
    <cellStyle name="Note 12 3" xfId="1259" xr:uid="{00000000-0005-0000-0000-0000AE040000}"/>
    <cellStyle name="Note 13" xfId="1260" xr:uid="{00000000-0005-0000-0000-0000AF040000}"/>
    <cellStyle name="Note 13 2" xfId="1261" xr:uid="{00000000-0005-0000-0000-0000B0040000}"/>
    <cellStyle name="Note 13 3" xfId="1262" xr:uid="{00000000-0005-0000-0000-0000B1040000}"/>
    <cellStyle name="Note 14" xfId="1263" xr:uid="{00000000-0005-0000-0000-0000B2040000}"/>
    <cellStyle name="Note 14 2" xfId="1264" xr:uid="{00000000-0005-0000-0000-0000B3040000}"/>
    <cellStyle name="Note 14 3" xfId="1265" xr:uid="{00000000-0005-0000-0000-0000B4040000}"/>
    <cellStyle name="Note 15" xfId="1266" xr:uid="{00000000-0005-0000-0000-0000B5040000}"/>
    <cellStyle name="Note 15 2" xfId="1267" xr:uid="{00000000-0005-0000-0000-0000B6040000}"/>
    <cellStyle name="Note 15 3" xfId="1268" xr:uid="{00000000-0005-0000-0000-0000B7040000}"/>
    <cellStyle name="Note 16" xfId="1269" xr:uid="{00000000-0005-0000-0000-0000B8040000}"/>
    <cellStyle name="Note 16 2" xfId="1270" xr:uid="{00000000-0005-0000-0000-0000B9040000}"/>
    <cellStyle name="Note 16 3" xfId="1271" xr:uid="{00000000-0005-0000-0000-0000BA040000}"/>
    <cellStyle name="Note 17" xfId="1272" xr:uid="{00000000-0005-0000-0000-0000BB040000}"/>
    <cellStyle name="Note 17 2" xfId="1273" xr:uid="{00000000-0005-0000-0000-0000BC040000}"/>
    <cellStyle name="Note 17 3" xfId="1274" xr:uid="{00000000-0005-0000-0000-0000BD040000}"/>
    <cellStyle name="Note 18" xfId="1275" xr:uid="{00000000-0005-0000-0000-0000BE040000}"/>
    <cellStyle name="Note 18 2" xfId="1276" xr:uid="{00000000-0005-0000-0000-0000BF040000}"/>
    <cellStyle name="Note 18 3" xfId="1277" xr:uid="{00000000-0005-0000-0000-0000C0040000}"/>
    <cellStyle name="Note 19" xfId="1278" xr:uid="{00000000-0005-0000-0000-0000C1040000}"/>
    <cellStyle name="Note 19 2" xfId="1279" xr:uid="{00000000-0005-0000-0000-0000C2040000}"/>
    <cellStyle name="Note 19 3" xfId="1280" xr:uid="{00000000-0005-0000-0000-0000C3040000}"/>
    <cellStyle name="Note 2" xfId="216" xr:uid="{00000000-0005-0000-0000-0000C4040000}"/>
    <cellStyle name="Note 2 2" xfId="217" xr:uid="{00000000-0005-0000-0000-0000C5040000}"/>
    <cellStyle name="Note 2 2 2" xfId="218" xr:uid="{00000000-0005-0000-0000-0000C6040000}"/>
    <cellStyle name="Note 2 2 3" xfId="219" xr:uid="{00000000-0005-0000-0000-0000C7040000}"/>
    <cellStyle name="Note 2 2 4" xfId="220" xr:uid="{00000000-0005-0000-0000-0000C8040000}"/>
    <cellStyle name="Note 2 2 5" xfId="221" xr:uid="{00000000-0005-0000-0000-0000C9040000}"/>
    <cellStyle name="Note 2 2 6" xfId="222" xr:uid="{00000000-0005-0000-0000-0000CA040000}"/>
    <cellStyle name="Note 2 3" xfId="223" xr:uid="{00000000-0005-0000-0000-0000CB040000}"/>
    <cellStyle name="Note 2 4" xfId="224" xr:uid="{00000000-0005-0000-0000-0000CC040000}"/>
    <cellStyle name="Note 2 5" xfId="225" xr:uid="{00000000-0005-0000-0000-0000CD040000}"/>
    <cellStyle name="Note 2 6" xfId="226" xr:uid="{00000000-0005-0000-0000-0000CE040000}"/>
    <cellStyle name="Note 2 7" xfId="227" xr:uid="{00000000-0005-0000-0000-0000CF040000}"/>
    <cellStyle name="Note 20" xfId="1281" xr:uid="{00000000-0005-0000-0000-0000D0040000}"/>
    <cellStyle name="Note 20 2" xfId="1282" xr:uid="{00000000-0005-0000-0000-0000D1040000}"/>
    <cellStyle name="Note 20 3" xfId="1283" xr:uid="{00000000-0005-0000-0000-0000D2040000}"/>
    <cellStyle name="Note 21" xfId="1284" xr:uid="{00000000-0005-0000-0000-0000D3040000}"/>
    <cellStyle name="Note 21 2" xfId="1285" xr:uid="{00000000-0005-0000-0000-0000D4040000}"/>
    <cellStyle name="Note 21 3" xfId="1286" xr:uid="{00000000-0005-0000-0000-0000D5040000}"/>
    <cellStyle name="Note 22" xfId="1287" xr:uid="{00000000-0005-0000-0000-0000D6040000}"/>
    <cellStyle name="Note 22 2" xfId="1288" xr:uid="{00000000-0005-0000-0000-0000D7040000}"/>
    <cellStyle name="Note 22 3" xfId="1289" xr:uid="{00000000-0005-0000-0000-0000D8040000}"/>
    <cellStyle name="Note 23" xfId="1290" xr:uid="{00000000-0005-0000-0000-0000D9040000}"/>
    <cellStyle name="Note 23 2" xfId="1291" xr:uid="{00000000-0005-0000-0000-0000DA040000}"/>
    <cellStyle name="Note 23 3" xfId="1292" xr:uid="{00000000-0005-0000-0000-0000DB040000}"/>
    <cellStyle name="Note 24" xfId="1293" xr:uid="{00000000-0005-0000-0000-0000DC040000}"/>
    <cellStyle name="Note 24 2" xfId="1294" xr:uid="{00000000-0005-0000-0000-0000DD040000}"/>
    <cellStyle name="Note 24 3" xfId="1295" xr:uid="{00000000-0005-0000-0000-0000DE040000}"/>
    <cellStyle name="Note 25" xfId="1296" xr:uid="{00000000-0005-0000-0000-0000DF040000}"/>
    <cellStyle name="Note 25 2" xfId="1297" xr:uid="{00000000-0005-0000-0000-0000E0040000}"/>
    <cellStyle name="Note 26" xfId="1298" xr:uid="{00000000-0005-0000-0000-0000E1040000}"/>
    <cellStyle name="Note 26 2" xfId="1299" xr:uid="{00000000-0005-0000-0000-0000E2040000}"/>
    <cellStyle name="Note 3" xfId="228" xr:uid="{00000000-0005-0000-0000-0000E3040000}"/>
    <cellStyle name="Note 3 2" xfId="229" xr:uid="{00000000-0005-0000-0000-0000E4040000}"/>
    <cellStyle name="Note 3 2 2" xfId="1300" xr:uid="{00000000-0005-0000-0000-0000E5040000}"/>
    <cellStyle name="Note 3 2 2 2" xfId="1301" xr:uid="{00000000-0005-0000-0000-0000E6040000}"/>
    <cellStyle name="Note 3 2 3" xfId="1302" xr:uid="{00000000-0005-0000-0000-0000E7040000}"/>
    <cellStyle name="Note 3 2 4" xfId="1303" xr:uid="{00000000-0005-0000-0000-0000E8040000}"/>
    <cellStyle name="Note 3 3" xfId="230" xr:uid="{00000000-0005-0000-0000-0000E9040000}"/>
    <cellStyle name="Note 3 3 2" xfId="1304" xr:uid="{00000000-0005-0000-0000-0000EA040000}"/>
    <cellStyle name="Note 3 3 3" xfId="1305" xr:uid="{00000000-0005-0000-0000-0000EB040000}"/>
    <cellStyle name="Note 3 4" xfId="231" xr:uid="{00000000-0005-0000-0000-0000EC040000}"/>
    <cellStyle name="Note 3 4 2" xfId="1306" xr:uid="{00000000-0005-0000-0000-0000ED040000}"/>
    <cellStyle name="Note 3 4 3" xfId="1307" xr:uid="{00000000-0005-0000-0000-0000EE040000}"/>
    <cellStyle name="Note 3 5" xfId="232" xr:uid="{00000000-0005-0000-0000-0000EF040000}"/>
    <cellStyle name="Note 3 5 2" xfId="1308" xr:uid="{00000000-0005-0000-0000-0000F0040000}"/>
    <cellStyle name="Note 3 6" xfId="233" xr:uid="{00000000-0005-0000-0000-0000F1040000}"/>
    <cellStyle name="Note 3 7" xfId="1309" xr:uid="{00000000-0005-0000-0000-0000F2040000}"/>
    <cellStyle name="Note 4" xfId="1310" xr:uid="{00000000-0005-0000-0000-0000F3040000}"/>
    <cellStyle name="Note 4 2" xfId="1311" xr:uid="{00000000-0005-0000-0000-0000F4040000}"/>
    <cellStyle name="Note 4 2 2" xfId="1312" xr:uid="{00000000-0005-0000-0000-0000F5040000}"/>
    <cellStyle name="Note 4 2 3" xfId="1313" xr:uid="{00000000-0005-0000-0000-0000F6040000}"/>
    <cellStyle name="Note 4 3" xfId="1314" xr:uid="{00000000-0005-0000-0000-0000F7040000}"/>
    <cellStyle name="Note 4 4" xfId="1315" xr:uid="{00000000-0005-0000-0000-0000F8040000}"/>
    <cellStyle name="Note 5" xfId="1316" xr:uid="{00000000-0005-0000-0000-0000F9040000}"/>
    <cellStyle name="Note 5 2" xfId="1317" xr:uid="{00000000-0005-0000-0000-0000FA040000}"/>
    <cellStyle name="Note 5 2 2" xfId="1318" xr:uid="{00000000-0005-0000-0000-0000FB040000}"/>
    <cellStyle name="Note 5 2 3" xfId="1319" xr:uid="{00000000-0005-0000-0000-0000FC040000}"/>
    <cellStyle name="Note 5 3" xfId="1320" xr:uid="{00000000-0005-0000-0000-0000FD040000}"/>
    <cellStyle name="Note 5 4" xfId="1321" xr:uid="{00000000-0005-0000-0000-0000FE040000}"/>
    <cellStyle name="Note 6" xfId="1322" xr:uid="{00000000-0005-0000-0000-0000FF040000}"/>
    <cellStyle name="Note 6 2" xfId="1323" xr:uid="{00000000-0005-0000-0000-000000050000}"/>
    <cellStyle name="Note 6 2 2" xfId="1324" xr:uid="{00000000-0005-0000-0000-000001050000}"/>
    <cellStyle name="Note 6 2 3" xfId="1325" xr:uid="{00000000-0005-0000-0000-000002050000}"/>
    <cellStyle name="Note 6 3" xfId="1326" xr:uid="{00000000-0005-0000-0000-000003050000}"/>
    <cellStyle name="Note 6 4" xfId="1327" xr:uid="{00000000-0005-0000-0000-000004050000}"/>
    <cellStyle name="Note 7" xfId="1328" xr:uid="{00000000-0005-0000-0000-000005050000}"/>
    <cellStyle name="Note 7 2" xfId="1329" xr:uid="{00000000-0005-0000-0000-000006050000}"/>
    <cellStyle name="Note 7 2 2" xfId="1330" xr:uid="{00000000-0005-0000-0000-000007050000}"/>
    <cellStyle name="Note 7 2 3" xfId="1331" xr:uid="{00000000-0005-0000-0000-000008050000}"/>
    <cellStyle name="Note 7 3" xfId="1332" xr:uid="{00000000-0005-0000-0000-000009050000}"/>
    <cellStyle name="Note 7 4" xfId="1333" xr:uid="{00000000-0005-0000-0000-00000A050000}"/>
    <cellStyle name="Note 8" xfId="1334" xr:uid="{00000000-0005-0000-0000-00000B050000}"/>
    <cellStyle name="Note 8 2" xfId="1335" xr:uid="{00000000-0005-0000-0000-00000C050000}"/>
    <cellStyle name="Note 8 3" xfId="1336" xr:uid="{00000000-0005-0000-0000-00000D050000}"/>
    <cellStyle name="Note 9" xfId="1337" xr:uid="{00000000-0005-0000-0000-00000E050000}"/>
    <cellStyle name="Note 9 2" xfId="1338" xr:uid="{00000000-0005-0000-0000-00000F050000}"/>
    <cellStyle name="Note 9 3" xfId="1339" xr:uid="{00000000-0005-0000-0000-000010050000}"/>
    <cellStyle name="Output 2" xfId="234" xr:uid="{00000000-0005-0000-0000-000011050000}"/>
    <cellStyle name="Output 2 2" xfId="235" xr:uid="{00000000-0005-0000-0000-000012050000}"/>
    <cellStyle name="Output 2 2 2" xfId="236" xr:uid="{00000000-0005-0000-0000-000013050000}"/>
    <cellStyle name="Output 2 2 3" xfId="237" xr:uid="{00000000-0005-0000-0000-000014050000}"/>
    <cellStyle name="Output 2 2 4" xfId="238" xr:uid="{00000000-0005-0000-0000-000015050000}"/>
    <cellStyle name="Output 2 2 5" xfId="239" xr:uid="{00000000-0005-0000-0000-000016050000}"/>
    <cellStyle name="Output 2 2 6" xfId="240" xr:uid="{00000000-0005-0000-0000-000017050000}"/>
    <cellStyle name="Output 2 2 7" xfId="241" xr:uid="{00000000-0005-0000-0000-000018050000}"/>
    <cellStyle name="Output 2 3" xfId="242" xr:uid="{00000000-0005-0000-0000-000019050000}"/>
    <cellStyle name="Output 2 4" xfId="243" xr:uid="{00000000-0005-0000-0000-00001A050000}"/>
    <cellStyle name="Output 2 5" xfId="244" xr:uid="{00000000-0005-0000-0000-00001B050000}"/>
    <cellStyle name="Output 2 6" xfId="245" xr:uid="{00000000-0005-0000-0000-00001C050000}"/>
    <cellStyle name="Output 2 7" xfId="246" xr:uid="{00000000-0005-0000-0000-00001D050000}"/>
    <cellStyle name="Output 2 8" xfId="247" xr:uid="{00000000-0005-0000-0000-00001E050000}"/>
    <cellStyle name="Output 3" xfId="248" xr:uid="{00000000-0005-0000-0000-00001F050000}"/>
    <cellStyle name="Output 3 2" xfId="249" xr:uid="{00000000-0005-0000-0000-000020050000}"/>
    <cellStyle name="Output 3 2 2" xfId="1340" xr:uid="{00000000-0005-0000-0000-000021050000}"/>
    <cellStyle name="Output 3 3" xfId="250" xr:uid="{00000000-0005-0000-0000-000022050000}"/>
    <cellStyle name="Output 3 4" xfId="251" xr:uid="{00000000-0005-0000-0000-000023050000}"/>
    <cellStyle name="Output 3 5" xfId="252" xr:uid="{00000000-0005-0000-0000-000024050000}"/>
    <cellStyle name="Output 3 6" xfId="253" xr:uid="{00000000-0005-0000-0000-000025050000}"/>
    <cellStyle name="Output 3 7" xfId="254" xr:uid="{00000000-0005-0000-0000-000026050000}"/>
    <cellStyle name="Percent 2" xfId="255" xr:uid="{00000000-0005-0000-0000-000027050000}"/>
    <cellStyle name="Percent 2 2" xfId="256" xr:uid="{00000000-0005-0000-0000-000028050000}"/>
    <cellStyle name="Percent 3" xfId="257" xr:uid="{00000000-0005-0000-0000-000029050000}"/>
    <cellStyle name="Percent 4" xfId="258" xr:uid="{00000000-0005-0000-0000-00002A050000}"/>
    <cellStyle name="Title 2" xfId="259" xr:uid="{00000000-0005-0000-0000-00002B050000}"/>
    <cellStyle name="Title 2 2" xfId="260" xr:uid="{00000000-0005-0000-0000-00002C050000}"/>
    <cellStyle name="Title 3" xfId="261" xr:uid="{00000000-0005-0000-0000-00002D050000}"/>
    <cellStyle name="Title 3 2" xfId="1341" xr:uid="{00000000-0005-0000-0000-00002E050000}"/>
    <cellStyle name="Title 3 3" xfId="1342" xr:uid="{00000000-0005-0000-0000-00002F050000}"/>
    <cellStyle name="Total 2" xfId="262" xr:uid="{00000000-0005-0000-0000-000030050000}"/>
    <cellStyle name="Total 2 2" xfId="263" xr:uid="{00000000-0005-0000-0000-000031050000}"/>
    <cellStyle name="Total 2 2 2" xfId="264" xr:uid="{00000000-0005-0000-0000-000032050000}"/>
    <cellStyle name="Total 2 2 3" xfId="265" xr:uid="{00000000-0005-0000-0000-000033050000}"/>
    <cellStyle name="Total 2 2 4" xfId="266" xr:uid="{00000000-0005-0000-0000-000034050000}"/>
    <cellStyle name="Total 2 2 5" xfId="267" xr:uid="{00000000-0005-0000-0000-000035050000}"/>
    <cellStyle name="Total 2 2 6" xfId="268" xr:uid="{00000000-0005-0000-0000-000036050000}"/>
    <cellStyle name="Total 2 2 7" xfId="269" xr:uid="{00000000-0005-0000-0000-000037050000}"/>
    <cellStyle name="Total 2 3" xfId="270" xr:uid="{00000000-0005-0000-0000-000038050000}"/>
    <cellStyle name="Total 2 4" xfId="271" xr:uid="{00000000-0005-0000-0000-000039050000}"/>
    <cellStyle name="Total 2 5" xfId="272" xr:uid="{00000000-0005-0000-0000-00003A050000}"/>
    <cellStyle name="Total 2 6" xfId="273" xr:uid="{00000000-0005-0000-0000-00003B050000}"/>
    <cellStyle name="Total 2 7" xfId="274" xr:uid="{00000000-0005-0000-0000-00003C050000}"/>
    <cellStyle name="Total 2 8" xfId="275" xr:uid="{00000000-0005-0000-0000-00003D050000}"/>
    <cellStyle name="Total 3" xfId="276" xr:uid="{00000000-0005-0000-0000-00003E050000}"/>
    <cellStyle name="Total 3 2" xfId="277" xr:uid="{00000000-0005-0000-0000-00003F050000}"/>
    <cellStyle name="Total 3 2 2" xfId="1343" xr:uid="{00000000-0005-0000-0000-000040050000}"/>
    <cellStyle name="Total 3 3" xfId="278" xr:uid="{00000000-0005-0000-0000-000041050000}"/>
    <cellStyle name="Total 3 4" xfId="279" xr:uid="{00000000-0005-0000-0000-000042050000}"/>
    <cellStyle name="Total 3 5" xfId="280" xr:uid="{00000000-0005-0000-0000-000043050000}"/>
    <cellStyle name="Total 3 6" xfId="281" xr:uid="{00000000-0005-0000-0000-000044050000}"/>
    <cellStyle name="Total 3 7" xfId="282" xr:uid="{00000000-0005-0000-0000-000045050000}"/>
    <cellStyle name="Warning Text 2" xfId="283" xr:uid="{00000000-0005-0000-0000-000046050000}"/>
    <cellStyle name="Warning Text 2 2" xfId="284" xr:uid="{00000000-0005-0000-0000-000047050000}"/>
    <cellStyle name="Warning Text 3" xfId="285" xr:uid="{00000000-0005-0000-0000-000048050000}"/>
  </cellStyles>
  <dxfs count="2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theme="0" tint="-0.14999847407452621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theme="0" tint="-0.14999847407452621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theme="0" tint="-0.14999847407452621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theme="0" tint="-0.14999847407452621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theme="0" tint="-0.14999847407452621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9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&quot;$&quot;#,##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9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theme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theme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9" formatCode="&quot;$&quot;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9" formatCode="&quot;$&quot;#,##0.00"/>
      <fill>
        <patternFill>
          <bgColor rgb="FFFFFF00"/>
        </patternFill>
      </fill>
      <border outline="0">
        <right style="thin">
          <color indexed="64"/>
        </right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numFmt numFmtId="0" formatCode="General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ck">
          <color auto="1"/>
        </bottom>
      </border>
    </dxf>
    <dxf>
      <border diagonalUp="0" diagonalDown="0">
        <left/>
        <right/>
        <top/>
        <bottom/>
        <vertical/>
        <horizontal/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PivotStyleLight16">
    <tableStyle name="Main - Simple" pivot="0" count="3" xr9:uid="{00000000-0011-0000-FFFF-FFFF00000000}">
      <tableStyleElement type="wholeTable" dxfId="274"/>
      <tableStyleElement type="headerRow" dxfId="273"/>
      <tableStyleElement type="firstRowStripe" dxfId="272"/>
    </tableStyle>
    <tableStyle name="Table Style 1" pivot="0" count="2" xr9:uid="{00000000-0011-0000-FFFF-FFFF01000000}">
      <tableStyleElement type="wholeTable" dxfId="271"/>
      <tableStyleElement type="headerRow" dxfId="2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89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3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externalLink" Target="externalLinks/externalLink2.xml"/><Relationship Id="rId88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1.xml"/><Relationship Id="rId19" Type="http://schemas.openxmlformats.org/officeDocument/2006/relationships/worksheet" Target="worksheets/sheet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ottske\Desktop\LRIP%207%20Update\Master%20Combined%20LRIP%20Requireme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calhost\C$\Users\pottske\Desktop\LRIP%207%20Update\Master%20Combined%20LRIP%20Requir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Details"/>
      <sheetName val="Stand-Up_Plus-Up Details"/>
      <sheetName val="Master SEID List - Everything"/>
      <sheetName val="All Lists_Current BOI+IOPs"/>
      <sheetName val="Current Total Rqd by SQDN"/>
      <sheetName val="LRIP 1(W) - 080113"/>
      <sheetName val="LRIP 2(W) 080113"/>
      <sheetName val="LRIP 3(W) 080113"/>
      <sheetName val="LRIP 4(W) 080113"/>
      <sheetName val="FY11(W) 082813"/>
      <sheetName val="FY11 PPE(W) 080113"/>
      <sheetName val="FY12(W) 082813"/>
      <sheetName val="LRIP 7"/>
      <sheetName val="Beaufort VMFAT501 Transfer List"/>
      <sheetName val="BF-CF SE xFer_Buy"/>
      <sheetName val="FY11 Annex C"/>
      <sheetName val="FY12 Annex C"/>
      <sheetName val="LRIP 7 Annex C - Jun13"/>
      <sheetName val="FH Ops LRIP 7"/>
      <sheetName val="2013 BedDow Layin Codes "/>
      <sheetName val="DD250 Decoder"/>
    </sheetNames>
    <sheetDataSet>
      <sheetData sheetId="0"/>
      <sheetData sheetId="1"/>
      <sheetData sheetId="2"/>
      <sheetData sheetId="3"/>
      <sheetData sheetId="4">
        <row r="2">
          <cell r="A2" t="str">
            <v>A00001</v>
          </cell>
          <cell r="B2">
            <v>72</v>
          </cell>
          <cell r="C2">
            <v>18</v>
          </cell>
          <cell r="D2">
            <v>18</v>
          </cell>
          <cell r="E2">
            <v>36</v>
          </cell>
          <cell r="F2">
            <v>72</v>
          </cell>
          <cell r="G2">
            <v>42</v>
          </cell>
          <cell r="H2">
            <v>57</v>
          </cell>
          <cell r="I2">
            <v>72</v>
          </cell>
          <cell r="J2">
            <v>3</v>
          </cell>
          <cell r="K2">
            <v>69</v>
          </cell>
          <cell r="L2">
            <v>48</v>
          </cell>
          <cell r="M2">
            <v>48</v>
          </cell>
          <cell r="N2">
            <v>12</v>
          </cell>
          <cell r="O2">
            <v>9</v>
          </cell>
          <cell r="P2">
            <v>0</v>
          </cell>
          <cell r="Q2">
            <v>15</v>
          </cell>
          <cell r="R2">
            <v>63</v>
          </cell>
          <cell r="S2">
            <v>30</v>
          </cell>
          <cell r="T2">
            <v>0</v>
          </cell>
          <cell r="U2">
            <v>6</v>
          </cell>
        </row>
        <row r="3">
          <cell r="A3" t="str">
            <v>A00002</v>
          </cell>
          <cell r="B3">
            <v>24</v>
          </cell>
          <cell r="C3">
            <v>6</v>
          </cell>
          <cell r="D3">
            <v>6</v>
          </cell>
          <cell r="E3">
            <v>12</v>
          </cell>
          <cell r="F3">
            <v>24</v>
          </cell>
          <cell r="G3">
            <v>14</v>
          </cell>
          <cell r="H3">
            <v>19</v>
          </cell>
          <cell r="I3">
            <v>24</v>
          </cell>
          <cell r="J3">
            <v>1</v>
          </cell>
          <cell r="K3">
            <v>23</v>
          </cell>
          <cell r="L3">
            <v>16</v>
          </cell>
          <cell r="M3">
            <v>16</v>
          </cell>
          <cell r="N3">
            <v>4</v>
          </cell>
          <cell r="O3">
            <v>3</v>
          </cell>
          <cell r="P3">
            <v>0</v>
          </cell>
          <cell r="Q3">
            <v>5</v>
          </cell>
          <cell r="R3">
            <v>21</v>
          </cell>
          <cell r="S3">
            <v>10</v>
          </cell>
          <cell r="T3">
            <v>0</v>
          </cell>
          <cell r="U3">
            <v>2</v>
          </cell>
        </row>
        <row r="4">
          <cell r="A4" t="str">
            <v>A00003</v>
          </cell>
          <cell r="B4">
            <v>24</v>
          </cell>
          <cell r="C4">
            <v>6</v>
          </cell>
          <cell r="D4">
            <v>6</v>
          </cell>
          <cell r="E4">
            <v>12</v>
          </cell>
          <cell r="F4">
            <v>24</v>
          </cell>
          <cell r="G4">
            <v>14</v>
          </cell>
          <cell r="H4">
            <v>0</v>
          </cell>
          <cell r="I4">
            <v>24</v>
          </cell>
          <cell r="J4">
            <v>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2</v>
          </cell>
        </row>
        <row r="5">
          <cell r="A5" t="str">
            <v>A00004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5</v>
          </cell>
          <cell r="R5">
            <v>21</v>
          </cell>
          <cell r="S5">
            <v>10</v>
          </cell>
          <cell r="T5">
            <v>0</v>
          </cell>
          <cell r="U5">
            <v>0</v>
          </cell>
        </row>
        <row r="6">
          <cell r="A6" t="str">
            <v>A00005</v>
          </cell>
          <cell r="B6">
            <v>24</v>
          </cell>
          <cell r="C6">
            <v>6</v>
          </cell>
          <cell r="D6">
            <v>6</v>
          </cell>
          <cell r="E6">
            <v>12</v>
          </cell>
          <cell r="F6">
            <v>24</v>
          </cell>
          <cell r="G6">
            <v>14</v>
          </cell>
          <cell r="H6">
            <v>19</v>
          </cell>
          <cell r="I6">
            <v>24</v>
          </cell>
          <cell r="J6">
            <v>1</v>
          </cell>
          <cell r="K6">
            <v>23</v>
          </cell>
          <cell r="L6">
            <v>16</v>
          </cell>
          <cell r="M6">
            <v>16</v>
          </cell>
          <cell r="N6">
            <v>4</v>
          </cell>
          <cell r="O6">
            <v>3</v>
          </cell>
          <cell r="P6">
            <v>0</v>
          </cell>
          <cell r="Q6">
            <v>5</v>
          </cell>
          <cell r="R6">
            <v>21</v>
          </cell>
          <cell r="S6">
            <v>10</v>
          </cell>
          <cell r="T6">
            <v>0</v>
          </cell>
          <cell r="U6">
            <v>2</v>
          </cell>
        </row>
        <row r="7">
          <cell r="A7" t="str">
            <v>A00008</v>
          </cell>
          <cell r="B7">
            <v>24</v>
          </cell>
          <cell r="C7">
            <v>6</v>
          </cell>
          <cell r="D7">
            <v>6</v>
          </cell>
          <cell r="E7">
            <v>12</v>
          </cell>
          <cell r="F7">
            <v>24</v>
          </cell>
          <cell r="G7">
            <v>14</v>
          </cell>
          <cell r="H7">
            <v>0</v>
          </cell>
          <cell r="I7">
            <v>24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5</v>
          </cell>
          <cell r="R7">
            <v>21</v>
          </cell>
          <cell r="S7">
            <v>10</v>
          </cell>
          <cell r="T7">
            <v>0</v>
          </cell>
          <cell r="U7">
            <v>2</v>
          </cell>
        </row>
        <row r="8">
          <cell r="A8" t="str">
            <v>A00008B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19</v>
          </cell>
          <cell r="I8">
            <v>0</v>
          </cell>
          <cell r="J8">
            <v>0</v>
          </cell>
          <cell r="K8">
            <v>23</v>
          </cell>
          <cell r="L8">
            <v>16</v>
          </cell>
          <cell r="M8">
            <v>16</v>
          </cell>
          <cell r="N8">
            <v>4</v>
          </cell>
          <cell r="O8">
            <v>3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A00009</v>
          </cell>
          <cell r="B9">
            <v>24</v>
          </cell>
          <cell r="C9">
            <v>6</v>
          </cell>
          <cell r="D9">
            <v>6</v>
          </cell>
          <cell r="E9">
            <v>12</v>
          </cell>
          <cell r="F9">
            <v>24</v>
          </cell>
          <cell r="G9">
            <v>14</v>
          </cell>
          <cell r="H9">
            <v>19</v>
          </cell>
          <cell r="I9">
            <v>24</v>
          </cell>
          <cell r="J9">
            <v>1</v>
          </cell>
          <cell r="K9">
            <v>23</v>
          </cell>
          <cell r="L9">
            <v>16</v>
          </cell>
          <cell r="M9">
            <v>16</v>
          </cell>
          <cell r="N9">
            <v>4</v>
          </cell>
          <cell r="O9">
            <v>3</v>
          </cell>
          <cell r="P9">
            <v>0</v>
          </cell>
          <cell r="Q9">
            <v>5</v>
          </cell>
          <cell r="R9">
            <v>21</v>
          </cell>
          <cell r="S9">
            <v>10</v>
          </cell>
          <cell r="T9">
            <v>0</v>
          </cell>
          <cell r="U9">
            <v>2</v>
          </cell>
        </row>
        <row r="10">
          <cell r="A10" t="str">
            <v>A00011</v>
          </cell>
          <cell r="B10">
            <v>24</v>
          </cell>
          <cell r="C10">
            <v>6</v>
          </cell>
          <cell r="D10">
            <v>6</v>
          </cell>
          <cell r="E10">
            <v>12</v>
          </cell>
          <cell r="F10">
            <v>24</v>
          </cell>
          <cell r="G10">
            <v>14</v>
          </cell>
          <cell r="H10">
            <v>19</v>
          </cell>
          <cell r="I10">
            <v>24</v>
          </cell>
          <cell r="J10">
            <v>1</v>
          </cell>
          <cell r="K10">
            <v>23</v>
          </cell>
          <cell r="L10">
            <v>16</v>
          </cell>
          <cell r="M10">
            <v>16</v>
          </cell>
          <cell r="N10">
            <v>4</v>
          </cell>
          <cell r="O10">
            <v>3</v>
          </cell>
          <cell r="P10">
            <v>0</v>
          </cell>
          <cell r="Q10">
            <v>5</v>
          </cell>
          <cell r="R10">
            <v>21</v>
          </cell>
          <cell r="S10">
            <v>10</v>
          </cell>
          <cell r="T10">
            <v>0</v>
          </cell>
          <cell r="U10">
            <v>2</v>
          </cell>
        </row>
        <row r="11">
          <cell r="A11" t="str">
            <v>A00013</v>
          </cell>
          <cell r="B11">
            <v>24</v>
          </cell>
          <cell r="C11">
            <v>6</v>
          </cell>
          <cell r="D11">
            <v>6</v>
          </cell>
          <cell r="E11">
            <v>12</v>
          </cell>
          <cell r="F11">
            <v>24</v>
          </cell>
          <cell r="G11">
            <v>14</v>
          </cell>
          <cell r="H11">
            <v>0</v>
          </cell>
          <cell r="I11">
            <v>24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5</v>
          </cell>
          <cell r="R11">
            <v>21</v>
          </cell>
          <cell r="S11">
            <v>10</v>
          </cell>
          <cell r="T11">
            <v>0</v>
          </cell>
          <cell r="U11">
            <v>2</v>
          </cell>
        </row>
        <row r="12">
          <cell r="A12" t="str">
            <v>A00013B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19</v>
          </cell>
          <cell r="I12">
            <v>0</v>
          </cell>
          <cell r="J12">
            <v>0</v>
          </cell>
          <cell r="K12">
            <v>23</v>
          </cell>
          <cell r="L12">
            <v>16</v>
          </cell>
          <cell r="M12">
            <v>16</v>
          </cell>
          <cell r="N12">
            <v>4</v>
          </cell>
          <cell r="O12">
            <v>3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A00014</v>
          </cell>
          <cell r="B13">
            <v>24</v>
          </cell>
          <cell r="C13">
            <v>6</v>
          </cell>
          <cell r="D13">
            <v>6</v>
          </cell>
          <cell r="E13">
            <v>12</v>
          </cell>
          <cell r="F13">
            <v>24</v>
          </cell>
          <cell r="G13">
            <v>14</v>
          </cell>
          <cell r="H13">
            <v>19</v>
          </cell>
          <cell r="I13">
            <v>24</v>
          </cell>
          <cell r="J13">
            <v>1</v>
          </cell>
          <cell r="K13">
            <v>23</v>
          </cell>
          <cell r="L13">
            <v>16</v>
          </cell>
          <cell r="M13">
            <v>16</v>
          </cell>
          <cell r="N13">
            <v>4</v>
          </cell>
          <cell r="O13">
            <v>3</v>
          </cell>
          <cell r="P13">
            <v>0</v>
          </cell>
          <cell r="Q13">
            <v>5</v>
          </cell>
          <cell r="R13">
            <v>21</v>
          </cell>
          <cell r="S13">
            <v>10</v>
          </cell>
          <cell r="T13">
            <v>0</v>
          </cell>
          <cell r="U13">
            <v>2</v>
          </cell>
        </row>
        <row r="14">
          <cell r="A14" t="str">
            <v>A00015C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5</v>
          </cell>
          <cell r="R14">
            <v>21</v>
          </cell>
          <cell r="S14">
            <v>10</v>
          </cell>
          <cell r="T14">
            <v>0</v>
          </cell>
          <cell r="U14">
            <v>0</v>
          </cell>
        </row>
        <row r="15">
          <cell r="A15" t="str">
            <v>A00016</v>
          </cell>
          <cell r="B15">
            <v>24</v>
          </cell>
          <cell r="C15">
            <v>6</v>
          </cell>
          <cell r="D15">
            <v>6</v>
          </cell>
          <cell r="E15">
            <v>12</v>
          </cell>
          <cell r="F15">
            <v>24</v>
          </cell>
          <cell r="G15">
            <v>14</v>
          </cell>
          <cell r="H15">
            <v>19</v>
          </cell>
          <cell r="I15">
            <v>24</v>
          </cell>
          <cell r="J15">
            <v>1</v>
          </cell>
          <cell r="K15">
            <v>23</v>
          </cell>
          <cell r="L15">
            <v>16</v>
          </cell>
          <cell r="M15">
            <v>16</v>
          </cell>
          <cell r="N15">
            <v>4</v>
          </cell>
          <cell r="O15">
            <v>3</v>
          </cell>
          <cell r="P15">
            <v>0</v>
          </cell>
          <cell r="Q15">
            <v>5</v>
          </cell>
          <cell r="R15">
            <v>21</v>
          </cell>
          <cell r="S15">
            <v>10</v>
          </cell>
          <cell r="T15">
            <v>0</v>
          </cell>
          <cell r="U15">
            <v>2</v>
          </cell>
        </row>
        <row r="16">
          <cell r="A16" t="str">
            <v>A00017</v>
          </cell>
          <cell r="B16">
            <v>24</v>
          </cell>
          <cell r="C16">
            <v>6</v>
          </cell>
          <cell r="D16">
            <v>6</v>
          </cell>
          <cell r="E16">
            <v>12</v>
          </cell>
          <cell r="F16">
            <v>24</v>
          </cell>
          <cell r="G16">
            <v>14</v>
          </cell>
          <cell r="H16">
            <v>19</v>
          </cell>
          <cell r="I16">
            <v>24</v>
          </cell>
          <cell r="J16">
            <v>1</v>
          </cell>
          <cell r="K16">
            <v>23</v>
          </cell>
          <cell r="L16">
            <v>16</v>
          </cell>
          <cell r="M16">
            <v>16</v>
          </cell>
          <cell r="N16">
            <v>4</v>
          </cell>
          <cell r="O16">
            <v>3</v>
          </cell>
          <cell r="P16">
            <v>0</v>
          </cell>
          <cell r="Q16">
            <v>5</v>
          </cell>
          <cell r="R16">
            <v>21</v>
          </cell>
          <cell r="S16">
            <v>10</v>
          </cell>
          <cell r="T16">
            <v>0</v>
          </cell>
          <cell r="U16">
            <v>2</v>
          </cell>
        </row>
        <row r="17">
          <cell r="A17" t="str">
            <v>A00018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19</v>
          </cell>
          <cell r="I17">
            <v>0</v>
          </cell>
          <cell r="J17">
            <v>0</v>
          </cell>
          <cell r="K17">
            <v>23</v>
          </cell>
          <cell r="L17">
            <v>16</v>
          </cell>
          <cell r="M17">
            <v>16</v>
          </cell>
          <cell r="N17">
            <v>4</v>
          </cell>
          <cell r="O17">
            <v>3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J00005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J00006</v>
          </cell>
          <cell r="B19">
            <v>36</v>
          </cell>
          <cell r="C19">
            <v>9</v>
          </cell>
          <cell r="D19">
            <v>9</v>
          </cell>
          <cell r="E19">
            <v>18</v>
          </cell>
          <cell r="F19">
            <v>36</v>
          </cell>
          <cell r="G19">
            <v>21</v>
          </cell>
          <cell r="H19">
            <v>29</v>
          </cell>
          <cell r="I19">
            <v>36</v>
          </cell>
          <cell r="J19">
            <v>2</v>
          </cell>
          <cell r="K19">
            <v>35</v>
          </cell>
          <cell r="L19">
            <v>24</v>
          </cell>
          <cell r="M19">
            <v>24</v>
          </cell>
          <cell r="N19">
            <v>6</v>
          </cell>
          <cell r="O19">
            <v>5</v>
          </cell>
          <cell r="P19">
            <v>0</v>
          </cell>
          <cell r="Q19">
            <v>8</v>
          </cell>
          <cell r="R19">
            <v>32</v>
          </cell>
          <cell r="S19">
            <v>15</v>
          </cell>
          <cell r="T19">
            <v>0</v>
          </cell>
          <cell r="U19">
            <v>3</v>
          </cell>
        </row>
        <row r="20">
          <cell r="A20" t="str">
            <v>J00007</v>
          </cell>
          <cell r="B20">
            <v>2</v>
          </cell>
          <cell r="C20">
            <v>2</v>
          </cell>
          <cell r="D20">
            <v>2</v>
          </cell>
          <cell r="E20">
            <v>2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</row>
        <row r="21">
          <cell r="A21" t="str">
            <v>J00008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3</v>
          </cell>
          <cell r="Q21">
            <v>0</v>
          </cell>
          <cell r="R21">
            <v>0</v>
          </cell>
          <cell r="S21">
            <v>0</v>
          </cell>
          <cell r="T21">
            <v>3</v>
          </cell>
          <cell r="U21">
            <v>0</v>
          </cell>
        </row>
        <row r="22">
          <cell r="A22" t="str">
            <v>J00009</v>
          </cell>
          <cell r="B22">
            <v>5</v>
          </cell>
          <cell r="C22">
            <v>2</v>
          </cell>
          <cell r="D22">
            <v>2</v>
          </cell>
          <cell r="E22">
            <v>2</v>
          </cell>
          <cell r="F22">
            <v>5</v>
          </cell>
          <cell r="G22">
            <v>3</v>
          </cell>
          <cell r="H22">
            <v>7</v>
          </cell>
          <cell r="I22">
            <v>5</v>
          </cell>
          <cell r="J22">
            <v>2</v>
          </cell>
          <cell r="K22">
            <v>8</v>
          </cell>
          <cell r="L22">
            <v>6</v>
          </cell>
          <cell r="M22">
            <v>5</v>
          </cell>
          <cell r="N22">
            <v>3</v>
          </cell>
          <cell r="O22">
            <v>1</v>
          </cell>
          <cell r="P22">
            <v>0</v>
          </cell>
          <cell r="Q22">
            <v>3</v>
          </cell>
          <cell r="R22">
            <v>8</v>
          </cell>
          <cell r="S22">
            <v>4</v>
          </cell>
          <cell r="T22">
            <v>0</v>
          </cell>
          <cell r="U22">
            <v>1</v>
          </cell>
        </row>
        <row r="23">
          <cell r="A23" t="str">
            <v>J00010</v>
          </cell>
          <cell r="B23">
            <v>5</v>
          </cell>
          <cell r="C23">
            <v>2</v>
          </cell>
          <cell r="D23">
            <v>2</v>
          </cell>
          <cell r="E23">
            <v>2</v>
          </cell>
          <cell r="F23">
            <v>5</v>
          </cell>
          <cell r="G23">
            <v>3</v>
          </cell>
          <cell r="H23">
            <v>5</v>
          </cell>
          <cell r="I23">
            <v>5</v>
          </cell>
          <cell r="J23">
            <v>2</v>
          </cell>
          <cell r="K23">
            <v>5</v>
          </cell>
          <cell r="L23">
            <v>4</v>
          </cell>
          <cell r="M23">
            <v>3</v>
          </cell>
          <cell r="N23">
            <v>2</v>
          </cell>
          <cell r="O23">
            <v>1</v>
          </cell>
          <cell r="P23">
            <v>2</v>
          </cell>
          <cell r="Q23">
            <v>2</v>
          </cell>
          <cell r="R23">
            <v>5</v>
          </cell>
          <cell r="S23">
            <v>3</v>
          </cell>
          <cell r="T23">
            <v>2</v>
          </cell>
          <cell r="U23">
            <v>1</v>
          </cell>
        </row>
        <row r="24">
          <cell r="A24" t="str">
            <v>J00011</v>
          </cell>
          <cell r="B24">
            <v>3</v>
          </cell>
          <cell r="C24">
            <v>2</v>
          </cell>
          <cell r="D24">
            <v>2</v>
          </cell>
          <cell r="E24">
            <v>1</v>
          </cell>
          <cell r="F24">
            <v>3</v>
          </cell>
          <cell r="G24">
            <v>2</v>
          </cell>
          <cell r="H24">
            <v>3</v>
          </cell>
          <cell r="I24">
            <v>3</v>
          </cell>
          <cell r="J24">
            <v>2</v>
          </cell>
          <cell r="K24">
            <v>3</v>
          </cell>
          <cell r="L24">
            <v>3</v>
          </cell>
          <cell r="M24">
            <v>2</v>
          </cell>
          <cell r="N24">
            <v>2</v>
          </cell>
          <cell r="O24">
            <v>1</v>
          </cell>
          <cell r="P24">
            <v>0</v>
          </cell>
          <cell r="Q24">
            <v>2</v>
          </cell>
          <cell r="R24">
            <v>4</v>
          </cell>
          <cell r="S24">
            <v>2</v>
          </cell>
          <cell r="T24">
            <v>0</v>
          </cell>
          <cell r="U24">
            <v>1</v>
          </cell>
        </row>
        <row r="25">
          <cell r="A25" t="str">
            <v>J00012</v>
          </cell>
          <cell r="B25">
            <v>3</v>
          </cell>
          <cell r="C25">
            <v>2</v>
          </cell>
          <cell r="D25">
            <v>2</v>
          </cell>
          <cell r="E25">
            <v>1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3</v>
          </cell>
          <cell r="L25">
            <v>3</v>
          </cell>
          <cell r="M25">
            <v>2</v>
          </cell>
          <cell r="N25">
            <v>2</v>
          </cell>
          <cell r="O25">
            <v>1</v>
          </cell>
          <cell r="P25">
            <v>2</v>
          </cell>
          <cell r="Q25">
            <v>2</v>
          </cell>
          <cell r="R25">
            <v>4</v>
          </cell>
          <cell r="S25">
            <v>2</v>
          </cell>
          <cell r="T25">
            <v>2</v>
          </cell>
          <cell r="U25">
            <v>1</v>
          </cell>
        </row>
        <row r="26">
          <cell r="A26" t="str">
            <v>J00013</v>
          </cell>
          <cell r="B26">
            <v>5</v>
          </cell>
          <cell r="C26">
            <v>2</v>
          </cell>
          <cell r="D26">
            <v>2</v>
          </cell>
          <cell r="E26">
            <v>2</v>
          </cell>
          <cell r="F26">
            <v>5</v>
          </cell>
          <cell r="G26">
            <v>3</v>
          </cell>
          <cell r="H26">
            <v>5</v>
          </cell>
          <cell r="I26">
            <v>5</v>
          </cell>
          <cell r="J26">
            <v>2</v>
          </cell>
          <cell r="K26">
            <v>5</v>
          </cell>
          <cell r="L26">
            <v>4</v>
          </cell>
          <cell r="M26">
            <v>3</v>
          </cell>
          <cell r="N26">
            <v>2</v>
          </cell>
          <cell r="O26">
            <v>1</v>
          </cell>
          <cell r="P26">
            <v>0</v>
          </cell>
          <cell r="Q26">
            <v>2</v>
          </cell>
          <cell r="R26">
            <v>5</v>
          </cell>
          <cell r="S26">
            <v>3</v>
          </cell>
          <cell r="T26">
            <v>0</v>
          </cell>
          <cell r="U26">
            <v>1</v>
          </cell>
        </row>
        <row r="27">
          <cell r="A27" t="str">
            <v>J00013-W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J00014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 t="str">
            <v>J00016</v>
          </cell>
          <cell r="B29">
            <v>3</v>
          </cell>
          <cell r="C29">
            <v>3</v>
          </cell>
          <cell r="D29">
            <v>3</v>
          </cell>
          <cell r="E29">
            <v>3</v>
          </cell>
          <cell r="F29">
            <v>3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  <cell r="M29">
            <v>3</v>
          </cell>
          <cell r="N29">
            <v>3</v>
          </cell>
          <cell r="O29">
            <v>3</v>
          </cell>
          <cell r="P29">
            <v>2</v>
          </cell>
          <cell r="Q29">
            <v>3</v>
          </cell>
          <cell r="R29">
            <v>3</v>
          </cell>
          <cell r="S29">
            <v>3</v>
          </cell>
          <cell r="T29">
            <v>2</v>
          </cell>
          <cell r="U29">
            <v>3</v>
          </cell>
        </row>
        <row r="30">
          <cell r="A30" t="str">
            <v>J00017</v>
          </cell>
          <cell r="B30">
            <v>2</v>
          </cell>
          <cell r="C30">
            <v>2</v>
          </cell>
          <cell r="D30">
            <v>2</v>
          </cell>
          <cell r="E30">
            <v>0</v>
          </cell>
          <cell r="F30">
            <v>2</v>
          </cell>
          <cell r="G30">
            <v>0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  <cell r="L30">
            <v>2</v>
          </cell>
          <cell r="M30">
            <v>0</v>
          </cell>
          <cell r="N30">
            <v>2</v>
          </cell>
          <cell r="O30">
            <v>0</v>
          </cell>
          <cell r="P30">
            <v>1</v>
          </cell>
          <cell r="Q30">
            <v>3</v>
          </cell>
          <cell r="R30">
            <v>3</v>
          </cell>
          <cell r="S30">
            <v>3</v>
          </cell>
          <cell r="T30">
            <v>1</v>
          </cell>
          <cell r="U30">
            <v>0</v>
          </cell>
        </row>
        <row r="31">
          <cell r="A31" t="str">
            <v>J00019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646</v>
          </cell>
          <cell r="I31">
            <v>0</v>
          </cell>
          <cell r="J31">
            <v>0</v>
          </cell>
          <cell r="K31">
            <v>782</v>
          </cell>
          <cell r="L31">
            <v>544</v>
          </cell>
          <cell r="M31">
            <v>544</v>
          </cell>
          <cell r="N31">
            <v>0</v>
          </cell>
          <cell r="O31">
            <v>0</v>
          </cell>
          <cell r="P31">
            <v>0</v>
          </cell>
          <cell r="Q31">
            <v>210</v>
          </cell>
          <cell r="R31">
            <v>882</v>
          </cell>
          <cell r="S31">
            <v>420</v>
          </cell>
          <cell r="T31">
            <v>0</v>
          </cell>
          <cell r="U31">
            <v>0</v>
          </cell>
        </row>
        <row r="32">
          <cell r="A32" t="str">
            <v>J00021</v>
          </cell>
          <cell r="B32">
            <v>12</v>
          </cell>
          <cell r="C32">
            <v>4</v>
          </cell>
          <cell r="D32">
            <v>4</v>
          </cell>
          <cell r="E32">
            <v>6</v>
          </cell>
          <cell r="F32">
            <v>12</v>
          </cell>
          <cell r="G32">
            <v>7</v>
          </cell>
          <cell r="H32">
            <v>10</v>
          </cell>
          <cell r="I32">
            <v>12</v>
          </cell>
          <cell r="J32">
            <v>4</v>
          </cell>
          <cell r="K32">
            <v>12</v>
          </cell>
          <cell r="L32">
            <v>8</v>
          </cell>
          <cell r="M32">
            <v>8</v>
          </cell>
          <cell r="N32">
            <v>4</v>
          </cell>
          <cell r="O32">
            <v>4</v>
          </cell>
          <cell r="P32">
            <v>0</v>
          </cell>
          <cell r="Q32">
            <v>4</v>
          </cell>
          <cell r="R32">
            <v>11</v>
          </cell>
          <cell r="S32">
            <v>5</v>
          </cell>
          <cell r="T32">
            <v>0</v>
          </cell>
          <cell r="U32">
            <v>4</v>
          </cell>
        </row>
        <row r="33">
          <cell r="A33" t="str">
            <v>J00022</v>
          </cell>
          <cell r="B33">
            <v>7</v>
          </cell>
          <cell r="C33">
            <v>3</v>
          </cell>
          <cell r="D33">
            <v>3</v>
          </cell>
          <cell r="E33">
            <v>4</v>
          </cell>
          <cell r="F33">
            <v>7</v>
          </cell>
          <cell r="G33">
            <v>5</v>
          </cell>
          <cell r="H33">
            <v>7</v>
          </cell>
          <cell r="I33">
            <v>7</v>
          </cell>
          <cell r="J33">
            <v>3</v>
          </cell>
          <cell r="K33">
            <v>7</v>
          </cell>
          <cell r="L33">
            <v>7</v>
          </cell>
          <cell r="M33">
            <v>6</v>
          </cell>
          <cell r="N33">
            <v>3</v>
          </cell>
          <cell r="O33">
            <v>2</v>
          </cell>
          <cell r="P33">
            <v>4</v>
          </cell>
          <cell r="Q33">
            <v>6</v>
          </cell>
          <cell r="R33">
            <v>10</v>
          </cell>
          <cell r="S33">
            <v>8</v>
          </cell>
          <cell r="T33">
            <v>6</v>
          </cell>
          <cell r="U33">
            <v>2</v>
          </cell>
        </row>
        <row r="34">
          <cell r="A34" t="str">
            <v>J00025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5</v>
          </cell>
          <cell r="I34">
            <v>0</v>
          </cell>
          <cell r="J34">
            <v>0</v>
          </cell>
          <cell r="K34">
            <v>5</v>
          </cell>
          <cell r="L34">
            <v>4</v>
          </cell>
          <cell r="M34">
            <v>3</v>
          </cell>
          <cell r="N34">
            <v>2</v>
          </cell>
          <cell r="O34">
            <v>1</v>
          </cell>
          <cell r="P34">
            <v>7</v>
          </cell>
          <cell r="Q34">
            <v>2</v>
          </cell>
          <cell r="R34">
            <v>5</v>
          </cell>
          <cell r="S34">
            <v>3</v>
          </cell>
          <cell r="T34">
            <v>5</v>
          </cell>
          <cell r="U34">
            <v>0</v>
          </cell>
        </row>
        <row r="35">
          <cell r="A35" t="str">
            <v>J00026</v>
          </cell>
          <cell r="B35">
            <v>4</v>
          </cell>
          <cell r="C35">
            <v>2</v>
          </cell>
          <cell r="D35">
            <v>2</v>
          </cell>
          <cell r="E35">
            <v>2</v>
          </cell>
          <cell r="F35">
            <v>4</v>
          </cell>
          <cell r="G35">
            <v>3</v>
          </cell>
          <cell r="H35">
            <v>0</v>
          </cell>
          <cell r="I35">
            <v>4</v>
          </cell>
          <cell r="J35">
            <v>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</row>
        <row r="36">
          <cell r="A36" t="str">
            <v>J00027A</v>
          </cell>
          <cell r="B36">
            <v>144</v>
          </cell>
          <cell r="C36">
            <v>36</v>
          </cell>
          <cell r="D36">
            <v>36</v>
          </cell>
          <cell r="E36">
            <v>72</v>
          </cell>
          <cell r="F36">
            <v>144</v>
          </cell>
          <cell r="G36">
            <v>84</v>
          </cell>
          <cell r="H36">
            <v>0</v>
          </cell>
          <cell r="I36">
            <v>144</v>
          </cell>
          <cell r="J36">
            <v>6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20</v>
          </cell>
          <cell r="R36">
            <v>84</v>
          </cell>
          <cell r="S36">
            <v>40</v>
          </cell>
          <cell r="T36">
            <v>0</v>
          </cell>
          <cell r="U36">
            <v>12</v>
          </cell>
        </row>
        <row r="37">
          <cell r="A37" t="str">
            <v>J00027C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38</v>
          </cell>
          <cell r="I37">
            <v>0</v>
          </cell>
          <cell r="J37">
            <v>0</v>
          </cell>
          <cell r="K37">
            <v>46</v>
          </cell>
          <cell r="L37">
            <v>32</v>
          </cell>
          <cell r="M37">
            <v>32</v>
          </cell>
          <cell r="N37">
            <v>8</v>
          </cell>
          <cell r="O37">
            <v>6</v>
          </cell>
          <cell r="P37">
            <v>12</v>
          </cell>
          <cell r="Q37">
            <v>0</v>
          </cell>
          <cell r="R37">
            <v>0</v>
          </cell>
          <cell r="S37">
            <v>0</v>
          </cell>
          <cell r="T37">
            <v>8</v>
          </cell>
          <cell r="U37">
            <v>0</v>
          </cell>
        </row>
        <row r="38">
          <cell r="A38" t="str">
            <v>J00028</v>
          </cell>
          <cell r="B38">
            <v>14</v>
          </cell>
          <cell r="C38">
            <v>10</v>
          </cell>
          <cell r="D38">
            <v>10</v>
          </cell>
          <cell r="E38">
            <v>9</v>
          </cell>
          <cell r="F38">
            <v>14</v>
          </cell>
          <cell r="G38">
            <v>10</v>
          </cell>
          <cell r="H38">
            <v>13</v>
          </cell>
          <cell r="I38">
            <v>14</v>
          </cell>
          <cell r="J38">
            <v>10</v>
          </cell>
          <cell r="K38">
            <v>14</v>
          </cell>
          <cell r="L38">
            <v>12</v>
          </cell>
          <cell r="M38">
            <v>4</v>
          </cell>
          <cell r="N38">
            <v>10</v>
          </cell>
          <cell r="O38">
            <v>8</v>
          </cell>
          <cell r="P38">
            <v>0</v>
          </cell>
          <cell r="Q38">
            <v>10</v>
          </cell>
          <cell r="R38">
            <v>14</v>
          </cell>
          <cell r="S38">
            <v>11</v>
          </cell>
          <cell r="T38">
            <v>0</v>
          </cell>
          <cell r="U38">
            <v>8</v>
          </cell>
        </row>
        <row r="39">
          <cell r="A39" t="str">
            <v>J00029</v>
          </cell>
          <cell r="B39">
            <v>3</v>
          </cell>
          <cell r="C39">
            <v>3</v>
          </cell>
          <cell r="D39">
            <v>3</v>
          </cell>
          <cell r="E39">
            <v>0</v>
          </cell>
          <cell r="F39">
            <v>3</v>
          </cell>
          <cell r="G39">
            <v>0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  <cell r="L39">
            <v>3</v>
          </cell>
          <cell r="M39">
            <v>0</v>
          </cell>
          <cell r="N39">
            <v>3</v>
          </cell>
          <cell r="O39">
            <v>0</v>
          </cell>
          <cell r="P39">
            <v>0</v>
          </cell>
          <cell r="Q39">
            <v>3</v>
          </cell>
          <cell r="R39">
            <v>3</v>
          </cell>
          <cell r="S39">
            <v>3</v>
          </cell>
          <cell r="T39">
            <v>0</v>
          </cell>
          <cell r="U39">
            <v>0</v>
          </cell>
        </row>
        <row r="40">
          <cell r="A40" t="str">
            <v>J00030D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1</v>
          </cell>
          <cell r="Q40">
            <v>0</v>
          </cell>
          <cell r="R40">
            <v>0</v>
          </cell>
          <cell r="S40">
            <v>0</v>
          </cell>
          <cell r="T40">
            <v>1</v>
          </cell>
          <cell r="U40">
            <v>0</v>
          </cell>
        </row>
        <row r="41">
          <cell r="A41" t="str">
            <v>J00030E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 t="str">
            <v>J00033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  <cell r="I42">
            <v>2</v>
          </cell>
          <cell r="J42">
            <v>2</v>
          </cell>
          <cell r="K42">
            <v>2</v>
          </cell>
          <cell r="L42">
            <v>2</v>
          </cell>
          <cell r="M42">
            <v>2</v>
          </cell>
          <cell r="N42">
            <v>2</v>
          </cell>
          <cell r="O42">
            <v>2</v>
          </cell>
          <cell r="P42">
            <v>0</v>
          </cell>
          <cell r="Q42">
            <v>2</v>
          </cell>
          <cell r="R42">
            <v>2</v>
          </cell>
          <cell r="S42">
            <v>2</v>
          </cell>
          <cell r="T42">
            <v>0</v>
          </cell>
          <cell r="U42">
            <v>2</v>
          </cell>
        </row>
        <row r="43">
          <cell r="A43" t="str">
            <v>J00040</v>
          </cell>
          <cell r="B43">
            <v>7</v>
          </cell>
          <cell r="C43">
            <v>4</v>
          </cell>
          <cell r="D43">
            <v>4</v>
          </cell>
          <cell r="E43">
            <v>4</v>
          </cell>
          <cell r="F43">
            <v>7</v>
          </cell>
          <cell r="G43">
            <v>5</v>
          </cell>
          <cell r="H43">
            <v>7</v>
          </cell>
          <cell r="I43">
            <v>7</v>
          </cell>
          <cell r="J43">
            <v>4</v>
          </cell>
          <cell r="K43">
            <v>7</v>
          </cell>
          <cell r="L43">
            <v>6</v>
          </cell>
          <cell r="M43">
            <v>4</v>
          </cell>
          <cell r="N43">
            <v>4</v>
          </cell>
          <cell r="O43">
            <v>3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3</v>
          </cell>
        </row>
        <row r="44">
          <cell r="A44" t="str">
            <v>J00045</v>
          </cell>
          <cell r="B44">
            <v>1</v>
          </cell>
          <cell r="C44">
            <v>1</v>
          </cell>
          <cell r="D44">
            <v>1</v>
          </cell>
          <cell r="E44">
            <v>0</v>
          </cell>
          <cell r="F44">
            <v>1</v>
          </cell>
          <cell r="G44">
            <v>0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0</v>
          </cell>
          <cell r="N44">
            <v>1</v>
          </cell>
          <cell r="O44">
            <v>0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0</v>
          </cell>
        </row>
        <row r="45">
          <cell r="A45" t="str">
            <v>J00046</v>
          </cell>
          <cell r="B45">
            <v>5</v>
          </cell>
          <cell r="C45">
            <v>2</v>
          </cell>
          <cell r="D45">
            <v>2</v>
          </cell>
          <cell r="E45">
            <v>2</v>
          </cell>
          <cell r="F45">
            <v>5</v>
          </cell>
          <cell r="G45">
            <v>3</v>
          </cell>
          <cell r="H45">
            <v>5</v>
          </cell>
          <cell r="I45">
            <v>5</v>
          </cell>
          <cell r="J45">
            <v>2</v>
          </cell>
          <cell r="K45">
            <v>5</v>
          </cell>
          <cell r="L45">
            <v>4</v>
          </cell>
          <cell r="M45">
            <v>3</v>
          </cell>
          <cell r="N45">
            <v>2</v>
          </cell>
          <cell r="O45">
            <v>1</v>
          </cell>
          <cell r="P45">
            <v>2</v>
          </cell>
          <cell r="Q45">
            <v>2</v>
          </cell>
          <cell r="R45">
            <v>5</v>
          </cell>
          <cell r="S45">
            <v>3</v>
          </cell>
          <cell r="T45">
            <v>2</v>
          </cell>
          <cell r="U45">
            <v>1</v>
          </cell>
        </row>
        <row r="46">
          <cell r="A46" t="str">
            <v>J00047</v>
          </cell>
          <cell r="B46">
            <v>5</v>
          </cell>
          <cell r="C46">
            <v>3</v>
          </cell>
          <cell r="D46">
            <v>3</v>
          </cell>
          <cell r="E46">
            <v>3</v>
          </cell>
          <cell r="F46">
            <v>5</v>
          </cell>
          <cell r="G46">
            <v>4</v>
          </cell>
          <cell r="H46">
            <v>5</v>
          </cell>
          <cell r="I46">
            <v>5</v>
          </cell>
          <cell r="J46">
            <v>3</v>
          </cell>
          <cell r="K46">
            <v>5</v>
          </cell>
          <cell r="L46">
            <v>4</v>
          </cell>
          <cell r="M46">
            <v>4</v>
          </cell>
          <cell r="N46">
            <v>3</v>
          </cell>
          <cell r="O46">
            <v>3</v>
          </cell>
          <cell r="P46">
            <v>3</v>
          </cell>
          <cell r="Q46">
            <v>3</v>
          </cell>
          <cell r="R46">
            <v>5</v>
          </cell>
          <cell r="S46">
            <v>3</v>
          </cell>
          <cell r="T46">
            <v>3</v>
          </cell>
          <cell r="U46">
            <v>3</v>
          </cell>
        </row>
        <row r="47">
          <cell r="A47" t="str">
            <v>J00049</v>
          </cell>
          <cell r="B47">
            <v>1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</row>
        <row r="48">
          <cell r="A48" t="str">
            <v>J00050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J00055</v>
          </cell>
          <cell r="B49">
            <v>2</v>
          </cell>
          <cell r="C49">
            <v>2</v>
          </cell>
          <cell r="D49">
            <v>2</v>
          </cell>
          <cell r="E49">
            <v>2</v>
          </cell>
          <cell r="F49">
            <v>2</v>
          </cell>
          <cell r="G49">
            <v>2</v>
          </cell>
          <cell r="H49">
            <v>2</v>
          </cell>
          <cell r="I49">
            <v>2</v>
          </cell>
          <cell r="J49">
            <v>2</v>
          </cell>
          <cell r="K49">
            <v>2</v>
          </cell>
          <cell r="L49">
            <v>2</v>
          </cell>
          <cell r="M49">
            <v>2</v>
          </cell>
          <cell r="N49">
            <v>2</v>
          </cell>
          <cell r="O49">
            <v>2</v>
          </cell>
          <cell r="P49">
            <v>0</v>
          </cell>
          <cell r="Q49">
            <v>2</v>
          </cell>
          <cell r="R49">
            <v>2</v>
          </cell>
          <cell r="S49">
            <v>2</v>
          </cell>
          <cell r="T49">
            <v>0</v>
          </cell>
          <cell r="U49">
            <v>2</v>
          </cell>
        </row>
        <row r="50">
          <cell r="A50" t="str">
            <v>J00061</v>
          </cell>
          <cell r="B50">
            <v>2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2</v>
          </cell>
          <cell r="L50">
            <v>2</v>
          </cell>
          <cell r="M50">
            <v>2</v>
          </cell>
          <cell r="N50">
            <v>1</v>
          </cell>
          <cell r="O50">
            <v>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</row>
        <row r="51">
          <cell r="A51" t="str">
            <v>J00061C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</v>
          </cell>
          <cell r="R51">
            <v>2</v>
          </cell>
          <cell r="S51">
            <v>2</v>
          </cell>
          <cell r="T51">
            <v>0</v>
          </cell>
          <cell r="U51">
            <v>0</v>
          </cell>
        </row>
        <row r="52">
          <cell r="A52" t="str">
            <v>J00066</v>
          </cell>
          <cell r="B52">
            <v>4</v>
          </cell>
          <cell r="C52">
            <v>1</v>
          </cell>
          <cell r="D52">
            <v>1</v>
          </cell>
          <cell r="E52">
            <v>2</v>
          </cell>
          <cell r="F52">
            <v>4</v>
          </cell>
          <cell r="G52">
            <v>3</v>
          </cell>
          <cell r="H52">
            <v>4</v>
          </cell>
          <cell r="I52">
            <v>4</v>
          </cell>
          <cell r="J52">
            <v>1</v>
          </cell>
          <cell r="K52">
            <v>4</v>
          </cell>
          <cell r="L52">
            <v>3</v>
          </cell>
          <cell r="M52">
            <v>3</v>
          </cell>
          <cell r="N52">
            <v>1</v>
          </cell>
          <cell r="O52">
            <v>1</v>
          </cell>
          <cell r="P52">
            <v>0</v>
          </cell>
          <cell r="Q52">
            <v>1</v>
          </cell>
          <cell r="R52">
            <v>4</v>
          </cell>
          <cell r="S52">
            <v>2</v>
          </cell>
          <cell r="T52">
            <v>0</v>
          </cell>
          <cell r="U52">
            <v>1</v>
          </cell>
        </row>
        <row r="53">
          <cell r="A53" t="str">
            <v>J00067</v>
          </cell>
          <cell r="B53">
            <v>34</v>
          </cell>
          <cell r="C53">
            <v>16</v>
          </cell>
          <cell r="D53">
            <v>16</v>
          </cell>
          <cell r="E53">
            <v>22</v>
          </cell>
          <cell r="F53">
            <v>34</v>
          </cell>
          <cell r="G53">
            <v>24</v>
          </cell>
          <cell r="H53">
            <v>29</v>
          </cell>
          <cell r="I53">
            <v>34</v>
          </cell>
          <cell r="J53">
            <v>11</v>
          </cell>
          <cell r="K53">
            <v>33</v>
          </cell>
          <cell r="L53">
            <v>26</v>
          </cell>
          <cell r="M53">
            <v>26</v>
          </cell>
          <cell r="N53">
            <v>14</v>
          </cell>
          <cell r="O53">
            <v>13</v>
          </cell>
          <cell r="P53">
            <v>0</v>
          </cell>
          <cell r="Q53">
            <v>15</v>
          </cell>
          <cell r="R53">
            <v>31</v>
          </cell>
          <cell r="S53">
            <v>20</v>
          </cell>
          <cell r="T53">
            <v>0</v>
          </cell>
          <cell r="U53">
            <v>12</v>
          </cell>
        </row>
        <row r="54">
          <cell r="A54" t="str">
            <v>J00068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J00068A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J00068B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J00068C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J00070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J00071</v>
          </cell>
          <cell r="B59">
            <v>4</v>
          </cell>
          <cell r="C59">
            <v>1</v>
          </cell>
          <cell r="D59">
            <v>1</v>
          </cell>
          <cell r="E59">
            <v>2</v>
          </cell>
          <cell r="F59">
            <v>4</v>
          </cell>
          <cell r="G59">
            <v>3</v>
          </cell>
          <cell r="H59">
            <v>4</v>
          </cell>
          <cell r="I59">
            <v>4</v>
          </cell>
          <cell r="J59">
            <v>1</v>
          </cell>
          <cell r="K59">
            <v>4</v>
          </cell>
          <cell r="L59">
            <v>3</v>
          </cell>
          <cell r="M59">
            <v>3</v>
          </cell>
          <cell r="N59">
            <v>1</v>
          </cell>
          <cell r="O59">
            <v>1</v>
          </cell>
          <cell r="P59">
            <v>0</v>
          </cell>
          <cell r="Q59">
            <v>1</v>
          </cell>
          <cell r="R59">
            <v>4</v>
          </cell>
          <cell r="S59">
            <v>2</v>
          </cell>
          <cell r="T59">
            <v>0</v>
          </cell>
          <cell r="U59">
            <v>1</v>
          </cell>
        </row>
        <row r="60">
          <cell r="A60" t="str">
            <v>J00072</v>
          </cell>
          <cell r="B60">
            <v>4</v>
          </cell>
          <cell r="C60">
            <v>2</v>
          </cell>
          <cell r="D60">
            <v>2</v>
          </cell>
          <cell r="E60">
            <v>2</v>
          </cell>
          <cell r="F60">
            <v>4</v>
          </cell>
          <cell r="G60">
            <v>3</v>
          </cell>
          <cell r="H60">
            <v>4</v>
          </cell>
          <cell r="I60">
            <v>4</v>
          </cell>
          <cell r="J60">
            <v>2</v>
          </cell>
          <cell r="K60">
            <v>4</v>
          </cell>
          <cell r="L60">
            <v>4</v>
          </cell>
          <cell r="M60">
            <v>3</v>
          </cell>
          <cell r="N60">
            <v>2</v>
          </cell>
          <cell r="O60">
            <v>1</v>
          </cell>
          <cell r="P60">
            <v>2</v>
          </cell>
          <cell r="Q60">
            <v>2</v>
          </cell>
          <cell r="R60">
            <v>4</v>
          </cell>
          <cell r="S60">
            <v>3</v>
          </cell>
          <cell r="T60">
            <v>4</v>
          </cell>
          <cell r="U60">
            <v>1</v>
          </cell>
        </row>
        <row r="61">
          <cell r="A61" t="str">
            <v>J00073A</v>
          </cell>
          <cell r="B61">
            <v>3</v>
          </cell>
          <cell r="C61">
            <v>2</v>
          </cell>
          <cell r="D61">
            <v>2</v>
          </cell>
          <cell r="E61">
            <v>3</v>
          </cell>
          <cell r="F61">
            <v>3</v>
          </cell>
          <cell r="G61">
            <v>3</v>
          </cell>
          <cell r="H61">
            <v>0</v>
          </cell>
          <cell r="I61">
            <v>3</v>
          </cell>
          <cell r="J61">
            <v>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1</v>
          </cell>
        </row>
        <row r="62">
          <cell r="A62" t="str">
            <v>J00073B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3</v>
          </cell>
          <cell r="I62">
            <v>0</v>
          </cell>
          <cell r="J62">
            <v>0</v>
          </cell>
          <cell r="K62">
            <v>3</v>
          </cell>
          <cell r="L62">
            <v>3</v>
          </cell>
          <cell r="M62">
            <v>3</v>
          </cell>
          <cell r="N62">
            <v>1</v>
          </cell>
          <cell r="O62">
            <v>1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J00073C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</v>
          </cell>
          <cell r="R63">
            <v>3</v>
          </cell>
          <cell r="S63">
            <v>2</v>
          </cell>
          <cell r="T63">
            <v>0</v>
          </cell>
          <cell r="U63">
            <v>0</v>
          </cell>
        </row>
        <row r="64">
          <cell r="A64" t="str">
            <v>J00074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95</v>
          </cell>
          <cell r="I64">
            <v>0</v>
          </cell>
          <cell r="J64">
            <v>0</v>
          </cell>
          <cell r="K64">
            <v>115</v>
          </cell>
          <cell r="L64">
            <v>80</v>
          </cell>
          <cell r="M64">
            <v>80</v>
          </cell>
          <cell r="N64">
            <v>0</v>
          </cell>
          <cell r="O64">
            <v>0</v>
          </cell>
          <cell r="P64">
            <v>0</v>
          </cell>
          <cell r="Q64">
            <v>20</v>
          </cell>
          <cell r="R64">
            <v>84</v>
          </cell>
          <cell r="S64">
            <v>40</v>
          </cell>
          <cell r="T64">
            <v>0</v>
          </cell>
          <cell r="U64">
            <v>0</v>
          </cell>
        </row>
        <row r="65">
          <cell r="A65" t="str">
            <v>J00075</v>
          </cell>
          <cell r="B65">
            <v>4</v>
          </cell>
          <cell r="C65">
            <v>2</v>
          </cell>
          <cell r="D65">
            <v>2</v>
          </cell>
          <cell r="E65">
            <v>2</v>
          </cell>
          <cell r="F65">
            <v>4</v>
          </cell>
          <cell r="G65">
            <v>2</v>
          </cell>
          <cell r="H65">
            <v>4</v>
          </cell>
          <cell r="I65">
            <v>4</v>
          </cell>
          <cell r="J65">
            <v>2</v>
          </cell>
          <cell r="K65">
            <v>4</v>
          </cell>
          <cell r="L65">
            <v>3</v>
          </cell>
          <cell r="M65">
            <v>2</v>
          </cell>
          <cell r="N65">
            <v>2</v>
          </cell>
          <cell r="O65">
            <v>1</v>
          </cell>
          <cell r="P65">
            <v>0</v>
          </cell>
          <cell r="Q65">
            <v>2</v>
          </cell>
          <cell r="R65">
            <v>4</v>
          </cell>
          <cell r="S65">
            <v>3</v>
          </cell>
          <cell r="T65">
            <v>0</v>
          </cell>
          <cell r="U65">
            <v>1</v>
          </cell>
        </row>
        <row r="66">
          <cell r="A66" t="str">
            <v>J00076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J00079</v>
          </cell>
          <cell r="B67">
            <v>3</v>
          </cell>
          <cell r="C67">
            <v>3</v>
          </cell>
          <cell r="D67">
            <v>3</v>
          </cell>
          <cell r="E67">
            <v>2</v>
          </cell>
          <cell r="F67">
            <v>3</v>
          </cell>
          <cell r="G67">
            <v>2</v>
          </cell>
          <cell r="H67">
            <v>3</v>
          </cell>
          <cell r="I67">
            <v>3</v>
          </cell>
          <cell r="J67">
            <v>3</v>
          </cell>
          <cell r="K67">
            <v>3</v>
          </cell>
          <cell r="L67">
            <v>3</v>
          </cell>
          <cell r="M67">
            <v>2</v>
          </cell>
          <cell r="N67">
            <v>3</v>
          </cell>
          <cell r="O67">
            <v>2</v>
          </cell>
          <cell r="P67">
            <v>0</v>
          </cell>
          <cell r="Q67">
            <v>3</v>
          </cell>
          <cell r="R67">
            <v>3</v>
          </cell>
          <cell r="S67">
            <v>3</v>
          </cell>
          <cell r="T67">
            <v>0</v>
          </cell>
          <cell r="U67">
            <v>2</v>
          </cell>
        </row>
        <row r="68">
          <cell r="A68" t="str">
            <v>J00079-W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J00080</v>
          </cell>
          <cell r="B69">
            <v>4</v>
          </cell>
          <cell r="C69">
            <v>3</v>
          </cell>
          <cell r="D69">
            <v>3</v>
          </cell>
          <cell r="E69">
            <v>2</v>
          </cell>
          <cell r="F69">
            <v>4</v>
          </cell>
          <cell r="G69">
            <v>2</v>
          </cell>
          <cell r="H69">
            <v>4</v>
          </cell>
          <cell r="I69">
            <v>4</v>
          </cell>
          <cell r="J69">
            <v>3</v>
          </cell>
          <cell r="K69">
            <v>4</v>
          </cell>
          <cell r="L69">
            <v>3</v>
          </cell>
          <cell r="M69">
            <v>2</v>
          </cell>
          <cell r="N69">
            <v>3</v>
          </cell>
          <cell r="O69">
            <v>2</v>
          </cell>
          <cell r="P69">
            <v>2</v>
          </cell>
          <cell r="Q69">
            <v>3</v>
          </cell>
          <cell r="R69">
            <v>4</v>
          </cell>
          <cell r="S69">
            <v>3</v>
          </cell>
          <cell r="T69">
            <v>2</v>
          </cell>
          <cell r="U69">
            <v>2</v>
          </cell>
        </row>
        <row r="70">
          <cell r="A70" t="str">
            <v>J00081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J00083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  <cell r="R71">
            <v>3</v>
          </cell>
          <cell r="S71">
            <v>1</v>
          </cell>
          <cell r="T71">
            <v>1</v>
          </cell>
          <cell r="U71">
            <v>0</v>
          </cell>
        </row>
        <row r="72">
          <cell r="A72" t="str">
            <v>J00086</v>
          </cell>
          <cell r="B72">
            <v>48</v>
          </cell>
          <cell r="C72">
            <v>12</v>
          </cell>
          <cell r="D72">
            <v>12</v>
          </cell>
          <cell r="E72">
            <v>24</v>
          </cell>
          <cell r="F72">
            <v>48</v>
          </cell>
          <cell r="G72">
            <v>28</v>
          </cell>
          <cell r="H72">
            <v>38</v>
          </cell>
          <cell r="I72">
            <v>48</v>
          </cell>
          <cell r="J72">
            <v>2</v>
          </cell>
          <cell r="K72">
            <v>46</v>
          </cell>
          <cell r="L72">
            <v>32</v>
          </cell>
          <cell r="M72">
            <v>32</v>
          </cell>
          <cell r="N72">
            <v>8</v>
          </cell>
          <cell r="O72">
            <v>6</v>
          </cell>
          <cell r="P72">
            <v>0</v>
          </cell>
          <cell r="Q72">
            <v>10</v>
          </cell>
          <cell r="R72">
            <v>42</v>
          </cell>
          <cell r="S72">
            <v>20</v>
          </cell>
          <cell r="T72">
            <v>0</v>
          </cell>
          <cell r="U72">
            <v>4</v>
          </cell>
        </row>
        <row r="73">
          <cell r="A73" t="str">
            <v>J00087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A74" t="str">
            <v>J00088</v>
          </cell>
          <cell r="B74">
            <v>1</v>
          </cell>
          <cell r="C74">
            <v>1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0</v>
          </cell>
          <cell r="Q74">
            <v>1</v>
          </cell>
          <cell r="R74">
            <v>1</v>
          </cell>
          <cell r="S74">
            <v>1</v>
          </cell>
          <cell r="T74">
            <v>0</v>
          </cell>
          <cell r="U74">
            <v>1</v>
          </cell>
        </row>
        <row r="75">
          <cell r="A75" t="str">
            <v>J00089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6</v>
          </cell>
          <cell r="R75">
            <v>6</v>
          </cell>
          <cell r="S75">
            <v>6</v>
          </cell>
          <cell r="T75">
            <v>0</v>
          </cell>
          <cell r="U75">
            <v>0</v>
          </cell>
        </row>
        <row r="76">
          <cell r="A76" t="str">
            <v>J00090</v>
          </cell>
          <cell r="B76">
            <v>2</v>
          </cell>
          <cell r="C76">
            <v>2</v>
          </cell>
          <cell r="D76">
            <v>2</v>
          </cell>
          <cell r="E76">
            <v>2</v>
          </cell>
          <cell r="F76">
            <v>2</v>
          </cell>
          <cell r="G76">
            <v>2</v>
          </cell>
          <cell r="H76">
            <v>2</v>
          </cell>
          <cell r="I76">
            <v>2</v>
          </cell>
          <cell r="J76">
            <v>2</v>
          </cell>
          <cell r="K76">
            <v>2</v>
          </cell>
          <cell r="L76">
            <v>2</v>
          </cell>
          <cell r="M76">
            <v>2</v>
          </cell>
          <cell r="N76">
            <v>2</v>
          </cell>
          <cell r="O76">
            <v>2</v>
          </cell>
          <cell r="P76">
            <v>0</v>
          </cell>
          <cell r="Q76">
            <v>2</v>
          </cell>
          <cell r="R76">
            <v>2</v>
          </cell>
          <cell r="S76">
            <v>2</v>
          </cell>
          <cell r="T76">
            <v>0</v>
          </cell>
          <cell r="U76">
            <v>2</v>
          </cell>
        </row>
        <row r="77">
          <cell r="A77" t="str">
            <v>J00091</v>
          </cell>
          <cell r="B77">
            <v>2</v>
          </cell>
          <cell r="C77">
            <v>2</v>
          </cell>
          <cell r="D77">
            <v>2</v>
          </cell>
          <cell r="E77">
            <v>2</v>
          </cell>
          <cell r="F77">
            <v>2</v>
          </cell>
          <cell r="G77">
            <v>2</v>
          </cell>
          <cell r="H77">
            <v>2</v>
          </cell>
          <cell r="I77">
            <v>2</v>
          </cell>
          <cell r="J77">
            <v>2</v>
          </cell>
          <cell r="K77">
            <v>2</v>
          </cell>
          <cell r="L77">
            <v>2</v>
          </cell>
          <cell r="M77">
            <v>2</v>
          </cell>
          <cell r="N77">
            <v>2</v>
          </cell>
          <cell r="O77">
            <v>2</v>
          </cell>
          <cell r="P77">
            <v>0</v>
          </cell>
          <cell r="Q77">
            <v>2</v>
          </cell>
          <cell r="R77">
            <v>2</v>
          </cell>
          <cell r="S77">
            <v>2</v>
          </cell>
          <cell r="T77">
            <v>0</v>
          </cell>
          <cell r="U77">
            <v>2</v>
          </cell>
        </row>
        <row r="78">
          <cell r="A78" t="str">
            <v>J00092</v>
          </cell>
          <cell r="B78">
            <v>2</v>
          </cell>
          <cell r="C78">
            <v>2</v>
          </cell>
          <cell r="D78">
            <v>2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0</v>
          </cell>
          <cell r="Q78">
            <v>2</v>
          </cell>
          <cell r="R78">
            <v>2</v>
          </cell>
          <cell r="S78">
            <v>2</v>
          </cell>
          <cell r="T78">
            <v>0</v>
          </cell>
          <cell r="U78">
            <v>2</v>
          </cell>
        </row>
        <row r="79">
          <cell r="A79" t="str">
            <v>J00105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5</v>
          </cell>
          <cell r="R79">
            <v>21</v>
          </cell>
          <cell r="S79">
            <v>10</v>
          </cell>
          <cell r="T79">
            <v>0</v>
          </cell>
          <cell r="U79">
            <v>0</v>
          </cell>
        </row>
        <row r="80">
          <cell r="A80" t="str">
            <v>J00106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</v>
          </cell>
          <cell r="R80">
            <v>1</v>
          </cell>
          <cell r="S80">
            <v>1</v>
          </cell>
          <cell r="T80">
            <v>0</v>
          </cell>
          <cell r="U80">
            <v>0</v>
          </cell>
        </row>
        <row r="81">
          <cell r="A81" t="str">
            <v>J00107C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3</v>
          </cell>
          <cell r="R81">
            <v>3</v>
          </cell>
          <cell r="S81">
            <v>3</v>
          </cell>
          <cell r="T81">
            <v>0</v>
          </cell>
          <cell r="U81">
            <v>0</v>
          </cell>
        </row>
        <row r="82">
          <cell r="A82" t="str">
            <v>J00108</v>
          </cell>
          <cell r="B82">
            <v>5</v>
          </cell>
          <cell r="C82">
            <v>2</v>
          </cell>
          <cell r="D82">
            <v>2</v>
          </cell>
          <cell r="E82">
            <v>2</v>
          </cell>
          <cell r="F82">
            <v>5</v>
          </cell>
          <cell r="G82">
            <v>3</v>
          </cell>
          <cell r="H82">
            <v>5</v>
          </cell>
          <cell r="I82">
            <v>5</v>
          </cell>
          <cell r="J82">
            <v>2</v>
          </cell>
          <cell r="K82">
            <v>5</v>
          </cell>
          <cell r="L82">
            <v>4</v>
          </cell>
          <cell r="M82">
            <v>3</v>
          </cell>
          <cell r="N82">
            <v>2</v>
          </cell>
          <cell r="O82">
            <v>1</v>
          </cell>
          <cell r="P82">
            <v>2</v>
          </cell>
          <cell r="Q82">
            <v>2</v>
          </cell>
          <cell r="R82">
            <v>5</v>
          </cell>
          <cell r="S82">
            <v>3</v>
          </cell>
          <cell r="T82">
            <v>2</v>
          </cell>
          <cell r="U82">
            <v>1</v>
          </cell>
        </row>
        <row r="83">
          <cell r="A83" t="str">
            <v>J00815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J00825D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J00825E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J00846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J00864A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J00864B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J00865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J00866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J00867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J00868B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J00914</v>
          </cell>
          <cell r="B93">
            <v>9</v>
          </cell>
          <cell r="C93">
            <v>3</v>
          </cell>
          <cell r="D93">
            <v>3</v>
          </cell>
          <cell r="E93">
            <v>6</v>
          </cell>
          <cell r="F93">
            <v>9</v>
          </cell>
          <cell r="G93">
            <v>7</v>
          </cell>
          <cell r="H93">
            <v>10</v>
          </cell>
          <cell r="I93">
            <v>9</v>
          </cell>
          <cell r="J93">
            <v>1</v>
          </cell>
          <cell r="K93">
            <v>12</v>
          </cell>
          <cell r="L93">
            <v>8</v>
          </cell>
          <cell r="M93">
            <v>8</v>
          </cell>
          <cell r="N93">
            <v>2</v>
          </cell>
          <cell r="O93">
            <v>2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1</v>
          </cell>
        </row>
        <row r="94">
          <cell r="A94" t="str">
            <v>J00922</v>
          </cell>
          <cell r="B94">
            <v>27</v>
          </cell>
          <cell r="C94">
            <v>9</v>
          </cell>
          <cell r="D94">
            <v>9</v>
          </cell>
          <cell r="E94">
            <v>18</v>
          </cell>
          <cell r="F94">
            <v>27</v>
          </cell>
          <cell r="G94">
            <v>21</v>
          </cell>
          <cell r="H94">
            <v>10</v>
          </cell>
          <cell r="I94">
            <v>27</v>
          </cell>
          <cell r="J94">
            <v>3</v>
          </cell>
          <cell r="K94">
            <v>12</v>
          </cell>
          <cell r="L94">
            <v>8</v>
          </cell>
          <cell r="M94">
            <v>8</v>
          </cell>
          <cell r="N94">
            <v>2</v>
          </cell>
          <cell r="O94">
            <v>2</v>
          </cell>
          <cell r="P94">
            <v>0</v>
          </cell>
          <cell r="Q94">
            <v>3</v>
          </cell>
          <cell r="R94">
            <v>11</v>
          </cell>
          <cell r="S94">
            <v>5</v>
          </cell>
          <cell r="T94">
            <v>0</v>
          </cell>
          <cell r="U94">
            <v>3</v>
          </cell>
        </row>
        <row r="95">
          <cell r="A95" t="str">
            <v>J11006</v>
          </cell>
          <cell r="B95">
            <v>3</v>
          </cell>
          <cell r="C95">
            <v>3</v>
          </cell>
          <cell r="D95">
            <v>3</v>
          </cell>
          <cell r="E95">
            <v>1</v>
          </cell>
          <cell r="F95">
            <v>3</v>
          </cell>
          <cell r="G95">
            <v>1</v>
          </cell>
          <cell r="H95">
            <v>3</v>
          </cell>
          <cell r="I95">
            <v>3</v>
          </cell>
          <cell r="J95">
            <v>3</v>
          </cell>
          <cell r="K95">
            <v>3</v>
          </cell>
          <cell r="L95">
            <v>3</v>
          </cell>
          <cell r="M95">
            <v>1</v>
          </cell>
          <cell r="N95">
            <v>3</v>
          </cell>
          <cell r="O95">
            <v>1</v>
          </cell>
          <cell r="P95">
            <v>0</v>
          </cell>
          <cell r="Q95">
            <v>3</v>
          </cell>
          <cell r="R95">
            <v>3</v>
          </cell>
          <cell r="S95">
            <v>3</v>
          </cell>
          <cell r="T95">
            <v>0</v>
          </cell>
          <cell r="U95">
            <v>1</v>
          </cell>
        </row>
        <row r="96">
          <cell r="A96" t="str">
            <v>J11009C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</v>
          </cell>
          <cell r="R96">
            <v>1</v>
          </cell>
          <cell r="S96">
            <v>1</v>
          </cell>
          <cell r="T96">
            <v>0</v>
          </cell>
          <cell r="U96">
            <v>0</v>
          </cell>
        </row>
        <row r="97">
          <cell r="A97" t="str">
            <v>J11011A</v>
          </cell>
          <cell r="B97">
            <v>2</v>
          </cell>
          <cell r="C97">
            <v>2</v>
          </cell>
          <cell r="D97">
            <v>2</v>
          </cell>
          <cell r="E97">
            <v>0</v>
          </cell>
          <cell r="F97">
            <v>2</v>
          </cell>
          <cell r="G97">
            <v>0</v>
          </cell>
          <cell r="H97">
            <v>0</v>
          </cell>
          <cell r="I97">
            <v>2</v>
          </cell>
          <cell r="J97">
            <v>2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J11011B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2</v>
          </cell>
          <cell r="I98">
            <v>0</v>
          </cell>
          <cell r="J98">
            <v>0</v>
          </cell>
          <cell r="K98">
            <v>2</v>
          </cell>
          <cell r="L98">
            <v>2</v>
          </cell>
          <cell r="M98">
            <v>0</v>
          </cell>
          <cell r="N98">
            <v>2</v>
          </cell>
          <cell r="O98">
            <v>0</v>
          </cell>
          <cell r="P98">
            <v>1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J11011C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2</v>
          </cell>
          <cell r="T99">
            <v>1</v>
          </cell>
          <cell r="U99">
            <v>0</v>
          </cell>
        </row>
        <row r="100">
          <cell r="A100" t="str">
            <v>J11012</v>
          </cell>
          <cell r="B100">
            <v>3</v>
          </cell>
          <cell r="C100">
            <v>3</v>
          </cell>
          <cell r="D100">
            <v>3</v>
          </cell>
          <cell r="E100">
            <v>2</v>
          </cell>
          <cell r="F100">
            <v>3</v>
          </cell>
          <cell r="G100">
            <v>2</v>
          </cell>
          <cell r="H100">
            <v>3</v>
          </cell>
          <cell r="I100">
            <v>3</v>
          </cell>
          <cell r="J100">
            <v>3</v>
          </cell>
          <cell r="K100">
            <v>3</v>
          </cell>
          <cell r="L100">
            <v>3</v>
          </cell>
          <cell r="M100">
            <v>2</v>
          </cell>
          <cell r="N100">
            <v>3</v>
          </cell>
          <cell r="O100">
            <v>2</v>
          </cell>
          <cell r="P100">
            <v>0</v>
          </cell>
          <cell r="Q100">
            <v>3</v>
          </cell>
          <cell r="R100">
            <v>3</v>
          </cell>
          <cell r="S100">
            <v>3</v>
          </cell>
          <cell r="T100">
            <v>0</v>
          </cell>
          <cell r="U100">
            <v>2</v>
          </cell>
        </row>
        <row r="101">
          <cell r="A101" t="str">
            <v>J11015</v>
          </cell>
          <cell r="B101">
            <v>1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0</v>
          </cell>
          <cell r="Q101">
            <v>1</v>
          </cell>
          <cell r="R101">
            <v>1</v>
          </cell>
          <cell r="S101">
            <v>1</v>
          </cell>
          <cell r="T101">
            <v>0</v>
          </cell>
          <cell r="U101">
            <v>1</v>
          </cell>
        </row>
        <row r="102">
          <cell r="A102" t="str">
            <v>J11016</v>
          </cell>
          <cell r="B102">
            <v>4</v>
          </cell>
          <cell r="C102">
            <v>2</v>
          </cell>
          <cell r="D102">
            <v>2</v>
          </cell>
          <cell r="E102">
            <v>2</v>
          </cell>
          <cell r="F102">
            <v>4</v>
          </cell>
          <cell r="G102">
            <v>3</v>
          </cell>
          <cell r="H102">
            <v>4</v>
          </cell>
          <cell r="I102">
            <v>4</v>
          </cell>
          <cell r="J102">
            <v>2</v>
          </cell>
          <cell r="K102">
            <v>4</v>
          </cell>
          <cell r="L102">
            <v>3</v>
          </cell>
          <cell r="M102">
            <v>3</v>
          </cell>
          <cell r="N102">
            <v>2</v>
          </cell>
          <cell r="O102">
            <v>2</v>
          </cell>
          <cell r="P102">
            <v>0</v>
          </cell>
          <cell r="Q102">
            <v>2</v>
          </cell>
          <cell r="R102">
            <v>4</v>
          </cell>
          <cell r="S102">
            <v>2</v>
          </cell>
          <cell r="T102">
            <v>0</v>
          </cell>
          <cell r="U102">
            <v>2</v>
          </cell>
        </row>
        <row r="103">
          <cell r="A103" t="str">
            <v>J11020</v>
          </cell>
          <cell r="B103">
            <v>4</v>
          </cell>
          <cell r="C103">
            <v>4</v>
          </cell>
          <cell r="D103">
            <v>4</v>
          </cell>
          <cell r="E103">
            <v>2</v>
          </cell>
          <cell r="F103">
            <v>4</v>
          </cell>
          <cell r="G103">
            <v>2</v>
          </cell>
          <cell r="H103">
            <v>4</v>
          </cell>
          <cell r="I103">
            <v>4</v>
          </cell>
          <cell r="J103">
            <v>4</v>
          </cell>
          <cell r="K103">
            <v>4</v>
          </cell>
          <cell r="L103">
            <v>4</v>
          </cell>
          <cell r="M103">
            <v>2</v>
          </cell>
          <cell r="N103">
            <v>4</v>
          </cell>
          <cell r="O103">
            <v>2</v>
          </cell>
          <cell r="P103">
            <v>0</v>
          </cell>
          <cell r="Q103">
            <v>4</v>
          </cell>
          <cell r="R103">
            <v>4</v>
          </cell>
          <cell r="S103">
            <v>4</v>
          </cell>
          <cell r="T103">
            <v>0</v>
          </cell>
          <cell r="U103">
            <v>2</v>
          </cell>
        </row>
        <row r="104">
          <cell r="A104" t="str">
            <v>J11022</v>
          </cell>
          <cell r="B104">
            <v>3</v>
          </cell>
          <cell r="C104">
            <v>3</v>
          </cell>
          <cell r="D104">
            <v>3</v>
          </cell>
          <cell r="E104">
            <v>1</v>
          </cell>
          <cell r="F104">
            <v>3</v>
          </cell>
          <cell r="G104">
            <v>1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1</v>
          </cell>
          <cell r="N104">
            <v>3</v>
          </cell>
          <cell r="O104">
            <v>1</v>
          </cell>
          <cell r="P104">
            <v>0</v>
          </cell>
          <cell r="Q104">
            <v>3</v>
          </cell>
          <cell r="R104">
            <v>3</v>
          </cell>
          <cell r="S104">
            <v>3</v>
          </cell>
          <cell r="T104">
            <v>0</v>
          </cell>
          <cell r="U104">
            <v>1</v>
          </cell>
        </row>
        <row r="105">
          <cell r="A105" t="str">
            <v>J11023</v>
          </cell>
          <cell r="B105">
            <v>4</v>
          </cell>
          <cell r="C105">
            <v>4</v>
          </cell>
          <cell r="D105">
            <v>4</v>
          </cell>
          <cell r="E105">
            <v>3</v>
          </cell>
          <cell r="F105">
            <v>4</v>
          </cell>
          <cell r="G105">
            <v>3</v>
          </cell>
          <cell r="H105">
            <v>4</v>
          </cell>
          <cell r="I105">
            <v>4</v>
          </cell>
          <cell r="J105">
            <v>4</v>
          </cell>
          <cell r="K105">
            <v>4</v>
          </cell>
          <cell r="L105">
            <v>4</v>
          </cell>
          <cell r="M105">
            <v>2</v>
          </cell>
          <cell r="N105">
            <v>4</v>
          </cell>
          <cell r="O105">
            <v>3</v>
          </cell>
          <cell r="P105">
            <v>0</v>
          </cell>
          <cell r="Q105">
            <v>4</v>
          </cell>
          <cell r="R105">
            <v>4</v>
          </cell>
          <cell r="S105">
            <v>4</v>
          </cell>
          <cell r="T105">
            <v>0</v>
          </cell>
          <cell r="U105">
            <v>3</v>
          </cell>
        </row>
        <row r="106">
          <cell r="A106" t="str">
            <v>J11029</v>
          </cell>
          <cell r="B106">
            <v>3</v>
          </cell>
          <cell r="C106">
            <v>2</v>
          </cell>
          <cell r="D106">
            <v>2</v>
          </cell>
          <cell r="E106">
            <v>2</v>
          </cell>
          <cell r="F106">
            <v>3</v>
          </cell>
          <cell r="G106">
            <v>3</v>
          </cell>
          <cell r="H106">
            <v>3</v>
          </cell>
          <cell r="I106">
            <v>3</v>
          </cell>
          <cell r="J106">
            <v>2</v>
          </cell>
          <cell r="K106">
            <v>3</v>
          </cell>
          <cell r="L106">
            <v>3</v>
          </cell>
          <cell r="M106">
            <v>3</v>
          </cell>
          <cell r="N106">
            <v>2</v>
          </cell>
          <cell r="O106">
            <v>2</v>
          </cell>
          <cell r="P106">
            <v>0</v>
          </cell>
          <cell r="Q106">
            <v>2</v>
          </cell>
          <cell r="R106">
            <v>4</v>
          </cell>
          <cell r="S106">
            <v>2</v>
          </cell>
          <cell r="T106">
            <v>0</v>
          </cell>
          <cell r="U106">
            <v>2</v>
          </cell>
        </row>
        <row r="107">
          <cell r="A107" t="str">
            <v>J11031</v>
          </cell>
          <cell r="B107">
            <v>2</v>
          </cell>
          <cell r="C107">
            <v>2</v>
          </cell>
          <cell r="D107">
            <v>2</v>
          </cell>
          <cell r="E107">
            <v>2</v>
          </cell>
          <cell r="F107">
            <v>2</v>
          </cell>
          <cell r="G107">
            <v>2</v>
          </cell>
          <cell r="H107">
            <v>2</v>
          </cell>
          <cell r="I107">
            <v>2</v>
          </cell>
          <cell r="J107">
            <v>2</v>
          </cell>
          <cell r="K107">
            <v>2</v>
          </cell>
          <cell r="L107">
            <v>2</v>
          </cell>
          <cell r="M107">
            <v>2</v>
          </cell>
          <cell r="N107">
            <v>2</v>
          </cell>
          <cell r="O107">
            <v>2</v>
          </cell>
          <cell r="P107">
            <v>0</v>
          </cell>
          <cell r="Q107">
            <v>2</v>
          </cell>
          <cell r="R107">
            <v>2</v>
          </cell>
          <cell r="S107">
            <v>2</v>
          </cell>
          <cell r="T107">
            <v>0</v>
          </cell>
          <cell r="U107">
            <v>2</v>
          </cell>
        </row>
        <row r="108">
          <cell r="A108" t="str">
            <v>J11032</v>
          </cell>
          <cell r="B108">
            <v>3</v>
          </cell>
          <cell r="C108">
            <v>2</v>
          </cell>
          <cell r="D108">
            <v>2</v>
          </cell>
          <cell r="E108">
            <v>2</v>
          </cell>
          <cell r="F108">
            <v>3</v>
          </cell>
          <cell r="G108">
            <v>3</v>
          </cell>
          <cell r="H108">
            <v>3</v>
          </cell>
          <cell r="I108">
            <v>3</v>
          </cell>
          <cell r="J108">
            <v>2</v>
          </cell>
          <cell r="K108">
            <v>3</v>
          </cell>
          <cell r="L108">
            <v>3</v>
          </cell>
          <cell r="M108">
            <v>3</v>
          </cell>
          <cell r="N108">
            <v>2</v>
          </cell>
          <cell r="O108">
            <v>2</v>
          </cell>
          <cell r="P108">
            <v>0</v>
          </cell>
          <cell r="Q108">
            <v>2</v>
          </cell>
          <cell r="R108">
            <v>4</v>
          </cell>
          <cell r="S108">
            <v>2</v>
          </cell>
          <cell r="T108">
            <v>0</v>
          </cell>
          <cell r="U108">
            <v>2</v>
          </cell>
        </row>
        <row r="109">
          <cell r="A109" t="str">
            <v>J11040</v>
          </cell>
          <cell r="B109">
            <v>2</v>
          </cell>
          <cell r="C109">
            <v>2</v>
          </cell>
          <cell r="D109">
            <v>2</v>
          </cell>
          <cell r="E109">
            <v>2</v>
          </cell>
          <cell r="F109">
            <v>2</v>
          </cell>
          <cell r="G109">
            <v>2</v>
          </cell>
          <cell r="H109">
            <v>2</v>
          </cell>
          <cell r="I109">
            <v>2</v>
          </cell>
          <cell r="J109">
            <v>2</v>
          </cell>
          <cell r="K109">
            <v>2</v>
          </cell>
          <cell r="L109">
            <v>2</v>
          </cell>
          <cell r="M109">
            <v>1</v>
          </cell>
          <cell r="N109">
            <v>2</v>
          </cell>
          <cell r="O109">
            <v>2</v>
          </cell>
          <cell r="P109">
            <v>0</v>
          </cell>
          <cell r="Q109">
            <v>2</v>
          </cell>
          <cell r="R109">
            <v>2</v>
          </cell>
          <cell r="S109">
            <v>2</v>
          </cell>
          <cell r="T109">
            <v>0</v>
          </cell>
          <cell r="U109">
            <v>2</v>
          </cell>
        </row>
        <row r="110">
          <cell r="A110" t="str">
            <v>J11042</v>
          </cell>
          <cell r="B110">
            <v>2</v>
          </cell>
          <cell r="C110">
            <v>2</v>
          </cell>
          <cell r="D110">
            <v>2</v>
          </cell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  <cell r="K110">
            <v>2</v>
          </cell>
          <cell r="L110">
            <v>2</v>
          </cell>
          <cell r="M110">
            <v>1</v>
          </cell>
          <cell r="N110">
            <v>2</v>
          </cell>
          <cell r="O110">
            <v>2</v>
          </cell>
          <cell r="P110">
            <v>0</v>
          </cell>
          <cell r="Q110">
            <v>2</v>
          </cell>
          <cell r="R110">
            <v>2</v>
          </cell>
          <cell r="S110">
            <v>2</v>
          </cell>
          <cell r="T110">
            <v>0</v>
          </cell>
          <cell r="U110">
            <v>2</v>
          </cell>
        </row>
        <row r="111">
          <cell r="A111" t="str">
            <v>J11044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</row>
        <row r="112">
          <cell r="A112" t="str">
            <v>J11045</v>
          </cell>
          <cell r="B112">
            <v>4</v>
          </cell>
          <cell r="C112">
            <v>4</v>
          </cell>
          <cell r="D112">
            <v>4</v>
          </cell>
          <cell r="E112">
            <v>2</v>
          </cell>
          <cell r="F112">
            <v>4</v>
          </cell>
          <cell r="G112">
            <v>2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2</v>
          </cell>
          <cell r="N112">
            <v>4</v>
          </cell>
          <cell r="O112">
            <v>2</v>
          </cell>
          <cell r="P112">
            <v>0</v>
          </cell>
          <cell r="Q112">
            <v>4</v>
          </cell>
          <cell r="R112">
            <v>4</v>
          </cell>
          <cell r="S112">
            <v>4</v>
          </cell>
          <cell r="T112">
            <v>0</v>
          </cell>
          <cell r="U112">
            <v>2</v>
          </cell>
        </row>
        <row r="113">
          <cell r="A113" t="str">
            <v>J11046</v>
          </cell>
          <cell r="B113">
            <v>4</v>
          </cell>
          <cell r="C113">
            <v>4</v>
          </cell>
          <cell r="D113">
            <v>4</v>
          </cell>
          <cell r="E113">
            <v>2</v>
          </cell>
          <cell r="F113">
            <v>4</v>
          </cell>
          <cell r="G113">
            <v>2</v>
          </cell>
          <cell r="H113">
            <v>4</v>
          </cell>
          <cell r="I113">
            <v>4</v>
          </cell>
          <cell r="J113">
            <v>4</v>
          </cell>
          <cell r="K113">
            <v>4</v>
          </cell>
          <cell r="L113">
            <v>4</v>
          </cell>
          <cell r="M113">
            <v>1</v>
          </cell>
          <cell r="N113">
            <v>4</v>
          </cell>
          <cell r="O113">
            <v>2</v>
          </cell>
          <cell r="P113">
            <v>0</v>
          </cell>
          <cell r="Q113">
            <v>4</v>
          </cell>
          <cell r="R113">
            <v>4</v>
          </cell>
          <cell r="S113">
            <v>4</v>
          </cell>
          <cell r="T113">
            <v>0</v>
          </cell>
          <cell r="U113">
            <v>2</v>
          </cell>
        </row>
        <row r="114">
          <cell r="A114" t="str">
            <v>J11055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1</v>
          </cell>
          <cell r="I114">
            <v>0</v>
          </cell>
          <cell r="J114">
            <v>0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J11058</v>
          </cell>
          <cell r="B115">
            <v>10</v>
          </cell>
          <cell r="C115">
            <v>4</v>
          </cell>
          <cell r="D115">
            <v>4</v>
          </cell>
          <cell r="E115">
            <v>6</v>
          </cell>
          <cell r="F115">
            <v>10</v>
          </cell>
          <cell r="G115">
            <v>7</v>
          </cell>
          <cell r="H115">
            <v>9</v>
          </cell>
          <cell r="I115">
            <v>10</v>
          </cell>
          <cell r="J115">
            <v>3</v>
          </cell>
          <cell r="K115">
            <v>10</v>
          </cell>
          <cell r="L115">
            <v>8</v>
          </cell>
          <cell r="M115">
            <v>6</v>
          </cell>
          <cell r="N115">
            <v>4</v>
          </cell>
          <cell r="O115">
            <v>3</v>
          </cell>
          <cell r="P115">
            <v>0</v>
          </cell>
          <cell r="Q115">
            <v>4</v>
          </cell>
          <cell r="R115">
            <v>9</v>
          </cell>
          <cell r="S115">
            <v>6</v>
          </cell>
          <cell r="T115">
            <v>0</v>
          </cell>
          <cell r="U115">
            <v>3</v>
          </cell>
        </row>
        <row r="116">
          <cell r="A116" t="str">
            <v>J11060</v>
          </cell>
          <cell r="B116">
            <v>2</v>
          </cell>
          <cell r="C116">
            <v>2</v>
          </cell>
          <cell r="D116">
            <v>2</v>
          </cell>
          <cell r="E116">
            <v>2</v>
          </cell>
          <cell r="F116">
            <v>2</v>
          </cell>
          <cell r="G116">
            <v>2</v>
          </cell>
          <cell r="H116">
            <v>2</v>
          </cell>
          <cell r="I116">
            <v>2</v>
          </cell>
          <cell r="J116">
            <v>2</v>
          </cell>
          <cell r="K116">
            <v>2</v>
          </cell>
          <cell r="L116">
            <v>2</v>
          </cell>
          <cell r="M116">
            <v>2</v>
          </cell>
          <cell r="N116">
            <v>2</v>
          </cell>
          <cell r="O116">
            <v>2</v>
          </cell>
          <cell r="P116">
            <v>0</v>
          </cell>
          <cell r="Q116">
            <v>2</v>
          </cell>
          <cell r="R116">
            <v>2</v>
          </cell>
          <cell r="S116">
            <v>2</v>
          </cell>
          <cell r="T116">
            <v>0</v>
          </cell>
          <cell r="U116">
            <v>2</v>
          </cell>
        </row>
        <row r="117">
          <cell r="A117" t="str">
            <v>J11061</v>
          </cell>
          <cell r="B117">
            <v>3</v>
          </cell>
          <cell r="C117">
            <v>3</v>
          </cell>
          <cell r="D117">
            <v>3</v>
          </cell>
          <cell r="E117">
            <v>2</v>
          </cell>
          <cell r="F117">
            <v>3</v>
          </cell>
          <cell r="G117">
            <v>2</v>
          </cell>
          <cell r="H117">
            <v>3</v>
          </cell>
          <cell r="I117">
            <v>3</v>
          </cell>
          <cell r="J117">
            <v>3</v>
          </cell>
          <cell r="K117">
            <v>3</v>
          </cell>
          <cell r="L117">
            <v>3</v>
          </cell>
          <cell r="M117">
            <v>2</v>
          </cell>
          <cell r="N117">
            <v>3</v>
          </cell>
          <cell r="O117">
            <v>2</v>
          </cell>
          <cell r="P117">
            <v>0</v>
          </cell>
          <cell r="Q117">
            <v>3</v>
          </cell>
          <cell r="R117">
            <v>3</v>
          </cell>
          <cell r="S117">
            <v>3</v>
          </cell>
          <cell r="T117">
            <v>0</v>
          </cell>
          <cell r="U117">
            <v>2</v>
          </cell>
        </row>
        <row r="118">
          <cell r="A118" t="str">
            <v>J11061-W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J11062</v>
          </cell>
          <cell r="B119">
            <v>2</v>
          </cell>
          <cell r="C119">
            <v>2</v>
          </cell>
          <cell r="D119">
            <v>2</v>
          </cell>
          <cell r="E119">
            <v>1</v>
          </cell>
          <cell r="F119">
            <v>2</v>
          </cell>
          <cell r="G119">
            <v>1</v>
          </cell>
          <cell r="H119">
            <v>2</v>
          </cell>
          <cell r="I119">
            <v>2</v>
          </cell>
          <cell r="J119">
            <v>2</v>
          </cell>
          <cell r="K119">
            <v>2</v>
          </cell>
          <cell r="L119">
            <v>2</v>
          </cell>
          <cell r="M119">
            <v>1</v>
          </cell>
          <cell r="N119">
            <v>2</v>
          </cell>
          <cell r="O119">
            <v>1</v>
          </cell>
          <cell r="P119">
            <v>2</v>
          </cell>
          <cell r="Q119">
            <v>2</v>
          </cell>
          <cell r="R119">
            <v>2</v>
          </cell>
          <cell r="S119">
            <v>2</v>
          </cell>
          <cell r="T119">
            <v>2</v>
          </cell>
          <cell r="U119">
            <v>1</v>
          </cell>
        </row>
        <row r="120">
          <cell r="A120" t="str">
            <v>J11062-W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J11064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J11064B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</row>
        <row r="123">
          <cell r="A123" t="str">
            <v>J11065</v>
          </cell>
          <cell r="B123">
            <v>1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0</v>
          </cell>
          <cell r="Q123">
            <v>1</v>
          </cell>
          <cell r="R123">
            <v>1</v>
          </cell>
          <cell r="S123">
            <v>1</v>
          </cell>
          <cell r="T123">
            <v>0</v>
          </cell>
          <cell r="U123">
            <v>1</v>
          </cell>
        </row>
        <row r="124">
          <cell r="A124" t="str">
            <v>J11069</v>
          </cell>
          <cell r="B124">
            <v>2</v>
          </cell>
          <cell r="C124">
            <v>2</v>
          </cell>
          <cell r="D124">
            <v>2</v>
          </cell>
          <cell r="E124">
            <v>2</v>
          </cell>
          <cell r="F124">
            <v>2</v>
          </cell>
          <cell r="G124">
            <v>2</v>
          </cell>
          <cell r="H124">
            <v>2</v>
          </cell>
          <cell r="I124">
            <v>2</v>
          </cell>
          <cell r="J124">
            <v>2</v>
          </cell>
          <cell r="K124">
            <v>2</v>
          </cell>
          <cell r="L124">
            <v>2</v>
          </cell>
          <cell r="M124">
            <v>1</v>
          </cell>
          <cell r="N124">
            <v>2</v>
          </cell>
          <cell r="O124">
            <v>2</v>
          </cell>
          <cell r="P124">
            <v>0</v>
          </cell>
          <cell r="Q124">
            <v>2</v>
          </cell>
          <cell r="R124">
            <v>2</v>
          </cell>
          <cell r="S124">
            <v>2</v>
          </cell>
          <cell r="T124">
            <v>0</v>
          </cell>
          <cell r="U124">
            <v>2</v>
          </cell>
        </row>
        <row r="125">
          <cell r="A125" t="str">
            <v>J11074</v>
          </cell>
          <cell r="B125">
            <v>1</v>
          </cell>
          <cell r="C125">
            <v>1</v>
          </cell>
          <cell r="D125">
            <v>1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0</v>
          </cell>
          <cell r="Q125">
            <v>1</v>
          </cell>
          <cell r="R125">
            <v>1</v>
          </cell>
          <cell r="S125">
            <v>1</v>
          </cell>
          <cell r="T125">
            <v>0</v>
          </cell>
          <cell r="U125">
            <v>1</v>
          </cell>
        </row>
        <row r="126">
          <cell r="A126" t="str">
            <v>J11075</v>
          </cell>
          <cell r="B126">
            <v>2</v>
          </cell>
          <cell r="C126">
            <v>2</v>
          </cell>
          <cell r="D126">
            <v>2</v>
          </cell>
          <cell r="E126">
            <v>2</v>
          </cell>
          <cell r="F126">
            <v>2</v>
          </cell>
          <cell r="G126">
            <v>2</v>
          </cell>
          <cell r="H126">
            <v>2</v>
          </cell>
          <cell r="I126">
            <v>2</v>
          </cell>
          <cell r="J126">
            <v>2</v>
          </cell>
          <cell r="K126">
            <v>2</v>
          </cell>
          <cell r="L126">
            <v>2</v>
          </cell>
          <cell r="M126">
            <v>1</v>
          </cell>
          <cell r="N126">
            <v>2</v>
          </cell>
          <cell r="O126">
            <v>2</v>
          </cell>
          <cell r="P126">
            <v>0</v>
          </cell>
          <cell r="Q126">
            <v>2</v>
          </cell>
          <cell r="R126">
            <v>2</v>
          </cell>
          <cell r="S126">
            <v>2</v>
          </cell>
          <cell r="T126">
            <v>0</v>
          </cell>
          <cell r="U126">
            <v>2</v>
          </cell>
        </row>
        <row r="127">
          <cell r="A127" t="str">
            <v>J11076</v>
          </cell>
          <cell r="B127">
            <v>2</v>
          </cell>
          <cell r="C127">
            <v>2</v>
          </cell>
          <cell r="D127">
            <v>2</v>
          </cell>
          <cell r="E127">
            <v>2</v>
          </cell>
          <cell r="F127">
            <v>2</v>
          </cell>
          <cell r="G127">
            <v>2</v>
          </cell>
          <cell r="H127">
            <v>2</v>
          </cell>
          <cell r="I127">
            <v>2</v>
          </cell>
          <cell r="J127">
            <v>2</v>
          </cell>
          <cell r="K127">
            <v>2</v>
          </cell>
          <cell r="L127">
            <v>2</v>
          </cell>
          <cell r="M127">
            <v>1</v>
          </cell>
          <cell r="N127">
            <v>2</v>
          </cell>
          <cell r="O127">
            <v>2</v>
          </cell>
          <cell r="P127">
            <v>0</v>
          </cell>
          <cell r="Q127">
            <v>2</v>
          </cell>
          <cell r="R127">
            <v>2</v>
          </cell>
          <cell r="S127">
            <v>2</v>
          </cell>
          <cell r="T127">
            <v>0</v>
          </cell>
          <cell r="U127">
            <v>2</v>
          </cell>
        </row>
        <row r="128">
          <cell r="A128" t="str">
            <v>J11079</v>
          </cell>
          <cell r="B128">
            <v>4</v>
          </cell>
          <cell r="C128">
            <v>4</v>
          </cell>
          <cell r="D128">
            <v>4</v>
          </cell>
          <cell r="E128">
            <v>2</v>
          </cell>
          <cell r="F128">
            <v>4</v>
          </cell>
          <cell r="G128">
            <v>2</v>
          </cell>
          <cell r="H128">
            <v>4</v>
          </cell>
          <cell r="I128">
            <v>4</v>
          </cell>
          <cell r="J128">
            <v>4</v>
          </cell>
          <cell r="K128">
            <v>4</v>
          </cell>
          <cell r="L128">
            <v>4</v>
          </cell>
          <cell r="M128">
            <v>1</v>
          </cell>
          <cell r="N128">
            <v>4</v>
          </cell>
          <cell r="O128">
            <v>2</v>
          </cell>
          <cell r="P128">
            <v>0</v>
          </cell>
          <cell r="Q128">
            <v>4</v>
          </cell>
          <cell r="R128">
            <v>4</v>
          </cell>
          <cell r="S128">
            <v>4</v>
          </cell>
          <cell r="T128">
            <v>0</v>
          </cell>
          <cell r="U128">
            <v>2</v>
          </cell>
        </row>
        <row r="129">
          <cell r="A129" t="str">
            <v>J11081</v>
          </cell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</row>
        <row r="130">
          <cell r="A130" t="str">
            <v>J11081C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1</v>
          </cell>
          <cell r="R130">
            <v>1</v>
          </cell>
          <cell r="S130">
            <v>1</v>
          </cell>
          <cell r="T130">
            <v>0</v>
          </cell>
          <cell r="U130">
            <v>0</v>
          </cell>
        </row>
        <row r="131">
          <cell r="A131" t="str">
            <v>J11082</v>
          </cell>
          <cell r="B131">
            <v>1</v>
          </cell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</row>
        <row r="132">
          <cell r="A132" t="str">
            <v>J11082C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1</v>
          </cell>
          <cell r="S132">
            <v>1</v>
          </cell>
          <cell r="T132">
            <v>0</v>
          </cell>
          <cell r="U132">
            <v>0</v>
          </cell>
        </row>
        <row r="133">
          <cell r="A133" t="str">
            <v>J11083A</v>
          </cell>
          <cell r="B133">
            <v>2</v>
          </cell>
          <cell r="C133">
            <v>2</v>
          </cell>
          <cell r="D133">
            <v>2</v>
          </cell>
          <cell r="E133">
            <v>1</v>
          </cell>
          <cell r="F133">
            <v>2</v>
          </cell>
          <cell r="G133">
            <v>1</v>
          </cell>
          <cell r="H133">
            <v>0</v>
          </cell>
          <cell r="I133">
            <v>2</v>
          </cell>
          <cell r="J133">
            <v>2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1</v>
          </cell>
        </row>
        <row r="134">
          <cell r="A134" t="str">
            <v>J11083B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2</v>
          </cell>
          <cell r="I134">
            <v>0</v>
          </cell>
          <cell r="J134">
            <v>0</v>
          </cell>
          <cell r="K134">
            <v>2</v>
          </cell>
          <cell r="L134">
            <v>2</v>
          </cell>
          <cell r="M134">
            <v>1</v>
          </cell>
          <cell r="N134">
            <v>2</v>
          </cell>
          <cell r="O134">
            <v>1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J11083C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2</v>
          </cell>
          <cell r="R135">
            <v>2</v>
          </cell>
          <cell r="S135">
            <v>2</v>
          </cell>
          <cell r="T135">
            <v>0</v>
          </cell>
          <cell r="U135">
            <v>0</v>
          </cell>
        </row>
        <row r="136">
          <cell r="A136" t="str">
            <v>J11085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1</v>
          </cell>
          <cell r="R136">
            <v>1</v>
          </cell>
          <cell r="S136">
            <v>1</v>
          </cell>
          <cell r="T136">
            <v>0</v>
          </cell>
          <cell r="U136">
            <v>0</v>
          </cell>
        </row>
        <row r="137">
          <cell r="A137" t="str">
            <v>J11086</v>
          </cell>
          <cell r="B137">
            <v>1</v>
          </cell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1</v>
          </cell>
        </row>
        <row r="138">
          <cell r="A138" t="str">
            <v>J11086C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1</v>
          </cell>
          <cell r="R138">
            <v>1</v>
          </cell>
          <cell r="S138">
            <v>1</v>
          </cell>
          <cell r="T138">
            <v>0</v>
          </cell>
          <cell r="U138">
            <v>0</v>
          </cell>
        </row>
        <row r="139">
          <cell r="A139" t="str">
            <v>J11089C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1</v>
          </cell>
          <cell r="R139">
            <v>1</v>
          </cell>
          <cell r="S139">
            <v>1</v>
          </cell>
          <cell r="T139">
            <v>0</v>
          </cell>
          <cell r="U139">
            <v>0</v>
          </cell>
        </row>
        <row r="140">
          <cell r="A140" t="str">
            <v>J11091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2</v>
          </cell>
          <cell r="I140">
            <v>0</v>
          </cell>
          <cell r="J140">
            <v>0</v>
          </cell>
          <cell r="K140">
            <v>2</v>
          </cell>
          <cell r="L140">
            <v>2</v>
          </cell>
          <cell r="M140">
            <v>2</v>
          </cell>
          <cell r="N140">
            <v>2</v>
          </cell>
          <cell r="O140">
            <v>2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</row>
        <row r="141">
          <cell r="A141" t="str">
            <v>J11092</v>
          </cell>
          <cell r="B141">
            <v>3</v>
          </cell>
          <cell r="C141">
            <v>1</v>
          </cell>
          <cell r="D141">
            <v>1</v>
          </cell>
          <cell r="E141">
            <v>2</v>
          </cell>
          <cell r="F141">
            <v>3</v>
          </cell>
          <cell r="G141">
            <v>2</v>
          </cell>
          <cell r="H141">
            <v>2</v>
          </cell>
          <cell r="I141">
            <v>3</v>
          </cell>
          <cell r="J141">
            <v>1</v>
          </cell>
          <cell r="K141">
            <v>3</v>
          </cell>
          <cell r="L141">
            <v>2</v>
          </cell>
          <cell r="M141">
            <v>2</v>
          </cell>
          <cell r="N141">
            <v>1</v>
          </cell>
          <cell r="O141">
            <v>1</v>
          </cell>
          <cell r="P141">
            <v>0</v>
          </cell>
          <cell r="Q141">
            <v>1</v>
          </cell>
          <cell r="R141">
            <v>3</v>
          </cell>
          <cell r="S141">
            <v>1</v>
          </cell>
          <cell r="T141">
            <v>0</v>
          </cell>
          <cell r="U141">
            <v>1</v>
          </cell>
        </row>
        <row r="142">
          <cell r="A142" t="str">
            <v>J11093</v>
          </cell>
          <cell r="B142">
            <v>3</v>
          </cell>
          <cell r="C142">
            <v>1</v>
          </cell>
          <cell r="D142">
            <v>1</v>
          </cell>
          <cell r="E142">
            <v>2</v>
          </cell>
          <cell r="F142">
            <v>3</v>
          </cell>
          <cell r="G142">
            <v>2</v>
          </cell>
          <cell r="H142">
            <v>2</v>
          </cell>
          <cell r="I142">
            <v>3</v>
          </cell>
          <cell r="J142">
            <v>1</v>
          </cell>
          <cell r="K142">
            <v>3</v>
          </cell>
          <cell r="L142">
            <v>2</v>
          </cell>
          <cell r="M142">
            <v>2</v>
          </cell>
          <cell r="N142">
            <v>1</v>
          </cell>
          <cell r="O142">
            <v>1</v>
          </cell>
          <cell r="P142">
            <v>0</v>
          </cell>
          <cell r="Q142">
            <v>1</v>
          </cell>
          <cell r="R142">
            <v>3</v>
          </cell>
          <cell r="S142">
            <v>1</v>
          </cell>
          <cell r="T142">
            <v>0</v>
          </cell>
          <cell r="U142">
            <v>1</v>
          </cell>
        </row>
        <row r="143">
          <cell r="A143" t="str">
            <v>J11101</v>
          </cell>
          <cell r="B143">
            <v>10</v>
          </cell>
          <cell r="C143">
            <v>4</v>
          </cell>
          <cell r="D143">
            <v>4</v>
          </cell>
          <cell r="E143">
            <v>6</v>
          </cell>
          <cell r="F143">
            <v>10</v>
          </cell>
          <cell r="G143">
            <v>8</v>
          </cell>
          <cell r="H143">
            <v>8</v>
          </cell>
          <cell r="I143">
            <v>10</v>
          </cell>
          <cell r="J143">
            <v>4</v>
          </cell>
          <cell r="K143">
            <v>8</v>
          </cell>
          <cell r="L143">
            <v>8</v>
          </cell>
          <cell r="M143">
            <v>8</v>
          </cell>
          <cell r="N143">
            <v>4</v>
          </cell>
          <cell r="O143">
            <v>4</v>
          </cell>
          <cell r="P143">
            <v>0</v>
          </cell>
          <cell r="Q143">
            <v>4</v>
          </cell>
          <cell r="R143">
            <v>8</v>
          </cell>
          <cell r="S143">
            <v>6</v>
          </cell>
          <cell r="T143">
            <v>0</v>
          </cell>
          <cell r="U143">
            <v>4</v>
          </cell>
        </row>
        <row r="144">
          <cell r="A144" t="str">
            <v>J11102B</v>
          </cell>
          <cell r="B144">
            <v>1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0</v>
          </cell>
          <cell r="Q144">
            <v>1</v>
          </cell>
          <cell r="R144">
            <v>1</v>
          </cell>
          <cell r="S144">
            <v>1</v>
          </cell>
          <cell r="T144">
            <v>0</v>
          </cell>
          <cell r="U144">
            <v>1</v>
          </cell>
        </row>
        <row r="145">
          <cell r="A145" t="str">
            <v>J11107</v>
          </cell>
          <cell r="B145">
            <v>2</v>
          </cell>
          <cell r="C145">
            <v>2</v>
          </cell>
          <cell r="D145">
            <v>2</v>
          </cell>
          <cell r="E145">
            <v>1</v>
          </cell>
          <cell r="F145">
            <v>2</v>
          </cell>
          <cell r="G145">
            <v>1</v>
          </cell>
          <cell r="H145">
            <v>0</v>
          </cell>
          <cell r="I145">
            <v>2</v>
          </cell>
          <cell r="J145">
            <v>2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2</v>
          </cell>
          <cell r="T145">
            <v>0</v>
          </cell>
          <cell r="U145">
            <v>1</v>
          </cell>
        </row>
        <row r="146">
          <cell r="A146" t="str">
            <v>J11107B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</v>
          </cell>
          <cell r="I146">
            <v>0</v>
          </cell>
          <cell r="J146">
            <v>0</v>
          </cell>
          <cell r="K146">
            <v>2</v>
          </cell>
          <cell r="L146">
            <v>2</v>
          </cell>
          <cell r="M146">
            <v>2</v>
          </cell>
          <cell r="N146">
            <v>2</v>
          </cell>
          <cell r="O146">
            <v>1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</row>
        <row r="147">
          <cell r="A147" t="str">
            <v>J11108</v>
          </cell>
          <cell r="B147">
            <v>2</v>
          </cell>
          <cell r="C147">
            <v>2</v>
          </cell>
          <cell r="D147">
            <v>2</v>
          </cell>
          <cell r="E147">
            <v>2</v>
          </cell>
          <cell r="F147">
            <v>2</v>
          </cell>
          <cell r="G147">
            <v>2</v>
          </cell>
          <cell r="H147">
            <v>0</v>
          </cell>
          <cell r="I147">
            <v>2</v>
          </cell>
          <cell r="J147">
            <v>2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2</v>
          </cell>
        </row>
        <row r="148">
          <cell r="A148" t="str">
            <v>J11111</v>
          </cell>
          <cell r="B148">
            <v>2</v>
          </cell>
          <cell r="C148">
            <v>2</v>
          </cell>
          <cell r="D148">
            <v>2</v>
          </cell>
          <cell r="E148">
            <v>2</v>
          </cell>
          <cell r="F148">
            <v>2</v>
          </cell>
          <cell r="G148">
            <v>2</v>
          </cell>
          <cell r="H148">
            <v>2</v>
          </cell>
          <cell r="I148">
            <v>2</v>
          </cell>
          <cell r="J148">
            <v>2</v>
          </cell>
          <cell r="K148">
            <v>2</v>
          </cell>
          <cell r="L148">
            <v>2</v>
          </cell>
          <cell r="M148">
            <v>1</v>
          </cell>
          <cell r="N148">
            <v>2</v>
          </cell>
          <cell r="O148">
            <v>2</v>
          </cell>
          <cell r="P148">
            <v>0</v>
          </cell>
          <cell r="Q148">
            <v>2</v>
          </cell>
          <cell r="R148">
            <v>2</v>
          </cell>
          <cell r="S148">
            <v>2</v>
          </cell>
          <cell r="T148">
            <v>0</v>
          </cell>
          <cell r="U148">
            <v>2</v>
          </cell>
        </row>
        <row r="149">
          <cell r="A149" t="str">
            <v>J11112</v>
          </cell>
          <cell r="B149">
            <v>2</v>
          </cell>
          <cell r="C149">
            <v>1</v>
          </cell>
          <cell r="D149">
            <v>1</v>
          </cell>
          <cell r="E149">
            <v>1</v>
          </cell>
          <cell r="F149">
            <v>2</v>
          </cell>
          <cell r="G149">
            <v>2</v>
          </cell>
          <cell r="H149">
            <v>0</v>
          </cell>
          <cell r="I149">
            <v>2</v>
          </cell>
          <cell r="J149">
            <v>1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1</v>
          </cell>
        </row>
        <row r="150">
          <cell r="A150" t="str">
            <v>J11113B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</v>
          </cell>
          <cell r="I150">
            <v>0</v>
          </cell>
          <cell r="J150">
            <v>0</v>
          </cell>
          <cell r="K150">
            <v>2</v>
          </cell>
          <cell r="L150">
            <v>2</v>
          </cell>
          <cell r="M150">
            <v>2</v>
          </cell>
          <cell r="N150">
            <v>2</v>
          </cell>
          <cell r="O150">
            <v>2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</row>
        <row r="151">
          <cell r="A151" t="str">
            <v>J11114</v>
          </cell>
          <cell r="B151">
            <v>2</v>
          </cell>
          <cell r="C151">
            <v>2</v>
          </cell>
          <cell r="D151">
            <v>2</v>
          </cell>
          <cell r="E151">
            <v>2</v>
          </cell>
          <cell r="F151">
            <v>2</v>
          </cell>
          <cell r="G151">
            <v>2</v>
          </cell>
          <cell r="H151">
            <v>2</v>
          </cell>
          <cell r="I151">
            <v>2</v>
          </cell>
          <cell r="J151">
            <v>2</v>
          </cell>
          <cell r="K151">
            <v>2</v>
          </cell>
          <cell r="L151">
            <v>2</v>
          </cell>
          <cell r="M151">
            <v>1</v>
          </cell>
          <cell r="N151">
            <v>2</v>
          </cell>
          <cell r="O151">
            <v>2</v>
          </cell>
          <cell r="P151">
            <v>0</v>
          </cell>
          <cell r="Q151">
            <v>2</v>
          </cell>
          <cell r="R151">
            <v>2</v>
          </cell>
          <cell r="S151">
            <v>2</v>
          </cell>
          <cell r="T151">
            <v>0</v>
          </cell>
          <cell r="U151">
            <v>2</v>
          </cell>
        </row>
        <row r="152">
          <cell r="A152" t="str">
            <v>J11115</v>
          </cell>
          <cell r="B152">
            <v>5</v>
          </cell>
          <cell r="C152">
            <v>2</v>
          </cell>
          <cell r="D152">
            <v>2</v>
          </cell>
          <cell r="E152">
            <v>3</v>
          </cell>
          <cell r="F152">
            <v>5</v>
          </cell>
          <cell r="G152">
            <v>3</v>
          </cell>
          <cell r="H152">
            <v>4</v>
          </cell>
          <cell r="I152">
            <v>5</v>
          </cell>
          <cell r="J152">
            <v>1</v>
          </cell>
          <cell r="K152">
            <v>5</v>
          </cell>
          <cell r="L152">
            <v>4</v>
          </cell>
          <cell r="M152">
            <v>4</v>
          </cell>
          <cell r="N152">
            <v>1</v>
          </cell>
          <cell r="O152">
            <v>1</v>
          </cell>
          <cell r="P152">
            <v>0</v>
          </cell>
          <cell r="Q152">
            <v>1</v>
          </cell>
          <cell r="R152">
            <v>5</v>
          </cell>
          <cell r="S152">
            <v>2</v>
          </cell>
          <cell r="T152">
            <v>0</v>
          </cell>
          <cell r="U152">
            <v>1</v>
          </cell>
        </row>
        <row r="153">
          <cell r="A153" t="str">
            <v>J11116</v>
          </cell>
          <cell r="B153">
            <v>2</v>
          </cell>
          <cell r="C153">
            <v>2</v>
          </cell>
          <cell r="D153">
            <v>2</v>
          </cell>
          <cell r="E153">
            <v>2</v>
          </cell>
          <cell r="F153">
            <v>2</v>
          </cell>
          <cell r="G153">
            <v>2</v>
          </cell>
          <cell r="H153">
            <v>2</v>
          </cell>
          <cell r="I153">
            <v>2</v>
          </cell>
          <cell r="J153">
            <v>2</v>
          </cell>
          <cell r="K153">
            <v>2</v>
          </cell>
          <cell r="L153">
            <v>2</v>
          </cell>
          <cell r="M153">
            <v>1</v>
          </cell>
          <cell r="N153">
            <v>2</v>
          </cell>
          <cell r="O153">
            <v>2</v>
          </cell>
          <cell r="P153">
            <v>0</v>
          </cell>
          <cell r="Q153">
            <v>2</v>
          </cell>
          <cell r="R153">
            <v>2</v>
          </cell>
          <cell r="S153">
            <v>2</v>
          </cell>
          <cell r="T153">
            <v>0</v>
          </cell>
          <cell r="U153">
            <v>2</v>
          </cell>
        </row>
        <row r="154">
          <cell r="A154" t="str">
            <v>J11117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2</v>
          </cell>
          <cell r="I154">
            <v>0</v>
          </cell>
          <cell r="J154">
            <v>0</v>
          </cell>
          <cell r="K154">
            <v>2</v>
          </cell>
          <cell r="L154">
            <v>2</v>
          </cell>
          <cell r="M154">
            <v>2</v>
          </cell>
          <cell r="N154">
            <v>2</v>
          </cell>
          <cell r="O154">
            <v>2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</row>
        <row r="155">
          <cell r="A155" t="str">
            <v>J11119</v>
          </cell>
          <cell r="B155">
            <v>12</v>
          </cell>
          <cell r="C155">
            <v>3</v>
          </cell>
          <cell r="D155">
            <v>3</v>
          </cell>
          <cell r="E155">
            <v>6</v>
          </cell>
          <cell r="F155">
            <v>12</v>
          </cell>
          <cell r="G155">
            <v>7</v>
          </cell>
          <cell r="H155">
            <v>10</v>
          </cell>
          <cell r="I155">
            <v>12</v>
          </cell>
          <cell r="J155">
            <v>1</v>
          </cell>
          <cell r="K155">
            <v>12</v>
          </cell>
          <cell r="L155">
            <v>8</v>
          </cell>
          <cell r="M155">
            <v>8</v>
          </cell>
          <cell r="N155">
            <v>2</v>
          </cell>
          <cell r="O155">
            <v>2</v>
          </cell>
          <cell r="P155">
            <v>0</v>
          </cell>
          <cell r="Q155">
            <v>3</v>
          </cell>
          <cell r="R155">
            <v>11</v>
          </cell>
          <cell r="S155">
            <v>5</v>
          </cell>
          <cell r="T155">
            <v>0</v>
          </cell>
          <cell r="U155">
            <v>1</v>
          </cell>
        </row>
        <row r="156">
          <cell r="A156" t="str">
            <v>J11120</v>
          </cell>
          <cell r="B156">
            <v>2</v>
          </cell>
          <cell r="C156">
            <v>2</v>
          </cell>
          <cell r="D156">
            <v>2</v>
          </cell>
          <cell r="E156">
            <v>1</v>
          </cell>
          <cell r="F156">
            <v>2</v>
          </cell>
          <cell r="G156">
            <v>1</v>
          </cell>
          <cell r="H156">
            <v>2</v>
          </cell>
          <cell r="I156">
            <v>2</v>
          </cell>
          <cell r="J156">
            <v>2</v>
          </cell>
          <cell r="K156">
            <v>2</v>
          </cell>
          <cell r="L156">
            <v>2</v>
          </cell>
          <cell r="M156">
            <v>1</v>
          </cell>
          <cell r="N156">
            <v>2</v>
          </cell>
          <cell r="O156">
            <v>1</v>
          </cell>
          <cell r="P156">
            <v>0</v>
          </cell>
          <cell r="Q156">
            <v>2</v>
          </cell>
          <cell r="R156">
            <v>2</v>
          </cell>
          <cell r="S156">
            <v>2</v>
          </cell>
          <cell r="T156">
            <v>0</v>
          </cell>
          <cell r="U156">
            <v>1</v>
          </cell>
        </row>
        <row r="157">
          <cell r="A157" t="str">
            <v>J11121</v>
          </cell>
          <cell r="B157">
            <v>1</v>
          </cell>
          <cell r="C157">
            <v>1</v>
          </cell>
          <cell r="D157">
            <v>1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0</v>
          </cell>
          <cell r="Q157">
            <v>1</v>
          </cell>
          <cell r="R157">
            <v>1</v>
          </cell>
          <cell r="S157">
            <v>1</v>
          </cell>
          <cell r="T157">
            <v>0</v>
          </cell>
          <cell r="U157">
            <v>1</v>
          </cell>
        </row>
        <row r="158">
          <cell r="A158" t="str">
            <v>J11122</v>
          </cell>
          <cell r="B158">
            <v>6</v>
          </cell>
          <cell r="C158">
            <v>2</v>
          </cell>
          <cell r="D158">
            <v>2</v>
          </cell>
          <cell r="E158">
            <v>3</v>
          </cell>
          <cell r="F158">
            <v>6</v>
          </cell>
          <cell r="G158">
            <v>4</v>
          </cell>
          <cell r="H158">
            <v>5</v>
          </cell>
          <cell r="I158">
            <v>6</v>
          </cell>
          <cell r="J158">
            <v>2</v>
          </cell>
          <cell r="K158">
            <v>6</v>
          </cell>
          <cell r="L158">
            <v>4</v>
          </cell>
          <cell r="M158">
            <v>4</v>
          </cell>
          <cell r="N158">
            <v>2</v>
          </cell>
          <cell r="O158">
            <v>2</v>
          </cell>
          <cell r="P158">
            <v>0</v>
          </cell>
          <cell r="Q158">
            <v>2</v>
          </cell>
          <cell r="R158">
            <v>6</v>
          </cell>
          <cell r="S158">
            <v>3</v>
          </cell>
          <cell r="T158">
            <v>0</v>
          </cell>
          <cell r="U158">
            <v>2</v>
          </cell>
        </row>
        <row r="159">
          <cell r="A159" t="str">
            <v>J11123</v>
          </cell>
          <cell r="B159">
            <v>6</v>
          </cell>
          <cell r="C159">
            <v>2</v>
          </cell>
          <cell r="D159">
            <v>2</v>
          </cell>
          <cell r="E159">
            <v>3</v>
          </cell>
          <cell r="F159">
            <v>6</v>
          </cell>
          <cell r="G159">
            <v>4</v>
          </cell>
          <cell r="H159">
            <v>5</v>
          </cell>
          <cell r="I159">
            <v>6</v>
          </cell>
          <cell r="J159">
            <v>2</v>
          </cell>
          <cell r="K159">
            <v>6</v>
          </cell>
          <cell r="L159">
            <v>4</v>
          </cell>
          <cell r="M159">
            <v>4</v>
          </cell>
          <cell r="N159">
            <v>2</v>
          </cell>
          <cell r="O159">
            <v>2</v>
          </cell>
          <cell r="P159">
            <v>0</v>
          </cell>
          <cell r="Q159">
            <v>2</v>
          </cell>
          <cell r="R159">
            <v>6</v>
          </cell>
          <cell r="S159">
            <v>3</v>
          </cell>
          <cell r="T159">
            <v>0</v>
          </cell>
          <cell r="U159">
            <v>2</v>
          </cell>
        </row>
        <row r="160">
          <cell r="A160" t="str">
            <v>J11124</v>
          </cell>
          <cell r="B160">
            <v>3</v>
          </cell>
          <cell r="C160">
            <v>2</v>
          </cell>
          <cell r="D160">
            <v>2</v>
          </cell>
          <cell r="E160">
            <v>2</v>
          </cell>
          <cell r="F160">
            <v>3</v>
          </cell>
          <cell r="G160">
            <v>2</v>
          </cell>
          <cell r="H160">
            <v>2</v>
          </cell>
          <cell r="I160">
            <v>3</v>
          </cell>
          <cell r="J160">
            <v>2</v>
          </cell>
          <cell r="K160">
            <v>3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0</v>
          </cell>
          <cell r="Q160">
            <v>2</v>
          </cell>
          <cell r="R160">
            <v>3</v>
          </cell>
          <cell r="S160">
            <v>2</v>
          </cell>
          <cell r="T160">
            <v>0</v>
          </cell>
          <cell r="U160">
            <v>2</v>
          </cell>
        </row>
        <row r="161">
          <cell r="A161" t="str">
            <v>J11125</v>
          </cell>
          <cell r="B161">
            <v>6</v>
          </cell>
          <cell r="C161">
            <v>2</v>
          </cell>
          <cell r="D161">
            <v>2</v>
          </cell>
          <cell r="E161">
            <v>3</v>
          </cell>
          <cell r="F161">
            <v>6</v>
          </cell>
          <cell r="G161">
            <v>4</v>
          </cell>
          <cell r="H161">
            <v>5</v>
          </cell>
          <cell r="I161">
            <v>6</v>
          </cell>
          <cell r="J161">
            <v>1</v>
          </cell>
          <cell r="K161">
            <v>6</v>
          </cell>
          <cell r="L161">
            <v>4</v>
          </cell>
          <cell r="M161">
            <v>4</v>
          </cell>
          <cell r="N161">
            <v>2</v>
          </cell>
          <cell r="O161">
            <v>2</v>
          </cell>
          <cell r="P161">
            <v>0</v>
          </cell>
          <cell r="Q161">
            <v>2</v>
          </cell>
          <cell r="R161">
            <v>6</v>
          </cell>
          <cell r="S161">
            <v>3</v>
          </cell>
          <cell r="T161">
            <v>0</v>
          </cell>
          <cell r="U161">
            <v>1</v>
          </cell>
        </row>
        <row r="162">
          <cell r="A162" t="str">
            <v>J11127</v>
          </cell>
          <cell r="B162">
            <v>4</v>
          </cell>
          <cell r="C162">
            <v>1</v>
          </cell>
          <cell r="D162">
            <v>1</v>
          </cell>
          <cell r="E162">
            <v>2</v>
          </cell>
          <cell r="F162">
            <v>4</v>
          </cell>
          <cell r="G162">
            <v>3</v>
          </cell>
          <cell r="H162">
            <v>4</v>
          </cell>
          <cell r="I162">
            <v>4</v>
          </cell>
          <cell r="J162">
            <v>1</v>
          </cell>
          <cell r="K162">
            <v>4</v>
          </cell>
          <cell r="L162">
            <v>3</v>
          </cell>
          <cell r="M162">
            <v>3</v>
          </cell>
          <cell r="N162">
            <v>1</v>
          </cell>
          <cell r="O162">
            <v>1</v>
          </cell>
          <cell r="P162">
            <v>0</v>
          </cell>
          <cell r="Q162">
            <v>2</v>
          </cell>
          <cell r="R162">
            <v>4</v>
          </cell>
          <cell r="S162">
            <v>2</v>
          </cell>
          <cell r="T162">
            <v>0</v>
          </cell>
          <cell r="U162">
            <v>1</v>
          </cell>
        </row>
        <row r="163">
          <cell r="A163" t="str">
            <v>J11128</v>
          </cell>
          <cell r="B163">
            <v>2</v>
          </cell>
          <cell r="C163">
            <v>2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2</v>
          </cell>
          <cell r="I163">
            <v>2</v>
          </cell>
          <cell r="J163">
            <v>2</v>
          </cell>
          <cell r="K163">
            <v>2</v>
          </cell>
          <cell r="L163">
            <v>2</v>
          </cell>
          <cell r="M163">
            <v>1</v>
          </cell>
          <cell r="N163">
            <v>2</v>
          </cell>
          <cell r="O163">
            <v>2</v>
          </cell>
          <cell r="P163">
            <v>0</v>
          </cell>
          <cell r="Q163">
            <v>2</v>
          </cell>
          <cell r="R163">
            <v>2</v>
          </cell>
          <cell r="S163">
            <v>2</v>
          </cell>
          <cell r="T163">
            <v>0</v>
          </cell>
          <cell r="U163">
            <v>2</v>
          </cell>
        </row>
        <row r="164">
          <cell r="A164" t="str">
            <v>J11129</v>
          </cell>
          <cell r="B164">
            <v>1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</row>
        <row r="165">
          <cell r="A165" t="str">
            <v>J11130</v>
          </cell>
          <cell r="B165">
            <v>1</v>
          </cell>
          <cell r="C165">
            <v>1</v>
          </cell>
          <cell r="D165">
            <v>1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</row>
        <row r="166">
          <cell r="A166" t="str">
            <v>J11906</v>
          </cell>
          <cell r="B166">
            <v>4</v>
          </cell>
          <cell r="C166">
            <v>1</v>
          </cell>
          <cell r="D166">
            <v>1</v>
          </cell>
          <cell r="E166">
            <v>2</v>
          </cell>
          <cell r="F166">
            <v>4</v>
          </cell>
          <cell r="G166">
            <v>3</v>
          </cell>
          <cell r="H166">
            <v>5</v>
          </cell>
          <cell r="I166">
            <v>4</v>
          </cell>
          <cell r="J166">
            <v>1</v>
          </cell>
          <cell r="K166">
            <v>6</v>
          </cell>
          <cell r="L166">
            <v>4</v>
          </cell>
          <cell r="M166">
            <v>4</v>
          </cell>
          <cell r="N166">
            <v>1</v>
          </cell>
          <cell r="O166">
            <v>1</v>
          </cell>
          <cell r="P166">
            <v>0</v>
          </cell>
          <cell r="Q166">
            <v>2</v>
          </cell>
          <cell r="R166">
            <v>6</v>
          </cell>
          <cell r="S166">
            <v>3</v>
          </cell>
          <cell r="T166">
            <v>0</v>
          </cell>
          <cell r="U166">
            <v>1</v>
          </cell>
        </row>
        <row r="167">
          <cell r="A167" t="str">
            <v>J12001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A168" t="str">
            <v>J12003</v>
          </cell>
          <cell r="B168">
            <v>3</v>
          </cell>
          <cell r="C168">
            <v>3</v>
          </cell>
          <cell r="D168">
            <v>3</v>
          </cell>
          <cell r="E168">
            <v>0</v>
          </cell>
          <cell r="F168">
            <v>3</v>
          </cell>
          <cell r="G168">
            <v>0</v>
          </cell>
          <cell r="H168">
            <v>3</v>
          </cell>
          <cell r="I168">
            <v>3</v>
          </cell>
          <cell r="J168">
            <v>3</v>
          </cell>
          <cell r="K168">
            <v>3</v>
          </cell>
          <cell r="L168">
            <v>3</v>
          </cell>
          <cell r="M168">
            <v>0</v>
          </cell>
          <cell r="N168">
            <v>3</v>
          </cell>
          <cell r="O168">
            <v>0</v>
          </cell>
          <cell r="P168">
            <v>3</v>
          </cell>
          <cell r="Q168">
            <v>3</v>
          </cell>
          <cell r="R168">
            <v>3</v>
          </cell>
          <cell r="S168">
            <v>3</v>
          </cell>
          <cell r="T168">
            <v>3</v>
          </cell>
          <cell r="U168">
            <v>0</v>
          </cell>
        </row>
        <row r="169">
          <cell r="A169" t="str">
            <v>J12007</v>
          </cell>
          <cell r="B169">
            <v>2</v>
          </cell>
          <cell r="C169">
            <v>2</v>
          </cell>
          <cell r="D169">
            <v>2</v>
          </cell>
          <cell r="E169">
            <v>1</v>
          </cell>
          <cell r="F169">
            <v>2</v>
          </cell>
          <cell r="G169">
            <v>1</v>
          </cell>
          <cell r="H169">
            <v>2</v>
          </cell>
          <cell r="I169">
            <v>2</v>
          </cell>
          <cell r="J169">
            <v>2</v>
          </cell>
          <cell r="K169">
            <v>2</v>
          </cell>
          <cell r="L169">
            <v>2</v>
          </cell>
          <cell r="M169">
            <v>1</v>
          </cell>
          <cell r="N169">
            <v>2</v>
          </cell>
          <cell r="O169">
            <v>1</v>
          </cell>
          <cell r="P169">
            <v>2</v>
          </cell>
          <cell r="Q169">
            <v>2</v>
          </cell>
          <cell r="R169">
            <v>2</v>
          </cell>
          <cell r="S169">
            <v>2</v>
          </cell>
          <cell r="T169">
            <v>2</v>
          </cell>
          <cell r="U169">
            <v>1</v>
          </cell>
        </row>
        <row r="170">
          <cell r="A170" t="str">
            <v>J12016</v>
          </cell>
          <cell r="B170">
            <v>2</v>
          </cell>
          <cell r="C170">
            <v>2</v>
          </cell>
          <cell r="D170">
            <v>2</v>
          </cell>
          <cell r="E170">
            <v>0</v>
          </cell>
          <cell r="F170">
            <v>2</v>
          </cell>
          <cell r="G170">
            <v>0</v>
          </cell>
          <cell r="H170">
            <v>2</v>
          </cell>
          <cell r="I170">
            <v>2</v>
          </cell>
          <cell r="J170">
            <v>2</v>
          </cell>
          <cell r="K170">
            <v>2</v>
          </cell>
          <cell r="L170">
            <v>2</v>
          </cell>
          <cell r="M170">
            <v>0</v>
          </cell>
          <cell r="N170">
            <v>2</v>
          </cell>
          <cell r="O170">
            <v>0</v>
          </cell>
          <cell r="P170">
            <v>0</v>
          </cell>
          <cell r="Q170">
            <v>2</v>
          </cell>
          <cell r="R170">
            <v>2</v>
          </cell>
          <cell r="S170">
            <v>2</v>
          </cell>
          <cell r="T170">
            <v>0</v>
          </cell>
          <cell r="U170">
            <v>0</v>
          </cell>
        </row>
        <row r="171">
          <cell r="A171" t="str">
            <v>J12019</v>
          </cell>
          <cell r="B171">
            <v>4</v>
          </cell>
          <cell r="C171">
            <v>4</v>
          </cell>
          <cell r="D171">
            <v>4</v>
          </cell>
          <cell r="E171">
            <v>4</v>
          </cell>
          <cell r="F171">
            <v>4</v>
          </cell>
          <cell r="G171">
            <v>4</v>
          </cell>
          <cell r="H171">
            <v>2</v>
          </cell>
          <cell r="I171">
            <v>4</v>
          </cell>
          <cell r="J171">
            <v>4</v>
          </cell>
          <cell r="K171">
            <v>2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0</v>
          </cell>
          <cell r="Q171">
            <v>4</v>
          </cell>
          <cell r="R171">
            <v>4</v>
          </cell>
          <cell r="S171">
            <v>4</v>
          </cell>
          <cell r="T171">
            <v>0</v>
          </cell>
          <cell r="U171">
            <v>4</v>
          </cell>
        </row>
        <row r="172">
          <cell r="A172" t="str">
            <v>J12020</v>
          </cell>
          <cell r="B172">
            <v>5</v>
          </cell>
          <cell r="C172">
            <v>2</v>
          </cell>
          <cell r="D172">
            <v>2</v>
          </cell>
          <cell r="E172">
            <v>2</v>
          </cell>
          <cell r="F172">
            <v>5</v>
          </cell>
          <cell r="G172">
            <v>3</v>
          </cell>
          <cell r="H172">
            <v>4</v>
          </cell>
          <cell r="I172">
            <v>5</v>
          </cell>
          <cell r="J172">
            <v>2</v>
          </cell>
          <cell r="K172">
            <v>4</v>
          </cell>
          <cell r="L172">
            <v>4</v>
          </cell>
          <cell r="M172">
            <v>0</v>
          </cell>
          <cell r="N172">
            <v>4</v>
          </cell>
          <cell r="O172">
            <v>0</v>
          </cell>
          <cell r="P172">
            <v>3</v>
          </cell>
          <cell r="Q172">
            <v>3</v>
          </cell>
          <cell r="R172">
            <v>3</v>
          </cell>
          <cell r="S172">
            <v>3</v>
          </cell>
          <cell r="T172">
            <v>3</v>
          </cell>
          <cell r="U172">
            <v>1</v>
          </cell>
        </row>
        <row r="173">
          <cell r="A173" t="str">
            <v>J12021</v>
          </cell>
          <cell r="B173">
            <v>4</v>
          </cell>
          <cell r="C173">
            <v>4</v>
          </cell>
          <cell r="D173">
            <v>4</v>
          </cell>
          <cell r="E173">
            <v>4</v>
          </cell>
          <cell r="F173">
            <v>4</v>
          </cell>
          <cell r="G173">
            <v>4</v>
          </cell>
          <cell r="H173">
            <v>4</v>
          </cell>
          <cell r="I173">
            <v>4</v>
          </cell>
          <cell r="J173">
            <v>4</v>
          </cell>
          <cell r="K173">
            <v>4</v>
          </cell>
          <cell r="L173">
            <v>4</v>
          </cell>
          <cell r="M173">
            <v>2</v>
          </cell>
          <cell r="N173">
            <v>4</v>
          </cell>
          <cell r="O173">
            <v>4</v>
          </cell>
          <cell r="P173">
            <v>0</v>
          </cell>
          <cell r="Q173">
            <v>4</v>
          </cell>
          <cell r="R173">
            <v>4</v>
          </cell>
          <cell r="S173">
            <v>4</v>
          </cell>
          <cell r="T173">
            <v>0</v>
          </cell>
          <cell r="U173">
            <v>4</v>
          </cell>
        </row>
        <row r="174">
          <cell r="A174" t="str">
            <v>J12022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</row>
        <row r="175">
          <cell r="A175" t="str">
            <v>J12023</v>
          </cell>
          <cell r="B175">
            <v>3</v>
          </cell>
          <cell r="C175">
            <v>3</v>
          </cell>
          <cell r="D175">
            <v>3</v>
          </cell>
          <cell r="E175">
            <v>0</v>
          </cell>
          <cell r="F175">
            <v>3</v>
          </cell>
          <cell r="G175">
            <v>0</v>
          </cell>
          <cell r="H175">
            <v>3</v>
          </cell>
          <cell r="I175">
            <v>3</v>
          </cell>
          <cell r="J175">
            <v>3</v>
          </cell>
          <cell r="K175">
            <v>3</v>
          </cell>
          <cell r="L175">
            <v>3</v>
          </cell>
          <cell r="M175">
            <v>0</v>
          </cell>
          <cell r="N175">
            <v>3</v>
          </cell>
          <cell r="O175">
            <v>0</v>
          </cell>
          <cell r="P175">
            <v>0</v>
          </cell>
          <cell r="Q175">
            <v>3</v>
          </cell>
          <cell r="R175">
            <v>3</v>
          </cell>
          <cell r="S175">
            <v>3</v>
          </cell>
          <cell r="T175">
            <v>0</v>
          </cell>
          <cell r="U175">
            <v>0</v>
          </cell>
        </row>
        <row r="176">
          <cell r="A176" t="str">
            <v>J12024</v>
          </cell>
          <cell r="B176">
            <v>6</v>
          </cell>
          <cell r="C176">
            <v>2</v>
          </cell>
          <cell r="D176">
            <v>2</v>
          </cell>
          <cell r="E176">
            <v>3</v>
          </cell>
          <cell r="F176">
            <v>6</v>
          </cell>
          <cell r="G176">
            <v>4</v>
          </cell>
          <cell r="H176">
            <v>5</v>
          </cell>
          <cell r="I176">
            <v>6</v>
          </cell>
          <cell r="J176">
            <v>1</v>
          </cell>
          <cell r="K176">
            <v>6</v>
          </cell>
          <cell r="L176">
            <v>4</v>
          </cell>
          <cell r="M176">
            <v>4</v>
          </cell>
          <cell r="N176">
            <v>1</v>
          </cell>
          <cell r="O176">
            <v>1</v>
          </cell>
          <cell r="P176">
            <v>0</v>
          </cell>
          <cell r="Q176">
            <v>2</v>
          </cell>
          <cell r="R176">
            <v>6</v>
          </cell>
          <cell r="S176">
            <v>3</v>
          </cell>
          <cell r="T176">
            <v>0</v>
          </cell>
          <cell r="U176">
            <v>1</v>
          </cell>
        </row>
        <row r="177">
          <cell r="A177" t="str">
            <v>J12024-W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  <row r="178">
          <cell r="A178" t="str">
            <v>J12025</v>
          </cell>
          <cell r="B178">
            <v>4</v>
          </cell>
          <cell r="C178">
            <v>4</v>
          </cell>
          <cell r="D178">
            <v>4</v>
          </cell>
          <cell r="E178">
            <v>4</v>
          </cell>
          <cell r="F178">
            <v>4</v>
          </cell>
          <cell r="G178">
            <v>4</v>
          </cell>
          <cell r="H178">
            <v>4</v>
          </cell>
          <cell r="I178">
            <v>4</v>
          </cell>
          <cell r="J178">
            <v>4</v>
          </cell>
          <cell r="K178">
            <v>4</v>
          </cell>
          <cell r="L178">
            <v>4</v>
          </cell>
          <cell r="M178">
            <v>2</v>
          </cell>
          <cell r="N178">
            <v>4</v>
          </cell>
          <cell r="O178">
            <v>4</v>
          </cell>
          <cell r="P178">
            <v>0</v>
          </cell>
          <cell r="Q178">
            <v>4</v>
          </cell>
          <cell r="R178">
            <v>4</v>
          </cell>
          <cell r="S178">
            <v>4</v>
          </cell>
          <cell r="T178">
            <v>0</v>
          </cell>
          <cell r="U178">
            <v>4</v>
          </cell>
        </row>
        <row r="179">
          <cell r="A179" t="str">
            <v>J12034</v>
          </cell>
          <cell r="B179">
            <v>2</v>
          </cell>
          <cell r="C179">
            <v>2</v>
          </cell>
          <cell r="D179">
            <v>2</v>
          </cell>
          <cell r="E179">
            <v>2</v>
          </cell>
          <cell r="F179">
            <v>2</v>
          </cell>
          <cell r="G179">
            <v>2</v>
          </cell>
          <cell r="H179">
            <v>10</v>
          </cell>
          <cell r="I179">
            <v>2</v>
          </cell>
          <cell r="J179">
            <v>2</v>
          </cell>
          <cell r="K179">
            <v>12</v>
          </cell>
          <cell r="L179">
            <v>8</v>
          </cell>
          <cell r="M179">
            <v>8</v>
          </cell>
          <cell r="N179">
            <v>2</v>
          </cell>
          <cell r="O179">
            <v>2</v>
          </cell>
          <cell r="P179">
            <v>0</v>
          </cell>
          <cell r="Q179">
            <v>2</v>
          </cell>
          <cell r="R179">
            <v>2</v>
          </cell>
          <cell r="S179">
            <v>2</v>
          </cell>
          <cell r="T179">
            <v>0</v>
          </cell>
          <cell r="U179">
            <v>2</v>
          </cell>
        </row>
        <row r="180">
          <cell r="A180" t="str">
            <v>J12037</v>
          </cell>
          <cell r="B180">
            <v>3</v>
          </cell>
          <cell r="C180">
            <v>3</v>
          </cell>
          <cell r="D180">
            <v>3</v>
          </cell>
          <cell r="E180">
            <v>2</v>
          </cell>
          <cell r="F180">
            <v>3</v>
          </cell>
          <cell r="G180">
            <v>2</v>
          </cell>
          <cell r="H180">
            <v>3</v>
          </cell>
          <cell r="I180">
            <v>3</v>
          </cell>
          <cell r="J180">
            <v>3</v>
          </cell>
          <cell r="K180">
            <v>3</v>
          </cell>
          <cell r="L180">
            <v>3</v>
          </cell>
          <cell r="M180">
            <v>2</v>
          </cell>
          <cell r="N180">
            <v>3</v>
          </cell>
          <cell r="O180">
            <v>2</v>
          </cell>
          <cell r="P180">
            <v>0</v>
          </cell>
          <cell r="Q180">
            <v>3</v>
          </cell>
          <cell r="R180">
            <v>3</v>
          </cell>
          <cell r="S180">
            <v>3</v>
          </cell>
          <cell r="T180">
            <v>0</v>
          </cell>
          <cell r="U180">
            <v>2</v>
          </cell>
        </row>
        <row r="181">
          <cell r="A181" t="str">
            <v>J12038</v>
          </cell>
          <cell r="B181">
            <v>2</v>
          </cell>
          <cell r="C181">
            <v>2</v>
          </cell>
          <cell r="D181">
            <v>2</v>
          </cell>
          <cell r="E181">
            <v>2</v>
          </cell>
          <cell r="F181">
            <v>2</v>
          </cell>
          <cell r="G181">
            <v>2</v>
          </cell>
          <cell r="H181">
            <v>2</v>
          </cell>
          <cell r="I181">
            <v>2</v>
          </cell>
          <cell r="J181">
            <v>2</v>
          </cell>
          <cell r="K181">
            <v>2</v>
          </cell>
          <cell r="L181">
            <v>2</v>
          </cell>
          <cell r="M181">
            <v>1</v>
          </cell>
          <cell r="N181">
            <v>2</v>
          </cell>
          <cell r="O181">
            <v>2</v>
          </cell>
          <cell r="P181">
            <v>1</v>
          </cell>
          <cell r="Q181">
            <v>2</v>
          </cell>
          <cell r="R181">
            <v>2</v>
          </cell>
          <cell r="S181">
            <v>2</v>
          </cell>
          <cell r="T181">
            <v>1</v>
          </cell>
          <cell r="U181">
            <v>2</v>
          </cell>
        </row>
        <row r="182">
          <cell r="A182" t="str">
            <v>J12039B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</v>
          </cell>
          <cell r="J182">
            <v>0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A183" t="str">
            <v>J12040</v>
          </cell>
          <cell r="B183">
            <v>1</v>
          </cell>
          <cell r="C183">
            <v>1</v>
          </cell>
          <cell r="D183">
            <v>1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0</v>
          </cell>
          <cell r="Q183">
            <v>1</v>
          </cell>
          <cell r="R183">
            <v>1</v>
          </cell>
          <cell r="S183">
            <v>1</v>
          </cell>
          <cell r="T183">
            <v>0</v>
          </cell>
          <cell r="U183">
            <v>1</v>
          </cell>
        </row>
        <row r="184">
          <cell r="A184" t="str">
            <v>J12041</v>
          </cell>
          <cell r="B184">
            <v>1</v>
          </cell>
          <cell r="C184">
            <v>1</v>
          </cell>
          <cell r="D184">
            <v>1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1</v>
          </cell>
          <cell r="J184">
            <v>1</v>
          </cell>
          <cell r="K184">
            <v>1</v>
          </cell>
          <cell r="L184">
            <v>1</v>
          </cell>
          <cell r="M184">
            <v>1</v>
          </cell>
          <cell r="N184">
            <v>1</v>
          </cell>
          <cell r="O184">
            <v>1</v>
          </cell>
          <cell r="P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</row>
        <row r="185">
          <cell r="A185" t="str">
            <v>J12044</v>
          </cell>
          <cell r="B185">
            <v>2</v>
          </cell>
          <cell r="C185">
            <v>2</v>
          </cell>
          <cell r="D185">
            <v>2</v>
          </cell>
          <cell r="E185">
            <v>2</v>
          </cell>
          <cell r="F185">
            <v>2</v>
          </cell>
          <cell r="G185">
            <v>2</v>
          </cell>
          <cell r="H185">
            <v>2</v>
          </cell>
          <cell r="I185">
            <v>2</v>
          </cell>
          <cell r="J185">
            <v>2</v>
          </cell>
          <cell r="K185">
            <v>2</v>
          </cell>
          <cell r="L185">
            <v>2</v>
          </cell>
          <cell r="M185">
            <v>2</v>
          </cell>
          <cell r="N185">
            <v>2</v>
          </cell>
          <cell r="O185">
            <v>2</v>
          </cell>
          <cell r="P185">
            <v>0</v>
          </cell>
          <cell r="Q185">
            <v>2</v>
          </cell>
          <cell r="R185">
            <v>2</v>
          </cell>
          <cell r="S185">
            <v>2</v>
          </cell>
          <cell r="T185">
            <v>0</v>
          </cell>
          <cell r="U185">
            <v>2</v>
          </cell>
        </row>
        <row r="186">
          <cell r="A186" t="str">
            <v>J12045</v>
          </cell>
          <cell r="B186">
            <v>1</v>
          </cell>
          <cell r="C186">
            <v>1</v>
          </cell>
          <cell r="D186">
            <v>1</v>
          </cell>
          <cell r="E186">
            <v>1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J186">
            <v>1</v>
          </cell>
          <cell r="K186">
            <v>1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P186">
            <v>0</v>
          </cell>
          <cell r="Q186">
            <v>1</v>
          </cell>
          <cell r="R186">
            <v>1</v>
          </cell>
          <cell r="S186">
            <v>1</v>
          </cell>
          <cell r="T186">
            <v>0</v>
          </cell>
          <cell r="U186">
            <v>1</v>
          </cell>
        </row>
        <row r="187">
          <cell r="A187" t="str">
            <v>J12046</v>
          </cell>
          <cell r="B187">
            <v>2</v>
          </cell>
          <cell r="C187">
            <v>2</v>
          </cell>
          <cell r="D187">
            <v>2</v>
          </cell>
          <cell r="E187">
            <v>2</v>
          </cell>
          <cell r="F187">
            <v>2</v>
          </cell>
          <cell r="G187">
            <v>2</v>
          </cell>
          <cell r="H187">
            <v>2</v>
          </cell>
          <cell r="I187">
            <v>2</v>
          </cell>
          <cell r="J187">
            <v>2</v>
          </cell>
          <cell r="K187">
            <v>2</v>
          </cell>
          <cell r="L187">
            <v>2</v>
          </cell>
          <cell r="M187">
            <v>2</v>
          </cell>
          <cell r="N187">
            <v>2</v>
          </cell>
          <cell r="O187">
            <v>2</v>
          </cell>
          <cell r="P187">
            <v>0</v>
          </cell>
          <cell r="Q187">
            <v>2</v>
          </cell>
          <cell r="R187">
            <v>2</v>
          </cell>
          <cell r="S187">
            <v>2</v>
          </cell>
          <cell r="T187">
            <v>0</v>
          </cell>
          <cell r="U187">
            <v>2</v>
          </cell>
        </row>
        <row r="188">
          <cell r="A188" t="str">
            <v>J12047</v>
          </cell>
          <cell r="B188">
            <v>3</v>
          </cell>
          <cell r="C188">
            <v>3</v>
          </cell>
          <cell r="D188">
            <v>3</v>
          </cell>
          <cell r="E188">
            <v>0</v>
          </cell>
          <cell r="F188">
            <v>3</v>
          </cell>
          <cell r="G188">
            <v>0</v>
          </cell>
          <cell r="H188">
            <v>3</v>
          </cell>
          <cell r="I188">
            <v>3</v>
          </cell>
          <cell r="J188">
            <v>3</v>
          </cell>
          <cell r="K188">
            <v>3</v>
          </cell>
          <cell r="L188">
            <v>3</v>
          </cell>
          <cell r="M188">
            <v>0</v>
          </cell>
          <cell r="N188">
            <v>3</v>
          </cell>
          <cell r="O188">
            <v>0</v>
          </cell>
          <cell r="P188">
            <v>0</v>
          </cell>
          <cell r="Q188">
            <v>3</v>
          </cell>
          <cell r="R188">
            <v>3</v>
          </cell>
          <cell r="S188">
            <v>3</v>
          </cell>
          <cell r="T188">
            <v>0</v>
          </cell>
          <cell r="U188">
            <v>0</v>
          </cell>
        </row>
        <row r="189">
          <cell r="A189" t="str">
            <v>J13001</v>
          </cell>
          <cell r="B189">
            <v>3</v>
          </cell>
          <cell r="C189">
            <v>3</v>
          </cell>
          <cell r="D189">
            <v>3</v>
          </cell>
          <cell r="E189">
            <v>0</v>
          </cell>
          <cell r="F189">
            <v>3</v>
          </cell>
          <cell r="G189">
            <v>0</v>
          </cell>
          <cell r="H189">
            <v>3</v>
          </cell>
          <cell r="I189">
            <v>3</v>
          </cell>
          <cell r="J189">
            <v>3</v>
          </cell>
          <cell r="K189">
            <v>3</v>
          </cell>
          <cell r="L189">
            <v>3</v>
          </cell>
          <cell r="M189">
            <v>0</v>
          </cell>
          <cell r="N189">
            <v>3</v>
          </cell>
          <cell r="O189">
            <v>0</v>
          </cell>
          <cell r="P189">
            <v>3</v>
          </cell>
          <cell r="Q189">
            <v>3</v>
          </cell>
          <cell r="R189">
            <v>3</v>
          </cell>
          <cell r="S189">
            <v>3</v>
          </cell>
          <cell r="T189">
            <v>3</v>
          </cell>
          <cell r="U189">
            <v>0</v>
          </cell>
        </row>
        <row r="190">
          <cell r="A190" t="str">
            <v>J13002</v>
          </cell>
          <cell r="B190">
            <v>7</v>
          </cell>
          <cell r="C190">
            <v>3</v>
          </cell>
          <cell r="D190">
            <v>3</v>
          </cell>
          <cell r="E190">
            <v>3</v>
          </cell>
          <cell r="F190">
            <v>7</v>
          </cell>
          <cell r="G190">
            <v>4</v>
          </cell>
          <cell r="H190">
            <v>6</v>
          </cell>
          <cell r="I190">
            <v>7</v>
          </cell>
          <cell r="J190">
            <v>2</v>
          </cell>
          <cell r="K190">
            <v>7</v>
          </cell>
          <cell r="L190">
            <v>5</v>
          </cell>
          <cell r="M190">
            <v>4</v>
          </cell>
          <cell r="N190">
            <v>2</v>
          </cell>
          <cell r="O190">
            <v>1</v>
          </cell>
          <cell r="P190">
            <v>0</v>
          </cell>
          <cell r="Q190">
            <v>3</v>
          </cell>
          <cell r="R190">
            <v>7</v>
          </cell>
          <cell r="S190">
            <v>4</v>
          </cell>
          <cell r="T190">
            <v>0</v>
          </cell>
          <cell r="U190">
            <v>1</v>
          </cell>
        </row>
        <row r="191">
          <cell r="A191" t="str">
            <v>J13005</v>
          </cell>
          <cell r="B191">
            <v>8</v>
          </cell>
          <cell r="C191">
            <v>4</v>
          </cell>
          <cell r="D191">
            <v>4</v>
          </cell>
          <cell r="E191">
            <v>3</v>
          </cell>
          <cell r="F191">
            <v>8</v>
          </cell>
          <cell r="G191">
            <v>4</v>
          </cell>
          <cell r="H191">
            <v>7</v>
          </cell>
          <cell r="I191">
            <v>8</v>
          </cell>
          <cell r="J191">
            <v>3</v>
          </cell>
          <cell r="K191">
            <v>8</v>
          </cell>
          <cell r="L191">
            <v>6</v>
          </cell>
          <cell r="M191">
            <v>4</v>
          </cell>
          <cell r="N191">
            <v>3</v>
          </cell>
          <cell r="O191">
            <v>1</v>
          </cell>
          <cell r="P191">
            <v>3</v>
          </cell>
          <cell r="Q191">
            <v>2</v>
          </cell>
          <cell r="R191">
            <v>6</v>
          </cell>
          <cell r="S191">
            <v>5</v>
          </cell>
          <cell r="T191">
            <v>3</v>
          </cell>
          <cell r="U191">
            <v>1</v>
          </cell>
        </row>
        <row r="192">
          <cell r="A192" t="str">
            <v>J13006</v>
          </cell>
          <cell r="B192">
            <v>12</v>
          </cell>
          <cell r="C192">
            <v>8</v>
          </cell>
          <cell r="D192">
            <v>8</v>
          </cell>
          <cell r="E192">
            <v>5</v>
          </cell>
          <cell r="F192">
            <v>12</v>
          </cell>
          <cell r="G192">
            <v>6</v>
          </cell>
          <cell r="H192">
            <v>7</v>
          </cell>
          <cell r="I192">
            <v>12</v>
          </cell>
          <cell r="J192">
            <v>7</v>
          </cell>
          <cell r="K192">
            <v>8</v>
          </cell>
          <cell r="L192">
            <v>6</v>
          </cell>
          <cell r="M192">
            <v>4</v>
          </cell>
          <cell r="N192">
            <v>3</v>
          </cell>
          <cell r="O192">
            <v>1</v>
          </cell>
          <cell r="P192">
            <v>4</v>
          </cell>
          <cell r="Q192">
            <v>2</v>
          </cell>
          <cell r="R192">
            <v>6</v>
          </cell>
          <cell r="S192">
            <v>5</v>
          </cell>
          <cell r="T192">
            <v>3</v>
          </cell>
          <cell r="U192">
            <v>3</v>
          </cell>
        </row>
        <row r="193">
          <cell r="A193" t="str">
            <v>J13007</v>
          </cell>
          <cell r="B193">
            <v>12</v>
          </cell>
          <cell r="C193">
            <v>8</v>
          </cell>
          <cell r="D193">
            <v>8</v>
          </cell>
          <cell r="E193">
            <v>5</v>
          </cell>
          <cell r="F193">
            <v>12</v>
          </cell>
          <cell r="G193">
            <v>6</v>
          </cell>
          <cell r="H193">
            <v>11</v>
          </cell>
          <cell r="I193">
            <v>12</v>
          </cell>
          <cell r="J193">
            <v>7</v>
          </cell>
          <cell r="K193">
            <v>12</v>
          </cell>
          <cell r="L193">
            <v>10</v>
          </cell>
          <cell r="M193">
            <v>4</v>
          </cell>
          <cell r="N193">
            <v>7</v>
          </cell>
          <cell r="O193">
            <v>3</v>
          </cell>
          <cell r="P193">
            <v>8</v>
          </cell>
          <cell r="Q193">
            <v>8</v>
          </cell>
          <cell r="R193">
            <v>12</v>
          </cell>
          <cell r="S193">
            <v>9</v>
          </cell>
          <cell r="T193">
            <v>6</v>
          </cell>
          <cell r="U193">
            <v>3</v>
          </cell>
        </row>
        <row r="194">
          <cell r="A194" t="str">
            <v>J13008</v>
          </cell>
          <cell r="B194">
            <v>2</v>
          </cell>
          <cell r="C194">
            <v>2</v>
          </cell>
          <cell r="D194">
            <v>2</v>
          </cell>
          <cell r="E194">
            <v>0</v>
          </cell>
          <cell r="F194">
            <v>2</v>
          </cell>
          <cell r="G194">
            <v>0</v>
          </cell>
          <cell r="H194">
            <v>2</v>
          </cell>
          <cell r="I194">
            <v>2</v>
          </cell>
          <cell r="J194">
            <v>2</v>
          </cell>
          <cell r="K194">
            <v>2</v>
          </cell>
          <cell r="L194">
            <v>2</v>
          </cell>
          <cell r="M194">
            <v>0</v>
          </cell>
          <cell r="N194">
            <v>2</v>
          </cell>
          <cell r="O194">
            <v>0</v>
          </cell>
          <cell r="P194">
            <v>3</v>
          </cell>
          <cell r="Q194">
            <v>2</v>
          </cell>
          <cell r="R194">
            <v>2</v>
          </cell>
          <cell r="S194">
            <v>2</v>
          </cell>
          <cell r="T194">
            <v>3</v>
          </cell>
          <cell r="U194">
            <v>0</v>
          </cell>
        </row>
        <row r="195">
          <cell r="A195" t="str">
            <v>J13023</v>
          </cell>
          <cell r="B195">
            <v>6</v>
          </cell>
          <cell r="C195">
            <v>2</v>
          </cell>
          <cell r="D195">
            <v>2</v>
          </cell>
          <cell r="E195">
            <v>3</v>
          </cell>
          <cell r="F195">
            <v>6</v>
          </cell>
          <cell r="G195">
            <v>4</v>
          </cell>
          <cell r="H195">
            <v>7</v>
          </cell>
          <cell r="I195">
            <v>6</v>
          </cell>
          <cell r="J195">
            <v>1</v>
          </cell>
          <cell r="K195">
            <v>8</v>
          </cell>
          <cell r="L195">
            <v>6</v>
          </cell>
          <cell r="M195">
            <v>4</v>
          </cell>
          <cell r="N195">
            <v>3</v>
          </cell>
          <cell r="O195">
            <v>3</v>
          </cell>
          <cell r="P195">
            <v>2</v>
          </cell>
          <cell r="Q195">
            <v>4</v>
          </cell>
          <cell r="R195">
            <v>8</v>
          </cell>
          <cell r="S195">
            <v>5</v>
          </cell>
          <cell r="T195">
            <v>2</v>
          </cell>
          <cell r="U195">
            <v>1</v>
          </cell>
        </row>
        <row r="196">
          <cell r="A196" t="str">
            <v>J13026C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1</v>
          </cell>
          <cell r="R196">
            <v>2</v>
          </cell>
          <cell r="S196">
            <v>1</v>
          </cell>
          <cell r="T196">
            <v>0</v>
          </cell>
          <cell r="U196">
            <v>0</v>
          </cell>
        </row>
        <row r="197">
          <cell r="A197" t="str">
            <v>J13027</v>
          </cell>
          <cell r="B197">
            <v>4</v>
          </cell>
          <cell r="C197">
            <v>1</v>
          </cell>
          <cell r="D197">
            <v>1</v>
          </cell>
          <cell r="E197">
            <v>2</v>
          </cell>
          <cell r="F197">
            <v>4</v>
          </cell>
          <cell r="G197">
            <v>3</v>
          </cell>
          <cell r="H197">
            <v>4</v>
          </cell>
          <cell r="I197">
            <v>4</v>
          </cell>
          <cell r="J197">
            <v>1</v>
          </cell>
          <cell r="K197">
            <v>4</v>
          </cell>
          <cell r="L197">
            <v>3</v>
          </cell>
          <cell r="M197">
            <v>3</v>
          </cell>
          <cell r="N197">
            <v>1</v>
          </cell>
          <cell r="O197">
            <v>1</v>
          </cell>
          <cell r="P197">
            <v>0</v>
          </cell>
          <cell r="Q197">
            <v>1</v>
          </cell>
          <cell r="R197">
            <v>4</v>
          </cell>
          <cell r="S197">
            <v>2</v>
          </cell>
          <cell r="T197">
            <v>0</v>
          </cell>
          <cell r="U197">
            <v>1</v>
          </cell>
        </row>
        <row r="198">
          <cell r="A198" t="str">
            <v>J13028</v>
          </cell>
          <cell r="B198">
            <v>6</v>
          </cell>
          <cell r="C198">
            <v>2</v>
          </cell>
          <cell r="D198">
            <v>2</v>
          </cell>
          <cell r="E198">
            <v>3</v>
          </cell>
          <cell r="F198">
            <v>6</v>
          </cell>
          <cell r="G198">
            <v>4</v>
          </cell>
          <cell r="H198">
            <v>5</v>
          </cell>
          <cell r="I198">
            <v>6</v>
          </cell>
          <cell r="J198">
            <v>1</v>
          </cell>
          <cell r="K198">
            <v>6</v>
          </cell>
          <cell r="L198">
            <v>4</v>
          </cell>
          <cell r="M198">
            <v>4</v>
          </cell>
          <cell r="N198">
            <v>1</v>
          </cell>
          <cell r="O198">
            <v>1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1</v>
          </cell>
        </row>
        <row r="199">
          <cell r="A199" t="str">
            <v>J13028C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2</v>
          </cell>
          <cell r="R199">
            <v>6</v>
          </cell>
          <cell r="S199">
            <v>3</v>
          </cell>
          <cell r="T199">
            <v>0</v>
          </cell>
          <cell r="U199">
            <v>0</v>
          </cell>
        </row>
        <row r="200">
          <cell r="A200" t="str">
            <v>J13031B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1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A201" t="str">
            <v>J13032</v>
          </cell>
          <cell r="B201">
            <v>2</v>
          </cell>
          <cell r="C201">
            <v>2</v>
          </cell>
          <cell r="D201">
            <v>2</v>
          </cell>
          <cell r="E201">
            <v>2</v>
          </cell>
          <cell r="F201">
            <v>2</v>
          </cell>
          <cell r="G201">
            <v>2</v>
          </cell>
          <cell r="H201">
            <v>2</v>
          </cell>
          <cell r="I201">
            <v>2</v>
          </cell>
          <cell r="J201">
            <v>2</v>
          </cell>
          <cell r="K201">
            <v>2</v>
          </cell>
          <cell r="L201">
            <v>2</v>
          </cell>
          <cell r="M201">
            <v>2</v>
          </cell>
          <cell r="N201">
            <v>2</v>
          </cell>
          <cell r="O201">
            <v>2</v>
          </cell>
          <cell r="P201">
            <v>0</v>
          </cell>
          <cell r="Q201">
            <v>2</v>
          </cell>
          <cell r="R201">
            <v>2</v>
          </cell>
          <cell r="S201">
            <v>2</v>
          </cell>
          <cell r="T201">
            <v>0</v>
          </cell>
          <cell r="U201">
            <v>2</v>
          </cell>
        </row>
        <row r="202">
          <cell r="A202" t="str">
            <v>J13033</v>
          </cell>
          <cell r="B202">
            <v>1</v>
          </cell>
          <cell r="C202">
            <v>1</v>
          </cell>
          <cell r="D202">
            <v>1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0</v>
          </cell>
          <cell r="N202">
            <v>1</v>
          </cell>
          <cell r="O202">
            <v>0</v>
          </cell>
          <cell r="P202">
            <v>2</v>
          </cell>
          <cell r="Q202">
            <v>1</v>
          </cell>
          <cell r="R202">
            <v>1</v>
          </cell>
          <cell r="S202">
            <v>1</v>
          </cell>
          <cell r="T202">
            <v>2</v>
          </cell>
          <cell r="U202">
            <v>1</v>
          </cell>
        </row>
        <row r="203">
          <cell r="A203" t="str">
            <v>J13034</v>
          </cell>
          <cell r="B203">
            <v>2</v>
          </cell>
          <cell r="C203">
            <v>2</v>
          </cell>
          <cell r="D203">
            <v>2</v>
          </cell>
          <cell r="E203">
            <v>0</v>
          </cell>
          <cell r="F203">
            <v>2</v>
          </cell>
          <cell r="G203">
            <v>0</v>
          </cell>
          <cell r="H203">
            <v>3</v>
          </cell>
          <cell r="I203">
            <v>2</v>
          </cell>
          <cell r="J203">
            <v>2</v>
          </cell>
          <cell r="K203">
            <v>3</v>
          </cell>
          <cell r="L203">
            <v>3</v>
          </cell>
          <cell r="M203">
            <v>0</v>
          </cell>
          <cell r="N203">
            <v>3</v>
          </cell>
          <cell r="O203">
            <v>0</v>
          </cell>
          <cell r="P203">
            <v>2</v>
          </cell>
          <cell r="Q203">
            <v>3</v>
          </cell>
          <cell r="R203">
            <v>3</v>
          </cell>
          <cell r="S203">
            <v>3</v>
          </cell>
          <cell r="T203">
            <v>2</v>
          </cell>
          <cell r="U203">
            <v>0</v>
          </cell>
        </row>
        <row r="204">
          <cell r="A204" t="str">
            <v>J13035A</v>
          </cell>
          <cell r="B204">
            <v>2</v>
          </cell>
          <cell r="C204">
            <v>2</v>
          </cell>
          <cell r="D204">
            <v>2</v>
          </cell>
          <cell r="E204">
            <v>0</v>
          </cell>
          <cell r="F204">
            <v>2</v>
          </cell>
          <cell r="G204">
            <v>0</v>
          </cell>
          <cell r="H204">
            <v>0</v>
          </cell>
          <cell r="I204">
            <v>2</v>
          </cell>
          <cell r="J204">
            <v>2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</row>
        <row r="205">
          <cell r="A205" t="str">
            <v>J13035B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2</v>
          </cell>
          <cell r="I205">
            <v>0</v>
          </cell>
          <cell r="J205">
            <v>0</v>
          </cell>
          <cell r="K205">
            <v>2</v>
          </cell>
          <cell r="L205">
            <v>2</v>
          </cell>
          <cell r="M205">
            <v>0</v>
          </cell>
          <cell r="N205">
            <v>2</v>
          </cell>
          <cell r="O205">
            <v>0</v>
          </cell>
          <cell r="P205">
            <v>2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</row>
        <row r="206">
          <cell r="A206" t="str">
            <v>J13035C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2</v>
          </cell>
          <cell r="R206">
            <v>2</v>
          </cell>
          <cell r="S206">
            <v>2</v>
          </cell>
          <cell r="T206">
            <v>1</v>
          </cell>
          <cell r="U206">
            <v>0</v>
          </cell>
        </row>
        <row r="207">
          <cell r="A207" t="str">
            <v>J13036A</v>
          </cell>
          <cell r="B207">
            <v>2</v>
          </cell>
          <cell r="C207">
            <v>2</v>
          </cell>
          <cell r="D207">
            <v>2</v>
          </cell>
          <cell r="E207">
            <v>0</v>
          </cell>
          <cell r="F207">
            <v>2</v>
          </cell>
          <cell r="G207">
            <v>0</v>
          </cell>
          <cell r="H207">
            <v>0</v>
          </cell>
          <cell r="I207">
            <v>2</v>
          </cell>
          <cell r="J207">
            <v>2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</row>
        <row r="208">
          <cell r="A208" t="str">
            <v>J13036B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2</v>
          </cell>
          <cell r="I208">
            <v>0</v>
          </cell>
          <cell r="J208">
            <v>0</v>
          </cell>
          <cell r="K208">
            <v>2</v>
          </cell>
          <cell r="L208">
            <v>2</v>
          </cell>
          <cell r="M208">
            <v>0</v>
          </cell>
          <cell r="N208">
            <v>2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</row>
        <row r="209">
          <cell r="A209" t="str">
            <v>J13036C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2</v>
          </cell>
          <cell r="T209">
            <v>1</v>
          </cell>
          <cell r="U209">
            <v>0</v>
          </cell>
        </row>
        <row r="210">
          <cell r="A210" t="str">
            <v>J13037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7</v>
          </cell>
          <cell r="U210">
            <v>0</v>
          </cell>
        </row>
        <row r="211">
          <cell r="A211" t="str">
            <v>J13038</v>
          </cell>
          <cell r="B211">
            <v>2</v>
          </cell>
          <cell r="C211">
            <v>1</v>
          </cell>
          <cell r="D211">
            <v>1</v>
          </cell>
          <cell r="E211">
            <v>2</v>
          </cell>
          <cell r="F211">
            <v>2</v>
          </cell>
          <cell r="G211">
            <v>2</v>
          </cell>
          <cell r="H211">
            <v>2</v>
          </cell>
          <cell r="I211">
            <v>2</v>
          </cell>
          <cell r="J211">
            <v>1</v>
          </cell>
          <cell r="K211">
            <v>2</v>
          </cell>
          <cell r="L211">
            <v>2</v>
          </cell>
          <cell r="M211">
            <v>2</v>
          </cell>
          <cell r="N211">
            <v>1</v>
          </cell>
          <cell r="O211">
            <v>1</v>
          </cell>
          <cell r="P211">
            <v>0</v>
          </cell>
          <cell r="Q211">
            <v>1</v>
          </cell>
          <cell r="R211">
            <v>2</v>
          </cell>
          <cell r="S211">
            <v>2</v>
          </cell>
          <cell r="T211">
            <v>0</v>
          </cell>
          <cell r="U211">
            <v>1</v>
          </cell>
        </row>
        <row r="212">
          <cell r="A212" t="str">
            <v>J13039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5</v>
          </cell>
          <cell r="I212">
            <v>0</v>
          </cell>
          <cell r="J212">
            <v>0</v>
          </cell>
          <cell r="K212">
            <v>6</v>
          </cell>
          <cell r="L212">
            <v>4</v>
          </cell>
          <cell r="M212">
            <v>4</v>
          </cell>
          <cell r="N212">
            <v>1</v>
          </cell>
          <cell r="O212">
            <v>1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</row>
        <row r="213">
          <cell r="A213" t="str">
            <v>J13040</v>
          </cell>
          <cell r="B213">
            <v>2</v>
          </cell>
          <cell r="C213">
            <v>2</v>
          </cell>
          <cell r="D213">
            <v>2</v>
          </cell>
          <cell r="E213">
            <v>0</v>
          </cell>
          <cell r="F213">
            <v>2</v>
          </cell>
          <cell r="G213">
            <v>0</v>
          </cell>
          <cell r="H213">
            <v>2</v>
          </cell>
          <cell r="I213">
            <v>2</v>
          </cell>
          <cell r="J213">
            <v>2</v>
          </cell>
          <cell r="K213">
            <v>2</v>
          </cell>
          <cell r="L213">
            <v>2</v>
          </cell>
          <cell r="M213">
            <v>0</v>
          </cell>
          <cell r="N213">
            <v>2</v>
          </cell>
          <cell r="O213">
            <v>0</v>
          </cell>
          <cell r="P213">
            <v>2</v>
          </cell>
          <cell r="Q213">
            <v>2</v>
          </cell>
          <cell r="R213">
            <v>2</v>
          </cell>
          <cell r="S213">
            <v>2</v>
          </cell>
          <cell r="T213">
            <v>2</v>
          </cell>
          <cell r="U213">
            <v>0</v>
          </cell>
        </row>
        <row r="214">
          <cell r="A214" t="str">
            <v>J13041</v>
          </cell>
          <cell r="B214">
            <v>2</v>
          </cell>
          <cell r="C214">
            <v>1</v>
          </cell>
          <cell r="D214">
            <v>1</v>
          </cell>
          <cell r="E214">
            <v>1</v>
          </cell>
          <cell r="F214">
            <v>2</v>
          </cell>
          <cell r="G214">
            <v>2</v>
          </cell>
          <cell r="H214">
            <v>0</v>
          </cell>
          <cell r="I214">
            <v>2</v>
          </cell>
          <cell r="J214">
            <v>1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1</v>
          </cell>
        </row>
        <row r="215">
          <cell r="A215" t="str">
            <v>J13042B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2</v>
          </cell>
          <cell r="I215">
            <v>0</v>
          </cell>
          <cell r="J215">
            <v>0</v>
          </cell>
          <cell r="K215">
            <v>2</v>
          </cell>
          <cell r="L215">
            <v>2</v>
          </cell>
          <cell r="M215">
            <v>2</v>
          </cell>
          <cell r="N215">
            <v>1</v>
          </cell>
          <cell r="O215">
            <v>1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</row>
        <row r="216">
          <cell r="A216" t="str">
            <v>J13042C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</v>
          </cell>
          <cell r="R216">
            <v>2</v>
          </cell>
          <cell r="S216">
            <v>1</v>
          </cell>
          <cell r="T216">
            <v>0</v>
          </cell>
          <cell r="U216">
            <v>0</v>
          </cell>
        </row>
        <row r="217">
          <cell r="A217" t="str">
            <v>J13043</v>
          </cell>
          <cell r="B217">
            <v>2</v>
          </cell>
          <cell r="C217">
            <v>2</v>
          </cell>
          <cell r="D217">
            <v>2</v>
          </cell>
          <cell r="E217">
            <v>2</v>
          </cell>
          <cell r="F217">
            <v>2</v>
          </cell>
          <cell r="G217">
            <v>2</v>
          </cell>
          <cell r="H217">
            <v>2</v>
          </cell>
          <cell r="I217">
            <v>2</v>
          </cell>
          <cell r="J217">
            <v>2</v>
          </cell>
          <cell r="K217">
            <v>2</v>
          </cell>
          <cell r="L217">
            <v>2</v>
          </cell>
          <cell r="M217">
            <v>2</v>
          </cell>
          <cell r="N217">
            <v>2</v>
          </cell>
          <cell r="O217">
            <v>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2</v>
          </cell>
        </row>
        <row r="218">
          <cell r="A218" t="str">
            <v>J13044</v>
          </cell>
          <cell r="B218">
            <v>3</v>
          </cell>
          <cell r="C218">
            <v>3</v>
          </cell>
          <cell r="D218">
            <v>3</v>
          </cell>
          <cell r="E218">
            <v>0</v>
          </cell>
          <cell r="F218">
            <v>3</v>
          </cell>
          <cell r="G218">
            <v>0</v>
          </cell>
          <cell r="H218">
            <v>3</v>
          </cell>
          <cell r="I218">
            <v>3</v>
          </cell>
          <cell r="J218">
            <v>2</v>
          </cell>
          <cell r="K218">
            <v>3</v>
          </cell>
          <cell r="L218">
            <v>3</v>
          </cell>
          <cell r="M218">
            <v>0</v>
          </cell>
          <cell r="N218">
            <v>3</v>
          </cell>
          <cell r="O218">
            <v>0</v>
          </cell>
          <cell r="P218">
            <v>3</v>
          </cell>
          <cell r="Q218">
            <v>3</v>
          </cell>
          <cell r="R218">
            <v>3</v>
          </cell>
          <cell r="S218">
            <v>3</v>
          </cell>
          <cell r="T218">
            <v>3</v>
          </cell>
          <cell r="U218">
            <v>0</v>
          </cell>
        </row>
        <row r="219">
          <cell r="A219" t="str">
            <v>J13045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2</v>
          </cell>
          <cell r="R219">
            <v>5</v>
          </cell>
          <cell r="S219">
            <v>3</v>
          </cell>
          <cell r="T219">
            <v>0</v>
          </cell>
          <cell r="U219">
            <v>0</v>
          </cell>
        </row>
        <row r="220">
          <cell r="A220" t="str">
            <v>J13045-W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</row>
        <row r="221">
          <cell r="A221" t="str">
            <v>J13046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2</v>
          </cell>
          <cell r="U221">
            <v>0</v>
          </cell>
        </row>
        <row r="222">
          <cell r="A222" t="str">
            <v>J13048</v>
          </cell>
          <cell r="B222">
            <v>4</v>
          </cell>
          <cell r="C222">
            <v>1</v>
          </cell>
          <cell r="D222">
            <v>1</v>
          </cell>
          <cell r="E222">
            <v>2</v>
          </cell>
          <cell r="F222">
            <v>4</v>
          </cell>
          <cell r="G222">
            <v>3</v>
          </cell>
          <cell r="H222">
            <v>4</v>
          </cell>
          <cell r="I222">
            <v>4</v>
          </cell>
          <cell r="J222">
            <v>1</v>
          </cell>
          <cell r="K222">
            <v>4</v>
          </cell>
          <cell r="L222">
            <v>3</v>
          </cell>
          <cell r="M222">
            <v>3</v>
          </cell>
          <cell r="N222">
            <v>1</v>
          </cell>
          <cell r="O222">
            <v>1</v>
          </cell>
          <cell r="P222">
            <v>0</v>
          </cell>
          <cell r="Q222">
            <v>1</v>
          </cell>
          <cell r="R222">
            <v>4</v>
          </cell>
          <cell r="S222">
            <v>2</v>
          </cell>
          <cell r="T222">
            <v>0</v>
          </cell>
          <cell r="U222">
            <v>1</v>
          </cell>
        </row>
        <row r="223">
          <cell r="A223" t="str">
            <v>J13049</v>
          </cell>
          <cell r="B223">
            <v>12</v>
          </cell>
          <cell r="C223">
            <v>8</v>
          </cell>
          <cell r="D223">
            <v>8</v>
          </cell>
          <cell r="E223">
            <v>5</v>
          </cell>
          <cell r="F223">
            <v>12</v>
          </cell>
          <cell r="G223">
            <v>6</v>
          </cell>
          <cell r="H223">
            <v>11</v>
          </cell>
          <cell r="I223">
            <v>12</v>
          </cell>
          <cell r="J223">
            <v>7</v>
          </cell>
          <cell r="K223">
            <v>12</v>
          </cell>
          <cell r="L223">
            <v>10</v>
          </cell>
          <cell r="M223">
            <v>4</v>
          </cell>
          <cell r="N223">
            <v>7</v>
          </cell>
          <cell r="O223">
            <v>3</v>
          </cell>
          <cell r="P223">
            <v>0</v>
          </cell>
          <cell r="Q223">
            <v>8</v>
          </cell>
          <cell r="R223">
            <v>12</v>
          </cell>
          <cell r="S223">
            <v>9</v>
          </cell>
          <cell r="T223">
            <v>0</v>
          </cell>
          <cell r="U223">
            <v>3</v>
          </cell>
        </row>
        <row r="224">
          <cell r="A224" t="str">
            <v>J13050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3</v>
          </cell>
          <cell r="R224">
            <v>7</v>
          </cell>
          <cell r="S224">
            <v>4</v>
          </cell>
          <cell r="T224">
            <v>0</v>
          </cell>
          <cell r="U224">
            <v>0</v>
          </cell>
        </row>
        <row r="225">
          <cell r="A225" t="str">
            <v>J13051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2</v>
          </cell>
          <cell r="R225">
            <v>2</v>
          </cell>
          <cell r="S225">
            <v>2</v>
          </cell>
          <cell r="T225">
            <v>0</v>
          </cell>
          <cell r="U225">
            <v>0</v>
          </cell>
        </row>
        <row r="226">
          <cell r="A226" t="str">
            <v>J14011</v>
          </cell>
          <cell r="B226">
            <v>4</v>
          </cell>
          <cell r="C226">
            <v>2</v>
          </cell>
          <cell r="D226">
            <v>2</v>
          </cell>
          <cell r="E226">
            <v>3</v>
          </cell>
          <cell r="F226">
            <v>4</v>
          </cell>
          <cell r="G226">
            <v>4</v>
          </cell>
          <cell r="H226">
            <v>0</v>
          </cell>
          <cell r="I226">
            <v>4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</row>
        <row r="227">
          <cell r="A227" t="str">
            <v>J14011B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4</v>
          </cell>
          <cell r="I227">
            <v>0</v>
          </cell>
          <cell r="J227">
            <v>0</v>
          </cell>
          <cell r="K227">
            <v>4</v>
          </cell>
          <cell r="L227">
            <v>4</v>
          </cell>
          <cell r="M227">
            <v>4</v>
          </cell>
          <cell r="N227">
            <v>1</v>
          </cell>
          <cell r="O227">
            <v>1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</row>
        <row r="228">
          <cell r="A228" t="str">
            <v>J14011C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2</v>
          </cell>
          <cell r="R228">
            <v>4</v>
          </cell>
          <cell r="S228">
            <v>3</v>
          </cell>
          <cell r="T228">
            <v>0</v>
          </cell>
          <cell r="U228">
            <v>0</v>
          </cell>
        </row>
        <row r="229">
          <cell r="A229" t="str">
            <v>J14012</v>
          </cell>
          <cell r="B229">
            <v>1</v>
          </cell>
          <cell r="C229">
            <v>1</v>
          </cell>
          <cell r="D229">
            <v>1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0</v>
          </cell>
          <cell r="Q229">
            <v>1</v>
          </cell>
          <cell r="R229">
            <v>1</v>
          </cell>
          <cell r="S229">
            <v>1</v>
          </cell>
          <cell r="T229">
            <v>0</v>
          </cell>
          <cell r="U229">
            <v>1</v>
          </cell>
        </row>
        <row r="230">
          <cell r="A230" t="str">
            <v>J14013C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2</v>
          </cell>
          <cell r="R230">
            <v>2</v>
          </cell>
          <cell r="S230">
            <v>2</v>
          </cell>
          <cell r="T230">
            <v>0</v>
          </cell>
          <cell r="U230">
            <v>0</v>
          </cell>
        </row>
        <row r="231">
          <cell r="A231" t="str">
            <v>J14014</v>
          </cell>
          <cell r="B231">
            <v>2</v>
          </cell>
          <cell r="C231">
            <v>1</v>
          </cell>
          <cell r="D231">
            <v>1</v>
          </cell>
          <cell r="E231">
            <v>1</v>
          </cell>
          <cell r="F231">
            <v>2</v>
          </cell>
          <cell r="G231">
            <v>2</v>
          </cell>
          <cell r="H231">
            <v>1</v>
          </cell>
          <cell r="I231">
            <v>2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0</v>
          </cell>
          <cell r="Q231">
            <v>1</v>
          </cell>
          <cell r="R231">
            <v>1</v>
          </cell>
          <cell r="S231">
            <v>1</v>
          </cell>
          <cell r="T231">
            <v>0</v>
          </cell>
          <cell r="U231">
            <v>1</v>
          </cell>
        </row>
        <row r="232">
          <cell r="A232" t="str">
            <v>J14015</v>
          </cell>
          <cell r="B232">
            <v>2</v>
          </cell>
          <cell r="C232">
            <v>1</v>
          </cell>
          <cell r="D232">
            <v>1</v>
          </cell>
          <cell r="E232">
            <v>1</v>
          </cell>
          <cell r="F232">
            <v>2</v>
          </cell>
          <cell r="G232">
            <v>2</v>
          </cell>
          <cell r="H232">
            <v>1</v>
          </cell>
          <cell r="I232">
            <v>2</v>
          </cell>
          <cell r="J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0</v>
          </cell>
          <cell r="Q232">
            <v>1</v>
          </cell>
          <cell r="R232">
            <v>1</v>
          </cell>
          <cell r="S232">
            <v>1</v>
          </cell>
          <cell r="T232">
            <v>0</v>
          </cell>
          <cell r="U232">
            <v>1</v>
          </cell>
        </row>
        <row r="233">
          <cell r="A233" t="str">
            <v>J14019A</v>
          </cell>
          <cell r="B233">
            <v>2</v>
          </cell>
          <cell r="C233">
            <v>2</v>
          </cell>
          <cell r="D233">
            <v>2</v>
          </cell>
          <cell r="E233">
            <v>2</v>
          </cell>
          <cell r="F233">
            <v>2</v>
          </cell>
          <cell r="G233">
            <v>2</v>
          </cell>
          <cell r="H233">
            <v>0</v>
          </cell>
          <cell r="I233">
            <v>2</v>
          </cell>
          <cell r="J233">
            <v>2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</v>
          </cell>
        </row>
        <row r="234">
          <cell r="A234" t="str">
            <v>J14019B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2</v>
          </cell>
          <cell r="I234">
            <v>0</v>
          </cell>
          <cell r="J234">
            <v>0</v>
          </cell>
          <cell r="K234">
            <v>2</v>
          </cell>
          <cell r="L234">
            <v>2</v>
          </cell>
          <cell r="M234">
            <v>2</v>
          </cell>
          <cell r="N234">
            <v>2</v>
          </cell>
          <cell r="O234">
            <v>2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</row>
        <row r="235">
          <cell r="A235" t="str">
            <v>J14019C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</v>
          </cell>
          <cell r="R235">
            <v>1</v>
          </cell>
          <cell r="S235">
            <v>1</v>
          </cell>
          <cell r="T235">
            <v>0</v>
          </cell>
          <cell r="U235">
            <v>0</v>
          </cell>
        </row>
        <row r="236">
          <cell r="A236" t="str">
            <v>J24002</v>
          </cell>
          <cell r="B236">
            <v>1</v>
          </cell>
          <cell r="C236">
            <v>1</v>
          </cell>
          <cell r="D236">
            <v>1</v>
          </cell>
          <cell r="E236">
            <v>1</v>
          </cell>
          <cell r="F236">
            <v>1</v>
          </cell>
          <cell r="G236">
            <v>1</v>
          </cell>
          <cell r="H236">
            <v>1</v>
          </cell>
          <cell r="I236">
            <v>1</v>
          </cell>
          <cell r="J236">
            <v>1</v>
          </cell>
          <cell r="K236">
            <v>1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0</v>
          </cell>
          <cell r="Q236">
            <v>1</v>
          </cell>
          <cell r="R236">
            <v>1</v>
          </cell>
          <cell r="S236">
            <v>1</v>
          </cell>
          <cell r="T236">
            <v>0</v>
          </cell>
          <cell r="U236">
            <v>1</v>
          </cell>
        </row>
        <row r="237">
          <cell r="A237" t="str">
            <v>J26001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1</v>
          </cell>
          <cell r="I237">
            <v>0</v>
          </cell>
          <cell r="J237">
            <v>0</v>
          </cell>
          <cell r="K237">
            <v>1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</row>
        <row r="238">
          <cell r="A238" t="str">
            <v>J26005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P238">
            <v>1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</row>
        <row r="239">
          <cell r="A239" t="str">
            <v>J26006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2</v>
          </cell>
          <cell r="I239">
            <v>0</v>
          </cell>
          <cell r="J239">
            <v>0</v>
          </cell>
          <cell r="K239">
            <v>2</v>
          </cell>
          <cell r="L239">
            <v>2</v>
          </cell>
          <cell r="M239">
            <v>2</v>
          </cell>
          <cell r="N239">
            <v>2</v>
          </cell>
          <cell r="O239">
            <v>2</v>
          </cell>
          <cell r="P239">
            <v>2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</row>
        <row r="240">
          <cell r="A240" t="str">
            <v>J26007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0</v>
          </cell>
          <cell r="J240">
            <v>0</v>
          </cell>
          <cell r="K240">
            <v>1</v>
          </cell>
          <cell r="L240">
            <v>1</v>
          </cell>
          <cell r="M240">
            <v>1</v>
          </cell>
          <cell r="N240">
            <v>1</v>
          </cell>
          <cell r="O240">
            <v>1</v>
          </cell>
          <cell r="P240">
            <v>1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</row>
        <row r="241">
          <cell r="A241" t="str">
            <v>J26009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1</v>
          </cell>
          <cell r="I241">
            <v>0</v>
          </cell>
          <cell r="J241">
            <v>0</v>
          </cell>
          <cell r="K241">
            <v>1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</row>
        <row r="242">
          <cell r="A242" t="str">
            <v>J26012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0</v>
          </cell>
          <cell r="J242">
            <v>0</v>
          </cell>
          <cell r="K242">
            <v>1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</row>
        <row r="243">
          <cell r="A243" t="str">
            <v>J26015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1</v>
          </cell>
          <cell r="I243">
            <v>0</v>
          </cell>
          <cell r="J243">
            <v>0</v>
          </cell>
          <cell r="K243">
            <v>1</v>
          </cell>
          <cell r="L243">
            <v>1</v>
          </cell>
          <cell r="M243">
            <v>1</v>
          </cell>
          <cell r="N243">
            <v>1</v>
          </cell>
          <cell r="O243">
            <v>1</v>
          </cell>
          <cell r="P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</row>
        <row r="244">
          <cell r="A244" t="str">
            <v>J26016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1</v>
          </cell>
          <cell r="I244">
            <v>0</v>
          </cell>
          <cell r="J244">
            <v>0</v>
          </cell>
          <cell r="K244">
            <v>1</v>
          </cell>
          <cell r="L244">
            <v>1</v>
          </cell>
          <cell r="M244">
            <v>1</v>
          </cell>
          <cell r="N244">
            <v>1</v>
          </cell>
          <cell r="O244">
            <v>1</v>
          </cell>
          <cell r="P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</row>
        <row r="245">
          <cell r="A245" t="str">
            <v>J26018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</v>
          </cell>
          <cell r="J245">
            <v>0</v>
          </cell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</row>
        <row r="246">
          <cell r="A246" t="str">
            <v>J26020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1</v>
          </cell>
          <cell r="I246">
            <v>0</v>
          </cell>
          <cell r="J246">
            <v>0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  <cell r="P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</row>
        <row r="247">
          <cell r="A247" t="str">
            <v>J26021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3</v>
          </cell>
          <cell r="I247">
            <v>0</v>
          </cell>
          <cell r="J247">
            <v>0</v>
          </cell>
          <cell r="K247">
            <v>3</v>
          </cell>
          <cell r="L247">
            <v>2</v>
          </cell>
          <cell r="M247">
            <v>2</v>
          </cell>
          <cell r="N247">
            <v>1</v>
          </cell>
          <cell r="O247">
            <v>1</v>
          </cell>
          <cell r="P247">
            <v>2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</row>
        <row r="248">
          <cell r="A248" t="str">
            <v>J26022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1</v>
          </cell>
          <cell r="I248">
            <v>0</v>
          </cell>
          <cell r="J248">
            <v>0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</row>
        <row r="249">
          <cell r="A249" t="str">
            <v>J26024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2</v>
          </cell>
          <cell r="I249">
            <v>0</v>
          </cell>
          <cell r="J249">
            <v>0</v>
          </cell>
          <cell r="K249">
            <v>2</v>
          </cell>
          <cell r="L249">
            <v>2</v>
          </cell>
          <cell r="M249">
            <v>2</v>
          </cell>
          <cell r="N249">
            <v>2</v>
          </cell>
          <cell r="O249">
            <v>2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</row>
        <row r="250">
          <cell r="A250" t="str">
            <v>J26024-W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</row>
        <row r="251">
          <cell r="A251" t="str">
            <v>J26028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2</v>
          </cell>
          <cell r="I251">
            <v>0</v>
          </cell>
          <cell r="J251">
            <v>0</v>
          </cell>
          <cell r="K251">
            <v>2</v>
          </cell>
          <cell r="L251">
            <v>2</v>
          </cell>
          <cell r="M251">
            <v>2</v>
          </cell>
          <cell r="N251">
            <v>2</v>
          </cell>
          <cell r="O251">
            <v>2</v>
          </cell>
          <cell r="P251">
            <v>2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</row>
        <row r="252">
          <cell r="A252" t="str">
            <v>J26030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1</v>
          </cell>
          <cell r="I252">
            <v>0</v>
          </cell>
          <cell r="J252">
            <v>0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</row>
        <row r="253">
          <cell r="A253" t="str">
            <v>J26031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1</v>
          </cell>
          <cell r="I253">
            <v>0</v>
          </cell>
          <cell r="J253">
            <v>0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P253">
            <v>1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</row>
        <row r="254">
          <cell r="A254" t="str">
            <v>J26033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1</v>
          </cell>
          <cell r="I254">
            <v>0</v>
          </cell>
          <cell r="J254">
            <v>0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1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</row>
        <row r="255">
          <cell r="A255" t="str">
            <v>J26034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1</v>
          </cell>
          <cell r="I255">
            <v>0</v>
          </cell>
          <cell r="J255">
            <v>0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</row>
        <row r="256">
          <cell r="A256" t="str">
            <v>J26035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</v>
          </cell>
          <cell r="J256">
            <v>0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</row>
        <row r="257">
          <cell r="A257" t="str">
            <v>J27006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</row>
        <row r="258">
          <cell r="A258" t="str">
            <v>J27007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</row>
        <row r="259">
          <cell r="A259" t="str">
            <v>J27008</v>
          </cell>
          <cell r="B259">
            <v>2</v>
          </cell>
          <cell r="C259">
            <v>1</v>
          </cell>
          <cell r="D259">
            <v>1</v>
          </cell>
          <cell r="E259">
            <v>1</v>
          </cell>
          <cell r="F259">
            <v>2</v>
          </cell>
          <cell r="G259">
            <v>2</v>
          </cell>
          <cell r="H259">
            <v>2</v>
          </cell>
          <cell r="I259">
            <v>2</v>
          </cell>
          <cell r="J259">
            <v>1</v>
          </cell>
          <cell r="K259">
            <v>2</v>
          </cell>
          <cell r="L259">
            <v>2</v>
          </cell>
          <cell r="M259">
            <v>2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2</v>
          </cell>
          <cell r="S259">
            <v>1</v>
          </cell>
          <cell r="T259">
            <v>1</v>
          </cell>
          <cell r="U259">
            <v>1</v>
          </cell>
        </row>
        <row r="260">
          <cell r="A260" t="str">
            <v>J27014</v>
          </cell>
          <cell r="B260">
            <v>3</v>
          </cell>
          <cell r="C260">
            <v>1</v>
          </cell>
          <cell r="D260">
            <v>1</v>
          </cell>
          <cell r="E260">
            <v>2</v>
          </cell>
          <cell r="F260">
            <v>3</v>
          </cell>
          <cell r="G260">
            <v>2</v>
          </cell>
          <cell r="H260">
            <v>3</v>
          </cell>
          <cell r="I260">
            <v>3</v>
          </cell>
          <cell r="J260">
            <v>1</v>
          </cell>
          <cell r="K260">
            <v>3</v>
          </cell>
          <cell r="L260">
            <v>2</v>
          </cell>
          <cell r="M260">
            <v>2</v>
          </cell>
          <cell r="N260">
            <v>1</v>
          </cell>
          <cell r="O260">
            <v>1</v>
          </cell>
          <cell r="P260">
            <v>0</v>
          </cell>
          <cell r="Q260">
            <v>1</v>
          </cell>
          <cell r="R260">
            <v>3</v>
          </cell>
          <cell r="S260">
            <v>2</v>
          </cell>
          <cell r="T260">
            <v>0</v>
          </cell>
          <cell r="U260">
            <v>1</v>
          </cell>
        </row>
        <row r="261">
          <cell r="A261" t="str">
            <v>J27017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2</v>
          </cell>
          <cell r="I261">
            <v>0</v>
          </cell>
          <cell r="J261">
            <v>0</v>
          </cell>
          <cell r="K261">
            <v>2</v>
          </cell>
          <cell r="L261">
            <v>2</v>
          </cell>
          <cell r="M261">
            <v>2</v>
          </cell>
          <cell r="N261">
            <v>1</v>
          </cell>
          <cell r="O261">
            <v>1</v>
          </cell>
          <cell r="P261">
            <v>1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</row>
        <row r="262">
          <cell r="A262" t="str">
            <v>J27018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A263" t="str">
            <v>J41001D</v>
          </cell>
          <cell r="B263">
            <v>5</v>
          </cell>
          <cell r="C263">
            <v>2</v>
          </cell>
          <cell r="D263">
            <v>2</v>
          </cell>
          <cell r="E263">
            <v>2</v>
          </cell>
          <cell r="F263">
            <v>5</v>
          </cell>
          <cell r="G263">
            <v>3</v>
          </cell>
          <cell r="H263">
            <v>5</v>
          </cell>
          <cell r="I263">
            <v>5</v>
          </cell>
          <cell r="J263">
            <v>2</v>
          </cell>
          <cell r="K263">
            <v>5</v>
          </cell>
          <cell r="L263">
            <v>4</v>
          </cell>
          <cell r="M263">
            <v>3</v>
          </cell>
          <cell r="N263">
            <v>2</v>
          </cell>
          <cell r="O263">
            <v>1</v>
          </cell>
          <cell r="P263">
            <v>2</v>
          </cell>
          <cell r="Q263">
            <v>2</v>
          </cell>
          <cell r="R263">
            <v>5</v>
          </cell>
          <cell r="S263">
            <v>3</v>
          </cell>
          <cell r="T263">
            <v>2</v>
          </cell>
          <cell r="U263">
            <v>1</v>
          </cell>
        </row>
        <row r="264">
          <cell r="A264" t="str">
            <v>J41001E</v>
          </cell>
          <cell r="B264">
            <v>5</v>
          </cell>
          <cell r="C264">
            <v>2</v>
          </cell>
          <cell r="D264">
            <v>2</v>
          </cell>
          <cell r="E264">
            <v>2</v>
          </cell>
          <cell r="F264">
            <v>5</v>
          </cell>
          <cell r="G264">
            <v>3</v>
          </cell>
          <cell r="H264">
            <v>5</v>
          </cell>
          <cell r="I264">
            <v>5</v>
          </cell>
          <cell r="J264">
            <v>2</v>
          </cell>
          <cell r="K264">
            <v>5</v>
          </cell>
          <cell r="L264">
            <v>4</v>
          </cell>
          <cell r="M264">
            <v>3</v>
          </cell>
          <cell r="N264">
            <v>2</v>
          </cell>
          <cell r="O264">
            <v>1</v>
          </cell>
          <cell r="P264">
            <v>2</v>
          </cell>
          <cell r="Q264">
            <v>2</v>
          </cell>
          <cell r="R264">
            <v>5</v>
          </cell>
          <cell r="S264">
            <v>3</v>
          </cell>
          <cell r="T264">
            <v>2</v>
          </cell>
          <cell r="U264">
            <v>1</v>
          </cell>
        </row>
        <row r="265">
          <cell r="A265" t="str">
            <v>J41002D</v>
          </cell>
          <cell r="B265">
            <v>4</v>
          </cell>
          <cell r="C265">
            <v>1</v>
          </cell>
          <cell r="D265">
            <v>1</v>
          </cell>
          <cell r="E265">
            <v>2</v>
          </cell>
          <cell r="F265">
            <v>4</v>
          </cell>
          <cell r="G265">
            <v>3</v>
          </cell>
          <cell r="H265">
            <v>4</v>
          </cell>
          <cell r="I265">
            <v>4</v>
          </cell>
          <cell r="J265">
            <v>1</v>
          </cell>
          <cell r="K265">
            <v>4</v>
          </cell>
          <cell r="L265">
            <v>3</v>
          </cell>
          <cell r="M265">
            <v>3</v>
          </cell>
          <cell r="N265">
            <v>1</v>
          </cell>
          <cell r="O265">
            <v>1</v>
          </cell>
          <cell r="P265">
            <v>2</v>
          </cell>
          <cell r="Q265">
            <v>1</v>
          </cell>
          <cell r="R265">
            <v>4</v>
          </cell>
          <cell r="S265">
            <v>2</v>
          </cell>
          <cell r="T265">
            <v>1</v>
          </cell>
          <cell r="U265">
            <v>1</v>
          </cell>
        </row>
        <row r="266">
          <cell r="A266" t="str">
            <v>J41002E</v>
          </cell>
          <cell r="B266">
            <v>4</v>
          </cell>
          <cell r="C266">
            <v>1</v>
          </cell>
          <cell r="D266">
            <v>1</v>
          </cell>
          <cell r="E266">
            <v>2</v>
          </cell>
          <cell r="F266">
            <v>4</v>
          </cell>
          <cell r="G266">
            <v>3</v>
          </cell>
          <cell r="H266">
            <v>4</v>
          </cell>
          <cell r="I266">
            <v>4</v>
          </cell>
          <cell r="J266">
            <v>1</v>
          </cell>
          <cell r="K266">
            <v>4</v>
          </cell>
          <cell r="L266">
            <v>3</v>
          </cell>
          <cell r="M266">
            <v>3</v>
          </cell>
          <cell r="N266">
            <v>1</v>
          </cell>
          <cell r="O266">
            <v>1</v>
          </cell>
          <cell r="P266">
            <v>1</v>
          </cell>
          <cell r="Q266">
            <v>1</v>
          </cell>
          <cell r="R266">
            <v>4</v>
          </cell>
          <cell r="S266">
            <v>2</v>
          </cell>
          <cell r="T266">
            <v>1</v>
          </cell>
          <cell r="U266">
            <v>1</v>
          </cell>
        </row>
        <row r="267">
          <cell r="A267" t="str">
            <v>J41002-W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A268" t="str">
            <v>J41004</v>
          </cell>
          <cell r="B268">
            <v>2</v>
          </cell>
          <cell r="C268">
            <v>2</v>
          </cell>
          <cell r="D268">
            <v>2</v>
          </cell>
          <cell r="E268">
            <v>1</v>
          </cell>
          <cell r="F268">
            <v>2</v>
          </cell>
          <cell r="G268">
            <v>1</v>
          </cell>
          <cell r="H268">
            <v>2</v>
          </cell>
          <cell r="I268">
            <v>2</v>
          </cell>
          <cell r="J268">
            <v>2</v>
          </cell>
          <cell r="K268">
            <v>2</v>
          </cell>
          <cell r="L268">
            <v>2</v>
          </cell>
          <cell r="M268">
            <v>1</v>
          </cell>
          <cell r="N268">
            <v>2</v>
          </cell>
          <cell r="O268">
            <v>1</v>
          </cell>
          <cell r="P268">
            <v>0</v>
          </cell>
          <cell r="Q268">
            <v>2</v>
          </cell>
          <cell r="R268">
            <v>2</v>
          </cell>
          <cell r="S268">
            <v>2</v>
          </cell>
          <cell r="T268">
            <v>0</v>
          </cell>
          <cell r="U268">
            <v>1</v>
          </cell>
        </row>
        <row r="269">
          <cell r="A269" t="str">
            <v>J41005</v>
          </cell>
          <cell r="B269">
            <v>1</v>
          </cell>
          <cell r="C269">
            <v>1</v>
          </cell>
          <cell r="D269">
            <v>1</v>
          </cell>
          <cell r="E269">
            <v>1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J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>
            <v>0</v>
          </cell>
          <cell r="Q269">
            <v>1</v>
          </cell>
          <cell r="R269">
            <v>1</v>
          </cell>
          <cell r="S269">
            <v>1</v>
          </cell>
          <cell r="T269">
            <v>0</v>
          </cell>
          <cell r="U269">
            <v>1</v>
          </cell>
        </row>
        <row r="270">
          <cell r="A270" t="str">
            <v>J41006</v>
          </cell>
          <cell r="B270">
            <v>1</v>
          </cell>
          <cell r="C270">
            <v>1</v>
          </cell>
          <cell r="D270">
            <v>1</v>
          </cell>
          <cell r="E270">
            <v>1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O270">
            <v>1</v>
          </cell>
          <cell r="P270">
            <v>0</v>
          </cell>
          <cell r="Q270">
            <v>1</v>
          </cell>
          <cell r="R270">
            <v>1</v>
          </cell>
          <cell r="S270">
            <v>1</v>
          </cell>
          <cell r="T270">
            <v>0</v>
          </cell>
          <cell r="U270">
            <v>1</v>
          </cell>
        </row>
        <row r="271">
          <cell r="A271" t="str">
            <v>J41009</v>
          </cell>
          <cell r="B271">
            <v>2</v>
          </cell>
          <cell r="C271">
            <v>1</v>
          </cell>
          <cell r="D271">
            <v>1</v>
          </cell>
          <cell r="E271">
            <v>1</v>
          </cell>
          <cell r="F271">
            <v>2</v>
          </cell>
          <cell r="G271">
            <v>2</v>
          </cell>
          <cell r="H271">
            <v>2</v>
          </cell>
          <cell r="I271">
            <v>2</v>
          </cell>
          <cell r="J271">
            <v>1</v>
          </cell>
          <cell r="K271">
            <v>2</v>
          </cell>
          <cell r="L271">
            <v>2</v>
          </cell>
          <cell r="M271">
            <v>2</v>
          </cell>
          <cell r="N271">
            <v>1</v>
          </cell>
          <cell r="O271">
            <v>1</v>
          </cell>
          <cell r="P271">
            <v>0</v>
          </cell>
          <cell r="Q271">
            <v>1</v>
          </cell>
          <cell r="R271">
            <v>2</v>
          </cell>
          <cell r="S271">
            <v>1</v>
          </cell>
          <cell r="T271">
            <v>0</v>
          </cell>
          <cell r="U271">
            <v>1</v>
          </cell>
        </row>
        <row r="272">
          <cell r="A272" t="str">
            <v>J41010</v>
          </cell>
          <cell r="B272">
            <v>2</v>
          </cell>
          <cell r="C272">
            <v>2</v>
          </cell>
          <cell r="D272">
            <v>2</v>
          </cell>
          <cell r="E272">
            <v>2</v>
          </cell>
          <cell r="F272">
            <v>2</v>
          </cell>
          <cell r="G272">
            <v>2</v>
          </cell>
          <cell r="H272">
            <v>2</v>
          </cell>
          <cell r="I272">
            <v>2</v>
          </cell>
          <cell r="J272">
            <v>2</v>
          </cell>
          <cell r="K272">
            <v>2</v>
          </cell>
          <cell r="L272">
            <v>2</v>
          </cell>
          <cell r="M272">
            <v>2</v>
          </cell>
          <cell r="N272">
            <v>2</v>
          </cell>
          <cell r="O272">
            <v>2</v>
          </cell>
          <cell r="P272">
            <v>0</v>
          </cell>
          <cell r="Q272">
            <v>2</v>
          </cell>
          <cell r="R272">
            <v>2</v>
          </cell>
          <cell r="S272">
            <v>2</v>
          </cell>
          <cell r="T272">
            <v>0</v>
          </cell>
          <cell r="U272">
            <v>2</v>
          </cell>
        </row>
        <row r="273">
          <cell r="A273" t="str">
            <v>J42001</v>
          </cell>
          <cell r="B273">
            <v>5</v>
          </cell>
          <cell r="C273">
            <v>2</v>
          </cell>
          <cell r="D273">
            <v>2</v>
          </cell>
          <cell r="E273">
            <v>2</v>
          </cell>
          <cell r="F273">
            <v>5</v>
          </cell>
          <cell r="G273">
            <v>3</v>
          </cell>
          <cell r="H273">
            <v>5</v>
          </cell>
          <cell r="I273">
            <v>5</v>
          </cell>
          <cell r="J273">
            <v>2</v>
          </cell>
          <cell r="K273">
            <v>5</v>
          </cell>
          <cell r="L273">
            <v>4</v>
          </cell>
          <cell r="M273">
            <v>3</v>
          </cell>
          <cell r="N273">
            <v>2</v>
          </cell>
          <cell r="O273">
            <v>1</v>
          </cell>
          <cell r="P273">
            <v>2</v>
          </cell>
          <cell r="Q273">
            <v>2</v>
          </cell>
          <cell r="R273">
            <v>5</v>
          </cell>
          <cell r="S273">
            <v>3</v>
          </cell>
          <cell r="T273">
            <v>2</v>
          </cell>
          <cell r="U273">
            <v>1</v>
          </cell>
        </row>
        <row r="274">
          <cell r="A274" t="str">
            <v>J42002</v>
          </cell>
          <cell r="B274">
            <v>5</v>
          </cell>
          <cell r="C274">
            <v>2</v>
          </cell>
          <cell r="D274">
            <v>2</v>
          </cell>
          <cell r="E274">
            <v>2</v>
          </cell>
          <cell r="F274">
            <v>5</v>
          </cell>
          <cell r="G274">
            <v>3</v>
          </cell>
          <cell r="H274">
            <v>5</v>
          </cell>
          <cell r="I274">
            <v>5</v>
          </cell>
          <cell r="J274">
            <v>2</v>
          </cell>
          <cell r="K274">
            <v>5</v>
          </cell>
          <cell r="L274">
            <v>4</v>
          </cell>
          <cell r="M274">
            <v>3</v>
          </cell>
          <cell r="N274">
            <v>2</v>
          </cell>
          <cell r="O274">
            <v>1</v>
          </cell>
          <cell r="P274">
            <v>2</v>
          </cell>
          <cell r="Q274">
            <v>2</v>
          </cell>
          <cell r="R274">
            <v>5</v>
          </cell>
          <cell r="S274">
            <v>3</v>
          </cell>
          <cell r="T274">
            <v>2</v>
          </cell>
          <cell r="U274">
            <v>1</v>
          </cell>
        </row>
        <row r="275">
          <cell r="A275" t="str">
            <v>J42004</v>
          </cell>
          <cell r="B275">
            <v>1</v>
          </cell>
          <cell r="C275">
            <v>1</v>
          </cell>
          <cell r="D275">
            <v>1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1</v>
          </cell>
          <cell r="J275">
            <v>1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0</v>
          </cell>
          <cell r="Q275">
            <v>1</v>
          </cell>
          <cell r="R275">
            <v>1</v>
          </cell>
          <cell r="S275">
            <v>1</v>
          </cell>
          <cell r="T275">
            <v>0</v>
          </cell>
          <cell r="U275">
            <v>1</v>
          </cell>
        </row>
        <row r="276">
          <cell r="A276" t="str">
            <v>J42007</v>
          </cell>
          <cell r="B276">
            <v>3</v>
          </cell>
          <cell r="C276">
            <v>3</v>
          </cell>
          <cell r="D276">
            <v>3</v>
          </cell>
          <cell r="E276">
            <v>3</v>
          </cell>
          <cell r="F276">
            <v>3</v>
          </cell>
          <cell r="G276">
            <v>3</v>
          </cell>
          <cell r="H276">
            <v>3</v>
          </cell>
          <cell r="I276">
            <v>3</v>
          </cell>
          <cell r="J276">
            <v>3</v>
          </cell>
          <cell r="K276">
            <v>3</v>
          </cell>
          <cell r="L276">
            <v>3</v>
          </cell>
          <cell r="M276">
            <v>3</v>
          </cell>
          <cell r="N276">
            <v>3</v>
          </cell>
          <cell r="O276">
            <v>3</v>
          </cell>
          <cell r="P276">
            <v>0</v>
          </cell>
          <cell r="Q276">
            <v>3</v>
          </cell>
          <cell r="R276">
            <v>3</v>
          </cell>
          <cell r="S276">
            <v>3</v>
          </cell>
          <cell r="T276">
            <v>0</v>
          </cell>
          <cell r="U276">
            <v>3</v>
          </cell>
        </row>
        <row r="277">
          <cell r="A277" t="str">
            <v>J42009</v>
          </cell>
          <cell r="B277">
            <v>3</v>
          </cell>
          <cell r="C277">
            <v>2</v>
          </cell>
          <cell r="D277">
            <v>2</v>
          </cell>
          <cell r="E277">
            <v>2</v>
          </cell>
          <cell r="F277">
            <v>3</v>
          </cell>
          <cell r="G277">
            <v>2</v>
          </cell>
          <cell r="H277">
            <v>4</v>
          </cell>
          <cell r="I277">
            <v>3</v>
          </cell>
          <cell r="J277">
            <v>2</v>
          </cell>
          <cell r="K277">
            <v>4</v>
          </cell>
          <cell r="L277">
            <v>3</v>
          </cell>
          <cell r="M277">
            <v>3</v>
          </cell>
          <cell r="N277">
            <v>2</v>
          </cell>
          <cell r="O277">
            <v>2</v>
          </cell>
          <cell r="P277">
            <v>0</v>
          </cell>
          <cell r="Q277">
            <v>2</v>
          </cell>
          <cell r="R277">
            <v>3</v>
          </cell>
          <cell r="S277">
            <v>2</v>
          </cell>
          <cell r="T277">
            <v>0</v>
          </cell>
          <cell r="U277">
            <v>2</v>
          </cell>
        </row>
        <row r="278">
          <cell r="A278" t="str">
            <v>J42018</v>
          </cell>
          <cell r="B278">
            <v>12</v>
          </cell>
          <cell r="C278">
            <v>12</v>
          </cell>
          <cell r="D278">
            <v>12</v>
          </cell>
          <cell r="E278">
            <v>12</v>
          </cell>
          <cell r="F278">
            <v>12</v>
          </cell>
          <cell r="G278">
            <v>12</v>
          </cell>
          <cell r="H278">
            <v>0</v>
          </cell>
          <cell r="I278">
            <v>12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12</v>
          </cell>
        </row>
        <row r="279">
          <cell r="A279" t="str">
            <v>J42019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17</v>
          </cell>
          <cell r="I279">
            <v>0</v>
          </cell>
          <cell r="J279">
            <v>0</v>
          </cell>
          <cell r="K279">
            <v>17</v>
          </cell>
          <cell r="L279">
            <v>17</v>
          </cell>
          <cell r="M279">
            <v>12</v>
          </cell>
          <cell r="N279">
            <v>17</v>
          </cell>
          <cell r="O279">
            <v>9</v>
          </cell>
          <cell r="P279">
            <v>0</v>
          </cell>
          <cell r="Q279">
            <v>13</v>
          </cell>
          <cell r="R279">
            <v>13</v>
          </cell>
          <cell r="S279">
            <v>13</v>
          </cell>
          <cell r="T279">
            <v>0</v>
          </cell>
          <cell r="U279">
            <v>0</v>
          </cell>
        </row>
        <row r="280">
          <cell r="A280" t="str">
            <v>J42021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3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A281" t="str">
            <v>J42022</v>
          </cell>
          <cell r="B281">
            <v>4</v>
          </cell>
          <cell r="C281">
            <v>1</v>
          </cell>
          <cell r="D281">
            <v>1</v>
          </cell>
          <cell r="E281">
            <v>2</v>
          </cell>
          <cell r="F281">
            <v>4</v>
          </cell>
          <cell r="G281">
            <v>3</v>
          </cell>
          <cell r="H281">
            <v>4</v>
          </cell>
          <cell r="I281">
            <v>4</v>
          </cell>
          <cell r="J281">
            <v>1</v>
          </cell>
          <cell r="K281">
            <v>4</v>
          </cell>
          <cell r="L281">
            <v>3</v>
          </cell>
          <cell r="M281">
            <v>3</v>
          </cell>
          <cell r="N281">
            <v>1</v>
          </cell>
          <cell r="O281">
            <v>1</v>
          </cell>
          <cell r="P281">
            <v>2</v>
          </cell>
          <cell r="Q281">
            <v>1</v>
          </cell>
          <cell r="R281">
            <v>4</v>
          </cell>
          <cell r="S281">
            <v>2</v>
          </cell>
          <cell r="T281">
            <v>2</v>
          </cell>
          <cell r="U281">
            <v>1</v>
          </cell>
        </row>
        <row r="282">
          <cell r="A282" t="str">
            <v>J42023B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</v>
          </cell>
          <cell r="J282">
            <v>0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A283" t="str">
            <v>J42023B-W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A284" t="str">
            <v>J42024-W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A285" t="str">
            <v>J42025</v>
          </cell>
          <cell r="B285">
            <v>4</v>
          </cell>
          <cell r="C285">
            <v>1</v>
          </cell>
          <cell r="D285">
            <v>1</v>
          </cell>
          <cell r="E285">
            <v>2</v>
          </cell>
          <cell r="F285">
            <v>4</v>
          </cell>
          <cell r="G285">
            <v>3</v>
          </cell>
          <cell r="H285">
            <v>4</v>
          </cell>
          <cell r="I285">
            <v>4</v>
          </cell>
          <cell r="J285">
            <v>1</v>
          </cell>
          <cell r="K285">
            <v>4</v>
          </cell>
          <cell r="L285">
            <v>3</v>
          </cell>
          <cell r="M285">
            <v>3</v>
          </cell>
          <cell r="N285">
            <v>1</v>
          </cell>
          <cell r="O285">
            <v>1</v>
          </cell>
          <cell r="P285">
            <v>0</v>
          </cell>
          <cell r="Q285">
            <v>1</v>
          </cell>
          <cell r="R285">
            <v>4</v>
          </cell>
          <cell r="S285">
            <v>2</v>
          </cell>
          <cell r="T285">
            <v>0</v>
          </cell>
          <cell r="U285">
            <v>1</v>
          </cell>
        </row>
        <row r="286">
          <cell r="A286" t="str">
            <v>J42026</v>
          </cell>
          <cell r="B286">
            <v>1</v>
          </cell>
          <cell r="C286">
            <v>1</v>
          </cell>
          <cell r="D286">
            <v>1</v>
          </cell>
          <cell r="E286">
            <v>1</v>
          </cell>
          <cell r="F286">
            <v>1</v>
          </cell>
          <cell r="G286">
            <v>1</v>
          </cell>
          <cell r="H286">
            <v>1</v>
          </cell>
          <cell r="I286">
            <v>1</v>
          </cell>
          <cell r="J286">
            <v>1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P286">
            <v>0</v>
          </cell>
          <cell r="Q286">
            <v>1</v>
          </cell>
          <cell r="R286">
            <v>1</v>
          </cell>
          <cell r="S286">
            <v>1</v>
          </cell>
          <cell r="T286">
            <v>0</v>
          </cell>
          <cell r="U286">
            <v>1</v>
          </cell>
        </row>
        <row r="287">
          <cell r="A287" t="str">
            <v>J45001</v>
          </cell>
          <cell r="B287">
            <v>4</v>
          </cell>
          <cell r="C287">
            <v>2</v>
          </cell>
          <cell r="D287">
            <v>2</v>
          </cell>
          <cell r="E287">
            <v>2</v>
          </cell>
          <cell r="F287">
            <v>4</v>
          </cell>
          <cell r="G287">
            <v>3</v>
          </cell>
          <cell r="H287">
            <v>4</v>
          </cell>
          <cell r="I287">
            <v>4</v>
          </cell>
          <cell r="J287">
            <v>2</v>
          </cell>
          <cell r="K287">
            <v>4</v>
          </cell>
          <cell r="L287">
            <v>3</v>
          </cell>
          <cell r="M287">
            <v>3</v>
          </cell>
          <cell r="N287">
            <v>2</v>
          </cell>
          <cell r="O287">
            <v>2</v>
          </cell>
          <cell r="P287">
            <v>0</v>
          </cell>
          <cell r="Q287">
            <v>2</v>
          </cell>
          <cell r="R287">
            <v>4</v>
          </cell>
          <cell r="S287">
            <v>2</v>
          </cell>
          <cell r="T287">
            <v>0</v>
          </cell>
          <cell r="U287">
            <v>2</v>
          </cell>
        </row>
        <row r="288">
          <cell r="A288" t="str">
            <v>J45003</v>
          </cell>
          <cell r="B288">
            <v>2</v>
          </cell>
          <cell r="C288">
            <v>2</v>
          </cell>
          <cell r="D288">
            <v>2</v>
          </cell>
          <cell r="E288">
            <v>2</v>
          </cell>
          <cell r="F288">
            <v>2</v>
          </cell>
          <cell r="G288">
            <v>2</v>
          </cell>
          <cell r="H288">
            <v>2</v>
          </cell>
          <cell r="I288">
            <v>2</v>
          </cell>
          <cell r="J288">
            <v>2</v>
          </cell>
          <cell r="K288">
            <v>2</v>
          </cell>
          <cell r="L288">
            <v>2</v>
          </cell>
          <cell r="M288">
            <v>2</v>
          </cell>
          <cell r="N288">
            <v>2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2</v>
          </cell>
          <cell r="T288">
            <v>0</v>
          </cell>
          <cell r="U288">
            <v>2</v>
          </cell>
        </row>
        <row r="289">
          <cell r="A289" t="str">
            <v>J45006D</v>
          </cell>
          <cell r="B289">
            <v>3</v>
          </cell>
          <cell r="C289">
            <v>2</v>
          </cell>
          <cell r="D289">
            <v>2</v>
          </cell>
          <cell r="E289">
            <v>1</v>
          </cell>
          <cell r="F289">
            <v>3</v>
          </cell>
          <cell r="G289">
            <v>2</v>
          </cell>
          <cell r="H289">
            <v>3</v>
          </cell>
          <cell r="I289">
            <v>3</v>
          </cell>
          <cell r="J289">
            <v>2</v>
          </cell>
          <cell r="K289">
            <v>3</v>
          </cell>
          <cell r="L289">
            <v>3</v>
          </cell>
          <cell r="M289">
            <v>2</v>
          </cell>
          <cell r="N289">
            <v>2</v>
          </cell>
          <cell r="O289">
            <v>1</v>
          </cell>
          <cell r="P289">
            <v>2</v>
          </cell>
          <cell r="Q289">
            <v>2</v>
          </cell>
          <cell r="R289">
            <v>4</v>
          </cell>
          <cell r="S289">
            <v>2</v>
          </cell>
          <cell r="T289">
            <v>3</v>
          </cell>
          <cell r="U289">
            <v>1</v>
          </cell>
        </row>
        <row r="290">
          <cell r="A290" t="str">
            <v>J45006E</v>
          </cell>
          <cell r="B290">
            <v>3</v>
          </cell>
          <cell r="C290">
            <v>2</v>
          </cell>
          <cell r="D290">
            <v>2</v>
          </cell>
          <cell r="E290">
            <v>1</v>
          </cell>
          <cell r="F290">
            <v>3</v>
          </cell>
          <cell r="G290">
            <v>2</v>
          </cell>
          <cell r="H290">
            <v>3</v>
          </cell>
          <cell r="I290">
            <v>3</v>
          </cell>
          <cell r="J290">
            <v>2</v>
          </cell>
          <cell r="K290">
            <v>3</v>
          </cell>
          <cell r="L290">
            <v>3</v>
          </cell>
          <cell r="M290">
            <v>2</v>
          </cell>
          <cell r="N290">
            <v>2</v>
          </cell>
          <cell r="O290">
            <v>1</v>
          </cell>
          <cell r="P290">
            <v>2</v>
          </cell>
          <cell r="Q290">
            <v>2</v>
          </cell>
          <cell r="R290">
            <v>6</v>
          </cell>
          <cell r="S290">
            <v>3</v>
          </cell>
          <cell r="T290">
            <v>3</v>
          </cell>
          <cell r="U290">
            <v>1</v>
          </cell>
        </row>
        <row r="291">
          <cell r="A291" t="str">
            <v>J45009</v>
          </cell>
          <cell r="B291">
            <v>2</v>
          </cell>
          <cell r="C291">
            <v>2</v>
          </cell>
          <cell r="D291">
            <v>2</v>
          </cell>
          <cell r="E291">
            <v>2</v>
          </cell>
          <cell r="F291">
            <v>2</v>
          </cell>
          <cell r="G291">
            <v>2</v>
          </cell>
          <cell r="H291">
            <v>2</v>
          </cell>
          <cell r="I291">
            <v>2</v>
          </cell>
          <cell r="J291">
            <v>2</v>
          </cell>
          <cell r="K291">
            <v>2</v>
          </cell>
          <cell r="L291">
            <v>2</v>
          </cell>
          <cell r="M291">
            <v>2</v>
          </cell>
          <cell r="N291">
            <v>2</v>
          </cell>
          <cell r="O291">
            <v>2</v>
          </cell>
          <cell r="P291">
            <v>2</v>
          </cell>
          <cell r="Q291">
            <v>2</v>
          </cell>
          <cell r="R291">
            <v>2</v>
          </cell>
          <cell r="S291">
            <v>2</v>
          </cell>
          <cell r="T291">
            <v>2</v>
          </cell>
          <cell r="U291">
            <v>2</v>
          </cell>
        </row>
        <row r="292">
          <cell r="A292" t="str">
            <v>J45010</v>
          </cell>
          <cell r="B292">
            <v>1</v>
          </cell>
          <cell r="C292">
            <v>1</v>
          </cell>
          <cell r="D292">
            <v>1</v>
          </cell>
          <cell r="E292">
            <v>1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J292">
            <v>1</v>
          </cell>
          <cell r="K292">
            <v>1</v>
          </cell>
          <cell r="L292">
            <v>1</v>
          </cell>
          <cell r="M292">
            <v>1</v>
          </cell>
          <cell r="N292">
            <v>1</v>
          </cell>
          <cell r="O292">
            <v>1</v>
          </cell>
          <cell r="P292">
            <v>2</v>
          </cell>
          <cell r="Q292">
            <v>1</v>
          </cell>
          <cell r="R292">
            <v>1</v>
          </cell>
          <cell r="S292">
            <v>1</v>
          </cell>
          <cell r="T292">
            <v>2</v>
          </cell>
          <cell r="U292">
            <v>1</v>
          </cell>
        </row>
        <row r="293">
          <cell r="A293" t="str">
            <v>J46001</v>
          </cell>
          <cell r="B293">
            <v>2</v>
          </cell>
          <cell r="C293">
            <v>1</v>
          </cell>
          <cell r="D293">
            <v>1</v>
          </cell>
          <cell r="E293">
            <v>1</v>
          </cell>
          <cell r="F293">
            <v>2</v>
          </cell>
          <cell r="G293">
            <v>2</v>
          </cell>
          <cell r="H293">
            <v>0</v>
          </cell>
          <cell r="I293">
            <v>2</v>
          </cell>
          <cell r="J293">
            <v>1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1</v>
          </cell>
        </row>
        <row r="294">
          <cell r="A294" t="str">
            <v>J46002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</v>
          </cell>
          <cell r="J294">
            <v>0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P294">
            <v>0</v>
          </cell>
          <cell r="Q294">
            <v>1</v>
          </cell>
          <cell r="R294">
            <v>1</v>
          </cell>
          <cell r="S294">
            <v>1</v>
          </cell>
          <cell r="T294">
            <v>0</v>
          </cell>
          <cell r="U294">
            <v>0</v>
          </cell>
        </row>
        <row r="295">
          <cell r="A295" t="str">
            <v>J46003</v>
          </cell>
          <cell r="B295">
            <v>2</v>
          </cell>
          <cell r="C295">
            <v>2</v>
          </cell>
          <cell r="D295">
            <v>2</v>
          </cell>
          <cell r="E295">
            <v>2</v>
          </cell>
          <cell r="F295">
            <v>2</v>
          </cell>
          <cell r="G295">
            <v>2</v>
          </cell>
          <cell r="H295">
            <v>2</v>
          </cell>
          <cell r="I295">
            <v>2</v>
          </cell>
          <cell r="J295">
            <v>2</v>
          </cell>
          <cell r="K295">
            <v>2</v>
          </cell>
          <cell r="L295">
            <v>2</v>
          </cell>
          <cell r="M295">
            <v>2</v>
          </cell>
          <cell r="N295">
            <v>2</v>
          </cell>
          <cell r="O295">
            <v>2</v>
          </cell>
          <cell r="P295">
            <v>0</v>
          </cell>
          <cell r="Q295">
            <v>2</v>
          </cell>
          <cell r="R295">
            <v>2</v>
          </cell>
          <cell r="S295">
            <v>2</v>
          </cell>
          <cell r="T295">
            <v>0</v>
          </cell>
          <cell r="U295">
            <v>2</v>
          </cell>
        </row>
        <row r="296">
          <cell r="A296" t="str">
            <v>J46004</v>
          </cell>
          <cell r="B296">
            <v>4</v>
          </cell>
          <cell r="C296">
            <v>2</v>
          </cell>
          <cell r="D296">
            <v>2</v>
          </cell>
          <cell r="E296">
            <v>2</v>
          </cell>
          <cell r="F296">
            <v>4</v>
          </cell>
          <cell r="G296">
            <v>2</v>
          </cell>
          <cell r="H296">
            <v>3</v>
          </cell>
          <cell r="I296">
            <v>4</v>
          </cell>
          <cell r="J296">
            <v>2</v>
          </cell>
          <cell r="K296">
            <v>4</v>
          </cell>
          <cell r="L296">
            <v>3</v>
          </cell>
          <cell r="M296">
            <v>2</v>
          </cell>
          <cell r="N296">
            <v>2</v>
          </cell>
          <cell r="O296">
            <v>1</v>
          </cell>
          <cell r="P296">
            <v>0</v>
          </cell>
          <cell r="Q296">
            <v>2</v>
          </cell>
          <cell r="R296">
            <v>4</v>
          </cell>
          <cell r="S296">
            <v>2</v>
          </cell>
          <cell r="T296">
            <v>0</v>
          </cell>
          <cell r="U296">
            <v>1</v>
          </cell>
        </row>
        <row r="297">
          <cell r="A297" t="str">
            <v>J46005</v>
          </cell>
          <cell r="B297">
            <v>4</v>
          </cell>
          <cell r="C297">
            <v>1</v>
          </cell>
          <cell r="D297">
            <v>1</v>
          </cell>
          <cell r="E297">
            <v>2</v>
          </cell>
          <cell r="F297">
            <v>4</v>
          </cell>
          <cell r="G297">
            <v>3</v>
          </cell>
          <cell r="H297">
            <v>4</v>
          </cell>
          <cell r="I297">
            <v>4</v>
          </cell>
          <cell r="J297">
            <v>1</v>
          </cell>
          <cell r="K297">
            <v>4</v>
          </cell>
          <cell r="L297">
            <v>3</v>
          </cell>
          <cell r="M297">
            <v>3</v>
          </cell>
          <cell r="N297">
            <v>1</v>
          </cell>
          <cell r="O297">
            <v>1</v>
          </cell>
          <cell r="P297">
            <v>0</v>
          </cell>
          <cell r="Q297">
            <v>1</v>
          </cell>
          <cell r="R297">
            <v>4</v>
          </cell>
          <cell r="S297">
            <v>2</v>
          </cell>
          <cell r="T297">
            <v>0</v>
          </cell>
          <cell r="U297">
            <v>1</v>
          </cell>
        </row>
        <row r="298">
          <cell r="A298" t="str">
            <v>J46006</v>
          </cell>
          <cell r="B298">
            <v>2</v>
          </cell>
          <cell r="C298">
            <v>1</v>
          </cell>
          <cell r="D298">
            <v>1</v>
          </cell>
          <cell r="E298">
            <v>1</v>
          </cell>
          <cell r="F298">
            <v>2</v>
          </cell>
          <cell r="G298">
            <v>2</v>
          </cell>
          <cell r="H298">
            <v>2</v>
          </cell>
          <cell r="I298">
            <v>2</v>
          </cell>
          <cell r="J298">
            <v>1</v>
          </cell>
          <cell r="K298">
            <v>3</v>
          </cell>
          <cell r="L298">
            <v>2</v>
          </cell>
          <cell r="M298">
            <v>2</v>
          </cell>
          <cell r="N298">
            <v>1</v>
          </cell>
          <cell r="O298">
            <v>1</v>
          </cell>
          <cell r="P298">
            <v>0</v>
          </cell>
          <cell r="Q298">
            <v>1</v>
          </cell>
          <cell r="R298">
            <v>3</v>
          </cell>
          <cell r="S298">
            <v>1</v>
          </cell>
          <cell r="T298">
            <v>0</v>
          </cell>
          <cell r="U298">
            <v>1</v>
          </cell>
        </row>
        <row r="299">
          <cell r="A299" t="str">
            <v>J46007</v>
          </cell>
          <cell r="B299">
            <v>2</v>
          </cell>
          <cell r="C299">
            <v>1</v>
          </cell>
          <cell r="D299">
            <v>1</v>
          </cell>
          <cell r="E299">
            <v>1</v>
          </cell>
          <cell r="F299">
            <v>2</v>
          </cell>
          <cell r="G299">
            <v>2</v>
          </cell>
          <cell r="H299">
            <v>2</v>
          </cell>
          <cell r="I299">
            <v>2</v>
          </cell>
          <cell r="J299">
            <v>1</v>
          </cell>
          <cell r="K299">
            <v>3</v>
          </cell>
          <cell r="L299">
            <v>2</v>
          </cell>
          <cell r="M299">
            <v>2</v>
          </cell>
          <cell r="N299">
            <v>1</v>
          </cell>
          <cell r="O299">
            <v>1</v>
          </cell>
          <cell r="P299">
            <v>0</v>
          </cell>
          <cell r="Q299">
            <v>1</v>
          </cell>
          <cell r="R299">
            <v>3</v>
          </cell>
          <cell r="S299">
            <v>1</v>
          </cell>
          <cell r="T299">
            <v>0</v>
          </cell>
          <cell r="U299">
            <v>1</v>
          </cell>
        </row>
        <row r="300">
          <cell r="A300" t="str">
            <v>J46009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2</v>
          </cell>
          <cell r="I300">
            <v>0</v>
          </cell>
          <cell r="J300">
            <v>0</v>
          </cell>
          <cell r="K300">
            <v>2</v>
          </cell>
          <cell r="L300">
            <v>2</v>
          </cell>
          <cell r="M300">
            <v>2</v>
          </cell>
          <cell r="N300">
            <v>2</v>
          </cell>
          <cell r="O300">
            <v>2</v>
          </cell>
          <cell r="P300">
            <v>0</v>
          </cell>
          <cell r="Q300">
            <v>2</v>
          </cell>
          <cell r="R300">
            <v>2</v>
          </cell>
          <cell r="S300">
            <v>2</v>
          </cell>
          <cell r="T300">
            <v>0</v>
          </cell>
          <cell r="U300">
            <v>0</v>
          </cell>
        </row>
        <row r="301">
          <cell r="A301" t="str">
            <v>J46013</v>
          </cell>
          <cell r="B301">
            <v>3</v>
          </cell>
          <cell r="C301">
            <v>2</v>
          </cell>
          <cell r="D301">
            <v>2</v>
          </cell>
          <cell r="E301">
            <v>2</v>
          </cell>
          <cell r="F301">
            <v>3</v>
          </cell>
          <cell r="G301">
            <v>3</v>
          </cell>
          <cell r="H301">
            <v>5</v>
          </cell>
          <cell r="I301">
            <v>3</v>
          </cell>
          <cell r="J301">
            <v>2</v>
          </cell>
          <cell r="K301">
            <v>6</v>
          </cell>
          <cell r="L301">
            <v>5</v>
          </cell>
          <cell r="M301">
            <v>5</v>
          </cell>
          <cell r="N301">
            <v>2</v>
          </cell>
          <cell r="O301">
            <v>2</v>
          </cell>
          <cell r="P301">
            <v>0</v>
          </cell>
          <cell r="Q301">
            <v>2</v>
          </cell>
          <cell r="R301">
            <v>6</v>
          </cell>
          <cell r="S301">
            <v>3</v>
          </cell>
          <cell r="T301">
            <v>0</v>
          </cell>
          <cell r="U301">
            <v>2</v>
          </cell>
        </row>
        <row r="302">
          <cell r="A302" t="str">
            <v>J46019</v>
          </cell>
          <cell r="B302">
            <v>2</v>
          </cell>
          <cell r="C302">
            <v>1</v>
          </cell>
          <cell r="D302">
            <v>1</v>
          </cell>
          <cell r="E302">
            <v>1</v>
          </cell>
          <cell r="F302">
            <v>2</v>
          </cell>
          <cell r="G302">
            <v>2</v>
          </cell>
          <cell r="H302">
            <v>0</v>
          </cell>
          <cell r="I302">
            <v>2</v>
          </cell>
          <cell r="J302">
            <v>1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1</v>
          </cell>
        </row>
        <row r="303">
          <cell r="A303" t="str">
            <v>J46020</v>
          </cell>
          <cell r="B303">
            <v>4</v>
          </cell>
          <cell r="C303">
            <v>1</v>
          </cell>
          <cell r="D303">
            <v>1</v>
          </cell>
          <cell r="E303">
            <v>2</v>
          </cell>
          <cell r="F303">
            <v>4</v>
          </cell>
          <cell r="G303">
            <v>3</v>
          </cell>
          <cell r="H303">
            <v>4</v>
          </cell>
          <cell r="I303">
            <v>4</v>
          </cell>
          <cell r="J303">
            <v>1</v>
          </cell>
          <cell r="K303">
            <v>4</v>
          </cell>
          <cell r="L303">
            <v>3</v>
          </cell>
          <cell r="M303">
            <v>3</v>
          </cell>
          <cell r="N303">
            <v>1</v>
          </cell>
          <cell r="O303">
            <v>1</v>
          </cell>
          <cell r="P303">
            <v>0</v>
          </cell>
          <cell r="Q303">
            <v>1</v>
          </cell>
          <cell r="R303">
            <v>4</v>
          </cell>
          <cell r="S303">
            <v>2</v>
          </cell>
          <cell r="T303">
            <v>0</v>
          </cell>
          <cell r="U303">
            <v>1</v>
          </cell>
        </row>
        <row r="304">
          <cell r="A304" t="str">
            <v>J46027</v>
          </cell>
          <cell r="B304">
            <v>1</v>
          </cell>
          <cell r="C304">
            <v>1</v>
          </cell>
          <cell r="D304">
            <v>1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0</v>
          </cell>
          <cell r="Q304">
            <v>1</v>
          </cell>
          <cell r="R304">
            <v>1</v>
          </cell>
          <cell r="S304">
            <v>1</v>
          </cell>
          <cell r="T304">
            <v>0</v>
          </cell>
          <cell r="U304">
            <v>1</v>
          </cell>
        </row>
        <row r="305">
          <cell r="A305" t="str">
            <v>J46028</v>
          </cell>
          <cell r="B305">
            <v>1</v>
          </cell>
          <cell r="C305">
            <v>1</v>
          </cell>
          <cell r="D305">
            <v>1</v>
          </cell>
          <cell r="E305">
            <v>1</v>
          </cell>
          <cell r="F305">
            <v>1</v>
          </cell>
          <cell r="G305">
            <v>1</v>
          </cell>
          <cell r="H305">
            <v>1</v>
          </cell>
          <cell r="I305">
            <v>1</v>
          </cell>
          <cell r="J305">
            <v>1</v>
          </cell>
          <cell r="K305">
            <v>1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</row>
        <row r="306">
          <cell r="A306" t="str">
            <v>J46029</v>
          </cell>
          <cell r="B306">
            <v>2</v>
          </cell>
          <cell r="C306">
            <v>1</v>
          </cell>
          <cell r="D306">
            <v>1</v>
          </cell>
          <cell r="E306">
            <v>1</v>
          </cell>
          <cell r="F306">
            <v>2</v>
          </cell>
          <cell r="G306">
            <v>2</v>
          </cell>
          <cell r="H306">
            <v>0</v>
          </cell>
          <cell r="I306">
            <v>2</v>
          </cell>
          <cell r="J306">
            <v>1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</v>
          </cell>
        </row>
        <row r="307">
          <cell r="A307" t="str">
            <v>J46030</v>
          </cell>
          <cell r="B307">
            <v>1</v>
          </cell>
          <cell r="C307">
            <v>1</v>
          </cell>
          <cell r="D307">
            <v>1</v>
          </cell>
          <cell r="E307">
            <v>1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J307">
            <v>1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0</v>
          </cell>
          <cell r="Q307">
            <v>1</v>
          </cell>
          <cell r="R307">
            <v>1</v>
          </cell>
          <cell r="S307">
            <v>1</v>
          </cell>
          <cell r="T307">
            <v>0</v>
          </cell>
          <cell r="U307">
            <v>1</v>
          </cell>
        </row>
        <row r="308">
          <cell r="A308" t="str">
            <v>J46031</v>
          </cell>
          <cell r="B308">
            <v>3</v>
          </cell>
          <cell r="C308">
            <v>1</v>
          </cell>
          <cell r="D308">
            <v>1</v>
          </cell>
          <cell r="E308">
            <v>2</v>
          </cell>
          <cell r="F308">
            <v>3</v>
          </cell>
          <cell r="G308">
            <v>2</v>
          </cell>
          <cell r="H308">
            <v>2</v>
          </cell>
          <cell r="I308">
            <v>3</v>
          </cell>
          <cell r="J308">
            <v>1</v>
          </cell>
          <cell r="K308">
            <v>3</v>
          </cell>
          <cell r="L308">
            <v>2</v>
          </cell>
          <cell r="M308">
            <v>2</v>
          </cell>
          <cell r="N308">
            <v>1</v>
          </cell>
          <cell r="O308">
            <v>1</v>
          </cell>
          <cell r="P308">
            <v>0</v>
          </cell>
          <cell r="Q308">
            <v>1</v>
          </cell>
          <cell r="R308">
            <v>3</v>
          </cell>
          <cell r="S308">
            <v>1</v>
          </cell>
          <cell r="T308">
            <v>0</v>
          </cell>
          <cell r="U308">
            <v>1</v>
          </cell>
        </row>
        <row r="309">
          <cell r="A309" t="str">
            <v>J47003</v>
          </cell>
          <cell r="B309">
            <v>2</v>
          </cell>
          <cell r="C309">
            <v>2</v>
          </cell>
          <cell r="D309">
            <v>2</v>
          </cell>
          <cell r="E309">
            <v>1</v>
          </cell>
          <cell r="F309">
            <v>2</v>
          </cell>
          <cell r="G309">
            <v>1</v>
          </cell>
          <cell r="H309">
            <v>2</v>
          </cell>
          <cell r="I309">
            <v>2</v>
          </cell>
          <cell r="J309">
            <v>2</v>
          </cell>
          <cell r="K309">
            <v>2</v>
          </cell>
          <cell r="L309">
            <v>2</v>
          </cell>
          <cell r="M309">
            <v>1</v>
          </cell>
          <cell r="N309">
            <v>2</v>
          </cell>
          <cell r="O309">
            <v>1</v>
          </cell>
          <cell r="P309">
            <v>0</v>
          </cell>
          <cell r="Q309">
            <v>2</v>
          </cell>
          <cell r="R309">
            <v>2</v>
          </cell>
          <cell r="S309">
            <v>2</v>
          </cell>
          <cell r="T309">
            <v>0</v>
          </cell>
          <cell r="U309">
            <v>1</v>
          </cell>
        </row>
        <row r="310">
          <cell r="A310" t="str">
            <v>J47004</v>
          </cell>
          <cell r="B310">
            <v>3</v>
          </cell>
          <cell r="C310">
            <v>3</v>
          </cell>
          <cell r="D310">
            <v>3</v>
          </cell>
          <cell r="E310">
            <v>3</v>
          </cell>
          <cell r="F310">
            <v>3</v>
          </cell>
          <cell r="G310">
            <v>3</v>
          </cell>
          <cell r="H310">
            <v>3</v>
          </cell>
          <cell r="I310">
            <v>3</v>
          </cell>
          <cell r="J310">
            <v>3</v>
          </cell>
          <cell r="K310">
            <v>3</v>
          </cell>
          <cell r="L310">
            <v>3</v>
          </cell>
          <cell r="M310">
            <v>3</v>
          </cell>
          <cell r="N310">
            <v>3</v>
          </cell>
          <cell r="O310">
            <v>3</v>
          </cell>
          <cell r="P310">
            <v>0</v>
          </cell>
          <cell r="Q310">
            <v>3</v>
          </cell>
          <cell r="R310">
            <v>3</v>
          </cell>
          <cell r="S310">
            <v>3</v>
          </cell>
          <cell r="T310">
            <v>0</v>
          </cell>
          <cell r="U310">
            <v>3</v>
          </cell>
        </row>
        <row r="311">
          <cell r="A311" t="str">
            <v>J47004-W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</row>
        <row r="312">
          <cell r="A312" t="str">
            <v>J47005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2</v>
          </cell>
          <cell r="I312">
            <v>0</v>
          </cell>
          <cell r="J312">
            <v>0</v>
          </cell>
          <cell r="K312">
            <v>2</v>
          </cell>
          <cell r="L312">
            <v>2</v>
          </cell>
          <cell r="M312">
            <v>2</v>
          </cell>
          <cell r="N312">
            <v>2</v>
          </cell>
          <cell r="O312">
            <v>2</v>
          </cell>
          <cell r="P312">
            <v>0</v>
          </cell>
          <cell r="Q312">
            <v>2</v>
          </cell>
          <cell r="R312">
            <v>2</v>
          </cell>
          <cell r="S312">
            <v>2</v>
          </cell>
          <cell r="T312">
            <v>0</v>
          </cell>
          <cell r="U312">
            <v>0</v>
          </cell>
        </row>
        <row r="313">
          <cell r="A313" t="str">
            <v>J49001</v>
          </cell>
          <cell r="B313">
            <v>4</v>
          </cell>
          <cell r="C313">
            <v>2</v>
          </cell>
          <cell r="D313">
            <v>2</v>
          </cell>
          <cell r="E313">
            <v>2</v>
          </cell>
          <cell r="F313">
            <v>4</v>
          </cell>
          <cell r="G313">
            <v>3</v>
          </cell>
          <cell r="H313">
            <v>4</v>
          </cell>
          <cell r="I313">
            <v>4</v>
          </cell>
          <cell r="J313">
            <v>2</v>
          </cell>
          <cell r="K313">
            <v>4</v>
          </cell>
          <cell r="L313">
            <v>3</v>
          </cell>
          <cell r="M313">
            <v>3</v>
          </cell>
          <cell r="N313">
            <v>2</v>
          </cell>
          <cell r="O313">
            <v>2</v>
          </cell>
          <cell r="P313">
            <v>0</v>
          </cell>
          <cell r="Q313">
            <v>2</v>
          </cell>
          <cell r="R313">
            <v>4</v>
          </cell>
          <cell r="S313">
            <v>2</v>
          </cell>
          <cell r="T313">
            <v>0</v>
          </cell>
          <cell r="U313">
            <v>2</v>
          </cell>
        </row>
        <row r="314">
          <cell r="A314" t="str">
            <v>J49003</v>
          </cell>
          <cell r="B314">
            <v>2</v>
          </cell>
          <cell r="C314">
            <v>2</v>
          </cell>
          <cell r="D314">
            <v>2</v>
          </cell>
          <cell r="E314">
            <v>2</v>
          </cell>
          <cell r="F314">
            <v>2</v>
          </cell>
          <cell r="G314">
            <v>2</v>
          </cell>
          <cell r="H314">
            <v>2</v>
          </cell>
          <cell r="I314">
            <v>2</v>
          </cell>
          <cell r="J314">
            <v>2</v>
          </cell>
          <cell r="K314">
            <v>2</v>
          </cell>
          <cell r="L314">
            <v>2</v>
          </cell>
          <cell r="M314">
            <v>2</v>
          </cell>
          <cell r="N314">
            <v>2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2</v>
          </cell>
          <cell r="T314">
            <v>0</v>
          </cell>
          <cell r="U314">
            <v>2</v>
          </cell>
        </row>
        <row r="315">
          <cell r="A315" t="str">
            <v>J49004</v>
          </cell>
          <cell r="B315">
            <v>2</v>
          </cell>
          <cell r="C315">
            <v>2</v>
          </cell>
          <cell r="D315">
            <v>2</v>
          </cell>
          <cell r="E315">
            <v>2</v>
          </cell>
          <cell r="F315">
            <v>2</v>
          </cell>
          <cell r="G315">
            <v>2</v>
          </cell>
          <cell r="H315">
            <v>2</v>
          </cell>
          <cell r="I315">
            <v>2</v>
          </cell>
          <cell r="J315">
            <v>2</v>
          </cell>
          <cell r="K315">
            <v>2</v>
          </cell>
          <cell r="L315">
            <v>2</v>
          </cell>
          <cell r="M315">
            <v>2</v>
          </cell>
          <cell r="N315">
            <v>2</v>
          </cell>
          <cell r="O315">
            <v>2</v>
          </cell>
          <cell r="P315">
            <v>0</v>
          </cell>
          <cell r="Q315">
            <v>2</v>
          </cell>
          <cell r="R315">
            <v>2</v>
          </cell>
          <cell r="S315">
            <v>2</v>
          </cell>
          <cell r="T315">
            <v>0</v>
          </cell>
          <cell r="U315">
            <v>2</v>
          </cell>
        </row>
        <row r="316">
          <cell r="A316" t="str">
            <v>J56001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</row>
        <row r="317">
          <cell r="A317" t="str">
            <v>J56005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</row>
        <row r="318">
          <cell r="A318" t="str">
            <v>J56006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</row>
        <row r="319">
          <cell r="A319" t="str">
            <v>J75003</v>
          </cell>
          <cell r="B319">
            <v>20</v>
          </cell>
          <cell r="C319">
            <v>8</v>
          </cell>
          <cell r="D319">
            <v>8</v>
          </cell>
          <cell r="E319">
            <v>12</v>
          </cell>
          <cell r="F319">
            <v>20</v>
          </cell>
          <cell r="G319">
            <v>16</v>
          </cell>
          <cell r="H319">
            <v>16</v>
          </cell>
          <cell r="I319">
            <v>20</v>
          </cell>
          <cell r="J319">
            <v>8</v>
          </cell>
          <cell r="K319">
            <v>16</v>
          </cell>
          <cell r="L319">
            <v>16</v>
          </cell>
          <cell r="M319">
            <v>16</v>
          </cell>
          <cell r="N319">
            <v>8</v>
          </cell>
          <cell r="O319">
            <v>8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8</v>
          </cell>
        </row>
        <row r="320">
          <cell r="A320" t="str">
            <v>J75005</v>
          </cell>
          <cell r="B320">
            <v>5</v>
          </cell>
          <cell r="C320">
            <v>2</v>
          </cell>
          <cell r="D320">
            <v>2</v>
          </cell>
          <cell r="E320">
            <v>3</v>
          </cell>
          <cell r="F320">
            <v>5</v>
          </cell>
          <cell r="G320">
            <v>4</v>
          </cell>
          <cell r="H320">
            <v>4</v>
          </cell>
          <cell r="I320">
            <v>5</v>
          </cell>
          <cell r="J320">
            <v>2</v>
          </cell>
          <cell r="K320">
            <v>4</v>
          </cell>
          <cell r="L320">
            <v>4</v>
          </cell>
          <cell r="M320">
            <v>4</v>
          </cell>
          <cell r="N320">
            <v>2</v>
          </cell>
          <cell r="O320">
            <v>2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2</v>
          </cell>
        </row>
        <row r="321">
          <cell r="A321" t="str">
            <v>J75007</v>
          </cell>
          <cell r="B321">
            <v>2</v>
          </cell>
          <cell r="C321">
            <v>1</v>
          </cell>
          <cell r="D321">
            <v>1</v>
          </cell>
          <cell r="E321">
            <v>1</v>
          </cell>
          <cell r="F321">
            <v>2</v>
          </cell>
          <cell r="G321">
            <v>2</v>
          </cell>
          <cell r="H321">
            <v>2</v>
          </cell>
          <cell r="I321">
            <v>2</v>
          </cell>
          <cell r="J321">
            <v>1</v>
          </cell>
          <cell r="K321">
            <v>2</v>
          </cell>
          <cell r="L321">
            <v>2</v>
          </cell>
          <cell r="M321">
            <v>2</v>
          </cell>
          <cell r="N321">
            <v>1</v>
          </cell>
          <cell r="O321">
            <v>1</v>
          </cell>
          <cell r="P321">
            <v>1</v>
          </cell>
          <cell r="Q321">
            <v>1</v>
          </cell>
          <cell r="R321">
            <v>3</v>
          </cell>
          <cell r="S321">
            <v>1</v>
          </cell>
          <cell r="T321">
            <v>1</v>
          </cell>
          <cell r="U321">
            <v>1</v>
          </cell>
        </row>
        <row r="322">
          <cell r="A322" t="str">
            <v>J75008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</row>
        <row r="323">
          <cell r="A323" t="str">
            <v>J75010</v>
          </cell>
          <cell r="B323">
            <v>5</v>
          </cell>
          <cell r="C323">
            <v>2</v>
          </cell>
          <cell r="D323">
            <v>2</v>
          </cell>
          <cell r="E323">
            <v>3</v>
          </cell>
          <cell r="F323">
            <v>5</v>
          </cell>
          <cell r="G323">
            <v>4</v>
          </cell>
          <cell r="H323">
            <v>4</v>
          </cell>
          <cell r="I323">
            <v>5</v>
          </cell>
          <cell r="J323">
            <v>2</v>
          </cell>
          <cell r="K323">
            <v>4</v>
          </cell>
          <cell r="L323">
            <v>4</v>
          </cell>
          <cell r="M323">
            <v>4</v>
          </cell>
          <cell r="N323">
            <v>2</v>
          </cell>
          <cell r="O323">
            <v>2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</v>
          </cell>
        </row>
        <row r="324">
          <cell r="A324" t="str">
            <v>J75011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</row>
        <row r="325">
          <cell r="A325" t="str">
            <v>J75012</v>
          </cell>
          <cell r="B325">
            <v>6</v>
          </cell>
          <cell r="C325">
            <v>3</v>
          </cell>
          <cell r="D325">
            <v>3</v>
          </cell>
          <cell r="E325">
            <v>4</v>
          </cell>
          <cell r="F325">
            <v>6</v>
          </cell>
          <cell r="G325">
            <v>5</v>
          </cell>
          <cell r="H325">
            <v>5</v>
          </cell>
          <cell r="I325">
            <v>6</v>
          </cell>
          <cell r="J325">
            <v>3</v>
          </cell>
          <cell r="K325">
            <v>5</v>
          </cell>
          <cell r="L325">
            <v>5</v>
          </cell>
          <cell r="M325">
            <v>5</v>
          </cell>
          <cell r="N325">
            <v>3</v>
          </cell>
          <cell r="O325">
            <v>3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3</v>
          </cell>
        </row>
        <row r="326">
          <cell r="A326" t="str">
            <v>J75013</v>
          </cell>
          <cell r="B326">
            <v>6</v>
          </cell>
          <cell r="C326">
            <v>3</v>
          </cell>
          <cell r="D326">
            <v>3</v>
          </cell>
          <cell r="E326">
            <v>3</v>
          </cell>
          <cell r="F326">
            <v>6</v>
          </cell>
          <cell r="G326">
            <v>4</v>
          </cell>
          <cell r="H326">
            <v>5</v>
          </cell>
          <cell r="I326">
            <v>6</v>
          </cell>
          <cell r="J326">
            <v>3</v>
          </cell>
          <cell r="K326">
            <v>5</v>
          </cell>
          <cell r="L326">
            <v>5</v>
          </cell>
          <cell r="M326">
            <v>4</v>
          </cell>
          <cell r="N326">
            <v>3</v>
          </cell>
          <cell r="O326">
            <v>2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</v>
          </cell>
        </row>
        <row r="327">
          <cell r="A327" t="str">
            <v>J75048</v>
          </cell>
          <cell r="B327">
            <v>5</v>
          </cell>
          <cell r="C327">
            <v>2</v>
          </cell>
          <cell r="D327">
            <v>2</v>
          </cell>
          <cell r="E327">
            <v>3</v>
          </cell>
          <cell r="F327">
            <v>5</v>
          </cell>
          <cell r="G327">
            <v>4</v>
          </cell>
          <cell r="H327">
            <v>4</v>
          </cell>
          <cell r="I327">
            <v>5</v>
          </cell>
          <cell r="J327">
            <v>2</v>
          </cell>
          <cell r="K327">
            <v>4</v>
          </cell>
          <cell r="L327">
            <v>4</v>
          </cell>
          <cell r="M327">
            <v>4</v>
          </cell>
          <cell r="N327">
            <v>2</v>
          </cell>
          <cell r="O327">
            <v>2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2</v>
          </cell>
        </row>
        <row r="328">
          <cell r="A328" t="str">
            <v>J75049</v>
          </cell>
          <cell r="B328">
            <v>5</v>
          </cell>
          <cell r="C328">
            <v>3</v>
          </cell>
          <cell r="D328">
            <v>3</v>
          </cell>
          <cell r="E328">
            <v>2</v>
          </cell>
          <cell r="F328">
            <v>5</v>
          </cell>
          <cell r="G328">
            <v>3</v>
          </cell>
          <cell r="H328">
            <v>0</v>
          </cell>
          <cell r="I328">
            <v>5</v>
          </cell>
          <cell r="J328">
            <v>3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2</v>
          </cell>
        </row>
        <row r="329">
          <cell r="A329" t="str">
            <v>J75052</v>
          </cell>
          <cell r="B329">
            <v>20</v>
          </cell>
          <cell r="C329">
            <v>8</v>
          </cell>
          <cell r="D329">
            <v>8</v>
          </cell>
          <cell r="E329">
            <v>12</v>
          </cell>
          <cell r="F329">
            <v>20</v>
          </cell>
          <cell r="G329">
            <v>16</v>
          </cell>
          <cell r="H329">
            <v>16</v>
          </cell>
          <cell r="I329">
            <v>20</v>
          </cell>
          <cell r="J329">
            <v>8</v>
          </cell>
          <cell r="K329">
            <v>16</v>
          </cell>
          <cell r="L329">
            <v>16</v>
          </cell>
          <cell r="M329">
            <v>16</v>
          </cell>
          <cell r="N329">
            <v>8</v>
          </cell>
          <cell r="O329">
            <v>8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8</v>
          </cell>
        </row>
        <row r="330">
          <cell r="A330" t="str">
            <v>J75058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4</v>
          </cell>
          <cell r="I330">
            <v>0</v>
          </cell>
          <cell r="J330">
            <v>0</v>
          </cell>
          <cell r="K330">
            <v>4</v>
          </cell>
          <cell r="L330">
            <v>4</v>
          </cell>
          <cell r="M330">
            <v>4</v>
          </cell>
          <cell r="N330">
            <v>2</v>
          </cell>
          <cell r="O330">
            <v>2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A331" t="str">
            <v>J75059A</v>
          </cell>
          <cell r="B331">
            <v>2</v>
          </cell>
          <cell r="C331">
            <v>1</v>
          </cell>
          <cell r="D331">
            <v>1</v>
          </cell>
          <cell r="E331">
            <v>1</v>
          </cell>
          <cell r="F331">
            <v>2</v>
          </cell>
          <cell r="G331">
            <v>2</v>
          </cell>
          <cell r="H331">
            <v>0</v>
          </cell>
          <cell r="I331">
            <v>2</v>
          </cell>
          <cell r="J331">
            <v>1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1</v>
          </cell>
        </row>
        <row r="332">
          <cell r="A332" t="str">
            <v>J75060</v>
          </cell>
          <cell r="B332">
            <v>2</v>
          </cell>
          <cell r="C332">
            <v>1</v>
          </cell>
          <cell r="D332">
            <v>1</v>
          </cell>
          <cell r="E332">
            <v>1</v>
          </cell>
          <cell r="F332">
            <v>2</v>
          </cell>
          <cell r="G332">
            <v>2</v>
          </cell>
          <cell r="H332">
            <v>0</v>
          </cell>
          <cell r="I332">
            <v>2</v>
          </cell>
          <cell r="J332">
            <v>1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1</v>
          </cell>
        </row>
        <row r="333">
          <cell r="A333" t="str">
            <v>J75061</v>
          </cell>
          <cell r="B333">
            <v>2</v>
          </cell>
          <cell r="C333">
            <v>2</v>
          </cell>
          <cell r="D333">
            <v>2</v>
          </cell>
          <cell r="E333">
            <v>1</v>
          </cell>
          <cell r="F333">
            <v>2</v>
          </cell>
          <cell r="G333">
            <v>1</v>
          </cell>
          <cell r="H333">
            <v>2</v>
          </cell>
          <cell r="I333">
            <v>2</v>
          </cell>
          <cell r="J333">
            <v>2</v>
          </cell>
          <cell r="K333">
            <v>2</v>
          </cell>
          <cell r="L333">
            <v>2</v>
          </cell>
          <cell r="M333">
            <v>1</v>
          </cell>
          <cell r="N333">
            <v>2</v>
          </cell>
          <cell r="O333">
            <v>1</v>
          </cell>
          <cell r="P333">
            <v>0</v>
          </cell>
          <cell r="Q333">
            <v>2</v>
          </cell>
          <cell r="R333">
            <v>2</v>
          </cell>
          <cell r="S333">
            <v>2</v>
          </cell>
          <cell r="T333">
            <v>0</v>
          </cell>
          <cell r="U333">
            <v>1</v>
          </cell>
        </row>
        <row r="334">
          <cell r="A334" t="str">
            <v>J75100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</row>
        <row r="335">
          <cell r="A335" t="str">
            <v>J75103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A336" t="str">
            <v>J75104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5</v>
          </cell>
          <cell r="I336">
            <v>0</v>
          </cell>
          <cell r="J336">
            <v>0</v>
          </cell>
          <cell r="K336">
            <v>5</v>
          </cell>
          <cell r="L336">
            <v>5</v>
          </cell>
          <cell r="M336">
            <v>4</v>
          </cell>
          <cell r="N336">
            <v>2</v>
          </cell>
          <cell r="O336">
            <v>0</v>
          </cell>
          <cell r="P336">
            <v>0</v>
          </cell>
          <cell r="Q336">
            <v>3</v>
          </cell>
          <cell r="R336">
            <v>5</v>
          </cell>
          <cell r="S336">
            <v>4</v>
          </cell>
          <cell r="T336">
            <v>0</v>
          </cell>
          <cell r="U336">
            <v>0</v>
          </cell>
        </row>
        <row r="337">
          <cell r="A337" t="str">
            <v>J75105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A338" t="str">
            <v>J75110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</row>
        <row r="339">
          <cell r="A339" t="str">
            <v>J75111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A340" t="str">
            <v>J75113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</row>
        <row r="341">
          <cell r="A341" t="str">
            <v>J75115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</row>
        <row r="342">
          <cell r="A342" t="str">
            <v>J75120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</row>
        <row r="343">
          <cell r="A343" t="str">
            <v>J75121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A344" t="str">
            <v>J75122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</row>
        <row r="345">
          <cell r="A345" t="str">
            <v>J75123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</row>
        <row r="346">
          <cell r="A346" t="str">
            <v>J75124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</row>
        <row r="347">
          <cell r="A347" t="str">
            <v>J75125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</row>
        <row r="348">
          <cell r="A348" t="str">
            <v>J75142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2</v>
          </cell>
          <cell r="I348">
            <v>0</v>
          </cell>
          <cell r="J348">
            <v>0</v>
          </cell>
          <cell r="K348">
            <v>2</v>
          </cell>
          <cell r="L348">
            <v>2</v>
          </cell>
          <cell r="M348">
            <v>0</v>
          </cell>
          <cell r="N348">
            <v>2</v>
          </cell>
          <cell r="O348">
            <v>0</v>
          </cell>
          <cell r="P348">
            <v>24</v>
          </cell>
          <cell r="Q348">
            <v>4</v>
          </cell>
          <cell r="R348">
            <v>8</v>
          </cell>
          <cell r="S348">
            <v>6</v>
          </cell>
          <cell r="T348">
            <v>16</v>
          </cell>
          <cell r="U348">
            <v>0</v>
          </cell>
        </row>
        <row r="349">
          <cell r="A349" t="str">
            <v>J75147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</row>
        <row r="350">
          <cell r="A350" t="str">
            <v>J75148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A351" t="str">
            <v>J75149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</row>
        <row r="352">
          <cell r="A352" t="str">
            <v>J75156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</row>
        <row r="353">
          <cell r="A353" t="str">
            <v>J75173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</row>
        <row r="354">
          <cell r="A354" t="str">
            <v>J75174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</row>
        <row r="355">
          <cell r="A355" t="str">
            <v>J75175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</row>
        <row r="356">
          <cell r="A356" t="str">
            <v>J75178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</row>
        <row r="357">
          <cell r="A357" t="str">
            <v>J75179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</row>
        <row r="358">
          <cell r="A358" t="str">
            <v>J75180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</row>
        <row r="359">
          <cell r="A359" t="str">
            <v>J75181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</row>
        <row r="360">
          <cell r="A360" t="str">
            <v>J75183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</row>
        <row r="361">
          <cell r="A361" t="str">
            <v>J75189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5</v>
          </cell>
          <cell r="I361">
            <v>0</v>
          </cell>
          <cell r="J361">
            <v>0</v>
          </cell>
          <cell r="K361">
            <v>5</v>
          </cell>
          <cell r="L361">
            <v>5</v>
          </cell>
          <cell r="M361">
            <v>4</v>
          </cell>
          <cell r="N361">
            <v>3</v>
          </cell>
          <cell r="O361">
            <v>3</v>
          </cell>
          <cell r="P361">
            <v>3</v>
          </cell>
          <cell r="Q361">
            <v>3</v>
          </cell>
          <cell r="R361">
            <v>5</v>
          </cell>
          <cell r="S361">
            <v>4</v>
          </cell>
          <cell r="T361">
            <v>3</v>
          </cell>
          <cell r="U361">
            <v>0</v>
          </cell>
        </row>
        <row r="362">
          <cell r="A362" t="str">
            <v>J75192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5</v>
          </cell>
          <cell r="I362">
            <v>0</v>
          </cell>
          <cell r="J362">
            <v>0</v>
          </cell>
          <cell r="K362">
            <v>5</v>
          </cell>
          <cell r="L362">
            <v>5</v>
          </cell>
          <cell r="M362">
            <v>4</v>
          </cell>
          <cell r="N362">
            <v>3</v>
          </cell>
          <cell r="O362">
            <v>3</v>
          </cell>
          <cell r="P362">
            <v>0</v>
          </cell>
          <cell r="Q362">
            <v>3</v>
          </cell>
          <cell r="R362">
            <v>5</v>
          </cell>
          <cell r="S362">
            <v>4</v>
          </cell>
          <cell r="T362">
            <v>0</v>
          </cell>
          <cell r="U362">
            <v>0</v>
          </cell>
        </row>
        <row r="363">
          <cell r="A363" t="str">
            <v>J75193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</row>
        <row r="364">
          <cell r="A364" t="str">
            <v>J75194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</row>
        <row r="365">
          <cell r="A365" t="str">
            <v>J75195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</row>
        <row r="366">
          <cell r="A366" t="str">
            <v>J75196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3</v>
          </cell>
          <cell r="I366">
            <v>0</v>
          </cell>
          <cell r="J366">
            <v>0</v>
          </cell>
          <cell r="K366">
            <v>3</v>
          </cell>
          <cell r="L366">
            <v>3</v>
          </cell>
          <cell r="M366">
            <v>2</v>
          </cell>
          <cell r="N366">
            <v>3</v>
          </cell>
          <cell r="O366">
            <v>3</v>
          </cell>
          <cell r="P366">
            <v>0</v>
          </cell>
          <cell r="Q366">
            <v>3</v>
          </cell>
          <cell r="R366">
            <v>3</v>
          </cell>
          <cell r="S366">
            <v>3</v>
          </cell>
          <cell r="T366">
            <v>0</v>
          </cell>
          <cell r="U366">
            <v>0</v>
          </cell>
        </row>
        <row r="367">
          <cell r="A367" t="str">
            <v>J75197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3</v>
          </cell>
          <cell r="I367">
            <v>0</v>
          </cell>
          <cell r="J367">
            <v>0</v>
          </cell>
          <cell r="K367">
            <v>3</v>
          </cell>
          <cell r="L367">
            <v>3</v>
          </cell>
          <cell r="M367">
            <v>2</v>
          </cell>
          <cell r="N367">
            <v>3</v>
          </cell>
          <cell r="O367">
            <v>3</v>
          </cell>
          <cell r="P367">
            <v>3</v>
          </cell>
          <cell r="Q367">
            <v>3</v>
          </cell>
          <cell r="R367">
            <v>3</v>
          </cell>
          <cell r="S367">
            <v>3</v>
          </cell>
          <cell r="T367">
            <v>3</v>
          </cell>
          <cell r="U367">
            <v>0</v>
          </cell>
        </row>
        <row r="368">
          <cell r="A368" t="str">
            <v>J75198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</row>
        <row r="369">
          <cell r="A369" t="str">
            <v>J75199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5</v>
          </cell>
          <cell r="I369">
            <v>0</v>
          </cell>
          <cell r="J369">
            <v>0</v>
          </cell>
          <cell r="K369">
            <v>5</v>
          </cell>
          <cell r="L369">
            <v>5</v>
          </cell>
          <cell r="M369">
            <v>4</v>
          </cell>
          <cell r="N369">
            <v>3</v>
          </cell>
          <cell r="O369">
            <v>3</v>
          </cell>
          <cell r="P369">
            <v>0</v>
          </cell>
          <cell r="Q369">
            <v>3</v>
          </cell>
          <cell r="R369">
            <v>5</v>
          </cell>
          <cell r="S369">
            <v>4</v>
          </cell>
          <cell r="T369">
            <v>0</v>
          </cell>
          <cell r="U369">
            <v>0</v>
          </cell>
        </row>
        <row r="370">
          <cell r="A370" t="str">
            <v>J75208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4</v>
          </cell>
          <cell r="I370">
            <v>0</v>
          </cell>
          <cell r="J370">
            <v>0</v>
          </cell>
          <cell r="K370">
            <v>4</v>
          </cell>
          <cell r="L370">
            <v>4</v>
          </cell>
          <cell r="M370">
            <v>4</v>
          </cell>
          <cell r="N370">
            <v>2</v>
          </cell>
          <cell r="O370">
            <v>2</v>
          </cell>
          <cell r="P370">
            <v>0</v>
          </cell>
          <cell r="Q370">
            <v>2</v>
          </cell>
          <cell r="R370">
            <v>4</v>
          </cell>
          <cell r="S370">
            <v>3</v>
          </cell>
          <cell r="T370">
            <v>0</v>
          </cell>
          <cell r="U370">
            <v>0</v>
          </cell>
        </row>
        <row r="371">
          <cell r="A371" t="str">
            <v>J75214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  <cell r="Q371">
            <v>2</v>
          </cell>
          <cell r="R371">
            <v>4</v>
          </cell>
          <cell r="S371">
            <v>3</v>
          </cell>
          <cell r="T371">
            <v>2</v>
          </cell>
          <cell r="U371">
            <v>0</v>
          </cell>
        </row>
        <row r="372">
          <cell r="A372" t="str">
            <v>J75220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</row>
        <row r="373">
          <cell r="A373" t="str">
            <v>J75223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2</v>
          </cell>
          <cell r="R373">
            <v>4</v>
          </cell>
          <cell r="S373">
            <v>3</v>
          </cell>
          <cell r="T373">
            <v>0</v>
          </cell>
          <cell r="U373">
            <v>0</v>
          </cell>
        </row>
        <row r="374">
          <cell r="A374" t="str">
            <v>J75400</v>
          </cell>
          <cell r="B374">
            <v>6</v>
          </cell>
          <cell r="C374">
            <v>3</v>
          </cell>
          <cell r="D374">
            <v>3</v>
          </cell>
          <cell r="E374">
            <v>3</v>
          </cell>
          <cell r="F374">
            <v>6</v>
          </cell>
          <cell r="G374">
            <v>4</v>
          </cell>
          <cell r="H374">
            <v>5</v>
          </cell>
          <cell r="I374">
            <v>6</v>
          </cell>
          <cell r="J374">
            <v>3</v>
          </cell>
          <cell r="K374">
            <v>5</v>
          </cell>
          <cell r="L374">
            <v>5</v>
          </cell>
          <cell r="M374">
            <v>4</v>
          </cell>
          <cell r="N374">
            <v>3</v>
          </cell>
          <cell r="O374">
            <v>2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2</v>
          </cell>
        </row>
        <row r="375">
          <cell r="A375" t="str">
            <v>J75400E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</row>
        <row r="376">
          <cell r="A376" t="str">
            <v>J75401</v>
          </cell>
          <cell r="B376">
            <v>5</v>
          </cell>
          <cell r="C376">
            <v>2</v>
          </cell>
          <cell r="D376">
            <v>2</v>
          </cell>
          <cell r="E376">
            <v>3</v>
          </cell>
          <cell r="F376">
            <v>5</v>
          </cell>
          <cell r="G376">
            <v>4</v>
          </cell>
          <cell r="H376">
            <v>4</v>
          </cell>
          <cell r="I376">
            <v>5</v>
          </cell>
          <cell r="J376">
            <v>2</v>
          </cell>
          <cell r="K376">
            <v>4</v>
          </cell>
          <cell r="L376">
            <v>4</v>
          </cell>
          <cell r="M376">
            <v>4</v>
          </cell>
          <cell r="N376">
            <v>2</v>
          </cell>
          <cell r="O376">
            <v>2</v>
          </cell>
          <cell r="P376">
            <v>0</v>
          </cell>
          <cell r="Q376">
            <v>2</v>
          </cell>
          <cell r="R376">
            <v>4</v>
          </cell>
          <cell r="S376">
            <v>3</v>
          </cell>
          <cell r="T376">
            <v>0</v>
          </cell>
          <cell r="U376">
            <v>2</v>
          </cell>
        </row>
        <row r="377">
          <cell r="A377" t="str">
            <v>J75402</v>
          </cell>
          <cell r="B377">
            <v>5</v>
          </cell>
          <cell r="C377">
            <v>2</v>
          </cell>
          <cell r="D377">
            <v>2</v>
          </cell>
          <cell r="E377">
            <v>3</v>
          </cell>
          <cell r="F377">
            <v>5</v>
          </cell>
          <cell r="G377">
            <v>4</v>
          </cell>
          <cell r="H377">
            <v>0</v>
          </cell>
          <cell r="I377">
            <v>5</v>
          </cell>
          <cell r="J377">
            <v>2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2</v>
          </cell>
          <cell r="R377">
            <v>4</v>
          </cell>
          <cell r="S377">
            <v>3</v>
          </cell>
          <cell r="T377">
            <v>0</v>
          </cell>
          <cell r="U377">
            <v>2</v>
          </cell>
        </row>
        <row r="378">
          <cell r="A378" t="str">
            <v>J75404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5</v>
          </cell>
          <cell r="I378">
            <v>0</v>
          </cell>
          <cell r="J378">
            <v>0</v>
          </cell>
          <cell r="K378">
            <v>5</v>
          </cell>
          <cell r="L378">
            <v>5</v>
          </cell>
          <cell r="M378">
            <v>4</v>
          </cell>
          <cell r="N378">
            <v>2</v>
          </cell>
          <cell r="O378">
            <v>0</v>
          </cell>
          <cell r="P378">
            <v>0</v>
          </cell>
          <cell r="Q378">
            <v>2</v>
          </cell>
          <cell r="R378">
            <v>4</v>
          </cell>
          <cell r="S378">
            <v>3</v>
          </cell>
          <cell r="T378">
            <v>0</v>
          </cell>
          <cell r="U378">
            <v>0</v>
          </cell>
        </row>
        <row r="379">
          <cell r="A379" t="str">
            <v>J75405</v>
          </cell>
          <cell r="B379">
            <v>5</v>
          </cell>
          <cell r="C379">
            <v>2</v>
          </cell>
          <cell r="D379">
            <v>2</v>
          </cell>
          <cell r="E379">
            <v>3</v>
          </cell>
          <cell r="F379">
            <v>5</v>
          </cell>
          <cell r="G379">
            <v>4</v>
          </cell>
          <cell r="H379">
            <v>0</v>
          </cell>
          <cell r="I379">
            <v>5</v>
          </cell>
          <cell r="J379">
            <v>2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2</v>
          </cell>
          <cell r="R379">
            <v>4</v>
          </cell>
          <cell r="S379">
            <v>3</v>
          </cell>
          <cell r="T379">
            <v>0</v>
          </cell>
          <cell r="U379">
            <v>2</v>
          </cell>
        </row>
        <row r="380">
          <cell r="A380" t="str">
            <v>J75407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4</v>
          </cell>
          <cell r="I380">
            <v>0</v>
          </cell>
          <cell r="J380">
            <v>0</v>
          </cell>
          <cell r="K380">
            <v>4</v>
          </cell>
          <cell r="L380">
            <v>4</v>
          </cell>
          <cell r="M380">
            <v>4</v>
          </cell>
          <cell r="N380">
            <v>2</v>
          </cell>
          <cell r="O380">
            <v>2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</row>
        <row r="381">
          <cell r="A381" t="str">
            <v>J75408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4</v>
          </cell>
          <cell r="I381">
            <v>0</v>
          </cell>
          <cell r="J381">
            <v>0</v>
          </cell>
          <cell r="K381">
            <v>4</v>
          </cell>
          <cell r="L381">
            <v>4</v>
          </cell>
          <cell r="M381">
            <v>4</v>
          </cell>
          <cell r="N381">
            <v>2</v>
          </cell>
          <cell r="O381">
            <v>2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</row>
        <row r="382">
          <cell r="A382" t="str">
            <v>J75409</v>
          </cell>
          <cell r="B382">
            <v>5</v>
          </cell>
          <cell r="C382">
            <v>2</v>
          </cell>
          <cell r="D382">
            <v>2</v>
          </cell>
          <cell r="E382">
            <v>3</v>
          </cell>
          <cell r="F382">
            <v>5</v>
          </cell>
          <cell r="G382">
            <v>4</v>
          </cell>
          <cell r="H382">
            <v>0</v>
          </cell>
          <cell r="I382">
            <v>5</v>
          </cell>
          <cell r="J382">
            <v>2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2</v>
          </cell>
          <cell r="R382">
            <v>4</v>
          </cell>
          <cell r="S382">
            <v>3</v>
          </cell>
          <cell r="T382">
            <v>0</v>
          </cell>
          <cell r="U382">
            <v>2</v>
          </cell>
        </row>
        <row r="383">
          <cell r="A383" t="str">
            <v>J75416</v>
          </cell>
          <cell r="B383">
            <v>5</v>
          </cell>
          <cell r="C383">
            <v>2</v>
          </cell>
          <cell r="D383">
            <v>2</v>
          </cell>
          <cell r="E383">
            <v>3</v>
          </cell>
          <cell r="F383">
            <v>5</v>
          </cell>
          <cell r="G383">
            <v>4</v>
          </cell>
          <cell r="H383">
            <v>4</v>
          </cell>
          <cell r="I383">
            <v>5</v>
          </cell>
          <cell r="J383">
            <v>2</v>
          </cell>
          <cell r="K383">
            <v>4</v>
          </cell>
          <cell r="L383">
            <v>4</v>
          </cell>
          <cell r="M383">
            <v>4</v>
          </cell>
          <cell r="N383">
            <v>2</v>
          </cell>
          <cell r="O383">
            <v>2</v>
          </cell>
          <cell r="P383">
            <v>0</v>
          </cell>
          <cell r="Q383">
            <v>2</v>
          </cell>
          <cell r="R383">
            <v>4</v>
          </cell>
          <cell r="S383">
            <v>3</v>
          </cell>
          <cell r="T383">
            <v>0</v>
          </cell>
          <cell r="U383">
            <v>2</v>
          </cell>
        </row>
        <row r="384">
          <cell r="A384" t="str">
            <v>J75417</v>
          </cell>
          <cell r="B384">
            <v>2</v>
          </cell>
          <cell r="C384">
            <v>1</v>
          </cell>
          <cell r="D384">
            <v>1</v>
          </cell>
          <cell r="E384">
            <v>1</v>
          </cell>
          <cell r="F384">
            <v>2</v>
          </cell>
          <cell r="G384">
            <v>2</v>
          </cell>
          <cell r="H384">
            <v>4</v>
          </cell>
          <cell r="I384">
            <v>2</v>
          </cell>
          <cell r="J384">
            <v>1</v>
          </cell>
          <cell r="K384">
            <v>4</v>
          </cell>
          <cell r="L384">
            <v>3</v>
          </cell>
          <cell r="M384">
            <v>3</v>
          </cell>
          <cell r="N384">
            <v>1</v>
          </cell>
          <cell r="O384">
            <v>1</v>
          </cell>
          <cell r="P384">
            <v>0</v>
          </cell>
          <cell r="Q384">
            <v>1</v>
          </cell>
          <cell r="R384">
            <v>4</v>
          </cell>
          <cell r="S384">
            <v>2</v>
          </cell>
          <cell r="T384">
            <v>0</v>
          </cell>
          <cell r="U384">
            <v>1</v>
          </cell>
        </row>
        <row r="385">
          <cell r="A385" t="str">
            <v>J75421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</row>
        <row r="386">
          <cell r="A386" t="str">
            <v>J75422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</row>
        <row r="387">
          <cell r="A387" t="str">
            <v>J75423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4</v>
          </cell>
          <cell r="I387">
            <v>0</v>
          </cell>
          <cell r="J387">
            <v>0</v>
          </cell>
          <cell r="K387">
            <v>4</v>
          </cell>
          <cell r="L387">
            <v>3</v>
          </cell>
          <cell r="M387">
            <v>3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2</v>
          </cell>
          <cell r="U387">
            <v>0</v>
          </cell>
        </row>
        <row r="388">
          <cell r="A388" t="str">
            <v>J75424</v>
          </cell>
          <cell r="B388">
            <v>2</v>
          </cell>
          <cell r="C388">
            <v>1</v>
          </cell>
          <cell r="D388">
            <v>1</v>
          </cell>
          <cell r="E388">
            <v>1</v>
          </cell>
          <cell r="F388">
            <v>2</v>
          </cell>
          <cell r="G388">
            <v>2</v>
          </cell>
          <cell r="H388">
            <v>4</v>
          </cell>
          <cell r="I388">
            <v>2</v>
          </cell>
          <cell r="J388">
            <v>1</v>
          </cell>
          <cell r="K388">
            <v>4</v>
          </cell>
          <cell r="L388">
            <v>3</v>
          </cell>
          <cell r="M388">
            <v>3</v>
          </cell>
          <cell r="N388">
            <v>1</v>
          </cell>
          <cell r="O388">
            <v>1</v>
          </cell>
          <cell r="P388">
            <v>0</v>
          </cell>
          <cell r="Q388">
            <v>1</v>
          </cell>
          <cell r="R388">
            <v>4</v>
          </cell>
          <cell r="S388">
            <v>2</v>
          </cell>
          <cell r="T388">
            <v>0</v>
          </cell>
          <cell r="U388">
            <v>1</v>
          </cell>
        </row>
        <row r="389">
          <cell r="A389" t="str">
            <v>J75432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4</v>
          </cell>
          <cell r="I389">
            <v>0</v>
          </cell>
          <cell r="J389">
            <v>0</v>
          </cell>
          <cell r="K389">
            <v>4</v>
          </cell>
          <cell r="L389">
            <v>4</v>
          </cell>
          <cell r="M389">
            <v>4</v>
          </cell>
          <cell r="N389">
            <v>2</v>
          </cell>
          <cell r="O389">
            <v>2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</row>
        <row r="390">
          <cell r="A390" t="str">
            <v>J75433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4</v>
          </cell>
          <cell r="I390">
            <v>0</v>
          </cell>
          <cell r="J390">
            <v>0</v>
          </cell>
          <cell r="K390">
            <v>4</v>
          </cell>
          <cell r="L390">
            <v>4</v>
          </cell>
          <cell r="M390">
            <v>4</v>
          </cell>
          <cell r="N390">
            <v>2</v>
          </cell>
          <cell r="O390">
            <v>2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</row>
        <row r="391">
          <cell r="A391" t="str">
            <v>J75434</v>
          </cell>
          <cell r="B391">
            <v>5</v>
          </cell>
          <cell r="C391">
            <v>2</v>
          </cell>
          <cell r="D391">
            <v>2</v>
          </cell>
          <cell r="E391">
            <v>3</v>
          </cell>
          <cell r="F391">
            <v>5</v>
          </cell>
          <cell r="G391">
            <v>4</v>
          </cell>
          <cell r="H391">
            <v>4</v>
          </cell>
          <cell r="I391">
            <v>5</v>
          </cell>
          <cell r="J391">
            <v>2</v>
          </cell>
          <cell r="K391">
            <v>4</v>
          </cell>
          <cell r="L391">
            <v>4</v>
          </cell>
          <cell r="M391">
            <v>4</v>
          </cell>
          <cell r="N391">
            <v>2</v>
          </cell>
          <cell r="O391">
            <v>2</v>
          </cell>
          <cell r="P391">
            <v>0</v>
          </cell>
          <cell r="Q391">
            <v>2</v>
          </cell>
          <cell r="R391">
            <v>4</v>
          </cell>
          <cell r="S391">
            <v>3</v>
          </cell>
          <cell r="T391">
            <v>0</v>
          </cell>
          <cell r="U391">
            <v>2</v>
          </cell>
        </row>
        <row r="392">
          <cell r="A392" t="str">
            <v>J75436</v>
          </cell>
          <cell r="B392">
            <v>5</v>
          </cell>
          <cell r="C392">
            <v>4</v>
          </cell>
          <cell r="D392">
            <v>4</v>
          </cell>
          <cell r="E392">
            <v>4</v>
          </cell>
          <cell r="F392">
            <v>5</v>
          </cell>
          <cell r="G392">
            <v>4</v>
          </cell>
          <cell r="H392">
            <v>4</v>
          </cell>
          <cell r="I392">
            <v>5</v>
          </cell>
          <cell r="J392">
            <v>4</v>
          </cell>
          <cell r="K392">
            <v>4</v>
          </cell>
          <cell r="L392">
            <v>4</v>
          </cell>
          <cell r="M392">
            <v>4</v>
          </cell>
          <cell r="N392">
            <v>4</v>
          </cell>
          <cell r="O392">
            <v>4</v>
          </cell>
          <cell r="P392">
            <v>2</v>
          </cell>
          <cell r="Q392">
            <v>2</v>
          </cell>
          <cell r="R392">
            <v>4</v>
          </cell>
          <cell r="S392">
            <v>3</v>
          </cell>
          <cell r="T392">
            <v>2</v>
          </cell>
          <cell r="U392">
            <v>4</v>
          </cell>
        </row>
        <row r="393">
          <cell r="A393" t="str">
            <v>J75437</v>
          </cell>
          <cell r="B393">
            <v>5</v>
          </cell>
          <cell r="C393">
            <v>2</v>
          </cell>
          <cell r="D393">
            <v>2</v>
          </cell>
          <cell r="E393">
            <v>3</v>
          </cell>
          <cell r="F393">
            <v>5</v>
          </cell>
          <cell r="G393">
            <v>4</v>
          </cell>
          <cell r="H393">
            <v>4</v>
          </cell>
          <cell r="I393">
            <v>5</v>
          </cell>
          <cell r="J393">
            <v>2</v>
          </cell>
          <cell r="K393">
            <v>4</v>
          </cell>
          <cell r="L393">
            <v>4</v>
          </cell>
          <cell r="M393">
            <v>4</v>
          </cell>
          <cell r="N393">
            <v>2</v>
          </cell>
          <cell r="O393">
            <v>2</v>
          </cell>
          <cell r="P393">
            <v>2</v>
          </cell>
          <cell r="Q393">
            <v>2</v>
          </cell>
          <cell r="R393">
            <v>4</v>
          </cell>
          <cell r="S393">
            <v>3</v>
          </cell>
          <cell r="T393">
            <v>2</v>
          </cell>
          <cell r="U393">
            <v>2</v>
          </cell>
        </row>
        <row r="394">
          <cell r="A394" t="str">
            <v>J75438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2</v>
          </cell>
          <cell r="Q394">
            <v>2</v>
          </cell>
          <cell r="R394">
            <v>4</v>
          </cell>
          <cell r="S394">
            <v>3</v>
          </cell>
          <cell r="T394">
            <v>2</v>
          </cell>
          <cell r="U394">
            <v>0</v>
          </cell>
        </row>
        <row r="395">
          <cell r="A395" t="str">
            <v>J75503</v>
          </cell>
          <cell r="B395">
            <v>2</v>
          </cell>
          <cell r="C395">
            <v>2</v>
          </cell>
          <cell r="D395">
            <v>2</v>
          </cell>
          <cell r="E395">
            <v>2</v>
          </cell>
          <cell r="F395">
            <v>2</v>
          </cell>
          <cell r="G395">
            <v>2</v>
          </cell>
          <cell r="H395">
            <v>2</v>
          </cell>
          <cell r="I395">
            <v>2</v>
          </cell>
          <cell r="J395">
            <v>2</v>
          </cell>
          <cell r="K395">
            <v>2</v>
          </cell>
          <cell r="L395">
            <v>2</v>
          </cell>
          <cell r="M395">
            <v>2</v>
          </cell>
          <cell r="N395">
            <v>2</v>
          </cell>
          <cell r="O395">
            <v>2</v>
          </cell>
          <cell r="P395">
            <v>0</v>
          </cell>
          <cell r="Q395">
            <v>2</v>
          </cell>
          <cell r="R395">
            <v>2</v>
          </cell>
          <cell r="S395">
            <v>2</v>
          </cell>
          <cell r="T395">
            <v>0</v>
          </cell>
          <cell r="U395">
            <v>2</v>
          </cell>
        </row>
        <row r="396">
          <cell r="A396" t="str">
            <v>J75504</v>
          </cell>
          <cell r="B396">
            <v>3</v>
          </cell>
          <cell r="C396">
            <v>3</v>
          </cell>
          <cell r="D396">
            <v>3</v>
          </cell>
          <cell r="E396">
            <v>3</v>
          </cell>
          <cell r="F396">
            <v>3</v>
          </cell>
          <cell r="G396">
            <v>3</v>
          </cell>
          <cell r="H396">
            <v>3</v>
          </cell>
          <cell r="I396">
            <v>3</v>
          </cell>
          <cell r="J396">
            <v>3</v>
          </cell>
          <cell r="K396">
            <v>3</v>
          </cell>
          <cell r="L396">
            <v>3</v>
          </cell>
          <cell r="M396">
            <v>3</v>
          </cell>
          <cell r="N396">
            <v>3</v>
          </cell>
          <cell r="O396">
            <v>3</v>
          </cell>
          <cell r="P396">
            <v>0</v>
          </cell>
          <cell r="Q396">
            <v>3</v>
          </cell>
          <cell r="R396">
            <v>3</v>
          </cell>
          <cell r="S396">
            <v>3</v>
          </cell>
          <cell r="T396">
            <v>0</v>
          </cell>
          <cell r="U396">
            <v>3</v>
          </cell>
        </row>
        <row r="397">
          <cell r="A397" t="str">
            <v>J84001</v>
          </cell>
          <cell r="B397">
            <v>9</v>
          </cell>
          <cell r="C397">
            <v>3</v>
          </cell>
          <cell r="D397">
            <v>3</v>
          </cell>
          <cell r="E397">
            <v>5</v>
          </cell>
          <cell r="F397">
            <v>9</v>
          </cell>
          <cell r="G397">
            <v>6</v>
          </cell>
          <cell r="H397">
            <v>8</v>
          </cell>
          <cell r="I397">
            <v>9</v>
          </cell>
          <cell r="J397">
            <v>2</v>
          </cell>
          <cell r="K397">
            <v>9</v>
          </cell>
          <cell r="L397">
            <v>7</v>
          </cell>
          <cell r="M397">
            <v>7</v>
          </cell>
          <cell r="N397">
            <v>3</v>
          </cell>
          <cell r="O397">
            <v>2</v>
          </cell>
          <cell r="P397">
            <v>0</v>
          </cell>
          <cell r="Q397">
            <v>3</v>
          </cell>
          <cell r="R397">
            <v>8</v>
          </cell>
          <cell r="S397">
            <v>5</v>
          </cell>
          <cell r="T397">
            <v>0</v>
          </cell>
          <cell r="U397">
            <v>2</v>
          </cell>
        </row>
        <row r="398">
          <cell r="A398" t="str">
            <v>J84002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</row>
        <row r="399">
          <cell r="A399" t="str">
            <v>J84003</v>
          </cell>
          <cell r="B399">
            <v>3</v>
          </cell>
          <cell r="C399">
            <v>3</v>
          </cell>
          <cell r="D399">
            <v>3</v>
          </cell>
          <cell r="E399">
            <v>3</v>
          </cell>
          <cell r="F399">
            <v>3</v>
          </cell>
          <cell r="G399">
            <v>3</v>
          </cell>
          <cell r="H399">
            <v>3</v>
          </cell>
          <cell r="I399">
            <v>3</v>
          </cell>
          <cell r="J399">
            <v>3</v>
          </cell>
          <cell r="K399">
            <v>3</v>
          </cell>
          <cell r="L399">
            <v>3</v>
          </cell>
          <cell r="M399">
            <v>3</v>
          </cell>
          <cell r="N399">
            <v>3</v>
          </cell>
          <cell r="O399">
            <v>3</v>
          </cell>
          <cell r="P399">
            <v>0</v>
          </cell>
          <cell r="Q399">
            <v>3</v>
          </cell>
          <cell r="R399">
            <v>3</v>
          </cell>
          <cell r="S399">
            <v>3</v>
          </cell>
          <cell r="T399">
            <v>0</v>
          </cell>
          <cell r="U399">
            <v>3</v>
          </cell>
        </row>
        <row r="400">
          <cell r="A400" t="str">
            <v>J84004</v>
          </cell>
          <cell r="B400">
            <v>2</v>
          </cell>
          <cell r="C400">
            <v>2</v>
          </cell>
          <cell r="D400">
            <v>2</v>
          </cell>
          <cell r="E400">
            <v>2</v>
          </cell>
          <cell r="F400">
            <v>2</v>
          </cell>
          <cell r="G400">
            <v>2</v>
          </cell>
          <cell r="H400">
            <v>2</v>
          </cell>
          <cell r="I400">
            <v>2</v>
          </cell>
          <cell r="J400">
            <v>2</v>
          </cell>
          <cell r="K400">
            <v>2</v>
          </cell>
          <cell r="L400">
            <v>2</v>
          </cell>
          <cell r="M400">
            <v>2</v>
          </cell>
          <cell r="N400">
            <v>2</v>
          </cell>
          <cell r="O400">
            <v>2</v>
          </cell>
          <cell r="P400">
            <v>0</v>
          </cell>
          <cell r="Q400">
            <v>2</v>
          </cell>
          <cell r="R400">
            <v>2</v>
          </cell>
          <cell r="S400">
            <v>2</v>
          </cell>
          <cell r="T400">
            <v>0</v>
          </cell>
          <cell r="U400">
            <v>2</v>
          </cell>
        </row>
        <row r="401">
          <cell r="A401" t="str">
            <v>J84005</v>
          </cell>
          <cell r="B401">
            <v>1</v>
          </cell>
          <cell r="C401">
            <v>1</v>
          </cell>
          <cell r="D401">
            <v>1</v>
          </cell>
          <cell r="E401">
            <v>1</v>
          </cell>
          <cell r="F401">
            <v>1</v>
          </cell>
          <cell r="G401">
            <v>1</v>
          </cell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1</v>
          </cell>
          <cell r="M401">
            <v>1</v>
          </cell>
          <cell r="N401">
            <v>1</v>
          </cell>
          <cell r="O401">
            <v>1</v>
          </cell>
          <cell r="P401">
            <v>0</v>
          </cell>
          <cell r="Q401">
            <v>1</v>
          </cell>
          <cell r="R401">
            <v>1</v>
          </cell>
          <cell r="S401">
            <v>1</v>
          </cell>
          <cell r="T401">
            <v>0</v>
          </cell>
          <cell r="U401">
            <v>1</v>
          </cell>
        </row>
        <row r="402">
          <cell r="A402" t="str">
            <v>J84006</v>
          </cell>
          <cell r="B402">
            <v>2</v>
          </cell>
          <cell r="C402">
            <v>2</v>
          </cell>
          <cell r="D402">
            <v>2</v>
          </cell>
          <cell r="E402">
            <v>2</v>
          </cell>
          <cell r="F402">
            <v>2</v>
          </cell>
          <cell r="G402">
            <v>2</v>
          </cell>
          <cell r="H402">
            <v>2</v>
          </cell>
          <cell r="I402">
            <v>2</v>
          </cell>
          <cell r="J402">
            <v>2</v>
          </cell>
          <cell r="K402">
            <v>2</v>
          </cell>
          <cell r="L402">
            <v>2</v>
          </cell>
          <cell r="M402">
            <v>2</v>
          </cell>
          <cell r="N402">
            <v>2</v>
          </cell>
          <cell r="O402">
            <v>2</v>
          </cell>
          <cell r="P402">
            <v>0</v>
          </cell>
          <cell r="Q402">
            <v>2</v>
          </cell>
          <cell r="R402">
            <v>2</v>
          </cell>
          <cell r="S402">
            <v>2</v>
          </cell>
          <cell r="T402">
            <v>0</v>
          </cell>
          <cell r="U402">
            <v>2</v>
          </cell>
        </row>
        <row r="403">
          <cell r="A403" t="str">
            <v>J84014</v>
          </cell>
          <cell r="B403">
            <v>3</v>
          </cell>
          <cell r="C403">
            <v>3</v>
          </cell>
          <cell r="D403">
            <v>3</v>
          </cell>
          <cell r="E403">
            <v>3</v>
          </cell>
          <cell r="F403">
            <v>3</v>
          </cell>
          <cell r="G403">
            <v>3</v>
          </cell>
          <cell r="H403">
            <v>3</v>
          </cell>
          <cell r="I403">
            <v>3</v>
          </cell>
          <cell r="J403">
            <v>3</v>
          </cell>
          <cell r="K403">
            <v>3</v>
          </cell>
          <cell r="L403">
            <v>3</v>
          </cell>
          <cell r="M403">
            <v>3</v>
          </cell>
          <cell r="N403">
            <v>3</v>
          </cell>
          <cell r="O403">
            <v>3</v>
          </cell>
          <cell r="P403">
            <v>0</v>
          </cell>
          <cell r="Q403">
            <v>3</v>
          </cell>
          <cell r="R403">
            <v>3</v>
          </cell>
          <cell r="S403">
            <v>3</v>
          </cell>
          <cell r="T403">
            <v>0</v>
          </cell>
          <cell r="U403">
            <v>3</v>
          </cell>
        </row>
        <row r="404">
          <cell r="A404" t="str">
            <v>J84016</v>
          </cell>
          <cell r="B404">
            <v>2</v>
          </cell>
          <cell r="C404">
            <v>2</v>
          </cell>
          <cell r="D404">
            <v>2</v>
          </cell>
          <cell r="E404">
            <v>2</v>
          </cell>
          <cell r="F404">
            <v>2</v>
          </cell>
          <cell r="G404">
            <v>2</v>
          </cell>
          <cell r="H404">
            <v>2</v>
          </cell>
          <cell r="I404">
            <v>2</v>
          </cell>
          <cell r="J404">
            <v>2</v>
          </cell>
          <cell r="K404">
            <v>2</v>
          </cell>
          <cell r="L404">
            <v>2</v>
          </cell>
          <cell r="M404">
            <v>2</v>
          </cell>
          <cell r="N404">
            <v>2</v>
          </cell>
          <cell r="O404">
            <v>2</v>
          </cell>
          <cell r="P404">
            <v>0</v>
          </cell>
          <cell r="Q404">
            <v>2</v>
          </cell>
          <cell r="R404">
            <v>2</v>
          </cell>
          <cell r="S404">
            <v>2</v>
          </cell>
          <cell r="T404">
            <v>0</v>
          </cell>
          <cell r="U404">
            <v>2</v>
          </cell>
        </row>
        <row r="405">
          <cell r="A405" t="str">
            <v>J84020</v>
          </cell>
          <cell r="B405">
            <v>24</v>
          </cell>
          <cell r="C405">
            <v>6</v>
          </cell>
          <cell r="D405">
            <v>6</v>
          </cell>
          <cell r="E405">
            <v>12</v>
          </cell>
          <cell r="F405">
            <v>24</v>
          </cell>
          <cell r="G405">
            <v>14</v>
          </cell>
          <cell r="H405">
            <v>19</v>
          </cell>
          <cell r="I405">
            <v>24</v>
          </cell>
          <cell r="J405">
            <v>6</v>
          </cell>
          <cell r="K405">
            <v>23</v>
          </cell>
          <cell r="L405">
            <v>16</v>
          </cell>
          <cell r="M405">
            <v>16</v>
          </cell>
          <cell r="N405">
            <v>6</v>
          </cell>
          <cell r="O405">
            <v>6</v>
          </cell>
          <cell r="P405">
            <v>0</v>
          </cell>
          <cell r="Q405">
            <v>6</v>
          </cell>
          <cell r="R405">
            <v>21</v>
          </cell>
          <cell r="S405">
            <v>10</v>
          </cell>
          <cell r="T405">
            <v>0</v>
          </cell>
          <cell r="U405">
            <v>6</v>
          </cell>
        </row>
        <row r="406">
          <cell r="A406" t="str">
            <v>J84021</v>
          </cell>
          <cell r="B406">
            <v>2</v>
          </cell>
          <cell r="C406">
            <v>2</v>
          </cell>
          <cell r="D406">
            <v>2</v>
          </cell>
          <cell r="E406">
            <v>2</v>
          </cell>
          <cell r="F406">
            <v>2</v>
          </cell>
          <cell r="G406">
            <v>2</v>
          </cell>
          <cell r="H406">
            <v>2</v>
          </cell>
          <cell r="I406">
            <v>2</v>
          </cell>
          <cell r="J406">
            <v>2</v>
          </cell>
          <cell r="K406">
            <v>2</v>
          </cell>
          <cell r="L406">
            <v>2</v>
          </cell>
          <cell r="M406">
            <v>2</v>
          </cell>
          <cell r="N406">
            <v>2</v>
          </cell>
          <cell r="O406">
            <v>2</v>
          </cell>
          <cell r="P406">
            <v>0</v>
          </cell>
          <cell r="Q406">
            <v>2</v>
          </cell>
          <cell r="R406">
            <v>2</v>
          </cell>
          <cell r="S406">
            <v>2</v>
          </cell>
          <cell r="T406">
            <v>0</v>
          </cell>
          <cell r="U406">
            <v>2</v>
          </cell>
        </row>
        <row r="407">
          <cell r="A407" t="str">
            <v>J84024</v>
          </cell>
          <cell r="B407">
            <v>14</v>
          </cell>
          <cell r="C407">
            <v>10</v>
          </cell>
          <cell r="D407">
            <v>10</v>
          </cell>
          <cell r="E407">
            <v>11</v>
          </cell>
          <cell r="F407">
            <v>14</v>
          </cell>
          <cell r="G407">
            <v>12</v>
          </cell>
          <cell r="H407">
            <v>13</v>
          </cell>
          <cell r="I407">
            <v>14</v>
          </cell>
          <cell r="J407">
            <v>10</v>
          </cell>
          <cell r="K407">
            <v>14</v>
          </cell>
          <cell r="L407">
            <v>12</v>
          </cell>
          <cell r="M407">
            <v>4</v>
          </cell>
          <cell r="N407">
            <v>10</v>
          </cell>
          <cell r="O407">
            <v>10</v>
          </cell>
          <cell r="P407">
            <v>0</v>
          </cell>
          <cell r="Q407">
            <v>10</v>
          </cell>
          <cell r="R407">
            <v>14</v>
          </cell>
          <cell r="S407">
            <v>11</v>
          </cell>
          <cell r="T407">
            <v>0</v>
          </cell>
          <cell r="U407">
            <v>10</v>
          </cell>
        </row>
        <row r="408">
          <cell r="A408" t="str">
            <v>J84030</v>
          </cell>
          <cell r="B408">
            <v>2</v>
          </cell>
          <cell r="C408">
            <v>2</v>
          </cell>
          <cell r="D408">
            <v>2</v>
          </cell>
          <cell r="E408">
            <v>2</v>
          </cell>
          <cell r="F408">
            <v>2</v>
          </cell>
          <cell r="G408">
            <v>2</v>
          </cell>
          <cell r="H408">
            <v>2</v>
          </cell>
          <cell r="I408">
            <v>2</v>
          </cell>
          <cell r="J408">
            <v>2</v>
          </cell>
          <cell r="K408">
            <v>2</v>
          </cell>
          <cell r="L408">
            <v>2</v>
          </cell>
          <cell r="M408">
            <v>2</v>
          </cell>
          <cell r="N408">
            <v>2</v>
          </cell>
          <cell r="O408">
            <v>2</v>
          </cell>
          <cell r="P408">
            <v>0</v>
          </cell>
          <cell r="Q408">
            <v>2</v>
          </cell>
          <cell r="R408">
            <v>2</v>
          </cell>
          <cell r="S408">
            <v>2</v>
          </cell>
          <cell r="T408">
            <v>0</v>
          </cell>
          <cell r="U408">
            <v>2</v>
          </cell>
        </row>
        <row r="409">
          <cell r="A409" t="str">
            <v>J84031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</row>
        <row r="410">
          <cell r="A410" t="str">
            <v>J84032</v>
          </cell>
          <cell r="B410">
            <v>1</v>
          </cell>
          <cell r="C410">
            <v>1</v>
          </cell>
          <cell r="D410">
            <v>1</v>
          </cell>
          <cell r="E410">
            <v>1</v>
          </cell>
          <cell r="F410">
            <v>1</v>
          </cell>
          <cell r="G410">
            <v>1</v>
          </cell>
          <cell r="H410">
            <v>1</v>
          </cell>
          <cell r="I410">
            <v>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  <cell r="N410">
            <v>1</v>
          </cell>
          <cell r="O410">
            <v>1</v>
          </cell>
          <cell r="P410">
            <v>0</v>
          </cell>
          <cell r="Q410">
            <v>1</v>
          </cell>
          <cell r="R410">
            <v>1</v>
          </cell>
          <cell r="S410">
            <v>1</v>
          </cell>
          <cell r="T410">
            <v>0</v>
          </cell>
          <cell r="U410">
            <v>1</v>
          </cell>
        </row>
        <row r="411">
          <cell r="A411" t="str">
            <v>J84033</v>
          </cell>
          <cell r="B411">
            <v>5</v>
          </cell>
          <cell r="C411">
            <v>2</v>
          </cell>
          <cell r="D411">
            <v>2</v>
          </cell>
          <cell r="E411">
            <v>3</v>
          </cell>
          <cell r="F411">
            <v>5</v>
          </cell>
          <cell r="G411">
            <v>4</v>
          </cell>
          <cell r="H411">
            <v>5</v>
          </cell>
          <cell r="I411">
            <v>5</v>
          </cell>
          <cell r="J411">
            <v>2</v>
          </cell>
          <cell r="K411">
            <v>5</v>
          </cell>
          <cell r="L411">
            <v>4</v>
          </cell>
          <cell r="M411">
            <v>4</v>
          </cell>
          <cell r="N411">
            <v>2</v>
          </cell>
          <cell r="O411">
            <v>2</v>
          </cell>
          <cell r="P411">
            <v>2</v>
          </cell>
          <cell r="Q411">
            <v>2</v>
          </cell>
          <cell r="R411">
            <v>5</v>
          </cell>
          <cell r="S411">
            <v>3</v>
          </cell>
          <cell r="T411">
            <v>2</v>
          </cell>
          <cell r="U411">
            <v>2</v>
          </cell>
        </row>
        <row r="412">
          <cell r="A412" t="str">
            <v>J84034</v>
          </cell>
          <cell r="B412">
            <v>2</v>
          </cell>
          <cell r="C412">
            <v>2</v>
          </cell>
          <cell r="D412">
            <v>2</v>
          </cell>
          <cell r="E412">
            <v>1</v>
          </cell>
          <cell r="F412">
            <v>2</v>
          </cell>
          <cell r="G412">
            <v>1</v>
          </cell>
          <cell r="H412">
            <v>2</v>
          </cell>
          <cell r="I412">
            <v>2</v>
          </cell>
          <cell r="J412">
            <v>2</v>
          </cell>
          <cell r="K412">
            <v>2</v>
          </cell>
          <cell r="L412">
            <v>2</v>
          </cell>
          <cell r="M412">
            <v>1</v>
          </cell>
          <cell r="N412">
            <v>2</v>
          </cell>
          <cell r="O412">
            <v>1</v>
          </cell>
          <cell r="P412">
            <v>0</v>
          </cell>
          <cell r="Q412">
            <v>2</v>
          </cell>
          <cell r="R412">
            <v>2</v>
          </cell>
          <cell r="S412">
            <v>2</v>
          </cell>
          <cell r="T412">
            <v>0</v>
          </cell>
          <cell r="U412">
            <v>1</v>
          </cell>
        </row>
        <row r="413">
          <cell r="A413" t="str">
            <v>J84035</v>
          </cell>
          <cell r="B413">
            <v>1</v>
          </cell>
          <cell r="C413">
            <v>1</v>
          </cell>
          <cell r="D413">
            <v>1</v>
          </cell>
          <cell r="E413">
            <v>1</v>
          </cell>
          <cell r="F413">
            <v>1</v>
          </cell>
          <cell r="G413">
            <v>1</v>
          </cell>
          <cell r="H413">
            <v>1</v>
          </cell>
          <cell r="I413">
            <v>1</v>
          </cell>
          <cell r="J413">
            <v>1</v>
          </cell>
          <cell r="K413">
            <v>1</v>
          </cell>
          <cell r="L413">
            <v>1</v>
          </cell>
          <cell r="M413">
            <v>1</v>
          </cell>
          <cell r="N413">
            <v>1</v>
          </cell>
          <cell r="O413">
            <v>1</v>
          </cell>
          <cell r="P413">
            <v>0</v>
          </cell>
          <cell r="Q413">
            <v>1</v>
          </cell>
          <cell r="R413">
            <v>1</v>
          </cell>
          <cell r="S413">
            <v>1</v>
          </cell>
          <cell r="T413">
            <v>0</v>
          </cell>
          <cell r="U413">
            <v>1</v>
          </cell>
        </row>
        <row r="414">
          <cell r="A414" t="str">
            <v>J84036</v>
          </cell>
          <cell r="B414">
            <v>1</v>
          </cell>
          <cell r="C414">
            <v>1</v>
          </cell>
          <cell r="D414">
            <v>1</v>
          </cell>
          <cell r="E414">
            <v>1</v>
          </cell>
          <cell r="F414">
            <v>1</v>
          </cell>
          <cell r="G414">
            <v>1</v>
          </cell>
          <cell r="H414">
            <v>1</v>
          </cell>
          <cell r="I414">
            <v>1</v>
          </cell>
          <cell r="J414">
            <v>1</v>
          </cell>
          <cell r="K414">
            <v>1</v>
          </cell>
          <cell r="L414">
            <v>1</v>
          </cell>
          <cell r="M414">
            <v>1</v>
          </cell>
          <cell r="N414">
            <v>1</v>
          </cell>
          <cell r="O414">
            <v>1</v>
          </cell>
          <cell r="P414">
            <v>0</v>
          </cell>
          <cell r="Q414">
            <v>1</v>
          </cell>
          <cell r="R414">
            <v>1</v>
          </cell>
          <cell r="S414">
            <v>1</v>
          </cell>
          <cell r="T414">
            <v>0</v>
          </cell>
          <cell r="U414">
            <v>1</v>
          </cell>
        </row>
        <row r="415">
          <cell r="A415" t="str">
            <v>J84037</v>
          </cell>
          <cell r="B415">
            <v>2</v>
          </cell>
          <cell r="C415">
            <v>2</v>
          </cell>
          <cell r="D415">
            <v>2</v>
          </cell>
          <cell r="E415">
            <v>2</v>
          </cell>
          <cell r="F415">
            <v>2</v>
          </cell>
          <cell r="G415">
            <v>2</v>
          </cell>
          <cell r="H415">
            <v>2</v>
          </cell>
          <cell r="I415">
            <v>2</v>
          </cell>
          <cell r="J415">
            <v>2</v>
          </cell>
          <cell r="K415">
            <v>2</v>
          </cell>
          <cell r="L415">
            <v>2</v>
          </cell>
          <cell r="M415">
            <v>2</v>
          </cell>
          <cell r="N415">
            <v>2</v>
          </cell>
          <cell r="O415">
            <v>2</v>
          </cell>
          <cell r="P415">
            <v>0</v>
          </cell>
          <cell r="Q415">
            <v>2</v>
          </cell>
          <cell r="R415">
            <v>2</v>
          </cell>
          <cell r="S415">
            <v>2</v>
          </cell>
          <cell r="T415">
            <v>0</v>
          </cell>
          <cell r="U415">
            <v>2</v>
          </cell>
        </row>
        <row r="416">
          <cell r="A416" t="str">
            <v>J84038</v>
          </cell>
          <cell r="B416">
            <v>9</v>
          </cell>
          <cell r="C416">
            <v>3</v>
          </cell>
          <cell r="D416">
            <v>3</v>
          </cell>
          <cell r="E416">
            <v>5</v>
          </cell>
          <cell r="F416">
            <v>9</v>
          </cell>
          <cell r="G416">
            <v>6</v>
          </cell>
          <cell r="H416">
            <v>8</v>
          </cell>
          <cell r="I416">
            <v>9</v>
          </cell>
          <cell r="J416">
            <v>2</v>
          </cell>
          <cell r="K416">
            <v>9</v>
          </cell>
          <cell r="L416">
            <v>7</v>
          </cell>
          <cell r="M416">
            <v>7</v>
          </cell>
          <cell r="N416">
            <v>3</v>
          </cell>
          <cell r="O416">
            <v>2</v>
          </cell>
          <cell r="P416">
            <v>0</v>
          </cell>
          <cell r="Q416">
            <v>3</v>
          </cell>
          <cell r="R416">
            <v>8</v>
          </cell>
          <cell r="S416">
            <v>5</v>
          </cell>
          <cell r="T416">
            <v>0</v>
          </cell>
          <cell r="U416">
            <v>2</v>
          </cell>
        </row>
        <row r="417">
          <cell r="A417" t="str">
            <v>J96001</v>
          </cell>
          <cell r="B417">
            <v>2</v>
          </cell>
          <cell r="C417">
            <v>2</v>
          </cell>
          <cell r="D417">
            <v>2</v>
          </cell>
          <cell r="E417">
            <v>2</v>
          </cell>
          <cell r="F417">
            <v>2</v>
          </cell>
          <cell r="G417">
            <v>2</v>
          </cell>
          <cell r="H417">
            <v>2</v>
          </cell>
          <cell r="I417">
            <v>2</v>
          </cell>
          <cell r="J417">
            <v>2</v>
          </cell>
          <cell r="K417">
            <v>2</v>
          </cell>
          <cell r="L417">
            <v>2</v>
          </cell>
          <cell r="M417">
            <v>2</v>
          </cell>
          <cell r="N417">
            <v>2</v>
          </cell>
          <cell r="O417">
            <v>2</v>
          </cell>
          <cell r="P417">
            <v>0</v>
          </cell>
          <cell r="Q417">
            <v>2</v>
          </cell>
          <cell r="R417">
            <v>2</v>
          </cell>
          <cell r="S417">
            <v>2</v>
          </cell>
          <cell r="T417">
            <v>0</v>
          </cell>
          <cell r="U417">
            <v>2</v>
          </cell>
        </row>
        <row r="418">
          <cell r="A418" t="str">
            <v>J96005</v>
          </cell>
          <cell r="B418">
            <v>1</v>
          </cell>
          <cell r="C418">
            <v>1</v>
          </cell>
          <cell r="D418">
            <v>1</v>
          </cell>
          <cell r="E418">
            <v>1</v>
          </cell>
          <cell r="F418">
            <v>1</v>
          </cell>
          <cell r="G418">
            <v>1</v>
          </cell>
          <cell r="H418">
            <v>1</v>
          </cell>
          <cell r="I418">
            <v>1</v>
          </cell>
          <cell r="J418">
            <v>1</v>
          </cell>
          <cell r="K418">
            <v>1</v>
          </cell>
          <cell r="L418">
            <v>1</v>
          </cell>
          <cell r="M418">
            <v>1</v>
          </cell>
          <cell r="N418">
            <v>1</v>
          </cell>
          <cell r="O418">
            <v>1</v>
          </cell>
          <cell r="P418">
            <v>0</v>
          </cell>
          <cell r="Q418">
            <v>1</v>
          </cell>
          <cell r="R418">
            <v>1</v>
          </cell>
          <cell r="S418">
            <v>1</v>
          </cell>
          <cell r="T418">
            <v>0</v>
          </cell>
          <cell r="U418">
            <v>1</v>
          </cell>
        </row>
        <row r="419">
          <cell r="A419" t="str">
            <v>J96007</v>
          </cell>
          <cell r="B419">
            <v>1</v>
          </cell>
          <cell r="C419">
            <v>1</v>
          </cell>
          <cell r="D419">
            <v>1</v>
          </cell>
          <cell r="E419">
            <v>1</v>
          </cell>
          <cell r="F419">
            <v>1</v>
          </cell>
          <cell r="G419">
            <v>1</v>
          </cell>
          <cell r="H419">
            <v>1</v>
          </cell>
          <cell r="I419">
            <v>1</v>
          </cell>
          <cell r="J419">
            <v>1</v>
          </cell>
          <cell r="K419">
            <v>1</v>
          </cell>
          <cell r="L419">
            <v>1</v>
          </cell>
          <cell r="M419">
            <v>1</v>
          </cell>
          <cell r="N419">
            <v>1</v>
          </cell>
          <cell r="O419">
            <v>1</v>
          </cell>
          <cell r="P419">
            <v>0</v>
          </cell>
          <cell r="Q419">
            <v>1</v>
          </cell>
          <cell r="R419">
            <v>1</v>
          </cell>
          <cell r="S419">
            <v>1</v>
          </cell>
          <cell r="T419">
            <v>0</v>
          </cell>
          <cell r="U419">
            <v>1</v>
          </cell>
        </row>
        <row r="420">
          <cell r="A420" t="str">
            <v>J96008</v>
          </cell>
          <cell r="B420">
            <v>1</v>
          </cell>
          <cell r="C420">
            <v>1</v>
          </cell>
          <cell r="D420">
            <v>1</v>
          </cell>
          <cell r="E420">
            <v>1</v>
          </cell>
          <cell r="F420">
            <v>1</v>
          </cell>
          <cell r="G420">
            <v>1</v>
          </cell>
          <cell r="H420">
            <v>1</v>
          </cell>
          <cell r="I420">
            <v>1</v>
          </cell>
          <cell r="J420">
            <v>1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O420">
            <v>1</v>
          </cell>
          <cell r="P420">
            <v>0</v>
          </cell>
          <cell r="Q420">
            <v>1</v>
          </cell>
          <cell r="R420">
            <v>1</v>
          </cell>
          <cell r="S420">
            <v>1</v>
          </cell>
          <cell r="T420">
            <v>0</v>
          </cell>
          <cell r="U420">
            <v>1</v>
          </cell>
        </row>
        <row r="421">
          <cell r="A421" t="str">
            <v>J96009</v>
          </cell>
          <cell r="B421">
            <v>38</v>
          </cell>
          <cell r="C421">
            <v>11</v>
          </cell>
          <cell r="D421">
            <v>11</v>
          </cell>
          <cell r="E421">
            <v>20</v>
          </cell>
          <cell r="F421">
            <v>38</v>
          </cell>
          <cell r="G421">
            <v>23</v>
          </cell>
          <cell r="H421">
            <v>31</v>
          </cell>
          <cell r="I421">
            <v>38</v>
          </cell>
          <cell r="J421">
            <v>4</v>
          </cell>
          <cell r="K421">
            <v>37</v>
          </cell>
          <cell r="L421">
            <v>26</v>
          </cell>
          <cell r="M421">
            <v>26</v>
          </cell>
          <cell r="N421">
            <v>8</v>
          </cell>
          <cell r="O421">
            <v>7</v>
          </cell>
          <cell r="P421">
            <v>0</v>
          </cell>
          <cell r="Q421">
            <v>10</v>
          </cell>
          <cell r="R421">
            <v>34</v>
          </cell>
          <cell r="S421">
            <v>17</v>
          </cell>
          <cell r="T421">
            <v>0</v>
          </cell>
          <cell r="U421">
            <v>5</v>
          </cell>
        </row>
        <row r="422">
          <cell r="A422" t="str">
            <v>J96010</v>
          </cell>
          <cell r="B422">
            <v>2</v>
          </cell>
          <cell r="C422">
            <v>2</v>
          </cell>
          <cell r="D422">
            <v>2</v>
          </cell>
          <cell r="E422">
            <v>2</v>
          </cell>
          <cell r="F422">
            <v>2</v>
          </cell>
          <cell r="G422">
            <v>2</v>
          </cell>
          <cell r="H422">
            <v>2</v>
          </cell>
          <cell r="I422">
            <v>2</v>
          </cell>
          <cell r="J422">
            <v>2</v>
          </cell>
          <cell r="K422">
            <v>2</v>
          </cell>
          <cell r="L422">
            <v>2</v>
          </cell>
          <cell r="M422">
            <v>2</v>
          </cell>
          <cell r="N422">
            <v>2</v>
          </cell>
          <cell r="O422">
            <v>2</v>
          </cell>
          <cell r="P422">
            <v>0</v>
          </cell>
          <cell r="Q422">
            <v>2</v>
          </cell>
          <cell r="R422">
            <v>2</v>
          </cell>
          <cell r="S422">
            <v>2</v>
          </cell>
          <cell r="T422">
            <v>0</v>
          </cell>
          <cell r="U422">
            <v>2</v>
          </cell>
        </row>
        <row r="423">
          <cell r="A423" t="str">
            <v>J96012</v>
          </cell>
          <cell r="B423">
            <v>6</v>
          </cell>
          <cell r="C423">
            <v>2</v>
          </cell>
          <cell r="D423">
            <v>2</v>
          </cell>
          <cell r="E423">
            <v>3</v>
          </cell>
          <cell r="F423">
            <v>6</v>
          </cell>
          <cell r="G423">
            <v>4</v>
          </cell>
          <cell r="H423">
            <v>5</v>
          </cell>
          <cell r="I423">
            <v>6</v>
          </cell>
          <cell r="J423">
            <v>1</v>
          </cell>
          <cell r="K423">
            <v>6</v>
          </cell>
          <cell r="L423">
            <v>4</v>
          </cell>
          <cell r="M423">
            <v>4</v>
          </cell>
          <cell r="N423">
            <v>1</v>
          </cell>
          <cell r="O423">
            <v>1</v>
          </cell>
          <cell r="P423">
            <v>0</v>
          </cell>
          <cell r="Q423">
            <v>2</v>
          </cell>
          <cell r="R423">
            <v>6</v>
          </cell>
          <cell r="S423">
            <v>3</v>
          </cell>
          <cell r="T423">
            <v>0</v>
          </cell>
          <cell r="U423">
            <v>1</v>
          </cell>
        </row>
        <row r="424">
          <cell r="A424" t="str">
            <v>J96013</v>
          </cell>
          <cell r="B424">
            <v>6</v>
          </cell>
          <cell r="C424">
            <v>2</v>
          </cell>
          <cell r="D424">
            <v>2</v>
          </cell>
          <cell r="E424">
            <v>3</v>
          </cell>
          <cell r="F424">
            <v>6</v>
          </cell>
          <cell r="G424">
            <v>4</v>
          </cell>
          <cell r="H424">
            <v>5</v>
          </cell>
          <cell r="I424">
            <v>6</v>
          </cell>
          <cell r="J424">
            <v>1</v>
          </cell>
          <cell r="K424">
            <v>6</v>
          </cell>
          <cell r="L424">
            <v>4</v>
          </cell>
          <cell r="M424">
            <v>4</v>
          </cell>
          <cell r="N424">
            <v>1</v>
          </cell>
          <cell r="O424">
            <v>1</v>
          </cell>
          <cell r="P424">
            <v>0</v>
          </cell>
          <cell r="Q424">
            <v>2</v>
          </cell>
          <cell r="R424">
            <v>6</v>
          </cell>
          <cell r="S424">
            <v>3</v>
          </cell>
          <cell r="T424">
            <v>0</v>
          </cell>
          <cell r="U424">
            <v>1</v>
          </cell>
        </row>
        <row r="425">
          <cell r="A425" t="str">
            <v>J96015</v>
          </cell>
          <cell r="B425">
            <v>2</v>
          </cell>
          <cell r="C425">
            <v>2</v>
          </cell>
          <cell r="D425">
            <v>2</v>
          </cell>
          <cell r="E425">
            <v>2</v>
          </cell>
          <cell r="F425">
            <v>2</v>
          </cell>
          <cell r="G425">
            <v>2</v>
          </cell>
          <cell r="H425">
            <v>2</v>
          </cell>
          <cell r="I425">
            <v>2</v>
          </cell>
          <cell r="J425">
            <v>2</v>
          </cell>
          <cell r="K425">
            <v>2</v>
          </cell>
          <cell r="L425">
            <v>2</v>
          </cell>
          <cell r="M425">
            <v>2</v>
          </cell>
          <cell r="N425">
            <v>2</v>
          </cell>
          <cell r="O425">
            <v>2</v>
          </cell>
          <cell r="P425">
            <v>0</v>
          </cell>
          <cell r="Q425">
            <v>2</v>
          </cell>
          <cell r="R425">
            <v>2</v>
          </cell>
          <cell r="S425">
            <v>2</v>
          </cell>
          <cell r="T425">
            <v>0</v>
          </cell>
          <cell r="U425">
            <v>2</v>
          </cell>
        </row>
        <row r="426">
          <cell r="A426" t="str">
            <v>J96016</v>
          </cell>
          <cell r="B426">
            <v>2</v>
          </cell>
          <cell r="C426">
            <v>2</v>
          </cell>
          <cell r="D426">
            <v>2</v>
          </cell>
          <cell r="E426">
            <v>2</v>
          </cell>
          <cell r="F426">
            <v>2</v>
          </cell>
          <cell r="G426">
            <v>2</v>
          </cell>
          <cell r="H426">
            <v>2</v>
          </cell>
          <cell r="I426">
            <v>2</v>
          </cell>
          <cell r="J426">
            <v>2</v>
          </cell>
          <cell r="K426">
            <v>2</v>
          </cell>
          <cell r="L426">
            <v>2</v>
          </cell>
          <cell r="M426">
            <v>2</v>
          </cell>
          <cell r="N426">
            <v>2</v>
          </cell>
          <cell r="O426">
            <v>2</v>
          </cell>
          <cell r="P426">
            <v>0</v>
          </cell>
          <cell r="Q426">
            <v>2</v>
          </cell>
          <cell r="R426">
            <v>2</v>
          </cell>
          <cell r="S426">
            <v>2</v>
          </cell>
          <cell r="T426">
            <v>0</v>
          </cell>
          <cell r="U426">
            <v>2</v>
          </cell>
        </row>
        <row r="427">
          <cell r="A427" t="str">
            <v>J96017</v>
          </cell>
          <cell r="B427">
            <v>2</v>
          </cell>
          <cell r="C427">
            <v>2</v>
          </cell>
          <cell r="D427">
            <v>2</v>
          </cell>
          <cell r="E427">
            <v>1</v>
          </cell>
          <cell r="F427">
            <v>2</v>
          </cell>
          <cell r="G427">
            <v>1</v>
          </cell>
          <cell r="H427">
            <v>2</v>
          </cell>
          <cell r="I427">
            <v>2</v>
          </cell>
          <cell r="J427">
            <v>2</v>
          </cell>
          <cell r="K427">
            <v>2</v>
          </cell>
          <cell r="L427">
            <v>2</v>
          </cell>
          <cell r="M427">
            <v>1</v>
          </cell>
          <cell r="N427">
            <v>2</v>
          </cell>
          <cell r="O427">
            <v>1</v>
          </cell>
          <cell r="P427">
            <v>0</v>
          </cell>
          <cell r="Q427">
            <v>2</v>
          </cell>
          <cell r="R427">
            <v>2</v>
          </cell>
          <cell r="S427">
            <v>2</v>
          </cell>
          <cell r="T427">
            <v>0</v>
          </cell>
          <cell r="U427">
            <v>1</v>
          </cell>
        </row>
        <row r="428">
          <cell r="A428" t="str">
            <v>JBT02</v>
          </cell>
          <cell r="B428">
            <v>1</v>
          </cell>
          <cell r="C428">
            <v>1</v>
          </cell>
          <cell r="D428">
            <v>1</v>
          </cell>
          <cell r="E428">
            <v>1</v>
          </cell>
          <cell r="F428">
            <v>1</v>
          </cell>
          <cell r="G428">
            <v>1</v>
          </cell>
          <cell r="H428">
            <v>1</v>
          </cell>
          <cell r="I428">
            <v>1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0</v>
          </cell>
          <cell r="Q428">
            <v>1</v>
          </cell>
          <cell r="R428">
            <v>1</v>
          </cell>
          <cell r="S428">
            <v>1</v>
          </cell>
          <cell r="T428">
            <v>0</v>
          </cell>
          <cell r="U428">
            <v>1</v>
          </cell>
        </row>
        <row r="429">
          <cell r="A429" t="str">
            <v>JBT05</v>
          </cell>
          <cell r="B429">
            <v>2</v>
          </cell>
          <cell r="C429">
            <v>1</v>
          </cell>
          <cell r="D429">
            <v>1</v>
          </cell>
          <cell r="E429">
            <v>1</v>
          </cell>
          <cell r="F429">
            <v>2</v>
          </cell>
          <cell r="G429">
            <v>2</v>
          </cell>
          <cell r="H429">
            <v>2</v>
          </cell>
          <cell r="I429">
            <v>2</v>
          </cell>
          <cell r="J429">
            <v>1</v>
          </cell>
          <cell r="K429">
            <v>2</v>
          </cell>
          <cell r="L429">
            <v>2</v>
          </cell>
          <cell r="M429">
            <v>2</v>
          </cell>
          <cell r="N429">
            <v>1</v>
          </cell>
          <cell r="O429">
            <v>1</v>
          </cell>
          <cell r="P429">
            <v>0</v>
          </cell>
          <cell r="Q429">
            <v>1</v>
          </cell>
          <cell r="R429">
            <v>3</v>
          </cell>
          <cell r="S429">
            <v>1</v>
          </cell>
          <cell r="T429">
            <v>0</v>
          </cell>
          <cell r="U429">
            <v>1</v>
          </cell>
        </row>
        <row r="430">
          <cell r="A430" t="str">
            <v>JBT07</v>
          </cell>
          <cell r="B430">
            <v>2</v>
          </cell>
          <cell r="C430">
            <v>1</v>
          </cell>
          <cell r="D430">
            <v>1</v>
          </cell>
          <cell r="E430">
            <v>1</v>
          </cell>
          <cell r="F430">
            <v>2</v>
          </cell>
          <cell r="G430">
            <v>2</v>
          </cell>
          <cell r="H430">
            <v>2</v>
          </cell>
          <cell r="I430">
            <v>2</v>
          </cell>
          <cell r="J430">
            <v>1</v>
          </cell>
          <cell r="K430">
            <v>2</v>
          </cell>
          <cell r="L430">
            <v>2</v>
          </cell>
          <cell r="M430">
            <v>2</v>
          </cell>
          <cell r="N430">
            <v>1</v>
          </cell>
          <cell r="O430">
            <v>1</v>
          </cell>
          <cell r="P430">
            <v>0</v>
          </cell>
          <cell r="Q430">
            <v>1</v>
          </cell>
          <cell r="R430">
            <v>3</v>
          </cell>
          <cell r="S430">
            <v>1</v>
          </cell>
          <cell r="T430">
            <v>0</v>
          </cell>
          <cell r="U430">
            <v>1</v>
          </cell>
        </row>
        <row r="431">
          <cell r="A431" t="str">
            <v>JBT09</v>
          </cell>
          <cell r="B431">
            <v>2</v>
          </cell>
          <cell r="C431">
            <v>1</v>
          </cell>
          <cell r="D431">
            <v>1</v>
          </cell>
          <cell r="E431">
            <v>1</v>
          </cell>
          <cell r="F431">
            <v>2</v>
          </cell>
          <cell r="G431">
            <v>2</v>
          </cell>
          <cell r="H431">
            <v>2</v>
          </cell>
          <cell r="I431">
            <v>2</v>
          </cell>
          <cell r="J431">
            <v>1</v>
          </cell>
          <cell r="K431">
            <v>2</v>
          </cell>
          <cell r="L431">
            <v>2</v>
          </cell>
          <cell r="M431">
            <v>2</v>
          </cell>
          <cell r="N431">
            <v>1</v>
          </cell>
          <cell r="O431">
            <v>1</v>
          </cell>
          <cell r="P431">
            <v>0</v>
          </cell>
          <cell r="Q431">
            <v>1</v>
          </cell>
          <cell r="R431">
            <v>3</v>
          </cell>
          <cell r="S431">
            <v>1</v>
          </cell>
          <cell r="T431">
            <v>0</v>
          </cell>
          <cell r="U431">
            <v>1</v>
          </cell>
        </row>
        <row r="432">
          <cell r="A432" t="str">
            <v>JBT10</v>
          </cell>
          <cell r="B432">
            <v>1</v>
          </cell>
          <cell r="C432">
            <v>1</v>
          </cell>
          <cell r="D432">
            <v>1</v>
          </cell>
          <cell r="E432">
            <v>0</v>
          </cell>
          <cell r="F432">
            <v>1</v>
          </cell>
          <cell r="G432">
            <v>0</v>
          </cell>
          <cell r="H432">
            <v>1</v>
          </cell>
          <cell r="I432">
            <v>1</v>
          </cell>
          <cell r="J432">
            <v>1</v>
          </cell>
          <cell r="K432">
            <v>1</v>
          </cell>
          <cell r="L432">
            <v>1</v>
          </cell>
          <cell r="M432">
            <v>0</v>
          </cell>
          <cell r="N432">
            <v>1</v>
          </cell>
          <cell r="O432">
            <v>0</v>
          </cell>
          <cell r="P432">
            <v>0</v>
          </cell>
          <cell r="Q432">
            <v>1</v>
          </cell>
          <cell r="R432">
            <v>1</v>
          </cell>
          <cell r="S432">
            <v>1</v>
          </cell>
          <cell r="T432">
            <v>0</v>
          </cell>
          <cell r="U432">
            <v>0</v>
          </cell>
        </row>
        <row r="433">
          <cell r="A433" t="str">
            <v>JBT11</v>
          </cell>
          <cell r="B433">
            <v>2</v>
          </cell>
          <cell r="C433">
            <v>2</v>
          </cell>
          <cell r="D433">
            <v>2</v>
          </cell>
          <cell r="E433">
            <v>2</v>
          </cell>
          <cell r="F433">
            <v>2</v>
          </cell>
          <cell r="G433">
            <v>2</v>
          </cell>
          <cell r="H433">
            <v>2</v>
          </cell>
          <cell r="I433">
            <v>2</v>
          </cell>
          <cell r="J433">
            <v>2</v>
          </cell>
          <cell r="K433">
            <v>2</v>
          </cell>
          <cell r="L433">
            <v>2</v>
          </cell>
          <cell r="M433">
            <v>2</v>
          </cell>
          <cell r="N433">
            <v>2</v>
          </cell>
          <cell r="O433">
            <v>2</v>
          </cell>
          <cell r="P433">
            <v>1</v>
          </cell>
          <cell r="Q433">
            <v>2</v>
          </cell>
          <cell r="R433">
            <v>2</v>
          </cell>
          <cell r="S433">
            <v>2</v>
          </cell>
          <cell r="T433">
            <v>1</v>
          </cell>
          <cell r="U433">
            <v>2</v>
          </cell>
        </row>
        <row r="434">
          <cell r="A434" t="str">
            <v>JBT12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</row>
        <row r="435">
          <cell r="A435" t="str">
            <v>JBT13</v>
          </cell>
          <cell r="B435">
            <v>3</v>
          </cell>
          <cell r="C435">
            <v>2</v>
          </cell>
          <cell r="D435">
            <v>2</v>
          </cell>
          <cell r="E435">
            <v>2</v>
          </cell>
          <cell r="F435">
            <v>3</v>
          </cell>
          <cell r="G435">
            <v>2</v>
          </cell>
          <cell r="H435">
            <v>4</v>
          </cell>
          <cell r="I435">
            <v>3</v>
          </cell>
          <cell r="J435">
            <v>2</v>
          </cell>
          <cell r="K435">
            <v>4</v>
          </cell>
          <cell r="L435">
            <v>3</v>
          </cell>
          <cell r="M435">
            <v>3</v>
          </cell>
          <cell r="N435">
            <v>1</v>
          </cell>
          <cell r="O435">
            <v>1</v>
          </cell>
          <cell r="P435">
            <v>0</v>
          </cell>
          <cell r="Q435">
            <v>1</v>
          </cell>
          <cell r="R435">
            <v>4</v>
          </cell>
          <cell r="S435">
            <v>2</v>
          </cell>
          <cell r="T435">
            <v>0</v>
          </cell>
          <cell r="U435">
            <v>2</v>
          </cell>
        </row>
        <row r="436">
          <cell r="A436" t="str">
            <v>JBT14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</row>
        <row r="437">
          <cell r="A437" t="str">
            <v>JHT01</v>
          </cell>
          <cell r="B437">
            <v>4</v>
          </cell>
          <cell r="C437">
            <v>1</v>
          </cell>
          <cell r="D437">
            <v>1</v>
          </cell>
          <cell r="E437">
            <v>2</v>
          </cell>
          <cell r="F437">
            <v>4</v>
          </cell>
          <cell r="G437">
            <v>3</v>
          </cell>
          <cell r="H437">
            <v>4</v>
          </cell>
          <cell r="I437">
            <v>4</v>
          </cell>
          <cell r="J437">
            <v>1</v>
          </cell>
          <cell r="K437">
            <v>4</v>
          </cell>
          <cell r="L437">
            <v>3</v>
          </cell>
          <cell r="M437">
            <v>3</v>
          </cell>
          <cell r="N437">
            <v>1</v>
          </cell>
          <cell r="O437">
            <v>1</v>
          </cell>
          <cell r="P437">
            <v>0</v>
          </cell>
          <cell r="Q437">
            <v>1</v>
          </cell>
          <cell r="R437">
            <v>4</v>
          </cell>
          <cell r="S437">
            <v>2</v>
          </cell>
          <cell r="T437">
            <v>0</v>
          </cell>
          <cell r="U437">
            <v>1</v>
          </cell>
        </row>
        <row r="438">
          <cell r="A438" t="str">
            <v>JHT02</v>
          </cell>
          <cell r="B438">
            <v>5</v>
          </cell>
          <cell r="C438">
            <v>2</v>
          </cell>
          <cell r="D438">
            <v>2</v>
          </cell>
          <cell r="E438">
            <v>3</v>
          </cell>
          <cell r="F438">
            <v>5</v>
          </cell>
          <cell r="G438">
            <v>4</v>
          </cell>
          <cell r="H438">
            <v>4</v>
          </cell>
          <cell r="I438">
            <v>5</v>
          </cell>
          <cell r="J438">
            <v>2</v>
          </cell>
          <cell r="K438">
            <v>4</v>
          </cell>
          <cell r="L438">
            <v>4</v>
          </cell>
          <cell r="M438">
            <v>4</v>
          </cell>
          <cell r="N438">
            <v>2</v>
          </cell>
          <cell r="O438">
            <v>2</v>
          </cell>
          <cell r="P438">
            <v>0</v>
          </cell>
          <cell r="Q438">
            <v>2</v>
          </cell>
          <cell r="R438">
            <v>4</v>
          </cell>
          <cell r="S438">
            <v>3</v>
          </cell>
          <cell r="T438">
            <v>0</v>
          </cell>
          <cell r="U438">
            <v>2</v>
          </cell>
        </row>
        <row r="439">
          <cell r="A439" t="str">
            <v>JHT03</v>
          </cell>
          <cell r="B439">
            <v>4</v>
          </cell>
          <cell r="C439">
            <v>1</v>
          </cell>
          <cell r="D439">
            <v>1</v>
          </cell>
          <cell r="E439">
            <v>2</v>
          </cell>
          <cell r="F439">
            <v>4</v>
          </cell>
          <cell r="G439">
            <v>3</v>
          </cell>
          <cell r="H439">
            <v>4</v>
          </cell>
          <cell r="I439">
            <v>4</v>
          </cell>
          <cell r="J439">
            <v>1</v>
          </cell>
          <cell r="K439">
            <v>4</v>
          </cell>
          <cell r="L439">
            <v>3</v>
          </cell>
          <cell r="M439">
            <v>3</v>
          </cell>
          <cell r="N439">
            <v>1</v>
          </cell>
          <cell r="O439">
            <v>1</v>
          </cell>
          <cell r="P439">
            <v>0</v>
          </cell>
          <cell r="Q439">
            <v>1</v>
          </cell>
          <cell r="R439">
            <v>4</v>
          </cell>
          <cell r="S439">
            <v>2</v>
          </cell>
          <cell r="T439">
            <v>0</v>
          </cell>
          <cell r="U439">
            <v>1</v>
          </cell>
        </row>
        <row r="440">
          <cell r="A440" t="str">
            <v>JHT04</v>
          </cell>
          <cell r="B440">
            <v>2</v>
          </cell>
          <cell r="C440">
            <v>1</v>
          </cell>
          <cell r="D440">
            <v>1</v>
          </cell>
          <cell r="E440">
            <v>1</v>
          </cell>
          <cell r="F440">
            <v>2</v>
          </cell>
          <cell r="G440">
            <v>2</v>
          </cell>
          <cell r="H440">
            <v>2</v>
          </cell>
          <cell r="I440">
            <v>2</v>
          </cell>
          <cell r="J440">
            <v>1</v>
          </cell>
          <cell r="K440">
            <v>2</v>
          </cell>
          <cell r="L440">
            <v>2</v>
          </cell>
          <cell r="M440">
            <v>2</v>
          </cell>
          <cell r="N440">
            <v>1</v>
          </cell>
          <cell r="O440">
            <v>1</v>
          </cell>
          <cell r="P440">
            <v>0</v>
          </cell>
          <cell r="Q440">
            <v>1</v>
          </cell>
          <cell r="R440">
            <v>2</v>
          </cell>
          <cell r="S440">
            <v>1</v>
          </cell>
          <cell r="T440">
            <v>0</v>
          </cell>
          <cell r="U440">
            <v>1</v>
          </cell>
        </row>
        <row r="441">
          <cell r="A441" t="str">
            <v>JHT05</v>
          </cell>
          <cell r="B441">
            <v>3</v>
          </cell>
          <cell r="C441">
            <v>2</v>
          </cell>
          <cell r="D441">
            <v>2</v>
          </cell>
          <cell r="E441">
            <v>2</v>
          </cell>
          <cell r="F441">
            <v>3</v>
          </cell>
          <cell r="G441">
            <v>3</v>
          </cell>
          <cell r="H441">
            <v>3</v>
          </cell>
          <cell r="I441">
            <v>3</v>
          </cell>
          <cell r="J441">
            <v>2</v>
          </cell>
          <cell r="K441">
            <v>3</v>
          </cell>
          <cell r="L441">
            <v>3</v>
          </cell>
          <cell r="M441">
            <v>2</v>
          </cell>
          <cell r="N441">
            <v>2</v>
          </cell>
          <cell r="O441">
            <v>2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2</v>
          </cell>
        </row>
        <row r="442">
          <cell r="A442" t="str">
            <v>JHT05C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2</v>
          </cell>
          <cell r="R442">
            <v>3</v>
          </cell>
          <cell r="S442">
            <v>2</v>
          </cell>
          <cell r="T442">
            <v>0</v>
          </cell>
          <cell r="U442">
            <v>0</v>
          </cell>
        </row>
        <row r="443">
          <cell r="A443" t="str">
            <v>JHT06</v>
          </cell>
          <cell r="B443">
            <v>4</v>
          </cell>
          <cell r="C443">
            <v>1</v>
          </cell>
          <cell r="D443">
            <v>1</v>
          </cell>
          <cell r="E443">
            <v>2</v>
          </cell>
          <cell r="F443">
            <v>4</v>
          </cell>
          <cell r="G443">
            <v>3</v>
          </cell>
          <cell r="H443">
            <v>4</v>
          </cell>
          <cell r="I443">
            <v>4</v>
          </cell>
          <cell r="J443">
            <v>1</v>
          </cell>
          <cell r="K443">
            <v>4</v>
          </cell>
          <cell r="L443">
            <v>3</v>
          </cell>
          <cell r="M443">
            <v>3</v>
          </cell>
          <cell r="N443">
            <v>1</v>
          </cell>
          <cell r="O443">
            <v>1</v>
          </cell>
          <cell r="P443">
            <v>0</v>
          </cell>
          <cell r="Q443">
            <v>1</v>
          </cell>
          <cell r="R443">
            <v>4</v>
          </cell>
          <cell r="S443">
            <v>2</v>
          </cell>
          <cell r="T443">
            <v>0</v>
          </cell>
          <cell r="U443">
            <v>1</v>
          </cell>
        </row>
        <row r="444">
          <cell r="A444" t="str">
            <v>JHT09</v>
          </cell>
          <cell r="B444">
            <v>24</v>
          </cell>
          <cell r="C444">
            <v>6</v>
          </cell>
          <cell r="D444">
            <v>6</v>
          </cell>
          <cell r="E444">
            <v>12</v>
          </cell>
          <cell r="F444">
            <v>24</v>
          </cell>
          <cell r="G444">
            <v>14</v>
          </cell>
          <cell r="H444">
            <v>19</v>
          </cell>
          <cell r="I444">
            <v>24</v>
          </cell>
          <cell r="J444">
            <v>1</v>
          </cell>
          <cell r="K444">
            <v>23</v>
          </cell>
          <cell r="L444">
            <v>16</v>
          </cell>
          <cell r="M444">
            <v>16</v>
          </cell>
          <cell r="N444">
            <v>4</v>
          </cell>
          <cell r="O444">
            <v>3</v>
          </cell>
          <cell r="P444">
            <v>0</v>
          </cell>
          <cell r="Q444">
            <v>5</v>
          </cell>
          <cell r="R444">
            <v>21</v>
          </cell>
          <cell r="S444">
            <v>10</v>
          </cell>
          <cell r="T444">
            <v>0</v>
          </cell>
          <cell r="U444">
            <v>2</v>
          </cell>
        </row>
        <row r="445">
          <cell r="A445" t="str">
            <v>JHT11</v>
          </cell>
          <cell r="B445">
            <v>5</v>
          </cell>
          <cell r="C445">
            <v>2</v>
          </cell>
          <cell r="D445">
            <v>2</v>
          </cell>
          <cell r="E445">
            <v>3</v>
          </cell>
          <cell r="F445">
            <v>5</v>
          </cell>
          <cell r="G445">
            <v>4</v>
          </cell>
          <cell r="H445">
            <v>0</v>
          </cell>
          <cell r="I445">
            <v>5</v>
          </cell>
          <cell r="J445">
            <v>2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2</v>
          </cell>
        </row>
        <row r="446">
          <cell r="A446" t="str">
            <v>JHT12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4</v>
          </cell>
          <cell r="I446">
            <v>0</v>
          </cell>
          <cell r="J446">
            <v>0</v>
          </cell>
          <cell r="K446">
            <v>4</v>
          </cell>
          <cell r="L446">
            <v>4</v>
          </cell>
          <cell r="M446">
            <v>4</v>
          </cell>
          <cell r="N446">
            <v>2</v>
          </cell>
          <cell r="O446">
            <v>2</v>
          </cell>
          <cell r="P446">
            <v>0</v>
          </cell>
          <cell r="Q446">
            <v>2</v>
          </cell>
          <cell r="R446">
            <v>4</v>
          </cell>
          <cell r="S446">
            <v>3</v>
          </cell>
          <cell r="T446">
            <v>0</v>
          </cell>
          <cell r="U446">
            <v>0</v>
          </cell>
        </row>
        <row r="447">
          <cell r="A447" t="str">
            <v>JHT13</v>
          </cell>
          <cell r="B447">
            <v>6</v>
          </cell>
          <cell r="C447">
            <v>2</v>
          </cell>
          <cell r="D447">
            <v>2</v>
          </cell>
          <cell r="E447">
            <v>3</v>
          </cell>
          <cell r="F447">
            <v>6</v>
          </cell>
          <cell r="G447">
            <v>4</v>
          </cell>
          <cell r="H447">
            <v>5</v>
          </cell>
          <cell r="I447">
            <v>6</v>
          </cell>
          <cell r="J447">
            <v>1</v>
          </cell>
          <cell r="K447">
            <v>6</v>
          </cell>
          <cell r="L447">
            <v>4</v>
          </cell>
          <cell r="M447">
            <v>4</v>
          </cell>
          <cell r="N447">
            <v>1</v>
          </cell>
          <cell r="O447">
            <v>1</v>
          </cell>
          <cell r="P447">
            <v>0</v>
          </cell>
          <cell r="Q447">
            <v>2</v>
          </cell>
          <cell r="R447">
            <v>6</v>
          </cell>
          <cell r="S447">
            <v>3</v>
          </cell>
          <cell r="T447">
            <v>0</v>
          </cell>
          <cell r="U447">
            <v>1</v>
          </cell>
        </row>
        <row r="448">
          <cell r="A448" t="str">
            <v>JHT14</v>
          </cell>
          <cell r="B448">
            <v>10</v>
          </cell>
          <cell r="C448">
            <v>4</v>
          </cell>
          <cell r="D448">
            <v>4</v>
          </cell>
          <cell r="E448">
            <v>6</v>
          </cell>
          <cell r="F448">
            <v>10</v>
          </cell>
          <cell r="G448">
            <v>8</v>
          </cell>
          <cell r="H448">
            <v>12</v>
          </cell>
          <cell r="I448">
            <v>10</v>
          </cell>
          <cell r="J448">
            <v>4</v>
          </cell>
          <cell r="K448">
            <v>12</v>
          </cell>
          <cell r="L448">
            <v>12</v>
          </cell>
          <cell r="M448">
            <v>12</v>
          </cell>
          <cell r="N448">
            <v>6</v>
          </cell>
          <cell r="O448">
            <v>6</v>
          </cell>
          <cell r="P448">
            <v>0</v>
          </cell>
          <cell r="Q448">
            <v>6</v>
          </cell>
          <cell r="R448">
            <v>12</v>
          </cell>
          <cell r="S448">
            <v>9</v>
          </cell>
          <cell r="T448">
            <v>0</v>
          </cell>
          <cell r="U448">
            <v>4</v>
          </cell>
        </row>
        <row r="449">
          <cell r="A449" t="str">
            <v>JXT03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4</v>
          </cell>
          <cell r="I449">
            <v>0</v>
          </cell>
          <cell r="J449">
            <v>0</v>
          </cell>
          <cell r="K449">
            <v>4</v>
          </cell>
          <cell r="L449">
            <v>3</v>
          </cell>
          <cell r="M449">
            <v>3</v>
          </cell>
          <cell r="N449">
            <v>2</v>
          </cell>
          <cell r="O449">
            <v>2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</row>
        <row r="450">
          <cell r="A450" t="str">
            <v>JXT04</v>
          </cell>
          <cell r="B450">
            <v>5</v>
          </cell>
          <cell r="C450">
            <v>2</v>
          </cell>
          <cell r="D450">
            <v>2</v>
          </cell>
          <cell r="E450">
            <v>3</v>
          </cell>
          <cell r="F450">
            <v>5</v>
          </cell>
          <cell r="G450">
            <v>3</v>
          </cell>
          <cell r="H450">
            <v>4</v>
          </cell>
          <cell r="I450">
            <v>5</v>
          </cell>
          <cell r="J450">
            <v>1</v>
          </cell>
          <cell r="K450">
            <v>5</v>
          </cell>
          <cell r="L450">
            <v>4</v>
          </cell>
          <cell r="M450">
            <v>4</v>
          </cell>
          <cell r="N450">
            <v>1</v>
          </cell>
          <cell r="O450">
            <v>1</v>
          </cell>
          <cell r="P450">
            <v>0</v>
          </cell>
          <cell r="Q450">
            <v>1</v>
          </cell>
          <cell r="R450">
            <v>5</v>
          </cell>
          <cell r="S450">
            <v>2</v>
          </cell>
          <cell r="T450">
            <v>0</v>
          </cell>
          <cell r="U450">
            <v>1</v>
          </cell>
        </row>
        <row r="451">
          <cell r="A451" t="str">
            <v>JXT13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</row>
        <row r="452">
          <cell r="A452" t="str">
            <v>P4109859</v>
          </cell>
          <cell r="B452">
            <v>1</v>
          </cell>
          <cell r="C452">
            <v>1</v>
          </cell>
          <cell r="D452">
            <v>1</v>
          </cell>
          <cell r="E452">
            <v>1</v>
          </cell>
          <cell r="F452">
            <v>1</v>
          </cell>
          <cell r="G452">
            <v>1</v>
          </cell>
          <cell r="H452">
            <v>1</v>
          </cell>
          <cell r="I452">
            <v>1</v>
          </cell>
          <cell r="J452">
            <v>1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0</v>
          </cell>
          <cell r="Q452">
            <v>1</v>
          </cell>
          <cell r="R452">
            <v>1</v>
          </cell>
          <cell r="S452">
            <v>1</v>
          </cell>
          <cell r="T452">
            <v>0</v>
          </cell>
          <cell r="U452">
            <v>1</v>
          </cell>
        </row>
        <row r="453">
          <cell r="A453" t="str">
            <v>P4109863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2</v>
          </cell>
          <cell r="I453">
            <v>0</v>
          </cell>
          <cell r="J453">
            <v>0</v>
          </cell>
          <cell r="K453">
            <v>2</v>
          </cell>
          <cell r="L453">
            <v>2</v>
          </cell>
          <cell r="M453">
            <v>2</v>
          </cell>
          <cell r="N453">
            <v>2</v>
          </cell>
          <cell r="O453">
            <v>2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</row>
        <row r="454">
          <cell r="A454" t="str">
            <v>P4109888</v>
          </cell>
          <cell r="B454">
            <v>1</v>
          </cell>
          <cell r="C454">
            <v>1</v>
          </cell>
          <cell r="D454">
            <v>1</v>
          </cell>
          <cell r="E454">
            <v>1</v>
          </cell>
          <cell r="F454">
            <v>1</v>
          </cell>
          <cell r="G454">
            <v>1</v>
          </cell>
          <cell r="H454">
            <v>1</v>
          </cell>
          <cell r="I454">
            <v>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P454">
            <v>0</v>
          </cell>
          <cell r="Q454">
            <v>1</v>
          </cell>
          <cell r="R454">
            <v>1</v>
          </cell>
          <cell r="S454">
            <v>1</v>
          </cell>
          <cell r="T454">
            <v>0</v>
          </cell>
          <cell r="U454">
            <v>1</v>
          </cell>
        </row>
        <row r="455">
          <cell r="A455" t="str">
            <v>P4109905</v>
          </cell>
          <cell r="B455">
            <v>1</v>
          </cell>
          <cell r="C455">
            <v>1</v>
          </cell>
          <cell r="D455">
            <v>1</v>
          </cell>
          <cell r="E455">
            <v>1</v>
          </cell>
          <cell r="F455">
            <v>1</v>
          </cell>
          <cell r="G455">
            <v>1</v>
          </cell>
          <cell r="H455">
            <v>1</v>
          </cell>
          <cell r="I455">
            <v>1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0</v>
          </cell>
          <cell r="Q455">
            <v>1</v>
          </cell>
          <cell r="R455">
            <v>1</v>
          </cell>
          <cell r="S455">
            <v>1</v>
          </cell>
          <cell r="T455">
            <v>0</v>
          </cell>
          <cell r="U455">
            <v>1</v>
          </cell>
        </row>
        <row r="456">
          <cell r="A456" t="str">
            <v>P4109906</v>
          </cell>
          <cell r="B456">
            <v>2</v>
          </cell>
          <cell r="C456">
            <v>2</v>
          </cell>
          <cell r="D456">
            <v>2</v>
          </cell>
          <cell r="E456">
            <v>2</v>
          </cell>
          <cell r="F456">
            <v>2</v>
          </cell>
          <cell r="G456">
            <v>2</v>
          </cell>
          <cell r="H456">
            <v>2</v>
          </cell>
          <cell r="I456">
            <v>2</v>
          </cell>
          <cell r="J456">
            <v>2</v>
          </cell>
          <cell r="K456">
            <v>2</v>
          </cell>
          <cell r="L456">
            <v>2</v>
          </cell>
          <cell r="M456">
            <v>2</v>
          </cell>
          <cell r="N456">
            <v>2</v>
          </cell>
          <cell r="O456">
            <v>2</v>
          </cell>
          <cell r="P456">
            <v>2</v>
          </cell>
          <cell r="Q456">
            <v>2</v>
          </cell>
          <cell r="R456">
            <v>2</v>
          </cell>
          <cell r="S456">
            <v>2</v>
          </cell>
          <cell r="T456">
            <v>2</v>
          </cell>
          <cell r="U456">
            <v>2</v>
          </cell>
        </row>
        <row r="457">
          <cell r="A457" t="str">
            <v>P4109929</v>
          </cell>
          <cell r="B457">
            <v>1</v>
          </cell>
          <cell r="C457">
            <v>1</v>
          </cell>
          <cell r="D457">
            <v>1</v>
          </cell>
          <cell r="E457">
            <v>1</v>
          </cell>
          <cell r="F457">
            <v>1</v>
          </cell>
          <cell r="G457">
            <v>1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0</v>
          </cell>
          <cell r="Q457">
            <v>1</v>
          </cell>
          <cell r="R457">
            <v>1</v>
          </cell>
          <cell r="S457">
            <v>1</v>
          </cell>
          <cell r="T457">
            <v>0</v>
          </cell>
          <cell r="U457">
            <v>1</v>
          </cell>
        </row>
        <row r="458">
          <cell r="A458" t="str">
            <v>PROPJOAP</v>
          </cell>
          <cell r="B458">
            <v>1</v>
          </cell>
          <cell r="C458">
            <v>1</v>
          </cell>
          <cell r="D458">
            <v>1</v>
          </cell>
          <cell r="E458">
            <v>0</v>
          </cell>
          <cell r="F458">
            <v>1</v>
          </cell>
          <cell r="G458">
            <v>0</v>
          </cell>
          <cell r="H458">
            <v>1</v>
          </cell>
          <cell r="I458">
            <v>1</v>
          </cell>
          <cell r="J458">
            <v>1</v>
          </cell>
          <cell r="K458">
            <v>1</v>
          </cell>
          <cell r="L458">
            <v>1</v>
          </cell>
          <cell r="M458">
            <v>0</v>
          </cell>
          <cell r="N458">
            <v>1</v>
          </cell>
          <cell r="O458">
            <v>0</v>
          </cell>
          <cell r="P458">
            <v>2</v>
          </cell>
          <cell r="Q458">
            <v>1</v>
          </cell>
          <cell r="R458">
            <v>1</v>
          </cell>
          <cell r="S458">
            <v>1</v>
          </cell>
          <cell r="T458">
            <v>2</v>
          </cell>
          <cell r="U458">
            <v>0</v>
          </cell>
        </row>
        <row r="459">
          <cell r="A459" t="str">
            <v>PROPWIO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1</v>
          </cell>
          <cell r="I459">
            <v>0</v>
          </cell>
          <cell r="J459">
            <v>0</v>
          </cell>
          <cell r="K459">
            <v>1</v>
          </cell>
          <cell r="L459">
            <v>1</v>
          </cell>
          <cell r="M459">
            <v>0</v>
          </cell>
          <cell r="N459">
            <v>1</v>
          </cell>
          <cell r="O459">
            <v>0</v>
          </cell>
          <cell r="P459">
            <v>2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A460" t="str">
            <v>PWA55380</v>
          </cell>
          <cell r="B460">
            <v>2</v>
          </cell>
          <cell r="C460">
            <v>2</v>
          </cell>
          <cell r="D460">
            <v>2</v>
          </cell>
          <cell r="E460">
            <v>1</v>
          </cell>
          <cell r="F460">
            <v>2</v>
          </cell>
          <cell r="G460">
            <v>1</v>
          </cell>
          <cell r="H460">
            <v>2</v>
          </cell>
          <cell r="I460">
            <v>2</v>
          </cell>
          <cell r="J460">
            <v>2</v>
          </cell>
          <cell r="K460">
            <v>2</v>
          </cell>
          <cell r="L460">
            <v>2</v>
          </cell>
          <cell r="M460">
            <v>1</v>
          </cell>
          <cell r="N460">
            <v>2</v>
          </cell>
          <cell r="O460">
            <v>1</v>
          </cell>
          <cell r="P460">
            <v>2</v>
          </cell>
          <cell r="Q460">
            <v>2</v>
          </cell>
          <cell r="R460">
            <v>2</v>
          </cell>
          <cell r="S460">
            <v>2</v>
          </cell>
          <cell r="T460">
            <v>2</v>
          </cell>
          <cell r="U460">
            <v>1</v>
          </cell>
        </row>
        <row r="461">
          <cell r="A461" t="str">
            <v>PWA59414</v>
          </cell>
          <cell r="B461">
            <v>2</v>
          </cell>
          <cell r="C461">
            <v>2</v>
          </cell>
          <cell r="D461">
            <v>2</v>
          </cell>
          <cell r="E461">
            <v>2</v>
          </cell>
          <cell r="F461">
            <v>2</v>
          </cell>
          <cell r="G461">
            <v>2</v>
          </cell>
          <cell r="H461">
            <v>2</v>
          </cell>
          <cell r="I461">
            <v>2</v>
          </cell>
          <cell r="J461">
            <v>2</v>
          </cell>
          <cell r="K461">
            <v>2</v>
          </cell>
          <cell r="L461">
            <v>2</v>
          </cell>
          <cell r="M461">
            <v>2</v>
          </cell>
          <cell r="N461">
            <v>2</v>
          </cell>
          <cell r="O461">
            <v>2</v>
          </cell>
          <cell r="P461">
            <v>2</v>
          </cell>
          <cell r="Q461">
            <v>2</v>
          </cell>
          <cell r="R461">
            <v>2</v>
          </cell>
          <cell r="S461">
            <v>2</v>
          </cell>
          <cell r="T461">
            <v>2</v>
          </cell>
          <cell r="U461">
            <v>2</v>
          </cell>
        </row>
        <row r="462">
          <cell r="A462" t="str">
            <v>PWA59419</v>
          </cell>
          <cell r="B462">
            <v>1</v>
          </cell>
          <cell r="C462">
            <v>1</v>
          </cell>
          <cell r="D462">
            <v>1</v>
          </cell>
          <cell r="E462">
            <v>1</v>
          </cell>
          <cell r="F462">
            <v>1</v>
          </cell>
          <cell r="G462">
            <v>1</v>
          </cell>
          <cell r="H462">
            <v>1</v>
          </cell>
          <cell r="I462">
            <v>1</v>
          </cell>
          <cell r="J462">
            <v>1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O462">
            <v>1</v>
          </cell>
          <cell r="P462">
            <v>1</v>
          </cell>
          <cell r="Q462">
            <v>1</v>
          </cell>
          <cell r="R462">
            <v>1</v>
          </cell>
          <cell r="S462">
            <v>1</v>
          </cell>
          <cell r="T462">
            <v>1</v>
          </cell>
          <cell r="U462">
            <v>1</v>
          </cell>
        </row>
        <row r="463">
          <cell r="A463" t="str">
            <v>PWA59422</v>
          </cell>
          <cell r="B463">
            <v>3</v>
          </cell>
          <cell r="C463">
            <v>3</v>
          </cell>
          <cell r="D463">
            <v>3</v>
          </cell>
          <cell r="E463">
            <v>2</v>
          </cell>
          <cell r="F463">
            <v>3</v>
          </cell>
          <cell r="G463">
            <v>2</v>
          </cell>
          <cell r="H463">
            <v>3</v>
          </cell>
          <cell r="I463">
            <v>3</v>
          </cell>
          <cell r="J463">
            <v>3</v>
          </cell>
          <cell r="K463">
            <v>3</v>
          </cell>
          <cell r="L463">
            <v>3</v>
          </cell>
          <cell r="M463">
            <v>2</v>
          </cell>
          <cell r="N463">
            <v>3</v>
          </cell>
          <cell r="O463">
            <v>2</v>
          </cell>
          <cell r="P463">
            <v>2</v>
          </cell>
          <cell r="Q463">
            <v>3</v>
          </cell>
          <cell r="R463">
            <v>3</v>
          </cell>
          <cell r="S463">
            <v>3</v>
          </cell>
          <cell r="T463">
            <v>2</v>
          </cell>
          <cell r="U463">
            <v>2</v>
          </cell>
        </row>
        <row r="464">
          <cell r="A464" t="str">
            <v>PWA59432</v>
          </cell>
          <cell r="B464">
            <v>1</v>
          </cell>
          <cell r="C464">
            <v>1</v>
          </cell>
          <cell r="D464">
            <v>1</v>
          </cell>
          <cell r="E464">
            <v>1</v>
          </cell>
          <cell r="F464">
            <v>1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Q464">
            <v>1</v>
          </cell>
          <cell r="R464">
            <v>1</v>
          </cell>
          <cell r="S464">
            <v>1</v>
          </cell>
          <cell r="T464">
            <v>1</v>
          </cell>
          <cell r="U464">
            <v>1</v>
          </cell>
        </row>
        <row r="465">
          <cell r="A465" t="str">
            <v>PWA59445</v>
          </cell>
          <cell r="B465">
            <v>1</v>
          </cell>
          <cell r="C465">
            <v>1</v>
          </cell>
          <cell r="D465">
            <v>1</v>
          </cell>
          <cell r="E465">
            <v>1</v>
          </cell>
          <cell r="F465">
            <v>1</v>
          </cell>
          <cell r="G465">
            <v>1</v>
          </cell>
          <cell r="H465">
            <v>1</v>
          </cell>
          <cell r="I465">
            <v>1</v>
          </cell>
          <cell r="J465">
            <v>1</v>
          </cell>
          <cell r="K465">
            <v>1</v>
          </cell>
          <cell r="L465">
            <v>1</v>
          </cell>
          <cell r="M465">
            <v>1</v>
          </cell>
          <cell r="N465">
            <v>1</v>
          </cell>
          <cell r="O465">
            <v>1</v>
          </cell>
          <cell r="P465">
            <v>1</v>
          </cell>
          <cell r="Q465">
            <v>1</v>
          </cell>
          <cell r="R465">
            <v>1</v>
          </cell>
          <cell r="S465">
            <v>1</v>
          </cell>
          <cell r="T465">
            <v>1</v>
          </cell>
          <cell r="U465">
            <v>1</v>
          </cell>
        </row>
        <row r="466">
          <cell r="A466" t="str">
            <v>PWA59469</v>
          </cell>
          <cell r="B466">
            <v>1</v>
          </cell>
          <cell r="C466">
            <v>1</v>
          </cell>
          <cell r="D466">
            <v>1</v>
          </cell>
          <cell r="E466">
            <v>1</v>
          </cell>
          <cell r="F466">
            <v>1</v>
          </cell>
          <cell r="G466">
            <v>1</v>
          </cell>
          <cell r="H466">
            <v>1</v>
          </cell>
          <cell r="I466">
            <v>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  <cell r="N466">
            <v>1</v>
          </cell>
          <cell r="O466">
            <v>1</v>
          </cell>
          <cell r="P466">
            <v>1</v>
          </cell>
          <cell r="Q466">
            <v>1</v>
          </cell>
          <cell r="R466">
            <v>1</v>
          </cell>
          <cell r="S466">
            <v>1</v>
          </cell>
          <cell r="T466">
            <v>1</v>
          </cell>
          <cell r="U466">
            <v>1</v>
          </cell>
        </row>
        <row r="467">
          <cell r="A467" t="str">
            <v>PWA59483</v>
          </cell>
          <cell r="B467">
            <v>4</v>
          </cell>
          <cell r="C467">
            <v>4</v>
          </cell>
          <cell r="D467">
            <v>4</v>
          </cell>
          <cell r="E467">
            <v>3</v>
          </cell>
          <cell r="F467">
            <v>4</v>
          </cell>
          <cell r="G467">
            <v>3</v>
          </cell>
          <cell r="H467">
            <v>4</v>
          </cell>
          <cell r="I467">
            <v>4</v>
          </cell>
          <cell r="J467">
            <v>4</v>
          </cell>
          <cell r="K467">
            <v>4</v>
          </cell>
          <cell r="L467">
            <v>4</v>
          </cell>
          <cell r="M467">
            <v>3</v>
          </cell>
          <cell r="N467">
            <v>4</v>
          </cell>
          <cell r="O467">
            <v>3</v>
          </cell>
          <cell r="P467">
            <v>3</v>
          </cell>
          <cell r="Q467">
            <v>4</v>
          </cell>
          <cell r="R467">
            <v>4</v>
          </cell>
          <cell r="S467">
            <v>4</v>
          </cell>
          <cell r="T467">
            <v>3</v>
          </cell>
          <cell r="U467">
            <v>3</v>
          </cell>
        </row>
        <row r="468">
          <cell r="A468" t="str">
            <v>PWA59500</v>
          </cell>
          <cell r="B468">
            <v>2</v>
          </cell>
          <cell r="C468">
            <v>2</v>
          </cell>
          <cell r="D468">
            <v>2</v>
          </cell>
          <cell r="E468">
            <v>1</v>
          </cell>
          <cell r="F468">
            <v>2</v>
          </cell>
          <cell r="G468">
            <v>1</v>
          </cell>
          <cell r="H468">
            <v>2</v>
          </cell>
          <cell r="I468">
            <v>2</v>
          </cell>
          <cell r="J468">
            <v>2</v>
          </cell>
          <cell r="K468">
            <v>2</v>
          </cell>
          <cell r="L468">
            <v>2</v>
          </cell>
          <cell r="M468">
            <v>1</v>
          </cell>
          <cell r="N468">
            <v>2</v>
          </cell>
          <cell r="O468">
            <v>1</v>
          </cell>
          <cell r="P468">
            <v>1</v>
          </cell>
          <cell r="Q468">
            <v>2</v>
          </cell>
          <cell r="R468">
            <v>2</v>
          </cell>
          <cell r="S468">
            <v>2</v>
          </cell>
          <cell r="T468">
            <v>1</v>
          </cell>
          <cell r="U468">
            <v>1</v>
          </cell>
        </row>
        <row r="469">
          <cell r="A469" t="str">
            <v>PWA59524</v>
          </cell>
          <cell r="B469">
            <v>2</v>
          </cell>
          <cell r="C469">
            <v>2</v>
          </cell>
          <cell r="D469">
            <v>2</v>
          </cell>
          <cell r="E469">
            <v>1</v>
          </cell>
          <cell r="F469">
            <v>2</v>
          </cell>
          <cell r="G469">
            <v>1</v>
          </cell>
          <cell r="H469">
            <v>2</v>
          </cell>
          <cell r="I469">
            <v>2</v>
          </cell>
          <cell r="J469">
            <v>2</v>
          </cell>
          <cell r="K469">
            <v>2</v>
          </cell>
          <cell r="L469">
            <v>2</v>
          </cell>
          <cell r="M469">
            <v>1</v>
          </cell>
          <cell r="N469">
            <v>2</v>
          </cell>
          <cell r="O469">
            <v>1</v>
          </cell>
          <cell r="P469">
            <v>1</v>
          </cell>
          <cell r="Q469">
            <v>2</v>
          </cell>
          <cell r="R469">
            <v>2</v>
          </cell>
          <cell r="S469">
            <v>2</v>
          </cell>
          <cell r="T469">
            <v>1</v>
          </cell>
          <cell r="U469">
            <v>1</v>
          </cell>
        </row>
        <row r="470">
          <cell r="A470" t="str">
            <v>PWA59550</v>
          </cell>
          <cell r="B470">
            <v>1</v>
          </cell>
          <cell r="C470">
            <v>1</v>
          </cell>
          <cell r="D470">
            <v>1</v>
          </cell>
          <cell r="E470">
            <v>1</v>
          </cell>
          <cell r="F470">
            <v>1</v>
          </cell>
          <cell r="G470">
            <v>1</v>
          </cell>
          <cell r="H470">
            <v>1</v>
          </cell>
          <cell r="I470">
            <v>1</v>
          </cell>
          <cell r="J470">
            <v>1</v>
          </cell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O470">
            <v>1</v>
          </cell>
          <cell r="P470">
            <v>0</v>
          </cell>
          <cell r="Q470">
            <v>1</v>
          </cell>
          <cell r="R470">
            <v>1</v>
          </cell>
          <cell r="S470">
            <v>1</v>
          </cell>
          <cell r="T470">
            <v>0</v>
          </cell>
          <cell r="U470">
            <v>1</v>
          </cell>
        </row>
        <row r="471">
          <cell r="A471" t="str">
            <v>PWA59595</v>
          </cell>
          <cell r="B471">
            <v>3</v>
          </cell>
          <cell r="C471">
            <v>3</v>
          </cell>
          <cell r="D471">
            <v>3</v>
          </cell>
          <cell r="E471">
            <v>2</v>
          </cell>
          <cell r="F471">
            <v>3</v>
          </cell>
          <cell r="G471">
            <v>2</v>
          </cell>
          <cell r="H471">
            <v>3</v>
          </cell>
          <cell r="I471">
            <v>3</v>
          </cell>
          <cell r="J471">
            <v>3</v>
          </cell>
          <cell r="K471">
            <v>3</v>
          </cell>
          <cell r="L471">
            <v>3</v>
          </cell>
          <cell r="M471">
            <v>2</v>
          </cell>
          <cell r="N471">
            <v>3</v>
          </cell>
          <cell r="O471">
            <v>2</v>
          </cell>
          <cell r="P471">
            <v>2</v>
          </cell>
          <cell r="Q471">
            <v>3</v>
          </cell>
          <cell r="R471">
            <v>3</v>
          </cell>
          <cell r="S471">
            <v>3</v>
          </cell>
          <cell r="T471">
            <v>2</v>
          </cell>
          <cell r="U471">
            <v>2</v>
          </cell>
        </row>
        <row r="472">
          <cell r="A472" t="str">
            <v>PWA59600</v>
          </cell>
          <cell r="B472">
            <v>3</v>
          </cell>
          <cell r="C472">
            <v>3</v>
          </cell>
          <cell r="D472">
            <v>3</v>
          </cell>
          <cell r="E472">
            <v>2</v>
          </cell>
          <cell r="F472">
            <v>3</v>
          </cell>
          <cell r="G472">
            <v>2</v>
          </cell>
          <cell r="H472">
            <v>0</v>
          </cell>
          <cell r="I472">
            <v>3</v>
          </cell>
          <cell r="J472">
            <v>3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3</v>
          </cell>
          <cell r="R472">
            <v>3</v>
          </cell>
          <cell r="S472">
            <v>3</v>
          </cell>
          <cell r="T472">
            <v>2</v>
          </cell>
          <cell r="U472">
            <v>2</v>
          </cell>
        </row>
        <row r="473">
          <cell r="A473" t="str">
            <v>PWA59610</v>
          </cell>
          <cell r="B473">
            <v>3</v>
          </cell>
          <cell r="C473">
            <v>3</v>
          </cell>
          <cell r="D473">
            <v>3</v>
          </cell>
          <cell r="E473">
            <v>2</v>
          </cell>
          <cell r="F473">
            <v>3</v>
          </cell>
          <cell r="G473">
            <v>2</v>
          </cell>
          <cell r="H473">
            <v>3</v>
          </cell>
          <cell r="I473">
            <v>3</v>
          </cell>
          <cell r="J473">
            <v>3</v>
          </cell>
          <cell r="K473">
            <v>3</v>
          </cell>
          <cell r="L473">
            <v>3</v>
          </cell>
          <cell r="M473">
            <v>2</v>
          </cell>
          <cell r="N473">
            <v>3</v>
          </cell>
          <cell r="O473">
            <v>2</v>
          </cell>
          <cell r="P473">
            <v>2</v>
          </cell>
          <cell r="Q473">
            <v>3</v>
          </cell>
          <cell r="R473">
            <v>3</v>
          </cell>
          <cell r="S473">
            <v>3</v>
          </cell>
          <cell r="T473">
            <v>2</v>
          </cell>
          <cell r="U473">
            <v>2</v>
          </cell>
        </row>
        <row r="474">
          <cell r="A474" t="str">
            <v>PWA59640</v>
          </cell>
          <cell r="B474">
            <v>3</v>
          </cell>
          <cell r="C474">
            <v>3</v>
          </cell>
          <cell r="D474">
            <v>3</v>
          </cell>
          <cell r="E474">
            <v>2</v>
          </cell>
          <cell r="F474">
            <v>3</v>
          </cell>
          <cell r="G474">
            <v>2</v>
          </cell>
          <cell r="H474">
            <v>3</v>
          </cell>
          <cell r="I474">
            <v>3</v>
          </cell>
          <cell r="J474">
            <v>3</v>
          </cell>
          <cell r="K474">
            <v>3</v>
          </cell>
          <cell r="L474">
            <v>3</v>
          </cell>
          <cell r="M474">
            <v>2</v>
          </cell>
          <cell r="N474">
            <v>3</v>
          </cell>
          <cell r="O474">
            <v>2</v>
          </cell>
          <cell r="P474">
            <v>2</v>
          </cell>
          <cell r="Q474">
            <v>3</v>
          </cell>
          <cell r="R474">
            <v>3</v>
          </cell>
          <cell r="S474">
            <v>3</v>
          </cell>
          <cell r="T474">
            <v>2</v>
          </cell>
          <cell r="U474">
            <v>2</v>
          </cell>
        </row>
        <row r="475">
          <cell r="A475" t="str">
            <v>PWA59643</v>
          </cell>
          <cell r="B475">
            <v>1</v>
          </cell>
          <cell r="C475">
            <v>1</v>
          </cell>
          <cell r="D475">
            <v>1</v>
          </cell>
          <cell r="E475">
            <v>1</v>
          </cell>
          <cell r="F475">
            <v>1</v>
          </cell>
          <cell r="G475">
            <v>1</v>
          </cell>
          <cell r="H475">
            <v>1</v>
          </cell>
          <cell r="I475">
            <v>1</v>
          </cell>
          <cell r="J475">
            <v>1</v>
          </cell>
          <cell r="K475">
            <v>1</v>
          </cell>
          <cell r="L475">
            <v>1</v>
          </cell>
          <cell r="M475">
            <v>1</v>
          </cell>
          <cell r="N475">
            <v>1</v>
          </cell>
          <cell r="O475">
            <v>1</v>
          </cell>
          <cell r="P475">
            <v>0</v>
          </cell>
          <cell r="Q475">
            <v>1</v>
          </cell>
          <cell r="R475">
            <v>1</v>
          </cell>
          <cell r="S475">
            <v>1</v>
          </cell>
          <cell r="T475">
            <v>0</v>
          </cell>
          <cell r="U475">
            <v>1</v>
          </cell>
        </row>
        <row r="476">
          <cell r="A476" t="str">
            <v>PWA59665</v>
          </cell>
          <cell r="B476">
            <v>3</v>
          </cell>
          <cell r="C476">
            <v>3</v>
          </cell>
          <cell r="D476">
            <v>3</v>
          </cell>
          <cell r="E476">
            <v>2</v>
          </cell>
          <cell r="F476">
            <v>3</v>
          </cell>
          <cell r="G476">
            <v>2</v>
          </cell>
          <cell r="H476">
            <v>3</v>
          </cell>
          <cell r="I476">
            <v>3</v>
          </cell>
          <cell r="J476">
            <v>3</v>
          </cell>
          <cell r="K476">
            <v>3</v>
          </cell>
          <cell r="L476">
            <v>3</v>
          </cell>
          <cell r="M476">
            <v>2</v>
          </cell>
          <cell r="N476">
            <v>3</v>
          </cell>
          <cell r="O476">
            <v>2</v>
          </cell>
          <cell r="P476">
            <v>2</v>
          </cell>
          <cell r="Q476">
            <v>3</v>
          </cell>
          <cell r="R476">
            <v>3</v>
          </cell>
          <cell r="S476">
            <v>3</v>
          </cell>
          <cell r="T476">
            <v>2</v>
          </cell>
          <cell r="U476">
            <v>2</v>
          </cell>
        </row>
        <row r="477">
          <cell r="A477" t="str">
            <v>PWA59682</v>
          </cell>
          <cell r="B477">
            <v>3</v>
          </cell>
          <cell r="C477">
            <v>3</v>
          </cell>
          <cell r="D477">
            <v>3</v>
          </cell>
          <cell r="E477">
            <v>2</v>
          </cell>
          <cell r="F477">
            <v>3</v>
          </cell>
          <cell r="G477">
            <v>2</v>
          </cell>
          <cell r="H477">
            <v>3</v>
          </cell>
          <cell r="I477">
            <v>3</v>
          </cell>
          <cell r="J477">
            <v>3</v>
          </cell>
          <cell r="K477">
            <v>3</v>
          </cell>
          <cell r="L477">
            <v>3</v>
          </cell>
          <cell r="M477">
            <v>2</v>
          </cell>
          <cell r="N477">
            <v>3</v>
          </cell>
          <cell r="O477">
            <v>2</v>
          </cell>
          <cell r="P477">
            <v>2</v>
          </cell>
          <cell r="Q477">
            <v>3</v>
          </cell>
          <cell r="R477">
            <v>3</v>
          </cell>
          <cell r="S477">
            <v>3</v>
          </cell>
          <cell r="T477">
            <v>2</v>
          </cell>
          <cell r="U477">
            <v>2</v>
          </cell>
        </row>
        <row r="478">
          <cell r="A478" t="str">
            <v>PWA59683</v>
          </cell>
          <cell r="B478">
            <v>3</v>
          </cell>
          <cell r="C478">
            <v>3</v>
          </cell>
          <cell r="D478">
            <v>3</v>
          </cell>
          <cell r="E478">
            <v>2</v>
          </cell>
          <cell r="F478">
            <v>3</v>
          </cell>
          <cell r="G478">
            <v>2</v>
          </cell>
          <cell r="H478">
            <v>3</v>
          </cell>
          <cell r="I478">
            <v>3</v>
          </cell>
          <cell r="J478">
            <v>3</v>
          </cell>
          <cell r="K478">
            <v>3</v>
          </cell>
          <cell r="L478">
            <v>3</v>
          </cell>
          <cell r="M478">
            <v>2</v>
          </cell>
          <cell r="N478">
            <v>3</v>
          </cell>
          <cell r="O478">
            <v>2</v>
          </cell>
          <cell r="P478">
            <v>2</v>
          </cell>
          <cell r="Q478">
            <v>3</v>
          </cell>
          <cell r="R478">
            <v>3</v>
          </cell>
          <cell r="S478">
            <v>3</v>
          </cell>
          <cell r="T478">
            <v>2</v>
          </cell>
          <cell r="U478">
            <v>2</v>
          </cell>
        </row>
        <row r="479">
          <cell r="A479" t="str">
            <v>PWA59725</v>
          </cell>
          <cell r="B479">
            <v>1</v>
          </cell>
          <cell r="C479">
            <v>1</v>
          </cell>
          <cell r="D479">
            <v>1</v>
          </cell>
          <cell r="E479">
            <v>1</v>
          </cell>
          <cell r="F479">
            <v>1</v>
          </cell>
          <cell r="G479">
            <v>1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</row>
        <row r="480">
          <cell r="A480" t="str">
            <v>PWA59764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4</v>
          </cell>
          <cell r="I480">
            <v>0</v>
          </cell>
          <cell r="J480">
            <v>0</v>
          </cell>
          <cell r="K480">
            <v>4</v>
          </cell>
          <cell r="L480">
            <v>4</v>
          </cell>
          <cell r="M480">
            <v>2</v>
          </cell>
          <cell r="N480">
            <v>4</v>
          </cell>
          <cell r="O480">
            <v>4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</row>
        <row r="481">
          <cell r="A481" t="str">
            <v>PWA59768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3</v>
          </cell>
          <cell r="R481">
            <v>3</v>
          </cell>
          <cell r="S481">
            <v>3</v>
          </cell>
          <cell r="T481">
            <v>2</v>
          </cell>
          <cell r="U481">
            <v>0</v>
          </cell>
        </row>
        <row r="482">
          <cell r="A482" t="str">
            <v>PWA59784</v>
          </cell>
          <cell r="B482">
            <v>2</v>
          </cell>
          <cell r="C482">
            <v>2</v>
          </cell>
          <cell r="D482">
            <v>2</v>
          </cell>
          <cell r="E482">
            <v>1</v>
          </cell>
          <cell r="F482">
            <v>2</v>
          </cell>
          <cell r="G482">
            <v>1</v>
          </cell>
          <cell r="H482">
            <v>2</v>
          </cell>
          <cell r="I482">
            <v>2</v>
          </cell>
          <cell r="J482">
            <v>2</v>
          </cell>
          <cell r="K482">
            <v>2</v>
          </cell>
          <cell r="L482">
            <v>2</v>
          </cell>
          <cell r="M482">
            <v>1</v>
          </cell>
          <cell r="N482">
            <v>2</v>
          </cell>
          <cell r="O482">
            <v>1</v>
          </cell>
          <cell r="P482">
            <v>1</v>
          </cell>
          <cell r="Q482">
            <v>2</v>
          </cell>
          <cell r="R482">
            <v>2</v>
          </cell>
          <cell r="S482">
            <v>2</v>
          </cell>
          <cell r="T482">
            <v>1</v>
          </cell>
          <cell r="U482">
            <v>1</v>
          </cell>
        </row>
        <row r="483">
          <cell r="A483" t="str">
            <v>PWA59786</v>
          </cell>
          <cell r="B483">
            <v>3</v>
          </cell>
          <cell r="C483">
            <v>3</v>
          </cell>
          <cell r="D483">
            <v>3</v>
          </cell>
          <cell r="E483">
            <v>2</v>
          </cell>
          <cell r="F483">
            <v>3</v>
          </cell>
          <cell r="G483">
            <v>2</v>
          </cell>
          <cell r="H483">
            <v>3</v>
          </cell>
          <cell r="I483">
            <v>3</v>
          </cell>
          <cell r="J483">
            <v>3</v>
          </cell>
          <cell r="K483">
            <v>3</v>
          </cell>
          <cell r="L483">
            <v>3</v>
          </cell>
          <cell r="M483">
            <v>2</v>
          </cell>
          <cell r="N483">
            <v>3</v>
          </cell>
          <cell r="O483">
            <v>2</v>
          </cell>
          <cell r="P483">
            <v>2</v>
          </cell>
          <cell r="Q483">
            <v>3</v>
          </cell>
          <cell r="R483">
            <v>3</v>
          </cell>
          <cell r="S483">
            <v>3</v>
          </cell>
          <cell r="T483">
            <v>2</v>
          </cell>
          <cell r="U483">
            <v>2</v>
          </cell>
        </row>
        <row r="484">
          <cell r="A484" t="str">
            <v>PWA59789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3</v>
          </cell>
          <cell r="I484">
            <v>0</v>
          </cell>
          <cell r="J484">
            <v>0</v>
          </cell>
          <cell r="K484">
            <v>3</v>
          </cell>
          <cell r="L484">
            <v>3</v>
          </cell>
          <cell r="M484">
            <v>2</v>
          </cell>
          <cell r="N484">
            <v>3</v>
          </cell>
          <cell r="O484">
            <v>2</v>
          </cell>
          <cell r="P484">
            <v>2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A485" t="str">
            <v>PWA59792</v>
          </cell>
          <cell r="B485">
            <v>8</v>
          </cell>
          <cell r="C485">
            <v>8</v>
          </cell>
          <cell r="D485">
            <v>8</v>
          </cell>
          <cell r="E485">
            <v>8</v>
          </cell>
          <cell r="F485">
            <v>8</v>
          </cell>
          <cell r="G485">
            <v>8</v>
          </cell>
          <cell r="H485">
            <v>8</v>
          </cell>
          <cell r="I485">
            <v>8</v>
          </cell>
          <cell r="J485">
            <v>8</v>
          </cell>
          <cell r="K485">
            <v>8</v>
          </cell>
          <cell r="L485">
            <v>8</v>
          </cell>
          <cell r="M485">
            <v>8</v>
          </cell>
          <cell r="N485">
            <v>8</v>
          </cell>
          <cell r="O485">
            <v>8</v>
          </cell>
          <cell r="P485">
            <v>8</v>
          </cell>
          <cell r="Q485">
            <v>8</v>
          </cell>
          <cell r="R485">
            <v>8</v>
          </cell>
          <cell r="S485">
            <v>8</v>
          </cell>
          <cell r="T485">
            <v>8</v>
          </cell>
          <cell r="U485">
            <v>8</v>
          </cell>
        </row>
        <row r="486">
          <cell r="A486" t="str">
            <v>PWA59803</v>
          </cell>
          <cell r="B486">
            <v>1</v>
          </cell>
          <cell r="C486">
            <v>1</v>
          </cell>
          <cell r="D486">
            <v>1</v>
          </cell>
          <cell r="E486">
            <v>1</v>
          </cell>
          <cell r="F486">
            <v>1</v>
          </cell>
          <cell r="G486">
            <v>1</v>
          </cell>
          <cell r="H486">
            <v>1</v>
          </cell>
          <cell r="I486">
            <v>1</v>
          </cell>
          <cell r="J486">
            <v>1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P486">
            <v>1</v>
          </cell>
          <cell r="Q486">
            <v>1</v>
          </cell>
          <cell r="R486">
            <v>1</v>
          </cell>
          <cell r="S486">
            <v>1</v>
          </cell>
          <cell r="T486">
            <v>1</v>
          </cell>
          <cell r="U486">
            <v>1</v>
          </cell>
        </row>
        <row r="487">
          <cell r="A487" t="str">
            <v>PWA59810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2</v>
          </cell>
          <cell r="I487">
            <v>0</v>
          </cell>
          <cell r="J487">
            <v>0</v>
          </cell>
          <cell r="K487">
            <v>2</v>
          </cell>
          <cell r="L487">
            <v>2</v>
          </cell>
          <cell r="M487">
            <v>1</v>
          </cell>
          <cell r="N487">
            <v>2</v>
          </cell>
          <cell r="O487">
            <v>2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</row>
        <row r="488">
          <cell r="A488" t="str">
            <v>PWA59811</v>
          </cell>
          <cell r="B488">
            <v>2</v>
          </cell>
          <cell r="C488">
            <v>2</v>
          </cell>
          <cell r="D488">
            <v>2</v>
          </cell>
          <cell r="E488">
            <v>0</v>
          </cell>
          <cell r="F488">
            <v>2</v>
          </cell>
          <cell r="G488">
            <v>0</v>
          </cell>
          <cell r="H488">
            <v>2</v>
          </cell>
          <cell r="I488">
            <v>2</v>
          </cell>
          <cell r="J488">
            <v>2</v>
          </cell>
          <cell r="K488">
            <v>2</v>
          </cell>
          <cell r="L488">
            <v>2</v>
          </cell>
          <cell r="M488">
            <v>0</v>
          </cell>
          <cell r="N488">
            <v>2</v>
          </cell>
          <cell r="O488">
            <v>0</v>
          </cell>
          <cell r="P488">
            <v>0</v>
          </cell>
          <cell r="Q488">
            <v>2</v>
          </cell>
          <cell r="R488">
            <v>2</v>
          </cell>
          <cell r="S488">
            <v>2</v>
          </cell>
          <cell r="T488">
            <v>0</v>
          </cell>
          <cell r="U488">
            <v>0</v>
          </cell>
        </row>
        <row r="489">
          <cell r="A489" t="str">
            <v>PWA59826</v>
          </cell>
          <cell r="B489">
            <v>1</v>
          </cell>
          <cell r="C489">
            <v>1</v>
          </cell>
          <cell r="D489">
            <v>1</v>
          </cell>
          <cell r="E489">
            <v>1</v>
          </cell>
          <cell r="F489">
            <v>1</v>
          </cell>
          <cell r="G489">
            <v>1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P489">
            <v>1</v>
          </cell>
          <cell r="Q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</row>
        <row r="490">
          <cell r="A490" t="str">
            <v>PWA59828</v>
          </cell>
          <cell r="B490">
            <v>1</v>
          </cell>
          <cell r="C490">
            <v>1</v>
          </cell>
          <cell r="D490">
            <v>1</v>
          </cell>
          <cell r="E490">
            <v>1</v>
          </cell>
          <cell r="F490">
            <v>1</v>
          </cell>
          <cell r="G490">
            <v>1</v>
          </cell>
          <cell r="H490">
            <v>1</v>
          </cell>
          <cell r="I490">
            <v>1</v>
          </cell>
          <cell r="J490">
            <v>1</v>
          </cell>
          <cell r="K490">
            <v>1</v>
          </cell>
          <cell r="L490">
            <v>1</v>
          </cell>
          <cell r="M490">
            <v>1</v>
          </cell>
          <cell r="N490">
            <v>1</v>
          </cell>
          <cell r="O490">
            <v>1</v>
          </cell>
          <cell r="P490">
            <v>0</v>
          </cell>
          <cell r="Q490">
            <v>1</v>
          </cell>
          <cell r="R490">
            <v>1</v>
          </cell>
          <cell r="S490">
            <v>1</v>
          </cell>
          <cell r="T490">
            <v>0</v>
          </cell>
          <cell r="U490">
            <v>1</v>
          </cell>
        </row>
        <row r="491">
          <cell r="A491" t="str">
            <v>PWA59836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1</v>
          </cell>
          <cell r="I491">
            <v>0</v>
          </cell>
          <cell r="J491">
            <v>0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O491">
            <v>1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</row>
        <row r="492">
          <cell r="A492" t="str">
            <v>PWA59837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1</v>
          </cell>
          <cell r="Q492">
            <v>1</v>
          </cell>
          <cell r="R492">
            <v>1</v>
          </cell>
          <cell r="S492">
            <v>1</v>
          </cell>
          <cell r="T492">
            <v>1</v>
          </cell>
          <cell r="U492">
            <v>0</v>
          </cell>
        </row>
        <row r="493">
          <cell r="A493" t="str">
            <v>PWA59847</v>
          </cell>
          <cell r="B493">
            <v>2</v>
          </cell>
          <cell r="C493">
            <v>2</v>
          </cell>
          <cell r="D493">
            <v>2</v>
          </cell>
          <cell r="E493">
            <v>1</v>
          </cell>
          <cell r="F493">
            <v>2</v>
          </cell>
          <cell r="G493">
            <v>1</v>
          </cell>
          <cell r="H493">
            <v>2</v>
          </cell>
          <cell r="I493">
            <v>2</v>
          </cell>
          <cell r="J493">
            <v>2</v>
          </cell>
          <cell r="K493">
            <v>2</v>
          </cell>
          <cell r="L493">
            <v>2</v>
          </cell>
          <cell r="M493">
            <v>1</v>
          </cell>
          <cell r="N493">
            <v>2</v>
          </cell>
          <cell r="O493">
            <v>1</v>
          </cell>
          <cell r="P493">
            <v>1</v>
          </cell>
          <cell r="Q493">
            <v>2</v>
          </cell>
          <cell r="R493">
            <v>2</v>
          </cell>
          <cell r="S493">
            <v>2</v>
          </cell>
          <cell r="T493">
            <v>1</v>
          </cell>
          <cell r="U493">
            <v>1</v>
          </cell>
        </row>
        <row r="494">
          <cell r="A494" t="str">
            <v>PWA59871</v>
          </cell>
          <cell r="B494">
            <v>2</v>
          </cell>
          <cell r="C494">
            <v>2</v>
          </cell>
          <cell r="D494">
            <v>2</v>
          </cell>
          <cell r="E494">
            <v>1</v>
          </cell>
          <cell r="F494">
            <v>2</v>
          </cell>
          <cell r="G494">
            <v>1</v>
          </cell>
          <cell r="H494">
            <v>2</v>
          </cell>
          <cell r="I494">
            <v>2</v>
          </cell>
          <cell r="J494">
            <v>2</v>
          </cell>
          <cell r="K494">
            <v>2</v>
          </cell>
          <cell r="L494">
            <v>2</v>
          </cell>
          <cell r="M494">
            <v>1</v>
          </cell>
          <cell r="N494">
            <v>2</v>
          </cell>
          <cell r="O494">
            <v>1</v>
          </cell>
          <cell r="P494">
            <v>1</v>
          </cell>
          <cell r="Q494">
            <v>2</v>
          </cell>
          <cell r="R494">
            <v>2</v>
          </cell>
          <cell r="S494">
            <v>2</v>
          </cell>
          <cell r="T494">
            <v>1</v>
          </cell>
          <cell r="U494">
            <v>1</v>
          </cell>
        </row>
        <row r="495">
          <cell r="A495" t="str">
            <v>PWA59872</v>
          </cell>
          <cell r="B495">
            <v>1</v>
          </cell>
          <cell r="C495">
            <v>1</v>
          </cell>
          <cell r="D495">
            <v>1</v>
          </cell>
          <cell r="E495">
            <v>1</v>
          </cell>
          <cell r="F495">
            <v>1</v>
          </cell>
          <cell r="G495">
            <v>1</v>
          </cell>
          <cell r="H495">
            <v>1</v>
          </cell>
          <cell r="I495">
            <v>1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O495">
            <v>1</v>
          </cell>
          <cell r="P495">
            <v>0</v>
          </cell>
          <cell r="Q495">
            <v>1</v>
          </cell>
          <cell r="R495">
            <v>1</v>
          </cell>
          <cell r="S495">
            <v>1</v>
          </cell>
          <cell r="T495">
            <v>0</v>
          </cell>
          <cell r="U495">
            <v>1</v>
          </cell>
        </row>
        <row r="496">
          <cell r="A496" t="str">
            <v>PWA59884</v>
          </cell>
          <cell r="B496">
            <v>4</v>
          </cell>
          <cell r="C496">
            <v>4</v>
          </cell>
          <cell r="D496">
            <v>4</v>
          </cell>
          <cell r="E496">
            <v>4</v>
          </cell>
          <cell r="F496">
            <v>4</v>
          </cell>
          <cell r="G496">
            <v>4</v>
          </cell>
          <cell r="H496">
            <v>4</v>
          </cell>
          <cell r="I496">
            <v>4</v>
          </cell>
          <cell r="J496">
            <v>4</v>
          </cell>
          <cell r="K496">
            <v>4</v>
          </cell>
          <cell r="L496">
            <v>4</v>
          </cell>
          <cell r="M496">
            <v>2</v>
          </cell>
          <cell r="N496">
            <v>4</v>
          </cell>
          <cell r="O496">
            <v>4</v>
          </cell>
          <cell r="P496">
            <v>0</v>
          </cell>
          <cell r="Q496">
            <v>4</v>
          </cell>
          <cell r="R496">
            <v>4</v>
          </cell>
          <cell r="S496">
            <v>4</v>
          </cell>
          <cell r="T496">
            <v>0</v>
          </cell>
          <cell r="U496">
            <v>4</v>
          </cell>
        </row>
        <row r="497">
          <cell r="A497" t="str">
            <v>PWA59915</v>
          </cell>
          <cell r="B497">
            <v>2</v>
          </cell>
          <cell r="C497">
            <v>2</v>
          </cell>
          <cell r="D497">
            <v>2</v>
          </cell>
          <cell r="E497">
            <v>1</v>
          </cell>
          <cell r="F497">
            <v>2</v>
          </cell>
          <cell r="G497">
            <v>1</v>
          </cell>
          <cell r="H497">
            <v>2</v>
          </cell>
          <cell r="I497">
            <v>2</v>
          </cell>
          <cell r="J497">
            <v>2</v>
          </cell>
          <cell r="K497">
            <v>2</v>
          </cell>
          <cell r="L497">
            <v>2</v>
          </cell>
          <cell r="M497">
            <v>1</v>
          </cell>
          <cell r="N497">
            <v>2</v>
          </cell>
          <cell r="O497">
            <v>1</v>
          </cell>
          <cell r="P497">
            <v>1</v>
          </cell>
          <cell r="Q497">
            <v>2</v>
          </cell>
          <cell r="R497">
            <v>2</v>
          </cell>
          <cell r="S497">
            <v>2</v>
          </cell>
          <cell r="T497">
            <v>1</v>
          </cell>
          <cell r="U497">
            <v>1</v>
          </cell>
        </row>
        <row r="498">
          <cell r="A498" t="str">
            <v>PWA59919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3</v>
          </cell>
          <cell r="I498">
            <v>0</v>
          </cell>
          <cell r="J498">
            <v>0</v>
          </cell>
          <cell r="K498">
            <v>3</v>
          </cell>
          <cell r="L498">
            <v>3</v>
          </cell>
          <cell r="M498">
            <v>2</v>
          </cell>
          <cell r="N498">
            <v>3</v>
          </cell>
          <cell r="O498">
            <v>2</v>
          </cell>
          <cell r="P498">
            <v>2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</row>
        <row r="499">
          <cell r="A499" t="str">
            <v>PWA59921</v>
          </cell>
          <cell r="B499">
            <v>1</v>
          </cell>
          <cell r="C499">
            <v>1</v>
          </cell>
          <cell r="D499">
            <v>1</v>
          </cell>
          <cell r="E499">
            <v>1</v>
          </cell>
          <cell r="F499">
            <v>1</v>
          </cell>
          <cell r="G499">
            <v>1</v>
          </cell>
          <cell r="H499">
            <v>1</v>
          </cell>
          <cell r="I499">
            <v>1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O499">
            <v>1</v>
          </cell>
          <cell r="P499">
            <v>1</v>
          </cell>
          <cell r="Q499">
            <v>1</v>
          </cell>
          <cell r="R499">
            <v>1</v>
          </cell>
          <cell r="S499">
            <v>1</v>
          </cell>
          <cell r="T499">
            <v>1</v>
          </cell>
          <cell r="U499">
            <v>1</v>
          </cell>
        </row>
        <row r="500">
          <cell r="A500" t="str">
            <v>PWA59928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2</v>
          </cell>
          <cell r="I500">
            <v>0</v>
          </cell>
          <cell r="J500">
            <v>0</v>
          </cell>
          <cell r="K500">
            <v>2</v>
          </cell>
          <cell r="L500">
            <v>2</v>
          </cell>
          <cell r="M500">
            <v>1</v>
          </cell>
          <cell r="N500">
            <v>2</v>
          </cell>
          <cell r="O500">
            <v>2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</row>
        <row r="501">
          <cell r="A501" t="str">
            <v>PWA59929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2</v>
          </cell>
          <cell r="I501">
            <v>0</v>
          </cell>
          <cell r="J501">
            <v>0</v>
          </cell>
          <cell r="K501">
            <v>2</v>
          </cell>
          <cell r="L501">
            <v>2</v>
          </cell>
          <cell r="M501">
            <v>1</v>
          </cell>
          <cell r="N501">
            <v>2</v>
          </cell>
          <cell r="O501">
            <v>2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</row>
        <row r="502">
          <cell r="A502" t="str">
            <v>PWA59936</v>
          </cell>
          <cell r="B502">
            <v>1</v>
          </cell>
          <cell r="C502">
            <v>1</v>
          </cell>
          <cell r="D502">
            <v>1</v>
          </cell>
          <cell r="E502">
            <v>1</v>
          </cell>
          <cell r="F502">
            <v>1</v>
          </cell>
          <cell r="G502">
            <v>1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1</v>
          </cell>
          <cell r="M502">
            <v>1</v>
          </cell>
          <cell r="N502">
            <v>1</v>
          </cell>
          <cell r="O502">
            <v>1</v>
          </cell>
          <cell r="P502">
            <v>1</v>
          </cell>
          <cell r="Q502">
            <v>1</v>
          </cell>
          <cell r="R502">
            <v>1</v>
          </cell>
          <cell r="S502">
            <v>1</v>
          </cell>
          <cell r="T502">
            <v>1</v>
          </cell>
          <cell r="U502">
            <v>1</v>
          </cell>
        </row>
        <row r="503">
          <cell r="A503" t="str">
            <v>PWA59937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3</v>
          </cell>
          <cell r="I503">
            <v>0</v>
          </cell>
          <cell r="J503">
            <v>0</v>
          </cell>
          <cell r="K503">
            <v>3</v>
          </cell>
          <cell r="L503">
            <v>3</v>
          </cell>
          <cell r="M503">
            <v>2</v>
          </cell>
          <cell r="N503">
            <v>3</v>
          </cell>
          <cell r="O503">
            <v>2</v>
          </cell>
          <cell r="P503">
            <v>2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</row>
        <row r="504">
          <cell r="A504" t="str">
            <v>PWA59938</v>
          </cell>
          <cell r="B504">
            <v>3</v>
          </cell>
          <cell r="C504">
            <v>3</v>
          </cell>
          <cell r="D504">
            <v>3</v>
          </cell>
          <cell r="E504">
            <v>2</v>
          </cell>
          <cell r="F504">
            <v>3</v>
          </cell>
          <cell r="G504">
            <v>2</v>
          </cell>
          <cell r="H504">
            <v>0</v>
          </cell>
          <cell r="I504">
            <v>3</v>
          </cell>
          <cell r="J504">
            <v>3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3</v>
          </cell>
          <cell r="R504">
            <v>3</v>
          </cell>
          <cell r="S504">
            <v>3</v>
          </cell>
          <cell r="T504">
            <v>2</v>
          </cell>
          <cell r="U504">
            <v>2</v>
          </cell>
        </row>
        <row r="505">
          <cell r="A505" t="str">
            <v>PWA59944</v>
          </cell>
          <cell r="B505">
            <v>2</v>
          </cell>
          <cell r="C505">
            <v>2</v>
          </cell>
          <cell r="D505">
            <v>2</v>
          </cell>
          <cell r="E505">
            <v>1</v>
          </cell>
          <cell r="F505">
            <v>2</v>
          </cell>
          <cell r="G505">
            <v>1</v>
          </cell>
          <cell r="H505">
            <v>2</v>
          </cell>
          <cell r="I505">
            <v>2</v>
          </cell>
          <cell r="J505">
            <v>2</v>
          </cell>
          <cell r="K505">
            <v>2</v>
          </cell>
          <cell r="L505">
            <v>2</v>
          </cell>
          <cell r="M505">
            <v>1</v>
          </cell>
          <cell r="N505">
            <v>2</v>
          </cell>
          <cell r="O505">
            <v>1</v>
          </cell>
          <cell r="P505">
            <v>1</v>
          </cell>
          <cell r="Q505">
            <v>2</v>
          </cell>
          <cell r="R505">
            <v>2</v>
          </cell>
          <cell r="S505">
            <v>2</v>
          </cell>
          <cell r="T505">
            <v>1</v>
          </cell>
          <cell r="U505">
            <v>1</v>
          </cell>
        </row>
        <row r="506">
          <cell r="A506" t="str">
            <v>PWA59946</v>
          </cell>
          <cell r="B506">
            <v>2</v>
          </cell>
          <cell r="C506">
            <v>2</v>
          </cell>
          <cell r="D506">
            <v>2</v>
          </cell>
          <cell r="E506">
            <v>1</v>
          </cell>
          <cell r="F506">
            <v>2</v>
          </cell>
          <cell r="G506">
            <v>1</v>
          </cell>
          <cell r="H506">
            <v>2</v>
          </cell>
          <cell r="I506">
            <v>2</v>
          </cell>
          <cell r="J506">
            <v>2</v>
          </cell>
          <cell r="K506">
            <v>2</v>
          </cell>
          <cell r="L506">
            <v>2</v>
          </cell>
          <cell r="M506">
            <v>1</v>
          </cell>
          <cell r="N506">
            <v>2</v>
          </cell>
          <cell r="O506">
            <v>1</v>
          </cell>
          <cell r="P506">
            <v>1</v>
          </cell>
          <cell r="Q506">
            <v>2</v>
          </cell>
          <cell r="R506">
            <v>2</v>
          </cell>
          <cell r="S506">
            <v>2</v>
          </cell>
          <cell r="T506">
            <v>1</v>
          </cell>
          <cell r="U506">
            <v>1</v>
          </cell>
        </row>
        <row r="507">
          <cell r="A507" t="str">
            <v>PWA59947</v>
          </cell>
          <cell r="B507">
            <v>1</v>
          </cell>
          <cell r="C507">
            <v>1</v>
          </cell>
          <cell r="D507">
            <v>1</v>
          </cell>
          <cell r="E507">
            <v>1</v>
          </cell>
          <cell r="F507">
            <v>1</v>
          </cell>
          <cell r="G507">
            <v>1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</row>
        <row r="508">
          <cell r="A508" t="str">
            <v>PWA59955</v>
          </cell>
          <cell r="B508">
            <v>1</v>
          </cell>
          <cell r="C508">
            <v>1</v>
          </cell>
          <cell r="D508">
            <v>1</v>
          </cell>
          <cell r="E508">
            <v>1</v>
          </cell>
          <cell r="F508">
            <v>1</v>
          </cell>
          <cell r="G508">
            <v>1</v>
          </cell>
          <cell r="H508">
            <v>1</v>
          </cell>
          <cell r="I508">
            <v>1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O508">
            <v>1</v>
          </cell>
          <cell r="P508">
            <v>0</v>
          </cell>
          <cell r="Q508">
            <v>1</v>
          </cell>
          <cell r="R508">
            <v>1</v>
          </cell>
          <cell r="S508">
            <v>1</v>
          </cell>
          <cell r="T508">
            <v>0</v>
          </cell>
          <cell r="U508">
            <v>1</v>
          </cell>
        </row>
        <row r="509">
          <cell r="A509" t="str">
            <v>PWA59966</v>
          </cell>
          <cell r="B509">
            <v>1</v>
          </cell>
          <cell r="C509">
            <v>1</v>
          </cell>
          <cell r="D509">
            <v>1</v>
          </cell>
          <cell r="E509">
            <v>1</v>
          </cell>
          <cell r="F509">
            <v>1</v>
          </cell>
          <cell r="G509">
            <v>1</v>
          </cell>
          <cell r="H509">
            <v>1</v>
          </cell>
          <cell r="I509">
            <v>1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O509">
            <v>1</v>
          </cell>
          <cell r="P509">
            <v>1</v>
          </cell>
          <cell r="Q509">
            <v>1</v>
          </cell>
          <cell r="R509">
            <v>1</v>
          </cell>
          <cell r="S509">
            <v>1</v>
          </cell>
          <cell r="T509">
            <v>1</v>
          </cell>
          <cell r="U509">
            <v>1</v>
          </cell>
        </row>
        <row r="510">
          <cell r="A510" t="str">
            <v>RR-JST15075000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</v>
          </cell>
          <cell r="J510">
            <v>0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P510">
            <v>1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</row>
        <row r="511">
          <cell r="A511" t="str">
            <v>RR-S3S25005000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</v>
          </cell>
          <cell r="J511">
            <v>0</v>
          </cell>
          <cell r="K511">
            <v>1</v>
          </cell>
          <cell r="L511">
            <v>1</v>
          </cell>
          <cell r="M511">
            <v>1</v>
          </cell>
          <cell r="N511">
            <v>1</v>
          </cell>
          <cell r="O511">
            <v>1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</row>
        <row r="512">
          <cell r="A512" t="str">
            <v>RR-S3S25054000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</v>
          </cell>
          <cell r="J512">
            <v>0</v>
          </cell>
          <cell r="K512">
            <v>1</v>
          </cell>
          <cell r="L512">
            <v>1</v>
          </cell>
          <cell r="M512">
            <v>1</v>
          </cell>
          <cell r="N512">
            <v>1</v>
          </cell>
          <cell r="O512">
            <v>1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</row>
        <row r="513">
          <cell r="A513" t="str">
            <v>RR-S3S25060000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</v>
          </cell>
          <cell r="J513">
            <v>0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</row>
        <row r="514">
          <cell r="A514" t="str">
            <v>RR-S3S25077000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1</v>
          </cell>
          <cell r="I514">
            <v>0</v>
          </cell>
          <cell r="J514">
            <v>0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</row>
        <row r="515">
          <cell r="A515" t="str">
            <v>RR-S3S25080000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1</v>
          </cell>
          <cell r="I515">
            <v>0</v>
          </cell>
          <cell r="J515">
            <v>0</v>
          </cell>
          <cell r="K515">
            <v>1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</row>
        <row r="516">
          <cell r="A516" t="str">
            <v>RR-S3S25082000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1</v>
          </cell>
          <cell r="I516">
            <v>0</v>
          </cell>
          <cell r="J516">
            <v>0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O516">
            <v>1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</row>
        <row r="517">
          <cell r="A517" t="str">
            <v>RR-S3S25088000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1</v>
          </cell>
          <cell r="I517">
            <v>0</v>
          </cell>
          <cell r="J517">
            <v>0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O517">
            <v>1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</row>
        <row r="518">
          <cell r="A518" t="str">
            <v>RR-S3S25111000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</v>
          </cell>
          <cell r="J518">
            <v>0</v>
          </cell>
          <cell r="K518">
            <v>1</v>
          </cell>
          <cell r="L518">
            <v>1</v>
          </cell>
          <cell r="M518">
            <v>1</v>
          </cell>
          <cell r="N518">
            <v>1</v>
          </cell>
          <cell r="O518">
            <v>1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</row>
        <row r="519">
          <cell r="A519" t="str">
            <v>RR-S3S25112000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1</v>
          </cell>
          <cell r="I519">
            <v>0</v>
          </cell>
          <cell r="J519">
            <v>0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</row>
        <row r="520">
          <cell r="A520" t="str">
            <v>RR-S3S25114000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1</v>
          </cell>
          <cell r="I520">
            <v>0</v>
          </cell>
          <cell r="J520">
            <v>0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</row>
        <row r="521">
          <cell r="A521" t="str">
            <v>RR-S3S25115000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1</v>
          </cell>
          <cell r="I521">
            <v>0</v>
          </cell>
          <cell r="J521">
            <v>0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O521">
            <v>1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</row>
        <row r="522">
          <cell r="A522" t="str">
            <v>RR-S3S25116000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1</v>
          </cell>
          <cell r="I522">
            <v>0</v>
          </cell>
          <cell r="J522">
            <v>0</v>
          </cell>
          <cell r="K522">
            <v>1</v>
          </cell>
          <cell r="L522">
            <v>1</v>
          </cell>
          <cell r="M522">
            <v>1</v>
          </cell>
          <cell r="N522">
            <v>1</v>
          </cell>
          <cell r="O522">
            <v>1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A523" t="str">
            <v>RR-S3S25117000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1</v>
          </cell>
          <cell r="I523">
            <v>0</v>
          </cell>
          <cell r="J523">
            <v>0</v>
          </cell>
          <cell r="K523">
            <v>1</v>
          </cell>
          <cell r="L523">
            <v>1</v>
          </cell>
          <cell r="M523">
            <v>1</v>
          </cell>
          <cell r="N523">
            <v>1</v>
          </cell>
          <cell r="O523">
            <v>1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A524" t="str">
            <v>RR-S3S25118000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1</v>
          </cell>
          <cell r="I524">
            <v>0</v>
          </cell>
          <cell r="J524">
            <v>0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O524">
            <v>1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A525" t="str">
            <v>RR-S3S25119000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1</v>
          </cell>
          <cell r="I525">
            <v>0</v>
          </cell>
          <cell r="J525">
            <v>0</v>
          </cell>
          <cell r="K525">
            <v>1</v>
          </cell>
          <cell r="L525">
            <v>1</v>
          </cell>
          <cell r="M525">
            <v>1</v>
          </cell>
          <cell r="N525">
            <v>1</v>
          </cell>
          <cell r="O525">
            <v>1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A526" t="str">
            <v>RR-S3S25125000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1</v>
          </cell>
          <cell r="I526">
            <v>0</v>
          </cell>
          <cell r="J526">
            <v>0</v>
          </cell>
          <cell r="K526">
            <v>1</v>
          </cell>
          <cell r="L526">
            <v>1</v>
          </cell>
          <cell r="M526">
            <v>1</v>
          </cell>
          <cell r="N526">
            <v>1</v>
          </cell>
          <cell r="O526">
            <v>1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A527" t="str">
            <v>RR-S3S25126000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1</v>
          </cell>
          <cell r="I527">
            <v>0</v>
          </cell>
          <cell r="J527">
            <v>0</v>
          </cell>
          <cell r="K527">
            <v>1</v>
          </cell>
          <cell r="L527">
            <v>1</v>
          </cell>
          <cell r="M527">
            <v>1</v>
          </cell>
          <cell r="N527">
            <v>1</v>
          </cell>
          <cell r="O527">
            <v>1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A528" t="str">
            <v>RR-S3S25127000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</v>
          </cell>
          <cell r="J528">
            <v>0</v>
          </cell>
          <cell r="K528">
            <v>1</v>
          </cell>
          <cell r="L528">
            <v>1</v>
          </cell>
          <cell r="M528">
            <v>1</v>
          </cell>
          <cell r="N528">
            <v>1</v>
          </cell>
          <cell r="O528">
            <v>1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A529" t="str">
            <v>RR-S3S25128000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1</v>
          </cell>
          <cell r="I529">
            <v>0</v>
          </cell>
          <cell r="J529">
            <v>0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</row>
        <row r="530">
          <cell r="A530" t="str">
            <v>RR-S3S25129000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O530">
            <v>1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</row>
        <row r="531">
          <cell r="A531" t="str">
            <v>RR-S3S25131000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</v>
          </cell>
          <cell r="J531">
            <v>0</v>
          </cell>
          <cell r="K531">
            <v>1</v>
          </cell>
          <cell r="L531">
            <v>1</v>
          </cell>
          <cell r="M531">
            <v>1</v>
          </cell>
          <cell r="N531">
            <v>1</v>
          </cell>
          <cell r="O531">
            <v>1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</row>
        <row r="532">
          <cell r="A532" t="str">
            <v>RR-S3S25134000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1</v>
          </cell>
          <cell r="I532">
            <v>0</v>
          </cell>
          <cell r="J532">
            <v>0</v>
          </cell>
          <cell r="K532">
            <v>1</v>
          </cell>
          <cell r="L532">
            <v>1</v>
          </cell>
          <cell r="M532">
            <v>1</v>
          </cell>
          <cell r="N532">
            <v>1</v>
          </cell>
          <cell r="O532">
            <v>1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</row>
        <row r="533">
          <cell r="A533" t="str">
            <v>RR-S3S25135000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1</v>
          </cell>
          <cell r="I533">
            <v>0</v>
          </cell>
          <cell r="J533">
            <v>0</v>
          </cell>
          <cell r="K533">
            <v>1</v>
          </cell>
          <cell r="L533">
            <v>1</v>
          </cell>
          <cell r="M533">
            <v>1</v>
          </cell>
          <cell r="N533">
            <v>1</v>
          </cell>
          <cell r="O533">
            <v>1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</row>
        <row r="534">
          <cell r="A534" t="str">
            <v>RR-S3S25136000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1</v>
          </cell>
          <cell r="I534">
            <v>0</v>
          </cell>
          <cell r="J534">
            <v>0</v>
          </cell>
          <cell r="K534">
            <v>1</v>
          </cell>
          <cell r="L534">
            <v>1</v>
          </cell>
          <cell r="M534">
            <v>1</v>
          </cell>
          <cell r="N534">
            <v>1</v>
          </cell>
          <cell r="O534">
            <v>1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</row>
        <row r="535">
          <cell r="A535" t="str">
            <v>RR-S3S25138000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1</v>
          </cell>
          <cell r="I535">
            <v>0</v>
          </cell>
          <cell r="J535">
            <v>0</v>
          </cell>
          <cell r="K535">
            <v>1</v>
          </cell>
          <cell r="L535">
            <v>1</v>
          </cell>
          <cell r="M535">
            <v>1</v>
          </cell>
          <cell r="N535">
            <v>1</v>
          </cell>
          <cell r="O535">
            <v>1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</row>
        <row r="536">
          <cell r="A536" t="str">
            <v>RR-S3S25139000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1</v>
          </cell>
          <cell r="L536">
            <v>1</v>
          </cell>
          <cell r="M536">
            <v>1</v>
          </cell>
          <cell r="N536">
            <v>1</v>
          </cell>
          <cell r="O536">
            <v>1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</row>
        <row r="537">
          <cell r="A537" t="str">
            <v>RR-S3S25141000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1</v>
          </cell>
          <cell r="I537">
            <v>0</v>
          </cell>
          <cell r="J537">
            <v>0</v>
          </cell>
          <cell r="K537">
            <v>1</v>
          </cell>
          <cell r="L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</row>
        <row r="538">
          <cell r="A538" t="str">
            <v>RR-S3S25161000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</row>
        <row r="539">
          <cell r="A539" t="str">
            <v>RR-S3S25164000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A540" t="str">
            <v>RR-S3S25167000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</v>
          </cell>
          <cell r="J540">
            <v>0</v>
          </cell>
          <cell r="K540">
            <v>1</v>
          </cell>
          <cell r="L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</row>
        <row r="541">
          <cell r="A541" t="str">
            <v>RR-S3S25168000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1</v>
          </cell>
          <cell r="I541">
            <v>0</v>
          </cell>
          <cell r="J541">
            <v>0</v>
          </cell>
          <cell r="K541">
            <v>1</v>
          </cell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</row>
        <row r="542">
          <cell r="A542" t="str">
            <v>RR-S3S25169000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1</v>
          </cell>
          <cell r="I542">
            <v>0</v>
          </cell>
          <cell r="J542">
            <v>0</v>
          </cell>
          <cell r="K542">
            <v>1</v>
          </cell>
          <cell r="L542">
            <v>1</v>
          </cell>
          <cell r="M542">
            <v>1</v>
          </cell>
          <cell r="N542">
            <v>1</v>
          </cell>
          <cell r="O542">
            <v>1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</row>
        <row r="543">
          <cell r="A543" t="str">
            <v>RR-S3S25172000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1</v>
          </cell>
          <cell r="I543">
            <v>0</v>
          </cell>
          <cell r="J543">
            <v>0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</row>
        <row r="544">
          <cell r="A544" t="str">
            <v>RR-S3S25173000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1</v>
          </cell>
          <cell r="I544">
            <v>0</v>
          </cell>
          <cell r="J544">
            <v>0</v>
          </cell>
          <cell r="K544">
            <v>1</v>
          </cell>
          <cell r="L544">
            <v>1</v>
          </cell>
          <cell r="M544">
            <v>1</v>
          </cell>
          <cell r="N544">
            <v>1</v>
          </cell>
          <cell r="O544">
            <v>1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</row>
        <row r="545">
          <cell r="A545" t="str">
            <v>RR-S3S25174000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1</v>
          </cell>
          <cell r="I545">
            <v>0</v>
          </cell>
          <cell r="J545">
            <v>0</v>
          </cell>
          <cell r="K545">
            <v>1</v>
          </cell>
          <cell r="L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</row>
        <row r="546">
          <cell r="A546" t="str">
            <v>RR-S3S25205000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1</v>
          </cell>
          <cell r="I546">
            <v>0</v>
          </cell>
          <cell r="J546">
            <v>0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</row>
        <row r="547">
          <cell r="A547" t="str">
            <v>TC0001</v>
          </cell>
          <cell r="B547">
            <v>7</v>
          </cell>
          <cell r="C547">
            <v>4</v>
          </cell>
          <cell r="D547">
            <v>4</v>
          </cell>
          <cell r="E547">
            <v>5</v>
          </cell>
          <cell r="F547">
            <v>7</v>
          </cell>
          <cell r="G547">
            <v>6</v>
          </cell>
          <cell r="H547">
            <v>6</v>
          </cell>
          <cell r="I547">
            <v>7</v>
          </cell>
          <cell r="J547">
            <v>4</v>
          </cell>
          <cell r="K547">
            <v>6</v>
          </cell>
          <cell r="L547">
            <v>6</v>
          </cell>
          <cell r="M547">
            <v>4</v>
          </cell>
          <cell r="N547">
            <v>4</v>
          </cell>
          <cell r="O547">
            <v>4</v>
          </cell>
          <cell r="P547">
            <v>0</v>
          </cell>
          <cell r="Q547">
            <v>4</v>
          </cell>
          <cell r="R547">
            <v>6</v>
          </cell>
          <cell r="S547">
            <v>5</v>
          </cell>
          <cell r="T547">
            <v>0</v>
          </cell>
          <cell r="U547">
            <v>4</v>
          </cell>
        </row>
        <row r="548">
          <cell r="A548" t="str">
            <v>TC0002</v>
          </cell>
          <cell r="B548">
            <v>1</v>
          </cell>
          <cell r="C548">
            <v>1</v>
          </cell>
          <cell r="D548">
            <v>1</v>
          </cell>
          <cell r="E548">
            <v>1</v>
          </cell>
          <cell r="F548">
            <v>1</v>
          </cell>
          <cell r="G548">
            <v>1</v>
          </cell>
          <cell r="H548">
            <v>1</v>
          </cell>
          <cell r="I548">
            <v>1</v>
          </cell>
          <cell r="J548">
            <v>0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0</v>
          </cell>
          <cell r="Q548">
            <v>1</v>
          </cell>
          <cell r="R548">
            <v>1</v>
          </cell>
          <cell r="S548">
            <v>1</v>
          </cell>
          <cell r="T548">
            <v>0</v>
          </cell>
          <cell r="U548">
            <v>1</v>
          </cell>
        </row>
        <row r="549">
          <cell r="A549" t="str">
            <v>TC0004</v>
          </cell>
          <cell r="B549">
            <v>4</v>
          </cell>
          <cell r="C549">
            <v>1</v>
          </cell>
          <cell r="D549">
            <v>1</v>
          </cell>
          <cell r="E549">
            <v>2</v>
          </cell>
          <cell r="F549">
            <v>4</v>
          </cell>
          <cell r="G549">
            <v>3</v>
          </cell>
          <cell r="H549">
            <v>4</v>
          </cell>
          <cell r="I549">
            <v>4</v>
          </cell>
          <cell r="J549">
            <v>1</v>
          </cell>
          <cell r="K549">
            <v>4</v>
          </cell>
          <cell r="L549">
            <v>3</v>
          </cell>
          <cell r="M549">
            <v>3</v>
          </cell>
          <cell r="N549">
            <v>1</v>
          </cell>
          <cell r="O549">
            <v>1</v>
          </cell>
          <cell r="P549">
            <v>0</v>
          </cell>
          <cell r="Q549">
            <v>1</v>
          </cell>
          <cell r="R549">
            <v>4</v>
          </cell>
          <cell r="S549">
            <v>2</v>
          </cell>
          <cell r="T549">
            <v>0</v>
          </cell>
          <cell r="U549">
            <v>1</v>
          </cell>
        </row>
        <row r="550">
          <cell r="A550" t="str">
            <v>TC0005</v>
          </cell>
          <cell r="B550">
            <v>4</v>
          </cell>
          <cell r="C550">
            <v>1</v>
          </cell>
          <cell r="D550">
            <v>1</v>
          </cell>
          <cell r="E550">
            <v>2</v>
          </cell>
          <cell r="F550">
            <v>4</v>
          </cell>
          <cell r="G550">
            <v>3</v>
          </cell>
          <cell r="H550">
            <v>4</v>
          </cell>
          <cell r="I550">
            <v>4</v>
          </cell>
          <cell r="J550">
            <v>1</v>
          </cell>
          <cell r="K550">
            <v>4</v>
          </cell>
          <cell r="L550">
            <v>3</v>
          </cell>
          <cell r="M550">
            <v>3</v>
          </cell>
          <cell r="N550">
            <v>1</v>
          </cell>
          <cell r="O550">
            <v>1</v>
          </cell>
          <cell r="P550">
            <v>0</v>
          </cell>
          <cell r="Q550">
            <v>1</v>
          </cell>
          <cell r="R550">
            <v>4</v>
          </cell>
          <cell r="S550">
            <v>2</v>
          </cell>
          <cell r="T550">
            <v>0</v>
          </cell>
          <cell r="U550">
            <v>1</v>
          </cell>
        </row>
        <row r="551">
          <cell r="A551" t="str">
            <v>TC0006</v>
          </cell>
          <cell r="B551">
            <v>4</v>
          </cell>
          <cell r="C551">
            <v>1</v>
          </cell>
          <cell r="D551">
            <v>1</v>
          </cell>
          <cell r="E551">
            <v>2</v>
          </cell>
          <cell r="F551">
            <v>4</v>
          </cell>
          <cell r="G551">
            <v>3</v>
          </cell>
          <cell r="H551">
            <v>4</v>
          </cell>
          <cell r="I551">
            <v>4</v>
          </cell>
          <cell r="J551">
            <v>1</v>
          </cell>
          <cell r="K551">
            <v>4</v>
          </cell>
          <cell r="L551">
            <v>3</v>
          </cell>
          <cell r="M551">
            <v>3</v>
          </cell>
          <cell r="N551">
            <v>1</v>
          </cell>
          <cell r="O551">
            <v>1</v>
          </cell>
          <cell r="P551">
            <v>1</v>
          </cell>
          <cell r="Q551">
            <v>1</v>
          </cell>
          <cell r="R551">
            <v>4</v>
          </cell>
          <cell r="S551">
            <v>2</v>
          </cell>
          <cell r="T551">
            <v>1</v>
          </cell>
          <cell r="U551">
            <v>1</v>
          </cell>
        </row>
        <row r="552">
          <cell r="A552" t="str">
            <v>TC0007</v>
          </cell>
          <cell r="B552">
            <v>4</v>
          </cell>
          <cell r="C552">
            <v>1</v>
          </cell>
          <cell r="D552">
            <v>1</v>
          </cell>
          <cell r="E552">
            <v>2</v>
          </cell>
          <cell r="F552">
            <v>4</v>
          </cell>
          <cell r="G552">
            <v>3</v>
          </cell>
          <cell r="H552">
            <v>4</v>
          </cell>
          <cell r="I552">
            <v>4</v>
          </cell>
          <cell r="J552">
            <v>1</v>
          </cell>
          <cell r="K552">
            <v>4</v>
          </cell>
          <cell r="L552">
            <v>3</v>
          </cell>
          <cell r="M552">
            <v>3</v>
          </cell>
          <cell r="N552">
            <v>1</v>
          </cell>
          <cell r="O552">
            <v>1</v>
          </cell>
          <cell r="P552">
            <v>0</v>
          </cell>
          <cell r="Q552">
            <v>1</v>
          </cell>
          <cell r="R552">
            <v>4</v>
          </cell>
          <cell r="S552">
            <v>2</v>
          </cell>
          <cell r="T552">
            <v>0</v>
          </cell>
          <cell r="U552">
            <v>1</v>
          </cell>
        </row>
        <row r="553">
          <cell r="A553" t="str">
            <v>TC0008</v>
          </cell>
          <cell r="B553">
            <v>4</v>
          </cell>
          <cell r="C553">
            <v>1</v>
          </cell>
          <cell r="D553">
            <v>1</v>
          </cell>
          <cell r="E553">
            <v>2</v>
          </cell>
          <cell r="F553">
            <v>4</v>
          </cell>
          <cell r="G553">
            <v>3</v>
          </cell>
          <cell r="H553">
            <v>4</v>
          </cell>
          <cell r="I553">
            <v>4</v>
          </cell>
          <cell r="J553">
            <v>1</v>
          </cell>
          <cell r="K553">
            <v>4</v>
          </cell>
          <cell r="L553">
            <v>3</v>
          </cell>
          <cell r="M553">
            <v>3</v>
          </cell>
          <cell r="N553">
            <v>1</v>
          </cell>
          <cell r="O553">
            <v>1</v>
          </cell>
          <cell r="P553">
            <v>0</v>
          </cell>
          <cell r="Q553">
            <v>1</v>
          </cell>
          <cell r="R553">
            <v>4</v>
          </cell>
          <cell r="S553">
            <v>2</v>
          </cell>
          <cell r="T553">
            <v>0</v>
          </cell>
          <cell r="U553">
            <v>1</v>
          </cell>
        </row>
        <row r="554">
          <cell r="A554" t="str">
            <v>TC0009</v>
          </cell>
          <cell r="B554">
            <v>4</v>
          </cell>
          <cell r="C554">
            <v>1</v>
          </cell>
          <cell r="D554">
            <v>1</v>
          </cell>
          <cell r="E554">
            <v>2</v>
          </cell>
          <cell r="F554">
            <v>4</v>
          </cell>
          <cell r="G554">
            <v>3</v>
          </cell>
          <cell r="H554">
            <v>4</v>
          </cell>
          <cell r="I554">
            <v>4</v>
          </cell>
          <cell r="J554">
            <v>1</v>
          </cell>
          <cell r="K554">
            <v>4</v>
          </cell>
          <cell r="L554">
            <v>3</v>
          </cell>
          <cell r="M554">
            <v>3</v>
          </cell>
          <cell r="N554">
            <v>1</v>
          </cell>
          <cell r="O554">
            <v>1</v>
          </cell>
          <cell r="P554">
            <v>0</v>
          </cell>
          <cell r="Q554">
            <v>1</v>
          </cell>
          <cell r="R554">
            <v>4</v>
          </cell>
          <cell r="S554">
            <v>2</v>
          </cell>
          <cell r="T554">
            <v>0</v>
          </cell>
          <cell r="U554">
            <v>1</v>
          </cell>
        </row>
        <row r="555">
          <cell r="A555" t="str">
            <v>TC0010</v>
          </cell>
          <cell r="B555">
            <v>3</v>
          </cell>
          <cell r="C555">
            <v>2</v>
          </cell>
          <cell r="D555">
            <v>2</v>
          </cell>
          <cell r="E555">
            <v>2</v>
          </cell>
          <cell r="F555">
            <v>3</v>
          </cell>
          <cell r="G555">
            <v>3</v>
          </cell>
          <cell r="H555">
            <v>3</v>
          </cell>
          <cell r="I555">
            <v>3</v>
          </cell>
          <cell r="J555">
            <v>2</v>
          </cell>
          <cell r="K555">
            <v>3</v>
          </cell>
          <cell r="L555">
            <v>3</v>
          </cell>
          <cell r="M555">
            <v>3</v>
          </cell>
          <cell r="N555">
            <v>2</v>
          </cell>
          <cell r="O555">
            <v>2</v>
          </cell>
          <cell r="P555">
            <v>1</v>
          </cell>
          <cell r="Q555">
            <v>2</v>
          </cell>
          <cell r="R555">
            <v>4</v>
          </cell>
          <cell r="S555">
            <v>2</v>
          </cell>
          <cell r="T555">
            <v>1</v>
          </cell>
          <cell r="U555">
            <v>2</v>
          </cell>
        </row>
        <row r="556">
          <cell r="A556" t="str">
            <v>TC0011</v>
          </cell>
          <cell r="B556">
            <v>7</v>
          </cell>
          <cell r="C556">
            <v>6</v>
          </cell>
          <cell r="D556">
            <v>6</v>
          </cell>
          <cell r="E556">
            <v>5</v>
          </cell>
          <cell r="F556">
            <v>7</v>
          </cell>
          <cell r="G556">
            <v>5</v>
          </cell>
          <cell r="H556">
            <v>8</v>
          </cell>
          <cell r="I556">
            <v>7</v>
          </cell>
          <cell r="J556">
            <v>6</v>
          </cell>
          <cell r="K556">
            <v>8</v>
          </cell>
          <cell r="L556">
            <v>7</v>
          </cell>
          <cell r="M556">
            <v>4</v>
          </cell>
          <cell r="N556">
            <v>6</v>
          </cell>
          <cell r="O556">
            <v>5</v>
          </cell>
          <cell r="P556">
            <v>0</v>
          </cell>
          <cell r="Q556">
            <v>6</v>
          </cell>
          <cell r="R556">
            <v>8</v>
          </cell>
          <cell r="S556">
            <v>6</v>
          </cell>
          <cell r="T556">
            <v>0</v>
          </cell>
          <cell r="U556">
            <v>5</v>
          </cell>
        </row>
        <row r="557">
          <cell r="A557" t="str">
            <v>TC0012</v>
          </cell>
          <cell r="B557">
            <v>5</v>
          </cell>
          <cell r="C557">
            <v>4</v>
          </cell>
          <cell r="D557">
            <v>4</v>
          </cell>
          <cell r="E557">
            <v>4</v>
          </cell>
          <cell r="F557">
            <v>5</v>
          </cell>
          <cell r="G557">
            <v>4</v>
          </cell>
          <cell r="H557">
            <v>6</v>
          </cell>
          <cell r="I557">
            <v>5</v>
          </cell>
          <cell r="J557">
            <v>0</v>
          </cell>
          <cell r="K557">
            <v>6</v>
          </cell>
          <cell r="L557">
            <v>5</v>
          </cell>
          <cell r="M557">
            <v>3</v>
          </cell>
          <cell r="N557">
            <v>3</v>
          </cell>
          <cell r="O557">
            <v>3</v>
          </cell>
          <cell r="P557">
            <v>0</v>
          </cell>
          <cell r="Q557">
            <v>1</v>
          </cell>
          <cell r="R557">
            <v>4</v>
          </cell>
          <cell r="S557">
            <v>2</v>
          </cell>
          <cell r="T557">
            <v>0</v>
          </cell>
          <cell r="U557">
            <v>4</v>
          </cell>
        </row>
        <row r="558">
          <cell r="A558" t="str">
            <v>TC0013</v>
          </cell>
          <cell r="B558">
            <v>4</v>
          </cell>
          <cell r="C558">
            <v>1</v>
          </cell>
          <cell r="D558">
            <v>1</v>
          </cell>
          <cell r="E558">
            <v>2</v>
          </cell>
          <cell r="F558">
            <v>4</v>
          </cell>
          <cell r="G558">
            <v>3</v>
          </cell>
          <cell r="H558">
            <v>4</v>
          </cell>
          <cell r="I558">
            <v>4</v>
          </cell>
          <cell r="J558">
            <v>1</v>
          </cell>
          <cell r="K558">
            <v>4</v>
          </cell>
          <cell r="L558">
            <v>3</v>
          </cell>
          <cell r="M558">
            <v>3</v>
          </cell>
          <cell r="N558">
            <v>1</v>
          </cell>
          <cell r="O558">
            <v>1</v>
          </cell>
          <cell r="P558">
            <v>0</v>
          </cell>
          <cell r="Q558">
            <v>1</v>
          </cell>
          <cell r="R558">
            <v>4</v>
          </cell>
          <cell r="S558">
            <v>2</v>
          </cell>
          <cell r="T558">
            <v>0</v>
          </cell>
          <cell r="U558">
            <v>1</v>
          </cell>
        </row>
        <row r="559">
          <cell r="A559" t="str">
            <v>TC0014</v>
          </cell>
          <cell r="B559">
            <v>9</v>
          </cell>
          <cell r="C559">
            <v>7</v>
          </cell>
          <cell r="D559">
            <v>7</v>
          </cell>
          <cell r="E559">
            <v>5</v>
          </cell>
          <cell r="F559">
            <v>9</v>
          </cell>
          <cell r="G559">
            <v>6</v>
          </cell>
          <cell r="H559">
            <v>9</v>
          </cell>
          <cell r="I559">
            <v>9</v>
          </cell>
          <cell r="J559">
            <v>7</v>
          </cell>
          <cell r="K559">
            <v>9</v>
          </cell>
          <cell r="L559">
            <v>8</v>
          </cell>
          <cell r="M559">
            <v>6</v>
          </cell>
          <cell r="N559">
            <v>7</v>
          </cell>
          <cell r="O559">
            <v>5</v>
          </cell>
          <cell r="P559">
            <v>0</v>
          </cell>
          <cell r="Q559">
            <v>7</v>
          </cell>
          <cell r="R559">
            <v>9</v>
          </cell>
          <cell r="S559">
            <v>7</v>
          </cell>
          <cell r="T559">
            <v>0</v>
          </cell>
          <cell r="U559">
            <v>5</v>
          </cell>
        </row>
        <row r="560">
          <cell r="A560" t="str">
            <v>TC0015</v>
          </cell>
          <cell r="B560">
            <v>10</v>
          </cell>
          <cell r="C560">
            <v>8</v>
          </cell>
          <cell r="D560">
            <v>8</v>
          </cell>
          <cell r="E560">
            <v>4</v>
          </cell>
          <cell r="F560">
            <v>10</v>
          </cell>
          <cell r="G560">
            <v>5</v>
          </cell>
          <cell r="H560">
            <v>9</v>
          </cell>
          <cell r="I560">
            <v>10</v>
          </cell>
          <cell r="J560">
            <v>8</v>
          </cell>
          <cell r="K560">
            <v>9</v>
          </cell>
          <cell r="L560">
            <v>8</v>
          </cell>
          <cell r="M560">
            <v>6</v>
          </cell>
          <cell r="N560">
            <v>7</v>
          </cell>
          <cell r="O560">
            <v>5</v>
          </cell>
          <cell r="P560">
            <v>0</v>
          </cell>
          <cell r="Q560">
            <v>7</v>
          </cell>
          <cell r="R560">
            <v>9</v>
          </cell>
          <cell r="S560">
            <v>7</v>
          </cell>
          <cell r="T560">
            <v>0</v>
          </cell>
          <cell r="U560">
            <v>4</v>
          </cell>
        </row>
        <row r="561">
          <cell r="A561" t="str">
            <v>TC0016</v>
          </cell>
          <cell r="B561">
            <v>9</v>
          </cell>
          <cell r="C561">
            <v>7</v>
          </cell>
          <cell r="D561">
            <v>7</v>
          </cell>
          <cell r="E561">
            <v>5</v>
          </cell>
          <cell r="F561">
            <v>9</v>
          </cell>
          <cell r="G561">
            <v>6</v>
          </cell>
          <cell r="H561">
            <v>9</v>
          </cell>
          <cell r="I561">
            <v>9</v>
          </cell>
          <cell r="J561">
            <v>7</v>
          </cell>
          <cell r="K561">
            <v>9</v>
          </cell>
          <cell r="L561">
            <v>8</v>
          </cell>
          <cell r="M561">
            <v>6</v>
          </cell>
          <cell r="N561">
            <v>7</v>
          </cell>
          <cell r="O561">
            <v>5</v>
          </cell>
          <cell r="P561">
            <v>0</v>
          </cell>
          <cell r="Q561">
            <v>7</v>
          </cell>
          <cell r="R561">
            <v>9</v>
          </cell>
          <cell r="S561">
            <v>7</v>
          </cell>
          <cell r="T561">
            <v>0</v>
          </cell>
          <cell r="U561">
            <v>5</v>
          </cell>
        </row>
        <row r="562">
          <cell r="A562" t="str">
            <v>TC0017</v>
          </cell>
          <cell r="B562">
            <v>10</v>
          </cell>
          <cell r="C562">
            <v>8</v>
          </cell>
          <cell r="D562">
            <v>8</v>
          </cell>
          <cell r="E562">
            <v>6</v>
          </cell>
          <cell r="F562">
            <v>10</v>
          </cell>
          <cell r="G562">
            <v>7</v>
          </cell>
          <cell r="H562">
            <v>10</v>
          </cell>
          <cell r="I562">
            <v>10</v>
          </cell>
          <cell r="J562">
            <v>8</v>
          </cell>
          <cell r="K562">
            <v>10</v>
          </cell>
          <cell r="L562">
            <v>9</v>
          </cell>
          <cell r="M562">
            <v>7</v>
          </cell>
          <cell r="N562">
            <v>8</v>
          </cell>
          <cell r="O562">
            <v>6</v>
          </cell>
          <cell r="P562">
            <v>0</v>
          </cell>
          <cell r="Q562">
            <v>8</v>
          </cell>
          <cell r="R562">
            <v>10</v>
          </cell>
          <cell r="S562">
            <v>8</v>
          </cell>
          <cell r="T562">
            <v>0</v>
          </cell>
          <cell r="U562">
            <v>6</v>
          </cell>
        </row>
        <row r="563">
          <cell r="A563" t="str">
            <v>TC0018</v>
          </cell>
          <cell r="B563">
            <v>9</v>
          </cell>
          <cell r="C563">
            <v>7</v>
          </cell>
          <cell r="D563">
            <v>7</v>
          </cell>
          <cell r="E563">
            <v>5</v>
          </cell>
          <cell r="F563">
            <v>9</v>
          </cell>
          <cell r="G563">
            <v>6</v>
          </cell>
          <cell r="H563">
            <v>9</v>
          </cell>
          <cell r="I563">
            <v>9</v>
          </cell>
          <cell r="J563">
            <v>7</v>
          </cell>
          <cell r="K563">
            <v>9</v>
          </cell>
          <cell r="L563">
            <v>8</v>
          </cell>
          <cell r="M563">
            <v>6</v>
          </cell>
          <cell r="N563">
            <v>7</v>
          </cell>
          <cell r="O563">
            <v>5</v>
          </cell>
          <cell r="P563">
            <v>0</v>
          </cell>
          <cell r="Q563">
            <v>7</v>
          </cell>
          <cell r="R563">
            <v>9</v>
          </cell>
          <cell r="S563">
            <v>7</v>
          </cell>
          <cell r="T563">
            <v>0</v>
          </cell>
          <cell r="U563">
            <v>5</v>
          </cell>
        </row>
        <row r="564">
          <cell r="A564" t="str">
            <v>TC0019</v>
          </cell>
          <cell r="B564">
            <v>9</v>
          </cell>
          <cell r="C564">
            <v>7</v>
          </cell>
          <cell r="D564">
            <v>7</v>
          </cell>
          <cell r="E564">
            <v>5</v>
          </cell>
          <cell r="F564">
            <v>9</v>
          </cell>
          <cell r="G564">
            <v>6</v>
          </cell>
          <cell r="H564">
            <v>9</v>
          </cell>
          <cell r="I564">
            <v>9</v>
          </cell>
          <cell r="J564">
            <v>7</v>
          </cell>
          <cell r="K564">
            <v>9</v>
          </cell>
          <cell r="L564">
            <v>8</v>
          </cell>
          <cell r="M564">
            <v>6</v>
          </cell>
          <cell r="N564">
            <v>7</v>
          </cell>
          <cell r="O564">
            <v>5</v>
          </cell>
          <cell r="P564">
            <v>0</v>
          </cell>
          <cell r="Q564">
            <v>7</v>
          </cell>
          <cell r="R564">
            <v>9</v>
          </cell>
          <cell r="S564">
            <v>7</v>
          </cell>
          <cell r="T564">
            <v>0</v>
          </cell>
          <cell r="U564">
            <v>5</v>
          </cell>
        </row>
        <row r="565">
          <cell r="A565" t="str">
            <v>TC0021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1</v>
          </cell>
          <cell r="I565">
            <v>0</v>
          </cell>
          <cell r="J565">
            <v>0</v>
          </cell>
          <cell r="K565">
            <v>1</v>
          </cell>
          <cell r="L565">
            <v>1</v>
          </cell>
          <cell r="M565">
            <v>1</v>
          </cell>
          <cell r="N565">
            <v>1</v>
          </cell>
          <cell r="O565">
            <v>1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</row>
        <row r="566">
          <cell r="A566" t="str">
            <v>TC0022</v>
          </cell>
          <cell r="B566">
            <v>1</v>
          </cell>
          <cell r="C566">
            <v>1</v>
          </cell>
          <cell r="D566">
            <v>1</v>
          </cell>
          <cell r="E566">
            <v>1</v>
          </cell>
          <cell r="F566">
            <v>1</v>
          </cell>
          <cell r="G566">
            <v>1</v>
          </cell>
          <cell r="H566">
            <v>1</v>
          </cell>
          <cell r="I566">
            <v>1</v>
          </cell>
          <cell r="J566">
            <v>1</v>
          </cell>
          <cell r="K566">
            <v>1</v>
          </cell>
          <cell r="L566">
            <v>1</v>
          </cell>
          <cell r="M566">
            <v>1</v>
          </cell>
          <cell r="N566">
            <v>1</v>
          </cell>
          <cell r="O566">
            <v>1</v>
          </cell>
          <cell r="P566">
            <v>1</v>
          </cell>
          <cell r="Q566">
            <v>1</v>
          </cell>
          <cell r="R566">
            <v>1</v>
          </cell>
          <cell r="S566">
            <v>1</v>
          </cell>
          <cell r="T566">
            <v>1</v>
          </cell>
          <cell r="U566">
            <v>1</v>
          </cell>
        </row>
        <row r="567">
          <cell r="A567" t="str">
            <v>TC0023</v>
          </cell>
          <cell r="B567">
            <v>2</v>
          </cell>
          <cell r="C567">
            <v>2</v>
          </cell>
          <cell r="D567">
            <v>2</v>
          </cell>
          <cell r="E567">
            <v>2</v>
          </cell>
          <cell r="F567">
            <v>2</v>
          </cell>
          <cell r="G567">
            <v>2</v>
          </cell>
          <cell r="H567">
            <v>2</v>
          </cell>
          <cell r="I567">
            <v>2</v>
          </cell>
          <cell r="J567">
            <v>2</v>
          </cell>
          <cell r="K567">
            <v>2</v>
          </cell>
          <cell r="L567">
            <v>2</v>
          </cell>
          <cell r="M567">
            <v>2</v>
          </cell>
          <cell r="N567">
            <v>2</v>
          </cell>
          <cell r="O567">
            <v>2</v>
          </cell>
          <cell r="P567">
            <v>2</v>
          </cell>
          <cell r="Q567">
            <v>2</v>
          </cell>
          <cell r="R567">
            <v>2</v>
          </cell>
          <cell r="S567">
            <v>2</v>
          </cell>
          <cell r="T567">
            <v>2</v>
          </cell>
          <cell r="U567">
            <v>2</v>
          </cell>
        </row>
        <row r="568">
          <cell r="A568" t="str">
            <v>TC0024</v>
          </cell>
          <cell r="B568">
            <v>2</v>
          </cell>
          <cell r="C568">
            <v>2</v>
          </cell>
          <cell r="D568">
            <v>2</v>
          </cell>
          <cell r="E568">
            <v>0</v>
          </cell>
          <cell r="F568">
            <v>2</v>
          </cell>
          <cell r="G568">
            <v>0</v>
          </cell>
          <cell r="H568">
            <v>2</v>
          </cell>
          <cell r="I568">
            <v>2</v>
          </cell>
          <cell r="J568">
            <v>2</v>
          </cell>
          <cell r="K568">
            <v>2</v>
          </cell>
          <cell r="L568">
            <v>2</v>
          </cell>
          <cell r="M568">
            <v>0</v>
          </cell>
          <cell r="N568">
            <v>2</v>
          </cell>
          <cell r="O568">
            <v>0</v>
          </cell>
          <cell r="P568">
            <v>1</v>
          </cell>
          <cell r="Q568">
            <v>2</v>
          </cell>
          <cell r="R568">
            <v>2</v>
          </cell>
          <cell r="S568">
            <v>2</v>
          </cell>
          <cell r="T568">
            <v>2</v>
          </cell>
          <cell r="U568">
            <v>0</v>
          </cell>
        </row>
        <row r="569">
          <cell r="A569" t="str">
            <v>TC0025</v>
          </cell>
          <cell r="B569">
            <v>2</v>
          </cell>
          <cell r="C569">
            <v>2</v>
          </cell>
          <cell r="D569">
            <v>2</v>
          </cell>
          <cell r="E569">
            <v>2</v>
          </cell>
          <cell r="F569">
            <v>2</v>
          </cell>
          <cell r="G569">
            <v>2</v>
          </cell>
          <cell r="H569">
            <v>2</v>
          </cell>
          <cell r="I569">
            <v>2</v>
          </cell>
          <cell r="J569">
            <v>2</v>
          </cell>
          <cell r="K569">
            <v>2</v>
          </cell>
          <cell r="L569">
            <v>2</v>
          </cell>
          <cell r="M569">
            <v>2</v>
          </cell>
          <cell r="N569">
            <v>2</v>
          </cell>
          <cell r="O569">
            <v>2</v>
          </cell>
          <cell r="P569">
            <v>1</v>
          </cell>
          <cell r="Q569">
            <v>2</v>
          </cell>
          <cell r="R569">
            <v>2</v>
          </cell>
          <cell r="S569">
            <v>2</v>
          </cell>
          <cell r="T569">
            <v>2</v>
          </cell>
          <cell r="U569">
            <v>2</v>
          </cell>
        </row>
        <row r="570">
          <cell r="A570" t="str">
            <v>TC0028</v>
          </cell>
          <cell r="B570">
            <v>8</v>
          </cell>
          <cell r="C570">
            <v>4</v>
          </cell>
          <cell r="D570">
            <v>4</v>
          </cell>
          <cell r="E570">
            <v>5</v>
          </cell>
          <cell r="F570">
            <v>8</v>
          </cell>
          <cell r="G570">
            <v>6</v>
          </cell>
          <cell r="H570">
            <v>7</v>
          </cell>
          <cell r="I570">
            <v>8</v>
          </cell>
          <cell r="J570">
            <v>3</v>
          </cell>
          <cell r="K570">
            <v>8</v>
          </cell>
          <cell r="L570">
            <v>6</v>
          </cell>
          <cell r="M570">
            <v>4</v>
          </cell>
          <cell r="N570">
            <v>3</v>
          </cell>
          <cell r="O570">
            <v>3</v>
          </cell>
          <cell r="P570">
            <v>1</v>
          </cell>
          <cell r="Q570">
            <v>4</v>
          </cell>
          <cell r="R570">
            <v>8</v>
          </cell>
          <cell r="S570">
            <v>5</v>
          </cell>
          <cell r="T570">
            <v>0</v>
          </cell>
          <cell r="U570">
            <v>3</v>
          </cell>
        </row>
        <row r="571">
          <cell r="A571" t="str">
            <v>TC0029</v>
          </cell>
          <cell r="B571">
            <v>2</v>
          </cell>
          <cell r="C571">
            <v>2</v>
          </cell>
          <cell r="D571">
            <v>2</v>
          </cell>
          <cell r="E571">
            <v>0</v>
          </cell>
          <cell r="F571">
            <v>2</v>
          </cell>
          <cell r="G571">
            <v>0</v>
          </cell>
          <cell r="H571">
            <v>2</v>
          </cell>
          <cell r="I571">
            <v>2</v>
          </cell>
          <cell r="J571">
            <v>2</v>
          </cell>
          <cell r="K571">
            <v>2</v>
          </cell>
          <cell r="L571">
            <v>2</v>
          </cell>
          <cell r="M571">
            <v>0</v>
          </cell>
          <cell r="N571">
            <v>2</v>
          </cell>
          <cell r="O571">
            <v>0</v>
          </cell>
          <cell r="P571">
            <v>1</v>
          </cell>
          <cell r="Q571">
            <v>2</v>
          </cell>
          <cell r="R571">
            <v>2</v>
          </cell>
          <cell r="S571">
            <v>2</v>
          </cell>
          <cell r="T571">
            <v>2</v>
          </cell>
          <cell r="U571">
            <v>0</v>
          </cell>
        </row>
        <row r="572">
          <cell r="A572" t="str">
            <v>TC0032</v>
          </cell>
          <cell r="B572">
            <v>3</v>
          </cell>
          <cell r="C572">
            <v>3</v>
          </cell>
          <cell r="D572">
            <v>3</v>
          </cell>
          <cell r="E572">
            <v>0</v>
          </cell>
          <cell r="F572">
            <v>3</v>
          </cell>
          <cell r="G572">
            <v>0</v>
          </cell>
          <cell r="H572">
            <v>3</v>
          </cell>
          <cell r="I572">
            <v>3</v>
          </cell>
          <cell r="J572">
            <v>3</v>
          </cell>
          <cell r="K572">
            <v>3</v>
          </cell>
          <cell r="L572">
            <v>3</v>
          </cell>
          <cell r="M572">
            <v>0</v>
          </cell>
          <cell r="N572">
            <v>3</v>
          </cell>
          <cell r="O572">
            <v>0</v>
          </cell>
          <cell r="P572">
            <v>2</v>
          </cell>
          <cell r="Q572">
            <v>3</v>
          </cell>
          <cell r="R572">
            <v>3</v>
          </cell>
          <cell r="S572">
            <v>3</v>
          </cell>
          <cell r="T572">
            <v>3</v>
          </cell>
          <cell r="U572">
            <v>0</v>
          </cell>
        </row>
        <row r="573">
          <cell r="A573" t="str">
            <v>TC0033</v>
          </cell>
          <cell r="B573">
            <v>2</v>
          </cell>
          <cell r="C573">
            <v>2</v>
          </cell>
          <cell r="D573">
            <v>2</v>
          </cell>
          <cell r="E573">
            <v>0</v>
          </cell>
          <cell r="F573">
            <v>2</v>
          </cell>
          <cell r="G573">
            <v>0</v>
          </cell>
          <cell r="H573">
            <v>2</v>
          </cell>
          <cell r="I573">
            <v>2</v>
          </cell>
          <cell r="J573">
            <v>2</v>
          </cell>
          <cell r="K573">
            <v>2</v>
          </cell>
          <cell r="L573">
            <v>2</v>
          </cell>
          <cell r="M573">
            <v>0</v>
          </cell>
          <cell r="N573">
            <v>2</v>
          </cell>
          <cell r="O573">
            <v>0</v>
          </cell>
          <cell r="P573">
            <v>1</v>
          </cell>
          <cell r="Q573">
            <v>2</v>
          </cell>
          <cell r="R573">
            <v>2</v>
          </cell>
          <cell r="S573">
            <v>2</v>
          </cell>
          <cell r="T573">
            <v>3</v>
          </cell>
          <cell r="U573">
            <v>0</v>
          </cell>
        </row>
        <row r="574">
          <cell r="A574" t="str">
            <v>TC0034</v>
          </cell>
          <cell r="B574">
            <v>2</v>
          </cell>
          <cell r="C574">
            <v>2</v>
          </cell>
          <cell r="D574">
            <v>2</v>
          </cell>
          <cell r="E574">
            <v>0</v>
          </cell>
          <cell r="F574">
            <v>2</v>
          </cell>
          <cell r="G574">
            <v>0</v>
          </cell>
          <cell r="H574">
            <v>2</v>
          </cell>
          <cell r="I574">
            <v>2</v>
          </cell>
          <cell r="J574">
            <v>2</v>
          </cell>
          <cell r="K574">
            <v>2</v>
          </cell>
          <cell r="L574">
            <v>2</v>
          </cell>
          <cell r="M574">
            <v>0</v>
          </cell>
          <cell r="N574">
            <v>2</v>
          </cell>
          <cell r="O574">
            <v>0</v>
          </cell>
          <cell r="P574">
            <v>1</v>
          </cell>
          <cell r="Q574">
            <v>2</v>
          </cell>
          <cell r="R574">
            <v>2</v>
          </cell>
          <cell r="S574">
            <v>2</v>
          </cell>
          <cell r="T574">
            <v>2</v>
          </cell>
          <cell r="U574">
            <v>0</v>
          </cell>
        </row>
        <row r="575">
          <cell r="A575" t="str">
            <v>TC0036</v>
          </cell>
          <cell r="B575">
            <v>8</v>
          </cell>
          <cell r="C575">
            <v>2</v>
          </cell>
          <cell r="D575">
            <v>2</v>
          </cell>
          <cell r="E575">
            <v>4</v>
          </cell>
          <cell r="F575">
            <v>8</v>
          </cell>
          <cell r="G575">
            <v>5</v>
          </cell>
          <cell r="H575">
            <v>7</v>
          </cell>
          <cell r="I575">
            <v>8</v>
          </cell>
          <cell r="J575">
            <v>2</v>
          </cell>
          <cell r="K575">
            <v>8</v>
          </cell>
          <cell r="L575">
            <v>6</v>
          </cell>
          <cell r="M575">
            <v>6</v>
          </cell>
          <cell r="N575">
            <v>2</v>
          </cell>
          <cell r="O575">
            <v>2</v>
          </cell>
          <cell r="P575">
            <v>0</v>
          </cell>
          <cell r="Q575">
            <v>2</v>
          </cell>
          <cell r="R575">
            <v>9</v>
          </cell>
          <cell r="S575">
            <v>4</v>
          </cell>
          <cell r="T575">
            <v>0</v>
          </cell>
          <cell r="U575">
            <v>2</v>
          </cell>
        </row>
        <row r="576">
          <cell r="A576" t="str">
            <v>TC0038</v>
          </cell>
          <cell r="B576">
            <v>2</v>
          </cell>
          <cell r="C576">
            <v>1</v>
          </cell>
          <cell r="D576">
            <v>1</v>
          </cell>
          <cell r="E576">
            <v>1</v>
          </cell>
          <cell r="F576">
            <v>2</v>
          </cell>
          <cell r="G576">
            <v>2</v>
          </cell>
          <cell r="H576">
            <v>2</v>
          </cell>
          <cell r="I576">
            <v>2</v>
          </cell>
          <cell r="J576">
            <v>1</v>
          </cell>
          <cell r="K576">
            <v>2</v>
          </cell>
          <cell r="L576">
            <v>2</v>
          </cell>
          <cell r="M576">
            <v>2</v>
          </cell>
          <cell r="N576">
            <v>1</v>
          </cell>
          <cell r="O576">
            <v>1</v>
          </cell>
          <cell r="P576">
            <v>0</v>
          </cell>
          <cell r="Q576">
            <v>1</v>
          </cell>
          <cell r="R576">
            <v>2</v>
          </cell>
          <cell r="S576">
            <v>1</v>
          </cell>
          <cell r="T576">
            <v>0</v>
          </cell>
          <cell r="U576">
            <v>1</v>
          </cell>
        </row>
        <row r="577">
          <cell r="A577" t="str">
            <v>TC0039</v>
          </cell>
          <cell r="B577">
            <v>2</v>
          </cell>
          <cell r="C577">
            <v>2</v>
          </cell>
          <cell r="D577">
            <v>2</v>
          </cell>
          <cell r="E577">
            <v>2</v>
          </cell>
          <cell r="F577">
            <v>2</v>
          </cell>
          <cell r="G577">
            <v>2</v>
          </cell>
          <cell r="H577">
            <v>0</v>
          </cell>
          <cell r="I577">
            <v>2</v>
          </cell>
          <cell r="J577">
            <v>2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2</v>
          </cell>
        </row>
        <row r="578">
          <cell r="A578" t="str">
            <v>TC0040</v>
          </cell>
          <cell r="B578">
            <v>5</v>
          </cell>
          <cell r="C578">
            <v>4</v>
          </cell>
          <cell r="D578">
            <v>4</v>
          </cell>
          <cell r="E578">
            <v>4</v>
          </cell>
          <cell r="F578">
            <v>5</v>
          </cell>
          <cell r="G578">
            <v>4</v>
          </cell>
          <cell r="H578">
            <v>6</v>
          </cell>
          <cell r="I578">
            <v>5</v>
          </cell>
          <cell r="J578">
            <v>4</v>
          </cell>
          <cell r="K578">
            <v>6</v>
          </cell>
          <cell r="L578">
            <v>5</v>
          </cell>
          <cell r="M578">
            <v>3</v>
          </cell>
          <cell r="N578">
            <v>3</v>
          </cell>
          <cell r="O578">
            <v>3</v>
          </cell>
          <cell r="P578">
            <v>0</v>
          </cell>
          <cell r="Q578">
            <v>1</v>
          </cell>
          <cell r="R578">
            <v>4</v>
          </cell>
          <cell r="S578">
            <v>2</v>
          </cell>
          <cell r="T578">
            <v>0</v>
          </cell>
          <cell r="U578">
            <v>4</v>
          </cell>
        </row>
        <row r="579">
          <cell r="A579" t="str">
            <v>TC0041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4</v>
          </cell>
          <cell r="I579">
            <v>0</v>
          </cell>
          <cell r="J579">
            <v>0</v>
          </cell>
          <cell r="K579">
            <v>4</v>
          </cell>
          <cell r="L579">
            <v>3</v>
          </cell>
          <cell r="M579">
            <v>3</v>
          </cell>
          <cell r="N579">
            <v>1</v>
          </cell>
          <cell r="O579">
            <v>1</v>
          </cell>
          <cell r="P579">
            <v>0</v>
          </cell>
          <cell r="Q579">
            <v>1</v>
          </cell>
          <cell r="R579">
            <v>5</v>
          </cell>
          <cell r="S579">
            <v>2</v>
          </cell>
          <cell r="T579">
            <v>0</v>
          </cell>
          <cell r="U579">
            <v>0</v>
          </cell>
        </row>
        <row r="580">
          <cell r="A580" t="str">
            <v>TC0042</v>
          </cell>
          <cell r="B580">
            <v>4</v>
          </cell>
          <cell r="C580">
            <v>1</v>
          </cell>
          <cell r="D580">
            <v>1</v>
          </cell>
          <cell r="E580">
            <v>2</v>
          </cell>
          <cell r="F580">
            <v>4</v>
          </cell>
          <cell r="G580">
            <v>3</v>
          </cell>
          <cell r="H580">
            <v>4</v>
          </cell>
          <cell r="I580">
            <v>4</v>
          </cell>
          <cell r="J580">
            <v>1</v>
          </cell>
          <cell r="K580">
            <v>4</v>
          </cell>
          <cell r="L580">
            <v>3</v>
          </cell>
          <cell r="M580">
            <v>3</v>
          </cell>
          <cell r="N580">
            <v>1</v>
          </cell>
          <cell r="O580">
            <v>1</v>
          </cell>
          <cell r="P580">
            <v>0</v>
          </cell>
          <cell r="Q580">
            <v>1</v>
          </cell>
          <cell r="R580">
            <v>4</v>
          </cell>
          <cell r="S580">
            <v>2</v>
          </cell>
          <cell r="T580">
            <v>0</v>
          </cell>
          <cell r="U580">
            <v>1</v>
          </cell>
        </row>
        <row r="581">
          <cell r="A581" t="str">
            <v>TC0049</v>
          </cell>
          <cell r="B581">
            <v>9</v>
          </cell>
          <cell r="C581">
            <v>7</v>
          </cell>
          <cell r="D581">
            <v>7</v>
          </cell>
          <cell r="E581">
            <v>5</v>
          </cell>
          <cell r="F581">
            <v>9</v>
          </cell>
          <cell r="G581">
            <v>6</v>
          </cell>
          <cell r="H581">
            <v>9</v>
          </cell>
          <cell r="I581">
            <v>9</v>
          </cell>
          <cell r="J581">
            <v>7</v>
          </cell>
          <cell r="K581">
            <v>9</v>
          </cell>
          <cell r="L581">
            <v>8</v>
          </cell>
          <cell r="M581">
            <v>6</v>
          </cell>
          <cell r="N581">
            <v>7</v>
          </cell>
          <cell r="O581">
            <v>5</v>
          </cell>
          <cell r="P581">
            <v>0</v>
          </cell>
          <cell r="Q581">
            <v>7</v>
          </cell>
          <cell r="R581">
            <v>9</v>
          </cell>
          <cell r="S581">
            <v>7</v>
          </cell>
          <cell r="T581">
            <v>0</v>
          </cell>
          <cell r="U581">
            <v>5</v>
          </cell>
        </row>
        <row r="582">
          <cell r="A582" t="str">
            <v>TC0050</v>
          </cell>
          <cell r="B582">
            <v>9</v>
          </cell>
          <cell r="C582">
            <v>7</v>
          </cell>
          <cell r="D582">
            <v>7</v>
          </cell>
          <cell r="E582">
            <v>5</v>
          </cell>
          <cell r="F582">
            <v>9</v>
          </cell>
          <cell r="G582">
            <v>6</v>
          </cell>
          <cell r="H582">
            <v>9</v>
          </cell>
          <cell r="I582">
            <v>9</v>
          </cell>
          <cell r="J582">
            <v>7</v>
          </cell>
          <cell r="K582">
            <v>9</v>
          </cell>
          <cell r="L582">
            <v>8</v>
          </cell>
          <cell r="M582">
            <v>6</v>
          </cell>
          <cell r="N582">
            <v>7</v>
          </cell>
          <cell r="O582">
            <v>5</v>
          </cell>
          <cell r="P582">
            <v>0</v>
          </cell>
          <cell r="Q582">
            <v>7</v>
          </cell>
          <cell r="R582">
            <v>9</v>
          </cell>
          <cell r="S582">
            <v>7</v>
          </cell>
          <cell r="T582">
            <v>0</v>
          </cell>
          <cell r="U582">
            <v>5</v>
          </cell>
        </row>
        <row r="583">
          <cell r="A583" t="str">
            <v>TC0051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4</v>
          </cell>
          <cell r="I583">
            <v>0</v>
          </cell>
          <cell r="J583">
            <v>0</v>
          </cell>
          <cell r="K583">
            <v>4</v>
          </cell>
          <cell r="L583">
            <v>3</v>
          </cell>
          <cell r="M583">
            <v>3</v>
          </cell>
          <cell r="N583">
            <v>1</v>
          </cell>
          <cell r="O583">
            <v>1</v>
          </cell>
          <cell r="P583">
            <v>0</v>
          </cell>
          <cell r="Q583">
            <v>1</v>
          </cell>
          <cell r="R583">
            <v>5</v>
          </cell>
          <cell r="S583">
            <v>2</v>
          </cell>
          <cell r="T583">
            <v>0</v>
          </cell>
          <cell r="U583">
            <v>0</v>
          </cell>
        </row>
        <row r="584">
          <cell r="A584" t="str">
            <v>TC0052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</row>
        <row r="585">
          <cell r="A585" t="str">
            <v>TC0054</v>
          </cell>
          <cell r="B585">
            <v>10</v>
          </cell>
          <cell r="C585">
            <v>6</v>
          </cell>
          <cell r="D585">
            <v>6</v>
          </cell>
          <cell r="E585">
            <v>7</v>
          </cell>
          <cell r="F585">
            <v>10</v>
          </cell>
          <cell r="G585">
            <v>8</v>
          </cell>
          <cell r="H585">
            <v>9</v>
          </cell>
          <cell r="I585">
            <v>10</v>
          </cell>
          <cell r="J585">
            <v>5</v>
          </cell>
          <cell r="K585">
            <v>10</v>
          </cell>
          <cell r="L585">
            <v>8</v>
          </cell>
          <cell r="M585">
            <v>4</v>
          </cell>
          <cell r="N585">
            <v>5</v>
          </cell>
          <cell r="O585">
            <v>5</v>
          </cell>
          <cell r="P585">
            <v>0</v>
          </cell>
          <cell r="Q585">
            <v>2</v>
          </cell>
          <cell r="R585">
            <v>6</v>
          </cell>
          <cell r="S585">
            <v>3</v>
          </cell>
          <cell r="T585">
            <v>0</v>
          </cell>
          <cell r="U585">
            <v>5</v>
          </cell>
        </row>
        <row r="586">
          <cell r="A586" t="str">
            <v>TC0055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3</v>
          </cell>
          <cell r="R586">
            <v>11</v>
          </cell>
          <cell r="S586">
            <v>5</v>
          </cell>
          <cell r="T586">
            <v>0</v>
          </cell>
          <cell r="U586">
            <v>0</v>
          </cell>
        </row>
        <row r="587">
          <cell r="A587" t="str">
            <v>TC0057</v>
          </cell>
          <cell r="B587">
            <v>8</v>
          </cell>
          <cell r="C587">
            <v>4</v>
          </cell>
          <cell r="D587">
            <v>4</v>
          </cell>
          <cell r="E587">
            <v>5</v>
          </cell>
          <cell r="F587">
            <v>8</v>
          </cell>
          <cell r="G587">
            <v>6</v>
          </cell>
          <cell r="H587">
            <v>7</v>
          </cell>
          <cell r="I587">
            <v>8</v>
          </cell>
          <cell r="J587">
            <v>0</v>
          </cell>
          <cell r="K587">
            <v>8</v>
          </cell>
          <cell r="L587">
            <v>6</v>
          </cell>
          <cell r="M587">
            <v>4</v>
          </cell>
          <cell r="N587">
            <v>3</v>
          </cell>
          <cell r="O587">
            <v>3</v>
          </cell>
          <cell r="P587">
            <v>2</v>
          </cell>
          <cell r="Q587">
            <v>4</v>
          </cell>
          <cell r="R587">
            <v>8</v>
          </cell>
          <cell r="S587">
            <v>5</v>
          </cell>
          <cell r="T587">
            <v>2</v>
          </cell>
          <cell r="U587">
            <v>3</v>
          </cell>
        </row>
        <row r="588">
          <cell r="A588" t="str">
            <v>TC0058</v>
          </cell>
          <cell r="B588">
            <v>1</v>
          </cell>
          <cell r="C588">
            <v>1</v>
          </cell>
          <cell r="D588">
            <v>1</v>
          </cell>
          <cell r="E588">
            <v>1</v>
          </cell>
          <cell r="F588">
            <v>1</v>
          </cell>
          <cell r="G588">
            <v>1</v>
          </cell>
          <cell r="H588">
            <v>1</v>
          </cell>
          <cell r="I588">
            <v>1</v>
          </cell>
          <cell r="J588">
            <v>0</v>
          </cell>
          <cell r="K588">
            <v>1</v>
          </cell>
          <cell r="L588">
            <v>1</v>
          </cell>
          <cell r="M588">
            <v>1</v>
          </cell>
          <cell r="N588">
            <v>1</v>
          </cell>
          <cell r="O588">
            <v>1</v>
          </cell>
          <cell r="P588">
            <v>0</v>
          </cell>
          <cell r="Q588">
            <v>1</v>
          </cell>
          <cell r="R588">
            <v>1</v>
          </cell>
          <cell r="S588">
            <v>1</v>
          </cell>
          <cell r="T588">
            <v>0</v>
          </cell>
          <cell r="U588">
            <v>1</v>
          </cell>
        </row>
        <row r="589">
          <cell r="A589" t="str">
            <v>TC0059</v>
          </cell>
          <cell r="B589">
            <v>1</v>
          </cell>
          <cell r="C589">
            <v>1</v>
          </cell>
          <cell r="D589">
            <v>1</v>
          </cell>
          <cell r="E589">
            <v>1</v>
          </cell>
          <cell r="F589">
            <v>1</v>
          </cell>
          <cell r="G589">
            <v>1</v>
          </cell>
          <cell r="H589">
            <v>1</v>
          </cell>
          <cell r="I589">
            <v>1</v>
          </cell>
          <cell r="J589">
            <v>0</v>
          </cell>
          <cell r="K589">
            <v>1</v>
          </cell>
          <cell r="L589">
            <v>1</v>
          </cell>
          <cell r="M589">
            <v>1</v>
          </cell>
          <cell r="N589">
            <v>1</v>
          </cell>
          <cell r="O589">
            <v>1</v>
          </cell>
          <cell r="P589">
            <v>0</v>
          </cell>
          <cell r="Q589">
            <v>1</v>
          </cell>
          <cell r="R589">
            <v>1</v>
          </cell>
          <cell r="S589">
            <v>1</v>
          </cell>
          <cell r="T589">
            <v>0</v>
          </cell>
          <cell r="U589">
            <v>1</v>
          </cell>
        </row>
        <row r="590">
          <cell r="A590" t="str">
            <v>TC0060</v>
          </cell>
          <cell r="B590">
            <v>10</v>
          </cell>
          <cell r="C590">
            <v>8</v>
          </cell>
          <cell r="D590">
            <v>8</v>
          </cell>
          <cell r="E590">
            <v>6</v>
          </cell>
          <cell r="F590">
            <v>10</v>
          </cell>
          <cell r="G590">
            <v>7</v>
          </cell>
          <cell r="H590">
            <v>10</v>
          </cell>
          <cell r="I590">
            <v>10</v>
          </cell>
          <cell r="J590">
            <v>8</v>
          </cell>
          <cell r="K590">
            <v>10</v>
          </cell>
          <cell r="L590">
            <v>9</v>
          </cell>
          <cell r="M590">
            <v>9</v>
          </cell>
          <cell r="N590">
            <v>8</v>
          </cell>
          <cell r="O590">
            <v>8</v>
          </cell>
          <cell r="P590">
            <v>0</v>
          </cell>
          <cell r="Q590">
            <v>8</v>
          </cell>
          <cell r="R590">
            <v>10</v>
          </cell>
          <cell r="S590">
            <v>8</v>
          </cell>
          <cell r="T590">
            <v>0</v>
          </cell>
          <cell r="U590">
            <v>6</v>
          </cell>
        </row>
        <row r="591">
          <cell r="A591" t="str">
            <v>TC0061</v>
          </cell>
          <cell r="B591">
            <v>9</v>
          </cell>
          <cell r="C591">
            <v>7</v>
          </cell>
          <cell r="D591">
            <v>7</v>
          </cell>
          <cell r="E591">
            <v>5</v>
          </cell>
          <cell r="F591">
            <v>9</v>
          </cell>
          <cell r="G591">
            <v>6</v>
          </cell>
          <cell r="H591">
            <v>9</v>
          </cell>
          <cell r="I591">
            <v>9</v>
          </cell>
          <cell r="J591">
            <v>7</v>
          </cell>
          <cell r="K591">
            <v>9</v>
          </cell>
          <cell r="L591">
            <v>8</v>
          </cell>
          <cell r="M591">
            <v>6</v>
          </cell>
          <cell r="N591">
            <v>7</v>
          </cell>
          <cell r="O591">
            <v>5</v>
          </cell>
          <cell r="P591">
            <v>0</v>
          </cell>
          <cell r="Q591">
            <v>7</v>
          </cell>
          <cell r="R591">
            <v>9</v>
          </cell>
          <cell r="S591">
            <v>7</v>
          </cell>
          <cell r="T591">
            <v>0</v>
          </cell>
          <cell r="U591">
            <v>5</v>
          </cell>
        </row>
        <row r="592">
          <cell r="A592" t="str">
            <v>TC0062</v>
          </cell>
          <cell r="B592">
            <v>9</v>
          </cell>
          <cell r="C592">
            <v>7</v>
          </cell>
          <cell r="D592">
            <v>7</v>
          </cell>
          <cell r="E592">
            <v>5</v>
          </cell>
          <cell r="F592">
            <v>9</v>
          </cell>
          <cell r="G592">
            <v>6</v>
          </cell>
          <cell r="H592">
            <v>9</v>
          </cell>
          <cell r="I592">
            <v>9</v>
          </cell>
          <cell r="J592">
            <v>7</v>
          </cell>
          <cell r="K592">
            <v>9</v>
          </cell>
          <cell r="L592">
            <v>8</v>
          </cell>
          <cell r="M592">
            <v>6</v>
          </cell>
          <cell r="N592">
            <v>7</v>
          </cell>
          <cell r="O592">
            <v>5</v>
          </cell>
          <cell r="P592">
            <v>0</v>
          </cell>
          <cell r="Q592">
            <v>7</v>
          </cell>
          <cell r="R592">
            <v>9</v>
          </cell>
          <cell r="S592">
            <v>7</v>
          </cell>
          <cell r="T592">
            <v>0</v>
          </cell>
          <cell r="U592">
            <v>5</v>
          </cell>
        </row>
        <row r="593">
          <cell r="A593" t="str">
            <v>TC0063</v>
          </cell>
          <cell r="B593">
            <v>120</v>
          </cell>
          <cell r="C593">
            <v>30</v>
          </cell>
          <cell r="D593">
            <v>30</v>
          </cell>
          <cell r="E593">
            <v>60</v>
          </cell>
          <cell r="F593">
            <v>120</v>
          </cell>
          <cell r="G593">
            <v>70</v>
          </cell>
          <cell r="H593">
            <v>95</v>
          </cell>
          <cell r="I593">
            <v>120</v>
          </cell>
          <cell r="J593">
            <v>5</v>
          </cell>
          <cell r="K593">
            <v>115</v>
          </cell>
          <cell r="L593">
            <v>80</v>
          </cell>
          <cell r="M593">
            <v>80</v>
          </cell>
          <cell r="N593">
            <v>20</v>
          </cell>
          <cell r="O593">
            <v>15</v>
          </cell>
          <cell r="P593">
            <v>0</v>
          </cell>
          <cell r="Q593">
            <v>25</v>
          </cell>
          <cell r="R593">
            <v>105</v>
          </cell>
          <cell r="S593">
            <v>50</v>
          </cell>
          <cell r="T593">
            <v>0</v>
          </cell>
          <cell r="U593">
            <v>10</v>
          </cell>
        </row>
        <row r="594">
          <cell r="A594" t="str">
            <v>TC0064</v>
          </cell>
          <cell r="B594">
            <v>3</v>
          </cell>
          <cell r="C594">
            <v>3</v>
          </cell>
          <cell r="D594">
            <v>3</v>
          </cell>
          <cell r="E594">
            <v>3</v>
          </cell>
          <cell r="F594">
            <v>3</v>
          </cell>
          <cell r="G594">
            <v>3</v>
          </cell>
          <cell r="H594">
            <v>3</v>
          </cell>
          <cell r="I594">
            <v>3</v>
          </cell>
          <cell r="J594">
            <v>3</v>
          </cell>
          <cell r="K594">
            <v>3</v>
          </cell>
          <cell r="L594">
            <v>3</v>
          </cell>
          <cell r="M594">
            <v>3</v>
          </cell>
          <cell r="N594">
            <v>3</v>
          </cell>
          <cell r="O594">
            <v>3</v>
          </cell>
          <cell r="P594">
            <v>0</v>
          </cell>
          <cell r="Q594">
            <v>3</v>
          </cell>
          <cell r="R594">
            <v>3</v>
          </cell>
          <cell r="S594">
            <v>3</v>
          </cell>
          <cell r="T594">
            <v>0</v>
          </cell>
          <cell r="U594">
            <v>3</v>
          </cell>
        </row>
        <row r="595">
          <cell r="A595" t="str">
            <v>TC0065</v>
          </cell>
          <cell r="B595">
            <v>2</v>
          </cell>
          <cell r="C595">
            <v>2</v>
          </cell>
          <cell r="D595">
            <v>2</v>
          </cell>
          <cell r="E595">
            <v>0</v>
          </cell>
          <cell r="F595">
            <v>2</v>
          </cell>
          <cell r="G595">
            <v>0</v>
          </cell>
          <cell r="H595">
            <v>2</v>
          </cell>
          <cell r="I595">
            <v>2</v>
          </cell>
          <cell r="J595">
            <v>2</v>
          </cell>
          <cell r="K595">
            <v>2</v>
          </cell>
          <cell r="L595">
            <v>2</v>
          </cell>
          <cell r="M595">
            <v>0</v>
          </cell>
          <cell r="N595">
            <v>2</v>
          </cell>
          <cell r="O595">
            <v>0</v>
          </cell>
          <cell r="P595">
            <v>1</v>
          </cell>
          <cell r="Q595">
            <v>2</v>
          </cell>
          <cell r="R595">
            <v>2</v>
          </cell>
          <cell r="S595">
            <v>2</v>
          </cell>
          <cell r="T595">
            <v>1</v>
          </cell>
          <cell r="U595">
            <v>0</v>
          </cell>
        </row>
        <row r="596">
          <cell r="A596" t="str">
            <v>TC0066</v>
          </cell>
          <cell r="B596">
            <v>2</v>
          </cell>
          <cell r="C596">
            <v>2</v>
          </cell>
          <cell r="D596">
            <v>2</v>
          </cell>
          <cell r="E596">
            <v>0</v>
          </cell>
          <cell r="F596">
            <v>2</v>
          </cell>
          <cell r="G596">
            <v>0</v>
          </cell>
          <cell r="H596">
            <v>2</v>
          </cell>
          <cell r="I596">
            <v>2</v>
          </cell>
          <cell r="J596">
            <v>2</v>
          </cell>
          <cell r="K596">
            <v>2</v>
          </cell>
          <cell r="L596">
            <v>2</v>
          </cell>
          <cell r="M596">
            <v>0</v>
          </cell>
          <cell r="N596">
            <v>2</v>
          </cell>
          <cell r="O596">
            <v>0</v>
          </cell>
          <cell r="P596">
            <v>1</v>
          </cell>
          <cell r="Q596">
            <v>2</v>
          </cell>
          <cell r="R596">
            <v>2</v>
          </cell>
          <cell r="S596">
            <v>2</v>
          </cell>
          <cell r="T596">
            <v>1</v>
          </cell>
          <cell r="U596">
            <v>0</v>
          </cell>
        </row>
        <row r="597">
          <cell r="A597" t="str">
            <v>TC0067</v>
          </cell>
          <cell r="B597">
            <v>2</v>
          </cell>
          <cell r="C597">
            <v>2</v>
          </cell>
          <cell r="D597">
            <v>2</v>
          </cell>
          <cell r="E597">
            <v>0</v>
          </cell>
          <cell r="F597">
            <v>2</v>
          </cell>
          <cell r="G597">
            <v>0</v>
          </cell>
          <cell r="H597">
            <v>2</v>
          </cell>
          <cell r="I597">
            <v>2</v>
          </cell>
          <cell r="J597">
            <v>2</v>
          </cell>
          <cell r="K597">
            <v>2</v>
          </cell>
          <cell r="L597">
            <v>2</v>
          </cell>
          <cell r="M597">
            <v>0</v>
          </cell>
          <cell r="N597">
            <v>2</v>
          </cell>
          <cell r="O597">
            <v>0</v>
          </cell>
          <cell r="P597">
            <v>1</v>
          </cell>
          <cell r="Q597">
            <v>2</v>
          </cell>
          <cell r="R597">
            <v>2</v>
          </cell>
          <cell r="S597">
            <v>2</v>
          </cell>
          <cell r="T597">
            <v>2</v>
          </cell>
          <cell r="U597">
            <v>0</v>
          </cell>
        </row>
        <row r="598">
          <cell r="A598" t="str">
            <v>TC0069</v>
          </cell>
          <cell r="B598">
            <v>10</v>
          </cell>
          <cell r="C598">
            <v>8</v>
          </cell>
          <cell r="D598">
            <v>8</v>
          </cell>
          <cell r="E598">
            <v>6</v>
          </cell>
          <cell r="F598">
            <v>10</v>
          </cell>
          <cell r="G598">
            <v>7</v>
          </cell>
          <cell r="H598">
            <v>10</v>
          </cell>
          <cell r="I598">
            <v>10</v>
          </cell>
          <cell r="J598">
            <v>8</v>
          </cell>
          <cell r="K598">
            <v>10</v>
          </cell>
          <cell r="L598">
            <v>9</v>
          </cell>
          <cell r="M598">
            <v>7</v>
          </cell>
          <cell r="N598">
            <v>8</v>
          </cell>
          <cell r="O598">
            <v>6</v>
          </cell>
          <cell r="P598">
            <v>3</v>
          </cell>
          <cell r="Q598">
            <v>8</v>
          </cell>
          <cell r="R598">
            <v>10</v>
          </cell>
          <cell r="S598">
            <v>8</v>
          </cell>
          <cell r="T598">
            <v>0</v>
          </cell>
          <cell r="U598">
            <v>6</v>
          </cell>
        </row>
        <row r="599">
          <cell r="A599" t="str">
            <v>TC0070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7</v>
          </cell>
          <cell r="I599">
            <v>0</v>
          </cell>
          <cell r="J599">
            <v>0</v>
          </cell>
          <cell r="K599">
            <v>8</v>
          </cell>
          <cell r="L599">
            <v>6</v>
          </cell>
          <cell r="M599">
            <v>6</v>
          </cell>
          <cell r="N599">
            <v>2</v>
          </cell>
          <cell r="O599">
            <v>1</v>
          </cell>
          <cell r="P599">
            <v>1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</row>
        <row r="600">
          <cell r="A600" t="str">
            <v>TC0071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4</v>
          </cell>
          <cell r="I600">
            <v>0</v>
          </cell>
          <cell r="J600">
            <v>0</v>
          </cell>
          <cell r="K600">
            <v>4</v>
          </cell>
          <cell r="L600">
            <v>3</v>
          </cell>
          <cell r="M600">
            <v>3</v>
          </cell>
          <cell r="N600">
            <v>1</v>
          </cell>
          <cell r="O600">
            <v>1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</row>
        <row r="601">
          <cell r="A601" t="str">
            <v>TC0072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3</v>
          </cell>
          <cell r="I601">
            <v>0</v>
          </cell>
          <cell r="J601">
            <v>0</v>
          </cell>
          <cell r="K601">
            <v>3</v>
          </cell>
          <cell r="L601">
            <v>3</v>
          </cell>
          <cell r="M601">
            <v>2</v>
          </cell>
          <cell r="N601">
            <v>2</v>
          </cell>
          <cell r="O601">
            <v>1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</row>
        <row r="602">
          <cell r="A602" t="str">
            <v>TC0073</v>
          </cell>
          <cell r="B602">
            <v>2</v>
          </cell>
          <cell r="C602">
            <v>2</v>
          </cell>
          <cell r="D602">
            <v>2</v>
          </cell>
          <cell r="E602">
            <v>0</v>
          </cell>
          <cell r="F602">
            <v>2</v>
          </cell>
          <cell r="G602">
            <v>0</v>
          </cell>
          <cell r="H602">
            <v>2</v>
          </cell>
          <cell r="I602">
            <v>2</v>
          </cell>
          <cell r="J602">
            <v>0</v>
          </cell>
          <cell r="K602">
            <v>2</v>
          </cell>
          <cell r="L602">
            <v>2</v>
          </cell>
          <cell r="M602">
            <v>0</v>
          </cell>
          <cell r="N602">
            <v>2</v>
          </cell>
          <cell r="O602">
            <v>0</v>
          </cell>
          <cell r="P602">
            <v>0</v>
          </cell>
          <cell r="Q602">
            <v>2</v>
          </cell>
          <cell r="R602">
            <v>2</v>
          </cell>
          <cell r="S602">
            <v>2</v>
          </cell>
          <cell r="T602">
            <v>0</v>
          </cell>
          <cell r="U602">
            <v>0</v>
          </cell>
        </row>
        <row r="603">
          <cell r="A603" t="str">
            <v>TC0074</v>
          </cell>
          <cell r="B603">
            <v>9</v>
          </cell>
          <cell r="C603">
            <v>7</v>
          </cell>
          <cell r="D603">
            <v>7</v>
          </cell>
          <cell r="E603">
            <v>5</v>
          </cell>
          <cell r="F603">
            <v>9</v>
          </cell>
          <cell r="G603">
            <v>6</v>
          </cell>
          <cell r="H603">
            <v>9</v>
          </cell>
          <cell r="I603">
            <v>9</v>
          </cell>
          <cell r="J603">
            <v>7</v>
          </cell>
          <cell r="K603">
            <v>9</v>
          </cell>
          <cell r="L603">
            <v>8</v>
          </cell>
          <cell r="M603">
            <v>6</v>
          </cell>
          <cell r="N603">
            <v>7</v>
          </cell>
          <cell r="O603">
            <v>5</v>
          </cell>
          <cell r="P603">
            <v>0</v>
          </cell>
          <cell r="Q603">
            <v>7</v>
          </cell>
          <cell r="R603">
            <v>9</v>
          </cell>
          <cell r="S603">
            <v>7</v>
          </cell>
          <cell r="T603">
            <v>0</v>
          </cell>
          <cell r="U603">
            <v>5</v>
          </cell>
        </row>
        <row r="604">
          <cell r="A604" t="str">
            <v>TC0076</v>
          </cell>
          <cell r="B604">
            <v>2</v>
          </cell>
          <cell r="C604">
            <v>1</v>
          </cell>
          <cell r="D604">
            <v>1</v>
          </cell>
          <cell r="E604">
            <v>1</v>
          </cell>
          <cell r="F604">
            <v>2</v>
          </cell>
          <cell r="G604">
            <v>2</v>
          </cell>
          <cell r="H604">
            <v>4</v>
          </cell>
          <cell r="I604">
            <v>2</v>
          </cell>
          <cell r="J604">
            <v>1</v>
          </cell>
          <cell r="K604">
            <v>4</v>
          </cell>
          <cell r="L604">
            <v>3</v>
          </cell>
          <cell r="M604">
            <v>3</v>
          </cell>
          <cell r="N604">
            <v>1</v>
          </cell>
          <cell r="O604">
            <v>1</v>
          </cell>
          <cell r="P604">
            <v>0</v>
          </cell>
          <cell r="Q604">
            <v>1</v>
          </cell>
          <cell r="R604">
            <v>5</v>
          </cell>
          <cell r="S604">
            <v>2</v>
          </cell>
          <cell r="T604">
            <v>0</v>
          </cell>
          <cell r="U604">
            <v>1</v>
          </cell>
        </row>
        <row r="605">
          <cell r="A605" t="str">
            <v>TC0077</v>
          </cell>
          <cell r="B605">
            <v>5</v>
          </cell>
          <cell r="C605">
            <v>5</v>
          </cell>
          <cell r="D605">
            <v>5</v>
          </cell>
          <cell r="E605">
            <v>4</v>
          </cell>
          <cell r="F605">
            <v>5</v>
          </cell>
          <cell r="G605">
            <v>4</v>
          </cell>
          <cell r="H605">
            <v>5</v>
          </cell>
          <cell r="I605">
            <v>5</v>
          </cell>
          <cell r="J605">
            <v>5</v>
          </cell>
          <cell r="K605">
            <v>5</v>
          </cell>
          <cell r="L605">
            <v>5</v>
          </cell>
          <cell r="M605">
            <v>2</v>
          </cell>
          <cell r="N605">
            <v>5</v>
          </cell>
          <cell r="O605">
            <v>4</v>
          </cell>
          <cell r="P605">
            <v>0</v>
          </cell>
          <cell r="Q605">
            <v>5</v>
          </cell>
          <cell r="R605">
            <v>5</v>
          </cell>
          <cell r="S605">
            <v>5</v>
          </cell>
          <cell r="T605">
            <v>0</v>
          </cell>
          <cell r="U605">
            <v>4</v>
          </cell>
        </row>
        <row r="606">
          <cell r="A606" t="str">
            <v>TC0078</v>
          </cell>
          <cell r="B606">
            <v>2</v>
          </cell>
          <cell r="C606">
            <v>2</v>
          </cell>
          <cell r="D606">
            <v>2</v>
          </cell>
          <cell r="E606">
            <v>0</v>
          </cell>
          <cell r="F606">
            <v>2</v>
          </cell>
          <cell r="G606">
            <v>0</v>
          </cell>
          <cell r="H606">
            <v>2</v>
          </cell>
          <cell r="I606">
            <v>2</v>
          </cell>
          <cell r="J606">
            <v>2</v>
          </cell>
          <cell r="K606">
            <v>2</v>
          </cell>
          <cell r="L606">
            <v>2</v>
          </cell>
          <cell r="M606">
            <v>0</v>
          </cell>
          <cell r="N606">
            <v>2</v>
          </cell>
          <cell r="O606">
            <v>0</v>
          </cell>
          <cell r="P606">
            <v>0</v>
          </cell>
          <cell r="Q606">
            <v>2</v>
          </cell>
          <cell r="R606">
            <v>2</v>
          </cell>
          <cell r="S606">
            <v>2</v>
          </cell>
          <cell r="T606">
            <v>2</v>
          </cell>
          <cell r="U606">
            <v>0</v>
          </cell>
        </row>
        <row r="607">
          <cell r="A607" t="str">
            <v>TC0079</v>
          </cell>
          <cell r="B607">
            <v>2</v>
          </cell>
          <cell r="C607">
            <v>2</v>
          </cell>
          <cell r="D607">
            <v>2</v>
          </cell>
          <cell r="E607">
            <v>0</v>
          </cell>
          <cell r="F607">
            <v>2</v>
          </cell>
          <cell r="G607">
            <v>0</v>
          </cell>
          <cell r="H607">
            <v>2</v>
          </cell>
          <cell r="I607">
            <v>2</v>
          </cell>
          <cell r="J607">
            <v>0</v>
          </cell>
          <cell r="K607">
            <v>2</v>
          </cell>
          <cell r="L607">
            <v>2</v>
          </cell>
          <cell r="M607">
            <v>0</v>
          </cell>
          <cell r="N607">
            <v>2</v>
          </cell>
          <cell r="O607">
            <v>0</v>
          </cell>
          <cell r="P607">
            <v>2</v>
          </cell>
          <cell r="Q607">
            <v>2</v>
          </cell>
          <cell r="R607">
            <v>2</v>
          </cell>
          <cell r="S607">
            <v>2</v>
          </cell>
          <cell r="T607">
            <v>2</v>
          </cell>
          <cell r="U607">
            <v>0</v>
          </cell>
        </row>
        <row r="608">
          <cell r="A608" t="str">
            <v>TC0080</v>
          </cell>
          <cell r="B608">
            <v>9</v>
          </cell>
          <cell r="C608">
            <v>7</v>
          </cell>
          <cell r="D608">
            <v>7</v>
          </cell>
          <cell r="E608">
            <v>5</v>
          </cell>
          <cell r="F608">
            <v>9</v>
          </cell>
          <cell r="G608">
            <v>6</v>
          </cell>
          <cell r="H608">
            <v>9</v>
          </cell>
          <cell r="I608">
            <v>9</v>
          </cell>
          <cell r="J608">
            <v>7</v>
          </cell>
          <cell r="K608">
            <v>9</v>
          </cell>
          <cell r="L608">
            <v>8</v>
          </cell>
          <cell r="M608">
            <v>6</v>
          </cell>
          <cell r="N608">
            <v>7</v>
          </cell>
          <cell r="O608">
            <v>5</v>
          </cell>
          <cell r="P608">
            <v>0</v>
          </cell>
          <cell r="Q608">
            <v>7</v>
          </cell>
          <cell r="R608">
            <v>9</v>
          </cell>
          <cell r="S608">
            <v>7</v>
          </cell>
          <cell r="T608">
            <v>0</v>
          </cell>
          <cell r="U608">
            <v>5</v>
          </cell>
        </row>
        <row r="609">
          <cell r="A609" t="str">
            <v>TC0081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1</v>
          </cell>
          <cell r="I609">
            <v>0</v>
          </cell>
          <cell r="J609">
            <v>0</v>
          </cell>
          <cell r="K609">
            <v>1</v>
          </cell>
          <cell r="L609">
            <v>1</v>
          </cell>
          <cell r="M609">
            <v>1</v>
          </cell>
          <cell r="N609">
            <v>1</v>
          </cell>
          <cell r="O609">
            <v>1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</row>
        <row r="610">
          <cell r="A610" t="str">
            <v>TC0082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1</v>
          </cell>
          <cell r="I610">
            <v>0</v>
          </cell>
          <cell r="J610">
            <v>0</v>
          </cell>
          <cell r="K610">
            <v>1</v>
          </cell>
          <cell r="L610">
            <v>1</v>
          </cell>
          <cell r="M610">
            <v>1</v>
          </cell>
          <cell r="N610">
            <v>1</v>
          </cell>
          <cell r="O610">
            <v>1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</row>
        <row r="611">
          <cell r="A611" t="str">
            <v>TC0083</v>
          </cell>
          <cell r="B611">
            <v>2</v>
          </cell>
          <cell r="C611">
            <v>1</v>
          </cell>
          <cell r="D611">
            <v>1</v>
          </cell>
          <cell r="E611">
            <v>1</v>
          </cell>
          <cell r="F611">
            <v>2</v>
          </cell>
          <cell r="G611">
            <v>2</v>
          </cell>
          <cell r="H611">
            <v>2</v>
          </cell>
          <cell r="I611">
            <v>2</v>
          </cell>
          <cell r="J611">
            <v>1</v>
          </cell>
          <cell r="K611">
            <v>2</v>
          </cell>
          <cell r="L611">
            <v>2</v>
          </cell>
          <cell r="M611">
            <v>2</v>
          </cell>
          <cell r="N611">
            <v>1</v>
          </cell>
          <cell r="O611">
            <v>1</v>
          </cell>
          <cell r="P611">
            <v>0</v>
          </cell>
          <cell r="Q611">
            <v>1</v>
          </cell>
          <cell r="R611">
            <v>2</v>
          </cell>
          <cell r="S611">
            <v>1</v>
          </cell>
          <cell r="T611">
            <v>0</v>
          </cell>
          <cell r="U611">
            <v>1</v>
          </cell>
        </row>
        <row r="612">
          <cell r="A612" t="str">
            <v>TC0084</v>
          </cell>
          <cell r="B612">
            <v>9</v>
          </cell>
          <cell r="C612">
            <v>7</v>
          </cell>
          <cell r="D612">
            <v>7</v>
          </cell>
          <cell r="E612">
            <v>5</v>
          </cell>
          <cell r="F612">
            <v>9</v>
          </cell>
          <cell r="G612">
            <v>6</v>
          </cell>
          <cell r="H612">
            <v>9</v>
          </cell>
          <cell r="I612">
            <v>9</v>
          </cell>
          <cell r="J612">
            <v>7</v>
          </cell>
          <cell r="K612">
            <v>9</v>
          </cell>
          <cell r="L612">
            <v>8</v>
          </cell>
          <cell r="M612">
            <v>6</v>
          </cell>
          <cell r="N612">
            <v>7</v>
          </cell>
          <cell r="O612">
            <v>5</v>
          </cell>
          <cell r="P612">
            <v>0</v>
          </cell>
          <cell r="Q612">
            <v>7</v>
          </cell>
          <cell r="R612">
            <v>9</v>
          </cell>
          <cell r="S612">
            <v>7</v>
          </cell>
          <cell r="T612">
            <v>0</v>
          </cell>
          <cell r="U612">
            <v>5</v>
          </cell>
        </row>
        <row r="613">
          <cell r="A613" t="str">
            <v>TC0085</v>
          </cell>
          <cell r="B613">
            <v>2</v>
          </cell>
          <cell r="C613">
            <v>2</v>
          </cell>
          <cell r="D613">
            <v>2</v>
          </cell>
          <cell r="E613">
            <v>0</v>
          </cell>
          <cell r="F613">
            <v>2</v>
          </cell>
          <cell r="G613">
            <v>0</v>
          </cell>
          <cell r="H613">
            <v>2</v>
          </cell>
          <cell r="I613">
            <v>2</v>
          </cell>
          <cell r="J613">
            <v>2</v>
          </cell>
          <cell r="K613">
            <v>2</v>
          </cell>
          <cell r="L613">
            <v>2</v>
          </cell>
          <cell r="M613">
            <v>0</v>
          </cell>
          <cell r="N613">
            <v>2</v>
          </cell>
          <cell r="O613">
            <v>0</v>
          </cell>
          <cell r="P613">
            <v>0</v>
          </cell>
          <cell r="Q613">
            <v>2</v>
          </cell>
          <cell r="R613">
            <v>2</v>
          </cell>
          <cell r="S613">
            <v>2</v>
          </cell>
          <cell r="T613">
            <v>0</v>
          </cell>
          <cell r="U613">
            <v>0</v>
          </cell>
        </row>
        <row r="614">
          <cell r="A614" t="str">
            <v>TC0086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1</v>
          </cell>
          <cell r="R614">
            <v>4</v>
          </cell>
          <cell r="S614">
            <v>2</v>
          </cell>
          <cell r="T614">
            <v>0</v>
          </cell>
          <cell r="U614">
            <v>0</v>
          </cell>
        </row>
        <row r="615">
          <cell r="A615" t="str">
            <v>TC0087</v>
          </cell>
          <cell r="B615">
            <v>8</v>
          </cell>
          <cell r="C615">
            <v>6</v>
          </cell>
          <cell r="D615">
            <v>6</v>
          </cell>
          <cell r="E615">
            <v>6</v>
          </cell>
          <cell r="F615">
            <v>8</v>
          </cell>
          <cell r="G615">
            <v>7</v>
          </cell>
          <cell r="H615">
            <v>8</v>
          </cell>
          <cell r="I615">
            <v>8</v>
          </cell>
          <cell r="J615">
            <v>6</v>
          </cell>
          <cell r="K615">
            <v>8</v>
          </cell>
          <cell r="L615">
            <v>7</v>
          </cell>
          <cell r="M615">
            <v>3</v>
          </cell>
          <cell r="N615">
            <v>6</v>
          </cell>
          <cell r="O615">
            <v>6</v>
          </cell>
          <cell r="P615">
            <v>0</v>
          </cell>
          <cell r="Q615">
            <v>6</v>
          </cell>
          <cell r="R615">
            <v>8</v>
          </cell>
          <cell r="S615">
            <v>6</v>
          </cell>
          <cell r="T615">
            <v>0</v>
          </cell>
          <cell r="U615">
            <v>6</v>
          </cell>
        </row>
        <row r="616">
          <cell r="A616" t="str">
            <v>TC0088</v>
          </cell>
          <cell r="B616">
            <v>1</v>
          </cell>
          <cell r="C616">
            <v>1</v>
          </cell>
          <cell r="D616">
            <v>1</v>
          </cell>
          <cell r="E616">
            <v>1</v>
          </cell>
          <cell r="F616">
            <v>1</v>
          </cell>
          <cell r="G616">
            <v>1</v>
          </cell>
          <cell r="H616">
            <v>1</v>
          </cell>
          <cell r="I616">
            <v>1</v>
          </cell>
          <cell r="J616">
            <v>1</v>
          </cell>
          <cell r="K616">
            <v>1</v>
          </cell>
          <cell r="L616">
            <v>1</v>
          </cell>
          <cell r="M616">
            <v>1</v>
          </cell>
          <cell r="N616">
            <v>1</v>
          </cell>
          <cell r="O616">
            <v>1</v>
          </cell>
          <cell r="P616">
            <v>0</v>
          </cell>
          <cell r="Q616">
            <v>1</v>
          </cell>
          <cell r="R616">
            <v>1</v>
          </cell>
          <cell r="S616">
            <v>1</v>
          </cell>
          <cell r="T616">
            <v>0</v>
          </cell>
          <cell r="U616">
            <v>1</v>
          </cell>
        </row>
        <row r="617">
          <cell r="A617" t="str">
            <v>TC0089</v>
          </cell>
          <cell r="B617">
            <v>1</v>
          </cell>
          <cell r="C617">
            <v>1</v>
          </cell>
          <cell r="D617">
            <v>1</v>
          </cell>
          <cell r="E617">
            <v>1</v>
          </cell>
          <cell r="F617">
            <v>1</v>
          </cell>
          <cell r="G617">
            <v>1</v>
          </cell>
          <cell r="H617">
            <v>1</v>
          </cell>
          <cell r="I617">
            <v>1</v>
          </cell>
          <cell r="J617">
            <v>1</v>
          </cell>
          <cell r="K617">
            <v>1</v>
          </cell>
          <cell r="L617">
            <v>1</v>
          </cell>
          <cell r="M617">
            <v>1</v>
          </cell>
          <cell r="N617">
            <v>1</v>
          </cell>
          <cell r="O617">
            <v>1</v>
          </cell>
          <cell r="P617">
            <v>0</v>
          </cell>
          <cell r="Q617">
            <v>1</v>
          </cell>
          <cell r="R617">
            <v>1</v>
          </cell>
          <cell r="S617">
            <v>1</v>
          </cell>
          <cell r="T617">
            <v>0</v>
          </cell>
          <cell r="U617">
            <v>1</v>
          </cell>
        </row>
        <row r="618">
          <cell r="A618" t="str">
            <v>TC0090</v>
          </cell>
          <cell r="B618">
            <v>1</v>
          </cell>
          <cell r="C618">
            <v>1</v>
          </cell>
          <cell r="D618">
            <v>1</v>
          </cell>
          <cell r="E618">
            <v>1</v>
          </cell>
          <cell r="F618">
            <v>1</v>
          </cell>
          <cell r="G618">
            <v>1</v>
          </cell>
          <cell r="H618">
            <v>1</v>
          </cell>
          <cell r="I618">
            <v>1</v>
          </cell>
          <cell r="J618">
            <v>1</v>
          </cell>
          <cell r="K618">
            <v>1</v>
          </cell>
          <cell r="L618">
            <v>1</v>
          </cell>
          <cell r="M618">
            <v>1</v>
          </cell>
          <cell r="N618">
            <v>1</v>
          </cell>
          <cell r="O618">
            <v>1</v>
          </cell>
          <cell r="P618">
            <v>0</v>
          </cell>
          <cell r="Q618">
            <v>1</v>
          </cell>
          <cell r="R618">
            <v>1</v>
          </cell>
          <cell r="S618">
            <v>1</v>
          </cell>
          <cell r="T618">
            <v>0</v>
          </cell>
          <cell r="U618">
            <v>1</v>
          </cell>
        </row>
        <row r="619">
          <cell r="A619" t="str">
            <v>TC0091</v>
          </cell>
          <cell r="B619">
            <v>1</v>
          </cell>
          <cell r="C619">
            <v>1</v>
          </cell>
          <cell r="D619">
            <v>1</v>
          </cell>
          <cell r="E619">
            <v>1</v>
          </cell>
          <cell r="F619">
            <v>1</v>
          </cell>
          <cell r="G619">
            <v>1</v>
          </cell>
          <cell r="H619">
            <v>1</v>
          </cell>
          <cell r="I619">
            <v>1</v>
          </cell>
          <cell r="J619">
            <v>1</v>
          </cell>
          <cell r="K619">
            <v>1</v>
          </cell>
          <cell r="L619">
            <v>1</v>
          </cell>
          <cell r="M619">
            <v>1</v>
          </cell>
          <cell r="N619">
            <v>1</v>
          </cell>
          <cell r="O619">
            <v>1</v>
          </cell>
          <cell r="P619">
            <v>0</v>
          </cell>
          <cell r="Q619">
            <v>1</v>
          </cell>
          <cell r="R619">
            <v>1</v>
          </cell>
          <cell r="S619">
            <v>1</v>
          </cell>
          <cell r="T619">
            <v>0</v>
          </cell>
          <cell r="U619">
            <v>1</v>
          </cell>
        </row>
        <row r="620">
          <cell r="A620" t="str">
            <v>TC0092</v>
          </cell>
          <cell r="B620">
            <v>2</v>
          </cell>
          <cell r="C620">
            <v>2</v>
          </cell>
          <cell r="D620">
            <v>2</v>
          </cell>
          <cell r="E620">
            <v>2</v>
          </cell>
          <cell r="F620">
            <v>2</v>
          </cell>
          <cell r="G620">
            <v>2</v>
          </cell>
          <cell r="H620">
            <v>2</v>
          </cell>
          <cell r="I620">
            <v>2</v>
          </cell>
          <cell r="J620">
            <v>2</v>
          </cell>
          <cell r="K620">
            <v>2</v>
          </cell>
          <cell r="L620">
            <v>2</v>
          </cell>
          <cell r="M620">
            <v>2</v>
          </cell>
          <cell r="N620">
            <v>2</v>
          </cell>
          <cell r="O620">
            <v>2</v>
          </cell>
          <cell r="P620">
            <v>0</v>
          </cell>
          <cell r="Q620">
            <v>2</v>
          </cell>
          <cell r="R620">
            <v>2</v>
          </cell>
          <cell r="S620">
            <v>2</v>
          </cell>
          <cell r="T620">
            <v>0</v>
          </cell>
          <cell r="U620">
            <v>2</v>
          </cell>
        </row>
        <row r="621">
          <cell r="A621" t="str">
            <v>TC0093</v>
          </cell>
          <cell r="B621">
            <v>2</v>
          </cell>
          <cell r="C621">
            <v>2</v>
          </cell>
          <cell r="D621">
            <v>2</v>
          </cell>
          <cell r="E621">
            <v>2</v>
          </cell>
          <cell r="F621">
            <v>2</v>
          </cell>
          <cell r="G621">
            <v>2</v>
          </cell>
          <cell r="H621">
            <v>2</v>
          </cell>
          <cell r="I621">
            <v>2</v>
          </cell>
          <cell r="J621">
            <v>2</v>
          </cell>
          <cell r="K621">
            <v>2</v>
          </cell>
          <cell r="L621">
            <v>2</v>
          </cell>
          <cell r="M621">
            <v>2</v>
          </cell>
          <cell r="N621">
            <v>2</v>
          </cell>
          <cell r="O621">
            <v>2</v>
          </cell>
          <cell r="P621">
            <v>0</v>
          </cell>
          <cell r="Q621">
            <v>2</v>
          </cell>
          <cell r="R621">
            <v>2</v>
          </cell>
          <cell r="S621">
            <v>2</v>
          </cell>
          <cell r="T621">
            <v>0</v>
          </cell>
          <cell r="U621">
            <v>2</v>
          </cell>
        </row>
        <row r="622">
          <cell r="A622" t="str">
            <v>TC0094</v>
          </cell>
          <cell r="B622">
            <v>2</v>
          </cell>
          <cell r="C622">
            <v>2</v>
          </cell>
          <cell r="D622">
            <v>2</v>
          </cell>
          <cell r="E622">
            <v>2</v>
          </cell>
          <cell r="F622">
            <v>2</v>
          </cell>
          <cell r="G622">
            <v>2</v>
          </cell>
          <cell r="H622">
            <v>2</v>
          </cell>
          <cell r="I622">
            <v>2</v>
          </cell>
          <cell r="J622">
            <v>2</v>
          </cell>
          <cell r="K622">
            <v>2</v>
          </cell>
          <cell r="L622">
            <v>2</v>
          </cell>
          <cell r="M622">
            <v>2</v>
          </cell>
          <cell r="N622">
            <v>2</v>
          </cell>
          <cell r="O622">
            <v>2</v>
          </cell>
          <cell r="P622">
            <v>0</v>
          </cell>
          <cell r="Q622">
            <v>2</v>
          </cell>
          <cell r="R622">
            <v>2</v>
          </cell>
          <cell r="S622">
            <v>2</v>
          </cell>
          <cell r="T622">
            <v>0</v>
          </cell>
          <cell r="U622">
            <v>2</v>
          </cell>
        </row>
        <row r="623">
          <cell r="A623" t="str">
            <v>TC0095</v>
          </cell>
          <cell r="B623">
            <v>2</v>
          </cell>
          <cell r="C623">
            <v>2</v>
          </cell>
          <cell r="D623">
            <v>2</v>
          </cell>
          <cell r="E623">
            <v>2</v>
          </cell>
          <cell r="F623">
            <v>2</v>
          </cell>
          <cell r="G623">
            <v>2</v>
          </cell>
          <cell r="H623">
            <v>2</v>
          </cell>
          <cell r="I623">
            <v>2</v>
          </cell>
          <cell r="J623">
            <v>2</v>
          </cell>
          <cell r="K623">
            <v>2</v>
          </cell>
          <cell r="L623">
            <v>2</v>
          </cell>
          <cell r="M623">
            <v>2</v>
          </cell>
          <cell r="N623">
            <v>2</v>
          </cell>
          <cell r="O623">
            <v>2</v>
          </cell>
          <cell r="P623">
            <v>0</v>
          </cell>
          <cell r="Q623">
            <v>2</v>
          </cell>
          <cell r="R623">
            <v>2</v>
          </cell>
          <cell r="S623">
            <v>2</v>
          </cell>
          <cell r="T623">
            <v>0</v>
          </cell>
          <cell r="U623">
            <v>2</v>
          </cell>
        </row>
        <row r="624">
          <cell r="A624" t="str">
            <v>TC0096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2</v>
          </cell>
          <cell r="R624">
            <v>2</v>
          </cell>
          <cell r="S624">
            <v>2</v>
          </cell>
          <cell r="T624">
            <v>0</v>
          </cell>
          <cell r="U624">
            <v>0</v>
          </cell>
        </row>
        <row r="625">
          <cell r="A625" t="str">
            <v>TC0097</v>
          </cell>
          <cell r="B625">
            <v>2</v>
          </cell>
          <cell r="C625">
            <v>2</v>
          </cell>
          <cell r="D625">
            <v>2</v>
          </cell>
          <cell r="E625">
            <v>0</v>
          </cell>
          <cell r="F625">
            <v>2</v>
          </cell>
          <cell r="G625">
            <v>0</v>
          </cell>
          <cell r="H625">
            <v>2</v>
          </cell>
          <cell r="I625">
            <v>2</v>
          </cell>
          <cell r="J625">
            <v>2</v>
          </cell>
          <cell r="K625">
            <v>2</v>
          </cell>
          <cell r="L625">
            <v>2</v>
          </cell>
          <cell r="M625">
            <v>0</v>
          </cell>
          <cell r="N625">
            <v>2</v>
          </cell>
          <cell r="O625">
            <v>0</v>
          </cell>
          <cell r="P625">
            <v>1</v>
          </cell>
          <cell r="Q625">
            <v>2</v>
          </cell>
          <cell r="R625">
            <v>2</v>
          </cell>
          <cell r="S625">
            <v>2</v>
          </cell>
          <cell r="T625">
            <v>1</v>
          </cell>
          <cell r="U625">
            <v>0</v>
          </cell>
        </row>
        <row r="626">
          <cell r="A626" t="str">
            <v>TC0098</v>
          </cell>
          <cell r="B626">
            <v>3</v>
          </cell>
          <cell r="C626">
            <v>3</v>
          </cell>
          <cell r="D626">
            <v>3</v>
          </cell>
          <cell r="E626">
            <v>2</v>
          </cell>
          <cell r="F626">
            <v>3</v>
          </cell>
          <cell r="G626">
            <v>2</v>
          </cell>
          <cell r="H626">
            <v>3</v>
          </cell>
          <cell r="I626">
            <v>3</v>
          </cell>
          <cell r="J626">
            <v>3</v>
          </cell>
          <cell r="K626">
            <v>3</v>
          </cell>
          <cell r="L626">
            <v>3</v>
          </cell>
          <cell r="M626">
            <v>2</v>
          </cell>
          <cell r="N626">
            <v>3</v>
          </cell>
          <cell r="O626">
            <v>2</v>
          </cell>
          <cell r="P626">
            <v>0</v>
          </cell>
          <cell r="Q626">
            <v>3</v>
          </cell>
          <cell r="R626">
            <v>3</v>
          </cell>
          <cell r="S626">
            <v>3</v>
          </cell>
          <cell r="T626">
            <v>0</v>
          </cell>
          <cell r="U626">
            <v>2</v>
          </cell>
        </row>
        <row r="627">
          <cell r="A627" t="str">
            <v>TCE001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1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</row>
        <row r="628">
          <cell r="A628" t="str">
            <v>TCE002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1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</row>
        <row r="629">
          <cell r="A629" t="str">
            <v>TCE004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4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A630" t="str">
            <v>TCE005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2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A631" t="str">
            <v>TCE006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2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</row>
        <row r="632">
          <cell r="A632" t="str">
            <v>TCE007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3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Details"/>
      <sheetName val="Stand-Up_Plus-Up Details"/>
      <sheetName val="Master SEID List - Everything"/>
      <sheetName val="All Lists_Current BOI+IOPs"/>
      <sheetName val="Current Total Rqd by SQDN"/>
      <sheetName val="LRIP 1(W) - 080113"/>
      <sheetName val="LRIP 2(W) 080113"/>
      <sheetName val="LRIP 3(W) 080113"/>
      <sheetName val="LRIP 4(W) 080113"/>
      <sheetName val="FY11(W) 082813"/>
      <sheetName val="FY11 PPE(W) 080113"/>
      <sheetName val="FY12(W) 082813"/>
      <sheetName val="LRIP 7"/>
      <sheetName val="Beaufort VMFAT501 Transfer List"/>
      <sheetName val="BF-CF SE xFer_Buy"/>
      <sheetName val="FY11 Annex C"/>
      <sheetName val="FY12 Annex C"/>
      <sheetName val="LRIP 7 Annex C - Jun13"/>
      <sheetName val="FH Ops LRIP 7"/>
      <sheetName val="2013 BedDow Layin Codes "/>
      <sheetName val="DD250 Decoder"/>
    </sheetNames>
    <sheetDataSet>
      <sheetData sheetId="0"/>
      <sheetData sheetId="1"/>
      <sheetData sheetId="2"/>
      <sheetData sheetId="3"/>
      <sheetData sheetId="4">
        <row r="2">
          <cell r="A2" t="str">
            <v>A00001</v>
          </cell>
          <cell r="B2">
            <v>72</v>
          </cell>
          <cell r="C2">
            <v>18</v>
          </cell>
          <cell r="D2">
            <v>18</v>
          </cell>
          <cell r="E2">
            <v>36</v>
          </cell>
          <cell r="F2">
            <v>72</v>
          </cell>
          <cell r="G2">
            <v>42</v>
          </cell>
          <cell r="H2">
            <v>57</v>
          </cell>
          <cell r="I2">
            <v>72</v>
          </cell>
          <cell r="J2">
            <v>3</v>
          </cell>
          <cell r="K2">
            <v>69</v>
          </cell>
          <cell r="L2">
            <v>48</v>
          </cell>
          <cell r="M2">
            <v>48</v>
          </cell>
          <cell r="N2">
            <v>12</v>
          </cell>
          <cell r="O2">
            <v>9</v>
          </cell>
          <cell r="P2">
            <v>0</v>
          </cell>
          <cell r="Q2">
            <v>15</v>
          </cell>
          <cell r="R2">
            <v>63</v>
          </cell>
          <cell r="S2">
            <v>30</v>
          </cell>
          <cell r="T2">
            <v>0</v>
          </cell>
          <cell r="U2">
            <v>6</v>
          </cell>
        </row>
        <row r="3">
          <cell r="A3" t="str">
            <v>A00002</v>
          </cell>
          <cell r="B3">
            <v>24</v>
          </cell>
          <cell r="C3">
            <v>6</v>
          </cell>
          <cell r="D3">
            <v>6</v>
          </cell>
          <cell r="E3">
            <v>12</v>
          </cell>
          <cell r="F3">
            <v>24</v>
          </cell>
          <cell r="G3">
            <v>14</v>
          </cell>
          <cell r="H3">
            <v>19</v>
          </cell>
          <cell r="I3">
            <v>24</v>
          </cell>
          <cell r="J3">
            <v>1</v>
          </cell>
          <cell r="K3">
            <v>23</v>
          </cell>
          <cell r="L3">
            <v>16</v>
          </cell>
          <cell r="M3">
            <v>16</v>
          </cell>
          <cell r="N3">
            <v>4</v>
          </cell>
          <cell r="O3">
            <v>3</v>
          </cell>
          <cell r="P3">
            <v>0</v>
          </cell>
          <cell r="Q3">
            <v>5</v>
          </cell>
          <cell r="R3">
            <v>21</v>
          </cell>
          <cell r="S3">
            <v>10</v>
          </cell>
          <cell r="T3">
            <v>0</v>
          </cell>
          <cell r="U3">
            <v>2</v>
          </cell>
        </row>
        <row r="4">
          <cell r="A4" t="str">
            <v>A00003</v>
          </cell>
          <cell r="B4">
            <v>24</v>
          </cell>
          <cell r="C4">
            <v>6</v>
          </cell>
          <cell r="D4">
            <v>6</v>
          </cell>
          <cell r="E4">
            <v>12</v>
          </cell>
          <cell r="F4">
            <v>24</v>
          </cell>
          <cell r="G4">
            <v>14</v>
          </cell>
          <cell r="H4">
            <v>0</v>
          </cell>
          <cell r="I4">
            <v>24</v>
          </cell>
          <cell r="J4">
            <v>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2</v>
          </cell>
        </row>
        <row r="5">
          <cell r="A5" t="str">
            <v>A00004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5</v>
          </cell>
          <cell r="R5">
            <v>21</v>
          </cell>
          <cell r="S5">
            <v>10</v>
          </cell>
          <cell r="T5">
            <v>0</v>
          </cell>
          <cell r="U5">
            <v>0</v>
          </cell>
        </row>
        <row r="6">
          <cell r="A6" t="str">
            <v>A00005</v>
          </cell>
          <cell r="B6">
            <v>24</v>
          </cell>
          <cell r="C6">
            <v>6</v>
          </cell>
          <cell r="D6">
            <v>6</v>
          </cell>
          <cell r="E6">
            <v>12</v>
          </cell>
          <cell r="F6">
            <v>24</v>
          </cell>
          <cell r="G6">
            <v>14</v>
          </cell>
          <cell r="H6">
            <v>19</v>
          </cell>
          <cell r="I6">
            <v>24</v>
          </cell>
          <cell r="J6">
            <v>1</v>
          </cell>
          <cell r="K6">
            <v>23</v>
          </cell>
          <cell r="L6">
            <v>16</v>
          </cell>
          <cell r="M6">
            <v>16</v>
          </cell>
          <cell r="N6">
            <v>4</v>
          </cell>
          <cell r="O6">
            <v>3</v>
          </cell>
          <cell r="P6">
            <v>0</v>
          </cell>
          <cell r="Q6">
            <v>5</v>
          </cell>
          <cell r="R6">
            <v>21</v>
          </cell>
          <cell r="S6">
            <v>10</v>
          </cell>
          <cell r="T6">
            <v>0</v>
          </cell>
          <cell r="U6">
            <v>2</v>
          </cell>
        </row>
        <row r="7">
          <cell r="A7" t="str">
            <v>A00008</v>
          </cell>
          <cell r="B7">
            <v>24</v>
          </cell>
          <cell r="C7">
            <v>6</v>
          </cell>
          <cell r="D7">
            <v>6</v>
          </cell>
          <cell r="E7">
            <v>12</v>
          </cell>
          <cell r="F7">
            <v>24</v>
          </cell>
          <cell r="G7">
            <v>14</v>
          </cell>
          <cell r="H7">
            <v>0</v>
          </cell>
          <cell r="I7">
            <v>24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5</v>
          </cell>
          <cell r="R7">
            <v>21</v>
          </cell>
          <cell r="S7">
            <v>10</v>
          </cell>
          <cell r="T7">
            <v>0</v>
          </cell>
          <cell r="U7">
            <v>2</v>
          </cell>
        </row>
        <row r="8">
          <cell r="A8" t="str">
            <v>A00008B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19</v>
          </cell>
          <cell r="I8">
            <v>0</v>
          </cell>
          <cell r="J8">
            <v>0</v>
          </cell>
          <cell r="K8">
            <v>23</v>
          </cell>
          <cell r="L8">
            <v>16</v>
          </cell>
          <cell r="M8">
            <v>16</v>
          </cell>
          <cell r="N8">
            <v>4</v>
          </cell>
          <cell r="O8">
            <v>3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A00009</v>
          </cell>
          <cell r="B9">
            <v>24</v>
          </cell>
          <cell r="C9">
            <v>6</v>
          </cell>
          <cell r="D9">
            <v>6</v>
          </cell>
          <cell r="E9">
            <v>12</v>
          </cell>
          <cell r="F9">
            <v>24</v>
          </cell>
          <cell r="G9">
            <v>14</v>
          </cell>
          <cell r="H9">
            <v>19</v>
          </cell>
          <cell r="I9">
            <v>24</v>
          </cell>
          <cell r="J9">
            <v>1</v>
          </cell>
          <cell r="K9">
            <v>23</v>
          </cell>
          <cell r="L9">
            <v>16</v>
          </cell>
          <cell r="M9">
            <v>16</v>
          </cell>
          <cell r="N9">
            <v>4</v>
          </cell>
          <cell r="O9">
            <v>3</v>
          </cell>
          <cell r="P9">
            <v>0</v>
          </cell>
          <cell r="Q9">
            <v>5</v>
          </cell>
          <cell r="R9">
            <v>21</v>
          </cell>
          <cell r="S9">
            <v>10</v>
          </cell>
          <cell r="T9">
            <v>0</v>
          </cell>
          <cell r="U9">
            <v>2</v>
          </cell>
        </row>
        <row r="10">
          <cell r="A10" t="str">
            <v>A00011</v>
          </cell>
          <cell r="B10">
            <v>24</v>
          </cell>
          <cell r="C10">
            <v>6</v>
          </cell>
          <cell r="D10">
            <v>6</v>
          </cell>
          <cell r="E10">
            <v>12</v>
          </cell>
          <cell r="F10">
            <v>24</v>
          </cell>
          <cell r="G10">
            <v>14</v>
          </cell>
          <cell r="H10">
            <v>19</v>
          </cell>
          <cell r="I10">
            <v>24</v>
          </cell>
          <cell r="J10">
            <v>1</v>
          </cell>
          <cell r="K10">
            <v>23</v>
          </cell>
          <cell r="L10">
            <v>16</v>
          </cell>
          <cell r="M10">
            <v>16</v>
          </cell>
          <cell r="N10">
            <v>4</v>
          </cell>
          <cell r="O10">
            <v>3</v>
          </cell>
          <cell r="P10">
            <v>0</v>
          </cell>
          <cell r="Q10">
            <v>5</v>
          </cell>
          <cell r="R10">
            <v>21</v>
          </cell>
          <cell r="S10">
            <v>10</v>
          </cell>
          <cell r="T10">
            <v>0</v>
          </cell>
          <cell r="U10">
            <v>2</v>
          </cell>
        </row>
        <row r="11">
          <cell r="A11" t="str">
            <v>A00013</v>
          </cell>
          <cell r="B11">
            <v>24</v>
          </cell>
          <cell r="C11">
            <v>6</v>
          </cell>
          <cell r="D11">
            <v>6</v>
          </cell>
          <cell r="E11">
            <v>12</v>
          </cell>
          <cell r="F11">
            <v>24</v>
          </cell>
          <cell r="G11">
            <v>14</v>
          </cell>
          <cell r="H11">
            <v>0</v>
          </cell>
          <cell r="I11">
            <v>24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5</v>
          </cell>
          <cell r="R11">
            <v>21</v>
          </cell>
          <cell r="S11">
            <v>10</v>
          </cell>
          <cell r="T11">
            <v>0</v>
          </cell>
          <cell r="U11">
            <v>2</v>
          </cell>
        </row>
        <row r="12">
          <cell r="A12" t="str">
            <v>A00013B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19</v>
          </cell>
          <cell r="I12">
            <v>0</v>
          </cell>
          <cell r="J12">
            <v>0</v>
          </cell>
          <cell r="K12">
            <v>23</v>
          </cell>
          <cell r="L12">
            <v>16</v>
          </cell>
          <cell r="M12">
            <v>16</v>
          </cell>
          <cell r="N12">
            <v>4</v>
          </cell>
          <cell r="O12">
            <v>3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A00014</v>
          </cell>
          <cell r="B13">
            <v>24</v>
          </cell>
          <cell r="C13">
            <v>6</v>
          </cell>
          <cell r="D13">
            <v>6</v>
          </cell>
          <cell r="E13">
            <v>12</v>
          </cell>
          <cell r="F13">
            <v>24</v>
          </cell>
          <cell r="G13">
            <v>14</v>
          </cell>
          <cell r="H13">
            <v>19</v>
          </cell>
          <cell r="I13">
            <v>24</v>
          </cell>
          <cell r="J13">
            <v>1</v>
          </cell>
          <cell r="K13">
            <v>23</v>
          </cell>
          <cell r="L13">
            <v>16</v>
          </cell>
          <cell r="M13">
            <v>16</v>
          </cell>
          <cell r="N13">
            <v>4</v>
          </cell>
          <cell r="O13">
            <v>3</v>
          </cell>
          <cell r="P13">
            <v>0</v>
          </cell>
          <cell r="Q13">
            <v>5</v>
          </cell>
          <cell r="R13">
            <v>21</v>
          </cell>
          <cell r="S13">
            <v>10</v>
          </cell>
          <cell r="T13">
            <v>0</v>
          </cell>
          <cell r="U13">
            <v>2</v>
          </cell>
        </row>
        <row r="14">
          <cell r="A14" t="str">
            <v>A00015C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5</v>
          </cell>
          <cell r="R14">
            <v>21</v>
          </cell>
          <cell r="S14">
            <v>10</v>
          </cell>
          <cell r="T14">
            <v>0</v>
          </cell>
          <cell r="U14">
            <v>0</v>
          </cell>
        </row>
        <row r="15">
          <cell r="A15" t="str">
            <v>A00016</v>
          </cell>
          <cell r="B15">
            <v>24</v>
          </cell>
          <cell r="C15">
            <v>6</v>
          </cell>
          <cell r="D15">
            <v>6</v>
          </cell>
          <cell r="E15">
            <v>12</v>
          </cell>
          <cell r="F15">
            <v>24</v>
          </cell>
          <cell r="G15">
            <v>14</v>
          </cell>
          <cell r="H15">
            <v>19</v>
          </cell>
          <cell r="I15">
            <v>24</v>
          </cell>
          <cell r="J15">
            <v>1</v>
          </cell>
          <cell r="K15">
            <v>23</v>
          </cell>
          <cell r="L15">
            <v>16</v>
          </cell>
          <cell r="M15">
            <v>16</v>
          </cell>
          <cell r="N15">
            <v>4</v>
          </cell>
          <cell r="O15">
            <v>3</v>
          </cell>
          <cell r="P15">
            <v>0</v>
          </cell>
          <cell r="Q15">
            <v>5</v>
          </cell>
          <cell r="R15">
            <v>21</v>
          </cell>
          <cell r="S15">
            <v>10</v>
          </cell>
          <cell r="T15">
            <v>0</v>
          </cell>
          <cell r="U15">
            <v>2</v>
          </cell>
        </row>
        <row r="16">
          <cell r="A16" t="str">
            <v>A00017</v>
          </cell>
          <cell r="B16">
            <v>24</v>
          </cell>
          <cell r="C16">
            <v>6</v>
          </cell>
          <cell r="D16">
            <v>6</v>
          </cell>
          <cell r="E16">
            <v>12</v>
          </cell>
          <cell r="F16">
            <v>24</v>
          </cell>
          <cell r="G16">
            <v>14</v>
          </cell>
          <cell r="H16">
            <v>19</v>
          </cell>
          <cell r="I16">
            <v>24</v>
          </cell>
          <cell r="J16">
            <v>1</v>
          </cell>
          <cell r="K16">
            <v>23</v>
          </cell>
          <cell r="L16">
            <v>16</v>
          </cell>
          <cell r="M16">
            <v>16</v>
          </cell>
          <cell r="N16">
            <v>4</v>
          </cell>
          <cell r="O16">
            <v>3</v>
          </cell>
          <cell r="P16">
            <v>0</v>
          </cell>
          <cell r="Q16">
            <v>5</v>
          </cell>
          <cell r="R16">
            <v>21</v>
          </cell>
          <cell r="S16">
            <v>10</v>
          </cell>
          <cell r="T16">
            <v>0</v>
          </cell>
          <cell r="U16">
            <v>2</v>
          </cell>
        </row>
        <row r="17">
          <cell r="A17" t="str">
            <v>A00018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19</v>
          </cell>
          <cell r="I17">
            <v>0</v>
          </cell>
          <cell r="J17">
            <v>0</v>
          </cell>
          <cell r="K17">
            <v>23</v>
          </cell>
          <cell r="L17">
            <v>16</v>
          </cell>
          <cell r="M17">
            <v>16</v>
          </cell>
          <cell r="N17">
            <v>4</v>
          </cell>
          <cell r="O17">
            <v>3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J00005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J00006</v>
          </cell>
          <cell r="B19">
            <v>36</v>
          </cell>
          <cell r="C19">
            <v>9</v>
          </cell>
          <cell r="D19">
            <v>9</v>
          </cell>
          <cell r="E19">
            <v>18</v>
          </cell>
          <cell r="F19">
            <v>36</v>
          </cell>
          <cell r="G19">
            <v>21</v>
          </cell>
          <cell r="H19">
            <v>29</v>
          </cell>
          <cell r="I19">
            <v>36</v>
          </cell>
          <cell r="J19">
            <v>2</v>
          </cell>
          <cell r="K19">
            <v>35</v>
          </cell>
          <cell r="L19">
            <v>24</v>
          </cell>
          <cell r="M19">
            <v>24</v>
          </cell>
          <cell r="N19">
            <v>6</v>
          </cell>
          <cell r="O19">
            <v>5</v>
          </cell>
          <cell r="P19">
            <v>0</v>
          </cell>
          <cell r="Q19">
            <v>8</v>
          </cell>
          <cell r="R19">
            <v>32</v>
          </cell>
          <cell r="S19">
            <v>15</v>
          </cell>
          <cell r="T19">
            <v>0</v>
          </cell>
          <cell r="U19">
            <v>3</v>
          </cell>
        </row>
        <row r="20">
          <cell r="A20" t="str">
            <v>J00007</v>
          </cell>
          <cell r="B20">
            <v>2</v>
          </cell>
          <cell r="C20">
            <v>2</v>
          </cell>
          <cell r="D20">
            <v>2</v>
          </cell>
          <cell r="E20">
            <v>2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</row>
        <row r="21">
          <cell r="A21" t="str">
            <v>J00008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3</v>
          </cell>
          <cell r="Q21">
            <v>0</v>
          </cell>
          <cell r="R21">
            <v>0</v>
          </cell>
          <cell r="S21">
            <v>0</v>
          </cell>
          <cell r="T21">
            <v>3</v>
          </cell>
          <cell r="U21">
            <v>0</v>
          </cell>
        </row>
        <row r="22">
          <cell r="A22" t="str">
            <v>J00009</v>
          </cell>
          <cell r="B22">
            <v>5</v>
          </cell>
          <cell r="C22">
            <v>2</v>
          </cell>
          <cell r="D22">
            <v>2</v>
          </cell>
          <cell r="E22">
            <v>2</v>
          </cell>
          <cell r="F22">
            <v>5</v>
          </cell>
          <cell r="G22">
            <v>3</v>
          </cell>
          <cell r="H22">
            <v>7</v>
          </cell>
          <cell r="I22">
            <v>5</v>
          </cell>
          <cell r="J22">
            <v>2</v>
          </cell>
          <cell r="K22">
            <v>8</v>
          </cell>
          <cell r="L22">
            <v>6</v>
          </cell>
          <cell r="M22">
            <v>5</v>
          </cell>
          <cell r="N22">
            <v>3</v>
          </cell>
          <cell r="O22">
            <v>1</v>
          </cell>
          <cell r="P22">
            <v>0</v>
          </cell>
          <cell r="Q22">
            <v>3</v>
          </cell>
          <cell r="R22">
            <v>8</v>
          </cell>
          <cell r="S22">
            <v>4</v>
          </cell>
          <cell r="T22">
            <v>0</v>
          </cell>
          <cell r="U22">
            <v>1</v>
          </cell>
        </row>
        <row r="23">
          <cell r="A23" t="str">
            <v>J00010</v>
          </cell>
          <cell r="B23">
            <v>5</v>
          </cell>
          <cell r="C23">
            <v>2</v>
          </cell>
          <cell r="D23">
            <v>2</v>
          </cell>
          <cell r="E23">
            <v>2</v>
          </cell>
          <cell r="F23">
            <v>5</v>
          </cell>
          <cell r="G23">
            <v>3</v>
          </cell>
          <cell r="H23">
            <v>5</v>
          </cell>
          <cell r="I23">
            <v>5</v>
          </cell>
          <cell r="J23">
            <v>2</v>
          </cell>
          <cell r="K23">
            <v>5</v>
          </cell>
          <cell r="L23">
            <v>4</v>
          </cell>
          <cell r="M23">
            <v>3</v>
          </cell>
          <cell r="N23">
            <v>2</v>
          </cell>
          <cell r="O23">
            <v>1</v>
          </cell>
          <cell r="P23">
            <v>2</v>
          </cell>
          <cell r="Q23">
            <v>2</v>
          </cell>
          <cell r="R23">
            <v>5</v>
          </cell>
          <cell r="S23">
            <v>3</v>
          </cell>
          <cell r="T23">
            <v>2</v>
          </cell>
          <cell r="U23">
            <v>1</v>
          </cell>
        </row>
        <row r="24">
          <cell r="A24" t="str">
            <v>J00011</v>
          </cell>
          <cell r="B24">
            <v>3</v>
          </cell>
          <cell r="C24">
            <v>2</v>
          </cell>
          <cell r="D24">
            <v>2</v>
          </cell>
          <cell r="E24">
            <v>1</v>
          </cell>
          <cell r="F24">
            <v>3</v>
          </cell>
          <cell r="G24">
            <v>2</v>
          </cell>
          <cell r="H24">
            <v>3</v>
          </cell>
          <cell r="I24">
            <v>3</v>
          </cell>
          <cell r="J24">
            <v>2</v>
          </cell>
          <cell r="K24">
            <v>3</v>
          </cell>
          <cell r="L24">
            <v>3</v>
          </cell>
          <cell r="M24">
            <v>2</v>
          </cell>
          <cell r="N24">
            <v>2</v>
          </cell>
          <cell r="O24">
            <v>1</v>
          </cell>
          <cell r="P24">
            <v>0</v>
          </cell>
          <cell r="Q24">
            <v>2</v>
          </cell>
          <cell r="R24">
            <v>4</v>
          </cell>
          <cell r="S24">
            <v>2</v>
          </cell>
          <cell r="T24">
            <v>0</v>
          </cell>
          <cell r="U24">
            <v>1</v>
          </cell>
        </row>
        <row r="25">
          <cell r="A25" t="str">
            <v>J00012</v>
          </cell>
          <cell r="B25">
            <v>3</v>
          </cell>
          <cell r="C25">
            <v>2</v>
          </cell>
          <cell r="D25">
            <v>2</v>
          </cell>
          <cell r="E25">
            <v>1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3</v>
          </cell>
          <cell r="L25">
            <v>3</v>
          </cell>
          <cell r="M25">
            <v>2</v>
          </cell>
          <cell r="N25">
            <v>2</v>
          </cell>
          <cell r="O25">
            <v>1</v>
          </cell>
          <cell r="P25">
            <v>2</v>
          </cell>
          <cell r="Q25">
            <v>2</v>
          </cell>
          <cell r="R25">
            <v>4</v>
          </cell>
          <cell r="S25">
            <v>2</v>
          </cell>
          <cell r="T25">
            <v>2</v>
          </cell>
          <cell r="U25">
            <v>1</v>
          </cell>
        </row>
        <row r="26">
          <cell r="A26" t="str">
            <v>J00013</v>
          </cell>
          <cell r="B26">
            <v>5</v>
          </cell>
          <cell r="C26">
            <v>2</v>
          </cell>
          <cell r="D26">
            <v>2</v>
          </cell>
          <cell r="E26">
            <v>2</v>
          </cell>
          <cell r="F26">
            <v>5</v>
          </cell>
          <cell r="G26">
            <v>3</v>
          </cell>
          <cell r="H26">
            <v>5</v>
          </cell>
          <cell r="I26">
            <v>5</v>
          </cell>
          <cell r="J26">
            <v>2</v>
          </cell>
          <cell r="K26">
            <v>5</v>
          </cell>
          <cell r="L26">
            <v>4</v>
          </cell>
          <cell r="M26">
            <v>3</v>
          </cell>
          <cell r="N26">
            <v>2</v>
          </cell>
          <cell r="O26">
            <v>1</v>
          </cell>
          <cell r="P26">
            <v>0</v>
          </cell>
          <cell r="Q26">
            <v>2</v>
          </cell>
          <cell r="R26">
            <v>5</v>
          </cell>
          <cell r="S26">
            <v>3</v>
          </cell>
          <cell r="T26">
            <v>0</v>
          </cell>
          <cell r="U26">
            <v>1</v>
          </cell>
        </row>
        <row r="27">
          <cell r="A27" t="str">
            <v>J00013-W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J00014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 t="str">
            <v>J00016</v>
          </cell>
          <cell r="B29">
            <v>3</v>
          </cell>
          <cell r="C29">
            <v>3</v>
          </cell>
          <cell r="D29">
            <v>3</v>
          </cell>
          <cell r="E29">
            <v>3</v>
          </cell>
          <cell r="F29">
            <v>3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  <cell r="M29">
            <v>3</v>
          </cell>
          <cell r="N29">
            <v>3</v>
          </cell>
          <cell r="O29">
            <v>3</v>
          </cell>
          <cell r="P29">
            <v>2</v>
          </cell>
          <cell r="Q29">
            <v>3</v>
          </cell>
          <cell r="R29">
            <v>3</v>
          </cell>
          <cell r="S29">
            <v>3</v>
          </cell>
          <cell r="T29">
            <v>2</v>
          </cell>
          <cell r="U29">
            <v>3</v>
          </cell>
        </row>
        <row r="30">
          <cell r="A30" t="str">
            <v>J00017</v>
          </cell>
          <cell r="B30">
            <v>2</v>
          </cell>
          <cell r="C30">
            <v>2</v>
          </cell>
          <cell r="D30">
            <v>2</v>
          </cell>
          <cell r="E30">
            <v>0</v>
          </cell>
          <cell r="F30">
            <v>2</v>
          </cell>
          <cell r="G30">
            <v>0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  <cell r="L30">
            <v>2</v>
          </cell>
          <cell r="M30">
            <v>0</v>
          </cell>
          <cell r="N30">
            <v>2</v>
          </cell>
          <cell r="O30">
            <v>0</v>
          </cell>
          <cell r="P30">
            <v>1</v>
          </cell>
          <cell r="Q30">
            <v>3</v>
          </cell>
          <cell r="R30">
            <v>3</v>
          </cell>
          <cell r="S30">
            <v>3</v>
          </cell>
          <cell r="T30">
            <v>1</v>
          </cell>
          <cell r="U30">
            <v>0</v>
          </cell>
        </row>
        <row r="31">
          <cell r="A31" t="str">
            <v>J00019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646</v>
          </cell>
          <cell r="I31">
            <v>0</v>
          </cell>
          <cell r="J31">
            <v>0</v>
          </cell>
          <cell r="K31">
            <v>782</v>
          </cell>
          <cell r="L31">
            <v>544</v>
          </cell>
          <cell r="M31">
            <v>544</v>
          </cell>
          <cell r="N31">
            <v>0</v>
          </cell>
          <cell r="O31">
            <v>0</v>
          </cell>
          <cell r="P31">
            <v>0</v>
          </cell>
          <cell r="Q31">
            <v>210</v>
          </cell>
          <cell r="R31">
            <v>882</v>
          </cell>
          <cell r="S31">
            <v>420</v>
          </cell>
          <cell r="T31">
            <v>0</v>
          </cell>
          <cell r="U31">
            <v>0</v>
          </cell>
        </row>
        <row r="32">
          <cell r="A32" t="str">
            <v>J00021</v>
          </cell>
          <cell r="B32">
            <v>12</v>
          </cell>
          <cell r="C32">
            <v>4</v>
          </cell>
          <cell r="D32">
            <v>4</v>
          </cell>
          <cell r="E32">
            <v>6</v>
          </cell>
          <cell r="F32">
            <v>12</v>
          </cell>
          <cell r="G32">
            <v>7</v>
          </cell>
          <cell r="H32">
            <v>10</v>
          </cell>
          <cell r="I32">
            <v>12</v>
          </cell>
          <cell r="J32">
            <v>4</v>
          </cell>
          <cell r="K32">
            <v>12</v>
          </cell>
          <cell r="L32">
            <v>8</v>
          </cell>
          <cell r="M32">
            <v>8</v>
          </cell>
          <cell r="N32">
            <v>4</v>
          </cell>
          <cell r="O32">
            <v>4</v>
          </cell>
          <cell r="P32">
            <v>0</v>
          </cell>
          <cell r="Q32">
            <v>4</v>
          </cell>
          <cell r="R32">
            <v>11</v>
          </cell>
          <cell r="S32">
            <v>5</v>
          </cell>
          <cell r="T32">
            <v>0</v>
          </cell>
          <cell r="U32">
            <v>4</v>
          </cell>
        </row>
        <row r="33">
          <cell r="A33" t="str">
            <v>J00022</v>
          </cell>
          <cell r="B33">
            <v>7</v>
          </cell>
          <cell r="C33">
            <v>3</v>
          </cell>
          <cell r="D33">
            <v>3</v>
          </cell>
          <cell r="E33">
            <v>4</v>
          </cell>
          <cell r="F33">
            <v>7</v>
          </cell>
          <cell r="G33">
            <v>5</v>
          </cell>
          <cell r="H33">
            <v>7</v>
          </cell>
          <cell r="I33">
            <v>7</v>
          </cell>
          <cell r="J33">
            <v>3</v>
          </cell>
          <cell r="K33">
            <v>7</v>
          </cell>
          <cell r="L33">
            <v>7</v>
          </cell>
          <cell r="M33">
            <v>6</v>
          </cell>
          <cell r="N33">
            <v>3</v>
          </cell>
          <cell r="O33">
            <v>2</v>
          </cell>
          <cell r="P33">
            <v>4</v>
          </cell>
          <cell r="Q33">
            <v>6</v>
          </cell>
          <cell r="R33">
            <v>10</v>
          </cell>
          <cell r="S33">
            <v>8</v>
          </cell>
          <cell r="T33">
            <v>6</v>
          </cell>
          <cell r="U33">
            <v>2</v>
          </cell>
        </row>
        <row r="34">
          <cell r="A34" t="str">
            <v>J00025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5</v>
          </cell>
          <cell r="I34">
            <v>0</v>
          </cell>
          <cell r="J34">
            <v>0</v>
          </cell>
          <cell r="K34">
            <v>5</v>
          </cell>
          <cell r="L34">
            <v>4</v>
          </cell>
          <cell r="M34">
            <v>3</v>
          </cell>
          <cell r="N34">
            <v>2</v>
          </cell>
          <cell r="O34">
            <v>1</v>
          </cell>
          <cell r="P34">
            <v>7</v>
          </cell>
          <cell r="Q34">
            <v>2</v>
          </cell>
          <cell r="R34">
            <v>5</v>
          </cell>
          <cell r="S34">
            <v>3</v>
          </cell>
          <cell r="T34">
            <v>5</v>
          </cell>
          <cell r="U34">
            <v>0</v>
          </cell>
        </row>
        <row r="35">
          <cell r="A35" t="str">
            <v>J00026</v>
          </cell>
          <cell r="B35">
            <v>4</v>
          </cell>
          <cell r="C35">
            <v>2</v>
          </cell>
          <cell r="D35">
            <v>2</v>
          </cell>
          <cell r="E35">
            <v>2</v>
          </cell>
          <cell r="F35">
            <v>4</v>
          </cell>
          <cell r="G35">
            <v>3</v>
          </cell>
          <cell r="H35">
            <v>0</v>
          </cell>
          <cell r="I35">
            <v>4</v>
          </cell>
          <cell r="J35">
            <v>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</row>
        <row r="36">
          <cell r="A36" t="str">
            <v>J00027A</v>
          </cell>
          <cell r="B36">
            <v>144</v>
          </cell>
          <cell r="C36">
            <v>36</v>
          </cell>
          <cell r="D36">
            <v>36</v>
          </cell>
          <cell r="E36">
            <v>72</v>
          </cell>
          <cell r="F36">
            <v>144</v>
          </cell>
          <cell r="G36">
            <v>84</v>
          </cell>
          <cell r="H36">
            <v>0</v>
          </cell>
          <cell r="I36">
            <v>144</v>
          </cell>
          <cell r="J36">
            <v>6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20</v>
          </cell>
          <cell r="R36">
            <v>84</v>
          </cell>
          <cell r="S36">
            <v>40</v>
          </cell>
          <cell r="T36">
            <v>0</v>
          </cell>
          <cell r="U36">
            <v>12</v>
          </cell>
        </row>
        <row r="37">
          <cell r="A37" t="str">
            <v>J00027C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38</v>
          </cell>
          <cell r="I37">
            <v>0</v>
          </cell>
          <cell r="J37">
            <v>0</v>
          </cell>
          <cell r="K37">
            <v>46</v>
          </cell>
          <cell r="L37">
            <v>32</v>
          </cell>
          <cell r="M37">
            <v>32</v>
          </cell>
          <cell r="N37">
            <v>8</v>
          </cell>
          <cell r="O37">
            <v>6</v>
          </cell>
          <cell r="P37">
            <v>12</v>
          </cell>
          <cell r="Q37">
            <v>0</v>
          </cell>
          <cell r="R37">
            <v>0</v>
          </cell>
          <cell r="S37">
            <v>0</v>
          </cell>
          <cell r="T37">
            <v>8</v>
          </cell>
          <cell r="U37">
            <v>0</v>
          </cell>
        </row>
        <row r="38">
          <cell r="A38" t="str">
            <v>J00028</v>
          </cell>
          <cell r="B38">
            <v>14</v>
          </cell>
          <cell r="C38">
            <v>10</v>
          </cell>
          <cell r="D38">
            <v>10</v>
          </cell>
          <cell r="E38">
            <v>9</v>
          </cell>
          <cell r="F38">
            <v>14</v>
          </cell>
          <cell r="G38">
            <v>10</v>
          </cell>
          <cell r="H38">
            <v>13</v>
          </cell>
          <cell r="I38">
            <v>14</v>
          </cell>
          <cell r="J38">
            <v>10</v>
          </cell>
          <cell r="K38">
            <v>14</v>
          </cell>
          <cell r="L38">
            <v>12</v>
          </cell>
          <cell r="M38">
            <v>4</v>
          </cell>
          <cell r="N38">
            <v>10</v>
          </cell>
          <cell r="O38">
            <v>8</v>
          </cell>
          <cell r="P38">
            <v>0</v>
          </cell>
          <cell r="Q38">
            <v>10</v>
          </cell>
          <cell r="R38">
            <v>14</v>
          </cell>
          <cell r="S38">
            <v>11</v>
          </cell>
          <cell r="T38">
            <v>0</v>
          </cell>
          <cell r="U38">
            <v>8</v>
          </cell>
        </row>
        <row r="39">
          <cell r="A39" t="str">
            <v>J00029</v>
          </cell>
          <cell r="B39">
            <v>3</v>
          </cell>
          <cell r="C39">
            <v>3</v>
          </cell>
          <cell r="D39">
            <v>3</v>
          </cell>
          <cell r="E39">
            <v>0</v>
          </cell>
          <cell r="F39">
            <v>3</v>
          </cell>
          <cell r="G39">
            <v>0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  <cell r="L39">
            <v>3</v>
          </cell>
          <cell r="M39">
            <v>0</v>
          </cell>
          <cell r="N39">
            <v>3</v>
          </cell>
          <cell r="O39">
            <v>0</v>
          </cell>
          <cell r="P39">
            <v>0</v>
          </cell>
          <cell r="Q39">
            <v>3</v>
          </cell>
          <cell r="R39">
            <v>3</v>
          </cell>
          <cell r="S39">
            <v>3</v>
          </cell>
          <cell r="T39">
            <v>0</v>
          </cell>
          <cell r="U39">
            <v>0</v>
          </cell>
        </row>
        <row r="40">
          <cell r="A40" t="str">
            <v>J00030D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1</v>
          </cell>
          <cell r="Q40">
            <v>0</v>
          </cell>
          <cell r="R40">
            <v>0</v>
          </cell>
          <cell r="S40">
            <v>0</v>
          </cell>
          <cell r="T40">
            <v>1</v>
          </cell>
          <cell r="U40">
            <v>0</v>
          </cell>
        </row>
        <row r="41">
          <cell r="A41" t="str">
            <v>J00030E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 t="str">
            <v>J00033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  <cell r="I42">
            <v>2</v>
          </cell>
          <cell r="J42">
            <v>2</v>
          </cell>
          <cell r="K42">
            <v>2</v>
          </cell>
          <cell r="L42">
            <v>2</v>
          </cell>
          <cell r="M42">
            <v>2</v>
          </cell>
          <cell r="N42">
            <v>2</v>
          </cell>
          <cell r="O42">
            <v>2</v>
          </cell>
          <cell r="P42">
            <v>0</v>
          </cell>
          <cell r="Q42">
            <v>2</v>
          </cell>
          <cell r="R42">
            <v>2</v>
          </cell>
          <cell r="S42">
            <v>2</v>
          </cell>
          <cell r="T42">
            <v>0</v>
          </cell>
          <cell r="U42">
            <v>2</v>
          </cell>
        </row>
        <row r="43">
          <cell r="A43" t="str">
            <v>J00040</v>
          </cell>
          <cell r="B43">
            <v>7</v>
          </cell>
          <cell r="C43">
            <v>4</v>
          </cell>
          <cell r="D43">
            <v>4</v>
          </cell>
          <cell r="E43">
            <v>4</v>
          </cell>
          <cell r="F43">
            <v>7</v>
          </cell>
          <cell r="G43">
            <v>5</v>
          </cell>
          <cell r="H43">
            <v>7</v>
          </cell>
          <cell r="I43">
            <v>7</v>
          </cell>
          <cell r="J43">
            <v>4</v>
          </cell>
          <cell r="K43">
            <v>7</v>
          </cell>
          <cell r="L43">
            <v>6</v>
          </cell>
          <cell r="M43">
            <v>4</v>
          </cell>
          <cell r="N43">
            <v>4</v>
          </cell>
          <cell r="O43">
            <v>3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3</v>
          </cell>
        </row>
        <row r="44">
          <cell r="A44" t="str">
            <v>J00045</v>
          </cell>
          <cell r="B44">
            <v>1</v>
          </cell>
          <cell r="C44">
            <v>1</v>
          </cell>
          <cell r="D44">
            <v>1</v>
          </cell>
          <cell r="E44">
            <v>0</v>
          </cell>
          <cell r="F44">
            <v>1</v>
          </cell>
          <cell r="G44">
            <v>0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0</v>
          </cell>
          <cell r="N44">
            <v>1</v>
          </cell>
          <cell r="O44">
            <v>0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0</v>
          </cell>
        </row>
        <row r="45">
          <cell r="A45" t="str">
            <v>J00046</v>
          </cell>
          <cell r="B45">
            <v>5</v>
          </cell>
          <cell r="C45">
            <v>2</v>
          </cell>
          <cell r="D45">
            <v>2</v>
          </cell>
          <cell r="E45">
            <v>2</v>
          </cell>
          <cell r="F45">
            <v>5</v>
          </cell>
          <cell r="G45">
            <v>3</v>
          </cell>
          <cell r="H45">
            <v>5</v>
          </cell>
          <cell r="I45">
            <v>5</v>
          </cell>
          <cell r="J45">
            <v>2</v>
          </cell>
          <cell r="K45">
            <v>5</v>
          </cell>
          <cell r="L45">
            <v>4</v>
          </cell>
          <cell r="M45">
            <v>3</v>
          </cell>
          <cell r="N45">
            <v>2</v>
          </cell>
          <cell r="O45">
            <v>1</v>
          </cell>
          <cell r="P45">
            <v>2</v>
          </cell>
          <cell r="Q45">
            <v>2</v>
          </cell>
          <cell r="R45">
            <v>5</v>
          </cell>
          <cell r="S45">
            <v>3</v>
          </cell>
          <cell r="T45">
            <v>2</v>
          </cell>
          <cell r="U45">
            <v>1</v>
          </cell>
        </row>
        <row r="46">
          <cell r="A46" t="str">
            <v>J00047</v>
          </cell>
          <cell r="B46">
            <v>5</v>
          </cell>
          <cell r="C46">
            <v>3</v>
          </cell>
          <cell r="D46">
            <v>3</v>
          </cell>
          <cell r="E46">
            <v>3</v>
          </cell>
          <cell r="F46">
            <v>5</v>
          </cell>
          <cell r="G46">
            <v>4</v>
          </cell>
          <cell r="H46">
            <v>5</v>
          </cell>
          <cell r="I46">
            <v>5</v>
          </cell>
          <cell r="J46">
            <v>3</v>
          </cell>
          <cell r="K46">
            <v>5</v>
          </cell>
          <cell r="L46">
            <v>4</v>
          </cell>
          <cell r="M46">
            <v>4</v>
          </cell>
          <cell r="N46">
            <v>3</v>
          </cell>
          <cell r="O46">
            <v>3</v>
          </cell>
          <cell r="P46">
            <v>3</v>
          </cell>
          <cell r="Q46">
            <v>3</v>
          </cell>
          <cell r="R46">
            <v>5</v>
          </cell>
          <cell r="S46">
            <v>3</v>
          </cell>
          <cell r="T46">
            <v>3</v>
          </cell>
          <cell r="U46">
            <v>3</v>
          </cell>
        </row>
        <row r="47">
          <cell r="A47" t="str">
            <v>J00049</v>
          </cell>
          <cell r="B47">
            <v>1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</row>
        <row r="48">
          <cell r="A48" t="str">
            <v>J00050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J00055</v>
          </cell>
          <cell r="B49">
            <v>2</v>
          </cell>
          <cell r="C49">
            <v>2</v>
          </cell>
          <cell r="D49">
            <v>2</v>
          </cell>
          <cell r="E49">
            <v>2</v>
          </cell>
          <cell r="F49">
            <v>2</v>
          </cell>
          <cell r="G49">
            <v>2</v>
          </cell>
          <cell r="H49">
            <v>2</v>
          </cell>
          <cell r="I49">
            <v>2</v>
          </cell>
          <cell r="J49">
            <v>2</v>
          </cell>
          <cell r="K49">
            <v>2</v>
          </cell>
          <cell r="L49">
            <v>2</v>
          </cell>
          <cell r="M49">
            <v>2</v>
          </cell>
          <cell r="N49">
            <v>2</v>
          </cell>
          <cell r="O49">
            <v>2</v>
          </cell>
          <cell r="P49">
            <v>0</v>
          </cell>
          <cell r="Q49">
            <v>2</v>
          </cell>
          <cell r="R49">
            <v>2</v>
          </cell>
          <cell r="S49">
            <v>2</v>
          </cell>
          <cell r="T49">
            <v>0</v>
          </cell>
          <cell r="U49">
            <v>2</v>
          </cell>
        </row>
        <row r="50">
          <cell r="A50" t="str">
            <v>J00061</v>
          </cell>
          <cell r="B50">
            <v>2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2</v>
          </cell>
          <cell r="L50">
            <v>2</v>
          </cell>
          <cell r="M50">
            <v>2</v>
          </cell>
          <cell r="N50">
            <v>1</v>
          </cell>
          <cell r="O50">
            <v>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</row>
        <row r="51">
          <cell r="A51" t="str">
            <v>J00061C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</v>
          </cell>
          <cell r="R51">
            <v>2</v>
          </cell>
          <cell r="S51">
            <v>2</v>
          </cell>
          <cell r="T51">
            <v>0</v>
          </cell>
          <cell r="U51">
            <v>0</v>
          </cell>
        </row>
        <row r="52">
          <cell r="A52" t="str">
            <v>J00066</v>
          </cell>
          <cell r="B52">
            <v>4</v>
          </cell>
          <cell r="C52">
            <v>1</v>
          </cell>
          <cell r="D52">
            <v>1</v>
          </cell>
          <cell r="E52">
            <v>2</v>
          </cell>
          <cell r="F52">
            <v>4</v>
          </cell>
          <cell r="G52">
            <v>3</v>
          </cell>
          <cell r="H52">
            <v>4</v>
          </cell>
          <cell r="I52">
            <v>4</v>
          </cell>
          <cell r="J52">
            <v>1</v>
          </cell>
          <cell r="K52">
            <v>4</v>
          </cell>
          <cell r="L52">
            <v>3</v>
          </cell>
          <cell r="M52">
            <v>3</v>
          </cell>
          <cell r="N52">
            <v>1</v>
          </cell>
          <cell r="O52">
            <v>1</v>
          </cell>
          <cell r="P52">
            <v>0</v>
          </cell>
          <cell r="Q52">
            <v>1</v>
          </cell>
          <cell r="R52">
            <v>4</v>
          </cell>
          <cell r="S52">
            <v>2</v>
          </cell>
          <cell r="T52">
            <v>0</v>
          </cell>
          <cell r="U52">
            <v>1</v>
          </cell>
        </row>
        <row r="53">
          <cell r="A53" t="str">
            <v>J00067</v>
          </cell>
          <cell r="B53">
            <v>34</v>
          </cell>
          <cell r="C53">
            <v>16</v>
          </cell>
          <cell r="D53">
            <v>16</v>
          </cell>
          <cell r="E53">
            <v>22</v>
          </cell>
          <cell r="F53">
            <v>34</v>
          </cell>
          <cell r="G53">
            <v>24</v>
          </cell>
          <cell r="H53">
            <v>29</v>
          </cell>
          <cell r="I53">
            <v>34</v>
          </cell>
          <cell r="J53">
            <v>11</v>
          </cell>
          <cell r="K53">
            <v>33</v>
          </cell>
          <cell r="L53">
            <v>26</v>
          </cell>
          <cell r="M53">
            <v>26</v>
          </cell>
          <cell r="N53">
            <v>14</v>
          </cell>
          <cell r="O53">
            <v>13</v>
          </cell>
          <cell r="P53">
            <v>0</v>
          </cell>
          <cell r="Q53">
            <v>15</v>
          </cell>
          <cell r="R53">
            <v>31</v>
          </cell>
          <cell r="S53">
            <v>20</v>
          </cell>
          <cell r="T53">
            <v>0</v>
          </cell>
          <cell r="U53">
            <v>12</v>
          </cell>
        </row>
        <row r="54">
          <cell r="A54" t="str">
            <v>J00068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J00068A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J00068B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J00068C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J00070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J00071</v>
          </cell>
          <cell r="B59">
            <v>4</v>
          </cell>
          <cell r="C59">
            <v>1</v>
          </cell>
          <cell r="D59">
            <v>1</v>
          </cell>
          <cell r="E59">
            <v>2</v>
          </cell>
          <cell r="F59">
            <v>4</v>
          </cell>
          <cell r="G59">
            <v>3</v>
          </cell>
          <cell r="H59">
            <v>4</v>
          </cell>
          <cell r="I59">
            <v>4</v>
          </cell>
          <cell r="J59">
            <v>1</v>
          </cell>
          <cell r="K59">
            <v>4</v>
          </cell>
          <cell r="L59">
            <v>3</v>
          </cell>
          <cell r="M59">
            <v>3</v>
          </cell>
          <cell r="N59">
            <v>1</v>
          </cell>
          <cell r="O59">
            <v>1</v>
          </cell>
          <cell r="P59">
            <v>0</v>
          </cell>
          <cell r="Q59">
            <v>1</v>
          </cell>
          <cell r="R59">
            <v>4</v>
          </cell>
          <cell r="S59">
            <v>2</v>
          </cell>
          <cell r="T59">
            <v>0</v>
          </cell>
          <cell r="U59">
            <v>1</v>
          </cell>
        </row>
        <row r="60">
          <cell r="A60" t="str">
            <v>J00072</v>
          </cell>
          <cell r="B60">
            <v>4</v>
          </cell>
          <cell r="C60">
            <v>2</v>
          </cell>
          <cell r="D60">
            <v>2</v>
          </cell>
          <cell r="E60">
            <v>2</v>
          </cell>
          <cell r="F60">
            <v>4</v>
          </cell>
          <cell r="G60">
            <v>3</v>
          </cell>
          <cell r="H60">
            <v>4</v>
          </cell>
          <cell r="I60">
            <v>4</v>
          </cell>
          <cell r="J60">
            <v>2</v>
          </cell>
          <cell r="K60">
            <v>4</v>
          </cell>
          <cell r="L60">
            <v>4</v>
          </cell>
          <cell r="M60">
            <v>3</v>
          </cell>
          <cell r="N60">
            <v>2</v>
          </cell>
          <cell r="O60">
            <v>1</v>
          </cell>
          <cell r="P60">
            <v>2</v>
          </cell>
          <cell r="Q60">
            <v>2</v>
          </cell>
          <cell r="R60">
            <v>4</v>
          </cell>
          <cell r="S60">
            <v>3</v>
          </cell>
          <cell r="T60">
            <v>4</v>
          </cell>
          <cell r="U60">
            <v>1</v>
          </cell>
        </row>
        <row r="61">
          <cell r="A61" t="str">
            <v>J00073A</v>
          </cell>
          <cell r="B61">
            <v>3</v>
          </cell>
          <cell r="C61">
            <v>2</v>
          </cell>
          <cell r="D61">
            <v>2</v>
          </cell>
          <cell r="E61">
            <v>3</v>
          </cell>
          <cell r="F61">
            <v>3</v>
          </cell>
          <cell r="G61">
            <v>3</v>
          </cell>
          <cell r="H61">
            <v>0</v>
          </cell>
          <cell r="I61">
            <v>3</v>
          </cell>
          <cell r="J61">
            <v>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1</v>
          </cell>
        </row>
        <row r="62">
          <cell r="A62" t="str">
            <v>J00073B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3</v>
          </cell>
          <cell r="I62">
            <v>0</v>
          </cell>
          <cell r="J62">
            <v>0</v>
          </cell>
          <cell r="K62">
            <v>3</v>
          </cell>
          <cell r="L62">
            <v>3</v>
          </cell>
          <cell r="M62">
            <v>3</v>
          </cell>
          <cell r="N62">
            <v>1</v>
          </cell>
          <cell r="O62">
            <v>1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J00073C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</v>
          </cell>
          <cell r="R63">
            <v>3</v>
          </cell>
          <cell r="S63">
            <v>2</v>
          </cell>
          <cell r="T63">
            <v>0</v>
          </cell>
          <cell r="U63">
            <v>0</v>
          </cell>
        </row>
        <row r="64">
          <cell r="A64" t="str">
            <v>J00074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95</v>
          </cell>
          <cell r="I64">
            <v>0</v>
          </cell>
          <cell r="J64">
            <v>0</v>
          </cell>
          <cell r="K64">
            <v>115</v>
          </cell>
          <cell r="L64">
            <v>80</v>
          </cell>
          <cell r="M64">
            <v>80</v>
          </cell>
          <cell r="N64">
            <v>0</v>
          </cell>
          <cell r="O64">
            <v>0</v>
          </cell>
          <cell r="P64">
            <v>0</v>
          </cell>
          <cell r="Q64">
            <v>20</v>
          </cell>
          <cell r="R64">
            <v>84</v>
          </cell>
          <cell r="S64">
            <v>40</v>
          </cell>
          <cell r="T64">
            <v>0</v>
          </cell>
          <cell r="U64">
            <v>0</v>
          </cell>
        </row>
        <row r="65">
          <cell r="A65" t="str">
            <v>J00075</v>
          </cell>
          <cell r="B65">
            <v>4</v>
          </cell>
          <cell r="C65">
            <v>2</v>
          </cell>
          <cell r="D65">
            <v>2</v>
          </cell>
          <cell r="E65">
            <v>2</v>
          </cell>
          <cell r="F65">
            <v>4</v>
          </cell>
          <cell r="G65">
            <v>2</v>
          </cell>
          <cell r="H65">
            <v>4</v>
          </cell>
          <cell r="I65">
            <v>4</v>
          </cell>
          <cell r="J65">
            <v>2</v>
          </cell>
          <cell r="K65">
            <v>4</v>
          </cell>
          <cell r="L65">
            <v>3</v>
          </cell>
          <cell r="M65">
            <v>2</v>
          </cell>
          <cell r="N65">
            <v>2</v>
          </cell>
          <cell r="O65">
            <v>1</v>
          </cell>
          <cell r="P65">
            <v>0</v>
          </cell>
          <cell r="Q65">
            <v>2</v>
          </cell>
          <cell r="R65">
            <v>4</v>
          </cell>
          <cell r="S65">
            <v>3</v>
          </cell>
          <cell r="T65">
            <v>0</v>
          </cell>
          <cell r="U65">
            <v>1</v>
          </cell>
        </row>
        <row r="66">
          <cell r="A66" t="str">
            <v>J00076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J00079</v>
          </cell>
          <cell r="B67">
            <v>3</v>
          </cell>
          <cell r="C67">
            <v>3</v>
          </cell>
          <cell r="D67">
            <v>3</v>
          </cell>
          <cell r="E67">
            <v>2</v>
          </cell>
          <cell r="F67">
            <v>3</v>
          </cell>
          <cell r="G67">
            <v>2</v>
          </cell>
          <cell r="H67">
            <v>3</v>
          </cell>
          <cell r="I67">
            <v>3</v>
          </cell>
          <cell r="J67">
            <v>3</v>
          </cell>
          <cell r="K67">
            <v>3</v>
          </cell>
          <cell r="L67">
            <v>3</v>
          </cell>
          <cell r="M67">
            <v>2</v>
          </cell>
          <cell r="N67">
            <v>3</v>
          </cell>
          <cell r="O67">
            <v>2</v>
          </cell>
          <cell r="P67">
            <v>0</v>
          </cell>
          <cell r="Q67">
            <v>3</v>
          </cell>
          <cell r="R67">
            <v>3</v>
          </cell>
          <cell r="S67">
            <v>3</v>
          </cell>
          <cell r="T67">
            <v>0</v>
          </cell>
          <cell r="U67">
            <v>2</v>
          </cell>
        </row>
        <row r="68">
          <cell r="A68" t="str">
            <v>J00079-W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J00080</v>
          </cell>
          <cell r="B69">
            <v>4</v>
          </cell>
          <cell r="C69">
            <v>3</v>
          </cell>
          <cell r="D69">
            <v>3</v>
          </cell>
          <cell r="E69">
            <v>2</v>
          </cell>
          <cell r="F69">
            <v>4</v>
          </cell>
          <cell r="G69">
            <v>2</v>
          </cell>
          <cell r="H69">
            <v>4</v>
          </cell>
          <cell r="I69">
            <v>4</v>
          </cell>
          <cell r="J69">
            <v>3</v>
          </cell>
          <cell r="K69">
            <v>4</v>
          </cell>
          <cell r="L69">
            <v>3</v>
          </cell>
          <cell r="M69">
            <v>2</v>
          </cell>
          <cell r="N69">
            <v>3</v>
          </cell>
          <cell r="O69">
            <v>2</v>
          </cell>
          <cell r="P69">
            <v>2</v>
          </cell>
          <cell r="Q69">
            <v>3</v>
          </cell>
          <cell r="R69">
            <v>4</v>
          </cell>
          <cell r="S69">
            <v>3</v>
          </cell>
          <cell r="T69">
            <v>2</v>
          </cell>
          <cell r="U69">
            <v>2</v>
          </cell>
        </row>
        <row r="70">
          <cell r="A70" t="str">
            <v>J00081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J00083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  <cell r="R71">
            <v>3</v>
          </cell>
          <cell r="S71">
            <v>1</v>
          </cell>
          <cell r="T71">
            <v>1</v>
          </cell>
          <cell r="U71">
            <v>0</v>
          </cell>
        </row>
        <row r="72">
          <cell r="A72" t="str">
            <v>J00086</v>
          </cell>
          <cell r="B72">
            <v>48</v>
          </cell>
          <cell r="C72">
            <v>12</v>
          </cell>
          <cell r="D72">
            <v>12</v>
          </cell>
          <cell r="E72">
            <v>24</v>
          </cell>
          <cell r="F72">
            <v>48</v>
          </cell>
          <cell r="G72">
            <v>28</v>
          </cell>
          <cell r="H72">
            <v>38</v>
          </cell>
          <cell r="I72">
            <v>48</v>
          </cell>
          <cell r="J72">
            <v>2</v>
          </cell>
          <cell r="K72">
            <v>46</v>
          </cell>
          <cell r="L72">
            <v>32</v>
          </cell>
          <cell r="M72">
            <v>32</v>
          </cell>
          <cell r="N72">
            <v>8</v>
          </cell>
          <cell r="O72">
            <v>6</v>
          </cell>
          <cell r="P72">
            <v>0</v>
          </cell>
          <cell r="Q72">
            <v>10</v>
          </cell>
          <cell r="R72">
            <v>42</v>
          </cell>
          <cell r="S72">
            <v>20</v>
          </cell>
          <cell r="T72">
            <v>0</v>
          </cell>
          <cell r="U72">
            <v>4</v>
          </cell>
        </row>
        <row r="73">
          <cell r="A73" t="str">
            <v>J00087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A74" t="str">
            <v>J00088</v>
          </cell>
          <cell r="B74">
            <v>1</v>
          </cell>
          <cell r="C74">
            <v>1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0</v>
          </cell>
          <cell r="Q74">
            <v>1</v>
          </cell>
          <cell r="R74">
            <v>1</v>
          </cell>
          <cell r="S74">
            <v>1</v>
          </cell>
          <cell r="T74">
            <v>0</v>
          </cell>
          <cell r="U74">
            <v>1</v>
          </cell>
        </row>
        <row r="75">
          <cell r="A75" t="str">
            <v>J00089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6</v>
          </cell>
          <cell r="R75">
            <v>6</v>
          </cell>
          <cell r="S75">
            <v>6</v>
          </cell>
          <cell r="T75">
            <v>0</v>
          </cell>
          <cell r="U75">
            <v>0</v>
          </cell>
        </row>
        <row r="76">
          <cell r="A76" t="str">
            <v>J00090</v>
          </cell>
          <cell r="B76">
            <v>2</v>
          </cell>
          <cell r="C76">
            <v>2</v>
          </cell>
          <cell r="D76">
            <v>2</v>
          </cell>
          <cell r="E76">
            <v>2</v>
          </cell>
          <cell r="F76">
            <v>2</v>
          </cell>
          <cell r="G76">
            <v>2</v>
          </cell>
          <cell r="H76">
            <v>2</v>
          </cell>
          <cell r="I76">
            <v>2</v>
          </cell>
          <cell r="J76">
            <v>2</v>
          </cell>
          <cell r="K76">
            <v>2</v>
          </cell>
          <cell r="L76">
            <v>2</v>
          </cell>
          <cell r="M76">
            <v>2</v>
          </cell>
          <cell r="N76">
            <v>2</v>
          </cell>
          <cell r="O76">
            <v>2</v>
          </cell>
          <cell r="P76">
            <v>0</v>
          </cell>
          <cell r="Q76">
            <v>2</v>
          </cell>
          <cell r="R76">
            <v>2</v>
          </cell>
          <cell r="S76">
            <v>2</v>
          </cell>
          <cell r="T76">
            <v>0</v>
          </cell>
          <cell r="U76">
            <v>2</v>
          </cell>
        </row>
        <row r="77">
          <cell r="A77" t="str">
            <v>J00091</v>
          </cell>
          <cell r="B77">
            <v>2</v>
          </cell>
          <cell r="C77">
            <v>2</v>
          </cell>
          <cell r="D77">
            <v>2</v>
          </cell>
          <cell r="E77">
            <v>2</v>
          </cell>
          <cell r="F77">
            <v>2</v>
          </cell>
          <cell r="G77">
            <v>2</v>
          </cell>
          <cell r="H77">
            <v>2</v>
          </cell>
          <cell r="I77">
            <v>2</v>
          </cell>
          <cell r="J77">
            <v>2</v>
          </cell>
          <cell r="K77">
            <v>2</v>
          </cell>
          <cell r="L77">
            <v>2</v>
          </cell>
          <cell r="M77">
            <v>2</v>
          </cell>
          <cell r="N77">
            <v>2</v>
          </cell>
          <cell r="O77">
            <v>2</v>
          </cell>
          <cell r="P77">
            <v>0</v>
          </cell>
          <cell r="Q77">
            <v>2</v>
          </cell>
          <cell r="R77">
            <v>2</v>
          </cell>
          <cell r="S77">
            <v>2</v>
          </cell>
          <cell r="T77">
            <v>0</v>
          </cell>
          <cell r="U77">
            <v>2</v>
          </cell>
        </row>
        <row r="78">
          <cell r="A78" t="str">
            <v>J00092</v>
          </cell>
          <cell r="B78">
            <v>2</v>
          </cell>
          <cell r="C78">
            <v>2</v>
          </cell>
          <cell r="D78">
            <v>2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0</v>
          </cell>
          <cell r="Q78">
            <v>2</v>
          </cell>
          <cell r="R78">
            <v>2</v>
          </cell>
          <cell r="S78">
            <v>2</v>
          </cell>
          <cell r="T78">
            <v>0</v>
          </cell>
          <cell r="U78">
            <v>2</v>
          </cell>
        </row>
        <row r="79">
          <cell r="A79" t="str">
            <v>J00105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5</v>
          </cell>
          <cell r="R79">
            <v>21</v>
          </cell>
          <cell r="S79">
            <v>10</v>
          </cell>
          <cell r="T79">
            <v>0</v>
          </cell>
          <cell r="U79">
            <v>0</v>
          </cell>
        </row>
        <row r="80">
          <cell r="A80" t="str">
            <v>J00106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</v>
          </cell>
          <cell r="R80">
            <v>1</v>
          </cell>
          <cell r="S80">
            <v>1</v>
          </cell>
          <cell r="T80">
            <v>0</v>
          </cell>
          <cell r="U80">
            <v>0</v>
          </cell>
        </row>
        <row r="81">
          <cell r="A81" t="str">
            <v>J00107C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3</v>
          </cell>
          <cell r="R81">
            <v>3</v>
          </cell>
          <cell r="S81">
            <v>3</v>
          </cell>
          <cell r="T81">
            <v>0</v>
          </cell>
          <cell r="U81">
            <v>0</v>
          </cell>
        </row>
        <row r="82">
          <cell r="A82" t="str">
            <v>J00108</v>
          </cell>
          <cell r="B82">
            <v>5</v>
          </cell>
          <cell r="C82">
            <v>2</v>
          </cell>
          <cell r="D82">
            <v>2</v>
          </cell>
          <cell r="E82">
            <v>2</v>
          </cell>
          <cell r="F82">
            <v>5</v>
          </cell>
          <cell r="G82">
            <v>3</v>
          </cell>
          <cell r="H82">
            <v>5</v>
          </cell>
          <cell r="I82">
            <v>5</v>
          </cell>
          <cell r="J82">
            <v>2</v>
          </cell>
          <cell r="K82">
            <v>5</v>
          </cell>
          <cell r="L82">
            <v>4</v>
          </cell>
          <cell r="M82">
            <v>3</v>
          </cell>
          <cell r="N82">
            <v>2</v>
          </cell>
          <cell r="O82">
            <v>1</v>
          </cell>
          <cell r="P82">
            <v>2</v>
          </cell>
          <cell r="Q82">
            <v>2</v>
          </cell>
          <cell r="R82">
            <v>5</v>
          </cell>
          <cell r="S82">
            <v>3</v>
          </cell>
          <cell r="T82">
            <v>2</v>
          </cell>
          <cell r="U82">
            <v>1</v>
          </cell>
        </row>
        <row r="83">
          <cell r="A83" t="str">
            <v>J00815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J00825D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J00825E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J00846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J00864A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J00864B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J00865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J00866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J00867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J00868B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J00914</v>
          </cell>
          <cell r="B93">
            <v>9</v>
          </cell>
          <cell r="C93">
            <v>3</v>
          </cell>
          <cell r="D93">
            <v>3</v>
          </cell>
          <cell r="E93">
            <v>6</v>
          </cell>
          <cell r="F93">
            <v>9</v>
          </cell>
          <cell r="G93">
            <v>7</v>
          </cell>
          <cell r="H93">
            <v>10</v>
          </cell>
          <cell r="I93">
            <v>9</v>
          </cell>
          <cell r="J93">
            <v>1</v>
          </cell>
          <cell r="K93">
            <v>12</v>
          </cell>
          <cell r="L93">
            <v>8</v>
          </cell>
          <cell r="M93">
            <v>8</v>
          </cell>
          <cell r="N93">
            <v>2</v>
          </cell>
          <cell r="O93">
            <v>2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1</v>
          </cell>
        </row>
        <row r="94">
          <cell r="A94" t="str">
            <v>J00922</v>
          </cell>
          <cell r="B94">
            <v>27</v>
          </cell>
          <cell r="C94">
            <v>9</v>
          </cell>
          <cell r="D94">
            <v>9</v>
          </cell>
          <cell r="E94">
            <v>18</v>
          </cell>
          <cell r="F94">
            <v>27</v>
          </cell>
          <cell r="G94">
            <v>21</v>
          </cell>
          <cell r="H94">
            <v>10</v>
          </cell>
          <cell r="I94">
            <v>27</v>
          </cell>
          <cell r="J94">
            <v>3</v>
          </cell>
          <cell r="K94">
            <v>12</v>
          </cell>
          <cell r="L94">
            <v>8</v>
          </cell>
          <cell r="M94">
            <v>8</v>
          </cell>
          <cell r="N94">
            <v>2</v>
          </cell>
          <cell r="O94">
            <v>2</v>
          </cell>
          <cell r="P94">
            <v>0</v>
          </cell>
          <cell r="Q94">
            <v>3</v>
          </cell>
          <cell r="R94">
            <v>11</v>
          </cell>
          <cell r="S94">
            <v>5</v>
          </cell>
          <cell r="T94">
            <v>0</v>
          </cell>
          <cell r="U94">
            <v>3</v>
          </cell>
        </row>
        <row r="95">
          <cell r="A95" t="str">
            <v>J11006</v>
          </cell>
          <cell r="B95">
            <v>3</v>
          </cell>
          <cell r="C95">
            <v>3</v>
          </cell>
          <cell r="D95">
            <v>3</v>
          </cell>
          <cell r="E95">
            <v>1</v>
          </cell>
          <cell r="F95">
            <v>3</v>
          </cell>
          <cell r="G95">
            <v>1</v>
          </cell>
          <cell r="H95">
            <v>3</v>
          </cell>
          <cell r="I95">
            <v>3</v>
          </cell>
          <cell r="J95">
            <v>3</v>
          </cell>
          <cell r="K95">
            <v>3</v>
          </cell>
          <cell r="L95">
            <v>3</v>
          </cell>
          <cell r="M95">
            <v>1</v>
          </cell>
          <cell r="N95">
            <v>3</v>
          </cell>
          <cell r="O95">
            <v>1</v>
          </cell>
          <cell r="P95">
            <v>0</v>
          </cell>
          <cell r="Q95">
            <v>3</v>
          </cell>
          <cell r="R95">
            <v>3</v>
          </cell>
          <cell r="S95">
            <v>3</v>
          </cell>
          <cell r="T95">
            <v>0</v>
          </cell>
          <cell r="U95">
            <v>1</v>
          </cell>
        </row>
        <row r="96">
          <cell r="A96" t="str">
            <v>J11009C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</v>
          </cell>
          <cell r="R96">
            <v>1</v>
          </cell>
          <cell r="S96">
            <v>1</v>
          </cell>
          <cell r="T96">
            <v>0</v>
          </cell>
          <cell r="U96">
            <v>0</v>
          </cell>
        </row>
        <row r="97">
          <cell r="A97" t="str">
            <v>J11011A</v>
          </cell>
          <cell r="B97">
            <v>2</v>
          </cell>
          <cell r="C97">
            <v>2</v>
          </cell>
          <cell r="D97">
            <v>2</v>
          </cell>
          <cell r="E97">
            <v>0</v>
          </cell>
          <cell r="F97">
            <v>2</v>
          </cell>
          <cell r="G97">
            <v>0</v>
          </cell>
          <cell r="H97">
            <v>0</v>
          </cell>
          <cell r="I97">
            <v>2</v>
          </cell>
          <cell r="J97">
            <v>2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J11011B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2</v>
          </cell>
          <cell r="I98">
            <v>0</v>
          </cell>
          <cell r="J98">
            <v>0</v>
          </cell>
          <cell r="K98">
            <v>2</v>
          </cell>
          <cell r="L98">
            <v>2</v>
          </cell>
          <cell r="M98">
            <v>0</v>
          </cell>
          <cell r="N98">
            <v>2</v>
          </cell>
          <cell r="O98">
            <v>0</v>
          </cell>
          <cell r="P98">
            <v>1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J11011C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2</v>
          </cell>
          <cell r="T99">
            <v>1</v>
          </cell>
          <cell r="U99">
            <v>0</v>
          </cell>
        </row>
        <row r="100">
          <cell r="A100" t="str">
            <v>J11012</v>
          </cell>
          <cell r="B100">
            <v>3</v>
          </cell>
          <cell r="C100">
            <v>3</v>
          </cell>
          <cell r="D100">
            <v>3</v>
          </cell>
          <cell r="E100">
            <v>2</v>
          </cell>
          <cell r="F100">
            <v>3</v>
          </cell>
          <cell r="G100">
            <v>2</v>
          </cell>
          <cell r="H100">
            <v>3</v>
          </cell>
          <cell r="I100">
            <v>3</v>
          </cell>
          <cell r="J100">
            <v>3</v>
          </cell>
          <cell r="K100">
            <v>3</v>
          </cell>
          <cell r="L100">
            <v>3</v>
          </cell>
          <cell r="M100">
            <v>2</v>
          </cell>
          <cell r="N100">
            <v>3</v>
          </cell>
          <cell r="O100">
            <v>2</v>
          </cell>
          <cell r="P100">
            <v>0</v>
          </cell>
          <cell r="Q100">
            <v>3</v>
          </cell>
          <cell r="R100">
            <v>3</v>
          </cell>
          <cell r="S100">
            <v>3</v>
          </cell>
          <cell r="T100">
            <v>0</v>
          </cell>
          <cell r="U100">
            <v>2</v>
          </cell>
        </row>
        <row r="101">
          <cell r="A101" t="str">
            <v>J11015</v>
          </cell>
          <cell r="B101">
            <v>1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0</v>
          </cell>
          <cell r="Q101">
            <v>1</v>
          </cell>
          <cell r="R101">
            <v>1</v>
          </cell>
          <cell r="S101">
            <v>1</v>
          </cell>
          <cell r="T101">
            <v>0</v>
          </cell>
          <cell r="U101">
            <v>1</v>
          </cell>
        </row>
        <row r="102">
          <cell r="A102" t="str">
            <v>J11016</v>
          </cell>
          <cell r="B102">
            <v>4</v>
          </cell>
          <cell r="C102">
            <v>2</v>
          </cell>
          <cell r="D102">
            <v>2</v>
          </cell>
          <cell r="E102">
            <v>2</v>
          </cell>
          <cell r="F102">
            <v>4</v>
          </cell>
          <cell r="G102">
            <v>3</v>
          </cell>
          <cell r="H102">
            <v>4</v>
          </cell>
          <cell r="I102">
            <v>4</v>
          </cell>
          <cell r="J102">
            <v>2</v>
          </cell>
          <cell r="K102">
            <v>4</v>
          </cell>
          <cell r="L102">
            <v>3</v>
          </cell>
          <cell r="M102">
            <v>3</v>
          </cell>
          <cell r="N102">
            <v>2</v>
          </cell>
          <cell r="O102">
            <v>2</v>
          </cell>
          <cell r="P102">
            <v>0</v>
          </cell>
          <cell r="Q102">
            <v>2</v>
          </cell>
          <cell r="R102">
            <v>4</v>
          </cell>
          <cell r="S102">
            <v>2</v>
          </cell>
          <cell r="T102">
            <v>0</v>
          </cell>
          <cell r="U102">
            <v>2</v>
          </cell>
        </row>
        <row r="103">
          <cell r="A103" t="str">
            <v>J11020</v>
          </cell>
          <cell r="B103">
            <v>4</v>
          </cell>
          <cell r="C103">
            <v>4</v>
          </cell>
          <cell r="D103">
            <v>4</v>
          </cell>
          <cell r="E103">
            <v>2</v>
          </cell>
          <cell r="F103">
            <v>4</v>
          </cell>
          <cell r="G103">
            <v>2</v>
          </cell>
          <cell r="H103">
            <v>4</v>
          </cell>
          <cell r="I103">
            <v>4</v>
          </cell>
          <cell r="J103">
            <v>4</v>
          </cell>
          <cell r="K103">
            <v>4</v>
          </cell>
          <cell r="L103">
            <v>4</v>
          </cell>
          <cell r="M103">
            <v>2</v>
          </cell>
          <cell r="N103">
            <v>4</v>
          </cell>
          <cell r="O103">
            <v>2</v>
          </cell>
          <cell r="P103">
            <v>0</v>
          </cell>
          <cell r="Q103">
            <v>4</v>
          </cell>
          <cell r="R103">
            <v>4</v>
          </cell>
          <cell r="S103">
            <v>4</v>
          </cell>
          <cell r="T103">
            <v>0</v>
          </cell>
          <cell r="U103">
            <v>2</v>
          </cell>
        </row>
        <row r="104">
          <cell r="A104" t="str">
            <v>J11022</v>
          </cell>
          <cell r="B104">
            <v>3</v>
          </cell>
          <cell r="C104">
            <v>3</v>
          </cell>
          <cell r="D104">
            <v>3</v>
          </cell>
          <cell r="E104">
            <v>1</v>
          </cell>
          <cell r="F104">
            <v>3</v>
          </cell>
          <cell r="G104">
            <v>1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1</v>
          </cell>
          <cell r="N104">
            <v>3</v>
          </cell>
          <cell r="O104">
            <v>1</v>
          </cell>
          <cell r="P104">
            <v>0</v>
          </cell>
          <cell r="Q104">
            <v>3</v>
          </cell>
          <cell r="R104">
            <v>3</v>
          </cell>
          <cell r="S104">
            <v>3</v>
          </cell>
          <cell r="T104">
            <v>0</v>
          </cell>
          <cell r="U104">
            <v>1</v>
          </cell>
        </row>
        <row r="105">
          <cell r="A105" t="str">
            <v>J11023</v>
          </cell>
          <cell r="B105">
            <v>4</v>
          </cell>
          <cell r="C105">
            <v>4</v>
          </cell>
          <cell r="D105">
            <v>4</v>
          </cell>
          <cell r="E105">
            <v>3</v>
          </cell>
          <cell r="F105">
            <v>4</v>
          </cell>
          <cell r="G105">
            <v>3</v>
          </cell>
          <cell r="H105">
            <v>4</v>
          </cell>
          <cell r="I105">
            <v>4</v>
          </cell>
          <cell r="J105">
            <v>4</v>
          </cell>
          <cell r="K105">
            <v>4</v>
          </cell>
          <cell r="L105">
            <v>4</v>
          </cell>
          <cell r="M105">
            <v>2</v>
          </cell>
          <cell r="N105">
            <v>4</v>
          </cell>
          <cell r="O105">
            <v>3</v>
          </cell>
          <cell r="P105">
            <v>0</v>
          </cell>
          <cell r="Q105">
            <v>4</v>
          </cell>
          <cell r="R105">
            <v>4</v>
          </cell>
          <cell r="S105">
            <v>4</v>
          </cell>
          <cell r="T105">
            <v>0</v>
          </cell>
          <cell r="U105">
            <v>3</v>
          </cell>
        </row>
        <row r="106">
          <cell r="A106" t="str">
            <v>J11029</v>
          </cell>
          <cell r="B106">
            <v>3</v>
          </cell>
          <cell r="C106">
            <v>2</v>
          </cell>
          <cell r="D106">
            <v>2</v>
          </cell>
          <cell r="E106">
            <v>2</v>
          </cell>
          <cell r="F106">
            <v>3</v>
          </cell>
          <cell r="G106">
            <v>3</v>
          </cell>
          <cell r="H106">
            <v>3</v>
          </cell>
          <cell r="I106">
            <v>3</v>
          </cell>
          <cell r="J106">
            <v>2</v>
          </cell>
          <cell r="K106">
            <v>3</v>
          </cell>
          <cell r="L106">
            <v>3</v>
          </cell>
          <cell r="M106">
            <v>3</v>
          </cell>
          <cell r="N106">
            <v>2</v>
          </cell>
          <cell r="O106">
            <v>2</v>
          </cell>
          <cell r="P106">
            <v>0</v>
          </cell>
          <cell r="Q106">
            <v>2</v>
          </cell>
          <cell r="R106">
            <v>4</v>
          </cell>
          <cell r="S106">
            <v>2</v>
          </cell>
          <cell r="T106">
            <v>0</v>
          </cell>
          <cell r="U106">
            <v>2</v>
          </cell>
        </row>
        <row r="107">
          <cell r="A107" t="str">
            <v>J11031</v>
          </cell>
          <cell r="B107">
            <v>2</v>
          </cell>
          <cell r="C107">
            <v>2</v>
          </cell>
          <cell r="D107">
            <v>2</v>
          </cell>
          <cell r="E107">
            <v>2</v>
          </cell>
          <cell r="F107">
            <v>2</v>
          </cell>
          <cell r="G107">
            <v>2</v>
          </cell>
          <cell r="H107">
            <v>2</v>
          </cell>
          <cell r="I107">
            <v>2</v>
          </cell>
          <cell r="J107">
            <v>2</v>
          </cell>
          <cell r="K107">
            <v>2</v>
          </cell>
          <cell r="L107">
            <v>2</v>
          </cell>
          <cell r="M107">
            <v>2</v>
          </cell>
          <cell r="N107">
            <v>2</v>
          </cell>
          <cell r="O107">
            <v>2</v>
          </cell>
          <cell r="P107">
            <v>0</v>
          </cell>
          <cell r="Q107">
            <v>2</v>
          </cell>
          <cell r="R107">
            <v>2</v>
          </cell>
          <cell r="S107">
            <v>2</v>
          </cell>
          <cell r="T107">
            <v>0</v>
          </cell>
          <cell r="U107">
            <v>2</v>
          </cell>
        </row>
        <row r="108">
          <cell r="A108" t="str">
            <v>J11032</v>
          </cell>
          <cell r="B108">
            <v>3</v>
          </cell>
          <cell r="C108">
            <v>2</v>
          </cell>
          <cell r="D108">
            <v>2</v>
          </cell>
          <cell r="E108">
            <v>2</v>
          </cell>
          <cell r="F108">
            <v>3</v>
          </cell>
          <cell r="G108">
            <v>3</v>
          </cell>
          <cell r="H108">
            <v>3</v>
          </cell>
          <cell r="I108">
            <v>3</v>
          </cell>
          <cell r="J108">
            <v>2</v>
          </cell>
          <cell r="K108">
            <v>3</v>
          </cell>
          <cell r="L108">
            <v>3</v>
          </cell>
          <cell r="M108">
            <v>3</v>
          </cell>
          <cell r="N108">
            <v>2</v>
          </cell>
          <cell r="O108">
            <v>2</v>
          </cell>
          <cell r="P108">
            <v>0</v>
          </cell>
          <cell r="Q108">
            <v>2</v>
          </cell>
          <cell r="R108">
            <v>4</v>
          </cell>
          <cell r="S108">
            <v>2</v>
          </cell>
          <cell r="T108">
            <v>0</v>
          </cell>
          <cell r="U108">
            <v>2</v>
          </cell>
        </row>
        <row r="109">
          <cell r="A109" t="str">
            <v>J11040</v>
          </cell>
          <cell r="B109">
            <v>2</v>
          </cell>
          <cell r="C109">
            <v>2</v>
          </cell>
          <cell r="D109">
            <v>2</v>
          </cell>
          <cell r="E109">
            <v>2</v>
          </cell>
          <cell r="F109">
            <v>2</v>
          </cell>
          <cell r="G109">
            <v>2</v>
          </cell>
          <cell r="H109">
            <v>2</v>
          </cell>
          <cell r="I109">
            <v>2</v>
          </cell>
          <cell r="J109">
            <v>2</v>
          </cell>
          <cell r="K109">
            <v>2</v>
          </cell>
          <cell r="L109">
            <v>2</v>
          </cell>
          <cell r="M109">
            <v>1</v>
          </cell>
          <cell r="N109">
            <v>2</v>
          </cell>
          <cell r="O109">
            <v>2</v>
          </cell>
          <cell r="P109">
            <v>0</v>
          </cell>
          <cell r="Q109">
            <v>2</v>
          </cell>
          <cell r="R109">
            <v>2</v>
          </cell>
          <cell r="S109">
            <v>2</v>
          </cell>
          <cell r="T109">
            <v>0</v>
          </cell>
          <cell r="U109">
            <v>2</v>
          </cell>
        </row>
        <row r="110">
          <cell r="A110" t="str">
            <v>J11042</v>
          </cell>
          <cell r="B110">
            <v>2</v>
          </cell>
          <cell r="C110">
            <v>2</v>
          </cell>
          <cell r="D110">
            <v>2</v>
          </cell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  <cell r="K110">
            <v>2</v>
          </cell>
          <cell r="L110">
            <v>2</v>
          </cell>
          <cell r="M110">
            <v>1</v>
          </cell>
          <cell r="N110">
            <v>2</v>
          </cell>
          <cell r="O110">
            <v>2</v>
          </cell>
          <cell r="P110">
            <v>0</v>
          </cell>
          <cell r="Q110">
            <v>2</v>
          </cell>
          <cell r="R110">
            <v>2</v>
          </cell>
          <cell r="S110">
            <v>2</v>
          </cell>
          <cell r="T110">
            <v>0</v>
          </cell>
          <cell r="U110">
            <v>2</v>
          </cell>
        </row>
        <row r="111">
          <cell r="A111" t="str">
            <v>J11044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</row>
        <row r="112">
          <cell r="A112" t="str">
            <v>J11045</v>
          </cell>
          <cell r="B112">
            <v>4</v>
          </cell>
          <cell r="C112">
            <v>4</v>
          </cell>
          <cell r="D112">
            <v>4</v>
          </cell>
          <cell r="E112">
            <v>2</v>
          </cell>
          <cell r="F112">
            <v>4</v>
          </cell>
          <cell r="G112">
            <v>2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2</v>
          </cell>
          <cell r="N112">
            <v>4</v>
          </cell>
          <cell r="O112">
            <v>2</v>
          </cell>
          <cell r="P112">
            <v>0</v>
          </cell>
          <cell r="Q112">
            <v>4</v>
          </cell>
          <cell r="R112">
            <v>4</v>
          </cell>
          <cell r="S112">
            <v>4</v>
          </cell>
          <cell r="T112">
            <v>0</v>
          </cell>
          <cell r="U112">
            <v>2</v>
          </cell>
        </row>
        <row r="113">
          <cell r="A113" t="str">
            <v>J11046</v>
          </cell>
          <cell r="B113">
            <v>4</v>
          </cell>
          <cell r="C113">
            <v>4</v>
          </cell>
          <cell r="D113">
            <v>4</v>
          </cell>
          <cell r="E113">
            <v>2</v>
          </cell>
          <cell r="F113">
            <v>4</v>
          </cell>
          <cell r="G113">
            <v>2</v>
          </cell>
          <cell r="H113">
            <v>4</v>
          </cell>
          <cell r="I113">
            <v>4</v>
          </cell>
          <cell r="J113">
            <v>4</v>
          </cell>
          <cell r="K113">
            <v>4</v>
          </cell>
          <cell r="L113">
            <v>4</v>
          </cell>
          <cell r="M113">
            <v>1</v>
          </cell>
          <cell r="N113">
            <v>4</v>
          </cell>
          <cell r="O113">
            <v>2</v>
          </cell>
          <cell r="P113">
            <v>0</v>
          </cell>
          <cell r="Q113">
            <v>4</v>
          </cell>
          <cell r="R113">
            <v>4</v>
          </cell>
          <cell r="S113">
            <v>4</v>
          </cell>
          <cell r="T113">
            <v>0</v>
          </cell>
          <cell r="U113">
            <v>2</v>
          </cell>
        </row>
        <row r="114">
          <cell r="A114" t="str">
            <v>J11055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1</v>
          </cell>
          <cell r="I114">
            <v>0</v>
          </cell>
          <cell r="J114">
            <v>0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J11058</v>
          </cell>
          <cell r="B115">
            <v>10</v>
          </cell>
          <cell r="C115">
            <v>4</v>
          </cell>
          <cell r="D115">
            <v>4</v>
          </cell>
          <cell r="E115">
            <v>6</v>
          </cell>
          <cell r="F115">
            <v>10</v>
          </cell>
          <cell r="G115">
            <v>7</v>
          </cell>
          <cell r="H115">
            <v>9</v>
          </cell>
          <cell r="I115">
            <v>10</v>
          </cell>
          <cell r="J115">
            <v>3</v>
          </cell>
          <cell r="K115">
            <v>10</v>
          </cell>
          <cell r="L115">
            <v>8</v>
          </cell>
          <cell r="M115">
            <v>6</v>
          </cell>
          <cell r="N115">
            <v>4</v>
          </cell>
          <cell r="O115">
            <v>3</v>
          </cell>
          <cell r="P115">
            <v>0</v>
          </cell>
          <cell r="Q115">
            <v>4</v>
          </cell>
          <cell r="R115">
            <v>9</v>
          </cell>
          <cell r="S115">
            <v>6</v>
          </cell>
          <cell r="T115">
            <v>0</v>
          </cell>
          <cell r="U115">
            <v>3</v>
          </cell>
        </row>
        <row r="116">
          <cell r="A116" t="str">
            <v>J11060</v>
          </cell>
          <cell r="B116">
            <v>2</v>
          </cell>
          <cell r="C116">
            <v>2</v>
          </cell>
          <cell r="D116">
            <v>2</v>
          </cell>
          <cell r="E116">
            <v>2</v>
          </cell>
          <cell r="F116">
            <v>2</v>
          </cell>
          <cell r="G116">
            <v>2</v>
          </cell>
          <cell r="H116">
            <v>2</v>
          </cell>
          <cell r="I116">
            <v>2</v>
          </cell>
          <cell r="J116">
            <v>2</v>
          </cell>
          <cell r="K116">
            <v>2</v>
          </cell>
          <cell r="L116">
            <v>2</v>
          </cell>
          <cell r="M116">
            <v>2</v>
          </cell>
          <cell r="N116">
            <v>2</v>
          </cell>
          <cell r="O116">
            <v>2</v>
          </cell>
          <cell r="P116">
            <v>0</v>
          </cell>
          <cell r="Q116">
            <v>2</v>
          </cell>
          <cell r="R116">
            <v>2</v>
          </cell>
          <cell r="S116">
            <v>2</v>
          </cell>
          <cell r="T116">
            <v>0</v>
          </cell>
          <cell r="U116">
            <v>2</v>
          </cell>
        </row>
        <row r="117">
          <cell r="A117" t="str">
            <v>J11061</v>
          </cell>
          <cell r="B117">
            <v>3</v>
          </cell>
          <cell r="C117">
            <v>3</v>
          </cell>
          <cell r="D117">
            <v>3</v>
          </cell>
          <cell r="E117">
            <v>2</v>
          </cell>
          <cell r="F117">
            <v>3</v>
          </cell>
          <cell r="G117">
            <v>2</v>
          </cell>
          <cell r="H117">
            <v>3</v>
          </cell>
          <cell r="I117">
            <v>3</v>
          </cell>
          <cell r="J117">
            <v>3</v>
          </cell>
          <cell r="K117">
            <v>3</v>
          </cell>
          <cell r="L117">
            <v>3</v>
          </cell>
          <cell r="M117">
            <v>2</v>
          </cell>
          <cell r="N117">
            <v>3</v>
          </cell>
          <cell r="O117">
            <v>2</v>
          </cell>
          <cell r="P117">
            <v>0</v>
          </cell>
          <cell r="Q117">
            <v>3</v>
          </cell>
          <cell r="R117">
            <v>3</v>
          </cell>
          <cell r="S117">
            <v>3</v>
          </cell>
          <cell r="T117">
            <v>0</v>
          </cell>
          <cell r="U117">
            <v>2</v>
          </cell>
        </row>
        <row r="118">
          <cell r="A118" t="str">
            <v>J11061-W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J11062</v>
          </cell>
          <cell r="B119">
            <v>2</v>
          </cell>
          <cell r="C119">
            <v>2</v>
          </cell>
          <cell r="D119">
            <v>2</v>
          </cell>
          <cell r="E119">
            <v>1</v>
          </cell>
          <cell r="F119">
            <v>2</v>
          </cell>
          <cell r="G119">
            <v>1</v>
          </cell>
          <cell r="H119">
            <v>2</v>
          </cell>
          <cell r="I119">
            <v>2</v>
          </cell>
          <cell r="J119">
            <v>2</v>
          </cell>
          <cell r="K119">
            <v>2</v>
          </cell>
          <cell r="L119">
            <v>2</v>
          </cell>
          <cell r="M119">
            <v>1</v>
          </cell>
          <cell r="N119">
            <v>2</v>
          </cell>
          <cell r="O119">
            <v>1</v>
          </cell>
          <cell r="P119">
            <v>2</v>
          </cell>
          <cell r="Q119">
            <v>2</v>
          </cell>
          <cell r="R119">
            <v>2</v>
          </cell>
          <cell r="S119">
            <v>2</v>
          </cell>
          <cell r="T119">
            <v>2</v>
          </cell>
          <cell r="U119">
            <v>1</v>
          </cell>
        </row>
        <row r="120">
          <cell r="A120" t="str">
            <v>J11062-W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J11064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J11064B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</row>
        <row r="123">
          <cell r="A123" t="str">
            <v>J11065</v>
          </cell>
          <cell r="B123">
            <v>1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0</v>
          </cell>
          <cell r="Q123">
            <v>1</v>
          </cell>
          <cell r="R123">
            <v>1</v>
          </cell>
          <cell r="S123">
            <v>1</v>
          </cell>
          <cell r="T123">
            <v>0</v>
          </cell>
          <cell r="U123">
            <v>1</v>
          </cell>
        </row>
        <row r="124">
          <cell r="A124" t="str">
            <v>J11069</v>
          </cell>
          <cell r="B124">
            <v>2</v>
          </cell>
          <cell r="C124">
            <v>2</v>
          </cell>
          <cell r="D124">
            <v>2</v>
          </cell>
          <cell r="E124">
            <v>2</v>
          </cell>
          <cell r="F124">
            <v>2</v>
          </cell>
          <cell r="G124">
            <v>2</v>
          </cell>
          <cell r="H124">
            <v>2</v>
          </cell>
          <cell r="I124">
            <v>2</v>
          </cell>
          <cell r="J124">
            <v>2</v>
          </cell>
          <cell r="K124">
            <v>2</v>
          </cell>
          <cell r="L124">
            <v>2</v>
          </cell>
          <cell r="M124">
            <v>1</v>
          </cell>
          <cell r="N124">
            <v>2</v>
          </cell>
          <cell r="O124">
            <v>2</v>
          </cell>
          <cell r="P124">
            <v>0</v>
          </cell>
          <cell r="Q124">
            <v>2</v>
          </cell>
          <cell r="R124">
            <v>2</v>
          </cell>
          <cell r="S124">
            <v>2</v>
          </cell>
          <cell r="T124">
            <v>0</v>
          </cell>
          <cell r="U124">
            <v>2</v>
          </cell>
        </row>
        <row r="125">
          <cell r="A125" t="str">
            <v>J11074</v>
          </cell>
          <cell r="B125">
            <v>1</v>
          </cell>
          <cell r="C125">
            <v>1</v>
          </cell>
          <cell r="D125">
            <v>1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0</v>
          </cell>
          <cell r="Q125">
            <v>1</v>
          </cell>
          <cell r="R125">
            <v>1</v>
          </cell>
          <cell r="S125">
            <v>1</v>
          </cell>
          <cell r="T125">
            <v>0</v>
          </cell>
          <cell r="U125">
            <v>1</v>
          </cell>
        </row>
        <row r="126">
          <cell r="A126" t="str">
            <v>J11075</v>
          </cell>
          <cell r="B126">
            <v>2</v>
          </cell>
          <cell r="C126">
            <v>2</v>
          </cell>
          <cell r="D126">
            <v>2</v>
          </cell>
          <cell r="E126">
            <v>2</v>
          </cell>
          <cell r="F126">
            <v>2</v>
          </cell>
          <cell r="G126">
            <v>2</v>
          </cell>
          <cell r="H126">
            <v>2</v>
          </cell>
          <cell r="I126">
            <v>2</v>
          </cell>
          <cell r="J126">
            <v>2</v>
          </cell>
          <cell r="K126">
            <v>2</v>
          </cell>
          <cell r="L126">
            <v>2</v>
          </cell>
          <cell r="M126">
            <v>1</v>
          </cell>
          <cell r="N126">
            <v>2</v>
          </cell>
          <cell r="O126">
            <v>2</v>
          </cell>
          <cell r="P126">
            <v>0</v>
          </cell>
          <cell r="Q126">
            <v>2</v>
          </cell>
          <cell r="R126">
            <v>2</v>
          </cell>
          <cell r="S126">
            <v>2</v>
          </cell>
          <cell r="T126">
            <v>0</v>
          </cell>
          <cell r="U126">
            <v>2</v>
          </cell>
        </row>
        <row r="127">
          <cell r="A127" t="str">
            <v>J11076</v>
          </cell>
          <cell r="B127">
            <v>2</v>
          </cell>
          <cell r="C127">
            <v>2</v>
          </cell>
          <cell r="D127">
            <v>2</v>
          </cell>
          <cell r="E127">
            <v>2</v>
          </cell>
          <cell r="F127">
            <v>2</v>
          </cell>
          <cell r="G127">
            <v>2</v>
          </cell>
          <cell r="H127">
            <v>2</v>
          </cell>
          <cell r="I127">
            <v>2</v>
          </cell>
          <cell r="J127">
            <v>2</v>
          </cell>
          <cell r="K127">
            <v>2</v>
          </cell>
          <cell r="L127">
            <v>2</v>
          </cell>
          <cell r="M127">
            <v>1</v>
          </cell>
          <cell r="N127">
            <v>2</v>
          </cell>
          <cell r="O127">
            <v>2</v>
          </cell>
          <cell r="P127">
            <v>0</v>
          </cell>
          <cell r="Q127">
            <v>2</v>
          </cell>
          <cell r="R127">
            <v>2</v>
          </cell>
          <cell r="S127">
            <v>2</v>
          </cell>
          <cell r="T127">
            <v>0</v>
          </cell>
          <cell r="U127">
            <v>2</v>
          </cell>
        </row>
        <row r="128">
          <cell r="A128" t="str">
            <v>J11079</v>
          </cell>
          <cell r="B128">
            <v>4</v>
          </cell>
          <cell r="C128">
            <v>4</v>
          </cell>
          <cell r="D128">
            <v>4</v>
          </cell>
          <cell r="E128">
            <v>2</v>
          </cell>
          <cell r="F128">
            <v>4</v>
          </cell>
          <cell r="G128">
            <v>2</v>
          </cell>
          <cell r="H128">
            <v>4</v>
          </cell>
          <cell r="I128">
            <v>4</v>
          </cell>
          <cell r="J128">
            <v>4</v>
          </cell>
          <cell r="K128">
            <v>4</v>
          </cell>
          <cell r="L128">
            <v>4</v>
          </cell>
          <cell r="M128">
            <v>1</v>
          </cell>
          <cell r="N128">
            <v>4</v>
          </cell>
          <cell r="O128">
            <v>2</v>
          </cell>
          <cell r="P128">
            <v>0</v>
          </cell>
          <cell r="Q128">
            <v>4</v>
          </cell>
          <cell r="R128">
            <v>4</v>
          </cell>
          <cell r="S128">
            <v>4</v>
          </cell>
          <cell r="T128">
            <v>0</v>
          </cell>
          <cell r="U128">
            <v>2</v>
          </cell>
        </row>
        <row r="129">
          <cell r="A129" t="str">
            <v>J11081</v>
          </cell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</row>
        <row r="130">
          <cell r="A130" t="str">
            <v>J11081C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1</v>
          </cell>
          <cell r="R130">
            <v>1</v>
          </cell>
          <cell r="S130">
            <v>1</v>
          </cell>
          <cell r="T130">
            <v>0</v>
          </cell>
          <cell r="U130">
            <v>0</v>
          </cell>
        </row>
        <row r="131">
          <cell r="A131" t="str">
            <v>J11082</v>
          </cell>
          <cell r="B131">
            <v>1</v>
          </cell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</row>
        <row r="132">
          <cell r="A132" t="str">
            <v>J11082C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1</v>
          </cell>
          <cell r="S132">
            <v>1</v>
          </cell>
          <cell r="T132">
            <v>0</v>
          </cell>
          <cell r="U132">
            <v>0</v>
          </cell>
        </row>
        <row r="133">
          <cell r="A133" t="str">
            <v>J11083A</v>
          </cell>
          <cell r="B133">
            <v>2</v>
          </cell>
          <cell r="C133">
            <v>2</v>
          </cell>
          <cell r="D133">
            <v>2</v>
          </cell>
          <cell r="E133">
            <v>1</v>
          </cell>
          <cell r="F133">
            <v>2</v>
          </cell>
          <cell r="G133">
            <v>1</v>
          </cell>
          <cell r="H133">
            <v>0</v>
          </cell>
          <cell r="I133">
            <v>2</v>
          </cell>
          <cell r="J133">
            <v>2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1</v>
          </cell>
        </row>
        <row r="134">
          <cell r="A134" t="str">
            <v>J11083B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2</v>
          </cell>
          <cell r="I134">
            <v>0</v>
          </cell>
          <cell r="J134">
            <v>0</v>
          </cell>
          <cell r="K134">
            <v>2</v>
          </cell>
          <cell r="L134">
            <v>2</v>
          </cell>
          <cell r="M134">
            <v>1</v>
          </cell>
          <cell r="N134">
            <v>2</v>
          </cell>
          <cell r="O134">
            <v>1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J11083C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2</v>
          </cell>
          <cell r="R135">
            <v>2</v>
          </cell>
          <cell r="S135">
            <v>2</v>
          </cell>
          <cell r="T135">
            <v>0</v>
          </cell>
          <cell r="U135">
            <v>0</v>
          </cell>
        </row>
        <row r="136">
          <cell r="A136" t="str">
            <v>J11085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1</v>
          </cell>
          <cell r="R136">
            <v>1</v>
          </cell>
          <cell r="S136">
            <v>1</v>
          </cell>
          <cell r="T136">
            <v>0</v>
          </cell>
          <cell r="U136">
            <v>0</v>
          </cell>
        </row>
        <row r="137">
          <cell r="A137" t="str">
            <v>J11086</v>
          </cell>
          <cell r="B137">
            <v>1</v>
          </cell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1</v>
          </cell>
        </row>
        <row r="138">
          <cell r="A138" t="str">
            <v>J11086C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1</v>
          </cell>
          <cell r="R138">
            <v>1</v>
          </cell>
          <cell r="S138">
            <v>1</v>
          </cell>
          <cell r="T138">
            <v>0</v>
          </cell>
          <cell r="U138">
            <v>0</v>
          </cell>
        </row>
        <row r="139">
          <cell r="A139" t="str">
            <v>J11089C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1</v>
          </cell>
          <cell r="R139">
            <v>1</v>
          </cell>
          <cell r="S139">
            <v>1</v>
          </cell>
          <cell r="T139">
            <v>0</v>
          </cell>
          <cell r="U139">
            <v>0</v>
          </cell>
        </row>
        <row r="140">
          <cell r="A140" t="str">
            <v>J11091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2</v>
          </cell>
          <cell r="I140">
            <v>0</v>
          </cell>
          <cell r="J140">
            <v>0</v>
          </cell>
          <cell r="K140">
            <v>2</v>
          </cell>
          <cell r="L140">
            <v>2</v>
          </cell>
          <cell r="M140">
            <v>2</v>
          </cell>
          <cell r="N140">
            <v>2</v>
          </cell>
          <cell r="O140">
            <v>2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</row>
        <row r="141">
          <cell r="A141" t="str">
            <v>J11092</v>
          </cell>
          <cell r="B141">
            <v>3</v>
          </cell>
          <cell r="C141">
            <v>1</v>
          </cell>
          <cell r="D141">
            <v>1</v>
          </cell>
          <cell r="E141">
            <v>2</v>
          </cell>
          <cell r="F141">
            <v>3</v>
          </cell>
          <cell r="G141">
            <v>2</v>
          </cell>
          <cell r="H141">
            <v>2</v>
          </cell>
          <cell r="I141">
            <v>3</v>
          </cell>
          <cell r="J141">
            <v>1</v>
          </cell>
          <cell r="K141">
            <v>3</v>
          </cell>
          <cell r="L141">
            <v>2</v>
          </cell>
          <cell r="M141">
            <v>2</v>
          </cell>
          <cell r="N141">
            <v>1</v>
          </cell>
          <cell r="O141">
            <v>1</v>
          </cell>
          <cell r="P141">
            <v>0</v>
          </cell>
          <cell r="Q141">
            <v>1</v>
          </cell>
          <cell r="R141">
            <v>3</v>
          </cell>
          <cell r="S141">
            <v>1</v>
          </cell>
          <cell r="T141">
            <v>0</v>
          </cell>
          <cell r="U141">
            <v>1</v>
          </cell>
        </row>
        <row r="142">
          <cell r="A142" t="str">
            <v>J11093</v>
          </cell>
          <cell r="B142">
            <v>3</v>
          </cell>
          <cell r="C142">
            <v>1</v>
          </cell>
          <cell r="D142">
            <v>1</v>
          </cell>
          <cell r="E142">
            <v>2</v>
          </cell>
          <cell r="F142">
            <v>3</v>
          </cell>
          <cell r="G142">
            <v>2</v>
          </cell>
          <cell r="H142">
            <v>2</v>
          </cell>
          <cell r="I142">
            <v>3</v>
          </cell>
          <cell r="J142">
            <v>1</v>
          </cell>
          <cell r="K142">
            <v>3</v>
          </cell>
          <cell r="L142">
            <v>2</v>
          </cell>
          <cell r="M142">
            <v>2</v>
          </cell>
          <cell r="N142">
            <v>1</v>
          </cell>
          <cell r="O142">
            <v>1</v>
          </cell>
          <cell r="P142">
            <v>0</v>
          </cell>
          <cell r="Q142">
            <v>1</v>
          </cell>
          <cell r="R142">
            <v>3</v>
          </cell>
          <cell r="S142">
            <v>1</v>
          </cell>
          <cell r="T142">
            <v>0</v>
          </cell>
          <cell r="U142">
            <v>1</v>
          </cell>
        </row>
        <row r="143">
          <cell r="A143" t="str">
            <v>J11101</v>
          </cell>
          <cell r="B143">
            <v>10</v>
          </cell>
          <cell r="C143">
            <v>4</v>
          </cell>
          <cell r="D143">
            <v>4</v>
          </cell>
          <cell r="E143">
            <v>6</v>
          </cell>
          <cell r="F143">
            <v>10</v>
          </cell>
          <cell r="G143">
            <v>8</v>
          </cell>
          <cell r="H143">
            <v>8</v>
          </cell>
          <cell r="I143">
            <v>10</v>
          </cell>
          <cell r="J143">
            <v>4</v>
          </cell>
          <cell r="K143">
            <v>8</v>
          </cell>
          <cell r="L143">
            <v>8</v>
          </cell>
          <cell r="M143">
            <v>8</v>
          </cell>
          <cell r="N143">
            <v>4</v>
          </cell>
          <cell r="O143">
            <v>4</v>
          </cell>
          <cell r="P143">
            <v>0</v>
          </cell>
          <cell r="Q143">
            <v>4</v>
          </cell>
          <cell r="R143">
            <v>8</v>
          </cell>
          <cell r="S143">
            <v>6</v>
          </cell>
          <cell r="T143">
            <v>0</v>
          </cell>
          <cell r="U143">
            <v>4</v>
          </cell>
        </row>
        <row r="144">
          <cell r="A144" t="str">
            <v>J11102B</v>
          </cell>
          <cell r="B144">
            <v>1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0</v>
          </cell>
          <cell r="Q144">
            <v>1</v>
          </cell>
          <cell r="R144">
            <v>1</v>
          </cell>
          <cell r="S144">
            <v>1</v>
          </cell>
          <cell r="T144">
            <v>0</v>
          </cell>
          <cell r="U144">
            <v>1</v>
          </cell>
        </row>
        <row r="145">
          <cell r="A145" t="str">
            <v>J11107</v>
          </cell>
          <cell r="B145">
            <v>2</v>
          </cell>
          <cell r="C145">
            <v>2</v>
          </cell>
          <cell r="D145">
            <v>2</v>
          </cell>
          <cell r="E145">
            <v>1</v>
          </cell>
          <cell r="F145">
            <v>2</v>
          </cell>
          <cell r="G145">
            <v>1</v>
          </cell>
          <cell r="H145">
            <v>0</v>
          </cell>
          <cell r="I145">
            <v>2</v>
          </cell>
          <cell r="J145">
            <v>2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2</v>
          </cell>
          <cell r="T145">
            <v>0</v>
          </cell>
          <cell r="U145">
            <v>1</v>
          </cell>
        </row>
        <row r="146">
          <cell r="A146" t="str">
            <v>J11107B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</v>
          </cell>
          <cell r="I146">
            <v>0</v>
          </cell>
          <cell r="J146">
            <v>0</v>
          </cell>
          <cell r="K146">
            <v>2</v>
          </cell>
          <cell r="L146">
            <v>2</v>
          </cell>
          <cell r="M146">
            <v>2</v>
          </cell>
          <cell r="N146">
            <v>2</v>
          </cell>
          <cell r="O146">
            <v>1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</row>
        <row r="147">
          <cell r="A147" t="str">
            <v>J11108</v>
          </cell>
          <cell r="B147">
            <v>2</v>
          </cell>
          <cell r="C147">
            <v>2</v>
          </cell>
          <cell r="D147">
            <v>2</v>
          </cell>
          <cell r="E147">
            <v>2</v>
          </cell>
          <cell r="F147">
            <v>2</v>
          </cell>
          <cell r="G147">
            <v>2</v>
          </cell>
          <cell r="H147">
            <v>0</v>
          </cell>
          <cell r="I147">
            <v>2</v>
          </cell>
          <cell r="J147">
            <v>2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2</v>
          </cell>
        </row>
        <row r="148">
          <cell r="A148" t="str">
            <v>J11111</v>
          </cell>
          <cell r="B148">
            <v>2</v>
          </cell>
          <cell r="C148">
            <v>2</v>
          </cell>
          <cell r="D148">
            <v>2</v>
          </cell>
          <cell r="E148">
            <v>2</v>
          </cell>
          <cell r="F148">
            <v>2</v>
          </cell>
          <cell r="G148">
            <v>2</v>
          </cell>
          <cell r="H148">
            <v>2</v>
          </cell>
          <cell r="I148">
            <v>2</v>
          </cell>
          <cell r="J148">
            <v>2</v>
          </cell>
          <cell r="K148">
            <v>2</v>
          </cell>
          <cell r="L148">
            <v>2</v>
          </cell>
          <cell r="M148">
            <v>1</v>
          </cell>
          <cell r="N148">
            <v>2</v>
          </cell>
          <cell r="O148">
            <v>2</v>
          </cell>
          <cell r="P148">
            <v>0</v>
          </cell>
          <cell r="Q148">
            <v>2</v>
          </cell>
          <cell r="R148">
            <v>2</v>
          </cell>
          <cell r="S148">
            <v>2</v>
          </cell>
          <cell r="T148">
            <v>0</v>
          </cell>
          <cell r="U148">
            <v>2</v>
          </cell>
        </row>
        <row r="149">
          <cell r="A149" t="str">
            <v>J11112</v>
          </cell>
          <cell r="B149">
            <v>2</v>
          </cell>
          <cell r="C149">
            <v>1</v>
          </cell>
          <cell r="D149">
            <v>1</v>
          </cell>
          <cell r="E149">
            <v>1</v>
          </cell>
          <cell r="F149">
            <v>2</v>
          </cell>
          <cell r="G149">
            <v>2</v>
          </cell>
          <cell r="H149">
            <v>0</v>
          </cell>
          <cell r="I149">
            <v>2</v>
          </cell>
          <cell r="J149">
            <v>1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1</v>
          </cell>
        </row>
        <row r="150">
          <cell r="A150" t="str">
            <v>J11113B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</v>
          </cell>
          <cell r="I150">
            <v>0</v>
          </cell>
          <cell r="J150">
            <v>0</v>
          </cell>
          <cell r="K150">
            <v>2</v>
          </cell>
          <cell r="L150">
            <v>2</v>
          </cell>
          <cell r="M150">
            <v>2</v>
          </cell>
          <cell r="N150">
            <v>2</v>
          </cell>
          <cell r="O150">
            <v>2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</row>
        <row r="151">
          <cell r="A151" t="str">
            <v>J11114</v>
          </cell>
          <cell r="B151">
            <v>2</v>
          </cell>
          <cell r="C151">
            <v>2</v>
          </cell>
          <cell r="D151">
            <v>2</v>
          </cell>
          <cell r="E151">
            <v>2</v>
          </cell>
          <cell r="F151">
            <v>2</v>
          </cell>
          <cell r="G151">
            <v>2</v>
          </cell>
          <cell r="H151">
            <v>2</v>
          </cell>
          <cell r="I151">
            <v>2</v>
          </cell>
          <cell r="J151">
            <v>2</v>
          </cell>
          <cell r="K151">
            <v>2</v>
          </cell>
          <cell r="L151">
            <v>2</v>
          </cell>
          <cell r="M151">
            <v>1</v>
          </cell>
          <cell r="N151">
            <v>2</v>
          </cell>
          <cell r="O151">
            <v>2</v>
          </cell>
          <cell r="P151">
            <v>0</v>
          </cell>
          <cell r="Q151">
            <v>2</v>
          </cell>
          <cell r="R151">
            <v>2</v>
          </cell>
          <cell r="S151">
            <v>2</v>
          </cell>
          <cell r="T151">
            <v>0</v>
          </cell>
          <cell r="U151">
            <v>2</v>
          </cell>
        </row>
        <row r="152">
          <cell r="A152" t="str">
            <v>J11115</v>
          </cell>
          <cell r="B152">
            <v>5</v>
          </cell>
          <cell r="C152">
            <v>2</v>
          </cell>
          <cell r="D152">
            <v>2</v>
          </cell>
          <cell r="E152">
            <v>3</v>
          </cell>
          <cell r="F152">
            <v>5</v>
          </cell>
          <cell r="G152">
            <v>3</v>
          </cell>
          <cell r="H152">
            <v>4</v>
          </cell>
          <cell r="I152">
            <v>5</v>
          </cell>
          <cell r="J152">
            <v>1</v>
          </cell>
          <cell r="K152">
            <v>5</v>
          </cell>
          <cell r="L152">
            <v>4</v>
          </cell>
          <cell r="M152">
            <v>4</v>
          </cell>
          <cell r="N152">
            <v>1</v>
          </cell>
          <cell r="O152">
            <v>1</v>
          </cell>
          <cell r="P152">
            <v>0</v>
          </cell>
          <cell r="Q152">
            <v>1</v>
          </cell>
          <cell r="R152">
            <v>5</v>
          </cell>
          <cell r="S152">
            <v>2</v>
          </cell>
          <cell r="T152">
            <v>0</v>
          </cell>
          <cell r="U152">
            <v>1</v>
          </cell>
        </row>
        <row r="153">
          <cell r="A153" t="str">
            <v>J11116</v>
          </cell>
          <cell r="B153">
            <v>2</v>
          </cell>
          <cell r="C153">
            <v>2</v>
          </cell>
          <cell r="D153">
            <v>2</v>
          </cell>
          <cell r="E153">
            <v>2</v>
          </cell>
          <cell r="F153">
            <v>2</v>
          </cell>
          <cell r="G153">
            <v>2</v>
          </cell>
          <cell r="H153">
            <v>2</v>
          </cell>
          <cell r="I153">
            <v>2</v>
          </cell>
          <cell r="J153">
            <v>2</v>
          </cell>
          <cell r="K153">
            <v>2</v>
          </cell>
          <cell r="L153">
            <v>2</v>
          </cell>
          <cell r="M153">
            <v>1</v>
          </cell>
          <cell r="N153">
            <v>2</v>
          </cell>
          <cell r="O153">
            <v>2</v>
          </cell>
          <cell r="P153">
            <v>0</v>
          </cell>
          <cell r="Q153">
            <v>2</v>
          </cell>
          <cell r="R153">
            <v>2</v>
          </cell>
          <cell r="S153">
            <v>2</v>
          </cell>
          <cell r="T153">
            <v>0</v>
          </cell>
          <cell r="U153">
            <v>2</v>
          </cell>
        </row>
        <row r="154">
          <cell r="A154" t="str">
            <v>J11117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2</v>
          </cell>
          <cell r="I154">
            <v>0</v>
          </cell>
          <cell r="J154">
            <v>0</v>
          </cell>
          <cell r="K154">
            <v>2</v>
          </cell>
          <cell r="L154">
            <v>2</v>
          </cell>
          <cell r="M154">
            <v>2</v>
          </cell>
          <cell r="N154">
            <v>2</v>
          </cell>
          <cell r="O154">
            <v>2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</row>
        <row r="155">
          <cell r="A155" t="str">
            <v>J11119</v>
          </cell>
          <cell r="B155">
            <v>12</v>
          </cell>
          <cell r="C155">
            <v>3</v>
          </cell>
          <cell r="D155">
            <v>3</v>
          </cell>
          <cell r="E155">
            <v>6</v>
          </cell>
          <cell r="F155">
            <v>12</v>
          </cell>
          <cell r="G155">
            <v>7</v>
          </cell>
          <cell r="H155">
            <v>10</v>
          </cell>
          <cell r="I155">
            <v>12</v>
          </cell>
          <cell r="J155">
            <v>1</v>
          </cell>
          <cell r="K155">
            <v>12</v>
          </cell>
          <cell r="L155">
            <v>8</v>
          </cell>
          <cell r="M155">
            <v>8</v>
          </cell>
          <cell r="N155">
            <v>2</v>
          </cell>
          <cell r="O155">
            <v>2</v>
          </cell>
          <cell r="P155">
            <v>0</v>
          </cell>
          <cell r="Q155">
            <v>3</v>
          </cell>
          <cell r="R155">
            <v>11</v>
          </cell>
          <cell r="S155">
            <v>5</v>
          </cell>
          <cell r="T155">
            <v>0</v>
          </cell>
          <cell r="U155">
            <v>1</v>
          </cell>
        </row>
        <row r="156">
          <cell r="A156" t="str">
            <v>J11120</v>
          </cell>
          <cell r="B156">
            <v>2</v>
          </cell>
          <cell r="C156">
            <v>2</v>
          </cell>
          <cell r="D156">
            <v>2</v>
          </cell>
          <cell r="E156">
            <v>1</v>
          </cell>
          <cell r="F156">
            <v>2</v>
          </cell>
          <cell r="G156">
            <v>1</v>
          </cell>
          <cell r="H156">
            <v>2</v>
          </cell>
          <cell r="I156">
            <v>2</v>
          </cell>
          <cell r="J156">
            <v>2</v>
          </cell>
          <cell r="K156">
            <v>2</v>
          </cell>
          <cell r="L156">
            <v>2</v>
          </cell>
          <cell r="M156">
            <v>1</v>
          </cell>
          <cell r="N156">
            <v>2</v>
          </cell>
          <cell r="O156">
            <v>1</v>
          </cell>
          <cell r="P156">
            <v>0</v>
          </cell>
          <cell r="Q156">
            <v>2</v>
          </cell>
          <cell r="R156">
            <v>2</v>
          </cell>
          <cell r="S156">
            <v>2</v>
          </cell>
          <cell r="T156">
            <v>0</v>
          </cell>
          <cell r="U156">
            <v>1</v>
          </cell>
        </row>
        <row r="157">
          <cell r="A157" t="str">
            <v>J11121</v>
          </cell>
          <cell r="B157">
            <v>1</v>
          </cell>
          <cell r="C157">
            <v>1</v>
          </cell>
          <cell r="D157">
            <v>1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0</v>
          </cell>
          <cell r="Q157">
            <v>1</v>
          </cell>
          <cell r="R157">
            <v>1</v>
          </cell>
          <cell r="S157">
            <v>1</v>
          </cell>
          <cell r="T157">
            <v>0</v>
          </cell>
          <cell r="U157">
            <v>1</v>
          </cell>
        </row>
        <row r="158">
          <cell r="A158" t="str">
            <v>J11122</v>
          </cell>
          <cell r="B158">
            <v>6</v>
          </cell>
          <cell r="C158">
            <v>2</v>
          </cell>
          <cell r="D158">
            <v>2</v>
          </cell>
          <cell r="E158">
            <v>3</v>
          </cell>
          <cell r="F158">
            <v>6</v>
          </cell>
          <cell r="G158">
            <v>4</v>
          </cell>
          <cell r="H158">
            <v>5</v>
          </cell>
          <cell r="I158">
            <v>6</v>
          </cell>
          <cell r="J158">
            <v>2</v>
          </cell>
          <cell r="K158">
            <v>6</v>
          </cell>
          <cell r="L158">
            <v>4</v>
          </cell>
          <cell r="M158">
            <v>4</v>
          </cell>
          <cell r="N158">
            <v>2</v>
          </cell>
          <cell r="O158">
            <v>2</v>
          </cell>
          <cell r="P158">
            <v>0</v>
          </cell>
          <cell r="Q158">
            <v>2</v>
          </cell>
          <cell r="R158">
            <v>6</v>
          </cell>
          <cell r="S158">
            <v>3</v>
          </cell>
          <cell r="T158">
            <v>0</v>
          </cell>
          <cell r="U158">
            <v>2</v>
          </cell>
        </row>
        <row r="159">
          <cell r="A159" t="str">
            <v>J11123</v>
          </cell>
          <cell r="B159">
            <v>6</v>
          </cell>
          <cell r="C159">
            <v>2</v>
          </cell>
          <cell r="D159">
            <v>2</v>
          </cell>
          <cell r="E159">
            <v>3</v>
          </cell>
          <cell r="F159">
            <v>6</v>
          </cell>
          <cell r="G159">
            <v>4</v>
          </cell>
          <cell r="H159">
            <v>5</v>
          </cell>
          <cell r="I159">
            <v>6</v>
          </cell>
          <cell r="J159">
            <v>2</v>
          </cell>
          <cell r="K159">
            <v>6</v>
          </cell>
          <cell r="L159">
            <v>4</v>
          </cell>
          <cell r="M159">
            <v>4</v>
          </cell>
          <cell r="N159">
            <v>2</v>
          </cell>
          <cell r="O159">
            <v>2</v>
          </cell>
          <cell r="P159">
            <v>0</v>
          </cell>
          <cell r="Q159">
            <v>2</v>
          </cell>
          <cell r="R159">
            <v>6</v>
          </cell>
          <cell r="S159">
            <v>3</v>
          </cell>
          <cell r="T159">
            <v>0</v>
          </cell>
          <cell r="U159">
            <v>2</v>
          </cell>
        </row>
        <row r="160">
          <cell r="A160" t="str">
            <v>J11124</v>
          </cell>
          <cell r="B160">
            <v>3</v>
          </cell>
          <cell r="C160">
            <v>2</v>
          </cell>
          <cell r="D160">
            <v>2</v>
          </cell>
          <cell r="E160">
            <v>2</v>
          </cell>
          <cell r="F160">
            <v>3</v>
          </cell>
          <cell r="G160">
            <v>2</v>
          </cell>
          <cell r="H160">
            <v>2</v>
          </cell>
          <cell r="I160">
            <v>3</v>
          </cell>
          <cell r="J160">
            <v>2</v>
          </cell>
          <cell r="K160">
            <v>3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0</v>
          </cell>
          <cell r="Q160">
            <v>2</v>
          </cell>
          <cell r="R160">
            <v>3</v>
          </cell>
          <cell r="S160">
            <v>2</v>
          </cell>
          <cell r="T160">
            <v>0</v>
          </cell>
          <cell r="U160">
            <v>2</v>
          </cell>
        </row>
        <row r="161">
          <cell r="A161" t="str">
            <v>J11125</v>
          </cell>
          <cell r="B161">
            <v>6</v>
          </cell>
          <cell r="C161">
            <v>2</v>
          </cell>
          <cell r="D161">
            <v>2</v>
          </cell>
          <cell r="E161">
            <v>3</v>
          </cell>
          <cell r="F161">
            <v>6</v>
          </cell>
          <cell r="G161">
            <v>4</v>
          </cell>
          <cell r="H161">
            <v>5</v>
          </cell>
          <cell r="I161">
            <v>6</v>
          </cell>
          <cell r="J161">
            <v>1</v>
          </cell>
          <cell r="K161">
            <v>6</v>
          </cell>
          <cell r="L161">
            <v>4</v>
          </cell>
          <cell r="M161">
            <v>4</v>
          </cell>
          <cell r="N161">
            <v>2</v>
          </cell>
          <cell r="O161">
            <v>2</v>
          </cell>
          <cell r="P161">
            <v>0</v>
          </cell>
          <cell r="Q161">
            <v>2</v>
          </cell>
          <cell r="R161">
            <v>6</v>
          </cell>
          <cell r="S161">
            <v>3</v>
          </cell>
          <cell r="T161">
            <v>0</v>
          </cell>
          <cell r="U161">
            <v>1</v>
          </cell>
        </row>
        <row r="162">
          <cell r="A162" t="str">
            <v>J11127</v>
          </cell>
          <cell r="B162">
            <v>4</v>
          </cell>
          <cell r="C162">
            <v>1</v>
          </cell>
          <cell r="D162">
            <v>1</v>
          </cell>
          <cell r="E162">
            <v>2</v>
          </cell>
          <cell r="F162">
            <v>4</v>
          </cell>
          <cell r="G162">
            <v>3</v>
          </cell>
          <cell r="H162">
            <v>4</v>
          </cell>
          <cell r="I162">
            <v>4</v>
          </cell>
          <cell r="J162">
            <v>1</v>
          </cell>
          <cell r="K162">
            <v>4</v>
          </cell>
          <cell r="L162">
            <v>3</v>
          </cell>
          <cell r="M162">
            <v>3</v>
          </cell>
          <cell r="N162">
            <v>1</v>
          </cell>
          <cell r="O162">
            <v>1</v>
          </cell>
          <cell r="P162">
            <v>0</v>
          </cell>
          <cell r="Q162">
            <v>2</v>
          </cell>
          <cell r="R162">
            <v>4</v>
          </cell>
          <cell r="S162">
            <v>2</v>
          </cell>
          <cell r="T162">
            <v>0</v>
          </cell>
          <cell r="U162">
            <v>1</v>
          </cell>
        </row>
        <row r="163">
          <cell r="A163" t="str">
            <v>J11128</v>
          </cell>
          <cell r="B163">
            <v>2</v>
          </cell>
          <cell r="C163">
            <v>2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2</v>
          </cell>
          <cell r="I163">
            <v>2</v>
          </cell>
          <cell r="J163">
            <v>2</v>
          </cell>
          <cell r="K163">
            <v>2</v>
          </cell>
          <cell r="L163">
            <v>2</v>
          </cell>
          <cell r="M163">
            <v>1</v>
          </cell>
          <cell r="N163">
            <v>2</v>
          </cell>
          <cell r="O163">
            <v>2</v>
          </cell>
          <cell r="P163">
            <v>0</v>
          </cell>
          <cell r="Q163">
            <v>2</v>
          </cell>
          <cell r="R163">
            <v>2</v>
          </cell>
          <cell r="S163">
            <v>2</v>
          </cell>
          <cell r="T163">
            <v>0</v>
          </cell>
          <cell r="U163">
            <v>2</v>
          </cell>
        </row>
        <row r="164">
          <cell r="A164" t="str">
            <v>J11129</v>
          </cell>
          <cell r="B164">
            <v>1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</row>
        <row r="165">
          <cell r="A165" t="str">
            <v>J11130</v>
          </cell>
          <cell r="B165">
            <v>1</v>
          </cell>
          <cell r="C165">
            <v>1</v>
          </cell>
          <cell r="D165">
            <v>1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</row>
        <row r="166">
          <cell r="A166" t="str">
            <v>J11906</v>
          </cell>
          <cell r="B166">
            <v>4</v>
          </cell>
          <cell r="C166">
            <v>1</v>
          </cell>
          <cell r="D166">
            <v>1</v>
          </cell>
          <cell r="E166">
            <v>2</v>
          </cell>
          <cell r="F166">
            <v>4</v>
          </cell>
          <cell r="G166">
            <v>3</v>
          </cell>
          <cell r="H166">
            <v>5</v>
          </cell>
          <cell r="I166">
            <v>4</v>
          </cell>
          <cell r="J166">
            <v>1</v>
          </cell>
          <cell r="K166">
            <v>6</v>
          </cell>
          <cell r="L166">
            <v>4</v>
          </cell>
          <cell r="M166">
            <v>4</v>
          </cell>
          <cell r="N166">
            <v>1</v>
          </cell>
          <cell r="O166">
            <v>1</v>
          </cell>
          <cell r="P166">
            <v>0</v>
          </cell>
          <cell r="Q166">
            <v>2</v>
          </cell>
          <cell r="R166">
            <v>6</v>
          </cell>
          <cell r="S166">
            <v>3</v>
          </cell>
          <cell r="T166">
            <v>0</v>
          </cell>
          <cell r="U166">
            <v>1</v>
          </cell>
        </row>
        <row r="167">
          <cell r="A167" t="str">
            <v>J12001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A168" t="str">
            <v>J12003</v>
          </cell>
          <cell r="B168">
            <v>3</v>
          </cell>
          <cell r="C168">
            <v>3</v>
          </cell>
          <cell r="D168">
            <v>3</v>
          </cell>
          <cell r="E168">
            <v>0</v>
          </cell>
          <cell r="F168">
            <v>3</v>
          </cell>
          <cell r="G168">
            <v>0</v>
          </cell>
          <cell r="H168">
            <v>3</v>
          </cell>
          <cell r="I168">
            <v>3</v>
          </cell>
          <cell r="J168">
            <v>3</v>
          </cell>
          <cell r="K168">
            <v>3</v>
          </cell>
          <cell r="L168">
            <v>3</v>
          </cell>
          <cell r="M168">
            <v>0</v>
          </cell>
          <cell r="N168">
            <v>3</v>
          </cell>
          <cell r="O168">
            <v>0</v>
          </cell>
          <cell r="P168">
            <v>3</v>
          </cell>
          <cell r="Q168">
            <v>3</v>
          </cell>
          <cell r="R168">
            <v>3</v>
          </cell>
          <cell r="S168">
            <v>3</v>
          </cell>
          <cell r="T168">
            <v>3</v>
          </cell>
          <cell r="U168">
            <v>0</v>
          </cell>
        </row>
        <row r="169">
          <cell r="A169" t="str">
            <v>J12007</v>
          </cell>
          <cell r="B169">
            <v>2</v>
          </cell>
          <cell r="C169">
            <v>2</v>
          </cell>
          <cell r="D169">
            <v>2</v>
          </cell>
          <cell r="E169">
            <v>1</v>
          </cell>
          <cell r="F169">
            <v>2</v>
          </cell>
          <cell r="G169">
            <v>1</v>
          </cell>
          <cell r="H169">
            <v>2</v>
          </cell>
          <cell r="I169">
            <v>2</v>
          </cell>
          <cell r="J169">
            <v>2</v>
          </cell>
          <cell r="K169">
            <v>2</v>
          </cell>
          <cell r="L169">
            <v>2</v>
          </cell>
          <cell r="M169">
            <v>1</v>
          </cell>
          <cell r="N169">
            <v>2</v>
          </cell>
          <cell r="O169">
            <v>1</v>
          </cell>
          <cell r="P169">
            <v>2</v>
          </cell>
          <cell r="Q169">
            <v>2</v>
          </cell>
          <cell r="R169">
            <v>2</v>
          </cell>
          <cell r="S169">
            <v>2</v>
          </cell>
          <cell r="T169">
            <v>2</v>
          </cell>
          <cell r="U169">
            <v>1</v>
          </cell>
        </row>
        <row r="170">
          <cell r="A170" t="str">
            <v>J12016</v>
          </cell>
          <cell r="B170">
            <v>2</v>
          </cell>
          <cell r="C170">
            <v>2</v>
          </cell>
          <cell r="D170">
            <v>2</v>
          </cell>
          <cell r="E170">
            <v>0</v>
          </cell>
          <cell r="F170">
            <v>2</v>
          </cell>
          <cell r="G170">
            <v>0</v>
          </cell>
          <cell r="H170">
            <v>2</v>
          </cell>
          <cell r="I170">
            <v>2</v>
          </cell>
          <cell r="J170">
            <v>2</v>
          </cell>
          <cell r="K170">
            <v>2</v>
          </cell>
          <cell r="L170">
            <v>2</v>
          </cell>
          <cell r="M170">
            <v>0</v>
          </cell>
          <cell r="N170">
            <v>2</v>
          </cell>
          <cell r="O170">
            <v>0</v>
          </cell>
          <cell r="P170">
            <v>0</v>
          </cell>
          <cell r="Q170">
            <v>2</v>
          </cell>
          <cell r="R170">
            <v>2</v>
          </cell>
          <cell r="S170">
            <v>2</v>
          </cell>
          <cell r="T170">
            <v>0</v>
          </cell>
          <cell r="U170">
            <v>0</v>
          </cell>
        </row>
        <row r="171">
          <cell r="A171" t="str">
            <v>J12019</v>
          </cell>
          <cell r="B171">
            <v>4</v>
          </cell>
          <cell r="C171">
            <v>4</v>
          </cell>
          <cell r="D171">
            <v>4</v>
          </cell>
          <cell r="E171">
            <v>4</v>
          </cell>
          <cell r="F171">
            <v>4</v>
          </cell>
          <cell r="G171">
            <v>4</v>
          </cell>
          <cell r="H171">
            <v>2</v>
          </cell>
          <cell r="I171">
            <v>4</v>
          </cell>
          <cell r="J171">
            <v>4</v>
          </cell>
          <cell r="K171">
            <v>2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0</v>
          </cell>
          <cell r="Q171">
            <v>4</v>
          </cell>
          <cell r="R171">
            <v>4</v>
          </cell>
          <cell r="S171">
            <v>4</v>
          </cell>
          <cell r="T171">
            <v>0</v>
          </cell>
          <cell r="U171">
            <v>4</v>
          </cell>
        </row>
        <row r="172">
          <cell r="A172" t="str">
            <v>J12020</v>
          </cell>
          <cell r="B172">
            <v>5</v>
          </cell>
          <cell r="C172">
            <v>2</v>
          </cell>
          <cell r="D172">
            <v>2</v>
          </cell>
          <cell r="E172">
            <v>2</v>
          </cell>
          <cell r="F172">
            <v>5</v>
          </cell>
          <cell r="G172">
            <v>3</v>
          </cell>
          <cell r="H172">
            <v>4</v>
          </cell>
          <cell r="I172">
            <v>5</v>
          </cell>
          <cell r="J172">
            <v>2</v>
          </cell>
          <cell r="K172">
            <v>4</v>
          </cell>
          <cell r="L172">
            <v>4</v>
          </cell>
          <cell r="M172">
            <v>0</v>
          </cell>
          <cell r="N172">
            <v>4</v>
          </cell>
          <cell r="O172">
            <v>0</v>
          </cell>
          <cell r="P172">
            <v>3</v>
          </cell>
          <cell r="Q172">
            <v>3</v>
          </cell>
          <cell r="R172">
            <v>3</v>
          </cell>
          <cell r="S172">
            <v>3</v>
          </cell>
          <cell r="T172">
            <v>3</v>
          </cell>
          <cell r="U172">
            <v>1</v>
          </cell>
        </row>
        <row r="173">
          <cell r="A173" t="str">
            <v>J12021</v>
          </cell>
          <cell r="B173">
            <v>4</v>
          </cell>
          <cell r="C173">
            <v>4</v>
          </cell>
          <cell r="D173">
            <v>4</v>
          </cell>
          <cell r="E173">
            <v>4</v>
          </cell>
          <cell r="F173">
            <v>4</v>
          </cell>
          <cell r="G173">
            <v>4</v>
          </cell>
          <cell r="H173">
            <v>4</v>
          </cell>
          <cell r="I173">
            <v>4</v>
          </cell>
          <cell r="J173">
            <v>4</v>
          </cell>
          <cell r="K173">
            <v>4</v>
          </cell>
          <cell r="L173">
            <v>4</v>
          </cell>
          <cell r="M173">
            <v>2</v>
          </cell>
          <cell r="N173">
            <v>4</v>
          </cell>
          <cell r="O173">
            <v>4</v>
          </cell>
          <cell r="P173">
            <v>0</v>
          </cell>
          <cell r="Q173">
            <v>4</v>
          </cell>
          <cell r="R173">
            <v>4</v>
          </cell>
          <cell r="S173">
            <v>4</v>
          </cell>
          <cell r="T173">
            <v>0</v>
          </cell>
          <cell r="U173">
            <v>4</v>
          </cell>
        </row>
        <row r="174">
          <cell r="A174" t="str">
            <v>J12022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</row>
        <row r="175">
          <cell r="A175" t="str">
            <v>J12023</v>
          </cell>
          <cell r="B175">
            <v>3</v>
          </cell>
          <cell r="C175">
            <v>3</v>
          </cell>
          <cell r="D175">
            <v>3</v>
          </cell>
          <cell r="E175">
            <v>0</v>
          </cell>
          <cell r="F175">
            <v>3</v>
          </cell>
          <cell r="G175">
            <v>0</v>
          </cell>
          <cell r="H175">
            <v>3</v>
          </cell>
          <cell r="I175">
            <v>3</v>
          </cell>
          <cell r="J175">
            <v>3</v>
          </cell>
          <cell r="K175">
            <v>3</v>
          </cell>
          <cell r="L175">
            <v>3</v>
          </cell>
          <cell r="M175">
            <v>0</v>
          </cell>
          <cell r="N175">
            <v>3</v>
          </cell>
          <cell r="O175">
            <v>0</v>
          </cell>
          <cell r="P175">
            <v>0</v>
          </cell>
          <cell r="Q175">
            <v>3</v>
          </cell>
          <cell r="R175">
            <v>3</v>
          </cell>
          <cell r="S175">
            <v>3</v>
          </cell>
          <cell r="T175">
            <v>0</v>
          </cell>
          <cell r="U175">
            <v>0</v>
          </cell>
        </row>
        <row r="176">
          <cell r="A176" t="str">
            <v>J12024</v>
          </cell>
          <cell r="B176">
            <v>6</v>
          </cell>
          <cell r="C176">
            <v>2</v>
          </cell>
          <cell r="D176">
            <v>2</v>
          </cell>
          <cell r="E176">
            <v>3</v>
          </cell>
          <cell r="F176">
            <v>6</v>
          </cell>
          <cell r="G176">
            <v>4</v>
          </cell>
          <cell r="H176">
            <v>5</v>
          </cell>
          <cell r="I176">
            <v>6</v>
          </cell>
          <cell r="J176">
            <v>1</v>
          </cell>
          <cell r="K176">
            <v>6</v>
          </cell>
          <cell r="L176">
            <v>4</v>
          </cell>
          <cell r="M176">
            <v>4</v>
          </cell>
          <cell r="N176">
            <v>1</v>
          </cell>
          <cell r="O176">
            <v>1</v>
          </cell>
          <cell r="P176">
            <v>0</v>
          </cell>
          <cell r="Q176">
            <v>2</v>
          </cell>
          <cell r="R176">
            <v>6</v>
          </cell>
          <cell r="S176">
            <v>3</v>
          </cell>
          <cell r="T176">
            <v>0</v>
          </cell>
          <cell r="U176">
            <v>1</v>
          </cell>
        </row>
        <row r="177">
          <cell r="A177" t="str">
            <v>J12024-W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  <row r="178">
          <cell r="A178" t="str">
            <v>J12025</v>
          </cell>
          <cell r="B178">
            <v>4</v>
          </cell>
          <cell r="C178">
            <v>4</v>
          </cell>
          <cell r="D178">
            <v>4</v>
          </cell>
          <cell r="E178">
            <v>4</v>
          </cell>
          <cell r="F178">
            <v>4</v>
          </cell>
          <cell r="G178">
            <v>4</v>
          </cell>
          <cell r="H178">
            <v>4</v>
          </cell>
          <cell r="I178">
            <v>4</v>
          </cell>
          <cell r="J178">
            <v>4</v>
          </cell>
          <cell r="K178">
            <v>4</v>
          </cell>
          <cell r="L178">
            <v>4</v>
          </cell>
          <cell r="M178">
            <v>2</v>
          </cell>
          <cell r="N178">
            <v>4</v>
          </cell>
          <cell r="O178">
            <v>4</v>
          </cell>
          <cell r="P178">
            <v>0</v>
          </cell>
          <cell r="Q178">
            <v>4</v>
          </cell>
          <cell r="R178">
            <v>4</v>
          </cell>
          <cell r="S178">
            <v>4</v>
          </cell>
          <cell r="T178">
            <v>0</v>
          </cell>
          <cell r="U178">
            <v>4</v>
          </cell>
        </row>
        <row r="179">
          <cell r="A179" t="str">
            <v>J12034</v>
          </cell>
          <cell r="B179">
            <v>2</v>
          </cell>
          <cell r="C179">
            <v>2</v>
          </cell>
          <cell r="D179">
            <v>2</v>
          </cell>
          <cell r="E179">
            <v>2</v>
          </cell>
          <cell r="F179">
            <v>2</v>
          </cell>
          <cell r="G179">
            <v>2</v>
          </cell>
          <cell r="H179">
            <v>10</v>
          </cell>
          <cell r="I179">
            <v>2</v>
          </cell>
          <cell r="J179">
            <v>2</v>
          </cell>
          <cell r="K179">
            <v>12</v>
          </cell>
          <cell r="L179">
            <v>8</v>
          </cell>
          <cell r="M179">
            <v>8</v>
          </cell>
          <cell r="N179">
            <v>2</v>
          </cell>
          <cell r="O179">
            <v>2</v>
          </cell>
          <cell r="P179">
            <v>0</v>
          </cell>
          <cell r="Q179">
            <v>2</v>
          </cell>
          <cell r="R179">
            <v>2</v>
          </cell>
          <cell r="S179">
            <v>2</v>
          </cell>
          <cell r="T179">
            <v>0</v>
          </cell>
          <cell r="U179">
            <v>2</v>
          </cell>
        </row>
        <row r="180">
          <cell r="A180" t="str">
            <v>J12037</v>
          </cell>
          <cell r="B180">
            <v>3</v>
          </cell>
          <cell r="C180">
            <v>3</v>
          </cell>
          <cell r="D180">
            <v>3</v>
          </cell>
          <cell r="E180">
            <v>2</v>
          </cell>
          <cell r="F180">
            <v>3</v>
          </cell>
          <cell r="G180">
            <v>2</v>
          </cell>
          <cell r="H180">
            <v>3</v>
          </cell>
          <cell r="I180">
            <v>3</v>
          </cell>
          <cell r="J180">
            <v>3</v>
          </cell>
          <cell r="K180">
            <v>3</v>
          </cell>
          <cell r="L180">
            <v>3</v>
          </cell>
          <cell r="M180">
            <v>2</v>
          </cell>
          <cell r="N180">
            <v>3</v>
          </cell>
          <cell r="O180">
            <v>2</v>
          </cell>
          <cell r="P180">
            <v>0</v>
          </cell>
          <cell r="Q180">
            <v>3</v>
          </cell>
          <cell r="R180">
            <v>3</v>
          </cell>
          <cell r="S180">
            <v>3</v>
          </cell>
          <cell r="T180">
            <v>0</v>
          </cell>
          <cell r="U180">
            <v>2</v>
          </cell>
        </row>
        <row r="181">
          <cell r="A181" t="str">
            <v>J12038</v>
          </cell>
          <cell r="B181">
            <v>2</v>
          </cell>
          <cell r="C181">
            <v>2</v>
          </cell>
          <cell r="D181">
            <v>2</v>
          </cell>
          <cell r="E181">
            <v>2</v>
          </cell>
          <cell r="F181">
            <v>2</v>
          </cell>
          <cell r="G181">
            <v>2</v>
          </cell>
          <cell r="H181">
            <v>2</v>
          </cell>
          <cell r="I181">
            <v>2</v>
          </cell>
          <cell r="J181">
            <v>2</v>
          </cell>
          <cell r="K181">
            <v>2</v>
          </cell>
          <cell r="L181">
            <v>2</v>
          </cell>
          <cell r="M181">
            <v>1</v>
          </cell>
          <cell r="N181">
            <v>2</v>
          </cell>
          <cell r="O181">
            <v>2</v>
          </cell>
          <cell r="P181">
            <v>1</v>
          </cell>
          <cell r="Q181">
            <v>2</v>
          </cell>
          <cell r="R181">
            <v>2</v>
          </cell>
          <cell r="S181">
            <v>2</v>
          </cell>
          <cell r="T181">
            <v>1</v>
          </cell>
          <cell r="U181">
            <v>2</v>
          </cell>
        </row>
        <row r="182">
          <cell r="A182" t="str">
            <v>J12039B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</v>
          </cell>
          <cell r="J182">
            <v>0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A183" t="str">
            <v>J12040</v>
          </cell>
          <cell r="B183">
            <v>1</v>
          </cell>
          <cell r="C183">
            <v>1</v>
          </cell>
          <cell r="D183">
            <v>1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0</v>
          </cell>
          <cell r="Q183">
            <v>1</v>
          </cell>
          <cell r="R183">
            <v>1</v>
          </cell>
          <cell r="S183">
            <v>1</v>
          </cell>
          <cell r="T183">
            <v>0</v>
          </cell>
          <cell r="U183">
            <v>1</v>
          </cell>
        </row>
        <row r="184">
          <cell r="A184" t="str">
            <v>J12041</v>
          </cell>
          <cell r="B184">
            <v>1</v>
          </cell>
          <cell r="C184">
            <v>1</v>
          </cell>
          <cell r="D184">
            <v>1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1</v>
          </cell>
          <cell r="J184">
            <v>1</v>
          </cell>
          <cell r="K184">
            <v>1</v>
          </cell>
          <cell r="L184">
            <v>1</v>
          </cell>
          <cell r="M184">
            <v>1</v>
          </cell>
          <cell r="N184">
            <v>1</v>
          </cell>
          <cell r="O184">
            <v>1</v>
          </cell>
          <cell r="P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</row>
        <row r="185">
          <cell r="A185" t="str">
            <v>J12044</v>
          </cell>
          <cell r="B185">
            <v>2</v>
          </cell>
          <cell r="C185">
            <v>2</v>
          </cell>
          <cell r="D185">
            <v>2</v>
          </cell>
          <cell r="E185">
            <v>2</v>
          </cell>
          <cell r="F185">
            <v>2</v>
          </cell>
          <cell r="G185">
            <v>2</v>
          </cell>
          <cell r="H185">
            <v>2</v>
          </cell>
          <cell r="I185">
            <v>2</v>
          </cell>
          <cell r="J185">
            <v>2</v>
          </cell>
          <cell r="K185">
            <v>2</v>
          </cell>
          <cell r="L185">
            <v>2</v>
          </cell>
          <cell r="M185">
            <v>2</v>
          </cell>
          <cell r="N185">
            <v>2</v>
          </cell>
          <cell r="O185">
            <v>2</v>
          </cell>
          <cell r="P185">
            <v>0</v>
          </cell>
          <cell r="Q185">
            <v>2</v>
          </cell>
          <cell r="R185">
            <v>2</v>
          </cell>
          <cell r="S185">
            <v>2</v>
          </cell>
          <cell r="T185">
            <v>0</v>
          </cell>
          <cell r="U185">
            <v>2</v>
          </cell>
        </row>
        <row r="186">
          <cell r="A186" t="str">
            <v>J12045</v>
          </cell>
          <cell r="B186">
            <v>1</v>
          </cell>
          <cell r="C186">
            <v>1</v>
          </cell>
          <cell r="D186">
            <v>1</v>
          </cell>
          <cell r="E186">
            <v>1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J186">
            <v>1</v>
          </cell>
          <cell r="K186">
            <v>1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P186">
            <v>0</v>
          </cell>
          <cell r="Q186">
            <v>1</v>
          </cell>
          <cell r="R186">
            <v>1</v>
          </cell>
          <cell r="S186">
            <v>1</v>
          </cell>
          <cell r="T186">
            <v>0</v>
          </cell>
          <cell r="U186">
            <v>1</v>
          </cell>
        </row>
        <row r="187">
          <cell r="A187" t="str">
            <v>J12046</v>
          </cell>
          <cell r="B187">
            <v>2</v>
          </cell>
          <cell r="C187">
            <v>2</v>
          </cell>
          <cell r="D187">
            <v>2</v>
          </cell>
          <cell r="E187">
            <v>2</v>
          </cell>
          <cell r="F187">
            <v>2</v>
          </cell>
          <cell r="G187">
            <v>2</v>
          </cell>
          <cell r="H187">
            <v>2</v>
          </cell>
          <cell r="I187">
            <v>2</v>
          </cell>
          <cell r="J187">
            <v>2</v>
          </cell>
          <cell r="K187">
            <v>2</v>
          </cell>
          <cell r="L187">
            <v>2</v>
          </cell>
          <cell r="M187">
            <v>2</v>
          </cell>
          <cell r="N187">
            <v>2</v>
          </cell>
          <cell r="O187">
            <v>2</v>
          </cell>
          <cell r="P187">
            <v>0</v>
          </cell>
          <cell r="Q187">
            <v>2</v>
          </cell>
          <cell r="R187">
            <v>2</v>
          </cell>
          <cell r="S187">
            <v>2</v>
          </cell>
          <cell r="T187">
            <v>0</v>
          </cell>
          <cell r="U187">
            <v>2</v>
          </cell>
        </row>
        <row r="188">
          <cell r="A188" t="str">
            <v>J12047</v>
          </cell>
          <cell r="B188">
            <v>3</v>
          </cell>
          <cell r="C188">
            <v>3</v>
          </cell>
          <cell r="D188">
            <v>3</v>
          </cell>
          <cell r="E188">
            <v>0</v>
          </cell>
          <cell r="F188">
            <v>3</v>
          </cell>
          <cell r="G188">
            <v>0</v>
          </cell>
          <cell r="H188">
            <v>3</v>
          </cell>
          <cell r="I188">
            <v>3</v>
          </cell>
          <cell r="J188">
            <v>3</v>
          </cell>
          <cell r="K188">
            <v>3</v>
          </cell>
          <cell r="L188">
            <v>3</v>
          </cell>
          <cell r="M188">
            <v>0</v>
          </cell>
          <cell r="N188">
            <v>3</v>
          </cell>
          <cell r="O188">
            <v>0</v>
          </cell>
          <cell r="P188">
            <v>0</v>
          </cell>
          <cell r="Q188">
            <v>3</v>
          </cell>
          <cell r="R188">
            <v>3</v>
          </cell>
          <cell r="S188">
            <v>3</v>
          </cell>
          <cell r="T188">
            <v>0</v>
          </cell>
          <cell r="U188">
            <v>0</v>
          </cell>
        </row>
        <row r="189">
          <cell r="A189" t="str">
            <v>J13001</v>
          </cell>
          <cell r="B189">
            <v>3</v>
          </cell>
          <cell r="C189">
            <v>3</v>
          </cell>
          <cell r="D189">
            <v>3</v>
          </cell>
          <cell r="E189">
            <v>0</v>
          </cell>
          <cell r="F189">
            <v>3</v>
          </cell>
          <cell r="G189">
            <v>0</v>
          </cell>
          <cell r="H189">
            <v>3</v>
          </cell>
          <cell r="I189">
            <v>3</v>
          </cell>
          <cell r="J189">
            <v>3</v>
          </cell>
          <cell r="K189">
            <v>3</v>
          </cell>
          <cell r="L189">
            <v>3</v>
          </cell>
          <cell r="M189">
            <v>0</v>
          </cell>
          <cell r="N189">
            <v>3</v>
          </cell>
          <cell r="O189">
            <v>0</v>
          </cell>
          <cell r="P189">
            <v>3</v>
          </cell>
          <cell r="Q189">
            <v>3</v>
          </cell>
          <cell r="R189">
            <v>3</v>
          </cell>
          <cell r="S189">
            <v>3</v>
          </cell>
          <cell r="T189">
            <v>3</v>
          </cell>
          <cell r="U189">
            <v>0</v>
          </cell>
        </row>
        <row r="190">
          <cell r="A190" t="str">
            <v>J13002</v>
          </cell>
          <cell r="B190">
            <v>7</v>
          </cell>
          <cell r="C190">
            <v>3</v>
          </cell>
          <cell r="D190">
            <v>3</v>
          </cell>
          <cell r="E190">
            <v>3</v>
          </cell>
          <cell r="F190">
            <v>7</v>
          </cell>
          <cell r="G190">
            <v>4</v>
          </cell>
          <cell r="H190">
            <v>6</v>
          </cell>
          <cell r="I190">
            <v>7</v>
          </cell>
          <cell r="J190">
            <v>2</v>
          </cell>
          <cell r="K190">
            <v>7</v>
          </cell>
          <cell r="L190">
            <v>5</v>
          </cell>
          <cell r="M190">
            <v>4</v>
          </cell>
          <cell r="N190">
            <v>2</v>
          </cell>
          <cell r="O190">
            <v>1</v>
          </cell>
          <cell r="P190">
            <v>0</v>
          </cell>
          <cell r="Q190">
            <v>3</v>
          </cell>
          <cell r="R190">
            <v>7</v>
          </cell>
          <cell r="S190">
            <v>4</v>
          </cell>
          <cell r="T190">
            <v>0</v>
          </cell>
          <cell r="U190">
            <v>1</v>
          </cell>
        </row>
        <row r="191">
          <cell r="A191" t="str">
            <v>J13005</v>
          </cell>
          <cell r="B191">
            <v>8</v>
          </cell>
          <cell r="C191">
            <v>4</v>
          </cell>
          <cell r="D191">
            <v>4</v>
          </cell>
          <cell r="E191">
            <v>3</v>
          </cell>
          <cell r="F191">
            <v>8</v>
          </cell>
          <cell r="G191">
            <v>4</v>
          </cell>
          <cell r="H191">
            <v>7</v>
          </cell>
          <cell r="I191">
            <v>8</v>
          </cell>
          <cell r="J191">
            <v>3</v>
          </cell>
          <cell r="K191">
            <v>8</v>
          </cell>
          <cell r="L191">
            <v>6</v>
          </cell>
          <cell r="M191">
            <v>4</v>
          </cell>
          <cell r="N191">
            <v>3</v>
          </cell>
          <cell r="O191">
            <v>1</v>
          </cell>
          <cell r="P191">
            <v>3</v>
          </cell>
          <cell r="Q191">
            <v>2</v>
          </cell>
          <cell r="R191">
            <v>6</v>
          </cell>
          <cell r="S191">
            <v>5</v>
          </cell>
          <cell r="T191">
            <v>3</v>
          </cell>
          <cell r="U191">
            <v>1</v>
          </cell>
        </row>
        <row r="192">
          <cell r="A192" t="str">
            <v>J13006</v>
          </cell>
          <cell r="B192">
            <v>12</v>
          </cell>
          <cell r="C192">
            <v>8</v>
          </cell>
          <cell r="D192">
            <v>8</v>
          </cell>
          <cell r="E192">
            <v>5</v>
          </cell>
          <cell r="F192">
            <v>12</v>
          </cell>
          <cell r="G192">
            <v>6</v>
          </cell>
          <cell r="H192">
            <v>7</v>
          </cell>
          <cell r="I192">
            <v>12</v>
          </cell>
          <cell r="J192">
            <v>7</v>
          </cell>
          <cell r="K192">
            <v>8</v>
          </cell>
          <cell r="L192">
            <v>6</v>
          </cell>
          <cell r="M192">
            <v>4</v>
          </cell>
          <cell r="N192">
            <v>3</v>
          </cell>
          <cell r="O192">
            <v>1</v>
          </cell>
          <cell r="P192">
            <v>4</v>
          </cell>
          <cell r="Q192">
            <v>2</v>
          </cell>
          <cell r="R192">
            <v>6</v>
          </cell>
          <cell r="S192">
            <v>5</v>
          </cell>
          <cell r="T192">
            <v>3</v>
          </cell>
          <cell r="U192">
            <v>3</v>
          </cell>
        </row>
        <row r="193">
          <cell r="A193" t="str">
            <v>J13007</v>
          </cell>
          <cell r="B193">
            <v>12</v>
          </cell>
          <cell r="C193">
            <v>8</v>
          </cell>
          <cell r="D193">
            <v>8</v>
          </cell>
          <cell r="E193">
            <v>5</v>
          </cell>
          <cell r="F193">
            <v>12</v>
          </cell>
          <cell r="G193">
            <v>6</v>
          </cell>
          <cell r="H193">
            <v>11</v>
          </cell>
          <cell r="I193">
            <v>12</v>
          </cell>
          <cell r="J193">
            <v>7</v>
          </cell>
          <cell r="K193">
            <v>12</v>
          </cell>
          <cell r="L193">
            <v>10</v>
          </cell>
          <cell r="M193">
            <v>4</v>
          </cell>
          <cell r="N193">
            <v>7</v>
          </cell>
          <cell r="O193">
            <v>3</v>
          </cell>
          <cell r="P193">
            <v>8</v>
          </cell>
          <cell r="Q193">
            <v>8</v>
          </cell>
          <cell r="R193">
            <v>12</v>
          </cell>
          <cell r="S193">
            <v>9</v>
          </cell>
          <cell r="T193">
            <v>6</v>
          </cell>
          <cell r="U193">
            <v>3</v>
          </cell>
        </row>
        <row r="194">
          <cell r="A194" t="str">
            <v>J13008</v>
          </cell>
          <cell r="B194">
            <v>2</v>
          </cell>
          <cell r="C194">
            <v>2</v>
          </cell>
          <cell r="D194">
            <v>2</v>
          </cell>
          <cell r="E194">
            <v>0</v>
          </cell>
          <cell r="F194">
            <v>2</v>
          </cell>
          <cell r="G194">
            <v>0</v>
          </cell>
          <cell r="H194">
            <v>2</v>
          </cell>
          <cell r="I194">
            <v>2</v>
          </cell>
          <cell r="J194">
            <v>2</v>
          </cell>
          <cell r="K194">
            <v>2</v>
          </cell>
          <cell r="L194">
            <v>2</v>
          </cell>
          <cell r="M194">
            <v>0</v>
          </cell>
          <cell r="N194">
            <v>2</v>
          </cell>
          <cell r="O194">
            <v>0</v>
          </cell>
          <cell r="P194">
            <v>3</v>
          </cell>
          <cell r="Q194">
            <v>2</v>
          </cell>
          <cell r="R194">
            <v>2</v>
          </cell>
          <cell r="S194">
            <v>2</v>
          </cell>
          <cell r="T194">
            <v>3</v>
          </cell>
          <cell r="U194">
            <v>0</v>
          </cell>
        </row>
        <row r="195">
          <cell r="A195" t="str">
            <v>J13023</v>
          </cell>
          <cell r="B195">
            <v>6</v>
          </cell>
          <cell r="C195">
            <v>2</v>
          </cell>
          <cell r="D195">
            <v>2</v>
          </cell>
          <cell r="E195">
            <v>3</v>
          </cell>
          <cell r="F195">
            <v>6</v>
          </cell>
          <cell r="G195">
            <v>4</v>
          </cell>
          <cell r="H195">
            <v>7</v>
          </cell>
          <cell r="I195">
            <v>6</v>
          </cell>
          <cell r="J195">
            <v>1</v>
          </cell>
          <cell r="K195">
            <v>8</v>
          </cell>
          <cell r="L195">
            <v>6</v>
          </cell>
          <cell r="M195">
            <v>4</v>
          </cell>
          <cell r="N195">
            <v>3</v>
          </cell>
          <cell r="O195">
            <v>3</v>
          </cell>
          <cell r="P195">
            <v>2</v>
          </cell>
          <cell r="Q195">
            <v>4</v>
          </cell>
          <cell r="R195">
            <v>8</v>
          </cell>
          <cell r="S195">
            <v>5</v>
          </cell>
          <cell r="T195">
            <v>2</v>
          </cell>
          <cell r="U195">
            <v>1</v>
          </cell>
        </row>
        <row r="196">
          <cell r="A196" t="str">
            <v>J13026C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1</v>
          </cell>
          <cell r="R196">
            <v>2</v>
          </cell>
          <cell r="S196">
            <v>1</v>
          </cell>
          <cell r="T196">
            <v>0</v>
          </cell>
          <cell r="U196">
            <v>0</v>
          </cell>
        </row>
        <row r="197">
          <cell r="A197" t="str">
            <v>J13027</v>
          </cell>
          <cell r="B197">
            <v>4</v>
          </cell>
          <cell r="C197">
            <v>1</v>
          </cell>
          <cell r="D197">
            <v>1</v>
          </cell>
          <cell r="E197">
            <v>2</v>
          </cell>
          <cell r="F197">
            <v>4</v>
          </cell>
          <cell r="G197">
            <v>3</v>
          </cell>
          <cell r="H197">
            <v>4</v>
          </cell>
          <cell r="I197">
            <v>4</v>
          </cell>
          <cell r="J197">
            <v>1</v>
          </cell>
          <cell r="K197">
            <v>4</v>
          </cell>
          <cell r="L197">
            <v>3</v>
          </cell>
          <cell r="M197">
            <v>3</v>
          </cell>
          <cell r="N197">
            <v>1</v>
          </cell>
          <cell r="O197">
            <v>1</v>
          </cell>
          <cell r="P197">
            <v>0</v>
          </cell>
          <cell r="Q197">
            <v>1</v>
          </cell>
          <cell r="R197">
            <v>4</v>
          </cell>
          <cell r="S197">
            <v>2</v>
          </cell>
          <cell r="T197">
            <v>0</v>
          </cell>
          <cell r="U197">
            <v>1</v>
          </cell>
        </row>
        <row r="198">
          <cell r="A198" t="str">
            <v>J13028</v>
          </cell>
          <cell r="B198">
            <v>6</v>
          </cell>
          <cell r="C198">
            <v>2</v>
          </cell>
          <cell r="D198">
            <v>2</v>
          </cell>
          <cell r="E198">
            <v>3</v>
          </cell>
          <cell r="F198">
            <v>6</v>
          </cell>
          <cell r="G198">
            <v>4</v>
          </cell>
          <cell r="H198">
            <v>5</v>
          </cell>
          <cell r="I198">
            <v>6</v>
          </cell>
          <cell r="J198">
            <v>1</v>
          </cell>
          <cell r="K198">
            <v>6</v>
          </cell>
          <cell r="L198">
            <v>4</v>
          </cell>
          <cell r="M198">
            <v>4</v>
          </cell>
          <cell r="N198">
            <v>1</v>
          </cell>
          <cell r="O198">
            <v>1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1</v>
          </cell>
        </row>
        <row r="199">
          <cell r="A199" t="str">
            <v>J13028C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2</v>
          </cell>
          <cell r="R199">
            <v>6</v>
          </cell>
          <cell r="S199">
            <v>3</v>
          </cell>
          <cell r="T199">
            <v>0</v>
          </cell>
          <cell r="U199">
            <v>0</v>
          </cell>
        </row>
        <row r="200">
          <cell r="A200" t="str">
            <v>J13031B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1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A201" t="str">
            <v>J13032</v>
          </cell>
          <cell r="B201">
            <v>2</v>
          </cell>
          <cell r="C201">
            <v>2</v>
          </cell>
          <cell r="D201">
            <v>2</v>
          </cell>
          <cell r="E201">
            <v>2</v>
          </cell>
          <cell r="F201">
            <v>2</v>
          </cell>
          <cell r="G201">
            <v>2</v>
          </cell>
          <cell r="H201">
            <v>2</v>
          </cell>
          <cell r="I201">
            <v>2</v>
          </cell>
          <cell r="J201">
            <v>2</v>
          </cell>
          <cell r="K201">
            <v>2</v>
          </cell>
          <cell r="L201">
            <v>2</v>
          </cell>
          <cell r="M201">
            <v>2</v>
          </cell>
          <cell r="N201">
            <v>2</v>
          </cell>
          <cell r="O201">
            <v>2</v>
          </cell>
          <cell r="P201">
            <v>0</v>
          </cell>
          <cell r="Q201">
            <v>2</v>
          </cell>
          <cell r="R201">
            <v>2</v>
          </cell>
          <cell r="S201">
            <v>2</v>
          </cell>
          <cell r="T201">
            <v>0</v>
          </cell>
          <cell r="U201">
            <v>2</v>
          </cell>
        </row>
        <row r="202">
          <cell r="A202" t="str">
            <v>J13033</v>
          </cell>
          <cell r="B202">
            <v>1</v>
          </cell>
          <cell r="C202">
            <v>1</v>
          </cell>
          <cell r="D202">
            <v>1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0</v>
          </cell>
          <cell r="N202">
            <v>1</v>
          </cell>
          <cell r="O202">
            <v>0</v>
          </cell>
          <cell r="P202">
            <v>2</v>
          </cell>
          <cell r="Q202">
            <v>1</v>
          </cell>
          <cell r="R202">
            <v>1</v>
          </cell>
          <cell r="S202">
            <v>1</v>
          </cell>
          <cell r="T202">
            <v>2</v>
          </cell>
          <cell r="U202">
            <v>1</v>
          </cell>
        </row>
        <row r="203">
          <cell r="A203" t="str">
            <v>J13034</v>
          </cell>
          <cell r="B203">
            <v>2</v>
          </cell>
          <cell r="C203">
            <v>2</v>
          </cell>
          <cell r="D203">
            <v>2</v>
          </cell>
          <cell r="E203">
            <v>0</v>
          </cell>
          <cell r="F203">
            <v>2</v>
          </cell>
          <cell r="G203">
            <v>0</v>
          </cell>
          <cell r="H203">
            <v>3</v>
          </cell>
          <cell r="I203">
            <v>2</v>
          </cell>
          <cell r="J203">
            <v>2</v>
          </cell>
          <cell r="K203">
            <v>3</v>
          </cell>
          <cell r="L203">
            <v>3</v>
          </cell>
          <cell r="M203">
            <v>0</v>
          </cell>
          <cell r="N203">
            <v>3</v>
          </cell>
          <cell r="O203">
            <v>0</v>
          </cell>
          <cell r="P203">
            <v>2</v>
          </cell>
          <cell r="Q203">
            <v>3</v>
          </cell>
          <cell r="R203">
            <v>3</v>
          </cell>
          <cell r="S203">
            <v>3</v>
          </cell>
          <cell r="T203">
            <v>2</v>
          </cell>
          <cell r="U203">
            <v>0</v>
          </cell>
        </row>
        <row r="204">
          <cell r="A204" t="str">
            <v>J13035A</v>
          </cell>
          <cell r="B204">
            <v>2</v>
          </cell>
          <cell r="C204">
            <v>2</v>
          </cell>
          <cell r="D204">
            <v>2</v>
          </cell>
          <cell r="E204">
            <v>0</v>
          </cell>
          <cell r="F204">
            <v>2</v>
          </cell>
          <cell r="G204">
            <v>0</v>
          </cell>
          <cell r="H204">
            <v>0</v>
          </cell>
          <cell r="I204">
            <v>2</v>
          </cell>
          <cell r="J204">
            <v>2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</row>
        <row r="205">
          <cell r="A205" t="str">
            <v>J13035B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2</v>
          </cell>
          <cell r="I205">
            <v>0</v>
          </cell>
          <cell r="J205">
            <v>0</v>
          </cell>
          <cell r="K205">
            <v>2</v>
          </cell>
          <cell r="L205">
            <v>2</v>
          </cell>
          <cell r="M205">
            <v>0</v>
          </cell>
          <cell r="N205">
            <v>2</v>
          </cell>
          <cell r="O205">
            <v>0</v>
          </cell>
          <cell r="P205">
            <v>2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</row>
        <row r="206">
          <cell r="A206" t="str">
            <v>J13035C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2</v>
          </cell>
          <cell r="R206">
            <v>2</v>
          </cell>
          <cell r="S206">
            <v>2</v>
          </cell>
          <cell r="T206">
            <v>1</v>
          </cell>
          <cell r="U206">
            <v>0</v>
          </cell>
        </row>
        <row r="207">
          <cell r="A207" t="str">
            <v>J13036A</v>
          </cell>
          <cell r="B207">
            <v>2</v>
          </cell>
          <cell r="C207">
            <v>2</v>
          </cell>
          <cell r="D207">
            <v>2</v>
          </cell>
          <cell r="E207">
            <v>0</v>
          </cell>
          <cell r="F207">
            <v>2</v>
          </cell>
          <cell r="G207">
            <v>0</v>
          </cell>
          <cell r="H207">
            <v>0</v>
          </cell>
          <cell r="I207">
            <v>2</v>
          </cell>
          <cell r="J207">
            <v>2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</row>
        <row r="208">
          <cell r="A208" t="str">
            <v>J13036B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2</v>
          </cell>
          <cell r="I208">
            <v>0</v>
          </cell>
          <cell r="J208">
            <v>0</v>
          </cell>
          <cell r="K208">
            <v>2</v>
          </cell>
          <cell r="L208">
            <v>2</v>
          </cell>
          <cell r="M208">
            <v>0</v>
          </cell>
          <cell r="N208">
            <v>2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</row>
        <row r="209">
          <cell r="A209" t="str">
            <v>J13036C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2</v>
          </cell>
          <cell r="T209">
            <v>1</v>
          </cell>
          <cell r="U209">
            <v>0</v>
          </cell>
        </row>
        <row r="210">
          <cell r="A210" t="str">
            <v>J13037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7</v>
          </cell>
          <cell r="U210">
            <v>0</v>
          </cell>
        </row>
        <row r="211">
          <cell r="A211" t="str">
            <v>J13038</v>
          </cell>
          <cell r="B211">
            <v>2</v>
          </cell>
          <cell r="C211">
            <v>1</v>
          </cell>
          <cell r="D211">
            <v>1</v>
          </cell>
          <cell r="E211">
            <v>2</v>
          </cell>
          <cell r="F211">
            <v>2</v>
          </cell>
          <cell r="G211">
            <v>2</v>
          </cell>
          <cell r="H211">
            <v>2</v>
          </cell>
          <cell r="I211">
            <v>2</v>
          </cell>
          <cell r="J211">
            <v>1</v>
          </cell>
          <cell r="K211">
            <v>2</v>
          </cell>
          <cell r="L211">
            <v>2</v>
          </cell>
          <cell r="M211">
            <v>2</v>
          </cell>
          <cell r="N211">
            <v>1</v>
          </cell>
          <cell r="O211">
            <v>1</v>
          </cell>
          <cell r="P211">
            <v>0</v>
          </cell>
          <cell r="Q211">
            <v>1</v>
          </cell>
          <cell r="R211">
            <v>2</v>
          </cell>
          <cell r="S211">
            <v>2</v>
          </cell>
          <cell r="T211">
            <v>0</v>
          </cell>
          <cell r="U211">
            <v>1</v>
          </cell>
        </row>
        <row r="212">
          <cell r="A212" t="str">
            <v>J13039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5</v>
          </cell>
          <cell r="I212">
            <v>0</v>
          </cell>
          <cell r="J212">
            <v>0</v>
          </cell>
          <cell r="K212">
            <v>6</v>
          </cell>
          <cell r="L212">
            <v>4</v>
          </cell>
          <cell r="M212">
            <v>4</v>
          </cell>
          <cell r="N212">
            <v>1</v>
          </cell>
          <cell r="O212">
            <v>1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</row>
        <row r="213">
          <cell r="A213" t="str">
            <v>J13040</v>
          </cell>
          <cell r="B213">
            <v>2</v>
          </cell>
          <cell r="C213">
            <v>2</v>
          </cell>
          <cell r="D213">
            <v>2</v>
          </cell>
          <cell r="E213">
            <v>0</v>
          </cell>
          <cell r="F213">
            <v>2</v>
          </cell>
          <cell r="G213">
            <v>0</v>
          </cell>
          <cell r="H213">
            <v>2</v>
          </cell>
          <cell r="I213">
            <v>2</v>
          </cell>
          <cell r="J213">
            <v>2</v>
          </cell>
          <cell r="K213">
            <v>2</v>
          </cell>
          <cell r="L213">
            <v>2</v>
          </cell>
          <cell r="M213">
            <v>0</v>
          </cell>
          <cell r="N213">
            <v>2</v>
          </cell>
          <cell r="O213">
            <v>0</v>
          </cell>
          <cell r="P213">
            <v>2</v>
          </cell>
          <cell r="Q213">
            <v>2</v>
          </cell>
          <cell r="R213">
            <v>2</v>
          </cell>
          <cell r="S213">
            <v>2</v>
          </cell>
          <cell r="T213">
            <v>2</v>
          </cell>
          <cell r="U213">
            <v>0</v>
          </cell>
        </row>
        <row r="214">
          <cell r="A214" t="str">
            <v>J13041</v>
          </cell>
          <cell r="B214">
            <v>2</v>
          </cell>
          <cell r="C214">
            <v>1</v>
          </cell>
          <cell r="D214">
            <v>1</v>
          </cell>
          <cell r="E214">
            <v>1</v>
          </cell>
          <cell r="F214">
            <v>2</v>
          </cell>
          <cell r="G214">
            <v>2</v>
          </cell>
          <cell r="H214">
            <v>0</v>
          </cell>
          <cell r="I214">
            <v>2</v>
          </cell>
          <cell r="J214">
            <v>1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1</v>
          </cell>
        </row>
        <row r="215">
          <cell r="A215" t="str">
            <v>J13042B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2</v>
          </cell>
          <cell r="I215">
            <v>0</v>
          </cell>
          <cell r="J215">
            <v>0</v>
          </cell>
          <cell r="K215">
            <v>2</v>
          </cell>
          <cell r="L215">
            <v>2</v>
          </cell>
          <cell r="M215">
            <v>2</v>
          </cell>
          <cell r="N215">
            <v>1</v>
          </cell>
          <cell r="O215">
            <v>1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</row>
        <row r="216">
          <cell r="A216" t="str">
            <v>J13042C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</v>
          </cell>
          <cell r="R216">
            <v>2</v>
          </cell>
          <cell r="S216">
            <v>1</v>
          </cell>
          <cell r="T216">
            <v>0</v>
          </cell>
          <cell r="U216">
            <v>0</v>
          </cell>
        </row>
        <row r="217">
          <cell r="A217" t="str">
            <v>J13043</v>
          </cell>
          <cell r="B217">
            <v>2</v>
          </cell>
          <cell r="C217">
            <v>2</v>
          </cell>
          <cell r="D217">
            <v>2</v>
          </cell>
          <cell r="E217">
            <v>2</v>
          </cell>
          <cell r="F217">
            <v>2</v>
          </cell>
          <cell r="G217">
            <v>2</v>
          </cell>
          <cell r="H217">
            <v>2</v>
          </cell>
          <cell r="I217">
            <v>2</v>
          </cell>
          <cell r="J217">
            <v>2</v>
          </cell>
          <cell r="K217">
            <v>2</v>
          </cell>
          <cell r="L217">
            <v>2</v>
          </cell>
          <cell r="M217">
            <v>2</v>
          </cell>
          <cell r="N217">
            <v>2</v>
          </cell>
          <cell r="O217">
            <v>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2</v>
          </cell>
        </row>
        <row r="218">
          <cell r="A218" t="str">
            <v>J13044</v>
          </cell>
          <cell r="B218">
            <v>3</v>
          </cell>
          <cell r="C218">
            <v>3</v>
          </cell>
          <cell r="D218">
            <v>3</v>
          </cell>
          <cell r="E218">
            <v>0</v>
          </cell>
          <cell r="F218">
            <v>3</v>
          </cell>
          <cell r="G218">
            <v>0</v>
          </cell>
          <cell r="H218">
            <v>3</v>
          </cell>
          <cell r="I218">
            <v>3</v>
          </cell>
          <cell r="J218">
            <v>2</v>
          </cell>
          <cell r="K218">
            <v>3</v>
          </cell>
          <cell r="L218">
            <v>3</v>
          </cell>
          <cell r="M218">
            <v>0</v>
          </cell>
          <cell r="N218">
            <v>3</v>
          </cell>
          <cell r="O218">
            <v>0</v>
          </cell>
          <cell r="P218">
            <v>3</v>
          </cell>
          <cell r="Q218">
            <v>3</v>
          </cell>
          <cell r="R218">
            <v>3</v>
          </cell>
          <cell r="S218">
            <v>3</v>
          </cell>
          <cell r="T218">
            <v>3</v>
          </cell>
          <cell r="U218">
            <v>0</v>
          </cell>
        </row>
        <row r="219">
          <cell r="A219" t="str">
            <v>J13045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2</v>
          </cell>
          <cell r="R219">
            <v>5</v>
          </cell>
          <cell r="S219">
            <v>3</v>
          </cell>
          <cell r="T219">
            <v>0</v>
          </cell>
          <cell r="U219">
            <v>0</v>
          </cell>
        </row>
        <row r="220">
          <cell r="A220" t="str">
            <v>J13045-W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</row>
        <row r="221">
          <cell r="A221" t="str">
            <v>J13046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2</v>
          </cell>
          <cell r="U221">
            <v>0</v>
          </cell>
        </row>
        <row r="222">
          <cell r="A222" t="str">
            <v>J13048</v>
          </cell>
          <cell r="B222">
            <v>4</v>
          </cell>
          <cell r="C222">
            <v>1</v>
          </cell>
          <cell r="D222">
            <v>1</v>
          </cell>
          <cell r="E222">
            <v>2</v>
          </cell>
          <cell r="F222">
            <v>4</v>
          </cell>
          <cell r="G222">
            <v>3</v>
          </cell>
          <cell r="H222">
            <v>4</v>
          </cell>
          <cell r="I222">
            <v>4</v>
          </cell>
          <cell r="J222">
            <v>1</v>
          </cell>
          <cell r="K222">
            <v>4</v>
          </cell>
          <cell r="L222">
            <v>3</v>
          </cell>
          <cell r="M222">
            <v>3</v>
          </cell>
          <cell r="N222">
            <v>1</v>
          </cell>
          <cell r="O222">
            <v>1</v>
          </cell>
          <cell r="P222">
            <v>0</v>
          </cell>
          <cell r="Q222">
            <v>1</v>
          </cell>
          <cell r="R222">
            <v>4</v>
          </cell>
          <cell r="S222">
            <v>2</v>
          </cell>
          <cell r="T222">
            <v>0</v>
          </cell>
          <cell r="U222">
            <v>1</v>
          </cell>
        </row>
        <row r="223">
          <cell r="A223" t="str">
            <v>J13049</v>
          </cell>
          <cell r="B223">
            <v>12</v>
          </cell>
          <cell r="C223">
            <v>8</v>
          </cell>
          <cell r="D223">
            <v>8</v>
          </cell>
          <cell r="E223">
            <v>5</v>
          </cell>
          <cell r="F223">
            <v>12</v>
          </cell>
          <cell r="G223">
            <v>6</v>
          </cell>
          <cell r="H223">
            <v>11</v>
          </cell>
          <cell r="I223">
            <v>12</v>
          </cell>
          <cell r="J223">
            <v>7</v>
          </cell>
          <cell r="K223">
            <v>12</v>
          </cell>
          <cell r="L223">
            <v>10</v>
          </cell>
          <cell r="M223">
            <v>4</v>
          </cell>
          <cell r="N223">
            <v>7</v>
          </cell>
          <cell r="O223">
            <v>3</v>
          </cell>
          <cell r="P223">
            <v>0</v>
          </cell>
          <cell r="Q223">
            <v>8</v>
          </cell>
          <cell r="R223">
            <v>12</v>
          </cell>
          <cell r="S223">
            <v>9</v>
          </cell>
          <cell r="T223">
            <v>0</v>
          </cell>
          <cell r="U223">
            <v>3</v>
          </cell>
        </row>
        <row r="224">
          <cell r="A224" t="str">
            <v>J13050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3</v>
          </cell>
          <cell r="R224">
            <v>7</v>
          </cell>
          <cell r="S224">
            <v>4</v>
          </cell>
          <cell r="T224">
            <v>0</v>
          </cell>
          <cell r="U224">
            <v>0</v>
          </cell>
        </row>
        <row r="225">
          <cell r="A225" t="str">
            <v>J13051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2</v>
          </cell>
          <cell r="R225">
            <v>2</v>
          </cell>
          <cell r="S225">
            <v>2</v>
          </cell>
          <cell r="T225">
            <v>0</v>
          </cell>
          <cell r="U225">
            <v>0</v>
          </cell>
        </row>
        <row r="226">
          <cell r="A226" t="str">
            <v>J14011</v>
          </cell>
          <cell r="B226">
            <v>4</v>
          </cell>
          <cell r="C226">
            <v>2</v>
          </cell>
          <cell r="D226">
            <v>2</v>
          </cell>
          <cell r="E226">
            <v>3</v>
          </cell>
          <cell r="F226">
            <v>4</v>
          </cell>
          <cell r="G226">
            <v>4</v>
          </cell>
          <cell r="H226">
            <v>0</v>
          </cell>
          <cell r="I226">
            <v>4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</row>
        <row r="227">
          <cell r="A227" t="str">
            <v>J14011B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4</v>
          </cell>
          <cell r="I227">
            <v>0</v>
          </cell>
          <cell r="J227">
            <v>0</v>
          </cell>
          <cell r="K227">
            <v>4</v>
          </cell>
          <cell r="L227">
            <v>4</v>
          </cell>
          <cell r="M227">
            <v>4</v>
          </cell>
          <cell r="N227">
            <v>1</v>
          </cell>
          <cell r="O227">
            <v>1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</row>
        <row r="228">
          <cell r="A228" t="str">
            <v>J14011C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2</v>
          </cell>
          <cell r="R228">
            <v>4</v>
          </cell>
          <cell r="S228">
            <v>3</v>
          </cell>
          <cell r="T228">
            <v>0</v>
          </cell>
          <cell r="U228">
            <v>0</v>
          </cell>
        </row>
        <row r="229">
          <cell r="A229" t="str">
            <v>J14012</v>
          </cell>
          <cell r="B229">
            <v>1</v>
          </cell>
          <cell r="C229">
            <v>1</v>
          </cell>
          <cell r="D229">
            <v>1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0</v>
          </cell>
          <cell r="Q229">
            <v>1</v>
          </cell>
          <cell r="R229">
            <v>1</v>
          </cell>
          <cell r="S229">
            <v>1</v>
          </cell>
          <cell r="T229">
            <v>0</v>
          </cell>
          <cell r="U229">
            <v>1</v>
          </cell>
        </row>
        <row r="230">
          <cell r="A230" t="str">
            <v>J14013C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2</v>
          </cell>
          <cell r="R230">
            <v>2</v>
          </cell>
          <cell r="S230">
            <v>2</v>
          </cell>
          <cell r="T230">
            <v>0</v>
          </cell>
          <cell r="U230">
            <v>0</v>
          </cell>
        </row>
        <row r="231">
          <cell r="A231" t="str">
            <v>J14014</v>
          </cell>
          <cell r="B231">
            <v>2</v>
          </cell>
          <cell r="C231">
            <v>1</v>
          </cell>
          <cell r="D231">
            <v>1</v>
          </cell>
          <cell r="E231">
            <v>1</v>
          </cell>
          <cell r="F231">
            <v>2</v>
          </cell>
          <cell r="G231">
            <v>2</v>
          </cell>
          <cell r="H231">
            <v>1</v>
          </cell>
          <cell r="I231">
            <v>2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0</v>
          </cell>
          <cell r="Q231">
            <v>1</v>
          </cell>
          <cell r="R231">
            <v>1</v>
          </cell>
          <cell r="S231">
            <v>1</v>
          </cell>
          <cell r="T231">
            <v>0</v>
          </cell>
          <cell r="U231">
            <v>1</v>
          </cell>
        </row>
        <row r="232">
          <cell r="A232" t="str">
            <v>J14015</v>
          </cell>
          <cell r="B232">
            <v>2</v>
          </cell>
          <cell r="C232">
            <v>1</v>
          </cell>
          <cell r="D232">
            <v>1</v>
          </cell>
          <cell r="E232">
            <v>1</v>
          </cell>
          <cell r="F232">
            <v>2</v>
          </cell>
          <cell r="G232">
            <v>2</v>
          </cell>
          <cell r="H232">
            <v>1</v>
          </cell>
          <cell r="I232">
            <v>2</v>
          </cell>
          <cell r="J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0</v>
          </cell>
          <cell r="Q232">
            <v>1</v>
          </cell>
          <cell r="R232">
            <v>1</v>
          </cell>
          <cell r="S232">
            <v>1</v>
          </cell>
          <cell r="T232">
            <v>0</v>
          </cell>
          <cell r="U232">
            <v>1</v>
          </cell>
        </row>
        <row r="233">
          <cell r="A233" t="str">
            <v>J14019A</v>
          </cell>
          <cell r="B233">
            <v>2</v>
          </cell>
          <cell r="C233">
            <v>2</v>
          </cell>
          <cell r="D233">
            <v>2</v>
          </cell>
          <cell r="E233">
            <v>2</v>
          </cell>
          <cell r="F233">
            <v>2</v>
          </cell>
          <cell r="G233">
            <v>2</v>
          </cell>
          <cell r="H233">
            <v>0</v>
          </cell>
          <cell r="I233">
            <v>2</v>
          </cell>
          <cell r="J233">
            <v>2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</v>
          </cell>
        </row>
        <row r="234">
          <cell r="A234" t="str">
            <v>J14019B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2</v>
          </cell>
          <cell r="I234">
            <v>0</v>
          </cell>
          <cell r="J234">
            <v>0</v>
          </cell>
          <cell r="K234">
            <v>2</v>
          </cell>
          <cell r="L234">
            <v>2</v>
          </cell>
          <cell r="M234">
            <v>2</v>
          </cell>
          <cell r="N234">
            <v>2</v>
          </cell>
          <cell r="O234">
            <v>2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</row>
        <row r="235">
          <cell r="A235" t="str">
            <v>J14019C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</v>
          </cell>
          <cell r="R235">
            <v>1</v>
          </cell>
          <cell r="S235">
            <v>1</v>
          </cell>
          <cell r="T235">
            <v>0</v>
          </cell>
          <cell r="U235">
            <v>0</v>
          </cell>
        </row>
        <row r="236">
          <cell r="A236" t="str">
            <v>J24002</v>
          </cell>
          <cell r="B236">
            <v>1</v>
          </cell>
          <cell r="C236">
            <v>1</v>
          </cell>
          <cell r="D236">
            <v>1</v>
          </cell>
          <cell r="E236">
            <v>1</v>
          </cell>
          <cell r="F236">
            <v>1</v>
          </cell>
          <cell r="G236">
            <v>1</v>
          </cell>
          <cell r="H236">
            <v>1</v>
          </cell>
          <cell r="I236">
            <v>1</v>
          </cell>
          <cell r="J236">
            <v>1</v>
          </cell>
          <cell r="K236">
            <v>1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0</v>
          </cell>
          <cell r="Q236">
            <v>1</v>
          </cell>
          <cell r="R236">
            <v>1</v>
          </cell>
          <cell r="S236">
            <v>1</v>
          </cell>
          <cell r="T236">
            <v>0</v>
          </cell>
          <cell r="U236">
            <v>1</v>
          </cell>
        </row>
        <row r="237">
          <cell r="A237" t="str">
            <v>J26001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1</v>
          </cell>
          <cell r="I237">
            <v>0</v>
          </cell>
          <cell r="J237">
            <v>0</v>
          </cell>
          <cell r="K237">
            <v>1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</row>
        <row r="238">
          <cell r="A238" t="str">
            <v>J26005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P238">
            <v>1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</row>
        <row r="239">
          <cell r="A239" t="str">
            <v>J26006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2</v>
          </cell>
          <cell r="I239">
            <v>0</v>
          </cell>
          <cell r="J239">
            <v>0</v>
          </cell>
          <cell r="K239">
            <v>2</v>
          </cell>
          <cell r="L239">
            <v>2</v>
          </cell>
          <cell r="M239">
            <v>2</v>
          </cell>
          <cell r="N239">
            <v>2</v>
          </cell>
          <cell r="O239">
            <v>2</v>
          </cell>
          <cell r="P239">
            <v>2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</row>
        <row r="240">
          <cell r="A240" t="str">
            <v>J26007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0</v>
          </cell>
          <cell r="J240">
            <v>0</v>
          </cell>
          <cell r="K240">
            <v>1</v>
          </cell>
          <cell r="L240">
            <v>1</v>
          </cell>
          <cell r="M240">
            <v>1</v>
          </cell>
          <cell r="N240">
            <v>1</v>
          </cell>
          <cell r="O240">
            <v>1</v>
          </cell>
          <cell r="P240">
            <v>1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</row>
        <row r="241">
          <cell r="A241" t="str">
            <v>J26009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1</v>
          </cell>
          <cell r="I241">
            <v>0</v>
          </cell>
          <cell r="J241">
            <v>0</v>
          </cell>
          <cell r="K241">
            <v>1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</row>
        <row r="242">
          <cell r="A242" t="str">
            <v>J26012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0</v>
          </cell>
          <cell r="J242">
            <v>0</v>
          </cell>
          <cell r="K242">
            <v>1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</row>
        <row r="243">
          <cell r="A243" t="str">
            <v>J26015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1</v>
          </cell>
          <cell r="I243">
            <v>0</v>
          </cell>
          <cell r="J243">
            <v>0</v>
          </cell>
          <cell r="K243">
            <v>1</v>
          </cell>
          <cell r="L243">
            <v>1</v>
          </cell>
          <cell r="M243">
            <v>1</v>
          </cell>
          <cell r="N243">
            <v>1</v>
          </cell>
          <cell r="O243">
            <v>1</v>
          </cell>
          <cell r="P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</row>
        <row r="244">
          <cell r="A244" t="str">
            <v>J26016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1</v>
          </cell>
          <cell r="I244">
            <v>0</v>
          </cell>
          <cell r="J244">
            <v>0</v>
          </cell>
          <cell r="K244">
            <v>1</v>
          </cell>
          <cell r="L244">
            <v>1</v>
          </cell>
          <cell r="M244">
            <v>1</v>
          </cell>
          <cell r="N244">
            <v>1</v>
          </cell>
          <cell r="O244">
            <v>1</v>
          </cell>
          <cell r="P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</row>
        <row r="245">
          <cell r="A245" t="str">
            <v>J26018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</v>
          </cell>
          <cell r="J245">
            <v>0</v>
          </cell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</row>
        <row r="246">
          <cell r="A246" t="str">
            <v>J26020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1</v>
          </cell>
          <cell r="I246">
            <v>0</v>
          </cell>
          <cell r="J246">
            <v>0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  <cell r="P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</row>
        <row r="247">
          <cell r="A247" t="str">
            <v>J26021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3</v>
          </cell>
          <cell r="I247">
            <v>0</v>
          </cell>
          <cell r="J247">
            <v>0</v>
          </cell>
          <cell r="K247">
            <v>3</v>
          </cell>
          <cell r="L247">
            <v>2</v>
          </cell>
          <cell r="M247">
            <v>2</v>
          </cell>
          <cell r="N247">
            <v>1</v>
          </cell>
          <cell r="O247">
            <v>1</v>
          </cell>
          <cell r="P247">
            <v>2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</row>
        <row r="248">
          <cell r="A248" t="str">
            <v>J26022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1</v>
          </cell>
          <cell r="I248">
            <v>0</v>
          </cell>
          <cell r="J248">
            <v>0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</row>
        <row r="249">
          <cell r="A249" t="str">
            <v>J26024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2</v>
          </cell>
          <cell r="I249">
            <v>0</v>
          </cell>
          <cell r="J249">
            <v>0</v>
          </cell>
          <cell r="K249">
            <v>2</v>
          </cell>
          <cell r="L249">
            <v>2</v>
          </cell>
          <cell r="M249">
            <v>2</v>
          </cell>
          <cell r="N249">
            <v>2</v>
          </cell>
          <cell r="O249">
            <v>2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</row>
        <row r="250">
          <cell r="A250" t="str">
            <v>J26024-W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</row>
        <row r="251">
          <cell r="A251" t="str">
            <v>J26028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2</v>
          </cell>
          <cell r="I251">
            <v>0</v>
          </cell>
          <cell r="J251">
            <v>0</v>
          </cell>
          <cell r="K251">
            <v>2</v>
          </cell>
          <cell r="L251">
            <v>2</v>
          </cell>
          <cell r="M251">
            <v>2</v>
          </cell>
          <cell r="N251">
            <v>2</v>
          </cell>
          <cell r="O251">
            <v>2</v>
          </cell>
          <cell r="P251">
            <v>2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</row>
        <row r="252">
          <cell r="A252" t="str">
            <v>J26030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1</v>
          </cell>
          <cell r="I252">
            <v>0</v>
          </cell>
          <cell r="J252">
            <v>0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</row>
        <row r="253">
          <cell r="A253" t="str">
            <v>J26031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1</v>
          </cell>
          <cell r="I253">
            <v>0</v>
          </cell>
          <cell r="J253">
            <v>0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P253">
            <v>1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</row>
        <row r="254">
          <cell r="A254" t="str">
            <v>J26033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1</v>
          </cell>
          <cell r="I254">
            <v>0</v>
          </cell>
          <cell r="J254">
            <v>0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1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</row>
        <row r="255">
          <cell r="A255" t="str">
            <v>J26034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1</v>
          </cell>
          <cell r="I255">
            <v>0</v>
          </cell>
          <cell r="J255">
            <v>0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</row>
        <row r="256">
          <cell r="A256" t="str">
            <v>J26035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</v>
          </cell>
          <cell r="J256">
            <v>0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</row>
        <row r="257">
          <cell r="A257" t="str">
            <v>J27006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</row>
        <row r="258">
          <cell r="A258" t="str">
            <v>J27007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</row>
        <row r="259">
          <cell r="A259" t="str">
            <v>J27008</v>
          </cell>
          <cell r="B259">
            <v>2</v>
          </cell>
          <cell r="C259">
            <v>1</v>
          </cell>
          <cell r="D259">
            <v>1</v>
          </cell>
          <cell r="E259">
            <v>1</v>
          </cell>
          <cell r="F259">
            <v>2</v>
          </cell>
          <cell r="G259">
            <v>2</v>
          </cell>
          <cell r="H259">
            <v>2</v>
          </cell>
          <cell r="I259">
            <v>2</v>
          </cell>
          <cell r="J259">
            <v>1</v>
          </cell>
          <cell r="K259">
            <v>2</v>
          </cell>
          <cell r="L259">
            <v>2</v>
          </cell>
          <cell r="M259">
            <v>2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2</v>
          </cell>
          <cell r="S259">
            <v>1</v>
          </cell>
          <cell r="T259">
            <v>1</v>
          </cell>
          <cell r="U259">
            <v>1</v>
          </cell>
        </row>
        <row r="260">
          <cell r="A260" t="str">
            <v>J27014</v>
          </cell>
          <cell r="B260">
            <v>3</v>
          </cell>
          <cell r="C260">
            <v>1</v>
          </cell>
          <cell r="D260">
            <v>1</v>
          </cell>
          <cell r="E260">
            <v>2</v>
          </cell>
          <cell r="F260">
            <v>3</v>
          </cell>
          <cell r="G260">
            <v>2</v>
          </cell>
          <cell r="H260">
            <v>3</v>
          </cell>
          <cell r="I260">
            <v>3</v>
          </cell>
          <cell r="J260">
            <v>1</v>
          </cell>
          <cell r="K260">
            <v>3</v>
          </cell>
          <cell r="L260">
            <v>2</v>
          </cell>
          <cell r="M260">
            <v>2</v>
          </cell>
          <cell r="N260">
            <v>1</v>
          </cell>
          <cell r="O260">
            <v>1</v>
          </cell>
          <cell r="P260">
            <v>0</v>
          </cell>
          <cell r="Q260">
            <v>1</v>
          </cell>
          <cell r="R260">
            <v>3</v>
          </cell>
          <cell r="S260">
            <v>2</v>
          </cell>
          <cell r="T260">
            <v>0</v>
          </cell>
          <cell r="U260">
            <v>1</v>
          </cell>
        </row>
        <row r="261">
          <cell r="A261" t="str">
            <v>J27017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2</v>
          </cell>
          <cell r="I261">
            <v>0</v>
          </cell>
          <cell r="J261">
            <v>0</v>
          </cell>
          <cell r="K261">
            <v>2</v>
          </cell>
          <cell r="L261">
            <v>2</v>
          </cell>
          <cell r="M261">
            <v>2</v>
          </cell>
          <cell r="N261">
            <v>1</v>
          </cell>
          <cell r="O261">
            <v>1</v>
          </cell>
          <cell r="P261">
            <v>1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</row>
        <row r="262">
          <cell r="A262" t="str">
            <v>J27018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A263" t="str">
            <v>J41001D</v>
          </cell>
          <cell r="B263">
            <v>5</v>
          </cell>
          <cell r="C263">
            <v>2</v>
          </cell>
          <cell r="D263">
            <v>2</v>
          </cell>
          <cell r="E263">
            <v>2</v>
          </cell>
          <cell r="F263">
            <v>5</v>
          </cell>
          <cell r="G263">
            <v>3</v>
          </cell>
          <cell r="H263">
            <v>5</v>
          </cell>
          <cell r="I263">
            <v>5</v>
          </cell>
          <cell r="J263">
            <v>2</v>
          </cell>
          <cell r="K263">
            <v>5</v>
          </cell>
          <cell r="L263">
            <v>4</v>
          </cell>
          <cell r="M263">
            <v>3</v>
          </cell>
          <cell r="N263">
            <v>2</v>
          </cell>
          <cell r="O263">
            <v>1</v>
          </cell>
          <cell r="P263">
            <v>2</v>
          </cell>
          <cell r="Q263">
            <v>2</v>
          </cell>
          <cell r="R263">
            <v>5</v>
          </cell>
          <cell r="S263">
            <v>3</v>
          </cell>
          <cell r="T263">
            <v>2</v>
          </cell>
          <cell r="U263">
            <v>1</v>
          </cell>
        </row>
        <row r="264">
          <cell r="A264" t="str">
            <v>J41001E</v>
          </cell>
          <cell r="B264">
            <v>5</v>
          </cell>
          <cell r="C264">
            <v>2</v>
          </cell>
          <cell r="D264">
            <v>2</v>
          </cell>
          <cell r="E264">
            <v>2</v>
          </cell>
          <cell r="F264">
            <v>5</v>
          </cell>
          <cell r="G264">
            <v>3</v>
          </cell>
          <cell r="H264">
            <v>5</v>
          </cell>
          <cell r="I264">
            <v>5</v>
          </cell>
          <cell r="J264">
            <v>2</v>
          </cell>
          <cell r="K264">
            <v>5</v>
          </cell>
          <cell r="L264">
            <v>4</v>
          </cell>
          <cell r="M264">
            <v>3</v>
          </cell>
          <cell r="N264">
            <v>2</v>
          </cell>
          <cell r="O264">
            <v>1</v>
          </cell>
          <cell r="P264">
            <v>2</v>
          </cell>
          <cell r="Q264">
            <v>2</v>
          </cell>
          <cell r="R264">
            <v>5</v>
          </cell>
          <cell r="S264">
            <v>3</v>
          </cell>
          <cell r="T264">
            <v>2</v>
          </cell>
          <cell r="U264">
            <v>1</v>
          </cell>
        </row>
        <row r="265">
          <cell r="A265" t="str">
            <v>J41002D</v>
          </cell>
          <cell r="B265">
            <v>4</v>
          </cell>
          <cell r="C265">
            <v>1</v>
          </cell>
          <cell r="D265">
            <v>1</v>
          </cell>
          <cell r="E265">
            <v>2</v>
          </cell>
          <cell r="F265">
            <v>4</v>
          </cell>
          <cell r="G265">
            <v>3</v>
          </cell>
          <cell r="H265">
            <v>4</v>
          </cell>
          <cell r="I265">
            <v>4</v>
          </cell>
          <cell r="J265">
            <v>1</v>
          </cell>
          <cell r="K265">
            <v>4</v>
          </cell>
          <cell r="L265">
            <v>3</v>
          </cell>
          <cell r="M265">
            <v>3</v>
          </cell>
          <cell r="N265">
            <v>1</v>
          </cell>
          <cell r="O265">
            <v>1</v>
          </cell>
          <cell r="P265">
            <v>2</v>
          </cell>
          <cell r="Q265">
            <v>1</v>
          </cell>
          <cell r="R265">
            <v>4</v>
          </cell>
          <cell r="S265">
            <v>2</v>
          </cell>
          <cell r="T265">
            <v>1</v>
          </cell>
          <cell r="U265">
            <v>1</v>
          </cell>
        </row>
        <row r="266">
          <cell r="A266" t="str">
            <v>J41002E</v>
          </cell>
          <cell r="B266">
            <v>4</v>
          </cell>
          <cell r="C266">
            <v>1</v>
          </cell>
          <cell r="D266">
            <v>1</v>
          </cell>
          <cell r="E266">
            <v>2</v>
          </cell>
          <cell r="F266">
            <v>4</v>
          </cell>
          <cell r="G266">
            <v>3</v>
          </cell>
          <cell r="H266">
            <v>4</v>
          </cell>
          <cell r="I266">
            <v>4</v>
          </cell>
          <cell r="J266">
            <v>1</v>
          </cell>
          <cell r="K266">
            <v>4</v>
          </cell>
          <cell r="L266">
            <v>3</v>
          </cell>
          <cell r="M266">
            <v>3</v>
          </cell>
          <cell r="N266">
            <v>1</v>
          </cell>
          <cell r="O266">
            <v>1</v>
          </cell>
          <cell r="P266">
            <v>1</v>
          </cell>
          <cell r="Q266">
            <v>1</v>
          </cell>
          <cell r="R266">
            <v>4</v>
          </cell>
          <cell r="S266">
            <v>2</v>
          </cell>
          <cell r="T266">
            <v>1</v>
          </cell>
          <cell r="U266">
            <v>1</v>
          </cell>
        </row>
        <row r="267">
          <cell r="A267" t="str">
            <v>J41002-W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A268" t="str">
            <v>J41004</v>
          </cell>
          <cell r="B268">
            <v>2</v>
          </cell>
          <cell r="C268">
            <v>2</v>
          </cell>
          <cell r="D268">
            <v>2</v>
          </cell>
          <cell r="E268">
            <v>1</v>
          </cell>
          <cell r="F268">
            <v>2</v>
          </cell>
          <cell r="G268">
            <v>1</v>
          </cell>
          <cell r="H268">
            <v>2</v>
          </cell>
          <cell r="I268">
            <v>2</v>
          </cell>
          <cell r="J268">
            <v>2</v>
          </cell>
          <cell r="K268">
            <v>2</v>
          </cell>
          <cell r="L268">
            <v>2</v>
          </cell>
          <cell r="M268">
            <v>1</v>
          </cell>
          <cell r="N268">
            <v>2</v>
          </cell>
          <cell r="O268">
            <v>1</v>
          </cell>
          <cell r="P268">
            <v>0</v>
          </cell>
          <cell r="Q268">
            <v>2</v>
          </cell>
          <cell r="R268">
            <v>2</v>
          </cell>
          <cell r="S268">
            <v>2</v>
          </cell>
          <cell r="T268">
            <v>0</v>
          </cell>
          <cell r="U268">
            <v>1</v>
          </cell>
        </row>
        <row r="269">
          <cell r="A269" t="str">
            <v>J41005</v>
          </cell>
          <cell r="B269">
            <v>1</v>
          </cell>
          <cell r="C269">
            <v>1</v>
          </cell>
          <cell r="D269">
            <v>1</v>
          </cell>
          <cell r="E269">
            <v>1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J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>
            <v>0</v>
          </cell>
          <cell r="Q269">
            <v>1</v>
          </cell>
          <cell r="R269">
            <v>1</v>
          </cell>
          <cell r="S269">
            <v>1</v>
          </cell>
          <cell r="T269">
            <v>0</v>
          </cell>
          <cell r="U269">
            <v>1</v>
          </cell>
        </row>
        <row r="270">
          <cell r="A270" t="str">
            <v>J41006</v>
          </cell>
          <cell r="B270">
            <v>1</v>
          </cell>
          <cell r="C270">
            <v>1</v>
          </cell>
          <cell r="D270">
            <v>1</v>
          </cell>
          <cell r="E270">
            <v>1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O270">
            <v>1</v>
          </cell>
          <cell r="P270">
            <v>0</v>
          </cell>
          <cell r="Q270">
            <v>1</v>
          </cell>
          <cell r="R270">
            <v>1</v>
          </cell>
          <cell r="S270">
            <v>1</v>
          </cell>
          <cell r="T270">
            <v>0</v>
          </cell>
          <cell r="U270">
            <v>1</v>
          </cell>
        </row>
        <row r="271">
          <cell r="A271" t="str">
            <v>J41009</v>
          </cell>
          <cell r="B271">
            <v>2</v>
          </cell>
          <cell r="C271">
            <v>1</v>
          </cell>
          <cell r="D271">
            <v>1</v>
          </cell>
          <cell r="E271">
            <v>1</v>
          </cell>
          <cell r="F271">
            <v>2</v>
          </cell>
          <cell r="G271">
            <v>2</v>
          </cell>
          <cell r="H271">
            <v>2</v>
          </cell>
          <cell r="I271">
            <v>2</v>
          </cell>
          <cell r="J271">
            <v>1</v>
          </cell>
          <cell r="K271">
            <v>2</v>
          </cell>
          <cell r="L271">
            <v>2</v>
          </cell>
          <cell r="M271">
            <v>2</v>
          </cell>
          <cell r="N271">
            <v>1</v>
          </cell>
          <cell r="O271">
            <v>1</v>
          </cell>
          <cell r="P271">
            <v>0</v>
          </cell>
          <cell r="Q271">
            <v>1</v>
          </cell>
          <cell r="R271">
            <v>2</v>
          </cell>
          <cell r="S271">
            <v>1</v>
          </cell>
          <cell r="T271">
            <v>0</v>
          </cell>
          <cell r="U271">
            <v>1</v>
          </cell>
        </row>
        <row r="272">
          <cell r="A272" t="str">
            <v>J41010</v>
          </cell>
          <cell r="B272">
            <v>2</v>
          </cell>
          <cell r="C272">
            <v>2</v>
          </cell>
          <cell r="D272">
            <v>2</v>
          </cell>
          <cell r="E272">
            <v>2</v>
          </cell>
          <cell r="F272">
            <v>2</v>
          </cell>
          <cell r="G272">
            <v>2</v>
          </cell>
          <cell r="H272">
            <v>2</v>
          </cell>
          <cell r="I272">
            <v>2</v>
          </cell>
          <cell r="J272">
            <v>2</v>
          </cell>
          <cell r="K272">
            <v>2</v>
          </cell>
          <cell r="L272">
            <v>2</v>
          </cell>
          <cell r="M272">
            <v>2</v>
          </cell>
          <cell r="N272">
            <v>2</v>
          </cell>
          <cell r="O272">
            <v>2</v>
          </cell>
          <cell r="P272">
            <v>0</v>
          </cell>
          <cell r="Q272">
            <v>2</v>
          </cell>
          <cell r="R272">
            <v>2</v>
          </cell>
          <cell r="S272">
            <v>2</v>
          </cell>
          <cell r="T272">
            <v>0</v>
          </cell>
          <cell r="U272">
            <v>2</v>
          </cell>
        </row>
        <row r="273">
          <cell r="A273" t="str">
            <v>J42001</v>
          </cell>
          <cell r="B273">
            <v>5</v>
          </cell>
          <cell r="C273">
            <v>2</v>
          </cell>
          <cell r="D273">
            <v>2</v>
          </cell>
          <cell r="E273">
            <v>2</v>
          </cell>
          <cell r="F273">
            <v>5</v>
          </cell>
          <cell r="G273">
            <v>3</v>
          </cell>
          <cell r="H273">
            <v>5</v>
          </cell>
          <cell r="I273">
            <v>5</v>
          </cell>
          <cell r="J273">
            <v>2</v>
          </cell>
          <cell r="K273">
            <v>5</v>
          </cell>
          <cell r="L273">
            <v>4</v>
          </cell>
          <cell r="M273">
            <v>3</v>
          </cell>
          <cell r="N273">
            <v>2</v>
          </cell>
          <cell r="O273">
            <v>1</v>
          </cell>
          <cell r="P273">
            <v>2</v>
          </cell>
          <cell r="Q273">
            <v>2</v>
          </cell>
          <cell r="R273">
            <v>5</v>
          </cell>
          <cell r="S273">
            <v>3</v>
          </cell>
          <cell r="T273">
            <v>2</v>
          </cell>
          <cell r="U273">
            <v>1</v>
          </cell>
        </row>
        <row r="274">
          <cell r="A274" t="str">
            <v>J42002</v>
          </cell>
          <cell r="B274">
            <v>5</v>
          </cell>
          <cell r="C274">
            <v>2</v>
          </cell>
          <cell r="D274">
            <v>2</v>
          </cell>
          <cell r="E274">
            <v>2</v>
          </cell>
          <cell r="F274">
            <v>5</v>
          </cell>
          <cell r="G274">
            <v>3</v>
          </cell>
          <cell r="H274">
            <v>5</v>
          </cell>
          <cell r="I274">
            <v>5</v>
          </cell>
          <cell r="J274">
            <v>2</v>
          </cell>
          <cell r="K274">
            <v>5</v>
          </cell>
          <cell r="L274">
            <v>4</v>
          </cell>
          <cell r="M274">
            <v>3</v>
          </cell>
          <cell r="N274">
            <v>2</v>
          </cell>
          <cell r="O274">
            <v>1</v>
          </cell>
          <cell r="P274">
            <v>2</v>
          </cell>
          <cell r="Q274">
            <v>2</v>
          </cell>
          <cell r="R274">
            <v>5</v>
          </cell>
          <cell r="S274">
            <v>3</v>
          </cell>
          <cell r="T274">
            <v>2</v>
          </cell>
          <cell r="U274">
            <v>1</v>
          </cell>
        </row>
        <row r="275">
          <cell r="A275" t="str">
            <v>J42004</v>
          </cell>
          <cell r="B275">
            <v>1</v>
          </cell>
          <cell r="C275">
            <v>1</v>
          </cell>
          <cell r="D275">
            <v>1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1</v>
          </cell>
          <cell r="J275">
            <v>1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0</v>
          </cell>
          <cell r="Q275">
            <v>1</v>
          </cell>
          <cell r="R275">
            <v>1</v>
          </cell>
          <cell r="S275">
            <v>1</v>
          </cell>
          <cell r="T275">
            <v>0</v>
          </cell>
          <cell r="U275">
            <v>1</v>
          </cell>
        </row>
        <row r="276">
          <cell r="A276" t="str">
            <v>J42007</v>
          </cell>
          <cell r="B276">
            <v>3</v>
          </cell>
          <cell r="C276">
            <v>3</v>
          </cell>
          <cell r="D276">
            <v>3</v>
          </cell>
          <cell r="E276">
            <v>3</v>
          </cell>
          <cell r="F276">
            <v>3</v>
          </cell>
          <cell r="G276">
            <v>3</v>
          </cell>
          <cell r="H276">
            <v>3</v>
          </cell>
          <cell r="I276">
            <v>3</v>
          </cell>
          <cell r="J276">
            <v>3</v>
          </cell>
          <cell r="K276">
            <v>3</v>
          </cell>
          <cell r="L276">
            <v>3</v>
          </cell>
          <cell r="M276">
            <v>3</v>
          </cell>
          <cell r="N276">
            <v>3</v>
          </cell>
          <cell r="O276">
            <v>3</v>
          </cell>
          <cell r="P276">
            <v>0</v>
          </cell>
          <cell r="Q276">
            <v>3</v>
          </cell>
          <cell r="R276">
            <v>3</v>
          </cell>
          <cell r="S276">
            <v>3</v>
          </cell>
          <cell r="T276">
            <v>0</v>
          </cell>
          <cell r="U276">
            <v>3</v>
          </cell>
        </row>
        <row r="277">
          <cell r="A277" t="str">
            <v>J42009</v>
          </cell>
          <cell r="B277">
            <v>3</v>
          </cell>
          <cell r="C277">
            <v>2</v>
          </cell>
          <cell r="D277">
            <v>2</v>
          </cell>
          <cell r="E277">
            <v>2</v>
          </cell>
          <cell r="F277">
            <v>3</v>
          </cell>
          <cell r="G277">
            <v>2</v>
          </cell>
          <cell r="H277">
            <v>4</v>
          </cell>
          <cell r="I277">
            <v>3</v>
          </cell>
          <cell r="J277">
            <v>2</v>
          </cell>
          <cell r="K277">
            <v>4</v>
          </cell>
          <cell r="L277">
            <v>3</v>
          </cell>
          <cell r="M277">
            <v>3</v>
          </cell>
          <cell r="N277">
            <v>2</v>
          </cell>
          <cell r="O277">
            <v>2</v>
          </cell>
          <cell r="P277">
            <v>0</v>
          </cell>
          <cell r="Q277">
            <v>2</v>
          </cell>
          <cell r="R277">
            <v>3</v>
          </cell>
          <cell r="S277">
            <v>2</v>
          </cell>
          <cell r="T277">
            <v>0</v>
          </cell>
          <cell r="U277">
            <v>2</v>
          </cell>
        </row>
        <row r="278">
          <cell r="A278" t="str">
            <v>J42018</v>
          </cell>
          <cell r="B278">
            <v>12</v>
          </cell>
          <cell r="C278">
            <v>12</v>
          </cell>
          <cell r="D278">
            <v>12</v>
          </cell>
          <cell r="E278">
            <v>12</v>
          </cell>
          <cell r="F278">
            <v>12</v>
          </cell>
          <cell r="G278">
            <v>12</v>
          </cell>
          <cell r="H278">
            <v>0</v>
          </cell>
          <cell r="I278">
            <v>12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12</v>
          </cell>
        </row>
        <row r="279">
          <cell r="A279" t="str">
            <v>J42019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17</v>
          </cell>
          <cell r="I279">
            <v>0</v>
          </cell>
          <cell r="J279">
            <v>0</v>
          </cell>
          <cell r="K279">
            <v>17</v>
          </cell>
          <cell r="L279">
            <v>17</v>
          </cell>
          <cell r="M279">
            <v>12</v>
          </cell>
          <cell r="N279">
            <v>17</v>
          </cell>
          <cell r="O279">
            <v>9</v>
          </cell>
          <cell r="P279">
            <v>0</v>
          </cell>
          <cell r="Q279">
            <v>13</v>
          </cell>
          <cell r="R279">
            <v>13</v>
          </cell>
          <cell r="S279">
            <v>13</v>
          </cell>
          <cell r="T279">
            <v>0</v>
          </cell>
          <cell r="U279">
            <v>0</v>
          </cell>
        </row>
        <row r="280">
          <cell r="A280" t="str">
            <v>J42021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3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A281" t="str">
            <v>J42022</v>
          </cell>
          <cell r="B281">
            <v>4</v>
          </cell>
          <cell r="C281">
            <v>1</v>
          </cell>
          <cell r="D281">
            <v>1</v>
          </cell>
          <cell r="E281">
            <v>2</v>
          </cell>
          <cell r="F281">
            <v>4</v>
          </cell>
          <cell r="G281">
            <v>3</v>
          </cell>
          <cell r="H281">
            <v>4</v>
          </cell>
          <cell r="I281">
            <v>4</v>
          </cell>
          <cell r="J281">
            <v>1</v>
          </cell>
          <cell r="K281">
            <v>4</v>
          </cell>
          <cell r="L281">
            <v>3</v>
          </cell>
          <cell r="M281">
            <v>3</v>
          </cell>
          <cell r="N281">
            <v>1</v>
          </cell>
          <cell r="O281">
            <v>1</v>
          </cell>
          <cell r="P281">
            <v>2</v>
          </cell>
          <cell r="Q281">
            <v>1</v>
          </cell>
          <cell r="R281">
            <v>4</v>
          </cell>
          <cell r="S281">
            <v>2</v>
          </cell>
          <cell r="T281">
            <v>2</v>
          </cell>
          <cell r="U281">
            <v>1</v>
          </cell>
        </row>
        <row r="282">
          <cell r="A282" t="str">
            <v>J42023B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</v>
          </cell>
          <cell r="J282">
            <v>0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A283" t="str">
            <v>J42023B-W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A284" t="str">
            <v>J42024-W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A285" t="str">
            <v>J42025</v>
          </cell>
          <cell r="B285">
            <v>4</v>
          </cell>
          <cell r="C285">
            <v>1</v>
          </cell>
          <cell r="D285">
            <v>1</v>
          </cell>
          <cell r="E285">
            <v>2</v>
          </cell>
          <cell r="F285">
            <v>4</v>
          </cell>
          <cell r="G285">
            <v>3</v>
          </cell>
          <cell r="H285">
            <v>4</v>
          </cell>
          <cell r="I285">
            <v>4</v>
          </cell>
          <cell r="J285">
            <v>1</v>
          </cell>
          <cell r="K285">
            <v>4</v>
          </cell>
          <cell r="L285">
            <v>3</v>
          </cell>
          <cell r="M285">
            <v>3</v>
          </cell>
          <cell r="N285">
            <v>1</v>
          </cell>
          <cell r="O285">
            <v>1</v>
          </cell>
          <cell r="P285">
            <v>0</v>
          </cell>
          <cell r="Q285">
            <v>1</v>
          </cell>
          <cell r="R285">
            <v>4</v>
          </cell>
          <cell r="S285">
            <v>2</v>
          </cell>
          <cell r="T285">
            <v>0</v>
          </cell>
          <cell r="U285">
            <v>1</v>
          </cell>
        </row>
        <row r="286">
          <cell r="A286" t="str">
            <v>J42026</v>
          </cell>
          <cell r="B286">
            <v>1</v>
          </cell>
          <cell r="C286">
            <v>1</v>
          </cell>
          <cell r="D286">
            <v>1</v>
          </cell>
          <cell r="E286">
            <v>1</v>
          </cell>
          <cell r="F286">
            <v>1</v>
          </cell>
          <cell r="G286">
            <v>1</v>
          </cell>
          <cell r="H286">
            <v>1</v>
          </cell>
          <cell r="I286">
            <v>1</v>
          </cell>
          <cell r="J286">
            <v>1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P286">
            <v>0</v>
          </cell>
          <cell r="Q286">
            <v>1</v>
          </cell>
          <cell r="R286">
            <v>1</v>
          </cell>
          <cell r="S286">
            <v>1</v>
          </cell>
          <cell r="T286">
            <v>0</v>
          </cell>
          <cell r="U286">
            <v>1</v>
          </cell>
        </row>
        <row r="287">
          <cell r="A287" t="str">
            <v>J45001</v>
          </cell>
          <cell r="B287">
            <v>4</v>
          </cell>
          <cell r="C287">
            <v>2</v>
          </cell>
          <cell r="D287">
            <v>2</v>
          </cell>
          <cell r="E287">
            <v>2</v>
          </cell>
          <cell r="F287">
            <v>4</v>
          </cell>
          <cell r="G287">
            <v>3</v>
          </cell>
          <cell r="H287">
            <v>4</v>
          </cell>
          <cell r="I287">
            <v>4</v>
          </cell>
          <cell r="J287">
            <v>2</v>
          </cell>
          <cell r="K287">
            <v>4</v>
          </cell>
          <cell r="L287">
            <v>3</v>
          </cell>
          <cell r="M287">
            <v>3</v>
          </cell>
          <cell r="N287">
            <v>2</v>
          </cell>
          <cell r="O287">
            <v>2</v>
          </cell>
          <cell r="P287">
            <v>0</v>
          </cell>
          <cell r="Q287">
            <v>2</v>
          </cell>
          <cell r="R287">
            <v>4</v>
          </cell>
          <cell r="S287">
            <v>2</v>
          </cell>
          <cell r="T287">
            <v>0</v>
          </cell>
          <cell r="U287">
            <v>2</v>
          </cell>
        </row>
        <row r="288">
          <cell r="A288" t="str">
            <v>J45003</v>
          </cell>
          <cell r="B288">
            <v>2</v>
          </cell>
          <cell r="C288">
            <v>2</v>
          </cell>
          <cell r="D288">
            <v>2</v>
          </cell>
          <cell r="E288">
            <v>2</v>
          </cell>
          <cell r="F288">
            <v>2</v>
          </cell>
          <cell r="G288">
            <v>2</v>
          </cell>
          <cell r="H288">
            <v>2</v>
          </cell>
          <cell r="I288">
            <v>2</v>
          </cell>
          <cell r="J288">
            <v>2</v>
          </cell>
          <cell r="K288">
            <v>2</v>
          </cell>
          <cell r="L288">
            <v>2</v>
          </cell>
          <cell r="M288">
            <v>2</v>
          </cell>
          <cell r="N288">
            <v>2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2</v>
          </cell>
          <cell r="T288">
            <v>0</v>
          </cell>
          <cell r="U288">
            <v>2</v>
          </cell>
        </row>
        <row r="289">
          <cell r="A289" t="str">
            <v>J45006D</v>
          </cell>
          <cell r="B289">
            <v>3</v>
          </cell>
          <cell r="C289">
            <v>2</v>
          </cell>
          <cell r="D289">
            <v>2</v>
          </cell>
          <cell r="E289">
            <v>1</v>
          </cell>
          <cell r="F289">
            <v>3</v>
          </cell>
          <cell r="G289">
            <v>2</v>
          </cell>
          <cell r="H289">
            <v>3</v>
          </cell>
          <cell r="I289">
            <v>3</v>
          </cell>
          <cell r="J289">
            <v>2</v>
          </cell>
          <cell r="K289">
            <v>3</v>
          </cell>
          <cell r="L289">
            <v>3</v>
          </cell>
          <cell r="M289">
            <v>2</v>
          </cell>
          <cell r="N289">
            <v>2</v>
          </cell>
          <cell r="O289">
            <v>1</v>
          </cell>
          <cell r="P289">
            <v>2</v>
          </cell>
          <cell r="Q289">
            <v>2</v>
          </cell>
          <cell r="R289">
            <v>4</v>
          </cell>
          <cell r="S289">
            <v>2</v>
          </cell>
          <cell r="T289">
            <v>3</v>
          </cell>
          <cell r="U289">
            <v>1</v>
          </cell>
        </row>
        <row r="290">
          <cell r="A290" t="str">
            <v>J45006E</v>
          </cell>
          <cell r="B290">
            <v>3</v>
          </cell>
          <cell r="C290">
            <v>2</v>
          </cell>
          <cell r="D290">
            <v>2</v>
          </cell>
          <cell r="E290">
            <v>1</v>
          </cell>
          <cell r="F290">
            <v>3</v>
          </cell>
          <cell r="G290">
            <v>2</v>
          </cell>
          <cell r="H290">
            <v>3</v>
          </cell>
          <cell r="I290">
            <v>3</v>
          </cell>
          <cell r="J290">
            <v>2</v>
          </cell>
          <cell r="K290">
            <v>3</v>
          </cell>
          <cell r="L290">
            <v>3</v>
          </cell>
          <cell r="M290">
            <v>2</v>
          </cell>
          <cell r="N290">
            <v>2</v>
          </cell>
          <cell r="O290">
            <v>1</v>
          </cell>
          <cell r="P290">
            <v>2</v>
          </cell>
          <cell r="Q290">
            <v>2</v>
          </cell>
          <cell r="R290">
            <v>6</v>
          </cell>
          <cell r="S290">
            <v>3</v>
          </cell>
          <cell r="T290">
            <v>3</v>
          </cell>
          <cell r="U290">
            <v>1</v>
          </cell>
        </row>
        <row r="291">
          <cell r="A291" t="str">
            <v>J45009</v>
          </cell>
          <cell r="B291">
            <v>2</v>
          </cell>
          <cell r="C291">
            <v>2</v>
          </cell>
          <cell r="D291">
            <v>2</v>
          </cell>
          <cell r="E291">
            <v>2</v>
          </cell>
          <cell r="F291">
            <v>2</v>
          </cell>
          <cell r="G291">
            <v>2</v>
          </cell>
          <cell r="H291">
            <v>2</v>
          </cell>
          <cell r="I291">
            <v>2</v>
          </cell>
          <cell r="J291">
            <v>2</v>
          </cell>
          <cell r="K291">
            <v>2</v>
          </cell>
          <cell r="L291">
            <v>2</v>
          </cell>
          <cell r="M291">
            <v>2</v>
          </cell>
          <cell r="N291">
            <v>2</v>
          </cell>
          <cell r="O291">
            <v>2</v>
          </cell>
          <cell r="P291">
            <v>2</v>
          </cell>
          <cell r="Q291">
            <v>2</v>
          </cell>
          <cell r="R291">
            <v>2</v>
          </cell>
          <cell r="S291">
            <v>2</v>
          </cell>
          <cell r="T291">
            <v>2</v>
          </cell>
          <cell r="U291">
            <v>2</v>
          </cell>
        </row>
        <row r="292">
          <cell r="A292" t="str">
            <v>J45010</v>
          </cell>
          <cell r="B292">
            <v>1</v>
          </cell>
          <cell r="C292">
            <v>1</v>
          </cell>
          <cell r="D292">
            <v>1</v>
          </cell>
          <cell r="E292">
            <v>1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J292">
            <v>1</v>
          </cell>
          <cell r="K292">
            <v>1</v>
          </cell>
          <cell r="L292">
            <v>1</v>
          </cell>
          <cell r="M292">
            <v>1</v>
          </cell>
          <cell r="N292">
            <v>1</v>
          </cell>
          <cell r="O292">
            <v>1</v>
          </cell>
          <cell r="P292">
            <v>2</v>
          </cell>
          <cell r="Q292">
            <v>1</v>
          </cell>
          <cell r="R292">
            <v>1</v>
          </cell>
          <cell r="S292">
            <v>1</v>
          </cell>
          <cell r="T292">
            <v>2</v>
          </cell>
          <cell r="U292">
            <v>1</v>
          </cell>
        </row>
        <row r="293">
          <cell r="A293" t="str">
            <v>J46001</v>
          </cell>
          <cell r="B293">
            <v>2</v>
          </cell>
          <cell r="C293">
            <v>1</v>
          </cell>
          <cell r="D293">
            <v>1</v>
          </cell>
          <cell r="E293">
            <v>1</v>
          </cell>
          <cell r="F293">
            <v>2</v>
          </cell>
          <cell r="G293">
            <v>2</v>
          </cell>
          <cell r="H293">
            <v>0</v>
          </cell>
          <cell r="I293">
            <v>2</v>
          </cell>
          <cell r="J293">
            <v>1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1</v>
          </cell>
        </row>
        <row r="294">
          <cell r="A294" t="str">
            <v>J46002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</v>
          </cell>
          <cell r="J294">
            <v>0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P294">
            <v>0</v>
          </cell>
          <cell r="Q294">
            <v>1</v>
          </cell>
          <cell r="R294">
            <v>1</v>
          </cell>
          <cell r="S294">
            <v>1</v>
          </cell>
          <cell r="T294">
            <v>0</v>
          </cell>
          <cell r="U294">
            <v>0</v>
          </cell>
        </row>
        <row r="295">
          <cell r="A295" t="str">
            <v>J46003</v>
          </cell>
          <cell r="B295">
            <v>2</v>
          </cell>
          <cell r="C295">
            <v>2</v>
          </cell>
          <cell r="D295">
            <v>2</v>
          </cell>
          <cell r="E295">
            <v>2</v>
          </cell>
          <cell r="F295">
            <v>2</v>
          </cell>
          <cell r="G295">
            <v>2</v>
          </cell>
          <cell r="H295">
            <v>2</v>
          </cell>
          <cell r="I295">
            <v>2</v>
          </cell>
          <cell r="J295">
            <v>2</v>
          </cell>
          <cell r="K295">
            <v>2</v>
          </cell>
          <cell r="L295">
            <v>2</v>
          </cell>
          <cell r="M295">
            <v>2</v>
          </cell>
          <cell r="N295">
            <v>2</v>
          </cell>
          <cell r="O295">
            <v>2</v>
          </cell>
          <cell r="P295">
            <v>0</v>
          </cell>
          <cell r="Q295">
            <v>2</v>
          </cell>
          <cell r="R295">
            <v>2</v>
          </cell>
          <cell r="S295">
            <v>2</v>
          </cell>
          <cell r="T295">
            <v>0</v>
          </cell>
          <cell r="U295">
            <v>2</v>
          </cell>
        </row>
        <row r="296">
          <cell r="A296" t="str">
            <v>J46004</v>
          </cell>
          <cell r="B296">
            <v>4</v>
          </cell>
          <cell r="C296">
            <v>2</v>
          </cell>
          <cell r="D296">
            <v>2</v>
          </cell>
          <cell r="E296">
            <v>2</v>
          </cell>
          <cell r="F296">
            <v>4</v>
          </cell>
          <cell r="G296">
            <v>2</v>
          </cell>
          <cell r="H296">
            <v>3</v>
          </cell>
          <cell r="I296">
            <v>4</v>
          </cell>
          <cell r="J296">
            <v>2</v>
          </cell>
          <cell r="K296">
            <v>4</v>
          </cell>
          <cell r="L296">
            <v>3</v>
          </cell>
          <cell r="M296">
            <v>2</v>
          </cell>
          <cell r="N296">
            <v>2</v>
          </cell>
          <cell r="O296">
            <v>1</v>
          </cell>
          <cell r="P296">
            <v>0</v>
          </cell>
          <cell r="Q296">
            <v>2</v>
          </cell>
          <cell r="R296">
            <v>4</v>
          </cell>
          <cell r="S296">
            <v>2</v>
          </cell>
          <cell r="T296">
            <v>0</v>
          </cell>
          <cell r="U296">
            <v>1</v>
          </cell>
        </row>
        <row r="297">
          <cell r="A297" t="str">
            <v>J46005</v>
          </cell>
          <cell r="B297">
            <v>4</v>
          </cell>
          <cell r="C297">
            <v>1</v>
          </cell>
          <cell r="D297">
            <v>1</v>
          </cell>
          <cell r="E297">
            <v>2</v>
          </cell>
          <cell r="F297">
            <v>4</v>
          </cell>
          <cell r="G297">
            <v>3</v>
          </cell>
          <cell r="H297">
            <v>4</v>
          </cell>
          <cell r="I297">
            <v>4</v>
          </cell>
          <cell r="J297">
            <v>1</v>
          </cell>
          <cell r="K297">
            <v>4</v>
          </cell>
          <cell r="L297">
            <v>3</v>
          </cell>
          <cell r="M297">
            <v>3</v>
          </cell>
          <cell r="N297">
            <v>1</v>
          </cell>
          <cell r="O297">
            <v>1</v>
          </cell>
          <cell r="P297">
            <v>0</v>
          </cell>
          <cell r="Q297">
            <v>1</v>
          </cell>
          <cell r="R297">
            <v>4</v>
          </cell>
          <cell r="S297">
            <v>2</v>
          </cell>
          <cell r="T297">
            <v>0</v>
          </cell>
          <cell r="U297">
            <v>1</v>
          </cell>
        </row>
        <row r="298">
          <cell r="A298" t="str">
            <v>J46006</v>
          </cell>
          <cell r="B298">
            <v>2</v>
          </cell>
          <cell r="C298">
            <v>1</v>
          </cell>
          <cell r="D298">
            <v>1</v>
          </cell>
          <cell r="E298">
            <v>1</v>
          </cell>
          <cell r="F298">
            <v>2</v>
          </cell>
          <cell r="G298">
            <v>2</v>
          </cell>
          <cell r="H298">
            <v>2</v>
          </cell>
          <cell r="I298">
            <v>2</v>
          </cell>
          <cell r="J298">
            <v>1</v>
          </cell>
          <cell r="K298">
            <v>3</v>
          </cell>
          <cell r="L298">
            <v>2</v>
          </cell>
          <cell r="M298">
            <v>2</v>
          </cell>
          <cell r="N298">
            <v>1</v>
          </cell>
          <cell r="O298">
            <v>1</v>
          </cell>
          <cell r="P298">
            <v>0</v>
          </cell>
          <cell r="Q298">
            <v>1</v>
          </cell>
          <cell r="R298">
            <v>3</v>
          </cell>
          <cell r="S298">
            <v>1</v>
          </cell>
          <cell r="T298">
            <v>0</v>
          </cell>
          <cell r="U298">
            <v>1</v>
          </cell>
        </row>
        <row r="299">
          <cell r="A299" t="str">
            <v>J46007</v>
          </cell>
          <cell r="B299">
            <v>2</v>
          </cell>
          <cell r="C299">
            <v>1</v>
          </cell>
          <cell r="D299">
            <v>1</v>
          </cell>
          <cell r="E299">
            <v>1</v>
          </cell>
          <cell r="F299">
            <v>2</v>
          </cell>
          <cell r="G299">
            <v>2</v>
          </cell>
          <cell r="H299">
            <v>2</v>
          </cell>
          <cell r="I299">
            <v>2</v>
          </cell>
          <cell r="J299">
            <v>1</v>
          </cell>
          <cell r="K299">
            <v>3</v>
          </cell>
          <cell r="L299">
            <v>2</v>
          </cell>
          <cell r="M299">
            <v>2</v>
          </cell>
          <cell r="N299">
            <v>1</v>
          </cell>
          <cell r="O299">
            <v>1</v>
          </cell>
          <cell r="P299">
            <v>0</v>
          </cell>
          <cell r="Q299">
            <v>1</v>
          </cell>
          <cell r="R299">
            <v>3</v>
          </cell>
          <cell r="S299">
            <v>1</v>
          </cell>
          <cell r="T299">
            <v>0</v>
          </cell>
          <cell r="U299">
            <v>1</v>
          </cell>
        </row>
        <row r="300">
          <cell r="A300" t="str">
            <v>J46009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2</v>
          </cell>
          <cell r="I300">
            <v>0</v>
          </cell>
          <cell r="J300">
            <v>0</v>
          </cell>
          <cell r="K300">
            <v>2</v>
          </cell>
          <cell r="L300">
            <v>2</v>
          </cell>
          <cell r="M300">
            <v>2</v>
          </cell>
          <cell r="N300">
            <v>2</v>
          </cell>
          <cell r="O300">
            <v>2</v>
          </cell>
          <cell r="P300">
            <v>0</v>
          </cell>
          <cell r="Q300">
            <v>2</v>
          </cell>
          <cell r="R300">
            <v>2</v>
          </cell>
          <cell r="S300">
            <v>2</v>
          </cell>
          <cell r="T300">
            <v>0</v>
          </cell>
          <cell r="U300">
            <v>0</v>
          </cell>
        </row>
        <row r="301">
          <cell r="A301" t="str">
            <v>J46013</v>
          </cell>
          <cell r="B301">
            <v>3</v>
          </cell>
          <cell r="C301">
            <v>2</v>
          </cell>
          <cell r="D301">
            <v>2</v>
          </cell>
          <cell r="E301">
            <v>2</v>
          </cell>
          <cell r="F301">
            <v>3</v>
          </cell>
          <cell r="G301">
            <v>3</v>
          </cell>
          <cell r="H301">
            <v>5</v>
          </cell>
          <cell r="I301">
            <v>3</v>
          </cell>
          <cell r="J301">
            <v>2</v>
          </cell>
          <cell r="K301">
            <v>6</v>
          </cell>
          <cell r="L301">
            <v>5</v>
          </cell>
          <cell r="M301">
            <v>5</v>
          </cell>
          <cell r="N301">
            <v>2</v>
          </cell>
          <cell r="O301">
            <v>2</v>
          </cell>
          <cell r="P301">
            <v>0</v>
          </cell>
          <cell r="Q301">
            <v>2</v>
          </cell>
          <cell r="R301">
            <v>6</v>
          </cell>
          <cell r="S301">
            <v>3</v>
          </cell>
          <cell r="T301">
            <v>0</v>
          </cell>
          <cell r="U301">
            <v>2</v>
          </cell>
        </row>
        <row r="302">
          <cell r="A302" t="str">
            <v>J46019</v>
          </cell>
          <cell r="B302">
            <v>2</v>
          </cell>
          <cell r="C302">
            <v>1</v>
          </cell>
          <cell r="D302">
            <v>1</v>
          </cell>
          <cell r="E302">
            <v>1</v>
          </cell>
          <cell r="F302">
            <v>2</v>
          </cell>
          <cell r="G302">
            <v>2</v>
          </cell>
          <cell r="H302">
            <v>0</v>
          </cell>
          <cell r="I302">
            <v>2</v>
          </cell>
          <cell r="J302">
            <v>1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1</v>
          </cell>
        </row>
        <row r="303">
          <cell r="A303" t="str">
            <v>J46020</v>
          </cell>
          <cell r="B303">
            <v>4</v>
          </cell>
          <cell r="C303">
            <v>1</v>
          </cell>
          <cell r="D303">
            <v>1</v>
          </cell>
          <cell r="E303">
            <v>2</v>
          </cell>
          <cell r="F303">
            <v>4</v>
          </cell>
          <cell r="G303">
            <v>3</v>
          </cell>
          <cell r="H303">
            <v>4</v>
          </cell>
          <cell r="I303">
            <v>4</v>
          </cell>
          <cell r="J303">
            <v>1</v>
          </cell>
          <cell r="K303">
            <v>4</v>
          </cell>
          <cell r="L303">
            <v>3</v>
          </cell>
          <cell r="M303">
            <v>3</v>
          </cell>
          <cell r="N303">
            <v>1</v>
          </cell>
          <cell r="O303">
            <v>1</v>
          </cell>
          <cell r="P303">
            <v>0</v>
          </cell>
          <cell r="Q303">
            <v>1</v>
          </cell>
          <cell r="R303">
            <v>4</v>
          </cell>
          <cell r="S303">
            <v>2</v>
          </cell>
          <cell r="T303">
            <v>0</v>
          </cell>
          <cell r="U303">
            <v>1</v>
          </cell>
        </row>
        <row r="304">
          <cell r="A304" t="str">
            <v>J46027</v>
          </cell>
          <cell r="B304">
            <v>1</v>
          </cell>
          <cell r="C304">
            <v>1</v>
          </cell>
          <cell r="D304">
            <v>1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0</v>
          </cell>
          <cell r="Q304">
            <v>1</v>
          </cell>
          <cell r="R304">
            <v>1</v>
          </cell>
          <cell r="S304">
            <v>1</v>
          </cell>
          <cell r="T304">
            <v>0</v>
          </cell>
          <cell r="U304">
            <v>1</v>
          </cell>
        </row>
        <row r="305">
          <cell r="A305" t="str">
            <v>J46028</v>
          </cell>
          <cell r="B305">
            <v>1</v>
          </cell>
          <cell r="C305">
            <v>1</v>
          </cell>
          <cell r="D305">
            <v>1</v>
          </cell>
          <cell r="E305">
            <v>1</v>
          </cell>
          <cell r="F305">
            <v>1</v>
          </cell>
          <cell r="G305">
            <v>1</v>
          </cell>
          <cell r="H305">
            <v>1</v>
          </cell>
          <cell r="I305">
            <v>1</v>
          </cell>
          <cell r="J305">
            <v>1</v>
          </cell>
          <cell r="K305">
            <v>1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</row>
        <row r="306">
          <cell r="A306" t="str">
            <v>J46029</v>
          </cell>
          <cell r="B306">
            <v>2</v>
          </cell>
          <cell r="C306">
            <v>1</v>
          </cell>
          <cell r="D306">
            <v>1</v>
          </cell>
          <cell r="E306">
            <v>1</v>
          </cell>
          <cell r="F306">
            <v>2</v>
          </cell>
          <cell r="G306">
            <v>2</v>
          </cell>
          <cell r="H306">
            <v>0</v>
          </cell>
          <cell r="I306">
            <v>2</v>
          </cell>
          <cell r="J306">
            <v>1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</v>
          </cell>
        </row>
        <row r="307">
          <cell r="A307" t="str">
            <v>J46030</v>
          </cell>
          <cell r="B307">
            <v>1</v>
          </cell>
          <cell r="C307">
            <v>1</v>
          </cell>
          <cell r="D307">
            <v>1</v>
          </cell>
          <cell r="E307">
            <v>1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J307">
            <v>1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0</v>
          </cell>
          <cell r="Q307">
            <v>1</v>
          </cell>
          <cell r="R307">
            <v>1</v>
          </cell>
          <cell r="S307">
            <v>1</v>
          </cell>
          <cell r="T307">
            <v>0</v>
          </cell>
          <cell r="U307">
            <v>1</v>
          </cell>
        </row>
        <row r="308">
          <cell r="A308" t="str">
            <v>J46031</v>
          </cell>
          <cell r="B308">
            <v>3</v>
          </cell>
          <cell r="C308">
            <v>1</v>
          </cell>
          <cell r="D308">
            <v>1</v>
          </cell>
          <cell r="E308">
            <v>2</v>
          </cell>
          <cell r="F308">
            <v>3</v>
          </cell>
          <cell r="G308">
            <v>2</v>
          </cell>
          <cell r="H308">
            <v>2</v>
          </cell>
          <cell r="I308">
            <v>3</v>
          </cell>
          <cell r="J308">
            <v>1</v>
          </cell>
          <cell r="K308">
            <v>3</v>
          </cell>
          <cell r="L308">
            <v>2</v>
          </cell>
          <cell r="M308">
            <v>2</v>
          </cell>
          <cell r="N308">
            <v>1</v>
          </cell>
          <cell r="O308">
            <v>1</v>
          </cell>
          <cell r="P308">
            <v>0</v>
          </cell>
          <cell r="Q308">
            <v>1</v>
          </cell>
          <cell r="R308">
            <v>3</v>
          </cell>
          <cell r="S308">
            <v>1</v>
          </cell>
          <cell r="T308">
            <v>0</v>
          </cell>
          <cell r="U308">
            <v>1</v>
          </cell>
        </row>
        <row r="309">
          <cell r="A309" t="str">
            <v>J47003</v>
          </cell>
          <cell r="B309">
            <v>2</v>
          </cell>
          <cell r="C309">
            <v>2</v>
          </cell>
          <cell r="D309">
            <v>2</v>
          </cell>
          <cell r="E309">
            <v>1</v>
          </cell>
          <cell r="F309">
            <v>2</v>
          </cell>
          <cell r="G309">
            <v>1</v>
          </cell>
          <cell r="H309">
            <v>2</v>
          </cell>
          <cell r="I309">
            <v>2</v>
          </cell>
          <cell r="J309">
            <v>2</v>
          </cell>
          <cell r="K309">
            <v>2</v>
          </cell>
          <cell r="L309">
            <v>2</v>
          </cell>
          <cell r="M309">
            <v>1</v>
          </cell>
          <cell r="N309">
            <v>2</v>
          </cell>
          <cell r="O309">
            <v>1</v>
          </cell>
          <cell r="P309">
            <v>0</v>
          </cell>
          <cell r="Q309">
            <v>2</v>
          </cell>
          <cell r="R309">
            <v>2</v>
          </cell>
          <cell r="S309">
            <v>2</v>
          </cell>
          <cell r="T309">
            <v>0</v>
          </cell>
          <cell r="U309">
            <v>1</v>
          </cell>
        </row>
        <row r="310">
          <cell r="A310" t="str">
            <v>J47004</v>
          </cell>
          <cell r="B310">
            <v>3</v>
          </cell>
          <cell r="C310">
            <v>3</v>
          </cell>
          <cell r="D310">
            <v>3</v>
          </cell>
          <cell r="E310">
            <v>3</v>
          </cell>
          <cell r="F310">
            <v>3</v>
          </cell>
          <cell r="G310">
            <v>3</v>
          </cell>
          <cell r="H310">
            <v>3</v>
          </cell>
          <cell r="I310">
            <v>3</v>
          </cell>
          <cell r="J310">
            <v>3</v>
          </cell>
          <cell r="K310">
            <v>3</v>
          </cell>
          <cell r="L310">
            <v>3</v>
          </cell>
          <cell r="M310">
            <v>3</v>
          </cell>
          <cell r="N310">
            <v>3</v>
          </cell>
          <cell r="O310">
            <v>3</v>
          </cell>
          <cell r="P310">
            <v>0</v>
          </cell>
          <cell r="Q310">
            <v>3</v>
          </cell>
          <cell r="R310">
            <v>3</v>
          </cell>
          <cell r="S310">
            <v>3</v>
          </cell>
          <cell r="T310">
            <v>0</v>
          </cell>
          <cell r="U310">
            <v>3</v>
          </cell>
        </row>
        <row r="311">
          <cell r="A311" t="str">
            <v>J47004-W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</row>
        <row r="312">
          <cell r="A312" t="str">
            <v>J47005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2</v>
          </cell>
          <cell r="I312">
            <v>0</v>
          </cell>
          <cell r="J312">
            <v>0</v>
          </cell>
          <cell r="K312">
            <v>2</v>
          </cell>
          <cell r="L312">
            <v>2</v>
          </cell>
          <cell r="M312">
            <v>2</v>
          </cell>
          <cell r="N312">
            <v>2</v>
          </cell>
          <cell r="O312">
            <v>2</v>
          </cell>
          <cell r="P312">
            <v>0</v>
          </cell>
          <cell r="Q312">
            <v>2</v>
          </cell>
          <cell r="R312">
            <v>2</v>
          </cell>
          <cell r="S312">
            <v>2</v>
          </cell>
          <cell r="T312">
            <v>0</v>
          </cell>
          <cell r="U312">
            <v>0</v>
          </cell>
        </row>
        <row r="313">
          <cell r="A313" t="str">
            <v>J49001</v>
          </cell>
          <cell r="B313">
            <v>4</v>
          </cell>
          <cell r="C313">
            <v>2</v>
          </cell>
          <cell r="D313">
            <v>2</v>
          </cell>
          <cell r="E313">
            <v>2</v>
          </cell>
          <cell r="F313">
            <v>4</v>
          </cell>
          <cell r="G313">
            <v>3</v>
          </cell>
          <cell r="H313">
            <v>4</v>
          </cell>
          <cell r="I313">
            <v>4</v>
          </cell>
          <cell r="J313">
            <v>2</v>
          </cell>
          <cell r="K313">
            <v>4</v>
          </cell>
          <cell r="L313">
            <v>3</v>
          </cell>
          <cell r="M313">
            <v>3</v>
          </cell>
          <cell r="N313">
            <v>2</v>
          </cell>
          <cell r="O313">
            <v>2</v>
          </cell>
          <cell r="P313">
            <v>0</v>
          </cell>
          <cell r="Q313">
            <v>2</v>
          </cell>
          <cell r="R313">
            <v>4</v>
          </cell>
          <cell r="S313">
            <v>2</v>
          </cell>
          <cell r="T313">
            <v>0</v>
          </cell>
          <cell r="U313">
            <v>2</v>
          </cell>
        </row>
        <row r="314">
          <cell r="A314" t="str">
            <v>J49003</v>
          </cell>
          <cell r="B314">
            <v>2</v>
          </cell>
          <cell r="C314">
            <v>2</v>
          </cell>
          <cell r="D314">
            <v>2</v>
          </cell>
          <cell r="E314">
            <v>2</v>
          </cell>
          <cell r="F314">
            <v>2</v>
          </cell>
          <cell r="G314">
            <v>2</v>
          </cell>
          <cell r="H314">
            <v>2</v>
          </cell>
          <cell r="I314">
            <v>2</v>
          </cell>
          <cell r="J314">
            <v>2</v>
          </cell>
          <cell r="K314">
            <v>2</v>
          </cell>
          <cell r="L314">
            <v>2</v>
          </cell>
          <cell r="M314">
            <v>2</v>
          </cell>
          <cell r="N314">
            <v>2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2</v>
          </cell>
          <cell r="T314">
            <v>0</v>
          </cell>
          <cell r="U314">
            <v>2</v>
          </cell>
        </row>
        <row r="315">
          <cell r="A315" t="str">
            <v>J49004</v>
          </cell>
          <cell r="B315">
            <v>2</v>
          </cell>
          <cell r="C315">
            <v>2</v>
          </cell>
          <cell r="D315">
            <v>2</v>
          </cell>
          <cell r="E315">
            <v>2</v>
          </cell>
          <cell r="F315">
            <v>2</v>
          </cell>
          <cell r="G315">
            <v>2</v>
          </cell>
          <cell r="H315">
            <v>2</v>
          </cell>
          <cell r="I315">
            <v>2</v>
          </cell>
          <cell r="J315">
            <v>2</v>
          </cell>
          <cell r="K315">
            <v>2</v>
          </cell>
          <cell r="L315">
            <v>2</v>
          </cell>
          <cell r="M315">
            <v>2</v>
          </cell>
          <cell r="N315">
            <v>2</v>
          </cell>
          <cell r="O315">
            <v>2</v>
          </cell>
          <cell r="P315">
            <v>0</v>
          </cell>
          <cell r="Q315">
            <v>2</v>
          </cell>
          <cell r="R315">
            <v>2</v>
          </cell>
          <cell r="S315">
            <v>2</v>
          </cell>
          <cell r="T315">
            <v>0</v>
          </cell>
          <cell r="U315">
            <v>2</v>
          </cell>
        </row>
        <row r="316">
          <cell r="A316" t="str">
            <v>J56001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</row>
        <row r="317">
          <cell r="A317" t="str">
            <v>J56005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</row>
        <row r="318">
          <cell r="A318" t="str">
            <v>J56006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</row>
        <row r="319">
          <cell r="A319" t="str">
            <v>J75003</v>
          </cell>
          <cell r="B319">
            <v>20</v>
          </cell>
          <cell r="C319">
            <v>8</v>
          </cell>
          <cell r="D319">
            <v>8</v>
          </cell>
          <cell r="E319">
            <v>12</v>
          </cell>
          <cell r="F319">
            <v>20</v>
          </cell>
          <cell r="G319">
            <v>16</v>
          </cell>
          <cell r="H319">
            <v>16</v>
          </cell>
          <cell r="I319">
            <v>20</v>
          </cell>
          <cell r="J319">
            <v>8</v>
          </cell>
          <cell r="K319">
            <v>16</v>
          </cell>
          <cell r="L319">
            <v>16</v>
          </cell>
          <cell r="M319">
            <v>16</v>
          </cell>
          <cell r="N319">
            <v>8</v>
          </cell>
          <cell r="O319">
            <v>8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8</v>
          </cell>
        </row>
        <row r="320">
          <cell r="A320" t="str">
            <v>J75005</v>
          </cell>
          <cell r="B320">
            <v>5</v>
          </cell>
          <cell r="C320">
            <v>2</v>
          </cell>
          <cell r="D320">
            <v>2</v>
          </cell>
          <cell r="E320">
            <v>3</v>
          </cell>
          <cell r="F320">
            <v>5</v>
          </cell>
          <cell r="G320">
            <v>4</v>
          </cell>
          <cell r="H320">
            <v>4</v>
          </cell>
          <cell r="I320">
            <v>5</v>
          </cell>
          <cell r="J320">
            <v>2</v>
          </cell>
          <cell r="K320">
            <v>4</v>
          </cell>
          <cell r="L320">
            <v>4</v>
          </cell>
          <cell r="M320">
            <v>4</v>
          </cell>
          <cell r="N320">
            <v>2</v>
          </cell>
          <cell r="O320">
            <v>2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2</v>
          </cell>
        </row>
        <row r="321">
          <cell r="A321" t="str">
            <v>J75007</v>
          </cell>
          <cell r="B321">
            <v>2</v>
          </cell>
          <cell r="C321">
            <v>1</v>
          </cell>
          <cell r="D321">
            <v>1</v>
          </cell>
          <cell r="E321">
            <v>1</v>
          </cell>
          <cell r="F321">
            <v>2</v>
          </cell>
          <cell r="G321">
            <v>2</v>
          </cell>
          <cell r="H321">
            <v>2</v>
          </cell>
          <cell r="I321">
            <v>2</v>
          </cell>
          <cell r="J321">
            <v>1</v>
          </cell>
          <cell r="K321">
            <v>2</v>
          </cell>
          <cell r="L321">
            <v>2</v>
          </cell>
          <cell r="M321">
            <v>2</v>
          </cell>
          <cell r="N321">
            <v>1</v>
          </cell>
          <cell r="O321">
            <v>1</v>
          </cell>
          <cell r="P321">
            <v>1</v>
          </cell>
          <cell r="Q321">
            <v>1</v>
          </cell>
          <cell r="R321">
            <v>3</v>
          </cell>
          <cell r="S321">
            <v>1</v>
          </cell>
          <cell r="T321">
            <v>1</v>
          </cell>
          <cell r="U321">
            <v>1</v>
          </cell>
        </row>
        <row r="322">
          <cell r="A322" t="str">
            <v>J75008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</row>
        <row r="323">
          <cell r="A323" t="str">
            <v>J75010</v>
          </cell>
          <cell r="B323">
            <v>5</v>
          </cell>
          <cell r="C323">
            <v>2</v>
          </cell>
          <cell r="D323">
            <v>2</v>
          </cell>
          <cell r="E323">
            <v>3</v>
          </cell>
          <cell r="F323">
            <v>5</v>
          </cell>
          <cell r="G323">
            <v>4</v>
          </cell>
          <cell r="H323">
            <v>4</v>
          </cell>
          <cell r="I323">
            <v>5</v>
          </cell>
          <cell r="J323">
            <v>2</v>
          </cell>
          <cell r="K323">
            <v>4</v>
          </cell>
          <cell r="L323">
            <v>4</v>
          </cell>
          <cell r="M323">
            <v>4</v>
          </cell>
          <cell r="N323">
            <v>2</v>
          </cell>
          <cell r="O323">
            <v>2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</v>
          </cell>
        </row>
        <row r="324">
          <cell r="A324" t="str">
            <v>J75011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</row>
        <row r="325">
          <cell r="A325" t="str">
            <v>J75012</v>
          </cell>
          <cell r="B325">
            <v>6</v>
          </cell>
          <cell r="C325">
            <v>3</v>
          </cell>
          <cell r="D325">
            <v>3</v>
          </cell>
          <cell r="E325">
            <v>4</v>
          </cell>
          <cell r="F325">
            <v>6</v>
          </cell>
          <cell r="G325">
            <v>5</v>
          </cell>
          <cell r="H325">
            <v>5</v>
          </cell>
          <cell r="I325">
            <v>6</v>
          </cell>
          <cell r="J325">
            <v>3</v>
          </cell>
          <cell r="K325">
            <v>5</v>
          </cell>
          <cell r="L325">
            <v>5</v>
          </cell>
          <cell r="M325">
            <v>5</v>
          </cell>
          <cell r="N325">
            <v>3</v>
          </cell>
          <cell r="O325">
            <v>3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3</v>
          </cell>
        </row>
        <row r="326">
          <cell r="A326" t="str">
            <v>J75013</v>
          </cell>
          <cell r="B326">
            <v>6</v>
          </cell>
          <cell r="C326">
            <v>3</v>
          </cell>
          <cell r="D326">
            <v>3</v>
          </cell>
          <cell r="E326">
            <v>3</v>
          </cell>
          <cell r="F326">
            <v>6</v>
          </cell>
          <cell r="G326">
            <v>4</v>
          </cell>
          <cell r="H326">
            <v>5</v>
          </cell>
          <cell r="I326">
            <v>6</v>
          </cell>
          <cell r="J326">
            <v>3</v>
          </cell>
          <cell r="K326">
            <v>5</v>
          </cell>
          <cell r="L326">
            <v>5</v>
          </cell>
          <cell r="M326">
            <v>4</v>
          </cell>
          <cell r="N326">
            <v>3</v>
          </cell>
          <cell r="O326">
            <v>2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</v>
          </cell>
        </row>
        <row r="327">
          <cell r="A327" t="str">
            <v>J75048</v>
          </cell>
          <cell r="B327">
            <v>5</v>
          </cell>
          <cell r="C327">
            <v>2</v>
          </cell>
          <cell r="D327">
            <v>2</v>
          </cell>
          <cell r="E327">
            <v>3</v>
          </cell>
          <cell r="F327">
            <v>5</v>
          </cell>
          <cell r="G327">
            <v>4</v>
          </cell>
          <cell r="H327">
            <v>4</v>
          </cell>
          <cell r="I327">
            <v>5</v>
          </cell>
          <cell r="J327">
            <v>2</v>
          </cell>
          <cell r="K327">
            <v>4</v>
          </cell>
          <cell r="L327">
            <v>4</v>
          </cell>
          <cell r="M327">
            <v>4</v>
          </cell>
          <cell r="N327">
            <v>2</v>
          </cell>
          <cell r="O327">
            <v>2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2</v>
          </cell>
        </row>
        <row r="328">
          <cell r="A328" t="str">
            <v>J75049</v>
          </cell>
          <cell r="B328">
            <v>5</v>
          </cell>
          <cell r="C328">
            <v>3</v>
          </cell>
          <cell r="D328">
            <v>3</v>
          </cell>
          <cell r="E328">
            <v>2</v>
          </cell>
          <cell r="F328">
            <v>5</v>
          </cell>
          <cell r="G328">
            <v>3</v>
          </cell>
          <cell r="H328">
            <v>0</v>
          </cell>
          <cell r="I328">
            <v>5</v>
          </cell>
          <cell r="J328">
            <v>3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2</v>
          </cell>
        </row>
        <row r="329">
          <cell r="A329" t="str">
            <v>J75052</v>
          </cell>
          <cell r="B329">
            <v>20</v>
          </cell>
          <cell r="C329">
            <v>8</v>
          </cell>
          <cell r="D329">
            <v>8</v>
          </cell>
          <cell r="E329">
            <v>12</v>
          </cell>
          <cell r="F329">
            <v>20</v>
          </cell>
          <cell r="G329">
            <v>16</v>
          </cell>
          <cell r="H329">
            <v>16</v>
          </cell>
          <cell r="I329">
            <v>20</v>
          </cell>
          <cell r="J329">
            <v>8</v>
          </cell>
          <cell r="K329">
            <v>16</v>
          </cell>
          <cell r="L329">
            <v>16</v>
          </cell>
          <cell r="M329">
            <v>16</v>
          </cell>
          <cell r="N329">
            <v>8</v>
          </cell>
          <cell r="O329">
            <v>8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8</v>
          </cell>
        </row>
        <row r="330">
          <cell r="A330" t="str">
            <v>J75058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4</v>
          </cell>
          <cell r="I330">
            <v>0</v>
          </cell>
          <cell r="J330">
            <v>0</v>
          </cell>
          <cell r="K330">
            <v>4</v>
          </cell>
          <cell r="L330">
            <v>4</v>
          </cell>
          <cell r="M330">
            <v>4</v>
          </cell>
          <cell r="N330">
            <v>2</v>
          </cell>
          <cell r="O330">
            <v>2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A331" t="str">
            <v>J75059A</v>
          </cell>
          <cell r="B331">
            <v>2</v>
          </cell>
          <cell r="C331">
            <v>1</v>
          </cell>
          <cell r="D331">
            <v>1</v>
          </cell>
          <cell r="E331">
            <v>1</v>
          </cell>
          <cell r="F331">
            <v>2</v>
          </cell>
          <cell r="G331">
            <v>2</v>
          </cell>
          <cell r="H331">
            <v>0</v>
          </cell>
          <cell r="I331">
            <v>2</v>
          </cell>
          <cell r="J331">
            <v>1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1</v>
          </cell>
        </row>
        <row r="332">
          <cell r="A332" t="str">
            <v>J75060</v>
          </cell>
          <cell r="B332">
            <v>2</v>
          </cell>
          <cell r="C332">
            <v>1</v>
          </cell>
          <cell r="D332">
            <v>1</v>
          </cell>
          <cell r="E332">
            <v>1</v>
          </cell>
          <cell r="F332">
            <v>2</v>
          </cell>
          <cell r="G332">
            <v>2</v>
          </cell>
          <cell r="H332">
            <v>0</v>
          </cell>
          <cell r="I332">
            <v>2</v>
          </cell>
          <cell r="J332">
            <v>1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1</v>
          </cell>
        </row>
        <row r="333">
          <cell r="A333" t="str">
            <v>J75061</v>
          </cell>
          <cell r="B333">
            <v>2</v>
          </cell>
          <cell r="C333">
            <v>2</v>
          </cell>
          <cell r="D333">
            <v>2</v>
          </cell>
          <cell r="E333">
            <v>1</v>
          </cell>
          <cell r="F333">
            <v>2</v>
          </cell>
          <cell r="G333">
            <v>1</v>
          </cell>
          <cell r="H333">
            <v>2</v>
          </cell>
          <cell r="I333">
            <v>2</v>
          </cell>
          <cell r="J333">
            <v>2</v>
          </cell>
          <cell r="K333">
            <v>2</v>
          </cell>
          <cell r="L333">
            <v>2</v>
          </cell>
          <cell r="M333">
            <v>1</v>
          </cell>
          <cell r="N333">
            <v>2</v>
          </cell>
          <cell r="O333">
            <v>1</v>
          </cell>
          <cell r="P333">
            <v>0</v>
          </cell>
          <cell r="Q333">
            <v>2</v>
          </cell>
          <cell r="R333">
            <v>2</v>
          </cell>
          <cell r="S333">
            <v>2</v>
          </cell>
          <cell r="T333">
            <v>0</v>
          </cell>
          <cell r="U333">
            <v>1</v>
          </cell>
        </row>
        <row r="334">
          <cell r="A334" t="str">
            <v>J75100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</row>
        <row r="335">
          <cell r="A335" t="str">
            <v>J75103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A336" t="str">
            <v>J75104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5</v>
          </cell>
          <cell r="I336">
            <v>0</v>
          </cell>
          <cell r="J336">
            <v>0</v>
          </cell>
          <cell r="K336">
            <v>5</v>
          </cell>
          <cell r="L336">
            <v>5</v>
          </cell>
          <cell r="M336">
            <v>4</v>
          </cell>
          <cell r="N336">
            <v>2</v>
          </cell>
          <cell r="O336">
            <v>0</v>
          </cell>
          <cell r="P336">
            <v>0</v>
          </cell>
          <cell r="Q336">
            <v>3</v>
          </cell>
          <cell r="R336">
            <v>5</v>
          </cell>
          <cell r="S336">
            <v>4</v>
          </cell>
          <cell r="T336">
            <v>0</v>
          </cell>
          <cell r="U336">
            <v>0</v>
          </cell>
        </row>
        <row r="337">
          <cell r="A337" t="str">
            <v>J75105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A338" t="str">
            <v>J75110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</row>
        <row r="339">
          <cell r="A339" t="str">
            <v>J75111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A340" t="str">
            <v>J75113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</row>
        <row r="341">
          <cell r="A341" t="str">
            <v>J75115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</row>
        <row r="342">
          <cell r="A342" t="str">
            <v>J75120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</row>
        <row r="343">
          <cell r="A343" t="str">
            <v>J75121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A344" t="str">
            <v>J75122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</row>
        <row r="345">
          <cell r="A345" t="str">
            <v>J75123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</row>
        <row r="346">
          <cell r="A346" t="str">
            <v>J75124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</row>
        <row r="347">
          <cell r="A347" t="str">
            <v>J75125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</row>
        <row r="348">
          <cell r="A348" t="str">
            <v>J75142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2</v>
          </cell>
          <cell r="I348">
            <v>0</v>
          </cell>
          <cell r="J348">
            <v>0</v>
          </cell>
          <cell r="K348">
            <v>2</v>
          </cell>
          <cell r="L348">
            <v>2</v>
          </cell>
          <cell r="M348">
            <v>0</v>
          </cell>
          <cell r="N348">
            <v>2</v>
          </cell>
          <cell r="O348">
            <v>0</v>
          </cell>
          <cell r="P348">
            <v>24</v>
          </cell>
          <cell r="Q348">
            <v>4</v>
          </cell>
          <cell r="R348">
            <v>8</v>
          </cell>
          <cell r="S348">
            <v>6</v>
          </cell>
          <cell r="T348">
            <v>16</v>
          </cell>
          <cell r="U348">
            <v>0</v>
          </cell>
        </row>
        <row r="349">
          <cell r="A349" t="str">
            <v>J75147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</row>
        <row r="350">
          <cell r="A350" t="str">
            <v>J75148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A351" t="str">
            <v>J75149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</row>
        <row r="352">
          <cell r="A352" t="str">
            <v>J75156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</row>
        <row r="353">
          <cell r="A353" t="str">
            <v>J75173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</row>
        <row r="354">
          <cell r="A354" t="str">
            <v>J75174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</row>
        <row r="355">
          <cell r="A355" t="str">
            <v>J75175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</row>
        <row r="356">
          <cell r="A356" t="str">
            <v>J75178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</row>
        <row r="357">
          <cell r="A357" t="str">
            <v>J75179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</row>
        <row r="358">
          <cell r="A358" t="str">
            <v>J75180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</row>
        <row r="359">
          <cell r="A359" t="str">
            <v>J75181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</row>
        <row r="360">
          <cell r="A360" t="str">
            <v>J75183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</row>
        <row r="361">
          <cell r="A361" t="str">
            <v>J75189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5</v>
          </cell>
          <cell r="I361">
            <v>0</v>
          </cell>
          <cell r="J361">
            <v>0</v>
          </cell>
          <cell r="K361">
            <v>5</v>
          </cell>
          <cell r="L361">
            <v>5</v>
          </cell>
          <cell r="M361">
            <v>4</v>
          </cell>
          <cell r="N361">
            <v>3</v>
          </cell>
          <cell r="O361">
            <v>3</v>
          </cell>
          <cell r="P361">
            <v>3</v>
          </cell>
          <cell r="Q361">
            <v>3</v>
          </cell>
          <cell r="R361">
            <v>5</v>
          </cell>
          <cell r="S361">
            <v>4</v>
          </cell>
          <cell r="T361">
            <v>3</v>
          </cell>
          <cell r="U361">
            <v>0</v>
          </cell>
        </row>
        <row r="362">
          <cell r="A362" t="str">
            <v>J75192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5</v>
          </cell>
          <cell r="I362">
            <v>0</v>
          </cell>
          <cell r="J362">
            <v>0</v>
          </cell>
          <cell r="K362">
            <v>5</v>
          </cell>
          <cell r="L362">
            <v>5</v>
          </cell>
          <cell r="M362">
            <v>4</v>
          </cell>
          <cell r="N362">
            <v>3</v>
          </cell>
          <cell r="O362">
            <v>3</v>
          </cell>
          <cell r="P362">
            <v>0</v>
          </cell>
          <cell r="Q362">
            <v>3</v>
          </cell>
          <cell r="R362">
            <v>5</v>
          </cell>
          <cell r="S362">
            <v>4</v>
          </cell>
          <cell r="T362">
            <v>0</v>
          </cell>
          <cell r="U362">
            <v>0</v>
          </cell>
        </row>
        <row r="363">
          <cell r="A363" t="str">
            <v>J75193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</row>
        <row r="364">
          <cell r="A364" t="str">
            <v>J75194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</row>
        <row r="365">
          <cell r="A365" t="str">
            <v>J75195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</row>
        <row r="366">
          <cell r="A366" t="str">
            <v>J75196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3</v>
          </cell>
          <cell r="I366">
            <v>0</v>
          </cell>
          <cell r="J366">
            <v>0</v>
          </cell>
          <cell r="K366">
            <v>3</v>
          </cell>
          <cell r="L366">
            <v>3</v>
          </cell>
          <cell r="M366">
            <v>2</v>
          </cell>
          <cell r="N366">
            <v>3</v>
          </cell>
          <cell r="O366">
            <v>3</v>
          </cell>
          <cell r="P366">
            <v>0</v>
          </cell>
          <cell r="Q366">
            <v>3</v>
          </cell>
          <cell r="R366">
            <v>3</v>
          </cell>
          <cell r="S366">
            <v>3</v>
          </cell>
          <cell r="T366">
            <v>0</v>
          </cell>
          <cell r="U366">
            <v>0</v>
          </cell>
        </row>
        <row r="367">
          <cell r="A367" t="str">
            <v>J75197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3</v>
          </cell>
          <cell r="I367">
            <v>0</v>
          </cell>
          <cell r="J367">
            <v>0</v>
          </cell>
          <cell r="K367">
            <v>3</v>
          </cell>
          <cell r="L367">
            <v>3</v>
          </cell>
          <cell r="M367">
            <v>2</v>
          </cell>
          <cell r="N367">
            <v>3</v>
          </cell>
          <cell r="O367">
            <v>3</v>
          </cell>
          <cell r="P367">
            <v>3</v>
          </cell>
          <cell r="Q367">
            <v>3</v>
          </cell>
          <cell r="R367">
            <v>3</v>
          </cell>
          <cell r="S367">
            <v>3</v>
          </cell>
          <cell r="T367">
            <v>3</v>
          </cell>
          <cell r="U367">
            <v>0</v>
          </cell>
        </row>
        <row r="368">
          <cell r="A368" t="str">
            <v>J75198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</row>
        <row r="369">
          <cell r="A369" t="str">
            <v>J75199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5</v>
          </cell>
          <cell r="I369">
            <v>0</v>
          </cell>
          <cell r="J369">
            <v>0</v>
          </cell>
          <cell r="K369">
            <v>5</v>
          </cell>
          <cell r="L369">
            <v>5</v>
          </cell>
          <cell r="M369">
            <v>4</v>
          </cell>
          <cell r="N369">
            <v>3</v>
          </cell>
          <cell r="O369">
            <v>3</v>
          </cell>
          <cell r="P369">
            <v>0</v>
          </cell>
          <cell r="Q369">
            <v>3</v>
          </cell>
          <cell r="R369">
            <v>5</v>
          </cell>
          <cell r="S369">
            <v>4</v>
          </cell>
          <cell r="T369">
            <v>0</v>
          </cell>
          <cell r="U369">
            <v>0</v>
          </cell>
        </row>
        <row r="370">
          <cell r="A370" t="str">
            <v>J75208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4</v>
          </cell>
          <cell r="I370">
            <v>0</v>
          </cell>
          <cell r="J370">
            <v>0</v>
          </cell>
          <cell r="K370">
            <v>4</v>
          </cell>
          <cell r="L370">
            <v>4</v>
          </cell>
          <cell r="M370">
            <v>4</v>
          </cell>
          <cell r="N370">
            <v>2</v>
          </cell>
          <cell r="O370">
            <v>2</v>
          </cell>
          <cell r="P370">
            <v>0</v>
          </cell>
          <cell r="Q370">
            <v>2</v>
          </cell>
          <cell r="R370">
            <v>4</v>
          </cell>
          <cell r="S370">
            <v>3</v>
          </cell>
          <cell r="T370">
            <v>0</v>
          </cell>
          <cell r="U370">
            <v>0</v>
          </cell>
        </row>
        <row r="371">
          <cell r="A371" t="str">
            <v>J75214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  <cell r="Q371">
            <v>2</v>
          </cell>
          <cell r="R371">
            <v>4</v>
          </cell>
          <cell r="S371">
            <v>3</v>
          </cell>
          <cell r="T371">
            <v>2</v>
          </cell>
          <cell r="U371">
            <v>0</v>
          </cell>
        </row>
        <row r="372">
          <cell r="A372" t="str">
            <v>J75220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</row>
        <row r="373">
          <cell r="A373" t="str">
            <v>J75223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2</v>
          </cell>
          <cell r="R373">
            <v>4</v>
          </cell>
          <cell r="S373">
            <v>3</v>
          </cell>
          <cell r="T373">
            <v>0</v>
          </cell>
          <cell r="U373">
            <v>0</v>
          </cell>
        </row>
        <row r="374">
          <cell r="A374" t="str">
            <v>J75400</v>
          </cell>
          <cell r="B374">
            <v>6</v>
          </cell>
          <cell r="C374">
            <v>3</v>
          </cell>
          <cell r="D374">
            <v>3</v>
          </cell>
          <cell r="E374">
            <v>3</v>
          </cell>
          <cell r="F374">
            <v>6</v>
          </cell>
          <cell r="G374">
            <v>4</v>
          </cell>
          <cell r="H374">
            <v>5</v>
          </cell>
          <cell r="I374">
            <v>6</v>
          </cell>
          <cell r="J374">
            <v>3</v>
          </cell>
          <cell r="K374">
            <v>5</v>
          </cell>
          <cell r="L374">
            <v>5</v>
          </cell>
          <cell r="M374">
            <v>4</v>
          </cell>
          <cell r="N374">
            <v>3</v>
          </cell>
          <cell r="O374">
            <v>2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2</v>
          </cell>
        </row>
        <row r="375">
          <cell r="A375" t="str">
            <v>J75400E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</row>
        <row r="376">
          <cell r="A376" t="str">
            <v>J75401</v>
          </cell>
          <cell r="B376">
            <v>5</v>
          </cell>
          <cell r="C376">
            <v>2</v>
          </cell>
          <cell r="D376">
            <v>2</v>
          </cell>
          <cell r="E376">
            <v>3</v>
          </cell>
          <cell r="F376">
            <v>5</v>
          </cell>
          <cell r="G376">
            <v>4</v>
          </cell>
          <cell r="H376">
            <v>4</v>
          </cell>
          <cell r="I376">
            <v>5</v>
          </cell>
          <cell r="J376">
            <v>2</v>
          </cell>
          <cell r="K376">
            <v>4</v>
          </cell>
          <cell r="L376">
            <v>4</v>
          </cell>
          <cell r="M376">
            <v>4</v>
          </cell>
          <cell r="N376">
            <v>2</v>
          </cell>
          <cell r="O376">
            <v>2</v>
          </cell>
          <cell r="P376">
            <v>0</v>
          </cell>
          <cell r="Q376">
            <v>2</v>
          </cell>
          <cell r="R376">
            <v>4</v>
          </cell>
          <cell r="S376">
            <v>3</v>
          </cell>
          <cell r="T376">
            <v>0</v>
          </cell>
          <cell r="U376">
            <v>2</v>
          </cell>
        </row>
        <row r="377">
          <cell r="A377" t="str">
            <v>J75402</v>
          </cell>
          <cell r="B377">
            <v>5</v>
          </cell>
          <cell r="C377">
            <v>2</v>
          </cell>
          <cell r="D377">
            <v>2</v>
          </cell>
          <cell r="E377">
            <v>3</v>
          </cell>
          <cell r="F377">
            <v>5</v>
          </cell>
          <cell r="G377">
            <v>4</v>
          </cell>
          <cell r="H377">
            <v>0</v>
          </cell>
          <cell r="I377">
            <v>5</v>
          </cell>
          <cell r="J377">
            <v>2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2</v>
          </cell>
          <cell r="R377">
            <v>4</v>
          </cell>
          <cell r="S377">
            <v>3</v>
          </cell>
          <cell r="T377">
            <v>0</v>
          </cell>
          <cell r="U377">
            <v>2</v>
          </cell>
        </row>
        <row r="378">
          <cell r="A378" t="str">
            <v>J75404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5</v>
          </cell>
          <cell r="I378">
            <v>0</v>
          </cell>
          <cell r="J378">
            <v>0</v>
          </cell>
          <cell r="K378">
            <v>5</v>
          </cell>
          <cell r="L378">
            <v>5</v>
          </cell>
          <cell r="M378">
            <v>4</v>
          </cell>
          <cell r="N378">
            <v>2</v>
          </cell>
          <cell r="O378">
            <v>0</v>
          </cell>
          <cell r="P378">
            <v>0</v>
          </cell>
          <cell r="Q378">
            <v>2</v>
          </cell>
          <cell r="R378">
            <v>4</v>
          </cell>
          <cell r="S378">
            <v>3</v>
          </cell>
          <cell r="T378">
            <v>0</v>
          </cell>
          <cell r="U378">
            <v>0</v>
          </cell>
        </row>
        <row r="379">
          <cell r="A379" t="str">
            <v>J75405</v>
          </cell>
          <cell r="B379">
            <v>5</v>
          </cell>
          <cell r="C379">
            <v>2</v>
          </cell>
          <cell r="D379">
            <v>2</v>
          </cell>
          <cell r="E379">
            <v>3</v>
          </cell>
          <cell r="F379">
            <v>5</v>
          </cell>
          <cell r="G379">
            <v>4</v>
          </cell>
          <cell r="H379">
            <v>0</v>
          </cell>
          <cell r="I379">
            <v>5</v>
          </cell>
          <cell r="J379">
            <v>2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2</v>
          </cell>
          <cell r="R379">
            <v>4</v>
          </cell>
          <cell r="S379">
            <v>3</v>
          </cell>
          <cell r="T379">
            <v>0</v>
          </cell>
          <cell r="U379">
            <v>2</v>
          </cell>
        </row>
        <row r="380">
          <cell r="A380" t="str">
            <v>J75407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4</v>
          </cell>
          <cell r="I380">
            <v>0</v>
          </cell>
          <cell r="J380">
            <v>0</v>
          </cell>
          <cell r="K380">
            <v>4</v>
          </cell>
          <cell r="L380">
            <v>4</v>
          </cell>
          <cell r="M380">
            <v>4</v>
          </cell>
          <cell r="N380">
            <v>2</v>
          </cell>
          <cell r="O380">
            <v>2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</row>
        <row r="381">
          <cell r="A381" t="str">
            <v>J75408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4</v>
          </cell>
          <cell r="I381">
            <v>0</v>
          </cell>
          <cell r="J381">
            <v>0</v>
          </cell>
          <cell r="K381">
            <v>4</v>
          </cell>
          <cell r="L381">
            <v>4</v>
          </cell>
          <cell r="M381">
            <v>4</v>
          </cell>
          <cell r="N381">
            <v>2</v>
          </cell>
          <cell r="O381">
            <v>2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</row>
        <row r="382">
          <cell r="A382" t="str">
            <v>J75409</v>
          </cell>
          <cell r="B382">
            <v>5</v>
          </cell>
          <cell r="C382">
            <v>2</v>
          </cell>
          <cell r="D382">
            <v>2</v>
          </cell>
          <cell r="E382">
            <v>3</v>
          </cell>
          <cell r="F382">
            <v>5</v>
          </cell>
          <cell r="G382">
            <v>4</v>
          </cell>
          <cell r="H382">
            <v>0</v>
          </cell>
          <cell r="I382">
            <v>5</v>
          </cell>
          <cell r="J382">
            <v>2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2</v>
          </cell>
          <cell r="R382">
            <v>4</v>
          </cell>
          <cell r="S382">
            <v>3</v>
          </cell>
          <cell r="T382">
            <v>0</v>
          </cell>
          <cell r="U382">
            <v>2</v>
          </cell>
        </row>
        <row r="383">
          <cell r="A383" t="str">
            <v>J75416</v>
          </cell>
          <cell r="B383">
            <v>5</v>
          </cell>
          <cell r="C383">
            <v>2</v>
          </cell>
          <cell r="D383">
            <v>2</v>
          </cell>
          <cell r="E383">
            <v>3</v>
          </cell>
          <cell r="F383">
            <v>5</v>
          </cell>
          <cell r="G383">
            <v>4</v>
          </cell>
          <cell r="H383">
            <v>4</v>
          </cell>
          <cell r="I383">
            <v>5</v>
          </cell>
          <cell r="J383">
            <v>2</v>
          </cell>
          <cell r="K383">
            <v>4</v>
          </cell>
          <cell r="L383">
            <v>4</v>
          </cell>
          <cell r="M383">
            <v>4</v>
          </cell>
          <cell r="N383">
            <v>2</v>
          </cell>
          <cell r="O383">
            <v>2</v>
          </cell>
          <cell r="P383">
            <v>0</v>
          </cell>
          <cell r="Q383">
            <v>2</v>
          </cell>
          <cell r="R383">
            <v>4</v>
          </cell>
          <cell r="S383">
            <v>3</v>
          </cell>
          <cell r="T383">
            <v>0</v>
          </cell>
          <cell r="U383">
            <v>2</v>
          </cell>
        </row>
        <row r="384">
          <cell r="A384" t="str">
            <v>J75417</v>
          </cell>
          <cell r="B384">
            <v>2</v>
          </cell>
          <cell r="C384">
            <v>1</v>
          </cell>
          <cell r="D384">
            <v>1</v>
          </cell>
          <cell r="E384">
            <v>1</v>
          </cell>
          <cell r="F384">
            <v>2</v>
          </cell>
          <cell r="G384">
            <v>2</v>
          </cell>
          <cell r="H384">
            <v>4</v>
          </cell>
          <cell r="I384">
            <v>2</v>
          </cell>
          <cell r="J384">
            <v>1</v>
          </cell>
          <cell r="K384">
            <v>4</v>
          </cell>
          <cell r="L384">
            <v>3</v>
          </cell>
          <cell r="M384">
            <v>3</v>
          </cell>
          <cell r="N384">
            <v>1</v>
          </cell>
          <cell r="O384">
            <v>1</v>
          </cell>
          <cell r="P384">
            <v>0</v>
          </cell>
          <cell r="Q384">
            <v>1</v>
          </cell>
          <cell r="R384">
            <v>4</v>
          </cell>
          <cell r="S384">
            <v>2</v>
          </cell>
          <cell r="T384">
            <v>0</v>
          </cell>
          <cell r="U384">
            <v>1</v>
          </cell>
        </row>
        <row r="385">
          <cell r="A385" t="str">
            <v>J75421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</row>
        <row r="386">
          <cell r="A386" t="str">
            <v>J75422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</row>
        <row r="387">
          <cell r="A387" t="str">
            <v>J75423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4</v>
          </cell>
          <cell r="I387">
            <v>0</v>
          </cell>
          <cell r="J387">
            <v>0</v>
          </cell>
          <cell r="K387">
            <v>4</v>
          </cell>
          <cell r="L387">
            <v>3</v>
          </cell>
          <cell r="M387">
            <v>3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2</v>
          </cell>
          <cell r="U387">
            <v>0</v>
          </cell>
        </row>
        <row r="388">
          <cell r="A388" t="str">
            <v>J75424</v>
          </cell>
          <cell r="B388">
            <v>2</v>
          </cell>
          <cell r="C388">
            <v>1</v>
          </cell>
          <cell r="D388">
            <v>1</v>
          </cell>
          <cell r="E388">
            <v>1</v>
          </cell>
          <cell r="F388">
            <v>2</v>
          </cell>
          <cell r="G388">
            <v>2</v>
          </cell>
          <cell r="H388">
            <v>4</v>
          </cell>
          <cell r="I388">
            <v>2</v>
          </cell>
          <cell r="J388">
            <v>1</v>
          </cell>
          <cell r="K388">
            <v>4</v>
          </cell>
          <cell r="L388">
            <v>3</v>
          </cell>
          <cell r="M388">
            <v>3</v>
          </cell>
          <cell r="N388">
            <v>1</v>
          </cell>
          <cell r="O388">
            <v>1</v>
          </cell>
          <cell r="P388">
            <v>0</v>
          </cell>
          <cell r="Q388">
            <v>1</v>
          </cell>
          <cell r="R388">
            <v>4</v>
          </cell>
          <cell r="S388">
            <v>2</v>
          </cell>
          <cell r="T388">
            <v>0</v>
          </cell>
          <cell r="U388">
            <v>1</v>
          </cell>
        </row>
        <row r="389">
          <cell r="A389" t="str">
            <v>J75432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4</v>
          </cell>
          <cell r="I389">
            <v>0</v>
          </cell>
          <cell r="J389">
            <v>0</v>
          </cell>
          <cell r="K389">
            <v>4</v>
          </cell>
          <cell r="L389">
            <v>4</v>
          </cell>
          <cell r="M389">
            <v>4</v>
          </cell>
          <cell r="N389">
            <v>2</v>
          </cell>
          <cell r="O389">
            <v>2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</row>
        <row r="390">
          <cell r="A390" t="str">
            <v>J75433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4</v>
          </cell>
          <cell r="I390">
            <v>0</v>
          </cell>
          <cell r="J390">
            <v>0</v>
          </cell>
          <cell r="K390">
            <v>4</v>
          </cell>
          <cell r="L390">
            <v>4</v>
          </cell>
          <cell r="M390">
            <v>4</v>
          </cell>
          <cell r="N390">
            <v>2</v>
          </cell>
          <cell r="O390">
            <v>2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</row>
        <row r="391">
          <cell r="A391" t="str">
            <v>J75434</v>
          </cell>
          <cell r="B391">
            <v>5</v>
          </cell>
          <cell r="C391">
            <v>2</v>
          </cell>
          <cell r="D391">
            <v>2</v>
          </cell>
          <cell r="E391">
            <v>3</v>
          </cell>
          <cell r="F391">
            <v>5</v>
          </cell>
          <cell r="G391">
            <v>4</v>
          </cell>
          <cell r="H391">
            <v>4</v>
          </cell>
          <cell r="I391">
            <v>5</v>
          </cell>
          <cell r="J391">
            <v>2</v>
          </cell>
          <cell r="K391">
            <v>4</v>
          </cell>
          <cell r="L391">
            <v>4</v>
          </cell>
          <cell r="M391">
            <v>4</v>
          </cell>
          <cell r="N391">
            <v>2</v>
          </cell>
          <cell r="O391">
            <v>2</v>
          </cell>
          <cell r="P391">
            <v>0</v>
          </cell>
          <cell r="Q391">
            <v>2</v>
          </cell>
          <cell r="R391">
            <v>4</v>
          </cell>
          <cell r="S391">
            <v>3</v>
          </cell>
          <cell r="T391">
            <v>0</v>
          </cell>
          <cell r="U391">
            <v>2</v>
          </cell>
        </row>
        <row r="392">
          <cell r="A392" t="str">
            <v>J75436</v>
          </cell>
          <cell r="B392">
            <v>5</v>
          </cell>
          <cell r="C392">
            <v>4</v>
          </cell>
          <cell r="D392">
            <v>4</v>
          </cell>
          <cell r="E392">
            <v>4</v>
          </cell>
          <cell r="F392">
            <v>5</v>
          </cell>
          <cell r="G392">
            <v>4</v>
          </cell>
          <cell r="H392">
            <v>4</v>
          </cell>
          <cell r="I392">
            <v>5</v>
          </cell>
          <cell r="J392">
            <v>4</v>
          </cell>
          <cell r="K392">
            <v>4</v>
          </cell>
          <cell r="L392">
            <v>4</v>
          </cell>
          <cell r="M392">
            <v>4</v>
          </cell>
          <cell r="N392">
            <v>4</v>
          </cell>
          <cell r="O392">
            <v>4</v>
          </cell>
          <cell r="P392">
            <v>2</v>
          </cell>
          <cell r="Q392">
            <v>2</v>
          </cell>
          <cell r="R392">
            <v>4</v>
          </cell>
          <cell r="S392">
            <v>3</v>
          </cell>
          <cell r="T392">
            <v>2</v>
          </cell>
          <cell r="U392">
            <v>4</v>
          </cell>
        </row>
        <row r="393">
          <cell r="A393" t="str">
            <v>J75437</v>
          </cell>
          <cell r="B393">
            <v>5</v>
          </cell>
          <cell r="C393">
            <v>2</v>
          </cell>
          <cell r="D393">
            <v>2</v>
          </cell>
          <cell r="E393">
            <v>3</v>
          </cell>
          <cell r="F393">
            <v>5</v>
          </cell>
          <cell r="G393">
            <v>4</v>
          </cell>
          <cell r="H393">
            <v>4</v>
          </cell>
          <cell r="I393">
            <v>5</v>
          </cell>
          <cell r="J393">
            <v>2</v>
          </cell>
          <cell r="K393">
            <v>4</v>
          </cell>
          <cell r="L393">
            <v>4</v>
          </cell>
          <cell r="M393">
            <v>4</v>
          </cell>
          <cell r="N393">
            <v>2</v>
          </cell>
          <cell r="O393">
            <v>2</v>
          </cell>
          <cell r="P393">
            <v>2</v>
          </cell>
          <cell r="Q393">
            <v>2</v>
          </cell>
          <cell r="R393">
            <v>4</v>
          </cell>
          <cell r="S393">
            <v>3</v>
          </cell>
          <cell r="T393">
            <v>2</v>
          </cell>
          <cell r="U393">
            <v>2</v>
          </cell>
        </row>
        <row r="394">
          <cell r="A394" t="str">
            <v>J75438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2</v>
          </cell>
          <cell r="Q394">
            <v>2</v>
          </cell>
          <cell r="R394">
            <v>4</v>
          </cell>
          <cell r="S394">
            <v>3</v>
          </cell>
          <cell r="T394">
            <v>2</v>
          </cell>
          <cell r="U394">
            <v>0</v>
          </cell>
        </row>
        <row r="395">
          <cell r="A395" t="str">
            <v>J75503</v>
          </cell>
          <cell r="B395">
            <v>2</v>
          </cell>
          <cell r="C395">
            <v>2</v>
          </cell>
          <cell r="D395">
            <v>2</v>
          </cell>
          <cell r="E395">
            <v>2</v>
          </cell>
          <cell r="F395">
            <v>2</v>
          </cell>
          <cell r="G395">
            <v>2</v>
          </cell>
          <cell r="H395">
            <v>2</v>
          </cell>
          <cell r="I395">
            <v>2</v>
          </cell>
          <cell r="J395">
            <v>2</v>
          </cell>
          <cell r="K395">
            <v>2</v>
          </cell>
          <cell r="L395">
            <v>2</v>
          </cell>
          <cell r="M395">
            <v>2</v>
          </cell>
          <cell r="N395">
            <v>2</v>
          </cell>
          <cell r="O395">
            <v>2</v>
          </cell>
          <cell r="P395">
            <v>0</v>
          </cell>
          <cell r="Q395">
            <v>2</v>
          </cell>
          <cell r="R395">
            <v>2</v>
          </cell>
          <cell r="S395">
            <v>2</v>
          </cell>
          <cell r="T395">
            <v>0</v>
          </cell>
          <cell r="U395">
            <v>2</v>
          </cell>
        </row>
        <row r="396">
          <cell r="A396" t="str">
            <v>J75504</v>
          </cell>
          <cell r="B396">
            <v>3</v>
          </cell>
          <cell r="C396">
            <v>3</v>
          </cell>
          <cell r="D396">
            <v>3</v>
          </cell>
          <cell r="E396">
            <v>3</v>
          </cell>
          <cell r="F396">
            <v>3</v>
          </cell>
          <cell r="G396">
            <v>3</v>
          </cell>
          <cell r="H396">
            <v>3</v>
          </cell>
          <cell r="I396">
            <v>3</v>
          </cell>
          <cell r="J396">
            <v>3</v>
          </cell>
          <cell r="K396">
            <v>3</v>
          </cell>
          <cell r="L396">
            <v>3</v>
          </cell>
          <cell r="M396">
            <v>3</v>
          </cell>
          <cell r="N396">
            <v>3</v>
          </cell>
          <cell r="O396">
            <v>3</v>
          </cell>
          <cell r="P396">
            <v>0</v>
          </cell>
          <cell r="Q396">
            <v>3</v>
          </cell>
          <cell r="R396">
            <v>3</v>
          </cell>
          <cell r="S396">
            <v>3</v>
          </cell>
          <cell r="T396">
            <v>0</v>
          </cell>
          <cell r="U396">
            <v>3</v>
          </cell>
        </row>
        <row r="397">
          <cell r="A397" t="str">
            <v>J84001</v>
          </cell>
          <cell r="B397">
            <v>9</v>
          </cell>
          <cell r="C397">
            <v>3</v>
          </cell>
          <cell r="D397">
            <v>3</v>
          </cell>
          <cell r="E397">
            <v>5</v>
          </cell>
          <cell r="F397">
            <v>9</v>
          </cell>
          <cell r="G397">
            <v>6</v>
          </cell>
          <cell r="H397">
            <v>8</v>
          </cell>
          <cell r="I397">
            <v>9</v>
          </cell>
          <cell r="J397">
            <v>2</v>
          </cell>
          <cell r="K397">
            <v>9</v>
          </cell>
          <cell r="L397">
            <v>7</v>
          </cell>
          <cell r="M397">
            <v>7</v>
          </cell>
          <cell r="N397">
            <v>3</v>
          </cell>
          <cell r="O397">
            <v>2</v>
          </cell>
          <cell r="P397">
            <v>0</v>
          </cell>
          <cell r="Q397">
            <v>3</v>
          </cell>
          <cell r="R397">
            <v>8</v>
          </cell>
          <cell r="S397">
            <v>5</v>
          </cell>
          <cell r="T397">
            <v>0</v>
          </cell>
          <cell r="U397">
            <v>2</v>
          </cell>
        </row>
        <row r="398">
          <cell r="A398" t="str">
            <v>J84002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</row>
        <row r="399">
          <cell r="A399" t="str">
            <v>J84003</v>
          </cell>
          <cell r="B399">
            <v>3</v>
          </cell>
          <cell r="C399">
            <v>3</v>
          </cell>
          <cell r="D399">
            <v>3</v>
          </cell>
          <cell r="E399">
            <v>3</v>
          </cell>
          <cell r="F399">
            <v>3</v>
          </cell>
          <cell r="G399">
            <v>3</v>
          </cell>
          <cell r="H399">
            <v>3</v>
          </cell>
          <cell r="I399">
            <v>3</v>
          </cell>
          <cell r="J399">
            <v>3</v>
          </cell>
          <cell r="K399">
            <v>3</v>
          </cell>
          <cell r="L399">
            <v>3</v>
          </cell>
          <cell r="M399">
            <v>3</v>
          </cell>
          <cell r="N399">
            <v>3</v>
          </cell>
          <cell r="O399">
            <v>3</v>
          </cell>
          <cell r="P399">
            <v>0</v>
          </cell>
          <cell r="Q399">
            <v>3</v>
          </cell>
          <cell r="R399">
            <v>3</v>
          </cell>
          <cell r="S399">
            <v>3</v>
          </cell>
          <cell r="T399">
            <v>0</v>
          </cell>
          <cell r="U399">
            <v>3</v>
          </cell>
        </row>
        <row r="400">
          <cell r="A400" t="str">
            <v>J84004</v>
          </cell>
          <cell r="B400">
            <v>2</v>
          </cell>
          <cell r="C400">
            <v>2</v>
          </cell>
          <cell r="D400">
            <v>2</v>
          </cell>
          <cell r="E400">
            <v>2</v>
          </cell>
          <cell r="F400">
            <v>2</v>
          </cell>
          <cell r="G400">
            <v>2</v>
          </cell>
          <cell r="H400">
            <v>2</v>
          </cell>
          <cell r="I400">
            <v>2</v>
          </cell>
          <cell r="J400">
            <v>2</v>
          </cell>
          <cell r="K400">
            <v>2</v>
          </cell>
          <cell r="L400">
            <v>2</v>
          </cell>
          <cell r="M400">
            <v>2</v>
          </cell>
          <cell r="N400">
            <v>2</v>
          </cell>
          <cell r="O400">
            <v>2</v>
          </cell>
          <cell r="P400">
            <v>0</v>
          </cell>
          <cell r="Q400">
            <v>2</v>
          </cell>
          <cell r="R400">
            <v>2</v>
          </cell>
          <cell r="S400">
            <v>2</v>
          </cell>
          <cell r="T400">
            <v>0</v>
          </cell>
          <cell r="U400">
            <v>2</v>
          </cell>
        </row>
        <row r="401">
          <cell r="A401" t="str">
            <v>J84005</v>
          </cell>
          <cell r="B401">
            <v>1</v>
          </cell>
          <cell r="C401">
            <v>1</v>
          </cell>
          <cell r="D401">
            <v>1</v>
          </cell>
          <cell r="E401">
            <v>1</v>
          </cell>
          <cell r="F401">
            <v>1</v>
          </cell>
          <cell r="G401">
            <v>1</v>
          </cell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1</v>
          </cell>
          <cell r="M401">
            <v>1</v>
          </cell>
          <cell r="N401">
            <v>1</v>
          </cell>
          <cell r="O401">
            <v>1</v>
          </cell>
          <cell r="P401">
            <v>0</v>
          </cell>
          <cell r="Q401">
            <v>1</v>
          </cell>
          <cell r="R401">
            <v>1</v>
          </cell>
          <cell r="S401">
            <v>1</v>
          </cell>
          <cell r="T401">
            <v>0</v>
          </cell>
          <cell r="U401">
            <v>1</v>
          </cell>
        </row>
        <row r="402">
          <cell r="A402" t="str">
            <v>J84006</v>
          </cell>
          <cell r="B402">
            <v>2</v>
          </cell>
          <cell r="C402">
            <v>2</v>
          </cell>
          <cell r="D402">
            <v>2</v>
          </cell>
          <cell r="E402">
            <v>2</v>
          </cell>
          <cell r="F402">
            <v>2</v>
          </cell>
          <cell r="G402">
            <v>2</v>
          </cell>
          <cell r="H402">
            <v>2</v>
          </cell>
          <cell r="I402">
            <v>2</v>
          </cell>
          <cell r="J402">
            <v>2</v>
          </cell>
          <cell r="K402">
            <v>2</v>
          </cell>
          <cell r="L402">
            <v>2</v>
          </cell>
          <cell r="M402">
            <v>2</v>
          </cell>
          <cell r="N402">
            <v>2</v>
          </cell>
          <cell r="O402">
            <v>2</v>
          </cell>
          <cell r="P402">
            <v>0</v>
          </cell>
          <cell r="Q402">
            <v>2</v>
          </cell>
          <cell r="R402">
            <v>2</v>
          </cell>
          <cell r="S402">
            <v>2</v>
          </cell>
          <cell r="T402">
            <v>0</v>
          </cell>
          <cell r="U402">
            <v>2</v>
          </cell>
        </row>
        <row r="403">
          <cell r="A403" t="str">
            <v>J84014</v>
          </cell>
          <cell r="B403">
            <v>3</v>
          </cell>
          <cell r="C403">
            <v>3</v>
          </cell>
          <cell r="D403">
            <v>3</v>
          </cell>
          <cell r="E403">
            <v>3</v>
          </cell>
          <cell r="F403">
            <v>3</v>
          </cell>
          <cell r="G403">
            <v>3</v>
          </cell>
          <cell r="H403">
            <v>3</v>
          </cell>
          <cell r="I403">
            <v>3</v>
          </cell>
          <cell r="J403">
            <v>3</v>
          </cell>
          <cell r="K403">
            <v>3</v>
          </cell>
          <cell r="L403">
            <v>3</v>
          </cell>
          <cell r="M403">
            <v>3</v>
          </cell>
          <cell r="N403">
            <v>3</v>
          </cell>
          <cell r="O403">
            <v>3</v>
          </cell>
          <cell r="P403">
            <v>0</v>
          </cell>
          <cell r="Q403">
            <v>3</v>
          </cell>
          <cell r="R403">
            <v>3</v>
          </cell>
          <cell r="S403">
            <v>3</v>
          </cell>
          <cell r="T403">
            <v>0</v>
          </cell>
          <cell r="U403">
            <v>3</v>
          </cell>
        </row>
        <row r="404">
          <cell r="A404" t="str">
            <v>J84016</v>
          </cell>
          <cell r="B404">
            <v>2</v>
          </cell>
          <cell r="C404">
            <v>2</v>
          </cell>
          <cell r="D404">
            <v>2</v>
          </cell>
          <cell r="E404">
            <v>2</v>
          </cell>
          <cell r="F404">
            <v>2</v>
          </cell>
          <cell r="G404">
            <v>2</v>
          </cell>
          <cell r="H404">
            <v>2</v>
          </cell>
          <cell r="I404">
            <v>2</v>
          </cell>
          <cell r="J404">
            <v>2</v>
          </cell>
          <cell r="K404">
            <v>2</v>
          </cell>
          <cell r="L404">
            <v>2</v>
          </cell>
          <cell r="M404">
            <v>2</v>
          </cell>
          <cell r="N404">
            <v>2</v>
          </cell>
          <cell r="O404">
            <v>2</v>
          </cell>
          <cell r="P404">
            <v>0</v>
          </cell>
          <cell r="Q404">
            <v>2</v>
          </cell>
          <cell r="R404">
            <v>2</v>
          </cell>
          <cell r="S404">
            <v>2</v>
          </cell>
          <cell r="T404">
            <v>0</v>
          </cell>
          <cell r="U404">
            <v>2</v>
          </cell>
        </row>
        <row r="405">
          <cell r="A405" t="str">
            <v>J84020</v>
          </cell>
          <cell r="B405">
            <v>24</v>
          </cell>
          <cell r="C405">
            <v>6</v>
          </cell>
          <cell r="D405">
            <v>6</v>
          </cell>
          <cell r="E405">
            <v>12</v>
          </cell>
          <cell r="F405">
            <v>24</v>
          </cell>
          <cell r="G405">
            <v>14</v>
          </cell>
          <cell r="H405">
            <v>19</v>
          </cell>
          <cell r="I405">
            <v>24</v>
          </cell>
          <cell r="J405">
            <v>6</v>
          </cell>
          <cell r="K405">
            <v>23</v>
          </cell>
          <cell r="L405">
            <v>16</v>
          </cell>
          <cell r="M405">
            <v>16</v>
          </cell>
          <cell r="N405">
            <v>6</v>
          </cell>
          <cell r="O405">
            <v>6</v>
          </cell>
          <cell r="P405">
            <v>0</v>
          </cell>
          <cell r="Q405">
            <v>6</v>
          </cell>
          <cell r="R405">
            <v>21</v>
          </cell>
          <cell r="S405">
            <v>10</v>
          </cell>
          <cell r="T405">
            <v>0</v>
          </cell>
          <cell r="U405">
            <v>6</v>
          </cell>
        </row>
        <row r="406">
          <cell r="A406" t="str">
            <v>J84021</v>
          </cell>
          <cell r="B406">
            <v>2</v>
          </cell>
          <cell r="C406">
            <v>2</v>
          </cell>
          <cell r="D406">
            <v>2</v>
          </cell>
          <cell r="E406">
            <v>2</v>
          </cell>
          <cell r="F406">
            <v>2</v>
          </cell>
          <cell r="G406">
            <v>2</v>
          </cell>
          <cell r="H406">
            <v>2</v>
          </cell>
          <cell r="I406">
            <v>2</v>
          </cell>
          <cell r="J406">
            <v>2</v>
          </cell>
          <cell r="K406">
            <v>2</v>
          </cell>
          <cell r="L406">
            <v>2</v>
          </cell>
          <cell r="M406">
            <v>2</v>
          </cell>
          <cell r="N406">
            <v>2</v>
          </cell>
          <cell r="O406">
            <v>2</v>
          </cell>
          <cell r="P406">
            <v>0</v>
          </cell>
          <cell r="Q406">
            <v>2</v>
          </cell>
          <cell r="R406">
            <v>2</v>
          </cell>
          <cell r="S406">
            <v>2</v>
          </cell>
          <cell r="T406">
            <v>0</v>
          </cell>
          <cell r="U406">
            <v>2</v>
          </cell>
        </row>
        <row r="407">
          <cell r="A407" t="str">
            <v>J84024</v>
          </cell>
          <cell r="B407">
            <v>14</v>
          </cell>
          <cell r="C407">
            <v>10</v>
          </cell>
          <cell r="D407">
            <v>10</v>
          </cell>
          <cell r="E407">
            <v>11</v>
          </cell>
          <cell r="F407">
            <v>14</v>
          </cell>
          <cell r="G407">
            <v>12</v>
          </cell>
          <cell r="H407">
            <v>13</v>
          </cell>
          <cell r="I407">
            <v>14</v>
          </cell>
          <cell r="J407">
            <v>10</v>
          </cell>
          <cell r="K407">
            <v>14</v>
          </cell>
          <cell r="L407">
            <v>12</v>
          </cell>
          <cell r="M407">
            <v>4</v>
          </cell>
          <cell r="N407">
            <v>10</v>
          </cell>
          <cell r="O407">
            <v>10</v>
          </cell>
          <cell r="P407">
            <v>0</v>
          </cell>
          <cell r="Q407">
            <v>10</v>
          </cell>
          <cell r="R407">
            <v>14</v>
          </cell>
          <cell r="S407">
            <v>11</v>
          </cell>
          <cell r="T407">
            <v>0</v>
          </cell>
          <cell r="U407">
            <v>10</v>
          </cell>
        </row>
        <row r="408">
          <cell r="A408" t="str">
            <v>J84030</v>
          </cell>
          <cell r="B408">
            <v>2</v>
          </cell>
          <cell r="C408">
            <v>2</v>
          </cell>
          <cell r="D408">
            <v>2</v>
          </cell>
          <cell r="E408">
            <v>2</v>
          </cell>
          <cell r="F408">
            <v>2</v>
          </cell>
          <cell r="G408">
            <v>2</v>
          </cell>
          <cell r="H408">
            <v>2</v>
          </cell>
          <cell r="I408">
            <v>2</v>
          </cell>
          <cell r="J408">
            <v>2</v>
          </cell>
          <cell r="K408">
            <v>2</v>
          </cell>
          <cell r="L408">
            <v>2</v>
          </cell>
          <cell r="M408">
            <v>2</v>
          </cell>
          <cell r="N408">
            <v>2</v>
          </cell>
          <cell r="O408">
            <v>2</v>
          </cell>
          <cell r="P408">
            <v>0</v>
          </cell>
          <cell r="Q408">
            <v>2</v>
          </cell>
          <cell r="R408">
            <v>2</v>
          </cell>
          <cell r="S408">
            <v>2</v>
          </cell>
          <cell r="T408">
            <v>0</v>
          </cell>
          <cell r="U408">
            <v>2</v>
          </cell>
        </row>
        <row r="409">
          <cell r="A409" t="str">
            <v>J84031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</row>
        <row r="410">
          <cell r="A410" t="str">
            <v>J84032</v>
          </cell>
          <cell r="B410">
            <v>1</v>
          </cell>
          <cell r="C410">
            <v>1</v>
          </cell>
          <cell r="D410">
            <v>1</v>
          </cell>
          <cell r="E410">
            <v>1</v>
          </cell>
          <cell r="F410">
            <v>1</v>
          </cell>
          <cell r="G410">
            <v>1</v>
          </cell>
          <cell r="H410">
            <v>1</v>
          </cell>
          <cell r="I410">
            <v>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  <cell r="N410">
            <v>1</v>
          </cell>
          <cell r="O410">
            <v>1</v>
          </cell>
          <cell r="P410">
            <v>0</v>
          </cell>
          <cell r="Q410">
            <v>1</v>
          </cell>
          <cell r="R410">
            <v>1</v>
          </cell>
          <cell r="S410">
            <v>1</v>
          </cell>
          <cell r="T410">
            <v>0</v>
          </cell>
          <cell r="U410">
            <v>1</v>
          </cell>
        </row>
        <row r="411">
          <cell r="A411" t="str">
            <v>J84033</v>
          </cell>
          <cell r="B411">
            <v>5</v>
          </cell>
          <cell r="C411">
            <v>2</v>
          </cell>
          <cell r="D411">
            <v>2</v>
          </cell>
          <cell r="E411">
            <v>3</v>
          </cell>
          <cell r="F411">
            <v>5</v>
          </cell>
          <cell r="G411">
            <v>4</v>
          </cell>
          <cell r="H411">
            <v>5</v>
          </cell>
          <cell r="I411">
            <v>5</v>
          </cell>
          <cell r="J411">
            <v>2</v>
          </cell>
          <cell r="K411">
            <v>5</v>
          </cell>
          <cell r="L411">
            <v>4</v>
          </cell>
          <cell r="M411">
            <v>4</v>
          </cell>
          <cell r="N411">
            <v>2</v>
          </cell>
          <cell r="O411">
            <v>2</v>
          </cell>
          <cell r="P411">
            <v>2</v>
          </cell>
          <cell r="Q411">
            <v>2</v>
          </cell>
          <cell r="R411">
            <v>5</v>
          </cell>
          <cell r="S411">
            <v>3</v>
          </cell>
          <cell r="T411">
            <v>2</v>
          </cell>
          <cell r="U411">
            <v>2</v>
          </cell>
        </row>
        <row r="412">
          <cell r="A412" t="str">
            <v>J84034</v>
          </cell>
          <cell r="B412">
            <v>2</v>
          </cell>
          <cell r="C412">
            <v>2</v>
          </cell>
          <cell r="D412">
            <v>2</v>
          </cell>
          <cell r="E412">
            <v>1</v>
          </cell>
          <cell r="F412">
            <v>2</v>
          </cell>
          <cell r="G412">
            <v>1</v>
          </cell>
          <cell r="H412">
            <v>2</v>
          </cell>
          <cell r="I412">
            <v>2</v>
          </cell>
          <cell r="J412">
            <v>2</v>
          </cell>
          <cell r="K412">
            <v>2</v>
          </cell>
          <cell r="L412">
            <v>2</v>
          </cell>
          <cell r="M412">
            <v>1</v>
          </cell>
          <cell r="N412">
            <v>2</v>
          </cell>
          <cell r="O412">
            <v>1</v>
          </cell>
          <cell r="P412">
            <v>0</v>
          </cell>
          <cell r="Q412">
            <v>2</v>
          </cell>
          <cell r="R412">
            <v>2</v>
          </cell>
          <cell r="S412">
            <v>2</v>
          </cell>
          <cell r="T412">
            <v>0</v>
          </cell>
          <cell r="U412">
            <v>1</v>
          </cell>
        </row>
        <row r="413">
          <cell r="A413" t="str">
            <v>J84035</v>
          </cell>
          <cell r="B413">
            <v>1</v>
          </cell>
          <cell r="C413">
            <v>1</v>
          </cell>
          <cell r="D413">
            <v>1</v>
          </cell>
          <cell r="E413">
            <v>1</v>
          </cell>
          <cell r="F413">
            <v>1</v>
          </cell>
          <cell r="G413">
            <v>1</v>
          </cell>
          <cell r="H413">
            <v>1</v>
          </cell>
          <cell r="I413">
            <v>1</v>
          </cell>
          <cell r="J413">
            <v>1</v>
          </cell>
          <cell r="K413">
            <v>1</v>
          </cell>
          <cell r="L413">
            <v>1</v>
          </cell>
          <cell r="M413">
            <v>1</v>
          </cell>
          <cell r="N413">
            <v>1</v>
          </cell>
          <cell r="O413">
            <v>1</v>
          </cell>
          <cell r="P413">
            <v>0</v>
          </cell>
          <cell r="Q413">
            <v>1</v>
          </cell>
          <cell r="R413">
            <v>1</v>
          </cell>
          <cell r="S413">
            <v>1</v>
          </cell>
          <cell r="T413">
            <v>0</v>
          </cell>
          <cell r="U413">
            <v>1</v>
          </cell>
        </row>
        <row r="414">
          <cell r="A414" t="str">
            <v>J84036</v>
          </cell>
          <cell r="B414">
            <v>1</v>
          </cell>
          <cell r="C414">
            <v>1</v>
          </cell>
          <cell r="D414">
            <v>1</v>
          </cell>
          <cell r="E414">
            <v>1</v>
          </cell>
          <cell r="F414">
            <v>1</v>
          </cell>
          <cell r="G414">
            <v>1</v>
          </cell>
          <cell r="H414">
            <v>1</v>
          </cell>
          <cell r="I414">
            <v>1</v>
          </cell>
          <cell r="J414">
            <v>1</v>
          </cell>
          <cell r="K414">
            <v>1</v>
          </cell>
          <cell r="L414">
            <v>1</v>
          </cell>
          <cell r="M414">
            <v>1</v>
          </cell>
          <cell r="N414">
            <v>1</v>
          </cell>
          <cell r="O414">
            <v>1</v>
          </cell>
          <cell r="P414">
            <v>0</v>
          </cell>
          <cell r="Q414">
            <v>1</v>
          </cell>
          <cell r="R414">
            <v>1</v>
          </cell>
          <cell r="S414">
            <v>1</v>
          </cell>
          <cell r="T414">
            <v>0</v>
          </cell>
          <cell r="U414">
            <v>1</v>
          </cell>
        </row>
        <row r="415">
          <cell r="A415" t="str">
            <v>J84037</v>
          </cell>
          <cell r="B415">
            <v>2</v>
          </cell>
          <cell r="C415">
            <v>2</v>
          </cell>
          <cell r="D415">
            <v>2</v>
          </cell>
          <cell r="E415">
            <v>2</v>
          </cell>
          <cell r="F415">
            <v>2</v>
          </cell>
          <cell r="G415">
            <v>2</v>
          </cell>
          <cell r="H415">
            <v>2</v>
          </cell>
          <cell r="I415">
            <v>2</v>
          </cell>
          <cell r="J415">
            <v>2</v>
          </cell>
          <cell r="K415">
            <v>2</v>
          </cell>
          <cell r="L415">
            <v>2</v>
          </cell>
          <cell r="M415">
            <v>2</v>
          </cell>
          <cell r="N415">
            <v>2</v>
          </cell>
          <cell r="O415">
            <v>2</v>
          </cell>
          <cell r="P415">
            <v>0</v>
          </cell>
          <cell r="Q415">
            <v>2</v>
          </cell>
          <cell r="R415">
            <v>2</v>
          </cell>
          <cell r="S415">
            <v>2</v>
          </cell>
          <cell r="T415">
            <v>0</v>
          </cell>
          <cell r="U415">
            <v>2</v>
          </cell>
        </row>
        <row r="416">
          <cell r="A416" t="str">
            <v>J84038</v>
          </cell>
          <cell r="B416">
            <v>9</v>
          </cell>
          <cell r="C416">
            <v>3</v>
          </cell>
          <cell r="D416">
            <v>3</v>
          </cell>
          <cell r="E416">
            <v>5</v>
          </cell>
          <cell r="F416">
            <v>9</v>
          </cell>
          <cell r="G416">
            <v>6</v>
          </cell>
          <cell r="H416">
            <v>8</v>
          </cell>
          <cell r="I416">
            <v>9</v>
          </cell>
          <cell r="J416">
            <v>2</v>
          </cell>
          <cell r="K416">
            <v>9</v>
          </cell>
          <cell r="L416">
            <v>7</v>
          </cell>
          <cell r="M416">
            <v>7</v>
          </cell>
          <cell r="N416">
            <v>3</v>
          </cell>
          <cell r="O416">
            <v>2</v>
          </cell>
          <cell r="P416">
            <v>0</v>
          </cell>
          <cell r="Q416">
            <v>3</v>
          </cell>
          <cell r="R416">
            <v>8</v>
          </cell>
          <cell r="S416">
            <v>5</v>
          </cell>
          <cell r="T416">
            <v>0</v>
          </cell>
          <cell r="U416">
            <v>2</v>
          </cell>
        </row>
        <row r="417">
          <cell r="A417" t="str">
            <v>J96001</v>
          </cell>
          <cell r="B417">
            <v>2</v>
          </cell>
          <cell r="C417">
            <v>2</v>
          </cell>
          <cell r="D417">
            <v>2</v>
          </cell>
          <cell r="E417">
            <v>2</v>
          </cell>
          <cell r="F417">
            <v>2</v>
          </cell>
          <cell r="G417">
            <v>2</v>
          </cell>
          <cell r="H417">
            <v>2</v>
          </cell>
          <cell r="I417">
            <v>2</v>
          </cell>
          <cell r="J417">
            <v>2</v>
          </cell>
          <cell r="K417">
            <v>2</v>
          </cell>
          <cell r="L417">
            <v>2</v>
          </cell>
          <cell r="M417">
            <v>2</v>
          </cell>
          <cell r="N417">
            <v>2</v>
          </cell>
          <cell r="O417">
            <v>2</v>
          </cell>
          <cell r="P417">
            <v>0</v>
          </cell>
          <cell r="Q417">
            <v>2</v>
          </cell>
          <cell r="R417">
            <v>2</v>
          </cell>
          <cell r="S417">
            <v>2</v>
          </cell>
          <cell r="T417">
            <v>0</v>
          </cell>
          <cell r="U417">
            <v>2</v>
          </cell>
        </row>
        <row r="418">
          <cell r="A418" t="str">
            <v>J96005</v>
          </cell>
          <cell r="B418">
            <v>1</v>
          </cell>
          <cell r="C418">
            <v>1</v>
          </cell>
          <cell r="D418">
            <v>1</v>
          </cell>
          <cell r="E418">
            <v>1</v>
          </cell>
          <cell r="F418">
            <v>1</v>
          </cell>
          <cell r="G418">
            <v>1</v>
          </cell>
          <cell r="H418">
            <v>1</v>
          </cell>
          <cell r="I418">
            <v>1</v>
          </cell>
          <cell r="J418">
            <v>1</v>
          </cell>
          <cell r="K418">
            <v>1</v>
          </cell>
          <cell r="L418">
            <v>1</v>
          </cell>
          <cell r="M418">
            <v>1</v>
          </cell>
          <cell r="N418">
            <v>1</v>
          </cell>
          <cell r="O418">
            <v>1</v>
          </cell>
          <cell r="P418">
            <v>0</v>
          </cell>
          <cell r="Q418">
            <v>1</v>
          </cell>
          <cell r="R418">
            <v>1</v>
          </cell>
          <cell r="S418">
            <v>1</v>
          </cell>
          <cell r="T418">
            <v>0</v>
          </cell>
          <cell r="U418">
            <v>1</v>
          </cell>
        </row>
        <row r="419">
          <cell r="A419" t="str">
            <v>J96007</v>
          </cell>
          <cell r="B419">
            <v>1</v>
          </cell>
          <cell r="C419">
            <v>1</v>
          </cell>
          <cell r="D419">
            <v>1</v>
          </cell>
          <cell r="E419">
            <v>1</v>
          </cell>
          <cell r="F419">
            <v>1</v>
          </cell>
          <cell r="G419">
            <v>1</v>
          </cell>
          <cell r="H419">
            <v>1</v>
          </cell>
          <cell r="I419">
            <v>1</v>
          </cell>
          <cell r="J419">
            <v>1</v>
          </cell>
          <cell r="K419">
            <v>1</v>
          </cell>
          <cell r="L419">
            <v>1</v>
          </cell>
          <cell r="M419">
            <v>1</v>
          </cell>
          <cell r="N419">
            <v>1</v>
          </cell>
          <cell r="O419">
            <v>1</v>
          </cell>
          <cell r="P419">
            <v>0</v>
          </cell>
          <cell r="Q419">
            <v>1</v>
          </cell>
          <cell r="R419">
            <v>1</v>
          </cell>
          <cell r="S419">
            <v>1</v>
          </cell>
          <cell r="T419">
            <v>0</v>
          </cell>
          <cell r="U419">
            <v>1</v>
          </cell>
        </row>
        <row r="420">
          <cell r="A420" t="str">
            <v>J96008</v>
          </cell>
          <cell r="B420">
            <v>1</v>
          </cell>
          <cell r="C420">
            <v>1</v>
          </cell>
          <cell r="D420">
            <v>1</v>
          </cell>
          <cell r="E420">
            <v>1</v>
          </cell>
          <cell r="F420">
            <v>1</v>
          </cell>
          <cell r="G420">
            <v>1</v>
          </cell>
          <cell r="H420">
            <v>1</v>
          </cell>
          <cell r="I420">
            <v>1</v>
          </cell>
          <cell r="J420">
            <v>1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O420">
            <v>1</v>
          </cell>
          <cell r="P420">
            <v>0</v>
          </cell>
          <cell r="Q420">
            <v>1</v>
          </cell>
          <cell r="R420">
            <v>1</v>
          </cell>
          <cell r="S420">
            <v>1</v>
          </cell>
          <cell r="T420">
            <v>0</v>
          </cell>
          <cell r="U420">
            <v>1</v>
          </cell>
        </row>
        <row r="421">
          <cell r="A421" t="str">
            <v>J96009</v>
          </cell>
          <cell r="B421">
            <v>38</v>
          </cell>
          <cell r="C421">
            <v>11</v>
          </cell>
          <cell r="D421">
            <v>11</v>
          </cell>
          <cell r="E421">
            <v>20</v>
          </cell>
          <cell r="F421">
            <v>38</v>
          </cell>
          <cell r="G421">
            <v>23</v>
          </cell>
          <cell r="H421">
            <v>31</v>
          </cell>
          <cell r="I421">
            <v>38</v>
          </cell>
          <cell r="J421">
            <v>4</v>
          </cell>
          <cell r="K421">
            <v>37</v>
          </cell>
          <cell r="L421">
            <v>26</v>
          </cell>
          <cell r="M421">
            <v>26</v>
          </cell>
          <cell r="N421">
            <v>8</v>
          </cell>
          <cell r="O421">
            <v>7</v>
          </cell>
          <cell r="P421">
            <v>0</v>
          </cell>
          <cell r="Q421">
            <v>10</v>
          </cell>
          <cell r="R421">
            <v>34</v>
          </cell>
          <cell r="S421">
            <v>17</v>
          </cell>
          <cell r="T421">
            <v>0</v>
          </cell>
          <cell r="U421">
            <v>5</v>
          </cell>
        </row>
        <row r="422">
          <cell r="A422" t="str">
            <v>J96010</v>
          </cell>
          <cell r="B422">
            <v>2</v>
          </cell>
          <cell r="C422">
            <v>2</v>
          </cell>
          <cell r="D422">
            <v>2</v>
          </cell>
          <cell r="E422">
            <v>2</v>
          </cell>
          <cell r="F422">
            <v>2</v>
          </cell>
          <cell r="G422">
            <v>2</v>
          </cell>
          <cell r="H422">
            <v>2</v>
          </cell>
          <cell r="I422">
            <v>2</v>
          </cell>
          <cell r="J422">
            <v>2</v>
          </cell>
          <cell r="K422">
            <v>2</v>
          </cell>
          <cell r="L422">
            <v>2</v>
          </cell>
          <cell r="M422">
            <v>2</v>
          </cell>
          <cell r="N422">
            <v>2</v>
          </cell>
          <cell r="O422">
            <v>2</v>
          </cell>
          <cell r="P422">
            <v>0</v>
          </cell>
          <cell r="Q422">
            <v>2</v>
          </cell>
          <cell r="R422">
            <v>2</v>
          </cell>
          <cell r="S422">
            <v>2</v>
          </cell>
          <cell r="T422">
            <v>0</v>
          </cell>
          <cell r="U422">
            <v>2</v>
          </cell>
        </row>
        <row r="423">
          <cell r="A423" t="str">
            <v>J96012</v>
          </cell>
          <cell r="B423">
            <v>6</v>
          </cell>
          <cell r="C423">
            <v>2</v>
          </cell>
          <cell r="D423">
            <v>2</v>
          </cell>
          <cell r="E423">
            <v>3</v>
          </cell>
          <cell r="F423">
            <v>6</v>
          </cell>
          <cell r="G423">
            <v>4</v>
          </cell>
          <cell r="H423">
            <v>5</v>
          </cell>
          <cell r="I423">
            <v>6</v>
          </cell>
          <cell r="J423">
            <v>1</v>
          </cell>
          <cell r="K423">
            <v>6</v>
          </cell>
          <cell r="L423">
            <v>4</v>
          </cell>
          <cell r="M423">
            <v>4</v>
          </cell>
          <cell r="N423">
            <v>1</v>
          </cell>
          <cell r="O423">
            <v>1</v>
          </cell>
          <cell r="P423">
            <v>0</v>
          </cell>
          <cell r="Q423">
            <v>2</v>
          </cell>
          <cell r="R423">
            <v>6</v>
          </cell>
          <cell r="S423">
            <v>3</v>
          </cell>
          <cell r="T423">
            <v>0</v>
          </cell>
          <cell r="U423">
            <v>1</v>
          </cell>
        </row>
        <row r="424">
          <cell r="A424" t="str">
            <v>J96013</v>
          </cell>
          <cell r="B424">
            <v>6</v>
          </cell>
          <cell r="C424">
            <v>2</v>
          </cell>
          <cell r="D424">
            <v>2</v>
          </cell>
          <cell r="E424">
            <v>3</v>
          </cell>
          <cell r="F424">
            <v>6</v>
          </cell>
          <cell r="G424">
            <v>4</v>
          </cell>
          <cell r="H424">
            <v>5</v>
          </cell>
          <cell r="I424">
            <v>6</v>
          </cell>
          <cell r="J424">
            <v>1</v>
          </cell>
          <cell r="K424">
            <v>6</v>
          </cell>
          <cell r="L424">
            <v>4</v>
          </cell>
          <cell r="M424">
            <v>4</v>
          </cell>
          <cell r="N424">
            <v>1</v>
          </cell>
          <cell r="O424">
            <v>1</v>
          </cell>
          <cell r="P424">
            <v>0</v>
          </cell>
          <cell r="Q424">
            <v>2</v>
          </cell>
          <cell r="R424">
            <v>6</v>
          </cell>
          <cell r="S424">
            <v>3</v>
          </cell>
          <cell r="T424">
            <v>0</v>
          </cell>
          <cell r="U424">
            <v>1</v>
          </cell>
        </row>
        <row r="425">
          <cell r="A425" t="str">
            <v>J96015</v>
          </cell>
          <cell r="B425">
            <v>2</v>
          </cell>
          <cell r="C425">
            <v>2</v>
          </cell>
          <cell r="D425">
            <v>2</v>
          </cell>
          <cell r="E425">
            <v>2</v>
          </cell>
          <cell r="F425">
            <v>2</v>
          </cell>
          <cell r="G425">
            <v>2</v>
          </cell>
          <cell r="H425">
            <v>2</v>
          </cell>
          <cell r="I425">
            <v>2</v>
          </cell>
          <cell r="J425">
            <v>2</v>
          </cell>
          <cell r="K425">
            <v>2</v>
          </cell>
          <cell r="L425">
            <v>2</v>
          </cell>
          <cell r="M425">
            <v>2</v>
          </cell>
          <cell r="N425">
            <v>2</v>
          </cell>
          <cell r="O425">
            <v>2</v>
          </cell>
          <cell r="P425">
            <v>0</v>
          </cell>
          <cell r="Q425">
            <v>2</v>
          </cell>
          <cell r="R425">
            <v>2</v>
          </cell>
          <cell r="S425">
            <v>2</v>
          </cell>
          <cell r="T425">
            <v>0</v>
          </cell>
          <cell r="U425">
            <v>2</v>
          </cell>
        </row>
        <row r="426">
          <cell r="A426" t="str">
            <v>J96016</v>
          </cell>
          <cell r="B426">
            <v>2</v>
          </cell>
          <cell r="C426">
            <v>2</v>
          </cell>
          <cell r="D426">
            <v>2</v>
          </cell>
          <cell r="E426">
            <v>2</v>
          </cell>
          <cell r="F426">
            <v>2</v>
          </cell>
          <cell r="G426">
            <v>2</v>
          </cell>
          <cell r="H426">
            <v>2</v>
          </cell>
          <cell r="I426">
            <v>2</v>
          </cell>
          <cell r="J426">
            <v>2</v>
          </cell>
          <cell r="K426">
            <v>2</v>
          </cell>
          <cell r="L426">
            <v>2</v>
          </cell>
          <cell r="M426">
            <v>2</v>
          </cell>
          <cell r="N426">
            <v>2</v>
          </cell>
          <cell r="O426">
            <v>2</v>
          </cell>
          <cell r="P426">
            <v>0</v>
          </cell>
          <cell r="Q426">
            <v>2</v>
          </cell>
          <cell r="R426">
            <v>2</v>
          </cell>
          <cell r="S426">
            <v>2</v>
          </cell>
          <cell r="T426">
            <v>0</v>
          </cell>
          <cell r="U426">
            <v>2</v>
          </cell>
        </row>
        <row r="427">
          <cell r="A427" t="str">
            <v>J96017</v>
          </cell>
          <cell r="B427">
            <v>2</v>
          </cell>
          <cell r="C427">
            <v>2</v>
          </cell>
          <cell r="D427">
            <v>2</v>
          </cell>
          <cell r="E427">
            <v>1</v>
          </cell>
          <cell r="F427">
            <v>2</v>
          </cell>
          <cell r="G427">
            <v>1</v>
          </cell>
          <cell r="H427">
            <v>2</v>
          </cell>
          <cell r="I427">
            <v>2</v>
          </cell>
          <cell r="J427">
            <v>2</v>
          </cell>
          <cell r="K427">
            <v>2</v>
          </cell>
          <cell r="L427">
            <v>2</v>
          </cell>
          <cell r="M427">
            <v>1</v>
          </cell>
          <cell r="N427">
            <v>2</v>
          </cell>
          <cell r="O427">
            <v>1</v>
          </cell>
          <cell r="P427">
            <v>0</v>
          </cell>
          <cell r="Q427">
            <v>2</v>
          </cell>
          <cell r="R427">
            <v>2</v>
          </cell>
          <cell r="S427">
            <v>2</v>
          </cell>
          <cell r="T427">
            <v>0</v>
          </cell>
          <cell r="U427">
            <v>1</v>
          </cell>
        </row>
        <row r="428">
          <cell r="A428" t="str">
            <v>JBT02</v>
          </cell>
          <cell r="B428">
            <v>1</v>
          </cell>
          <cell r="C428">
            <v>1</v>
          </cell>
          <cell r="D428">
            <v>1</v>
          </cell>
          <cell r="E428">
            <v>1</v>
          </cell>
          <cell r="F428">
            <v>1</v>
          </cell>
          <cell r="G428">
            <v>1</v>
          </cell>
          <cell r="H428">
            <v>1</v>
          </cell>
          <cell r="I428">
            <v>1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0</v>
          </cell>
          <cell r="Q428">
            <v>1</v>
          </cell>
          <cell r="R428">
            <v>1</v>
          </cell>
          <cell r="S428">
            <v>1</v>
          </cell>
          <cell r="T428">
            <v>0</v>
          </cell>
          <cell r="U428">
            <v>1</v>
          </cell>
        </row>
        <row r="429">
          <cell r="A429" t="str">
            <v>JBT05</v>
          </cell>
          <cell r="B429">
            <v>2</v>
          </cell>
          <cell r="C429">
            <v>1</v>
          </cell>
          <cell r="D429">
            <v>1</v>
          </cell>
          <cell r="E429">
            <v>1</v>
          </cell>
          <cell r="F429">
            <v>2</v>
          </cell>
          <cell r="G429">
            <v>2</v>
          </cell>
          <cell r="H429">
            <v>2</v>
          </cell>
          <cell r="I429">
            <v>2</v>
          </cell>
          <cell r="J429">
            <v>1</v>
          </cell>
          <cell r="K429">
            <v>2</v>
          </cell>
          <cell r="L429">
            <v>2</v>
          </cell>
          <cell r="M429">
            <v>2</v>
          </cell>
          <cell r="N429">
            <v>1</v>
          </cell>
          <cell r="O429">
            <v>1</v>
          </cell>
          <cell r="P429">
            <v>0</v>
          </cell>
          <cell r="Q429">
            <v>1</v>
          </cell>
          <cell r="R429">
            <v>3</v>
          </cell>
          <cell r="S429">
            <v>1</v>
          </cell>
          <cell r="T429">
            <v>0</v>
          </cell>
          <cell r="U429">
            <v>1</v>
          </cell>
        </row>
        <row r="430">
          <cell r="A430" t="str">
            <v>JBT07</v>
          </cell>
          <cell r="B430">
            <v>2</v>
          </cell>
          <cell r="C430">
            <v>1</v>
          </cell>
          <cell r="D430">
            <v>1</v>
          </cell>
          <cell r="E430">
            <v>1</v>
          </cell>
          <cell r="F430">
            <v>2</v>
          </cell>
          <cell r="G430">
            <v>2</v>
          </cell>
          <cell r="H430">
            <v>2</v>
          </cell>
          <cell r="I430">
            <v>2</v>
          </cell>
          <cell r="J430">
            <v>1</v>
          </cell>
          <cell r="K430">
            <v>2</v>
          </cell>
          <cell r="L430">
            <v>2</v>
          </cell>
          <cell r="M430">
            <v>2</v>
          </cell>
          <cell r="N430">
            <v>1</v>
          </cell>
          <cell r="O430">
            <v>1</v>
          </cell>
          <cell r="P430">
            <v>0</v>
          </cell>
          <cell r="Q430">
            <v>1</v>
          </cell>
          <cell r="R430">
            <v>3</v>
          </cell>
          <cell r="S430">
            <v>1</v>
          </cell>
          <cell r="T430">
            <v>0</v>
          </cell>
          <cell r="U430">
            <v>1</v>
          </cell>
        </row>
        <row r="431">
          <cell r="A431" t="str">
            <v>JBT09</v>
          </cell>
          <cell r="B431">
            <v>2</v>
          </cell>
          <cell r="C431">
            <v>1</v>
          </cell>
          <cell r="D431">
            <v>1</v>
          </cell>
          <cell r="E431">
            <v>1</v>
          </cell>
          <cell r="F431">
            <v>2</v>
          </cell>
          <cell r="G431">
            <v>2</v>
          </cell>
          <cell r="H431">
            <v>2</v>
          </cell>
          <cell r="I431">
            <v>2</v>
          </cell>
          <cell r="J431">
            <v>1</v>
          </cell>
          <cell r="K431">
            <v>2</v>
          </cell>
          <cell r="L431">
            <v>2</v>
          </cell>
          <cell r="M431">
            <v>2</v>
          </cell>
          <cell r="N431">
            <v>1</v>
          </cell>
          <cell r="O431">
            <v>1</v>
          </cell>
          <cell r="P431">
            <v>0</v>
          </cell>
          <cell r="Q431">
            <v>1</v>
          </cell>
          <cell r="R431">
            <v>3</v>
          </cell>
          <cell r="S431">
            <v>1</v>
          </cell>
          <cell r="T431">
            <v>0</v>
          </cell>
          <cell r="U431">
            <v>1</v>
          </cell>
        </row>
        <row r="432">
          <cell r="A432" t="str">
            <v>JBT10</v>
          </cell>
          <cell r="B432">
            <v>1</v>
          </cell>
          <cell r="C432">
            <v>1</v>
          </cell>
          <cell r="D432">
            <v>1</v>
          </cell>
          <cell r="E432">
            <v>0</v>
          </cell>
          <cell r="F432">
            <v>1</v>
          </cell>
          <cell r="G432">
            <v>0</v>
          </cell>
          <cell r="H432">
            <v>1</v>
          </cell>
          <cell r="I432">
            <v>1</v>
          </cell>
          <cell r="J432">
            <v>1</v>
          </cell>
          <cell r="K432">
            <v>1</v>
          </cell>
          <cell r="L432">
            <v>1</v>
          </cell>
          <cell r="M432">
            <v>0</v>
          </cell>
          <cell r="N432">
            <v>1</v>
          </cell>
          <cell r="O432">
            <v>0</v>
          </cell>
          <cell r="P432">
            <v>0</v>
          </cell>
          <cell r="Q432">
            <v>1</v>
          </cell>
          <cell r="R432">
            <v>1</v>
          </cell>
          <cell r="S432">
            <v>1</v>
          </cell>
          <cell r="T432">
            <v>0</v>
          </cell>
          <cell r="U432">
            <v>0</v>
          </cell>
        </row>
        <row r="433">
          <cell r="A433" t="str">
            <v>JBT11</v>
          </cell>
          <cell r="B433">
            <v>2</v>
          </cell>
          <cell r="C433">
            <v>2</v>
          </cell>
          <cell r="D433">
            <v>2</v>
          </cell>
          <cell r="E433">
            <v>2</v>
          </cell>
          <cell r="F433">
            <v>2</v>
          </cell>
          <cell r="G433">
            <v>2</v>
          </cell>
          <cell r="H433">
            <v>2</v>
          </cell>
          <cell r="I433">
            <v>2</v>
          </cell>
          <cell r="J433">
            <v>2</v>
          </cell>
          <cell r="K433">
            <v>2</v>
          </cell>
          <cell r="L433">
            <v>2</v>
          </cell>
          <cell r="M433">
            <v>2</v>
          </cell>
          <cell r="N433">
            <v>2</v>
          </cell>
          <cell r="O433">
            <v>2</v>
          </cell>
          <cell r="P433">
            <v>1</v>
          </cell>
          <cell r="Q433">
            <v>2</v>
          </cell>
          <cell r="R433">
            <v>2</v>
          </cell>
          <cell r="S433">
            <v>2</v>
          </cell>
          <cell r="T433">
            <v>1</v>
          </cell>
          <cell r="U433">
            <v>2</v>
          </cell>
        </row>
        <row r="434">
          <cell r="A434" t="str">
            <v>JBT12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</row>
        <row r="435">
          <cell r="A435" t="str">
            <v>JBT13</v>
          </cell>
          <cell r="B435">
            <v>3</v>
          </cell>
          <cell r="C435">
            <v>2</v>
          </cell>
          <cell r="D435">
            <v>2</v>
          </cell>
          <cell r="E435">
            <v>2</v>
          </cell>
          <cell r="F435">
            <v>3</v>
          </cell>
          <cell r="G435">
            <v>2</v>
          </cell>
          <cell r="H435">
            <v>4</v>
          </cell>
          <cell r="I435">
            <v>3</v>
          </cell>
          <cell r="J435">
            <v>2</v>
          </cell>
          <cell r="K435">
            <v>4</v>
          </cell>
          <cell r="L435">
            <v>3</v>
          </cell>
          <cell r="M435">
            <v>3</v>
          </cell>
          <cell r="N435">
            <v>1</v>
          </cell>
          <cell r="O435">
            <v>1</v>
          </cell>
          <cell r="P435">
            <v>0</v>
          </cell>
          <cell r="Q435">
            <v>1</v>
          </cell>
          <cell r="R435">
            <v>4</v>
          </cell>
          <cell r="S435">
            <v>2</v>
          </cell>
          <cell r="T435">
            <v>0</v>
          </cell>
          <cell r="U435">
            <v>2</v>
          </cell>
        </row>
        <row r="436">
          <cell r="A436" t="str">
            <v>JBT14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</row>
        <row r="437">
          <cell r="A437" t="str">
            <v>JHT01</v>
          </cell>
          <cell r="B437">
            <v>4</v>
          </cell>
          <cell r="C437">
            <v>1</v>
          </cell>
          <cell r="D437">
            <v>1</v>
          </cell>
          <cell r="E437">
            <v>2</v>
          </cell>
          <cell r="F437">
            <v>4</v>
          </cell>
          <cell r="G437">
            <v>3</v>
          </cell>
          <cell r="H437">
            <v>4</v>
          </cell>
          <cell r="I437">
            <v>4</v>
          </cell>
          <cell r="J437">
            <v>1</v>
          </cell>
          <cell r="K437">
            <v>4</v>
          </cell>
          <cell r="L437">
            <v>3</v>
          </cell>
          <cell r="M437">
            <v>3</v>
          </cell>
          <cell r="N437">
            <v>1</v>
          </cell>
          <cell r="O437">
            <v>1</v>
          </cell>
          <cell r="P437">
            <v>0</v>
          </cell>
          <cell r="Q437">
            <v>1</v>
          </cell>
          <cell r="R437">
            <v>4</v>
          </cell>
          <cell r="S437">
            <v>2</v>
          </cell>
          <cell r="T437">
            <v>0</v>
          </cell>
          <cell r="U437">
            <v>1</v>
          </cell>
        </row>
        <row r="438">
          <cell r="A438" t="str">
            <v>JHT02</v>
          </cell>
          <cell r="B438">
            <v>5</v>
          </cell>
          <cell r="C438">
            <v>2</v>
          </cell>
          <cell r="D438">
            <v>2</v>
          </cell>
          <cell r="E438">
            <v>3</v>
          </cell>
          <cell r="F438">
            <v>5</v>
          </cell>
          <cell r="G438">
            <v>4</v>
          </cell>
          <cell r="H438">
            <v>4</v>
          </cell>
          <cell r="I438">
            <v>5</v>
          </cell>
          <cell r="J438">
            <v>2</v>
          </cell>
          <cell r="K438">
            <v>4</v>
          </cell>
          <cell r="L438">
            <v>4</v>
          </cell>
          <cell r="M438">
            <v>4</v>
          </cell>
          <cell r="N438">
            <v>2</v>
          </cell>
          <cell r="O438">
            <v>2</v>
          </cell>
          <cell r="P438">
            <v>0</v>
          </cell>
          <cell r="Q438">
            <v>2</v>
          </cell>
          <cell r="R438">
            <v>4</v>
          </cell>
          <cell r="S438">
            <v>3</v>
          </cell>
          <cell r="T438">
            <v>0</v>
          </cell>
          <cell r="U438">
            <v>2</v>
          </cell>
        </row>
        <row r="439">
          <cell r="A439" t="str">
            <v>JHT03</v>
          </cell>
          <cell r="B439">
            <v>4</v>
          </cell>
          <cell r="C439">
            <v>1</v>
          </cell>
          <cell r="D439">
            <v>1</v>
          </cell>
          <cell r="E439">
            <v>2</v>
          </cell>
          <cell r="F439">
            <v>4</v>
          </cell>
          <cell r="G439">
            <v>3</v>
          </cell>
          <cell r="H439">
            <v>4</v>
          </cell>
          <cell r="I439">
            <v>4</v>
          </cell>
          <cell r="J439">
            <v>1</v>
          </cell>
          <cell r="K439">
            <v>4</v>
          </cell>
          <cell r="L439">
            <v>3</v>
          </cell>
          <cell r="M439">
            <v>3</v>
          </cell>
          <cell r="N439">
            <v>1</v>
          </cell>
          <cell r="O439">
            <v>1</v>
          </cell>
          <cell r="P439">
            <v>0</v>
          </cell>
          <cell r="Q439">
            <v>1</v>
          </cell>
          <cell r="R439">
            <v>4</v>
          </cell>
          <cell r="S439">
            <v>2</v>
          </cell>
          <cell r="T439">
            <v>0</v>
          </cell>
          <cell r="U439">
            <v>1</v>
          </cell>
        </row>
        <row r="440">
          <cell r="A440" t="str">
            <v>JHT04</v>
          </cell>
          <cell r="B440">
            <v>2</v>
          </cell>
          <cell r="C440">
            <v>1</v>
          </cell>
          <cell r="D440">
            <v>1</v>
          </cell>
          <cell r="E440">
            <v>1</v>
          </cell>
          <cell r="F440">
            <v>2</v>
          </cell>
          <cell r="G440">
            <v>2</v>
          </cell>
          <cell r="H440">
            <v>2</v>
          </cell>
          <cell r="I440">
            <v>2</v>
          </cell>
          <cell r="J440">
            <v>1</v>
          </cell>
          <cell r="K440">
            <v>2</v>
          </cell>
          <cell r="L440">
            <v>2</v>
          </cell>
          <cell r="M440">
            <v>2</v>
          </cell>
          <cell r="N440">
            <v>1</v>
          </cell>
          <cell r="O440">
            <v>1</v>
          </cell>
          <cell r="P440">
            <v>0</v>
          </cell>
          <cell r="Q440">
            <v>1</v>
          </cell>
          <cell r="R440">
            <v>2</v>
          </cell>
          <cell r="S440">
            <v>1</v>
          </cell>
          <cell r="T440">
            <v>0</v>
          </cell>
          <cell r="U440">
            <v>1</v>
          </cell>
        </row>
        <row r="441">
          <cell r="A441" t="str">
            <v>JHT05</v>
          </cell>
          <cell r="B441">
            <v>3</v>
          </cell>
          <cell r="C441">
            <v>2</v>
          </cell>
          <cell r="D441">
            <v>2</v>
          </cell>
          <cell r="E441">
            <v>2</v>
          </cell>
          <cell r="F441">
            <v>3</v>
          </cell>
          <cell r="G441">
            <v>3</v>
          </cell>
          <cell r="H441">
            <v>3</v>
          </cell>
          <cell r="I441">
            <v>3</v>
          </cell>
          <cell r="J441">
            <v>2</v>
          </cell>
          <cell r="K441">
            <v>3</v>
          </cell>
          <cell r="L441">
            <v>3</v>
          </cell>
          <cell r="M441">
            <v>2</v>
          </cell>
          <cell r="N441">
            <v>2</v>
          </cell>
          <cell r="O441">
            <v>2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2</v>
          </cell>
        </row>
        <row r="442">
          <cell r="A442" t="str">
            <v>JHT05C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2</v>
          </cell>
          <cell r="R442">
            <v>3</v>
          </cell>
          <cell r="S442">
            <v>2</v>
          </cell>
          <cell r="T442">
            <v>0</v>
          </cell>
          <cell r="U442">
            <v>0</v>
          </cell>
        </row>
        <row r="443">
          <cell r="A443" t="str">
            <v>JHT06</v>
          </cell>
          <cell r="B443">
            <v>4</v>
          </cell>
          <cell r="C443">
            <v>1</v>
          </cell>
          <cell r="D443">
            <v>1</v>
          </cell>
          <cell r="E443">
            <v>2</v>
          </cell>
          <cell r="F443">
            <v>4</v>
          </cell>
          <cell r="G443">
            <v>3</v>
          </cell>
          <cell r="H443">
            <v>4</v>
          </cell>
          <cell r="I443">
            <v>4</v>
          </cell>
          <cell r="J443">
            <v>1</v>
          </cell>
          <cell r="K443">
            <v>4</v>
          </cell>
          <cell r="L443">
            <v>3</v>
          </cell>
          <cell r="M443">
            <v>3</v>
          </cell>
          <cell r="N443">
            <v>1</v>
          </cell>
          <cell r="O443">
            <v>1</v>
          </cell>
          <cell r="P443">
            <v>0</v>
          </cell>
          <cell r="Q443">
            <v>1</v>
          </cell>
          <cell r="R443">
            <v>4</v>
          </cell>
          <cell r="S443">
            <v>2</v>
          </cell>
          <cell r="T443">
            <v>0</v>
          </cell>
          <cell r="U443">
            <v>1</v>
          </cell>
        </row>
        <row r="444">
          <cell r="A444" t="str">
            <v>JHT09</v>
          </cell>
          <cell r="B444">
            <v>24</v>
          </cell>
          <cell r="C444">
            <v>6</v>
          </cell>
          <cell r="D444">
            <v>6</v>
          </cell>
          <cell r="E444">
            <v>12</v>
          </cell>
          <cell r="F444">
            <v>24</v>
          </cell>
          <cell r="G444">
            <v>14</v>
          </cell>
          <cell r="H444">
            <v>19</v>
          </cell>
          <cell r="I444">
            <v>24</v>
          </cell>
          <cell r="J444">
            <v>1</v>
          </cell>
          <cell r="K444">
            <v>23</v>
          </cell>
          <cell r="L444">
            <v>16</v>
          </cell>
          <cell r="M444">
            <v>16</v>
          </cell>
          <cell r="N444">
            <v>4</v>
          </cell>
          <cell r="O444">
            <v>3</v>
          </cell>
          <cell r="P444">
            <v>0</v>
          </cell>
          <cell r="Q444">
            <v>5</v>
          </cell>
          <cell r="R444">
            <v>21</v>
          </cell>
          <cell r="S444">
            <v>10</v>
          </cell>
          <cell r="T444">
            <v>0</v>
          </cell>
          <cell r="U444">
            <v>2</v>
          </cell>
        </row>
        <row r="445">
          <cell r="A445" t="str">
            <v>JHT11</v>
          </cell>
          <cell r="B445">
            <v>5</v>
          </cell>
          <cell r="C445">
            <v>2</v>
          </cell>
          <cell r="D445">
            <v>2</v>
          </cell>
          <cell r="E445">
            <v>3</v>
          </cell>
          <cell r="F445">
            <v>5</v>
          </cell>
          <cell r="G445">
            <v>4</v>
          </cell>
          <cell r="H445">
            <v>0</v>
          </cell>
          <cell r="I445">
            <v>5</v>
          </cell>
          <cell r="J445">
            <v>2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2</v>
          </cell>
        </row>
        <row r="446">
          <cell r="A446" t="str">
            <v>JHT12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4</v>
          </cell>
          <cell r="I446">
            <v>0</v>
          </cell>
          <cell r="J446">
            <v>0</v>
          </cell>
          <cell r="K446">
            <v>4</v>
          </cell>
          <cell r="L446">
            <v>4</v>
          </cell>
          <cell r="M446">
            <v>4</v>
          </cell>
          <cell r="N446">
            <v>2</v>
          </cell>
          <cell r="O446">
            <v>2</v>
          </cell>
          <cell r="P446">
            <v>0</v>
          </cell>
          <cell r="Q446">
            <v>2</v>
          </cell>
          <cell r="R446">
            <v>4</v>
          </cell>
          <cell r="S446">
            <v>3</v>
          </cell>
          <cell r="T446">
            <v>0</v>
          </cell>
          <cell r="U446">
            <v>0</v>
          </cell>
        </row>
        <row r="447">
          <cell r="A447" t="str">
            <v>JHT13</v>
          </cell>
          <cell r="B447">
            <v>6</v>
          </cell>
          <cell r="C447">
            <v>2</v>
          </cell>
          <cell r="D447">
            <v>2</v>
          </cell>
          <cell r="E447">
            <v>3</v>
          </cell>
          <cell r="F447">
            <v>6</v>
          </cell>
          <cell r="G447">
            <v>4</v>
          </cell>
          <cell r="H447">
            <v>5</v>
          </cell>
          <cell r="I447">
            <v>6</v>
          </cell>
          <cell r="J447">
            <v>1</v>
          </cell>
          <cell r="K447">
            <v>6</v>
          </cell>
          <cell r="L447">
            <v>4</v>
          </cell>
          <cell r="M447">
            <v>4</v>
          </cell>
          <cell r="N447">
            <v>1</v>
          </cell>
          <cell r="O447">
            <v>1</v>
          </cell>
          <cell r="P447">
            <v>0</v>
          </cell>
          <cell r="Q447">
            <v>2</v>
          </cell>
          <cell r="R447">
            <v>6</v>
          </cell>
          <cell r="S447">
            <v>3</v>
          </cell>
          <cell r="T447">
            <v>0</v>
          </cell>
          <cell r="U447">
            <v>1</v>
          </cell>
        </row>
        <row r="448">
          <cell r="A448" t="str">
            <v>JHT14</v>
          </cell>
          <cell r="B448">
            <v>10</v>
          </cell>
          <cell r="C448">
            <v>4</v>
          </cell>
          <cell r="D448">
            <v>4</v>
          </cell>
          <cell r="E448">
            <v>6</v>
          </cell>
          <cell r="F448">
            <v>10</v>
          </cell>
          <cell r="G448">
            <v>8</v>
          </cell>
          <cell r="H448">
            <v>12</v>
          </cell>
          <cell r="I448">
            <v>10</v>
          </cell>
          <cell r="J448">
            <v>4</v>
          </cell>
          <cell r="K448">
            <v>12</v>
          </cell>
          <cell r="L448">
            <v>12</v>
          </cell>
          <cell r="M448">
            <v>12</v>
          </cell>
          <cell r="N448">
            <v>6</v>
          </cell>
          <cell r="O448">
            <v>6</v>
          </cell>
          <cell r="P448">
            <v>0</v>
          </cell>
          <cell r="Q448">
            <v>6</v>
          </cell>
          <cell r="R448">
            <v>12</v>
          </cell>
          <cell r="S448">
            <v>9</v>
          </cell>
          <cell r="T448">
            <v>0</v>
          </cell>
          <cell r="U448">
            <v>4</v>
          </cell>
        </row>
        <row r="449">
          <cell r="A449" t="str">
            <v>JXT03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4</v>
          </cell>
          <cell r="I449">
            <v>0</v>
          </cell>
          <cell r="J449">
            <v>0</v>
          </cell>
          <cell r="K449">
            <v>4</v>
          </cell>
          <cell r="L449">
            <v>3</v>
          </cell>
          <cell r="M449">
            <v>3</v>
          </cell>
          <cell r="N449">
            <v>2</v>
          </cell>
          <cell r="O449">
            <v>2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</row>
        <row r="450">
          <cell r="A450" t="str">
            <v>JXT04</v>
          </cell>
          <cell r="B450">
            <v>5</v>
          </cell>
          <cell r="C450">
            <v>2</v>
          </cell>
          <cell r="D450">
            <v>2</v>
          </cell>
          <cell r="E450">
            <v>3</v>
          </cell>
          <cell r="F450">
            <v>5</v>
          </cell>
          <cell r="G450">
            <v>3</v>
          </cell>
          <cell r="H450">
            <v>4</v>
          </cell>
          <cell r="I450">
            <v>5</v>
          </cell>
          <cell r="J450">
            <v>1</v>
          </cell>
          <cell r="K450">
            <v>5</v>
          </cell>
          <cell r="L450">
            <v>4</v>
          </cell>
          <cell r="M450">
            <v>4</v>
          </cell>
          <cell r="N450">
            <v>1</v>
          </cell>
          <cell r="O450">
            <v>1</v>
          </cell>
          <cell r="P450">
            <v>0</v>
          </cell>
          <cell r="Q450">
            <v>1</v>
          </cell>
          <cell r="R450">
            <v>5</v>
          </cell>
          <cell r="S450">
            <v>2</v>
          </cell>
          <cell r="T450">
            <v>0</v>
          </cell>
          <cell r="U450">
            <v>1</v>
          </cell>
        </row>
        <row r="451">
          <cell r="A451" t="str">
            <v>JXT13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</row>
        <row r="452">
          <cell r="A452" t="str">
            <v>P4109859</v>
          </cell>
          <cell r="B452">
            <v>1</v>
          </cell>
          <cell r="C452">
            <v>1</v>
          </cell>
          <cell r="D452">
            <v>1</v>
          </cell>
          <cell r="E452">
            <v>1</v>
          </cell>
          <cell r="F452">
            <v>1</v>
          </cell>
          <cell r="G452">
            <v>1</v>
          </cell>
          <cell r="H452">
            <v>1</v>
          </cell>
          <cell r="I452">
            <v>1</v>
          </cell>
          <cell r="J452">
            <v>1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0</v>
          </cell>
          <cell r="Q452">
            <v>1</v>
          </cell>
          <cell r="R452">
            <v>1</v>
          </cell>
          <cell r="S452">
            <v>1</v>
          </cell>
          <cell r="T452">
            <v>0</v>
          </cell>
          <cell r="U452">
            <v>1</v>
          </cell>
        </row>
        <row r="453">
          <cell r="A453" t="str">
            <v>P4109863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2</v>
          </cell>
          <cell r="I453">
            <v>0</v>
          </cell>
          <cell r="J453">
            <v>0</v>
          </cell>
          <cell r="K453">
            <v>2</v>
          </cell>
          <cell r="L453">
            <v>2</v>
          </cell>
          <cell r="M453">
            <v>2</v>
          </cell>
          <cell r="N453">
            <v>2</v>
          </cell>
          <cell r="O453">
            <v>2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</row>
        <row r="454">
          <cell r="A454" t="str">
            <v>P4109888</v>
          </cell>
          <cell r="B454">
            <v>1</v>
          </cell>
          <cell r="C454">
            <v>1</v>
          </cell>
          <cell r="D454">
            <v>1</v>
          </cell>
          <cell r="E454">
            <v>1</v>
          </cell>
          <cell r="F454">
            <v>1</v>
          </cell>
          <cell r="G454">
            <v>1</v>
          </cell>
          <cell r="H454">
            <v>1</v>
          </cell>
          <cell r="I454">
            <v>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P454">
            <v>0</v>
          </cell>
          <cell r="Q454">
            <v>1</v>
          </cell>
          <cell r="R454">
            <v>1</v>
          </cell>
          <cell r="S454">
            <v>1</v>
          </cell>
          <cell r="T454">
            <v>0</v>
          </cell>
          <cell r="U454">
            <v>1</v>
          </cell>
        </row>
        <row r="455">
          <cell r="A455" t="str">
            <v>P4109905</v>
          </cell>
          <cell r="B455">
            <v>1</v>
          </cell>
          <cell r="C455">
            <v>1</v>
          </cell>
          <cell r="D455">
            <v>1</v>
          </cell>
          <cell r="E455">
            <v>1</v>
          </cell>
          <cell r="F455">
            <v>1</v>
          </cell>
          <cell r="G455">
            <v>1</v>
          </cell>
          <cell r="H455">
            <v>1</v>
          </cell>
          <cell r="I455">
            <v>1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0</v>
          </cell>
          <cell r="Q455">
            <v>1</v>
          </cell>
          <cell r="R455">
            <v>1</v>
          </cell>
          <cell r="S455">
            <v>1</v>
          </cell>
          <cell r="T455">
            <v>0</v>
          </cell>
          <cell r="U455">
            <v>1</v>
          </cell>
        </row>
        <row r="456">
          <cell r="A456" t="str">
            <v>P4109906</v>
          </cell>
          <cell r="B456">
            <v>2</v>
          </cell>
          <cell r="C456">
            <v>2</v>
          </cell>
          <cell r="D456">
            <v>2</v>
          </cell>
          <cell r="E456">
            <v>2</v>
          </cell>
          <cell r="F456">
            <v>2</v>
          </cell>
          <cell r="G456">
            <v>2</v>
          </cell>
          <cell r="H456">
            <v>2</v>
          </cell>
          <cell r="I456">
            <v>2</v>
          </cell>
          <cell r="J456">
            <v>2</v>
          </cell>
          <cell r="K456">
            <v>2</v>
          </cell>
          <cell r="L456">
            <v>2</v>
          </cell>
          <cell r="M456">
            <v>2</v>
          </cell>
          <cell r="N456">
            <v>2</v>
          </cell>
          <cell r="O456">
            <v>2</v>
          </cell>
          <cell r="P456">
            <v>2</v>
          </cell>
          <cell r="Q456">
            <v>2</v>
          </cell>
          <cell r="R456">
            <v>2</v>
          </cell>
          <cell r="S456">
            <v>2</v>
          </cell>
          <cell r="T456">
            <v>2</v>
          </cell>
          <cell r="U456">
            <v>2</v>
          </cell>
        </row>
        <row r="457">
          <cell r="A457" t="str">
            <v>P4109929</v>
          </cell>
          <cell r="B457">
            <v>1</v>
          </cell>
          <cell r="C457">
            <v>1</v>
          </cell>
          <cell r="D457">
            <v>1</v>
          </cell>
          <cell r="E457">
            <v>1</v>
          </cell>
          <cell r="F457">
            <v>1</v>
          </cell>
          <cell r="G457">
            <v>1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0</v>
          </cell>
          <cell r="Q457">
            <v>1</v>
          </cell>
          <cell r="R457">
            <v>1</v>
          </cell>
          <cell r="S457">
            <v>1</v>
          </cell>
          <cell r="T457">
            <v>0</v>
          </cell>
          <cell r="U457">
            <v>1</v>
          </cell>
        </row>
        <row r="458">
          <cell r="A458" t="str">
            <v>PROPJOAP</v>
          </cell>
          <cell r="B458">
            <v>1</v>
          </cell>
          <cell r="C458">
            <v>1</v>
          </cell>
          <cell r="D458">
            <v>1</v>
          </cell>
          <cell r="E458">
            <v>0</v>
          </cell>
          <cell r="F458">
            <v>1</v>
          </cell>
          <cell r="G458">
            <v>0</v>
          </cell>
          <cell r="H458">
            <v>1</v>
          </cell>
          <cell r="I458">
            <v>1</v>
          </cell>
          <cell r="J458">
            <v>1</v>
          </cell>
          <cell r="K458">
            <v>1</v>
          </cell>
          <cell r="L458">
            <v>1</v>
          </cell>
          <cell r="M458">
            <v>0</v>
          </cell>
          <cell r="N458">
            <v>1</v>
          </cell>
          <cell r="O458">
            <v>0</v>
          </cell>
          <cell r="P458">
            <v>2</v>
          </cell>
          <cell r="Q458">
            <v>1</v>
          </cell>
          <cell r="R458">
            <v>1</v>
          </cell>
          <cell r="S458">
            <v>1</v>
          </cell>
          <cell r="T458">
            <v>2</v>
          </cell>
          <cell r="U458">
            <v>0</v>
          </cell>
        </row>
        <row r="459">
          <cell r="A459" t="str">
            <v>PROPWIO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1</v>
          </cell>
          <cell r="I459">
            <v>0</v>
          </cell>
          <cell r="J459">
            <v>0</v>
          </cell>
          <cell r="K459">
            <v>1</v>
          </cell>
          <cell r="L459">
            <v>1</v>
          </cell>
          <cell r="M459">
            <v>0</v>
          </cell>
          <cell r="N459">
            <v>1</v>
          </cell>
          <cell r="O459">
            <v>0</v>
          </cell>
          <cell r="P459">
            <v>2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A460" t="str">
            <v>PWA55380</v>
          </cell>
          <cell r="B460">
            <v>2</v>
          </cell>
          <cell r="C460">
            <v>2</v>
          </cell>
          <cell r="D460">
            <v>2</v>
          </cell>
          <cell r="E460">
            <v>1</v>
          </cell>
          <cell r="F460">
            <v>2</v>
          </cell>
          <cell r="G460">
            <v>1</v>
          </cell>
          <cell r="H460">
            <v>2</v>
          </cell>
          <cell r="I460">
            <v>2</v>
          </cell>
          <cell r="J460">
            <v>2</v>
          </cell>
          <cell r="K460">
            <v>2</v>
          </cell>
          <cell r="L460">
            <v>2</v>
          </cell>
          <cell r="M460">
            <v>1</v>
          </cell>
          <cell r="N460">
            <v>2</v>
          </cell>
          <cell r="O460">
            <v>1</v>
          </cell>
          <cell r="P460">
            <v>2</v>
          </cell>
          <cell r="Q460">
            <v>2</v>
          </cell>
          <cell r="R460">
            <v>2</v>
          </cell>
          <cell r="S460">
            <v>2</v>
          </cell>
          <cell r="T460">
            <v>2</v>
          </cell>
          <cell r="U460">
            <v>1</v>
          </cell>
        </row>
        <row r="461">
          <cell r="A461" t="str">
            <v>PWA59414</v>
          </cell>
          <cell r="B461">
            <v>2</v>
          </cell>
          <cell r="C461">
            <v>2</v>
          </cell>
          <cell r="D461">
            <v>2</v>
          </cell>
          <cell r="E461">
            <v>2</v>
          </cell>
          <cell r="F461">
            <v>2</v>
          </cell>
          <cell r="G461">
            <v>2</v>
          </cell>
          <cell r="H461">
            <v>2</v>
          </cell>
          <cell r="I461">
            <v>2</v>
          </cell>
          <cell r="J461">
            <v>2</v>
          </cell>
          <cell r="K461">
            <v>2</v>
          </cell>
          <cell r="L461">
            <v>2</v>
          </cell>
          <cell r="M461">
            <v>2</v>
          </cell>
          <cell r="N461">
            <v>2</v>
          </cell>
          <cell r="O461">
            <v>2</v>
          </cell>
          <cell r="P461">
            <v>2</v>
          </cell>
          <cell r="Q461">
            <v>2</v>
          </cell>
          <cell r="R461">
            <v>2</v>
          </cell>
          <cell r="S461">
            <v>2</v>
          </cell>
          <cell r="T461">
            <v>2</v>
          </cell>
          <cell r="U461">
            <v>2</v>
          </cell>
        </row>
        <row r="462">
          <cell r="A462" t="str">
            <v>PWA59419</v>
          </cell>
          <cell r="B462">
            <v>1</v>
          </cell>
          <cell r="C462">
            <v>1</v>
          </cell>
          <cell r="D462">
            <v>1</v>
          </cell>
          <cell r="E462">
            <v>1</v>
          </cell>
          <cell r="F462">
            <v>1</v>
          </cell>
          <cell r="G462">
            <v>1</v>
          </cell>
          <cell r="H462">
            <v>1</v>
          </cell>
          <cell r="I462">
            <v>1</v>
          </cell>
          <cell r="J462">
            <v>1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O462">
            <v>1</v>
          </cell>
          <cell r="P462">
            <v>1</v>
          </cell>
          <cell r="Q462">
            <v>1</v>
          </cell>
          <cell r="R462">
            <v>1</v>
          </cell>
          <cell r="S462">
            <v>1</v>
          </cell>
          <cell r="T462">
            <v>1</v>
          </cell>
          <cell r="U462">
            <v>1</v>
          </cell>
        </row>
        <row r="463">
          <cell r="A463" t="str">
            <v>PWA59422</v>
          </cell>
          <cell r="B463">
            <v>3</v>
          </cell>
          <cell r="C463">
            <v>3</v>
          </cell>
          <cell r="D463">
            <v>3</v>
          </cell>
          <cell r="E463">
            <v>2</v>
          </cell>
          <cell r="F463">
            <v>3</v>
          </cell>
          <cell r="G463">
            <v>2</v>
          </cell>
          <cell r="H463">
            <v>3</v>
          </cell>
          <cell r="I463">
            <v>3</v>
          </cell>
          <cell r="J463">
            <v>3</v>
          </cell>
          <cell r="K463">
            <v>3</v>
          </cell>
          <cell r="L463">
            <v>3</v>
          </cell>
          <cell r="M463">
            <v>2</v>
          </cell>
          <cell r="N463">
            <v>3</v>
          </cell>
          <cell r="O463">
            <v>2</v>
          </cell>
          <cell r="P463">
            <v>2</v>
          </cell>
          <cell r="Q463">
            <v>3</v>
          </cell>
          <cell r="R463">
            <v>3</v>
          </cell>
          <cell r="S463">
            <v>3</v>
          </cell>
          <cell r="T463">
            <v>2</v>
          </cell>
          <cell r="U463">
            <v>2</v>
          </cell>
        </row>
        <row r="464">
          <cell r="A464" t="str">
            <v>PWA59432</v>
          </cell>
          <cell r="B464">
            <v>1</v>
          </cell>
          <cell r="C464">
            <v>1</v>
          </cell>
          <cell r="D464">
            <v>1</v>
          </cell>
          <cell r="E464">
            <v>1</v>
          </cell>
          <cell r="F464">
            <v>1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Q464">
            <v>1</v>
          </cell>
          <cell r="R464">
            <v>1</v>
          </cell>
          <cell r="S464">
            <v>1</v>
          </cell>
          <cell r="T464">
            <v>1</v>
          </cell>
          <cell r="U464">
            <v>1</v>
          </cell>
        </row>
        <row r="465">
          <cell r="A465" t="str">
            <v>PWA59445</v>
          </cell>
          <cell r="B465">
            <v>1</v>
          </cell>
          <cell r="C465">
            <v>1</v>
          </cell>
          <cell r="D465">
            <v>1</v>
          </cell>
          <cell r="E465">
            <v>1</v>
          </cell>
          <cell r="F465">
            <v>1</v>
          </cell>
          <cell r="G465">
            <v>1</v>
          </cell>
          <cell r="H465">
            <v>1</v>
          </cell>
          <cell r="I465">
            <v>1</v>
          </cell>
          <cell r="J465">
            <v>1</v>
          </cell>
          <cell r="K465">
            <v>1</v>
          </cell>
          <cell r="L465">
            <v>1</v>
          </cell>
          <cell r="M465">
            <v>1</v>
          </cell>
          <cell r="N465">
            <v>1</v>
          </cell>
          <cell r="O465">
            <v>1</v>
          </cell>
          <cell r="P465">
            <v>1</v>
          </cell>
          <cell r="Q465">
            <v>1</v>
          </cell>
          <cell r="R465">
            <v>1</v>
          </cell>
          <cell r="S465">
            <v>1</v>
          </cell>
          <cell r="T465">
            <v>1</v>
          </cell>
          <cell r="U465">
            <v>1</v>
          </cell>
        </row>
        <row r="466">
          <cell r="A466" t="str">
            <v>PWA59469</v>
          </cell>
          <cell r="B466">
            <v>1</v>
          </cell>
          <cell r="C466">
            <v>1</v>
          </cell>
          <cell r="D466">
            <v>1</v>
          </cell>
          <cell r="E466">
            <v>1</v>
          </cell>
          <cell r="F466">
            <v>1</v>
          </cell>
          <cell r="G466">
            <v>1</v>
          </cell>
          <cell r="H466">
            <v>1</v>
          </cell>
          <cell r="I466">
            <v>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  <cell r="N466">
            <v>1</v>
          </cell>
          <cell r="O466">
            <v>1</v>
          </cell>
          <cell r="P466">
            <v>1</v>
          </cell>
          <cell r="Q466">
            <v>1</v>
          </cell>
          <cell r="R466">
            <v>1</v>
          </cell>
          <cell r="S466">
            <v>1</v>
          </cell>
          <cell r="T466">
            <v>1</v>
          </cell>
          <cell r="U466">
            <v>1</v>
          </cell>
        </row>
        <row r="467">
          <cell r="A467" t="str">
            <v>PWA59483</v>
          </cell>
          <cell r="B467">
            <v>4</v>
          </cell>
          <cell r="C467">
            <v>4</v>
          </cell>
          <cell r="D467">
            <v>4</v>
          </cell>
          <cell r="E467">
            <v>3</v>
          </cell>
          <cell r="F467">
            <v>4</v>
          </cell>
          <cell r="G467">
            <v>3</v>
          </cell>
          <cell r="H467">
            <v>4</v>
          </cell>
          <cell r="I467">
            <v>4</v>
          </cell>
          <cell r="J467">
            <v>4</v>
          </cell>
          <cell r="K467">
            <v>4</v>
          </cell>
          <cell r="L467">
            <v>4</v>
          </cell>
          <cell r="M467">
            <v>3</v>
          </cell>
          <cell r="N467">
            <v>4</v>
          </cell>
          <cell r="O467">
            <v>3</v>
          </cell>
          <cell r="P467">
            <v>3</v>
          </cell>
          <cell r="Q467">
            <v>4</v>
          </cell>
          <cell r="R467">
            <v>4</v>
          </cell>
          <cell r="S467">
            <v>4</v>
          </cell>
          <cell r="T467">
            <v>3</v>
          </cell>
          <cell r="U467">
            <v>3</v>
          </cell>
        </row>
        <row r="468">
          <cell r="A468" t="str">
            <v>PWA59500</v>
          </cell>
          <cell r="B468">
            <v>2</v>
          </cell>
          <cell r="C468">
            <v>2</v>
          </cell>
          <cell r="D468">
            <v>2</v>
          </cell>
          <cell r="E468">
            <v>1</v>
          </cell>
          <cell r="F468">
            <v>2</v>
          </cell>
          <cell r="G468">
            <v>1</v>
          </cell>
          <cell r="H468">
            <v>2</v>
          </cell>
          <cell r="I468">
            <v>2</v>
          </cell>
          <cell r="J468">
            <v>2</v>
          </cell>
          <cell r="K468">
            <v>2</v>
          </cell>
          <cell r="L468">
            <v>2</v>
          </cell>
          <cell r="M468">
            <v>1</v>
          </cell>
          <cell r="N468">
            <v>2</v>
          </cell>
          <cell r="O468">
            <v>1</v>
          </cell>
          <cell r="P468">
            <v>1</v>
          </cell>
          <cell r="Q468">
            <v>2</v>
          </cell>
          <cell r="R468">
            <v>2</v>
          </cell>
          <cell r="S468">
            <v>2</v>
          </cell>
          <cell r="T468">
            <v>1</v>
          </cell>
          <cell r="U468">
            <v>1</v>
          </cell>
        </row>
        <row r="469">
          <cell r="A469" t="str">
            <v>PWA59524</v>
          </cell>
          <cell r="B469">
            <v>2</v>
          </cell>
          <cell r="C469">
            <v>2</v>
          </cell>
          <cell r="D469">
            <v>2</v>
          </cell>
          <cell r="E469">
            <v>1</v>
          </cell>
          <cell r="F469">
            <v>2</v>
          </cell>
          <cell r="G469">
            <v>1</v>
          </cell>
          <cell r="H469">
            <v>2</v>
          </cell>
          <cell r="I469">
            <v>2</v>
          </cell>
          <cell r="J469">
            <v>2</v>
          </cell>
          <cell r="K469">
            <v>2</v>
          </cell>
          <cell r="L469">
            <v>2</v>
          </cell>
          <cell r="M469">
            <v>1</v>
          </cell>
          <cell r="N469">
            <v>2</v>
          </cell>
          <cell r="O469">
            <v>1</v>
          </cell>
          <cell r="P469">
            <v>1</v>
          </cell>
          <cell r="Q469">
            <v>2</v>
          </cell>
          <cell r="R469">
            <v>2</v>
          </cell>
          <cell r="S469">
            <v>2</v>
          </cell>
          <cell r="T469">
            <v>1</v>
          </cell>
          <cell r="U469">
            <v>1</v>
          </cell>
        </row>
        <row r="470">
          <cell r="A470" t="str">
            <v>PWA59550</v>
          </cell>
          <cell r="B470">
            <v>1</v>
          </cell>
          <cell r="C470">
            <v>1</v>
          </cell>
          <cell r="D470">
            <v>1</v>
          </cell>
          <cell r="E470">
            <v>1</v>
          </cell>
          <cell r="F470">
            <v>1</v>
          </cell>
          <cell r="G470">
            <v>1</v>
          </cell>
          <cell r="H470">
            <v>1</v>
          </cell>
          <cell r="I470">
            <v>1</v>
          </cell>
          <cell r="J470">
            <v>1</v>
          </cell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O470">
            <v>1</v>
          </cell>
          <cell r="P470">
            <v>0</v>
          </cell>
          <cell r="Q470">
            <v>1</v>
          </cell>
          <cell r="R470">
            <v>1</v>
          </cell>
          <cell r="S470">
            <v>1</v>
          </cell>
          <cell r="T470">
            <v>0</v>
          </cell>
          <cell r="U470">
            <v>1</v>
          </cell>
        </row>
        <row r="471">
          <cell r="A471" t="str">
            <v>PWA59595</v>
          </cell>
          <cell r="B471">
            <v>3</v>
          </cell>
          <cell r="C471">
            <v>3</v>
          </cell>
          <cell r="D471">
            <v>3</v>
          </cell>
          <cell r="E471">
            <v>2</v>
          </cell>
          <cell r="F471">
            <v>3</v>
          </cell>
          <cell r="G471">
            <v>2</v>
          </cell>
          <cell r="H471">
            <v>3</v>
          </cell>
          <cell r="I471">
            <v>3</v>
          </cell>
          <cell r="J471">
            <v>3</v>
          </cell>
          <cell r="K471">
            <v>3</v>
          </cell>
          <cell r="L471">
            <v>3</v>
          </cell>
          <cell r="M471">
            <v>2</v>
          </cell>
          <cell r="N471">
            <v>3</v>
          </cell>
          <cell r="O471">
            <v>2</v>
          </cell>
          <cell r="P471">
            <v>2</v>
          </cell>
          <cell r="Q471">
            <v>3</v>
          </cell>
          <cell r="R471">
            <v>3</v>
          </cell>
          <cell r="S471">
            <v>3</v>
          </cell>
          <cell r="T471">
            <v>2</v>
          </cell>
          <cell r="U471">
            <v>2</v>
          </cell>
        </row>
        <row r="472">
          <cell r="A472" t="str">
            <v>PWA59600</v>
          </cell>
          <cell r="B472">
            <v>3</v>
          </cell>
          <cell r="C472">
            <v>3</v>
          </cell>
          <cell r="D472">
            <v>3</v>
          </cell>
          <cell r="E472">
            <v>2</v>
          </cell>
          <cell r="F472">
            <v>3</v>
          </cell>
          <cell r="G472">
            <v>2</v>
          </cell>
          <cell r="H472">
            <v>0</v>
          </cell>
          <cell r="I472">
            <v>3</v>
          </cell>
          <cell r="J472">
            <v>3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3</v>
          </cell>
          <cell r="R472">
            <v>3</v>
          </cell>
          <cell r="S472">
            <v>3</v>
          </cell>
          <cell r="T472">
            <v>2</v>
          </cell>
          <cell r="U472">
            <v>2</v>
          </cell>
        </row>
        <row r="473">
          <cell r="A473" t="str">
            <v>PWA59610</v>
          </cell>
          <cell r="B473">
            <v>3</v>
          </cell>
          <cell r="C473">
            <v>3</v>
          </cell>
          <cell r="D473">
            <v>3</v>
          </cell>
          <cell r="E473">
            <v>2</v>
          </cell>
          <cell r="F473">
            <v>3</v>
          </cell>
          <cell r="G473">
            <v>2</v>
          </cell>
          <cell r="H473">
            <v>3</v>
          </cell>
          <cell r="I473">
            <v>3</v>
          </cell>
          <cell r="J473">
            <v>3</v>
          </cell>
          <cell r="K473">
            <v>3</v>
          </cell>
          <cell r="L473">
            <v>3</v>
          </cell>
          <cell r="M473">
            <v>2</v>
          </cell>
          <cell r="N473">
            <v>3</v>
          </cell>
          <cell r="O473">
            <v>2</v>
          </cell>
          <cell r="P473">
            <v>2</v>
          </cell>
          <cell r="Q473">
            <v>3</v>
          </cell>
          <cell r="R473">
            <v>3</v>
          </cell>
          <cell r="S473">
            <v>3</v>
          </cell>
          <cell r="T473">
            <v>2</v>
          </cell>
          <cell r="U473">
            <v>2</v>
          </cell>
        </row>
        <row r="474">
          <cell r="A474" t="str">
            <v>PWA59640</v>
          </cell>
          <cell r="B474">
            <v>3</v>
          </cell>
          <cell r="C474">
            <v>3</v>
          </cell>
          <cell r="D474">
            <v>3</v>
          </cell>
          <cell r="E474">
            <v>2</v>
          </cell>
          <cell r="F474">
            <v>3</v>
          </cell>
          <cell r="G474">
            <v>2</v>
          </cell>
          <cell r="H474">
            <v>3</v>
          </cell>
          <cell r="I474">
            <v>3</v>
          </cell>
          <cell r="J474">
            <v>3</v>
          </cell>
          <cell r="K474">
            <v>3</v>
          </cell>
          <cell r="L474">
            <v>3</v>
          </cell>
          <cell r="M474">
            <v>2</v>
          </cell>
          <cell r="N474">
            <v>3</v>
          </cell>
          <cell r="O474">
            <v>2</v>
          </cell>
          <cell r="P474">
            <v>2</v>
          </cell>
          <cell r="Q474">
            <v>3</v>
          </cell>
          <cell r="R474">
            <v>3</v>
          </cell>
          <cell r="S474">
            <v>3</v>
          </cell>
          <cell r="T474">
            <v>2</v>
          </cell>
          <cell r="U474">
            <v>2</v>
          </cell>
        </row>
        <row r="475">
          <cell r="A475" t="str">
            <v>PWA59643</v>
          </cell>
          <cell r="B475">
            <v>1</v>
          </cell>
          <cell r="C475">
            <v>1</v>
          </cell>
          <cell r="D475">
            <v>1</v>
          </cell>
          <cell r="E475">
            <v>1</v>
          </cell>
          <cell r="F475">
            <v>1</v>
          </cell>
          <cell r="G475">
            <v>1</v>
          </cell>
          <cell r="H475">
            <v>1</v>
          </cell>
          <cell r="I475">
            <v>1</v>
          </cell>
          <cell r="J475">
            <v>1</v>
          </cell>
          <cell r="K475">
            <v>1</v>
          </cell>
          <cell r="L475">
            <v>1</v>
          </cell>
          <cell r="M475">
            <v>1</v>
          </cell>
          <cell r="N475">
            <v>1</v>
          </cell>
          <cell r="O475">
            <v>1</v>
          </cell>
          <cell r="P475">
            <v>0</v>
          </cell>
          <cell r="Q475">
            <v>1</v>
          </cell>
          <cell r="R475">
            <v>1</v>
          </cell>
          <cell r="S475">
            <v>1</v>
          </cell>
          <cell r="T475">
            <v>0</v>
          </cell>
          <cell r="U475">
            <v>1</v>
          </cell>
        </row>
        <row r="476">
          <cell r="A476" t="str">
            <v>PWA59665</v>
          </cell>
          <cell r="B476">
            <v>3</v>
          </cell>
          <cell r="C476">
            <v>3</v>
          </cell>
          <cell r="D476">
            <v>3</v>
          </cell>
          <cell r="E476">
            <v>2</v>
          </cell>
          <cell r="F476">
            <v>3</v>
          </cell>
          <cell r="G476">
            <v>2</v>
          </cell>
          <cell r="H476">
            <v>3</v>
          </cell>
          <cell r="I476">
            <v>3</v>
          </cell>
          <cell r="J476">
            <v>3</v>
          </cell>
          <cell r="K476">
            <v>3</v>
          </cell>
          <cell r="L476">
            <v>3</v>
          </cell>
          <cell r="M476">
            <v>2</v>
          </cell>
          <cell r="N476">
            <v>3</v>
          </cell>
          <cell r="O476">
            <v>2</v>
          </cell>
          <cell r="P476">
            <v>2</v>
          </cell>
          <cell r="Q476">
            <v>3</v>
          </cell>
          <cell r="R476">
            <v>3</v>
          </cell>
          <cell r="S476">
            <v>3</v>
          </cell>
          <cell r="T476">
            <v>2</v>
          </cell>
          <cell r="U476">
            <v>2</v>
          </cell>
        </row>
        <row r="477">
          <cell r="A477" t="str">
            <v>PWA59682</v>
          </cell>
          <cell r="B477">
            <v>3</v>
          </cell>
          <cell r="C477">
            <v>3</v>
          </cell>
          <cell r="D477">
            <v>3</v>
          </cell>
          <cell r="E477">
            <v>2</v>
          </cell>
          <cell r="F477">
            <v>3</v>
          </cell>
          <cell r="G477">
            <v>2</v>
          </cell>
          <cell r="H477">
            <v>3</v>
          </cell>
          <cell r="I477">
            <v>3</v>
          </cell>
          <cell r="J477">
            <v>3</v>
          </cell>
          <cell r="K477">
            <v>3</v>
          </cell>
          <cell r="L477">
            <v>3</v>
          </cell>
          <cell r="M477">
            <v>2</v>
          </cell>
          <cell r="N477">
            <v>3</v>
          </cell>
          <cell r="O477">
            <v>2</v>
          </cell>
          <cell r="P477">
            <v>2</v>
          </cell>
          <cell r="Q477">
            <v>3</v>
          </cell>
          <cell r="R477">
            <v>3</v>
          </cell>
          <cell r="S477">
            <v>3</v>
          </cell>
          <cell r="T477">
            <v>2</v>
          </cell>
          <cell r="U477">
            <v>2</v>
          </cell>
        </row>
        <row r="478">
          <cell r="A478" t="str">
            <v>PWA59683</v>
          </cell>
          <cell r="B478">
            <v>3</v>
          </cell>
          <cell r="C478">
            <v>3</v>
          </cell>
          <cell r="D478">
            <v>3</v>
          </cell>
          <cell r="E478">
            <v>2</v>
          </cell>
          <cell r="F478">
            <v>3</v>
          </cell>
          <cell r="G478">
            <v>2</v>
          </cell>
          <cell r="H478">
            <v>3</v>
          </cell>
          <cell r="I478">
            <v>3</v>
          </cell>
          <cell r="J478">
            <v>3</v>
          </cell>
          <cell r="K478">
            <v>3</v>
          </cell>
          <cell r="L478">
            <v>3</v>
          </cell>
          <cell r="M478">
            <v>2</v>
          </cell>
          <cell r="N478">
            <v>3</v>
          </cell>
          <cell r="O478">
            <v>2</v>
          </cell>
          <cell r="P478">
            <v>2</v>
          </cell>
          <cell r="Q478">
            <v>3</v>
          </cell>
          <cell r="R478">
            <v>3</v>
          </cell>
          <cell r="S478">
            <v>3</v>
          </cell>
          <cell r="T478">
            <v>2</v>
          </cell>
          <cell r="U478">
            <v>2</v>
          </cell>
        </row>
        <row r="479">
          <cell r="A479" t="str">
            <v>PWA59725</v>
          </cell>
          <cell r="B479">
            <v>1</v>
          </cell>
          <cell r="C479">
            <v>1</v>
          </cell>
          <cell r="D479">
            <v>1</v>
          </cell>
          <cell r="E479">
            <v>1</v>
          </cell>
          <cell r="F479">
            <v>1</v>
          </cell>
          <cell r="G479">
            <v>1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</row>
        <row r="480">
          <cell r="A480" t="str">
            <v>PWA59764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4</v>
          </cell>
          <cell r="I480">
            <v>0</v>
          </cell>
          <cell r="J480">
            <v>0</v>
          </cell>
          <cell r="K480">
            <v>4</v>
          </cell>
          <cell r="L480">
            <v>4</v>
          </cell>
          <cell r="M480">
            <v>2</v>
          </cell>
          <cell r="N480">
            <v>4</v>
          </cell>
          <cell r="O480">
            <v>4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</row>
        <row r="481">
          <cell r="A481" t="str">
            <v>PWA59768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3</v>
          </cell>
          <cell r="R481">
            <v>3</v>
          </cell>
          <cell r="S481">
            <v>3</v>
          </cell>
          <cell r="T481">
            <v>2</v>
          </cell>
          <cell r="U481">
            <v>0</v>
          </cell>
        </row>
        <row r="482">
          <cell r="A482" t="str">
            <v>PWA59784</v>
          </cell>
          <cell r="B482">
            <v>2</v>
          </cell>
          <cell r="C482">
            <v>2</v>
          </cell>
          <cell r="D482">
            <v>2</v>
          </cell>
          <cell r="E482">
            <v>1</v>
          </cell>
          <cell r="F482">
            <v>2</v>
          </cell>
          <cell r="G482">
            <v>1</v>
          </cell>
          <cell r="H482">
            <v>2</v>
          </cell>
          <cell r="I482">
            <v>2</v>
          </cell>
          <cell r="J482">
            <v>2</v>
          </cell>
          <cell r="K482">
            <v>2</v>
          </cell>
          <cell r="L482">
            <v>2</v>
          </cell>
          <cell r="M482">
            <v>1</v>
          </cell>
          <cell r="N482">
            <v>2</v>
          </cell>
          <cell r="O482">
            <v>1</v>
          </cell>
          <cell r="P482">
            <v>1</v>
          </cell>
          <cell r="Q482">
            <v>2</v>
          </cell>
          <cell r="R482">
            <v>2</v>
          </cell>
          <cell r="S482">
            <v>2</v>
          </cell>
          <cell r="T482">
            <v>1</v>
          </cell>
          <cell r="U482">
            <v>1</v>
          </cell>
        </row>
        <row r="483">
          <cell r="A483" t="str">
            <v>PWA59786</v>
          </cell>
          <cell r="B483">
            <v>3</v>
          </cell>
          <cell r="C483">
            <v>3</v>
          </cell>
          <cell r="D483">
            <v>3</v>
          </cell>
          <cell r="E483">
            <v>2</v>
          </cell>
          <cell r="F483">
            <v>3</v>
          </cell>
          <cell r="G483">
            <v>2</v>
          </cell>
          <cell r="H483">
            <v>3</v>
          </cell>
          <cell r="I483">
            <v>3</v>
          </cell>
          <cell r="J483">
            <v>3</v>
          </cell>
          <cell r="K483">
            <v>3</v>
          </cell>
          <cell r="L483">
            <v>3</v>
          </cell>
          <cell r="M483">
            <v>2</v>
          </cell>
          <cell r="N483">
            <v>3</v>
          </cell>
          <cell r="O483">
            <v>2</v>
          </cell>
          <cell r="P483">
            <v>2</v>
          </cell>
          <cell r="Q483">
            <v>3</v>
          </cell>
          <cell r="R483">
            <v>3</v>
          </cell>
          <cell r="S483">
            <v>3</v>
          </cell>
          <cell r="T483">
            <v>2</v>
          </cell>
          <cell r="U483">
            <v>2</v>
          </cell>
        </row>
        <row r="484">
          <cell r="A484" t="str">
            <v>PWA59789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3</v>
          </cell>
          <cell r="I484">
            <v>0</v>
          </cell>
          <cell r="J484">
            <v>0</v>
          </cell>
          <cell r="K484">
            <v>3</v>
          </cell>
          <cell r="L484">
            <v>3</v>
          </cell>
          <cell r="M484">
            <v>2</v>
          </cell>
          <cell r="N484">
            <v>3</v>
          </cell>
          <cell r="O484">
            <v>2</v>
          </cell>
          <cell r="P484">
            <v>2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A485" t="str">
            <v>PWA59792</v>
          </cell>
          <cell r="B485">
            <v>8</v>
          </cell>
          <cell r="C485">
            <v>8</v>
          </cell>
          <cell r="D485">
            <v>8</v>
          </cell>
          <cell r="E485">
            <v>8</v>
          </cell>
          <cell r="F485">
            <v>8</v>
          </cell>
          <cell r="G485">
            <v>8</v>
          </cell>
          <cell r="H485">
            <v>8</v>
          </cell>
          <cell r="I485">
            <v>8</v>
          </cell>
          <cell r="J485">
            <v>8</v>
          </cell>
          <cell r="K485">
            <v>8</v>
          </cell>
          <cell r="L485">
            <v>8</v>
          </cell>
          <cell r="M485">
            <v>8</v>
          </cell>
          <cell r="N485">
            <v>8</v>
          </cell>
          <cell r="O485">
            <v>8</v>
          </cell>
          <cell r="P485">
            <v>8</v>
          </cell>
          <cell r="Q485">
            <v>8</v>
          </cell>
          <cell r="R485">
            <v>8</v>
          </cell>
          <cell r="S485">
            <v>8</v>
          </cell>
          <cell r="T485">
            <v>8</v>
          </cell>
          <cell r="U485">
            <v>8</v>
          </cell>
        </row>
        <row r="486">
          <cell r="A486" t="str">
            <v>PWA59803</v>
          </cell>
          <cell r="B486">
            <v>1</v>
          </cell>
          <cell r="C486">
            <v>1</v>
          </cell>
          <cell r="D486">
            <v>1</v>
          </cell>
          <cell r="E486">
            <v>1</v>
          </cell>
          <cell r="F486">
            <v>1</v>
          </cell>
          <cell r="G486">
            <v>1</v>
          </cell>
          <cell r="H486">
            <v>1</v>
          </cell>
          <cell r="I486">
            <v>1</v>
          </cell>
          <cell r="J486">
            <v>1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P486">
            <v>1</v>
          </cell>
          <cell r="Q486">
            <v>1</v>
          </cell>
          <cell r="R486">
            <v>1</v>
          </cell>
          <cell r="S486">
            <v>1</v>
          </cell>
          <cell r="T486">
            <v>1</v>
          </cell>
          <cell r="U486">
            <v>1</v>
          </cell>
        </row>
        <row r="487">
          <cell r="A487" t="str">
            <v>PWA59810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2</v>
          </cell>
          <cell r="I487">
            <v>0</v>
          </cell>
          <cell r="J487">
            <v>0</v>
          </cell>
          <cell r="K487">
            <v>2</v>
          </cell>
          <cell r="L487">
            <v>2</v>
          </cell>
          <cell r="M487">
            <v>1</v>
          </cell>
          <cell r="N487">
            <v>2</v>
          </cell>
          <cell r="O487">
            <v>2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</row>
        <row r="488">
          <cell r="A488" t="str">
            <v>PWA59811</v>
          </cell>
          <cell r="B488">
            <v>2</v>
          </cell>
          <cell r="C488">
            <v>2</v>
          </cell>
          <cell r="D488">
            <v>2</v>
          </cell>
          <cell r="E488">
            <v>0</v>
          </cell>
          <cell r="F488">
            <v>2</v>
          </cell>
          <cell r="G488">
            <v>0</v>
          </cell>
          <cell r="H488">
            <v>2</v>
          </cell>
          <cell r="I488">
            <v>2</v>
          </cell>
          <cell r="J488">
            <v>2</v>
          </cell>
          <cell r="K488">
            <v>2</v>
          </cell>
          <cell r="L488">
            <v>2</v>
          </cell>
          <cell r="M488">
            <v>0</v>
          </cell>
          <cell r="N488">
            <v>2</v>
          </cell>
          <cell r="O488">
            <v>0</v>
          </cell>
          <cell r="P488">
            <v>0</v>
          </cell>
          <cell r="Q488">
            <v>2</v>
          </cell>
          <cell r="R488">
            <v>2</v>
          </cell>
          <cell r="S488">
            <v>2</v>
          </cell>
          <cell r="T488">
            <v>0</v>
          </cell>
          <cell r="U488">
            <v>0</v>
          </cell>
        </row>
        <row r="489">
          <cell r="A489" t="str">
            <v>PWA59826</v>
          </cell>
          <cell r="B489">
            <v>1</v>
          </cell>
          <cell r="C489">
            <v>1</v>
          </cell>
          <cell r="D489">
            <v>1</v>
          </cell>
          <cell r="E489">
            <v>1</v>
          </cell>
          <cell r="F489">
            <v>1</v>
          </cell>
          <cell r="G489">
            <v>1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P489">
            <v>1</v>
          </cell>
          <cell r="Q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</row>
        <row r="490">
          <cell r="A490" t="str">
            <v>PWA59828</v>
          </cell>
          <cell r="B490">
            <v>1</v>
          </cell>
          <cell r="C490">
            <v>1</v>
          </cell>
          <cell r="D490">
            <v>1</v>
          </cell>
          <cell r="E490">
            <v>1</v>
          </cell>
          <cell r="F490">
            <v>1</v>
          </cell>
          <cell r="G490">
            <v>1</v>
          </cell>
          <cell r="H490">
            <v>1</v>
          </cell>
          <cell r="I490">
            <v>1</v>
          </cell>
          <cell r="J490">
            <v>1</v>
          </cell>
          <cell r="K490">
            <v>1</v>
          </cell>
          <cell r="L490">
            <v>1</v>
          </cell>
          <cell r="M490">
            <v>1</v>
          </cell>
          <cell r="N490">
            <v>1</v>
          </cell>
          <cell r="O490">
            <v>1</v>
          </cell>
          <cell r="P490">
            <v>0</v>
          </cell>
          <cell r="Q490">
            <v>1</v>
          </cell>
          <cell r="R490">
            <v>1</v>
          </cell>
          <cell r="S490">
            <v>1</v>
          </cell>
          <cell r="T490">
            <v>0</v>
          </cell>
          <cell r="U490">
            <v>1</v>
          </cell>
        </row>
        <row r="491">
          <cell r="A491" t="str">
            <v>PWA59836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1</v>
          </cell>
          <cell r="I491">
            <v>0</v>
          </cell>
          <cell r="J491">
            <v>0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O491">
            <v>1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</row>
        <row r="492">
          <cell r="A492" t="str">
            <v>PWA59837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1</v>
          </cell>
          <cell r="Q492">
            <v>1</v>
          </cell>
          <cell r="R492">
            <v>1</v>
          </cell>
          <cell r="S492">
            <v>1</v>
          </cell>
          <cell r="T492">
            <v>1</v>
          </cell>
          <cell r="U492">
            <v>0</v>
          </cell>
        </row>
        <row r="493">
          <cell r="A493" t="str">
            <v>PWA59847</v>
          </cell>
          <cell r="B493">
            <v>2</v>
          </cell>
          <cell r="C493">
            <v>2</v>
          </cell>
          <cell r="D493">
            <v>2</v>
          </cell>
          <cell r="E493">
            <v>1</v>
          </cell>
          <cell r="F493">
            <v>2</v>
          </cell>
          <cell r="G493">
            <v>1</v>
          </cell>
          <cell r="H493">
            <v>2</v>
          </cell>
          <cell r="I493">
            <v>2</v>
          </cell>
          <cell r="J493">
            <v>2</v>
          </cell>
          <cell r="K493">
            <v>2</v>
          </cell>
          <cell r="L493">
            <v>2</v>
          </cell>
          <cell r="M493">
            <v>1</v>
          </cell>
          <cell r="N493">
            <v>2</v>
          </cell>
          <cell r="O493">
            <v>1</v>
          </cell>
          <cell r="P493">
            <v>1</v>
          </cell>
          <cell r="Q493">
            <v>2</v>
          </cell>
          <cell r="R493">
            <v>2</v>
          </cell>
          <cell r="S493">
            <v>2</v>
          </cell>
          <cell r="T493">
            <v>1</v>
          </cell>
          <cell r="U493">
            <v>1</v>
          </cell>
        </row>
        <row r="494">
          <cell r="A494" t="str">
            <v>PWA59871</v>
          </cell>
          <cell r="B494">
            <v>2</v>
          </cell>
          <cell r="C494">
            <v>2</v>
          </cell>
          <cell r="D494">
            <v>2</v>
          </cell>
          <cell r="E494">
            <v>1</v>
          </cell>
          <cell r="F494">
            <v>2</v>
          </cell>
          <cell r="G494">
            <v>1</v>
          </cell>
          <cell r="H494">
            <v>2</v>
          </cell>
          <cell r="I494">
            <v>2</v>
          </cell>
          <cell r="J494">
            <v>2</v>
          </cell>
          <cell r="K494">
            <v>2</v>
          </cell>
          <cell r="L494">
            <v>2</v>
          </cell>
          <cell r="M494">
            <v>1</v>
          </cell>
          <cell r="N494">
            <v>2</v>
          </cell>
          <cell r="O494">
            <v>1</v>
          </cell>
          <cell r="P494">
            <v>1</v>
          </cell>
          <cell r="Q494">
            <v>2</v>
          </cell>
          <cell r="R494">
            <v>2</v>
          </cell>
          <cell r="S494">
            <v>2</v>
          </cell>
          <cell r="T494">
            <v>1</v>
          </cell>
          <cell r="U494">
            <v>1</v>
          </cell>
        </row>
        <row r="495">
          <cell r="A495" t="str">
            <v>PWA59872</v>
          </cell>
          <cell r="B495">
            <v>1</v>
          </cell>
          <cell r="C495">
            <v>1</v>
          </cell>
          <cell r="D495">
            <v>1</v>
          </cell>
          <cell r="E495">
            <v>1</v>
          </cell>
          <cell r="F495">
            <v>1</v>
          </cell>
          <cell r="G495">
            <v>1</v>
          </cell>
          <cell r="H495">
            <v>1</v>
          </cell>
          <cell r="I495">
            <v>1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O495">
            <v>1</v>
          </cell>
          <cell r="P495">
            <v>0</v>
          </cell>
          <cell r="Q495">
            <v>1</v>
          </cell>
          <cell r="R495">
            <v>1</v>
          </cell>
          <cell r="S495">
            <v>1</v>
          </cell>
          <cell r="T495">
            <v>0</v>
          </cell>
          <cell r="U495">
            <v>1</v>
          </cell>
        </row>
        <row r="496">
          <cell r="A496" t="str">
            <v>PWA59884</v>
          </cell>
          <cell r="B496">
            <v>4</v>
          </cell>
          <cell r="C496">
            <v>4</v>
          </cell>
          <cell r="D496">
            <v>4</v>
          </cell>
          <cell r="E496">
            <v>4</v>
          </cell>
          <cell r="F496">
            <v>4</v>
          </cell>
          <cell r="G496">
            <v>4</v>
          </cell>
          <cell r="H496">
            <v>4</v>
          </cell>
          <cell r="I496">
            <v>4</v>
          </cell>
          <cell r="J496">
            <v>4</v>
          </cell>
          <cell r="K496">
            <v>4</v>
          </cell>
          <cell r="L496">
            <v>4</v>
          </cell>
          <cell r="M496">
            <v>2</v>
          </cell>
          <cell r="N496">
            <v>4</v>
          </cell>
          <cell r="O496">
            <v>4</v>
          </cell>
          <cell r="P496">
            <v>0</v>
          </cell>
          <cell r="Q496">
            <v>4</v>
          </cell>
          <cell r="R496">
            <v>4</v>
          </cell>
          <cell r="S496">
            <v>4</v>
          </cell>
          <cell r="T496">
            <v>0</v>
          </cell>
          <cell r="U496">
            <v>4</v>
          </cell>
        </row>
        <row r="497">
          <cell r="A497" t="str">
            <v>PWA59915</v>
          </cell>
          <cell r="B497">
            <v>2</v>
          </cell>
          <cell r="C497">
            <v>2</v>
          </cell>
          <cell r="D497">
            <v>2</v>
          </cell>
          <cell r="E497">
            <v>1</v>
          </cell>
          <cell r="F497">
            <v>2</v>
          </cell>
          <cell r="G497">
            <v>1</v>
          </cell>
          <cell r="H497">
            <v>2</v>
          </cell>
          <cell r="I497">
            <v>2</v>
          </cell>
          <cell r="J497">
            <v>2</v>
          </cell>
          <cell r="K497">
            <v>2</v>
          </cell>
          <cell r="L497">
            <v>2</v>
          </cell>
          <cell r="M497">
            <v>1</v>
          </cell>
          <cell r="N497">
            <v>2</v>
          </cell>
          <cell r="O497">
            <v>1</v>
          </cell>
          <cell r="P497">
            <v>1</v>
          </cell>
          <cell r="Q497">
            <v>2</v>
          </cell>
          <cell r="R497">
            <v>2</v>
          </cell>
          <cell r="S497">
            <v>2</v>
          </cell>
          <cell r="T497">
            <v>1</v>
          </cell>
          <cell r="U497">
            <v>1</v>
          </cell>
        </row>
        <row r="498">
          <cell r="A498" t="str">
            <v>PWA59919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3</v>
          </cell>
          <cell r="I498">
            <v>0</v>
          </cell>
          <cell r="J498">
            <v>0</v>
          </cell>
          <cell r="K498">
            <v>3</v>
          </cell>
          <cell r="L498">
            <v>3</v>
          </cell>
          <cell r="M498">
            <v>2</v>
          </cell>
          <cell r="N498">
            <v>3</v>
          </cell>
          <cell r="O498">
            <v>2</v>
          </cell>
          <cell r="P498">
            <v>2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</row>
        <row r="499">
          <cell r="A499" t="str">
            <v>PWA59921</v>
          </cell>
          <cell r="B499">
            <v>1</v>
          </cell>
          <cell r="C499">
            <v>1</v>
          </cell>
          <cell r="D499">
            <v>1</v>
          </cell>
          <cell r="E499">
            <v>1</v>
          </cell>
          <cell r="F499">
            <v>1</v>
          </cell>
          <cell r="G499">
            <v>1</v>
          </cell>
          <cell r="H499">
            <v>1</v>
          </cell>
          <cell r="I499">
            <v>1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O499">
            <v>1</v>
          </cell>
          <cell r="P499">
            <v>1</v>
          </cell>
          <cell r="Q499">
            <v>1</v>
          </cell>
          <cell r="R499">
            <v>1</v>
          </cell>
          <cell r="S499">
            <v>1</v>
          </cell>
          <cell r="T499">
            <v>1</v>
          </cell>
          <cell r="U499">
            <v>1</v>
          </cell>
        </row>
        <row r="500">
          <cell r="A500" t="str">
            <v>PWA59928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2</v>
          </cell>
          <cell r="I500">
            <v>0</v>
          </cell>
          <cell r="J500">
            <v>0</v>
          </cell>
          <cell r="K500">
            <v>2</v>
          </cell>
          <cell r="L500">
            <v>2</v>
          </cell>
          <cell r="M500">
            <v>1</v>
          </cell>
          <cell r="N500">
            <v>2</v>
          </cell>
          <cell r="O500">
            <v>2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</row>
        <row r="501">
          <cell r="A501" t="str">
            <v>PWA59929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2</v>
          </cell>
          <cell r="I501">
            <v>0</v>
          </cell>
          <cell r="J501">
            <v>0</v>
          </cell>
          <cell r="K501">
            <v>2</v>
          </cell>
          <cell r="L501">
            <v>2</v>
          </cell>
          <cell r="M501">
            <v>1</v>
          </cell>
          <cell r="N501">
            <v>2</v>
          </cell>
          <cell r="O501">
            <v>2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</row>
        <row r="502">
          <cell r="A502" t="str">
            <v>PWA59936</v>
          </cell>
          <cell r="B502">
            <v>1</v>
          </cell>
          <cell r="C502">
            <v>1</v>
          </cell>
          <cell r="D502">
            <v>1</v>
          </cell>
          <cell r="E502">
            <v>1</v>
          </cell>
          <cell r="F502">
            <v>1</v>
          </cell>
          <cell r="G502">
            <v>1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1</v>
          </cell>
          <cell r="M502">
            <v>1</v>
          </cell>
          <cell r="N502">
            <v>1</v>
          </cell>
          <cell r="O502">
            <v>1</v>
          </cell>
          <cell r="P502">
            <v>1</v>
          </cell>
          <cell r="Q502">
            <v>1</v>
          </cell>
          <cell r="R502">
            <v>1</v>
          </cell>
          <cell r="S502">
            <v>1</v>
          </cell>
          <cell r="T502">
            <v>1</v>
          </cell>
          <cell r="U502">
            <v>1</v>
          </cell>
        </row>
        <row r="503">
          <cell r="A503" t="str">
            <v>PWA59937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3</v>
          </cell>
          <cell r="I503">
            <v>0</v>
          </cell>
          <cell r="J503">
            <v>0</v>
          </cell>
          <cell r="K503">
            <v>3</v>
          </cell>
          <cell r="L503">
            <v>3</v>
          </cell>
          <cell r="M503">
            <v>2</v>
          </cell>
          <cell r="N503">
            <v>3</v>
          </cell>
          <cell r="O503">
            <v>2</v>
          </cell>
          <cell r="P503">
            <v>2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</row>
        <row r="504">
          <cell r="A504" t="str">
            <v>PWA59938</v>
          </cell>
          <cell r="B504">
            <v>3</v>
          </cell>
          <cell r="C504">
            <v>3</v>
          </cell>
          <cell r="D504">
            <v>3</v>
          </cell>
          <cell r="E504">
            <v>2</v>
          </cell>
          <cell r="F504">
            <v>3</v>
          </cell>
          <cell r="G504">
            <v>2</v>
          </cell>
          <cell r="H504">
            <v>0</v>
          </cell>
          <cell r="I504">
            <v>3</v>
          </cell>
          <cell r="J504">
            <v>3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3</v>
          </cell>
          <cell r="R504">
            <v>3</v>
          </cell>
          <cell r="S504">
            <v>3</v>
          </cell>
          <cell r="T504">
            <v>2</v>
          </cell>
          <cell r="U504">
            <v>2</v>
          </cell>
        </row>
        <row r="505">
          <cell r="A505" t="str">
            <v>PWA59944</v>
          </cell>
          <cell r="B505">
            <v>2</v>
          </cell>
          <cell r="C505">
            <v>2</v>
          </cell>
          <cell r="D505">
            <v>2</v>
          </cell>
          <cell r="E505">
            <v>1</v>
          </cell>
          <cell r="F505">
            <v>2</v>
          </cell>
          <cell r="G505">
            <v>1</v>
          </cell>
          <cell r="H505">
            <v>2</v>
          </cell>
          <cell r="I505">
            <v>2</v>
          </cell>
          <cell r="J505">
            <v>2</v>
          </cell>
          <cell r="K505">
            <v>2</v>
          </cell>
          <cell r="L505">
            <v>2</v>
          </cell>
          <cell r="M505">
            <v>1</v>
          </cell>
          <cell r="N505">
            <v>2</v>
          </cell>
          <cell r="O505">
            <v>1</v>
          </cell>
          <cell r="P505">
            <v>1</v>
          </cell>
          <cell r="Q505">
            <v>2</v>
          </cell>
          <cell r="R505">
            <v>2</v>
          </cell>
          <cell r="S505">
            <v>2</v>
          </cell>
          <cell r="T505">
            <v>1</v>
          </cell>
          <cell r="U505">
            <v>1</v>
          </cell>
        </row>
        <row r="506">
          <cell r="A506" t="str">
            <v>PWA59946</v>
          </cell>
          <cell r="B506">
            <v>2</v>
          </cell>
          <cell r="C506">
            <v>2</v>
          </cell>
          <cell r="D506">
            <v>2</v>
          </cell>
          <cell r="E506">
            <v>1</v>
          </cell>
          <cell r="F506">
            <v>2</v>
          </cell>
          <cell r="G506">
            <v>1</v>
          </cell>
          <cell r="H506">
            <v>2</v>
          </cell>
          <cell r="I506">
            <v>2</v>
          </cell>
          <cell r="J506">
            <v>2</v>
          </cell>
          <cell r="K506">
            <v>2</v>
          </cell>
          <cell r="L506">
            <v>2</v>
          </cell>
          <cell r="M506">
            <v>1</v>
          </cell>
          <cell r="N506">
            <v>2</v>
          </cell>
          <cell r="O506">
            <v>1</v>
          </cell>
          <cell r="P506">
            <v>1</v>
          </cell>
          <cell r="Q506">
            <v>2</v>
          </cell>
          <cell r="R506">
            <v>2</v>
          </cell>
          <cell r="S506">
            <v>2</v>
          </cell>
          <cell r="T506">
            <v>1</v>
          </cell>
          <cell r="U506">
            <v>1</v>
          </cell>
        </row>
        <row r="507">
          <cell r="A507" t="str">
            <v>PWA59947</v>
          </cell>
          <cell r="B507">
            <v>1</v>
          </cell>
          <cell r="C507">
            <v>1</v>
          </cell>
          <cell r="D507">
            <v>1</v>
          </cell>
          <cell r="E507">
            <v>1</v>
          </cell>
          <cell r="F507">
            <v>1</v>
          </cell>
          <cell r="G507">
            <v>1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</row>
        <row r="508">
          <cell r="A508" t="str">
            <v>PWA59955</v>
          </cell>
          <cell r="B508">
            <v>1</v>
          </cell>
          <cell r="C508">
            <v>1</v>
          </cell>
          <cell r="D508">
            <v>1</v>
          </cell>
          <cell r="E508">
            <v>1</v>
          </cell>
          <cell r="F508">
            <v>1</v>
          </cell>
          <cell r="G508">
            <v>1</v>
          </cell>
          <cell r="H508">
            <v>1</v>
          </cell>
          <cell r="I508">
            <v>1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O508">
            <v>1</v>
          </cell>
          <cell r="P508">
            <v>0</v>
          </cell>
          <cell r="Q508">
            <v>1</v>
          </cell>
          <cell r="R508">
            <v>1</v>
          </cell>
          <cell r="S508">
            <v>1</v>
          </cell>
          <cell r="T508">
            <v>0</v>
          </cell>
          <cell r="U508">
            <v>1</v>
          </cell>
        </row>
        <row r="509">
          <cell r="A509" t="str">
            <v>PWA59966</v>
          </cell>
          <cell r="B509">
            <v>1</v>
          </cell>
          <cell r="C509">
            <v>1</v>
          </cell>
          <cell r="D509">
            <v>1</v>
          </cell>
          <cell r="E509">
            <v>1</v>
          </cell>
          <cell r="F509">
            <v>1</v>
          </cell>
          <cell r="G509">
            <v>1</v>
          </cell>
          <cell r="H509">
            <v>1</v>
          </cell>
          <cell r="I509">
            <v>1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O509">
            <v>1</v>
          </cell>
          <cell r="P509">
            <v>1</v>
          </cell>
          <cell r="Q509">
            <v>1</v>
          </cell>
          <cell r="R509">
            <v>1</v>
          </cell>
          <cell r="S509">
            <v>1</v>
          </cell>
          <cell r="T509">
            <v>1</v>
          </cell>
          <cell r="U509">
            <v>1</v>
          </cell>
        </row>
        <row r="510">
          <cell r="A510" t="str">
            <v>RR-JST15075000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</v>
          </cell>
          <cell r="J510">
            <v>0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P510">
            <v>1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</row>
        <row r="511">
          <cell r="A511" t="str">
            <v>RR-S3S25005000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</v>
          </cell>
          <cell r="J511">
            <v>0</v>
          </cell>
          <cell r="K511">
            <v>1</v>
          </cell>
          <cell r="L511">
            <v>1</v>
          </cell>
          <cell r="M511">
            <v>1</v>
          </cell>
          <cell r="N511">
            <v>1</v>
          </cell>
          <cell r="O511">
            <v>1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</row>
        <row r="512">
          <cell r="A512" t="str">
            <v>RR-S3S25054000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</v>
          </cell>
          <cell r="J512">
            <v>0</v>
          </cell>
          <cell r="K512">
            <v>1</v>
          </cell>
          <cell r="L512">
            <v>1</v>
          </cell>
          <cell r="M512">
            <v>1</v>
          </cell>
          <cell r="N512">
            <v>1</v>
          </cell>
          <cell r="O512">
            <v>1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</row>
        <row r="513">
          <cell r="A513" t="str">
            <v>RR-S3S25060000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</v>
          </cell>
          <cell r="J513">
            <v>0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</row>
        <row r="514">
          <cell r="A514" t="str">
            <v>RR-S3S25077000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1</v>
          </cell>
          <cell r="I514">
            <v>0</v>
          </cell>
          <cell r="J514">
            <v>0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</row>
        <row r="515">
          <cell r="A515" t="str">
            <v>RR-S3S25080000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1</v>
          </cell>
          <cell r="I515">
            <v>0</v>
          </cell>
          <cell r="J515">
            <v>0</v>
          </cell>
          <cell r="K515">
            <v>1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</row>
        <row r="516">
          <cell r="A516" t="str">
            <v>RR-S3S25082000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1</v>
          </cell>
          <cell r="I516">
            <v>0</v>
          </cell>
          <cell r="J516">
            <v>0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O516">
            <v>1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</row>
        <row r="517">
          <cell r="A517" t="str">
            <v>RR-S3S25088000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1</v>
          </cell>
          <cell r="I517">
            <v>0</v>
          </cell>
          <cell r="J517">
            <v>0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O517">
            <v>1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</row>
        <row r="518">
          <cell r="A518" t="str">
            <v>RR-S3S25111000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</v>
          </cell>
          <cell r="J518">
            <v>0</v>
          </cell>
          <cell r="K518">
            <v>1</v>
          </cell>
          <cell r="L518">
            <v>1</v>
          </cell>
          <cell r="M518">
            <v>1</v>
          </cell>
          <cell r="N518">
            <v>1</v>
          </cell>
          <cell r="O518">
            <v>1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</row>
        <row r="519">
          <cell r="A519" t="str">
            <v>RR-S3S25112000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1</v>
          </cell>
          <cell r="I519">
            <v>0</v>
          </cell>
          <cell r="J519">
            <v>0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</row>
        <row r="520">
          <cell r="A520" t="str">
            <v>RR-S3S25114000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1</v>
          </cell>
          <cell r="I520">
            <v>0</v>
          </cell>
          <cell r="J520">
            <v>0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</row>
        <row r="521">
          <cell r="A521" t="str">
            <v>RR-S3S25115000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1</v>
          </cell>
          <cell r="I521">
            <v>0</v>
          </cell>
          <cell r="J521">
            <v>0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O521">
            <v>1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</row>
        <row r="522">
          <cell r="A522" t="str">
            <v>RR-S3S25116000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1</v>
          </cell>
          <cell r="I522">
            <v>0</v>
          </cell>
          <cell r="J522">
            <v>0</v>
          </cell>
          <cell r="K522">
            <v>1</v>
          </cell>
          <cell r="L522">
            <v>1</v>
          </cell>
          <cell r="M522">
            <v>1</v>
          </cell>
          <cell r="N522">
            <v>1</v>
          </cell>
          <cell r="O522">
            <v>1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A523" t="str">
            <v>RR-S3S25117000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1</v>
          </cell>
          <cell r="I523">
            <v>0</v>
          </cell>
          <cell r="J523">
            <v>0</v>
          </cell>
          <cell r="K523">
            <v>1</v>
          </cell>
          <cell r="L523">
            <v>1</v>
          </cell>
          <cell r="M523">
            <v>1</v>
          </cell>
          <cell r="N523">
            <v>1</v>
          </cell>
          <cell r="O523">
            <v>1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A524" t="str">
            <v>RR-S3S25118000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1</v>
          </cell>
          <cell r="I524">
            <v>0</v>
          </cell>
          <cell r="J524">
            <v>0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O524">
            <v>1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A525" t="str">
            <v>RR-S3S25119000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1</v>
          </cell>
          <cell r="I525">
            <v>0</v>
          </cell>
          <cell r="J525">
            <v>0</v>
          </cell>
          <cell r="K525">
            <v>1</v>
          </cell>
          <cell r="L525">
            <v>1</v>
          </cell>
          <cell r="M525">
            <v>1</v>
          </cell>
          <cell r="N525">
            <v>1</v>
          </cell>
          <cell r="O525">
            <v>1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A526" t="str">
            <v>RR-S3S25125000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1</v>
          </cell>
          <cell r="I526">
            <v>0</v>
          </cell>
          <cell r="J526">
            <v>0</v>
          </cell>
          <cell r="K526">
            <v>1</v>
          </cell>
          <cell r="L526">
            <v>1</v>
          </cell>
          <cell r="M526">
            <v>1</v>
          </cell>
          <cell r="N526">
            <v>1</v>
          </cell>
          <cell r="O526">
            <v>1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A527" t="str">
            <v>RR-S3S25126000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1</v>
          </cell>
          <cell r="I527">
            <v>0</v>
          </cell>
          <cell r="J527">
            <v>0</v>
          </cell>
          <cell r="K527">
            <v>1</v>
          </cell>
          <cell r="L527">
            <v>1</v>
          </cell>
          <cell r="M527">
            <v>1</v>
          </cell>
          <cell r="N527">
            <v>1</v>
          </cell>
          <cell r="O527">
            <v>1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A528" t="str">
            <v>RR-S3S25127000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</v>
          </cell>
          <cell r="J528">
            <v>0</v>
          </cell>
          <cell r="K528">
            <v>1</v>
          </cell>
          <cell r="L528">
            <v>1</v>
          </cell>
          <cell r="M528">
            <v>1</v>
          </cell>
          <cell r="N528">
            <v>1</v>
          </cell>
          <cell r="O528">
            <v>1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A529" t="str">
            <v>RR-S3S25128000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1</v>
          </cell>
          <cell r="I529">
            <v>0</v>
          </cell>
          <cell r="J529">
            <v>0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</row>
        <row r="530">
          <cell r="A530" t="str">
            <v>RR-S3S25129000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O530">
            <v>1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</row>
        <row r="531">
          <cell r="A531" t="str">
            <v>RR-S3S25131000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</v>
          </cell>
          <cell r="J531">
            <v>0</v>
          </cell>
          <cell r="K531">
            <v>1</v>
          </cell>
          <cell r="L531">
            <v>1</v>
          </cell>
          <cell r="M531">
            <v>1</v>
          </cell>
          <cell r="N531">
            <v>1</v>
          </cell>
          <cell r="O531">
            <v>1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</row>
        <row r="532">
          <cell r="A532" t="str">
            <v>RR-S3S25134000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1</v>
          </cell>
          <cell r="I532">
            <v>0</v>
          </cell>
          <cell r="J532">
            <v>0</v>
          </cell>
          <cell r="K532">
            <v>1</v>
          </cell>
          <cell r="L532">
            <v>1</v>
          </cell>
          <cell r="M532">
            <v>1</v>
          </cell>
          <cell r="N532">
            <v>1</v>
          </cell>
          <cell r="O532">
            <v>1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</row>
        <row r="533">
          <cell r="A533" t="str">
            <v>RR-S3S25135000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1</v>
          </cell>
          <cell r="I533">
            <v>0</v>
          </cell>
          <cell r="J533">
            <v>0</v>
          </cell>
          <cell r="K533">
            <v>1</v>
          </cell>
          <cell r="L533">
            <v>1</v>
          </cell>
          <cell r="M533">
            <v>1</v>
          </cell>
          <cell r="N533">
            <v>1</v>
          </cell>
          <cell r="O533">
            <v>1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</row>
        <row r="534">
          <cell r="A534" t="str">
            <v>RR-S3S25136000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1</v>
          </cell>
          <cell r="I534">
            <v>0</v>
          </cell>
          <cell r="J534">
            <v>0</v>
          </cell>
          <cell r="K534">
            <v>1</v>
          </cell>
          <cell r="L534">
            <v>1</v>
          </cell>
          <cell r="M534">
            <v>1</v>
          </cell>
          <cell r="N534">
            <v>1</v>
          </cell>
          <cell r="O534">
            <v>1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</row>
        <row r="535">
          <cell r="A535" t="str">
            <v>RR-S3S25138000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1</v>
          </cell>
          <cell r="I535">
            <v>0</v>
          </cell>
          <cell r="J535">
            <v>0</v>
          </cell>
          <cell r="K535">
            <v>1</v>
          </cell>
          <cell r="L535">
            <v>1</v>
          </cell>
          <cell r="M535">
            <v>1</v>
          </cell>
          <cell r="N535">
            <v>1</v>
          </cell>
          <cell r="O535">
            <v>1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</row>
        <row r="536">
          <cell r="A536" t="str">
            <v>RR-S3S25139000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1</v>
          </cell>
          <cell r="L536">
            <v>1</v>
          </cell>
          <cell r="M536">
            <v>1</v>
          </cell>
          <cell r="N536">
            <v>1</v>
          </cell>
          <cell r="O536">
            <v>1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</row>
        <row r="537">
          <cell r="A537" t="str">
            <v>RR-S3S25141000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1</v>
          </cell>
          <cell r="I537">
            <v>0</v>
          </cell>
          <cell r="J537">
            <v>0</v>
          </cell>
          <cell r="K537">
            <v>1</v>
          </cell>
          <cell r="L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</row>
        <row r="538">
          <cell r="A538" t="str">
            <v>RR-S3S25161000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</row>
        <row r="539">
          <cell r="A539" t="str">
            <v>RR-S3S25164000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A540" t="str">
            <v>RR-S3S25167000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</v>
          </cell>
          <cell r="J540">
            <v>0</v>
          </cell>
          <cell r="K540">
            <v>1</v>
          </cell>
          <cell r="L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</row>
        <row r="541">
          <cell r="A541" t="str">
            <v>RR-S3S25168000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1</v>
          </cell>
          <cell r="I541">
            <v>0</v>
          </cell>
          <cell r="J541">
            <v>0</v>
          </cell>
          <cell r="K541">
            <v>1</v>
          </cell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</row>
        <row r="542">
          <cell r="A542" t="str">
            <v>RR-S3S25169000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1</v>
          </cell>
          <cell r="I542">
            <v>0</v>
          </cell>
          <cell r="J542">
            <v>0</v>
          </cell>
          <cell r="K542">
            <v>1</v>
          </cell>
          <cell r="L542">
            <v>1</v>
          </cell>
          <cell r="M542">
            <v>1</v>
          </cell>
          <cell r="N542">
            <v>1</v>
          </cell>
          <cell r="O542">
            <v>1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</row>
        <row r="543">
          <cell r="A543" t="str">
            <v>RR-S3S25172000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1</v>
          </cell>
          <cell r="I543">
            <v>0</v>
          </cell>
          <cell r="J543">
            <v>0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</row>
        <row r="544">
          <cell r="A544" t="str">
            <v>RR-S3S25173000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1</v>
          </cell>
          <cell r="I544">
            <v>0</v>
          </cell>
          <cell r="J544">
            <v>0</v>
          </cell>
          <cell r="K544">
            <v>1</v>
          </cell>
          <cell r="L544">
            <v>1</v>
          </cell>
          <cell r="M544">
            <v>1</v>
          </cell>
          <cell r="N544">
            <v>1</v>
          </cell>
          <cell r="O544">
            <v>1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</row>
        <row r="545">
          <cell r="A545" t="str">
            <v>RR-S3S25174000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1</v>
          </cell>
          <cell r="I545">
            <v>0</v>
          </cell>
          <cell r="J545">
            <v>0</v>
          </cell>
          <cell r="K545">
            <v>1</v>
          </cell>
          <cell r="L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</row>
        <row r="546">
          <cell r="A546" t="str">
            <v>RR-S3S25205000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1</v>
          </cell>
          <cell r="I546">
            <v>0</v>
          </cell>
          <cell r="J546">
            <v>0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</row>
        <row r="547">
          <cell r="A547" t="str">
            <v>TC0001</v>
          </cell>
          <cell r="B547">
            <v>7</v>
          </cell>
          <cell r="C547">
            <v>4</v>
          </cell>
          <cell r="D547">
            <v>4</v>
          </cell>
          <cell r="E547">
            <v>5</v>
          </cell>
          <cell r="F547">
            <v>7</v>
          </cell>
          <cell r="G547">
            <v>6</v>
          </cell>
          <cell r="H547">
            <v>6</v>
          </cell>
          <cell r="I547">
            <v>7</v>
          </cell>
          <cell r="J547">
            <v>4</v>
          </cell>
          <cell r="K547">
            <v>6</v>
          </cell>
          <cell r="L547">
            <v>6</v>
          </cell>
          <cell r="M547">
            <v>4</v>
          </cell>
          <cell r="N547">
            <v>4</v>
          </cell>
          <cell r="O547">
            <v>4</v>
          </cell>
          <cell r="P547">
            <v>0</v>
          </cell>
          <cell r="Q547">
            <v>4</v>
          </cell>
          <cell r="R547">
            <v>6</v>
          </cell>
          <cell r="S547">
            <v>5</v>
          </cell>
          <cell r="T547">
            <v>0</v>
          </cell>
          <cell r="U547">
            <v>4</v>
          </cell>
        </row>
        <row r="548">
          <cell r="A548" t="str">
            <v>TC0002</v>
          </cell>
          <cell r="B548">
            <v>1</v>
          </cell>
          <cell r="C548">
            <v>1</v>
          </cell>
          <cell r="D548">
            <v>1</v>
          </cell>
          <cell r="E548">
            <v>1</v>
          </cell>
          <cell r="F548">
            <v>1</v>
          </cell>
          <cell r="G548">
            <v>1</v>
          </cell>
          <cell r="H548">
            <v>1</v>
          </cell>
          <cell r="I548">
            <v>1</v>
          </cell>
          <cell r="J548">
            <v>0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0</v>
          </cell>
          <cell r="Q548">
            <v>1</v>
          </cell>
          <cell r="R548">
            <v>1</v>
          </cell>
          <cell r="S548">
            <v>1</v>
          </cell>
          <cell r="T548">
            <v>0</v>
          </cell>
          <cell r="U548">
            <v>1</v>
          </cell>
        </row>
        <row r="549">
          <cell r="A549" t="str">
            <v>TC0004</v>
          </cell>
          <cell r="B549">
            <v>4</v>
          </cell>
          <cell r="C549">
            <v>1</v>
          </cell>
          <cell r="D549">
            <v>1</v>
          </cell>
          <cell r="E549">
            <v>2</v>
          </cell>
          <cell r="F549">
            <v>4</v>
          </cell>
          <cell r="G549">
            <v>3</v>
          </cell>
          <cell r="H549">
            <v>4</v>
          </cell>
          <cell r="I549">
            <v>4</v>
          </cell>
          <cell r="J549">
            <v>1</v>
          </cell>
          <cell r="K549">
            <v>4</v>
          </cell>
          <cell r="L549">
            <v>3</v>
          </cell>
          <cell r="M549">
            <v>3</v>
          </cell>
          <cell r="N549">
            <v>1</v>
          </cell>
          <cell r="O549">
            <v>1</v>
          </cell>
          <cell r="P549">
            <v>0</v>
          </cell>
          <cell r="Q549">
            <v>1</v>
          </cell>
          <cell r="R549">
            <v>4</v>
          </cell>
          <cell r="S549">
            <v>2</v>
          </cell>
          <cell r="T549">
            <v>0</v>
          </cell>
          <cell r="U549">
            <v>1</v>
          </cell>
        </row>
        <row r="550">
          <cell r="A550" t="str">
            <v>TC0005</v>
          </cell>
          <cell r="B550">
            <v>4</v>
          </cell>
          <cell r="C550">
            <v>1</v>
          </cell>
          <cell r="D550">
            <v>1</v>
          </cell>
          <cell r="E550">
            <v>2</v>
          </cell>
          <cell r="F550">
            <v>4</v>
          </cell>
          <cell r="G550">
            <v>3</v>
          </cell>
          <cell r="H550">
            <v>4</v>
          </cell>
          <cell r="I550">
            <v>4</v>
          </cell>
          <cell r="J550">
            <v>1</v>
          </cell>
          <cell r="K550">
            <v>4</v>
          </cell>
          <cell r="L550">
            <v>3</v>
          </cell>
          <cell r="M550">
            <v>3</v>
          </cell>
          <cell r="N550">
            <v>1</v>
          </cell>
          <cell r="O550">
            <v>1</v>
          </cell>
          <cell r="P550">
            <v>0</v>
          </cell>
          <cell r="Q550">
            <v>1</v>
          </cell>
          <cell r="R550">
            <v>4</v>
          </cell>
          <cell r="S550">
            <v>2</v>
          </cell>
          <cell r="T550">
            <v>0</v>
          </cell>
          <cell r="U550">
            <v>1</v>
          </cell>
        </row>
        <row r="551">
          <cell r="A551" t="str">
            <v>TC0006</v>
          </cell>
          <cell r="B551">
            <v>4</v>
          </cell>
          <cell r="C551">
            <v>1</v>
          </cell>
          <cell r="D551">
            <v>1</v>
          </cell>
          <cell r="E551">
            <v>2</v>
          </cell>
          <cell r="F551">
            <v>4</v>
          </cell>
          <cell r="G551">
            <v>3</v>
          </cell>
          <cell r="H551">
            <v>4</v>
          </cell>
          <cell r="I551">
            <v>4</v>
          </cell>
          <cell r="J551">
            <v>1</v>
          </cell>
          <cell r="K551">
            <v>4</v>
          </cell>
          <cell r="L551">
            <v>3</v>
          </cell>
          <cell r="M551">
            <v>3</v>
          </cell>
          <cell r="N551">
            <v>1</v>
          </cell>
          <cell r="O551">
            <v>1</v>
          </cell>
          <cell r="P551">
            <v>1</v>
          </cell>
          <cell r="Q551">
            <v>1</v>
          </cell>
          <cell r="R551">
            <v>4</v>
          </cell>
          <cell r="S551">
            <v>2</v>
          </cell>
          <cell r="T551">
            <v>1</v>
          </cell>
          <cell r="U551">
            <v>1</v>
          </cell>
        </row>
        <row r="552">
          <cell r="A552" t="str">
            <v>TC0007</v>
          </cell>
          <cell r="B552">
            <v>4</v>
          </cell>
          <cell r="C552">
            <v>1</v>
          </cell>
          <cell r="D552">
            <v>1</v>
          </cell>
          <cell r="E552">
            <v>2</v>
          </cell>
          <cell r="F552">
            <v>4</v>
          </cell>
          <cell r="G552">
            <v>3</v>
          </cell>
          <cell r="H552">
            <v>4</v>
          </cell>
          <cell r="I552">
            <v>4</v>
          </cell>
          <cell r="J552">
            <v>1</v>
          </cell>
          <cell r="K552">
            <v>4</v>
          </cell>
          <cell r="L552">
            <v>3</v>
          </cell>
          <cell r="M552">
            <v>3</v>
          </cell>
          <cell r="N552">
            <v>1</v>
          </cell>
          <cell r="O552">
            <v>1</v>
          </cell>
          <cell r="P552">
            <v>0</v>
          </cell>
          <cell r="Q552">
            <v>1</v>
          </cell>
          <cell r="R552">
            <v>4</v>
          </cell>
          <cell r="S552">
            <v>2</v>
          </cell>
          <cell r="T552">
            <v>0</v>
          </cell>
          <cell r="U552">
            <v>1</v>
          </cell>
        </row>
        <row r="553">
          <cell r="A553" t="str">
            <v>TC0008</v>
          </cell>
          <cell r="B553">
            <v>4</v>
          </cell>
          <cell r="C553">
            <v>1</v>
          </cell>
          <cell r="D553">
            <v>1</v>
          </cell>
          <cell r="E553">
            <v>2</v>
          </cell>
          <cell r="F553">
            <v>4</v>
          </cell>
          <cell r="G553">
            <v>3</v>
          </cell>
          <cell r="H553">
            <v>4</v>
          </cell>
          <cell r="I553">
            <v>4</v>
          </cell>
          <cell r="J553">
            <v>1</v>
          </cell>
          <cell r="K553">
            <v>4</v>
          </cell>
          <cell r="L553">
            <v>3</v>
          </cell>
          <cell r="M553">
            <v>3</v>
          </cell>
          <cell r="N553">
            <v>1</v>
          </cell>
          <cell r="O553">
            <v>1</v>
          </cell>
          <cell r="P553">
            <v>0</v>
          </cell>
          <cell r="Q553">
            <v>1</v>
          </cell>
          <cell r="R553">
            <v>4</v>
          </cell>
          <cell r="S553">
            <v>2</v>
          </cell>
          <cell r="T553">
            <v>0</v>
          </cell>
          <cell r="U553">
            <v>1</v>
          </cell>
        </row>
        <row r="554">
          <cell r="A554" t="str">
            <v>TC0009</v>
          </cell>
          <cell r="B554">
            <v>4</v>
          </cell>
          <cell r="C554">
            <v>1</v>
          </cell>
          <cell r="D554">
            <v>1</v>
          </cell>
          <cell r="E554">
            <v>2</v>
          </cell>
          <cell r="F554">
            <v>4</v>
          </cell>
          <cell r="G554">
            <v>3</v>
          </cell>
          <cell r="H554">
            <v>4</v>
          </cell>
          <cell r="I554">
            <v>4</v>
          </cell>
          <cell r="J554">
            <v>1</v>
          </cell>
          <cell r="K554">
            <v>4</v>
          </cell>
          <cell r="L554">
            <v>3</v>
          </cell>
          <cell r="M554">
            <v>3</v>
          </cell>
          <cell r="N554">
            <v>1</v>
          </cell>
          <cell r="O554">
            <v>1</v>
          </cell>
          <cell r="P554">
            <v>0</v>
          </cell>
          <cell r="Q554">
            <v>1</v>
          </cell>
          <cell r="R554">
            <v>4</v>
          </cell>
          <cell r="S554">
            <v>2</v>
          </cell>
          <cell r="T554">
            <v>0</v>
          </cell>
          <cell r="U554">
            <v>1</v>
          </cell>
        </row>
        <row r="555">
          <cell r="A555" t="str">
            <v>TC0010</v>
          </cell>
          <cell r="B555">
            <v>3</v>
          </cell>
          <cell r="C555">
            <v>2</v>
          </cell>
          <cell r="D555">
            <v>2</v>
          </cell>
          <cell r="E555">
            <v>2</v>
          </cell>
          <cell r="F555">
            <v>3</v>
          </cell>
          <cell r="G555">
            <v>3</v>
          </cell>
          <cell r="H555">
            <v>3</v>
          </cell>
          <cell r="I555">
            <v>3</v>
          </cell>
          <cell r="J555">
            <v>2</v>
          </cell>
          <cell r="K555">
            <v>3</v>
          </cell>
          <cell r="L555">
            <v>3</v>
          </cell>
          <cell r="M555">
            <v>3</v>
          </cell>
          <cell r="N555">
            <v>2</v>
          </cell>
          <cell r="O555">
            <v>2</v>
          </cell>
          <cell r="P555">
            <v>1</v>
          </cell>
          <cell r="Q555">
            <v>2</v>
          </cell>
          <cell r="R555">
            <v>4</v>
          </cell>
          <cell r="S555">
            <v>2</v>
          </cell>
          <cell r="T555">
            <v>1</v>
          </cell>
          <cell r="U555">
            <v>2</v>
          </cell>
        </row>
        <row r="556">
          <cell r="A556" t="str">
            <v>TC0011</v>
          </cell>
          <cell r="B556">
            <v>7</v>
          </cell>
          <cell r="C556">
            <v>6</v>
          </cell>
          <cell r="D556">
            <v>6</v>
          </cell>
          <cell r="E556">
            <v>5</v>
          </cell>
          <cell r="F556">
            <v>7</v>
          </cell>
          <cell r="G556">
            <v>5</v>
          </cell>
          <cell r="H556">
            <v>8</v>
          </cell>
          <cell r="I556">
            <v>7</v>
          </cell>
          <cell r="J556">
            <v>6</v>
          </cell>
          <cell r="K556">
            <v>8</v>
          </cell>
          <cell r="L556">
            <v>7</v>
          </cell>
          <cell r="M556">
            <v>4</v>
          </cell>
          <cell r="N556">
            <v>6</v>
          </cell>
          <cell r="O556">
            <v>5</v>
          </cell>
          <cell r="P556">
            <v>0</v>
          </cell>
          <cell r="Q556">
            <v>6</v>
          </cell>
          <cell r="R556">
            <v>8</v>
          </cell>
          <cell r="S556">
            <v>6</v>
          </cell>
          <cell r="T556">
            <v>0</v>
          </cell>
          <cell r="U556">
            <v>5</v>
          </cell>
        </row>
        <row r="557">
          <cell r="A557" t="str">
            <v>TC0012</v>
          </cell>
          <cell r="B557">
            <v>5</v>
          </cell>
          <cell r="C557">
            <v>4</v>
          </cell>
          <cell r="D557">
            <v>4</v>
          </cell>
          <cell r="E557">
            <v>4</v>
          </cell>
          <cell r="F557">
            <v>5</v>
          </cell>
          <cell r="G557">
            <v>4</v>
          </cell>
          <cell r="H557">
            <v>6</v>
          </cell>
          <cell r="I557">
            <v>5</v>
          </cell>
          <cell r="J557">
            <v>0</v>
          </cell>
          <cell r="K557">
            <v>6</v>
          </cell>
          <cell r="L557">
            <v>5</v>
          </cell>
          <cell r="M557">
            <v>3</v>
          </cell>
          <cell r="N557">
            <v>3</v>
          </cell>
          <cell r="O557">
            <v>3</v>
          </cell>
          <cell r="P557">
            <v>0</v>
          </cell>
          <cell r="Q557">
            <v>1</v>
          </cell>
          <cell r="R557">
            <v>4</v>
          </cell>
          <cell r="S557">
            <v>2</v>
          </cell>
          <cell r="T557">
            <v>0</v>
          </cell>
          <cell r="U557">
            <v>4</v>
          </cell>
        </row>
        <row r="558">
          <cell r="A558" t="str">
            <v>TC0013</v>
          </cell>
          <cell r="B558">
            <v>4</v>
          </cell>
          <cell r="C558">
            <v>1</v>
          </cell>
          <cell r="D558">
            <v>1</v>
          </cell>
          <cell r="E558">
            <v>2</v>
          </cell>
          <cell r="F558">
            <v>4</v>
          </cell>
          <cell r="G558">
            <v>3</v>
          </cell>
          <cell r="H558">
            <v>4</v>
          </cell>
          <cell r="I558">
            <v>4</v>
          </cell>
          <cell r="J558">
            <v>1</v>
          </cell>
          <cell r="K558">
            <v>4</v>
          </cell>
          <cell r="L558">
            <v>3</v>
          </cell>
          <cell r="M558">
            <v>3</v>
          </cell>
          <cell r="N558">
            <v>1</v>
          </cell>
          <cell r="O558">
            <v>1</v>
          </cell>
          <cell r="P558">
            <v>0</v>
          </cell>
          <cell r="Q558">
            <v>1</v>
          </cell>
          <cell r="R558">
            <v>4</v>
          </cell>
          <cell r="S558">
            <v>2</v>
          </cell>
          <cell r="T558">
            <v>0</v>
          </cell>
          <cell r="U558">
            <v>1</v>
          </cell>
        </row>
        <row r="559">
          <cell r="A559" t="str">
            <v>TC0014</v>
          </cell>
          <cell r="B559">
            <v>9</v>
          </cell>
          <cell r="C559">
            <v>7</v>
          </cell>
          <cell r="D559">
            <v>7</v>
          </cell>
          <cell r="E559">
            <v>5</v>
          </cell>
          <cell r="F559">
            <v>9</v>
          </cell>
          <cell r="G559">
            <v>6</v>
          </cell>
          <cell r="H559">
            <v>9</v>
          </cell>
          <cell r="I559">
            <v>9</v>
          </cell>
          <cell r="J559">
            <v>7</v>
          </cell>
          <cell r="K559">
            <v>9</v>
          </cell>
          <cell r="L559">
            <v>8</v>
          </cell>
          <cell r="M559">
            <v>6</v>
          </cell>
          <cell r="N559">
            <v>7</v>
          </cell>
          <cell r="O559">
            <v>5</v>
          </cell>
          <cell r="P559">
            <v>0</v>
          </cell>
          <cell r="Q559">
            <v>7</v>
          </cell>
          <cell r="R559">
            <v>9</v>
          </cell>
          <cell r="S559">
            <v>7</v>
          </cell>
          <cell r="T559">
            <v>0</v>
          </cell>
          <cell r="U559">
            <v>5</v>
          </cell>
        </row>
        <row r="560">
          <cell r="A560" t="str">
            <v>TC0015</v>
          </cell>
          <cell r="B560">
            <v>10</v>
          </cell>
          <cell r="C560">
            <v>8</v>
          </cell>
          <cell r="D560">
            <v>8</v>
          </cell>
          <cell r="E560">
            <v>4</v>
          </cell>
          <cell r="F560">
            <v>10</v>
          </cell>
          <cell r="G560">
            <v>5</v>
          </cell>
          <cell r="H560">
            <v>9</v>
          </cell>
          <cell r="I560">
            <v>10</v>
          </cell>
          <cell r="J560">
            <v>8</v>
          </cell>
          <cell r="K560">
            <v>9</v>
          </cell>
          <cell r="L560">
            <v>8</v>
          </cell>
          <cell r="M560">
            <v>6</v>
          </cell>
          <cell r="N560">
            <v>7</v>
          </cell>
          <cell r="O560">
            <v>5</v>
          </cell>
          <cell r="P560">
            <v>0</v>
          </cell>
          <cell r="Q560">
            <v>7</v>
          </cell>
          <cell r="R560">
            <v>9</v>
          </cell>
          <cell r="S560">
            <v>7</v>
          </cell>
          <cell r="T560">
            <v>0</v>
          </cell>
          <cell r="U560">
            <v>4</v>
          </cell>
        </row>
        <row r="561">
          <cell r="A561" t="str">
            <v>TC0016</v>
          </cell>
          <cell r="B561">
            <v>9</v>
          </cell>
          <cell r="C561">
            <v>7</v>
          </cell>
          <cell r="D561">
            <v>7</v>
          </cell>
          <cell r="E561">
            <v>5</v>
          </cell>
          <cell r="F561">
            <v>9</v>
          </cell>
          <cell r="G561">
            <v>6</v>
          </cell>
          <cell r="H561">
            <v>9</v>
          </cell>
          <cell r="I561">
            <v>9</v>
          </cell>
          <cell r="J561">
            <v>7</v>
          </cell>
          <cell r="K561">
            <v>9</v>
          </cell>
          <cell r="L561">
            <v>8</v>
          </cell>
          <cell r="M561">
            <v>6</v>
          </cell>
          <cell r="N561">
            <v>7</v>
          </cell>
          <cell r="O561">
            <v>5</v>
          </cell>
          <cell r="P561">
            <v>0</v>
          </cell>
          <cell r="Q561">
            <v>7</v>
          </cell>
          <cell r="R561">
            <v>9</v>
          </cell>
          <cell r="S561">
            <v>7</v>
          </cell>
          <cell r="T561">
            <v>0</v>
          </cell>
          <cell r="U561">
            <v>5</v>
          </cell>
        </row>
        <row r="562">
          <cell r="A562" t="str">
            <v>TC0017</v>
          </cell>
          <cell r="B562">
            <v>10</v>
          </cell>
          <cell r="C562">
            <v>8</v>
          </cell>
          <cell r="D562">
            <v>8</v>
          </cell>
          <cell r="E562">
            <v>6</v>
          </cell>
          <cell r="F562">
            <v>10</v>
          </cell>
          <cell r="G562">
            <v>7</v>
          </cell>
          <cell r="H562">
            <v>10</v>
          </cell>
          <cell r="I562">
            <v>10</v>
          </cell>
          <cell r="J562">
            <v>8</v>
          </cell>
          <cell r="K562">
            <v>10</v>
          </cell>
          <cell r="L562">
            <v>9</v>
          </cell>
          <cell r="M562">
            <v>7</v>
          </cell>
          <cell r="N562">
            <v>8</v>
          </cell>
          <cell r="O562">
            <v>6</v>
          </cell>
          <cell r="P562">
            <v>0</v>
          </cell>
          <cell r="Q562">
            <v>8</v>
          </cell>
          <cell r="R562">
            <v>10</v>
          </cell>
          <cell r="S562">
            <v>8</v>
          </cell>
          <cell r="T562">
            <v>0</v>
          </cell>
          <cell r="U562">
            <v>6</v>
          </cell>
        </row>
        <row r="563">
          <cell r="A563" t="str">
            <v>TC0018</v>
          </cell>
          <cell r="B563">
            <v>9</v>
          </cell>
          <cell r="C563">
            <v>7</v>
          </cell>
          <cell r="D563">
            <v>7</v>
          </cell>
          <cell r="E563">
            <v>5</v>
          </cell>
          <cell r="F563">
            <v>9</v>
          </cell>
          <cell r="G563">
            <v>6</v>
          </cell>
          <cell r="H563">
            <v>9</v>
          </cell>
          <cell r="I563">
            <v>9</v>
          </cell>
          <cell r="J563">
            <v>7</v>
          </cell>
          <cell r="K563">
            <v>9</v>
          </cell>
          <cell r="L563">
            <v>8</v>
          </cell>
          <cell r="M563">
            <v>6</v>
          </cell>
          <cell r="N563">
            <v>7</v>
          </cell>
          <cell r="O563">
            <v>5</v>
          </cell>
          <cell r="P563">
            <v>0</v>
          </cell>
          <cell r="Q563">
            <v>7</v>
          </cell>
          <cell r="R563">
            <v>9</v>
          </cell>
          <cell r="S563">
            <v>7</v>
          </cell>
          <cell r="T563">
            <v>0</v>
          </cell>
          <cell r="U563">
            <v>5</v>
          </cell>
        </row>
        <row r="564">
          <cell r="A564" t="str">
            <v>TC0019</v>
          </cell>
          <cell r="B564">
            <v>9</v>
          </cell>
          <cell r="C564">
            <v>7</v>
          </cell>
          <cell r="D564">
            <v>7</v>
          </cell>
          <cell r="E564">
            <v>5</v>
          </cell>
          <cell r="F564">
            <v>9</v>
          </cell>
          <cell r="G564">
            <v>6</v>
          </cell>
          <cell r="H564">
            <v>9</v>
          </cell>
          <cell r="I564">
            <v>9</v>
          </cell>
          <cell r="J564">
            <v>7</v>
          </cell>
          <cell r="K564">
            <v>9</v>
          </cell>
          <cell r="L564">
            <v>8</v>
          </cell>
          <cell r="M564">
            <v>6</v>
          </cell>
          <cell r="N564">
            <v>7</v>
          </cell>
          <cell r="O564">
            <v>5</v>
          </cell>
          <cell r="P564">
            <v>0</v>
          </cell>
          <cell r="Q564">
            <v>7</v>
          </cell>
          <cell r="R564">
            <v>9</v>
          </cell>
          <cell r="S564">
            <v>7</v>
          </cell>
          <cell r="T564">
            <v>0</v>
          </cell>
          <cell r="U564">
            <v>5</v>
          </cell>
        </row>
        <row r="565">
          <cell r="A565" t="str">
            <v>TC0021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1</v>
          </cell>
          <cell r="I565">
            <v>0</v>
          </cell>
          <cell r="J565">
            <v>0</v>
          </cell>
          <cell r="K565">
            <v>1</v>
          </cell>
          <cell r="L565">
            <v>1</v>
          </cell>
          <cell r="M565">
            <v>1</v>
          </cell>
          <cell r="N565">
            <v>1</v>
          </cell>
          <cell r="O565">
            <v>1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</row>
        <row r="566">
          <cell r="A566" t="str">
            <v>TC0022</v>
          </cell>
          <cell r="B566">
            <v>1</v>
          </cell>
          <cell r="C566">
            <v>1</v>
          </cell>
          <cell r="D566">
            <v>1</v>
          </cell>
          <cell r="E566">
            <v>1</v>
          </cell>
          <cell r="F566">
            <v>1</v>
          </cell>
          <cell r="G566">
            <v>1</v>
          </cell>
          <cell r="H566">
            <v>1</v>
          </cell>
          <cell r="I566">
            <v>1</v>
          </cell>
          <cell r="J566">
            <v>1</v>
          </cell>
          <cell r="K566">
            <v>1</v>
          </cell>
          <cell r="L566">
            <v>1</v>
          </cell>
          <cell r="M566">
            <v>1</v>
          </cell>
          <cell r="N566">
            <v>1</v>
          </cell>
          <cell r="O566">
            <v>1</v>
          </cell>
          <cell r="P566">
            <v>1</v>
          </cell>
          <cell r="Q566">
            <v>1</v>
          </cell>
          <cell r="R566">
            <v>1</v>
          </cell>
          <cell r="S566">
            <v>1</v>
          </cell>
          <cell r="T566">
            <v>1</v>
          </cell>
          <cell r="U566">
            <v>1</v>
          </cell>
        </row>
        <row r="567">
          <cell r="A567" t="str">
            <v>TC0023</v>
          </cell>
          <cell r="B567">
            <v>2</v>
          </cell>
          <cell r="C567">
            <v>2</v>
          </cell>
          <cell r="D567">
            <v>2</v>
          </cell>
          <cell r="E567">
            <v>2</v>
          </cell>
          <cell r="F567">
            <v>2</v>
          </cell>
          <cell r="G567">
            <v>2</v>
          </cell>
          <cell r="H567">
            <v>2</v>
          </cell>
          <cell r="I567">
            <v>2</v>
          </cell>
          <cell r="J567">
            <v>2</v>
          </cell>
          <cell r="K567">
            <v>2</v>
          </cell>
          <cell r="L567">
            <v>2</v>
          </cell>
          <cell r="M567">
            <v>2</v>
          </cell>
          <cell r="N567">
            <v>2</v>
          </cell>
          <cell r="O567">
            <v>2</v>
          </cell>
          <cell r="P567">
            <v>2</v>
          </cell>
          <cell r="Q567">
            <v>2</v>
          </cell>
          <cell r="R567">
            <v>2</v>
          </cell>
          <cell r="S567">
            <v>2</v>
          </cell>
          <cell r="T567">
            <v>2</v>
          </cell>
          <cell r="U567">
            <v>2</v>
          </cell>
        </row>
        <row r="568">
          <cell r="A568" t="str">
            <v>TC0024</v>
          </cell>
          <cell r="B568">
            <v>2</v>
          </cell>
          <cell r="C568">
            <v>2</v>
          </cell>
          <cell r="D568">
            <v>2</v>
          </cell>
          <cell r="E568">
            <v>0</v>
          </cell>
          <cell r="F568">
            <v>2</v>
          </cell>
          <cell r="G568">
            <v>0</v>
          </cell>
          <cell r="H568">
            <v>2</v>
          </cell>
          <cell r="I568">
            <v>2</v>
          </cell>
          <cell r="J568">
            <v>2</v>
          </cell>
          <cell r="K568">
            <v>2</v>
          </cell>
          <cell r="L568">
            <v>2</v>
          </cell>
          <cell r="M568">
            <v>0</v>
          </cell>
          <cell r="N568">
            <v>2</v>
          </cell>
          <cell r="O568">
            <v>0</v>
          </cell>
          <cell r="P568">
            <v>1</v>
          </cell>
          <cell r="Q568">
            <v>2</v>
          </cell>
          <cell r="R568">
            <v>2</v>
          </cell>
          <cell r="S568">
            <v>2</v>
          </cell>
          <cell r="T568">
            <v>2</v>
          </cell>
          <cell r="U568">
            <v>0</v>
          </cell>
        </row>
        <row r="569">
          <cell r="A569" t="str">
            <v>TC0025</v>
          </cell>
          <cell r="B569">
            <v>2</v>
          </cell>
          <cell r="C569">
            <v>2</v>
          </cell>
          <cell r="D569">
            <v>2</v>
          </cell>
          <cell r="E569">
            <v>2</v>
          </cell>
          <cell r="F569">
            <v>2</v>
          </cell>
          <cell r="G569">
            <v>2</v>
          </cell>
          <cell r="H569">
            <v>2</v>
          </cell>
          <cell r="I569">
            <v>2</v>
          </cell>
          <cell r="J569">
            <v>2</v>
          </cell>
          <cell r="K569">
            <v>2</v>
          </cell>
          <cell r="L569">
            <v>2</v>
          </cell>
          <cell r="M569">
            <v>2</v>
          </cell>
          <cell r="N569">
            <v>2</v>
          </cell>
          <cell r="O569">
            <v>2</v>
          </cell>
          <cell r="P569">
            <v>1</v>
          </cell>
          <cell r="Q569">
            <v>2</v>
          </cell>
          <cell r="R569">
            <v>2</v>
          </cell>
          <cell r="S569">
            <v>2</v>
          </cell>
          <cell r="T569">
            <v>2</v>
          </cell>
          <cell r="U569">
            <v>2</v>
          </cell>
        </row>
        <row r="570">
          <cell r="A570" t="str">
            <v>TC0028</v>
          </cell>
          <cell r="B570">
            <v>8</v>
          </cell>
          <cell r="C570">
            <v>4</v>
          </cell>
          <cell r="D570">
            <v>4</v>
          </cell>
          <cell r="E570">
            <v>5</v>
          </cell>
          <cell r="F570">
            <v>8</v>
          </cell>
          <cell r="G570">
            <v>6</v>
          </cell>
          <cell r="H570">
            <v>7</v>
          </cell>
          <cell r="I570">
            <v>8</v>
          </cell>
          <cell r="J570">
            <v>3</v>
          </cell>
          <cell r="K570">
            <v>8</v>
          </cell>
          <cell r="L570">
            <v>6</v>
          </cell>
          <cell r="M570">
            <v>4</v>
          </cell>
          <cell r="N570">
            <v>3</v>
          </cell>
          <cell r="O570">
            <v>3</v>
          </cell>
          <cell r="P570">
            <v>1</v>
          </cell>
          <cell r="Q570">
            <v>4</v>
          </cell>
          <cell r="R570">
            <v>8</v>
          </cell>
          <cell r="S570">
            <v>5</v>
          </cell>
          <cell r="T570">
            <v>0</v>
          </cell>
          <cell r="U570">
            <v>3</v>
          </cell>
        </row>
        <row r="571">
          <cell r="A571" t="str">
            <v>TC0029</v>
          </cell>
          <cell r="B571">
            <v>2</v>
          </cell>
          <cell r="C571">
            <v>2</v>
          </cell>
          <cell r="D571">
            <v>2</v>
          </cell>
          <cell r="E571">
            <v>0</v>
          </cell>
          <cell r="F571">
            <v>2</v>
          </cell>
          <cell r="G571">
            <v>0</v>
          </cell>
          <cell r="H571">
            <v>2</v>
          </cell>
          <cell r="I571">
            <v>2</v>
          </cell>
          <cell r="J571">
            <v>2</v>
          </cell>
          <cell r="K571">
            <v>2</v>
          </cell>
          <cell r="L571">
            <v>2</v>
          </cell>
          <cell r="M571">
            <v>0</v>
          </cell>
          <cell r="N571">
            <v>2</v>
          </cell>
          <cell r="O571">
            <v>0</v>
          </cell>
          <cell r="P571">
            <v>1</v>
          </cell>
          <cell r="Q571">
            <v>2</v>
          </cell>
          <cell r="R571">
            <v>2</v>
          </cell>
          <cell r="S571">
            <v>2</v>
          </cell>
          <cell r="T571">
            <v>2</v>
          </cell>
          <cell r="U571">
            <v>0</v>
          </cell>
        </row>
        <row r="572">
          <cell r="A572" t="str">
            <v>TC0032</v>
          </cell>
          <cell r="B572">
            <v>3</v>
          </cell>
          <cell r="C572">
            <v>3</v>
          </cell>
          <cell r="D572">
            <v>3</v>
          </cell>
          <cell r="E572">
            <v>0</v>
          </cell>
          <cell r="F572">
            <v>3</v>
          </cell>
          <cell r="G572">
            <v>0</v>
          </cell>
          <cell r="H572">
            <v>3</v>
          </cell>
          <cell r="I572">
            <v>3</v>
          </cell>
          <cell r="J572">
            <v>3</v>
          </cell>
          <cell r="K572">
            <v>3</v>
          </cell>
          <cell r="L572">
            <v>3</v>
          </cell>
          <cell r="M572">
            <v>0</v>
          </cell>
          <cell r="N572">
            <v>3</v>
          </cell>
          <cell r="O572">
            <v>0</v>
          </cell>
          <cell r="P572">
            <v>2</v>
          </cell>
          <cell r="Q572">
            <v>3</v>
          </cell>
          <cell r="R572">
            <v>3</v>
          </cell>
          <cell r="S572">
            <v>3</v>
          </cell>
          <cell r="T572">
            <v>3</v>
          </cell>
          <cell r="U572">
            <v>0</v>
          </cell>
        </row>
        <row r="573">
          <cell r="A573" t="str">
            <v>TC0033</v>
          </cell>
          <cell r="B573">
            <v>2</v>
          </cell>
          <cell r="C573">
            <v>2</v>
          </cell>
          <cell r="D573">
            <v>2</v>
          </cell>
          <cell r="E573">
            <v>0</v>
          </cell>
          <cell r="F573">
            <v>2</v>
          </cell>
          <cell r="G573">
            <v>0</v>
          </cell>
          <cell r="H573">
            <v>2</v>
          </cell>
          <cell r="I573">
            <v>2</v>
          </cell>
          <cell r="J573">
            <v>2</v>
          </cell>
          <cell r="K573">
            <v>2</v>
          </cell>
          <cell r="L573">
            <v>2</v>
          </cell>
          <cell r="M573">
            <v>0</v>
          </cell>
          <cell r="N573">
            <v>2</v>
          </cell>
          <cell r="O573">
            <v>0</v>
          </cell>
          <cell r="P573">
            <v>1</v>
          </cell>
          <cell r="Q573">
            <v>2</v>
          </cell>
          <cell r="R573">
            <v>2</v>
          </cell>
          <cell r="S573">
            <v>2</v>
          </cell>
          <cell r="T573">
            <v>3</v>
          </cell>
          <cell r="U573">
            <v>0</v>
          </cell>
        </row>
        <row r="574">
          <cell r="A574" t="str">
            <v>TC0034</v>
          </cell>
          <cell r="B574">
            <v>2</v>
          </cell>
          <cell r="C574">
            <v>2</v>
          </cell>
          <cell r="D574">
            <v>2</v>
          </cell>
          <cell r="E574">
            <v>0</v>
          </cell>
          <cell r="F574">
            <v>2</v>
          </cell>
          <cell r="G574">
            <v>0</v>
          </cell>
          <cell r="H574">
            <v>2</v>
          </cell>
          <cell r="I574">
            <v>2</v>
          </cell>
          <cell r="J574">
            <v>2</v>
          </cell>
          <cell r="K574">
            <v>2</v>
          </cell>
          <cell r="L574">
            <v>2</v>
          </cell>
          <cell r="M574">
            <v>0</v>
          </cell>
          <cell r="N574">
            <v>2</v>
          </cell>
          <cell r="O574">
            <v>0</v>
          </cell>
          <cell r="P574">
            <v>1</v>
          </cell>
          <cell r="Q574">
            <v>2</v>
          </cell>
          <cell r="R574">
            <v>2</v>
          </cell>
          <cell r="S574">
            <v>2</v>
          </cell>
          <cell r="T574">
            <v>2</v>
          </cell>
          <cell r="U574">
            <v>0</v>
          </cell>
        </row>
        <row r="575">
          <cell r="A575" t="str">
            <v>TC0036</v>
          </cell>
          <cell r="B575">
            <v>8</v>
          </cell>
          <cell r="C575">
            <v>2</v>
          </cell>
          <cell r="D575">
            <v>2</v>
          </cell>
          <cell r="E575">
            <v>4</v>
          </cell>
          <cell r="F575">
            <v>8</v>
          </cell>
          <cell r="G575">
            <v>5</v>
          </cell>
          <cell r="H575">
            <v>7</v>
          </cell>
          <cell r="I575">
            <v>8</v>
          </cell>
          <cell r="J575">
            <v>2</v>
          </cell>
          <cell r="K575">
            <v>8</v>
          </cell>
          <cell r="L575">
            <v>6</v>
          </cell>
          <cell r="M575">
            <v>6</v>
          </cell>
          <cell r="N575">
            <v>2</v>
          </cell>
          <cell r="O575">
            <v>2</v>
          </cell>
          <cell r="P575">
            <v>0</v>
          </cell>
          <cell r="Q575">
            <v>2</v>
          </cell>
          <cell r="R575">
            <v>9</v>
          </cell>
          <cell r="S575">
            <v>4</v>
          </cell>
          <cell r="T575">
            <v>0</v>
          </cell>
          <cell r="U575">
            <v>2</v>
          </cell>
        </row>
        <row r="576">
          <cell r="A576" t="str">
            <v>TC0038</v>
          </cell>
          <cell r="B576">
            <v>2</v>
          </cell>
          <cell r="C576">
            <v>1</v>
          </cell>
          <cell r="D576">
            <v>1</v>
          </cell>
          <cell r="E576">
            <v>1</v>
          </cell>
          <cell r="F576">
            <v>2</v>
          </cell>
          <cell r="G576">
            <v>2</v>
          </cell>
          <cell r="H576">
            <v>2</v>
          </cell>
          <cell r="I576">
            <v>2</v>
          </cell>
          <cell r="J576">
            <v>1</v>
          </cell>
          <cell r="K576">
            <v>2</v>
          </cell>
          <cell r="L576">
            <v>2</v>
          </cell>
          <cell r="M576">
            <v>2</v>
          </cell>
          <cell r="N576">
            <v>1</v>
          </cell>
          <cell r="O576">
            <v>1</v>
          </cell>
          <cell r="P576">
            <v>0</v>
          </cell>
          <cell r="Q576">
            <v>1</v>
          </cell>
          <cell r="R576">
            <v>2</v>
          </cell>
          <cell r="S576">
            <v>1</v>
          </cell>
          <cell r="T576">
            <v>0</v>
          </cell>
          <cell r="U576">
            <v>1</v>
          </cell>
        </row>
        <row r="577">
          <cell r="A577" t="str">
            <v>TC0039</v>
          </cell>
          <cell r="B577">
            <v>2</v>
          </cell>
          <cell r="C577">
            <v>2</v>
          </cell>
          <cell r="D577">
            <v>2</v>
          </cell>
          <cell r="E577">
            <v>2</v>
          </cell>
          <cell r="F577">
            <v>2</v>
          </cell>
          <cell r="G577">
            <v>2</v>
          </cell>
          <cell r="H577">
            <v>0</v>
          </cell>
          <cell r="I577">
            <v>2</v>
          </cell>
          <cell r="J577">
            <v>2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2</v>
          </cell>
        </row>
        <row r="578">
          <cell r="A578" t="str">
            <v>TC0040</v>
          </cell>
          <cell r="B578">
            <v>5</v>
          </cell>
          <cell r="C578">
            <v>4</v>
          </cell>
          <cell r="D578">
            <v>4</v>
          </cell>
          <cell r="E578">
            <v>4</v>
          </cell>
          <cell r="F578">
            <v>5</v>
          </cell>
          <cell r="G578">
            <v>4</v>
          </cell>
          <cell r="H578">
            <v>6</v>
          </cell>
          <cell r="I578">
            <v>5</v>
          </cell>
          <cell r="J578">
            <v>4</v>
          </cell>
          <cell r="K578">
            <v>6</v>
          </cell>
          <cell r="L578">
            <v>5</v>
          </cell>
          <cell r="M578">
            <v>3</v>
          </cell>
          <cell r="N578">
            <v>3</v>
          </cell>
          <cell r="O578">
            <v>3</v>
          </cell>
          <cell r="P578">
            <v>0</v>
          </cell>
          <cell r="Q578">
            <v>1</v>
          </cell>
          <cell r="R578">
            <v>4</v>
          </cell>
          <cell r="S578">
            <v>2</v>
          </cell>
          <cell r="T578">
            <v>0</v>
          </cell>
          <cell r="U578">
            <v>4</v>
          </cell>
        </row>
        <row r="579">
          <cell r="A579" t="str">
            <v>TC0041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4</v>
          </cell>
          <cell r="I579">
            <v>0</v>
          </cell>
          <cell r="J579">
            <v>0</v>
          </cell>
          <cell r="K579">
            <v>4</v>
          </cell>
          <cell r="L579">
            <v>3</v>
          </cell>
          <cell r="M579">
            <v>3</v>
          </cell>
          <cell r="N579">
            <v>1</v>
          </cell>
          <cell r="O579">
            <v>1</v>
          </cell>
          <cell r="P579">
            <v>0</v>
          </cell>
          <cell r="Q579">
            <v>1</v>
          </cell>
          <cell r="R579">
            <v>5</v>
          </cell>
          <cell r="S579">
            <v>2</v>
          </cell>
          <cell r="T579">
            <v>0</v>
          </cell>
          <cell r="U579">
            <v>0</v>
          </cell>
        </row>
        <row r="580">
          <cell r="A580" t="str">
            <v>TC0042</v>
          </cell>
          <cell r="B580">
            <v>4</v>
          </cell>
          <cell r="C580">
            <v>1</v>
          </cell>
          <cell r="D580">
            <v>1</v>
          </cell>
          <cell r="E580">
            <v>2</v>
          </cell>
          <cell r="F580">
            <v>4</v>
          </cell>
          <cell r="G580">
            <v>3</v>
          </cell>
          <cell r="H580">
            <v>4</v>
          </cell>
          <cell r="I580">
            <v>4</v>
          </cell>
          <cell r="J580">
            <v>1</v>
          </cell>
          <cell r="K580">
            <v>4</v>
          </cell>
          <cell r="L580">
            <v>3</v>
          </cell>
          <cell r="M580">
            <v>3</v>
          </cell>
          <cell r="N580">
            <v>1</v>
          </cell>
          <cell r="O580">
            <v>1</v>
          </cell>
          <cell r="P580">
            <v>0</v>
          </cell>
          <cell r="Q580">
            <v>1</v>
          </cell>
          <cell r="R580">
            <v>4</v>
          </cell>
          <cell r="S580">
            <v>2</v>
          </cell>
          <cell r="T580">
            <v>0</v>
          </cell>
          <cell r="U580">
            <v>1</v>
          </cell>
        </row>
        <row r="581">
          <cell r="A581" t="str">
            <v>TC0049</v>
          </cell>
          <cell r="B581">
            <v>9</v>
          </cell>
          <cell r="C581">
            <v>7</v>
          </cell>
          <cell r="D581">
            <v>7</v>
          </cell>
          <cell r="E581">
            <v>5</v>
          </cell>
          <cell r="F581">
            <v>9</v>
          </cell>
          <cell r="G581">
            <v>6</v>
          </cell>
          <cell r="H581">
            <v>9</v>
          </cell>
          <cell r="I581">
            <v>9</v>
          </cell>
          <cell r="J581">
            <v>7</v>
          </cell>
          <cell r="K581">
            <v>9</v>
          </cell>
          <cell r="L581">
            <v>8</v>
          </cell>
          <cell r="M581">
            <v>6</v>
          </cell>
          <cell r="N581">
            <v>7</v>
          </cell>
          <cell r="O581">
            <v>5</v>
          </cell>
          <cell r="P581">
            <v>0</v>
          </cell>
          <cell r="Q581">
            <v>7</v>
          </cell>
          <cell r="R581">
            <v>9</v>
          </cell>
          <cell r="S581">
            <v>7</v>
          </cell>
          <cell r="T581">
            <v>0</v>
          </cell>
          <cell r="U581">
            <v>5</v>
          </cell>
        </row>
        <row r="582">
          <cell r="A582" t="str">
            <v>TC0050</v>
          </cell>
          <cell r="B582">
            <v>9</v>
          </cell>
          <cell r="C582">
            <v>7</v>
          </cell>
          <cell r="D582">
            <v>7</v>
          </cell>
          <cell r="E582">
            <v>5</v>
          </cell>
          <cell r="F582">
            <v>9</v>
          </cell>
          <cell r="G582">
            <v>6</v>
          </cell>
          <cell r="H582">
            <v>9</v>
          </cell>
          <cell r="I582">
            <v>9</v>
          </cell>
          <cell r="J582">
            <v>7</v>
          </cell>
          <cell r="K582">
            <v>9</v>
          </cell>
          <cell r="L582">
            <v>8</v>
          </cell>
          <cell r="M582">
            <v>6</v>
          </cell>
          <cell r="N582">
            <v>7</v>
          </cell>
          <cell r="O582">
            <v>5</v>
          </cell>
          <cell r="P582">
            <v>0</v>
          </cell>
          <cell r="Q582">
            <v>7</v>
          </cell>
          <cell r="R582">
            <v>9</v>
          </cell>
          <cell r="S582">
            <v>7</v>
          </cell>
          <cell r="T582">
            <v>0</v>
          </cell>
          <cell r="U582">
            <v>5</v>
          </cell>
        </row>
        <row r="583">
          <cell r="A583" t="str">
            <v>TC0051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4</v>
          </cell>
          <cell r="I583">
            <v>0</v>
          </cell>
          <cell r="J583">
            <v>0</v>
          </cell>
          <cell r="K583">
            <v>4</v>
          </cell>
          <cell r="L583">
            <v>3</v>
          </cell>
          <cell r="M583">
            <v>3</v>
          </cell>
          <cell r="N583">
            <v>1</v>
          </cell>
          <cell r="O583">
            <v>1</v>
          </cell>
          <cell r="P583">
            <v>0</v>
          </cell>
          <cell r="Q583">
            <v>1</v>
          </cell>
          <cell r="R583">
            <v>5</v>
          </cell>
          <cell r="S583">
            <v>2</v>
          </cell>
          <cell r="T583">
            <v>0</v>
          </cell>
          <cell r="U583">
            <v>0</v>
          </cell>
        </row>
        <row r="584">
          <cell r="A584" t="str">
            <v>TC0052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</row>
        <row r="585">
          <cell r="A585" t="str">
            <v>TC0054</v>
          </cell>
          <cell r="B585">
            <v>10</v>
          </cell>
          <cell r="C585">
            <v>6</v>
          </cell>
          <cell r="D585">
            <v>6</v>
          </cell>
          <cell r="E585">
            <v>7</v>
          </cell>
          <cell r="F585">
            <v>10</v>
          </cell>
          <cell r="G585">
            <v>8</v>
          </cell>
          <cell r="H585">
            <v>9</v>
          </cell>
          <cell r="I585">
            <v>10</v>
          </cell>
          <cell r="J585">
            <v>5</v>
          </cell>
          <cell r="K585">
            <v>10</v>
          </cell>
          <cell r="L585">
            <v>8</v>
          </cell>
          <cell r="M585">
            <v>4</v>
          </cell>
          <cell r="N585">
            <v>5</v>
          </cell>
          <cell r="O585">
            <v>5</v>
          </cell>
          <cell r="P585">
            <v>0</v>
          </cell>
          <cell r="Q585">
            <v>2</v>
          </cell>
          <cell r="R585">
            <v>6</v>
          </cell>
          <cell r="S585">
            <v>3</v>
          </cell>
          <cell r="T585">
            <v>0</v>
          </cell>
          <cell r="U585">
            <v>5</v>
          </cell>
        </row>
        <row r="586">
          <cell r="A586" t="str">
            <v>TC0055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3</v>
          </cell>
          <cell r="R586">
            <v>11</v>
          </cell>
          <cell r="S586">
            <v>5</v>
          </cell>
          <cell r="T586">
            <v>0</v>
          </cell>
          <cell r="U586">
            <v>0</v>
          </cell>
        </row>
        <row r="587">
          <cell r="A587" t="str">
            <v>TC0057</v>
          </cell>
          <cell r="B587">
            <v>8</v>
          </cell>
          <cell r="C587">
            <v>4</v>
          </cell>
          <cell r="D587">
            <v>4</v>
          </cell>
          <cell r="E587">
            <v>5</v>
          </cell>
          <cell r="F587">
            <v>8</v>
          </cell>
          <cell r="G587">
            <v>6</v>
          </cell>
          <cell r="H587">
            <v>7</v>
          </cell>
          <cell r="I587">
            <v>8</v>
          </cell>
          <cell r="J587">
            <v>0</v>
          </cell>
          <cell r="K587">
            <v>8</v>
          </cell>
          <cell r="L587">
            <v>6</v>
          </cell>
          <cell r="M587">
            <v>4</v>
          </cell>
          <cell r="N587">
            <v>3</v>
          </cell>
          <cell r="O587">
            <v>3</v>
          </cell>
          <cell r="P587">
            <v>2</v>
          </cell>
          <cell r="Q587">
            <v>4</v>
          </cell>
          <cell r="R587">
            <v>8</v>
          </cell>
          <cell r="S587">
            <v>5</v>
          </cell>
          <cell r="T587">
            <v>2</v>
          </cell>
          <cell r="U587">
            <v>3</v>
          </cell>
        </row>
        <row r="588">
          <cell r="A588" t="str">
            <v>TC0058</v>
          </cell>
          <cell r="B588">
            <v>1</v>
          </cell>
          <cell r="C588">
            <v>1</v>
          </cell>
          <cell r="D588">
            <v>1</v>
          </cell>
          <cell r="E588">
            <v>1</v>
          </cell>
          <cell r="F588">
            <v>1</v>
          </cell>
          <cell r="G588">
            <v>1</v>
          </cell>
          <cell r="H588">
            <v>1</v>
          </cell>
          <cell r="I588">
            <v>1</v>
          </cell>
          <cell r="J588">
            <v>0</v>
          </cell>
          <cell r="K588">
            <v>1</v>
          </cell>
          <cell r="L588">
            <v>1</v>
          </cell>
          <cell r="M588">
            <v>1</v>
          </cell>
          <cell r="N588">
            <v>1</v>
          </cell>
          <cell r="O588">
            <v>1</v>
          </cell>
          <cell r="P588">
            <v>0</v>
          </cell>
          <cell r="Q588">
            <v>1</v>
          </cell>
          <cell r="R588">
            <v>1</v>
          </cell>
          <cell r="S588">
            <v>1</v>
          </cell>
          <cell r="T588">
            <v>0</v>
          </cell>
          <cell r="U588">
            <v>1</v>
          </cell>
        </row>
        <row r="589">
          <cell r="A589" t="str">
            <v>TC0059</v>
          </cell>
          <cell r="B589">
            <v>1</v>
          </cell>
          <cell r="C589">
            <v>1</v>
          </cell>
          <cell r="D589">
            <v>1</v>
          </cell>
          <cell r="E589">
            <v>1</v>
          </cell>
          <cell r="F589">
            <v>1</v>
          </cell>
          <cell r="G589">
            <v>1</v>
          </cell>
          <cell r="H589">
            <v>1</v>
          </cell>
          <cell r="I589">
            <v>1</v>
          </cell>
          <cell r="J589">
            <v>0</v>
          </cell>
          <cell r="K589">
            <v>1</v>
          </cell>
          <cell r="L589">
            <v>1</v>
          </cell>
          <cell r="M589">
            <v>1</v>
          </cell>
          <cell r="N589">
            <v>1</v>
          </cell>
          <cell r="O589">
            <v>1</v>
          </cell>
          <cell r="P589">
            <v>0</v>
          </cell>
          <cell r="Q589">
            <v>1</v>
          </cell>
          <cell r="R589">
            <v>1</v>
          </cell>
          <cell r="S589">
            <v>1</v>
          </cell>
          <cell r="T589">
            <v>0</v>
          </cell>
          <cell r="U589">
            <v>1</v>
          </cell>
        </row>
        <row r="590">
          <cell r="A590" t="str">
            <v>TC0060</v>
          </cell>
          <cell r="B590">
            <v>10</v>
          </cell>
          <cell r="C590">
            <v>8</v>
          </cell>
          <cell r="D590">
            <v>8</v>
          </cell>
          <cell r="E590">
            <v>6</v>
          </cell>
          <cell r="F590">
            <v>10</v>
          </cell>
          <cell r="G590">
            <v>7</v>
          </cell>
          <cell r="H590">
            <v>10</v>
          </cell>
          <cell r="I590">
            <v>10</v>
          </cell>
          <cell r="J590">
            <v>8</v>
          </cell>
          <cell r="K590">
            <v>10</v>
          </cell>
          <cell r="L590">
            <v>9</v>
          </cell>
          <cell r="M590">
            <v>9</v>
          </cell>
          <cell r="N590">
            <v>8</v>
          </cell>
          <cell r="O590">
            <v>8</v>
          </cell>
          <cell r="P590">
            <v>0</v>
          </cell>
          <cell r="Q590">
            <v>8</v>
          </cell>
          <cell r="R590">
            <v>10</v>
          </cell>
          <cell r="S590">
            <v>8</v>
          </cell>
          <cell r="T590">
            <v>0</v>
          </cell>
          <cell r="U590">
            <v>6</v>
          </cell>
        </row>
        <row r="591">
          <cell r="A591" t="str">
            <v>TC0061</v>
          </cell>
          <cell r="B591">
            <v>9</v>
          </cell>
          <cell r="C591">
            <v>7</v>
          </cell>
          <cell r="D591">
            <v>7</v>
          </cell>
          <cell r="E591">
            <v>5</v>
          </cell>
          <cell r="F591">
            <v>9</v>
          </cell>
          <cell r="G591">
            <v>6</v>
          </cell>
          <cell r="H591">
            <v>9</v>
          </cell>
          <cell r="I591">
            <v>9</v>
          </cell>
          <cell r="J591">
            <v>7</v>
          </cell>
          <cell r="K591">
            <v>9</v>
          </cell>
          <cell r="L591">
            <v>8</v>
          </cell>
          <cell r="M591">
            <v>6</v>
          </cell>
          <cell r="N591">
            <v>7</v>
          </cell>
          <cell r="O591">
            <v>5</v>
          </cell>
          <cell r="P591">
            <v>0</v>
          </cell>
          <cell r="Q591">
            <v>7</v>
          </cell>
          <cell r="R591">
            <v>9</v>
          </cell>
          <cell r="S591">
            <v>7</v>
          </cell>
          <cell r="T591">
            <v>0</v>
          </cell>
          <cell r="U591">
            <v>5</v>
          </cell>
        </row>
        <row r="592">
          <cell r="A592" t="str">
            <v>TC0062</v>
          </cell>
          <cell r="B592">
            <v>9</v>
          </cell>
          <cell r="C592">
            <v>7</v>
          </cell>
          <cell r="D592">
            <v>7</v>
          </cell>
          <cell r="E592">
            <v>5</v>
          </cell>
          <cell r="F592">
            <v>9</v>
          </cell>
          <cell r="G592">
            <v>6</v>
          </cell>
          <cell r="H592">
            <v>9</v>
          </cell>
          <cell r="I592">
            <v>9</v>
          </cell>
          <cell r="J592">
            <v>7</v>
          </cell>
          <cell r="K592">
            <v>9</v>
          </cell>
          <cell r="L592">
            <v>8</v>
          </cell>
          <cell r="M592">
            <v>6</v>
          </cell>
          <cell r="N592">
            <v>7</v>
          </cell>
          <cell r="O592">
            <v>5</v>
          </cell>
          <cell r="P592">
            <v>0</v>
          </cell>
          <cell r="Q592">
            <v>7</v>
          </cell>
          <cell r="R592">
            <v>9</v>
          </cell>
          <cell r="S592">
            <v>7</v>
          </cell>
          <cell r="T592">
            <v>0</v>
          </cell>
          <cell r="U592">
            <v>5</v>
          </cell>
        </row>
        <row r="593">
          <cell r="A593" t="str">
            <v>TC0063</v>
          </cell>
          <cell r="B593">
            <v>120</v>
          </cell>
          <cell r="C593">
            <v>30</v>
          </cell>
          <cell r="D593">
            <v>30</v>
          </cell>
          <cell r="E593">
            <v>60</v>
          </cell>
          <cell r="F593">
            <v>120</v>
          </cell>
          <cell r="G593">
            <v>70</v>
          </cell>
          <cell r="H593">
            <v>95</v>
          </cell>
          <cell r="I593">
            <v>120</v>
          </cell>
          <cell r="J593">
            <v>5</v>
          </cell>
          <cell r="K593">
            <v>115</v>
          </cell>
          <cell r="L593">
            <v>80</v>
          </cell>
          <cell r="M593">
            <v>80</v>
          </cell>
          <cell r="N593">
            <v>20</v>
          </cell>
          <cell r="O593">
            <v>15</v>
          </cell>
          <cell r="P593">
            <v>0</v>
          </cell>
          <cell r="Q593">
            <v>25</v>
          </cell>
          <cell r="R593">
            <v>105</v>
          </cell>
          <cell r="S593">
            <v>50</v>
          </cell>
          <cell r="T593">
            <v>0</v>
          </cell>
          <cell r="U593">
            <v>10</v>
          </cell>
        </row>
        <row r="594">
          <cell r="A594" t="str">
            <v>TC0064</v>
          </cell>
          <cell r="B594">
            <v>3</v>
          </cell>
          <cell r="C594">
            <v>3</v>
          </cell>
          <cell r="D594">
            <v>3</v>
          </cell>
          <cell r="E594">
            <v>3</v>
          </cell>
          <cell r="F594">
            <v>3</v>
          </cell>
          <cell r="G594">
            <v>3</v>
          </cell>
          <cell r="H594">
            <v>3</v>
          </cell>
          <cell r="I594">
            <v>3</v>
          </cell>
          <cell r="J594">
            <v>3</v>
          </cell>
          <cell r="K594">
            <v>3</v>
          </cell>
          <cell r="L594">
            <v>3</v>
          </cell>
          <cell r="M594">
            <v>3</v>
          </cell>
          <cell r="N594">
            <v>3</v>
          </cell>
          <cell r="O594">
            <v>3</v>
          </cell>
          <cell r="P594">
            <v>0</v>
          </cell>
          <cell r="Q594">
            <v>3</v>
          </cell>
          <cell r="R594">
            <v>3</v>
          </cell>
          <cell r="S594">
            <v>3</v>
          </cell>
          <cell r="T594">
            <v>0</v>
          </cell>
          <cell r="U594">
            <v>3</v>
          </cell>
        </row>
        <row r="595">
          <cell r="A595" t="str">
            <v>TC0065</v>
          </cell>
          <cell r="B595">
            <v>2</v>
          </cell>
          <cell r="C595">
            <v>2</v>
          </cell>
          <cell r="D595">
            <v>2</v>
          </cell>
          <cell r="E595">
            <v>0</v>
          </cell>
          <cell r="F595">
            <v>2</v>
          </cell>
          <cell r="G595">
            <v>0</v>
          </cell>
          <cell r="H595">
            <v>2</v>
          </cell>
          <cell r="I595">
            <v>2</v>
          </cell>
          <cell r="J595">
            <v>2</v>
          </cell>
          <cell r="K595">
            <v>2</v>
          </cell>
          <cell r="L595">
            <v>2</v>
          </cell>
          <cell r="M595">
            <v>0</v>
          </cell>
          <cell r="N595">
            <v>2</v>
          </cell>
          <cell r="O595">
            <v>0</v>
          </cell>
          <cell r="P595">
            <v>1</v>
          </cell>
          <cell r="Q595">
            <v>2</v>
          </cell>
          <cell r="R595">
            <v>2</v>
          </cell>
          <cell r="S595">
            <v>2</v>
          </cell>
          <cell r="T595">
            <v>1</v>
          </cell>
          <cell r="U595">
            <v>0</v>
          </cell>
        </row>
        <row r="596">
          <cell r="A596" t="str">
            <v>TC0066</v>
          </cell>
          <cell r="B596">
            <v>2</v>
          </cell>
          <cell r="C596">
            <v>2</v>
          </cell>
          <cell r="D596">
            <v>2</v>
          </cell>
          <cell r="E596">
            <v>0</v>
          </cell>
          <cell r="F596">
            <v>2</v>
          </cell>
          <cell r="G596">
            <v>0</v>
          </cell>
          <cell r="H596">
            <v>2</v>
          </cell>
          <cell r="I596">
            <v>2</v>
          </cell>
          <cell r="J596">
            <v>2</v>
          </cell>
          <cell r="K596">
            <v>2</v>
          </cell>
          <cell r="L596">
            <v>2</v>
          </cell>
          <cell r="M596">
            <v>0</v>
          </cell>
          <cell r="N596">
            <v>2</v>
          </cell>
          <cell r="O596">
            <v>0</v>
          </cell>
          <cell r="P596">
            <v>1</v>
          </cell>
          <cell r="Q596">
            <v>2</v>
          </cell>
          <cell r="R596">
            <v>2</v>
          </cell>
          <cell r="S596">
            <v>2</v>
          </cell>
          <cell r="T596">
            <v>1</v>
          </cell>
          <cell r="U596">
            <v>0</v>
          </cell>
        </row>
        <row r="597">
          <cell r="A597" t="str">
            <v>TC0067</v>
          </cell>
          <cell r="B597">
            <v>2</v>
          </cell>
          <cell r="C597">
            <v>2</v>
          </cell>
          <cell r="D597">
            <v>2</v>
          </cell>
          <cell r="E597">
            <v>0</v>
          </cell>
          <cell r="F597">
            <v>2</v>
          </cell>
          <cell r="G597">
            <v>0</v>
          </cell>
          <cell r="H597">
            <v>2</v>
          </cell>
          <cell r="I597">
            <v>2</v>
          </cell>
          <cell r="J597">
            <v>2</v>
          </cell>
          <cell r="K597">
            <v>2</v>
          </cell>
          <cell r="L597">
            <v>2</v>
          </cell>
          <cell r="M597">
            <v>0</v>
          </cell>
          <cell r="N597">
            <v>2</v>
          </cell>
          <cell r="O597">
            <v>0</v>
          </cell>
          <cell r="P597">
            <v>1</v>
          </cell>
          <cell r="Q597">
            <v>2</v>
          </cell>
          <cell r="R597">
            <v>2</v>
          </cell>
          <cell r="S597">
            <v>2</v>
          </cell>
          <cell r="T597">
            <v>2</v>
          </cell>
          <cell r="U597">
            <v>0</v>
          </cell>
        </row>
        <row r="598">
          <cell r="A598" t="str">
            <v>TC0069</v>
          </cell>
          <cell r="B598">
            <v>10</v>
          </cell>
          <cell r="C598">
            <v>8</v>
          </cell>
          <cell r="D598">
            <v>8</v>
          </cell>
          <cell r="E598">
            <v>6</v>
          </cell>
          <cell r="F598">
            <v>10</v>
          </cell>
          <cell r="G598">
            <v>7</v>
          </cell>
          <cell r="H598">
            <v>10</v>
          </cell>
          <cell r="I598">
            <v>10</v>
          </cell>
          <cell r="J598">
            <v>8</v>
          </cell>
          <cell r="K598">
            <v>10</v>
          </cell>
          <cell r="L598">
            <v>9</v>
          </cell>
          <cell r="M598">
            <v>7</v>
          </cell>
          <cell r="N598">
            <v>8</v>
          </cell>
          <cell r="O598">
            <v>6</v>
          </cell>
          <cell r="P598">
            <v>3</v>
          </cell>
          <cell r="Q598">
            <v>8</v>
          </cell>
          <cell r="R598">
            <v>10</v>
          </cell>
          <cell r="S598">
            <v>8</v>
          </cell>
          <cell r="T598">
            <v>0</v>
          </cell>
          <cell r="U598">
            <v>6</v>
          </cell>
        </row>
        <row r="599">
          <cell r="A599" t="str">
            <v>TC0070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7</v>
          </cell>
          <cell r="I599">
            <v>0</v>
          </cell>
          <cell r="J599">
            <v>0</v>
          </cell>
          <cell r="K599">
            <v>8</v>
          </cell>
          <cell r="L599">
            <v>6</v>
          </cell>
          <cell r="M599">
            <v>6</v>
          </cell>
          <cell r="N599">
            <v>2</v>
          </cell>
          <cell r="O599">
            <v>1</v>
          </cell>
          <cell r="P599">
            <v>1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</row>
        <row r="600">
          <cell r="A600" t="str">
            <v>TC0071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4</v>
          </cell>
          <cell r="I600">
            <v>0</v>
          </cell>
          <cell r="J600">
            <v>0</v>
          </cell>
          <cell r="K600">
            <v>4</v>
          </cell>
          <cell r="L600">
            <v>3</v>
          </cell>
          <cell r="M600">
            <v>3</v>
          </cell>
          <cell r="N600">
            <v>1</v>
          </cell>
          <cell r="O600">
            <v>1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</row>
        <row r="601">
          <cell r="A601" t="str">
            <v>TC0072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3</v>
          </cell>
          <cell r="I601">
            <v>0</v>
          </cell>
          <cell r="J601">
            <v>0</v>
          </cell>
          <cell r="K601">
            <v>3</v>
          </cell>
          <cell r="L601">
            <v>3</v>
          </cell>
          <cell r="M601">
            <v>2</v>
          </cell>
          <cell r="N601">
            <v>2</v>
          </cell>
          <cell r="O601">
            <v>1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</row>
        <row r="602">
          <cell r="A602" t="str">
            <v>TC0073</v>
          </cell>
          <cell r="B602">
            <v>2</v>
          </cell>
          <cell r="C602">
            <v>2</v>
          </cell>
          <cell r="D602">
            <v>2</v>
          </cell>
          <cell r="E602">
            <v>0</v>
          </cell>
          <cell r="F602">
            <v>2</v>
          </cell>
          <cell r="G602">
            <v>0</v>
          </cell>
          <cell r="H602">
            <v>2</v>
          </cell>
          <cell r="I602">
            <v>2</v>
          </cell>
          <cell r="J602">
            <v>0</v>
          </cell>
          <cell r="K602">
            <v>2</v>
          </cell>
          <cell r="L602">
            <v>2</v>
          </cell>
          <cell r="M602">
            <v>0</v>
          </cell>
          <cell r="N602">
            <v>2</v>
          </cell>
          <cell r="O602">
            <v>0</v>
          </cell>
          <cell r="P602">
            <v>0</v>
          </cell>
          <cell r="Q602">
            <v>2</v>
          </cell>
          <cell r="R602">
            <v>2</v>
          </cell>
          <cell r="S602">
            <v>2</v>
          </cell>
          <cell r="T602">
            <v>0</v>
          </cell>
          <cell r="U602">
            <v>0</v>
          </cell>
        </row>
        <row r="603">
          <cell r="A603" t="str">
            <v>TC0074</v>
          </cell>
          <cell r="B603">
            <v>9</v>
          </cell>
          <cell r="C603">
            <v>7</v>
          </cell>
          <cell r="D603">
            <v>7</v>
          </cell>
          <cell r="E603">
            <v>5</v>
          </cell>
          <cell r="F603">
            <v>9</v>
          </cell>
          <cell r="G603">
            <v>6</v>
          </cell>
          <cell r="H603">
            <v>9</v>
          </cell>
          <cell r="I603">
            <v>9</v>
          </cell>
          <cell r="J603">
            <v>7</v>
          </cell>
          <cell r="K603">
            <v>9</v>
          </cell>
          <cell r="L603">
            <v>8</v>
          </cell>
          <cell r="M603">
            <v>6</v>
          </cell>
          <cell r="N603">
            <v>7</v>
          </cell>
          <cell r="O603">
            <v>5</v>
          </cell>
          <cell r="P603">
            <v>0</v>
          </cell>
          <cell r="Q603">
            <v>7</v>
          </cell>
          <cell r="R603">
            <v>9</v>
          </cell>
          <cell r="S603">
            <v>7</v>
          </cell>
          <cell r="T603">
            <v>0</v>
          </cell>
          <cell r="U603">
            <v>5</v>
          </cell>
        </row>
        <row r="604">
          <cell r="A604" t="str">
            <v>TC0076</v>
          </cell>
          <cell r="B604">
            <v>2</v>
          </cell>
          <cell r="C604">
            <v>1</v>
          </cell>
          <cell r="D604">
            <v>1</v>
          </cell>
          <cell r="E604">
            <v>1</v>
          </cell>
          <cell r="F604">
            <v>2</v>
          </cell>
          <cell r="G604">
            <v>2</v>
          </cell>
          <cell r="H604">
            <v>4</v>
          </cell>
          <cell r="I604">
            <v>2</v>
          </cell>
          <cell r="J604">
            <v>1</v>
          </cell>
          <cell r="K604">
            <v>4</v>
          </cell>
          <cell r="L604">
            <v>3</v>
          </cell>
          <cell r="M604">
            <v>3</v>
          </cell>
          <cell r="N604">
            <v>1</v>
          </cell>
          <cell r="O604">
            <v>1</v>
          </cell>
          <cell r="P604">
            <v>0</v>
          </cell>
          <cell r="Q604">
            <v>1</v>
          </cell>
          <cell r="R604">
            <v>5</v>
          </cell>
          <cell r="S604">
            <v>2</v>
          </cell>
          <cell r="T604">
            <v>0</v>
          </cell>
          <cell r="U604">
            <v>1</v>
          </cell>
        </row>
        <row r="605">
          <cell r="A605" t="str">
            <v>TC0077</v>
          </cell>
          <cell r="B605">
            <v>5</v>
          </cell>
          <cell r="C605">
            <v>5</v>
          </cell>
          <cell r="D605">
            <v>5</v>
          </cell>
          <cell r="E605">
            <v>4</v>
          </cell>
          <cell r="F605">
            <v>5</v>
          </cell>
          <cell r="G605">
            <v>4</v>
          </cell>
          <cell r="H605">
            <v>5</v>
          </cell>
          <cell r="I605">
            <v>5</v>
          </cell>
          <cell r="J605">
            <v>5</v>
          </cell>
          <cell r="K605">
            <v>5</v>
          </cell>
          <cell r="L605">
            <v>5</v>
          </cell>
          <cell r="M605">
            <v>2</v>
          </cell>
          <cell r="N605">
            <v>5</v>
          </cell>
          <cell r="O605">
            <v>4</v>
          </cell>
          <cell r="P605">
            <v>0</v>
          </cell>
          <cell r="Q605">
            <v>5</v>
          </cell>
          <cell r="R605">
            <v>5</v>
          </cell>
          <cell r="S605">
            <v>5</v>
          </cell>
          <cell r="T605">
            <v>0</v>
          </cell>
          <cell r="U605">
            <v>4</v>
          </cell>
        </row>
        <row r="606">
          <cell r="A606" t="str">
            <v>TC0078</v>
          </cell>
          <cell r="B606">
            <v>2</v>
          </cell>
          <cell r="C606">
            <v>2</v>
          </cell>
          <cell r="D606">
            <v>2</v>
          </cell>
          <cell r="E606">
            <v>0</v>
          </cell>
          <cell r="F606">
            <v>2</v>
          </cell>
          <cell r="G606">
            <v>0</v>
          </cell>
          <cell r="H606">
            <v>2</v>
          </cell>
          <cell r="I606">
            <v>2</v>
          </cell>
          <cell r="J606">
            <v>2</v>
          </cell>
          <cell r="K606">
            <v>2</v>
          </cell>
          <cell r="L606">
            <v>2</v>
          </cell>
          <cell r="M606">
            <v>0</v>
          </cell>
          <cell r="N606">
            <v>2</v>
          </cell>
          <cell r="O606">
            <v>0</v>
          </cell>
          <cell r="P606">
            <v>0</v>
          </cell>
          <cell r="Q606">
            <v>2</v>
          </cell>
          <cell r="R606">
            <v>2</v>
          </cell>
          <cell r="S606">
            <v>2</v>
          </cell>
          <cell r="T606">
            <v>2</v>
          </cell>
          <cell r="U606">
            <v>0</v>
          </cell>
        </row>
        <row r="607">
          <cell r="A607" t="str">
            <v>TC0079</v>
          </cell>
          <cell r="B607">
            <v>2</v>
          </cell>
          <cell r="C607">
            <v>2</v>
          </cell>
          <cell r="D607">
            <v>2</v>
          </cell>
          <cell r="E607">
            <v>0</v>
          </cell>
          <cell r="F607">
            <v>2</v>
          </cell>
          <cell r="G607">
            <v>0</v>
          </cell>
          <cell r="H607">
            <v>2</v>
          </cell>
          <cell r="I607">
            <v>2</v>
          </cell>
          <cell r="J607">
            <v>0</v>
          </cell>
          <cell r="K607">
            <v>2</v>
          </cell>
          <cell r="L607">
            <v>2</v>
          </cell>
          <cell r="M607">
            <v>0</v>
          </cell>
          <cell r="N607">
            <v>2</v>
          </cell>
          <cell r="O607">
            <v>0</v>
          </cell>
          <cell r="P607">
            <v>2</v>
          </cell>
          <cell r="Q607">
            <v>2</v>
          </cell>
          <cell r="R607">
            <v>2</v>
          </cell>
          <cell r="S607">
            <v>2</v>
          </cell>
          <cell r="T607">
            <v>2</v>
          </cell>
          <cell r="U607">
            <v>0</v>
          </cell>
        </row>
        <row r="608">
          <cell r="A608" t="str">
            <v>TC0080</v>
          </cell>
          <cell r="B608">
            <v>9</v>
          </cell>
          <cell r="C608">
            <v>7</v>
          </cell>
          <cell r="D608">
            <v>7</v>
          </cell>
          <cell r="E608">
            <v>5</v>
          </cell>
          <cell r="F608">
            <v>9</v>
          </cell>
          <cell r="G608">
            <v>6</v>
          </cell>
          <cell r="H608">
            <v>9</v>
          </cell>
          <cell r="I608">
            <v>9</v>
          </cell>
          <cell r="J608">
            <v>7</v>
          </cell>
          <cell r="K608">
            <v>9</v>
          </cell>
          <cell r="L608">
            <v>8</v>
          </cell>
          <cell r="M608">
            <v>6</v>
          </cell>
          <cell r="N608">
            <v>7</v>
          </cell>
          <cell r="O608">
            <v>5</v>
          </cell>
          <cell r="P608">
            <v>0</v>
          </cell>
          <cell r="Q608">
            <v>7</v>
          </cell>
          <cell r="R608">
            <v>9</v>
          </cell>
          <cell r="S608">
            <v>7</v>
          </cell>
          <cell r="T608">
            <v>0</v>
          </cell>
          <cell r="U608">
            <v>5</v>
          </cell>
        </row>
        <row r="609">
          <cell r="A609" t="str">
            <v>TC0081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1</v>
          </cell>
          <cell r="I609">
            <v>0</v>
          </cell>
          <cell r="J609">
            <v>0</v>
          </cell>
          <cell r="K609">
            <v>1</v>
          </cell>
          <cell r="L609">
            <v>1</v>
          </cell>
          <cell r="M609">
            <v>1</v>
          </cell>
          <cell r="N609">
            <v>1</v>
          </cell>
          <cell r="O609">
            <v>1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</row>
        <row r="610">
          <cell r="A610" t="str">
            <v>TC0082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1</v>
          </cell>
          <cell r="I610">
            <v>0</v>
          </cell>
          <cell r="J610">
            <v>0</v>
          </cell>
          <cell r="K610">
            <v>1</v>
          </cell>
          <cell r="L610">
            <v>1</v>
          </cell>
          <cell r="M610">
            <v>1</v>
          </cell>
          <cell r="N610">
            <v>1</v>
          </cell>
          <cell r="O610">
            <v>1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</row>
        <row r="611">
          <cell r="A611" t="str">
            <v>TC0083</v>
          </cell>
          <cell r="B611">
            <v>2</v>
          </cell>
          <cell r="C611">
            <v>1</v>
          </cell>
          <cell r="D611">
            <v>1</v>
          </cell>
          <cell r="E611">
            <v>1</v>
          </cell>
          <cell r="F611">
            <v>2</v>
          </cell>
          <cell r="G611">
            <v>2</v>
          </cell>
          <cell r="H611">
            <v>2</v>
          </cell>
          <cell r="I611">
            <v>2</v>
          </cell>
          <cell r="J611">
            <v>1</v>
          </cell>
          <cell r="K611">
            <v>2</v>
          </cell>
          <cell r="L611">
            <v>2</v>
          </cell>
          <cell r="M611">
            <v>2</v>
          </cell>
          <cell r="N611">
            <v>1</v>
          </cell>
          <cell r="O611">
            <v>1</v>
          </cell>
          <cell r="P611">
            <v>0</v>
          </cell>
          <cell r="Q611">
            <v>1</v>
          </cell>
          <cell r="R611">
            <v>2</v>
          </cell>
          <cell r="S611">
            <v>1</v>
          </cell>
          <cell r="T611">
            <v>0</v>
          </cell>
          <cell r="U611">
            <v>1</v>
          </cell>
        </row>
        <row r="612">
          <cell r="A612" t="str">
            <v>TC0084</v>
          </cell>
          <cell r="B612">
            <v>9</v>
          </cell>
          <cell r="C612">
            <v>7</v>
          </cell>
          <cell r="D612">
            <v>7</v>
          </cell>
          <cell r="E612">
            <v>5</v>
          </cell>
          <cell r="F612">
            <v>9</v>
          </cell>
          <cell r="G612">
            <v>6</v>
          </cell>
          <cell r="H612">
            <v>9</v>
          </cell>
          <cell r="I612">
            <v>9</v>
          </cell>
          <cell r="J612">
            <v>7</v>
          </cell>
          <cell r="K612">
            <v>9</v>
          </cell>
          <cell r="L612">
            <v>8</v>
          </cell>
          <cell r="M612">
            <v>6</v>
          </cell>
          <cell r="N612">
            <v>7</v>
          </cell>
          <cell r="O612">
            <v>5</v>
          </cell>
          <cell r="P612">
            <v>0</v>
          </cell>
          <cell r="Q612">
            <v>7</v>
          </cell>
          <cell r="R612">
            <v>9</v>
          </cell>
          <cell r="S612">
            <v>7</v>
          </cell>
          <cell r="T612">
            <v>0</v>
          </cell>
          <cell r="U612">
            <v>5</v>
          </cell>
        </row>
        <row r="613">
          <cell r="A613" t="str">
            <v>TC0085</v>
          </cell>
          <cell r="B613">
            <v>2</v>
          </cell>
          <cell r="C613">
            <v>2</v>
          </cell>
          <cell r="D613">
            <v>2</v>
          </cell>
          <cell r="E613">
            <v>0</v>
          </cell>
          <cell r="F613">
            <v>2</v>
          </cell>
          <cell r="G613">
            <v>0</v>
          </cell>
          <cell r="H613">
            <v>2</v>
          </cell>
          <cell r="I613">
            <v>2</v>
          </cell>
          <cell r="J613">
            <v>2</v>
          </cell>
          <cell r="K613">
            <v>2</v>
          </cell>
          <cell r="L613">
            <v>2</v>
          </cell>
          <cell r="M613">
            <v>0</v>
          </cell>
          <cell r="N613">
            <v>2</v>
          </cell>
          <cell r="O613">
            <v>0</v>
          </cell>
          <cell r="P613">
            <v>0</v>
          </cell>
          <cell r="Q613">
            <v>2</v>
          </cell>
          <cell r="R613">
            <v>2</v>
          </cell>
          <cell r="S613">
            <v>2</v>
          </cell>
          <cell r="T613">
            <v>0</v>
          </cell>
          <cell r="U613">
            <v>0</v>
          </cell>
        </row>
        <row r="614">
          <cell r="A614" t="str">
            <v>TC0086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1</v>
          </cell>
          <cell r="R614">
            <v>4</v>
          </cell>
          <cell r="S614">
            <v>2</v>
          </cell>
          <cell r="T614">
            <v>0</v>
          </cell>
          <cell r="U614">
            <v>0</v>
          </cell>
        </row>
        <row r="615">
          <cell r="A615" t="str">
            <v>TC0087</v>
          </cell>
          <cell r="B615">
            <v>8</v>
          </cell>
          <cell r="C615">
            <v>6</v>
          </cell>
          <cell r="D615">
            <v>6</v>
          </cell>
          <cell r="E615">
            <v>6</v>
          </cell>
          <cell r="F615">
            <v>8</v>
          </cell>
          <cell r="G615">
            <v>7</v>
          </cell>
          <cell r="H615">
            <v>8</v>
          </cell>
          <cell r="I615">
            <v>8</v>
          </cell>
          <cell r="J615">
            <v>6</v>
          </cell>
          <cell r="K615">
            <v>8</v>
          </cell>
          <cell r="L615">
            <v>7</v>
          </cell>
          <cell r="M615">
            <v>3</v>
          </cell>
          <cell r="N615">
            <v>6</v>
          </cell>
          <cell r="O615">
            <v>6</v>
          </cell>
          <cell r="P615">
            <v>0</v>
          </cell>
          <cell r="Q615">
            <v>6</v>
          </cell>
          <cell r="R615">
            <v>8</v>
          </cell>
          <cell r="S615">
            <v>6</v>
          </cell>
          <cell r="T615">
            <v>0</v>
          </cell>
          <cell r="U615">
            <v>6</v>
          </cell>
        </row>
        <row r="616">
          <cell r="A616" t="str">
            <v>TC0088</v>
          </cell>
          <cell r="B616">
            <v>1</v>
          </cell>
          <cell r="C616">
            <v>1</v>
          </cell>
          <cell r="D616">
            <v>1</v>
          </cell>
          <cell r="E616">
            <v>1</v>
          </cell>
          <cell r="F616">
            <v>1</v>
          </cell>
          <cell r="G616">
            <v>1</v>
          </cell>
          <cell r="H616">
            <v>1</v>
          </cell>
          <cell r="I616">
            <v>1</v>
          </cell>
          <cell r="J616">
            <v>1</v>
          </cell>
          <cell r="K616">
            <v>1</v>
          </cell>
          <cell r="L616">
            <v>1</v>
          </cell>
          <cell r="M616">
            <v>1</v>
          </cell>
          <cell r="N616">
            <v>1</v>
          </cell>
          <cell r="O616">
            <v>1</v>
          </cell>
          <cell r="P616">
            <v>0</v>
          </cell>
          <cell r="Q616">
            <v>1</v>
          </cell>
          <cell r="R616">
            <v>1</v>
          </cell>
          <cell r="S616">
            <v>1</v>
          </cell>
          <cell r="T616">
            <v>0</v>
          </cell>
          <cell r="U616">
            <v>1</v>
          </cell>
        </row>
        <row r="617">
          <cell r="A617" t="str">
            <v>TC0089</v>
          </cell>
          <cell r="B617">
            <v>1</v>
          </cell>
          <cell r="C617">
            <v>1</v>
          </cell>
          <cell r="D617">
            <v>1</v>
          </cell>
          <cell r="E617">
            <v>1</v>
          </cell>
          <cell r="F617">
            <v>1</v>
          </cell>
          <cell r="G617">
            <v>1</v>
          </cell>
          <cell r="H617">
            <v>1</v>
          </cell>
          <cell r="I617">
            <v>1</v>
          </cell>
          <cell r="J617">
            <v>1</v>
          </cell>
          <cell r="K617">
            <v>1</v>
          </cell>
          <cell r="L617">
            <v>1</v>
          </cell>
          <cell r="M617">
            <v>1</v>
          </cell>
          <cell r="N617">
            <v>1</v>
          </cell>
          <cell r="O617">
            <v>1</v>
          </cell>
          <cell r="P617">
            <v>0</v>
          </cell>
          <cell r="Q617">
            <v>1</v>
          </cell>
          <cell r="R617">
            <v>1</v>
          </cell>
          <cell r="S617">
            <v>1</v>
          </cell>
          <cell r="T617">
            <v>0</v>
          </cell>
          <cell r="U617">
            <v>1</v>
          </cell>
        </row>
        <row r="618">
          <cell r="A618" t="str">
            <v>TC0090</v>
          </cell>
          <cell r="B618">
            <v>1</v>
          </cell>
          <cell r="C618">
            <v>1</v>
          </cell>
          <cell r="D618">
            <v>1</v>
          </cell>
          <cell r="E618">
            <v>1</v>
          </cell>
          <cell r="F618">
            <v>1</v>
          </cell>
          <cell r="G618">
            <v>1</v>
          </cell>
          <cell r="H618">
            <v>1</v>
          </cell>
          <cell r="I618">
            <v>1</v>
          </cell>
          <cell r="J618">
            <v>1</v>
          </cell>
          <cell r="K618">
            <v>1</v>
          </cell>
          <cell r="L618">
            <v>1</v>
          </cell>
          <cell r="M618">
            <v>1</v>
          </cell>
          <cell r="N618">
            <v>1</v>
          </cell>
          <cell r="O618">
            <v>1</v>
          </cell>
          <cell r="P618">
            <v>0</v>
          </cell>
          <cell r="Q618">
            <v>1</v>
          </cell>
          <cell r="R618">
            <v>1</v>
          </cell>
          <cell r="S618">
            <v>1</v>
          </cell>
          <cell r="T618">
            <v>0</v>
          </cell>
          <cell r="U618">
            <v>1</v>
          </cell>
        </row>
        <row r="619">
          <cell r="A619" t="str">
            <v>TC0091</v>
          </cell>
          <cell r="B619">
            <v>1</v>
          </cell>
          <cell r="C619">
            <v>1</v>
          </cell>
          <cell r="D619">
            <v>1</v>
          </cell>
          <cell r="E619">
            <v>1</v>
          </cell>
          <cell r="F619">
            <v>1</v>
          </cell>
          <cell r="G619">
            <v>1</v>
          </cell>
          <cell r="H619">
            <v>1</v>
          </cell>
          <cell r="I619">
            <v>1</v>
          </cell>
          <cell r="J619">
            <v>1</v>
          </cell>
          <cell r="K619">
            <v>1</v>
          </cell>
          <cell r="L619">
            <v>1</v>
          </cell>
          <cell r="M619">
            <v>1</v>
          </cell>
          <cell r="N619">
            <v>1</v>
          </cell>
          <cell r="O619">
            <v>1</v>
          </cell>
          <cell r="P619">
            <v>0</v>
          </cell>
          <cell r="Q619">
            <v>1</v>
          </cell>
          <cell r="R619">
            <v>1</v>
          </cell>
          <cell r="S619">
            <v>1</v>
          </cell>
          <cell r="T619">
            <v>0</v>
          </cell>
          <cell r="U619">
            <v>1</v>
          </cell>
        </row>
        <row r="620">
          <cell r="A620" t="str">
            <v>TC0092</v>
          </cell>
          <cell r="B620">
            <v>2</v>
          </cell>
          <cell r="C620">
            <v>2</v>
          </cell>
          <cell r="D620">
            <v>2</v>
          </cell>
          <cell r="E620">
            <v>2</v>
          </cell>
          <cell r="F620">
            <v>2</v>
          </cell>
          <cell r="G620">
            <v>2</v>
          </cell>
          <cell r="H620">
            <v>2</v>
          </cell>
          <cell r="I620">
            <v>2</v>
          </cell>
          <cell r="J620">
            <v>2</v>
          </cell>
          <cell r="K620">
            <v>2</v>
          </cell>
          <cell r="L620">
            <v>2</v>
          </cell>
          <cell r="M620">
            <v>2</v>
          </cell>
          <cell r="N620">
            <v>2</v>
          </cell>
          <cell r="O620">
            <v>2</v>
          </cell>
          <cell r="P620">
            <v>0</v>
          </cell>
          <cell r="Q620">
            <v>2</v>
          </cell>
          <cell r="R620">
            <v>2</v>
          </cell>
          <cell r="S620">
            <v>2</v>
          </cell>
          <cell r="T620">
            <v>0</v>
          </cell>
          <cell r="U620">
            <v>2</v>
          </cell>
        </row>
        <row r="621">
          <cell r="A621" t="str">
            <v>TC0093</v>
          </cell>
          <cell r="B621">
            <v>2</v>
          </cell>
          <cell r="C621">
            <v>2</v>
          </cell>
          <cell r="D621">
            <v>2</v>
          </cell>
          <cell r="E621">
            <v>2</v>
          </cell>
          <cell r="F621">
            <v>2</v>
          </cell>
          <cell r="G621">
            <v>2</v>
          </cell>
          <cell r="H621">
            <v>2</v>
          </cell>
          <cell r="I621">
            <v>2</v>
          </cell>
          <cell r="J621">
            <v>2</v>
          </cell>
          <cell r="K621">
            <v>2</v>
          </cell>
          <cell r="L621">
            <v>2</v>
          </cell>
          <cell r="M621">
            <v>2</v>
          </cell>
          <cell r="N621">
            <v>2</v>
          </cell>
          <cell r="O621">
            <v>2</v>
          </cell>
          <cell r="P621">
            <v>0</v>
          </cell>
          <cell r="Q621">
            <v>2</v>
          </cell>
          <cell r="R621">
            <v>2</v>
          </cell>
          <cell r="S621">
            <v>2</v>
          </cell>
          <cell r="T621">
            <v>0</v>
          </cell>
          <cell r="U621">
            <v>2</v>
          </cell>
        </row>
        <row r="622">
          <cell r="A622" t="str">
            <v>TC0094</v>
          </cell>
          <cell r="B622">
            <v>2</v>
          </cell>
          <cell r="C622">
            <v>2</v>
          </cell>
          <cell r="D622">
            <v>2</v>
          </cell>
          <cell r="E622">
            <v>2</v>
          </cell>
          <cell r="F622">
            <v>2</v>
          </cell>
          <cell r="G622">
            <v>2</v>
          </cell>
          <cell r="H622">
            <v>2</v>
          </cell>
          <cell r="I622">
            <v>2</v>
          </cell>
          <cell r="J622">
            <v>2</v>
          </cell>
          <cell r="K622">
            <v>2</v>
          </cell>
          <cell r="L622">
            <v>2</v>
          </cell>
          <cell r="M622">
            <v>2</v>
          </cell>
          <cell r="N622">
            <v>2</v>
          </cell>
          <cell r="O622">
            <v>2</v>
          </cell>
          <cell r="P622">
            <v>0</v>
          </cell>
          <cell r="Q622">
            <v>2</v>
          </cell>
          <cell r="R622">
            <v>2</v>
          </cell>
          <cell r="S622">
            <v>2</v>
          </cell>
          <cell r="T622">
            <v>0</v>
          </cell>
          <cell r="U622">
            <v>2</v>
          </cell>
        </row>
        <row r="623">
          <cell r="A623" t="str">
            <v>TC0095</v>
          </cell>
          <cell r="B623">
            <v>2</v>
          </cell>
          <cell r="C623">
            <v>2</v>
          </cell>
          <cell r="D623">
            <v>2</v>
          </cell>
          <cell r="E623">
            <v>2</v>
          </cell>
          <cell r="F623">
            <v>2</v>
          </cell>
          <cell r="G623">
            <v>2</v>
          </cell>
          <cell r="H623">
            <v>2</v>
          </cell>
          <cell r="I623">
            <v>2</v>
          </cell>
          <cell r="J623">
            <v>2</v>
          </cell>
          <cell r="K623">
            <v>2</v>
          </cell>
          <cell r="L623">
            <v>2</v>
          </cell>
          <cell r="M623">
            <v>2</v>
          </cell>
          <cell r="N623">
            <v>2</v>
          </cell>
          <cell r="O623">
            <v>2</v>
          </cell>
          <cell r="P623">
            <v>0</v>
          </cell>
          <cell r="Q623">
            <v>2</v>
          </cell>
          <cell r="R623">
            <v>2</v>
          </cell>
          <cell r="S623">
            <v>2</v>
          </cell>
          <cell r="T623">
            <v>0</v>
          </cell>
          <cell r="U623">
            <v>2</v>
          </cell>
        </row>
        <row r="624">
          <cell r="A624" t="str">
            <v>TC0096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2</v>
          </cell>
          <cell r="R624">
            <v>2</v>
          </cell>
          <cell r="S624">
            <v>2</v>
          </cell>
          <cell r="T624">
            <v>0</v>
          </cell>
          <cell r="U624">
            <v>0</v>
          </cell>
        </row>
        <row r="625">
          <cell r="A625" t="str">
            <v>TC0097</v>
          </cell>
          <cell r="B625">
            <v>2</v>
          </cell>
          <cell r="C625">
            <v>2</v>
          </cell>
          <cell r="D625">
            <v>2</v>
          </cell>
          <cell r="E625">
            <v>0</v>
          </cell>
          <cell r="F625">
            <v>2</v>
          </cell>
          <cell r="G625">
            <v>0</v>
          </cell>
          <cell r="H625">
            <v>2</v>
          </cell>
          <cell r="I625">
            <v>2</v>
          </cell>
          <cell r="J625">
            <v>2</v>
          </cell>
          <cell r="K625">
            <v>2</v>
          </cell>
          <cell r="L625">
            <v>2</v>
          </cell>
          <cell r="M625">
            <v>0</v>
          </cell>
          <cell r="N625">
            <v>2</v>
          </cell>
          <cell r="O625">
            <v>0</v>
          </cell>
          <cell r="P625">
            <v>1</v>
          </cell>
          <cell r="Q625">
            <v>2</v>
          </cell>
          <cell r="R625">
            <v>2</v>
          </cell>
          <cell r="S625">
            <v>2</v>
          </cell>
          <cell r="T625">
            <v>1</v>
          </cell>
          <cell r="U625">
            <v>0</v>
          </cell>
        </row>
        <row r="626">
          <cell r="A626" t="str">
            <v>TC0098</v>
          </cell>
          <cell r="B626">
            <v>3</v>
          </cell>
          <cell r="C626">
            <v>3</v>
          </cell>
          <cell r="D626">
            <v>3</v>
          </cell>
          <cell r="E626">
            <v>2</v>
          </cell>
          <cell r="F626">
            <v>3</v>
          </cell>
          <cell r="G626">
            <v>2</v>
          </cell>
          <cell r="H626">
            <v>3</v>
          </cell>
          <cell r="I626">
            <v>3</v>
          </cell>
          <cell r="J626">
            <v>3</v>
          </cell>
          <cell r="K626">
            <v>3</v>
          </cell>
          <cell r="L626">
            <v>3</v>
          </cell>
          <cell r="M626">
            <v>2</v>
          </cell>
          <cell r="N626">
            <v>3</v>
          </cell>
          <cell r="O626">
            <v>2</v>
          </cell>
          <cell r="P626">
            <v>0</v>
          </cell>
          <cell r="Q626">
            <v>3</v>
          </cell>
          <cell r="R626">
            <v>3</v>
          </cell>
          <cell r="S626">
            <v>3</v>
          </cell>
          <cell r="T626">
            <v>0</v>
          </cell>
          <cell r="U626">
            <v>2</v>
          </cell>
        </row>
        <row r="627">
          <cell r="A627" t="str">
            <v>TCE001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1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</row>
        <row r="628">
          <cell r="A628" t="str">
            <v>TCE002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1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</row>
        <row r="629">
          <cell r="A629" t="str">
            <v>TCE004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4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A630" t="str">
            <v>TCE005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2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A631" t="str">
            <v>TCE006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2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</row>
        <row r="632">
          <cell r="A632" t="str">
            <v>TCE007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3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0000000}" name="Table20" displayName="Table20" ref="A1:I54" totalsRowShown="0" headerRowDxfId="269" headerRowBorderDxfId="268" tableBorderDxfId="267" totalsRowBorderDxfId="266" headerRowCellStyle="Normal 9 2">
  <tableColumns count="9">
    <tableColumn id="1" xr3:uid="{00000000-0010-0000-0000-000001000000}" name="Nomenclature"/>
    <tableColumn id="2" xr3:uid="{00000000-0010-0000-0000-000002000000}" name="Part Number"/>
    <tableColumn id="8" xr3:uid="{00000000-0010-0000-0000-000008000000}" name="Country of Origin" dataDxfId="265"/>
    <tableColumn id="3" xr3:uid="{00000000-0010-0000-0000-000003000000}" name="MFG Part Number"/>
    <tableColumn id="4" xr3:uid="{00000000-0010-0000-0000-000004000000}" name="Cage Code" dataDxfId="264"/>
    <tableColumn id="10" xr3:uid="{00000000-0010-0000-0000-00000A000000}" name="Replacement" dataDxfId="263" dataCellStyle="Normal 9 3"/>
    <tableColumn id="5" xr3:uid="{00000000-0010-0000-0000-000005000000}" name="Quantity" dataDxfId="262"/>
    <tableColumn id="6" xr3:uid="{00000000-0010-0000-0000-000006000000}" name="Unit price" dataDxfId="261"/>
    <tableColumn id="9" xr3:uid="{00000000-0010-0000-0000-000009000000}" name="Extended price" dataDxfId="260" dataCellStyle="Normal 9 2">
      <calculatedColumnFormula>+Table20[[#This Row],[Quantity]]*Table20[[#This Row],[Unit price]]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Table14" displayName="Table14" ref="A1:I17" totalsRowCount="1" headerRowDxfId="259" headerRowBorderDxfId="258" tableBorderDxfId="257" headerRowCellStyle="Normal 9 2">
  <tableColumns count="9">
    <tableColumn id="1" xr3:uid="{00000000-0010-0000-0100-000001000000}" name="Nomenclature" dataDxfId="256" totalsRowDxfId="255" dataCellStyle="Normal 9"/>
    <tableColumn id="2" xr3:uid="{00000000-0010-0000-0100-000002000000}" name="Part Number" dataDxfId="254" totalsRowDxfId="253" dataCellStyle="Normal 9 3"/>
    <tableColumn id="8" xr3:uid="{00000000-0010-0000-0100-000008000000}" name="Country of Origin" totalsRowDxfId="252" dataCellStyle="Normal 9 3"/>
    <tableColumn id="3" xr3:uid="{00000000-0010-0000-0100-000003000000}" name="MFG Part Number" dataDxfId="251" totalsRowDxfId="250" dataCellStyle="Normal 9 2"/>
    <tableColumn id="4" xr3:uid="{00000000-0010-0000-0100-000004000000}" name="Cage Code" dataDxfId="249" totalsRowDxfId="248" dataCellStyle="Normal 9 2"/>
    <tableColumn id="11" xr3:uid="{00000000-0010-0000-0100-00000B000000}" name="Replacement" dataDxfId="247" totalsRowDxfId="246" dataCellStyle="Normal 9 3"/>
    <tableColumn id="5" xr3:uid="{00000000-0010-0000-0100-000005000000}" name="Quantity" dataDxfId="245" totalsRowDxfId="244" dataCellStyle="Normal 9 2"/>
    <tableColumn id="6" xr3:uid="{00000000-0010-0000-0100-000006000000}" name="Unit Price" totalsRowDxfId="243" dataCellStyle="Currency"/>
    <tableColumn id="9" xr3:uid="{00000000-0010-0000-0100-000009000000}" name="Extended price" totalsRowFunction="custom" dataDxfId="242" totalsRowDxfId="241" dataCellStyle="Currency">
      <calculatedColumnFormula>+Table14[[#This Row],[Quantity]]*Table14[[#This Row],[Unit Price]]</calculatedColumnFormula>
      <totalsRowFormula>SUM(I2:I16)</totalsRow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15" displayName="Table15" ref="A1:I17" totalsRowCount="1" headerRowDxfId="240" headerRowBorderDxfId="239" tableBorderDxfId="238" headerRowCellStyle="Normal 9 2">
  <tableColumns count="9">
    <tableColumn id="1" xr3:uid="{00000000-0010-0000-0200-000001000000}" name="Nomenclature" dataDxfId="237" totalsRowDxfId="236" dataCellStyle="Normal 14"/>
    <tableColumn id="2" xr3:uid="{00000000-0010-0000-0200-000002000000}" name="Part Number" dataDxfId="235" totalsRowDxfId="234" dataCellStyle="Normal 9 3"/>
    <tableColumn id="8" xr3:uid="{00000000-0010-0000-0200-000008000000}" name="Country of Origin" dataDxfId="233" totalsRowDxfId="232" dataCellStyle="Normal 9 3"/>
    <tableColumn id="3" xr3:uid="{00000000-0010-0000-0200-000003000000}" name="MFG Part Number" dataDxfId="231" totalsRowDxfId="230" dataCellStyle="Normal 9 2"/>
    <tableColumn id="4" xr3:uid="{00000000-0010-0000-0200-000004000000}" name="Cage Code" dataDxfId="229" totalsRowDxfId="228" dataCellStyle="Normal 9 2"/>
    <tableColumn id="10" xr3:uid="{00000000-0010-0000-0200-00000A000000}" name="Replacement" dataDxfId="227" totalsRowDxfId="226" dataCellStyle="Normal 9 3"/>
    <tableColumn id="5" xr3:uid="{00000000-0010-0000-0200-000005000000}" name="Quantity" dataDxfId="225" totalsRowDxfId="224" dataCellStyle="Normal 9 2"/>
    <tableColumn id="6" xr3:uid="{00000000-0010-0000-0200-000006000000}" name="Unit Price" dataDxfId="223" totalsRowDxfId="222" dataCellStyle="Normal 9 2"/>
    <tableColumn id="9" xr3:uid="{00000000-0010-0000-0200-000009000000}" name="Extended price" totalsRowFunction="custom" dataDxfId="221" totalsRowDxfId="220" dataCellStyle="Normal 9 2">
      <calculatedColumnFormula>+Table15[[#This Row],[Quantity]]*Table15[[#This Row],[Unit Price]]</calculatedColumnFormula>
      <totalsRowFormula>SUM(I2:I16)</totalsRow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Table12" displayName="Table12" ref="A1:I28" totalsRowCount="1" headerRowDxfId="219" dataDxfId="217" headerRowBorderDxfId="218" tableBorderDxfId="216" headerRowCellStyle="Normal 9 2">
  <sortState xmlns:xlrd2="http://schemas.microsoft.com/office/spreadsheetml/2017/richdata2" ref="A2:H27">
    <sortCondition ref="B1:B27"/>
  </sortState>
  <tableColumns count="9">
    <tableColumn id="1" xr3:uid="{00000000-0010-0000-0300-000001000000}" name="Nomenclature" dataDxfId="215" totalsRowDxfId="214" dataCellStyle="Normal 14"/>
    <tableColumn id="2" xr3:uid="{00000000-0010-0000-0300-000002000000}" name="Part Number" dataDxfId="213" totalsRowDxfId="212" dataCellStyle="Normal 9 3"/>
    <tableColumn id="8" xr3:uid="{00000000-0010-0000-0300-000008000000}" name="Country of Origin" dataDxfId="211" totalsRowDxfId="210" dataCellStyle="Normal 9 3"/>
    <tableColumn id="3" xr3:uid="{00000000-0010-0000-0300-000003000000}" name="MFG Part Number" dataDxfId="209" totalsRowDxfId="208" dataCellStyle="Normal 9 3"/>
    <tableColumn id="4" xr3:uid="{00000000-0010-0000-0300-000004000000}" name="Cage Code" dataDxfId="207" totalsRowDxfId="206" dataCellStyle="Normal 9 3"/>
    <tableColumn id="10" xr3:uid="{00000000-0010-0000-0300-00000A000000}" name="Replacement" dataDxfId="205" totalsRowDxfId="204" dataCellStyle="Normal 9 3"/>
    <tableColumn id="5" xr3:uid="{00000000-0010-0000-0300-000005000000}" name="Quantity" dataDxfId="203" totalsRowDxfId="202" dataCellStyle="Normal 9 2"/>
    <tableColumn id="6" xr3:uid="{00000000-0010-0000-0300-000006000000}" name="Unit Price" dataDxfId="201" totalsRowDxfId="200" dataCellStyle="Normal 9 2"/>
    <tableColumn id="9" xr3:uid="{00000000-0010-0000-0300-000009000000}" name="Extended price" totalsRowFunction="custom" dataDxfId="199" totalsRowDxfId="198" dataCellStyle="Normal 9 3">
      <calculatedColumnFormula>+Table12[[#This Row],[Quantity]]*Table12[[#This Row],[Unit Price]]</calculatedColumnFormula>
      <totalsRowFormula>SUM(I2:I27)</totalsRow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10" displayName="Table10" ref="A1:I456" totalsRowCount="1" headerRowBorderDxfId="197" tableBorderDxfId="196">
  <tableColumns count="9">
    <tableColumn id="1" xr3:uid="{00000000-0010-0000-0400-000001000000}" name="Nomenclature" dataDxfId="195" totalsRowDxfId="194" dataCellStyle="Normal 9"/>
    <tableColumn id="2" xr3:uid="{00000000-0010-0000-0400-000002000000}" name="Part Number" dataDxfId="193" totalsRowDxfId="192"/>
    <tableColumn id="8" xr3:uid="{00000000-0010-0000-0400-000008000000}" name="Country of Origin" totalsRowDxfId="191"/>
    <tableColumn id="3" xr3:uid="{00000000-0010-0000-0400-000003000000}" name="MFG Part Number" dataDxfId="190" totalsRowDxfId="189"/>
    <tableColumn id="4" xr3:uid="{00000000-0010-0000-0400-000004000000}" name="Cage Code" dataDxfId="188" totalsRowDxfId="187"/>
    <tableColumn id="9" xr3:uid="{00000000-0010-0000-0400-000009000000}" name="Replacement" dataDxfId="186" totalsRowDxfId="185"/>
    <tableColumn id="5" xr3:uid="{00000000-0010-0000-0400-000005000000}" name="Quantity" dataDxfId="184" totalsRowDxfId="183" dataCellStyle="Normal 9 3"/>
    <tableColumn id="6" xr3:uid="{00000000-0010-0000-0400-000006000000}" name="Unit Price" dataDxfId="182" totalsRowDxfId="181" dataCellStyle="Normal 9 3"/>
    <tableColumn id="10" xr3:uid="{00000000-0010-0000-0400-00000A000000}" name="Extended price" totalsRowFunction="custom" dataDxfId="180" totalsRowDxfId="179">
      <calculatedColumnFormula>+Table10[[#This Row],[Quantity]]*Table10[[#This Row],[Unit Price]]</calculatedColumnFormula>
      <totalsRowFormula>SUM(I2:I455)</totalsRow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e116" displayName="Table116" ref="A1:I35" totalsRowCount="1" headerRowDxfId="178" dataDxfId="176" headerRowBorderDxfId="177" tableBorderDxfId="175" headerRowCellStyle="Normal 9 2" dataCellStyle="Normal 9 3">
  <sortState xmlns:xlrd2="http://schemas.microsoft.com/office/spreadsheetml/2017/richdata2" ref="A2:H36">
    <sortCondition ref="B1:B36"/>
  </sortState>
  <tableColumns count="9">
    <tableColumn id="1" xr3:uid="{00000000-0010-0000-0500-000001000000}" name="Nomenclature" dataDxfId="174" totalsRowDxfId="173" dataCellStyle="Normal 9 3"/>
    <tableColumn id="2" xr3:uid="{00000000-0010-0000-0500-000002000000}" name="Part Number" dataDxfId="172" totalsRowDxfId="171" dataCellStyle="Normal 9 3"/>
    <tableColumn id="8" xr3:uid="{00000000-0010-0000-0500-000008000000}" name="Country of Origin" dataDxfId="170" totalsRowDxfId="169" dataCellStyle="Normal 9 3"/>
    <tableColumn id="3" xr3:uid="{00000000-0010-0000-0500-000003000000}" name="MFG Part Number" dataDxfId="168" totalsRowDxfId="167" dataCellStyle="Normal 9 3"/>
    <tableColumn id="4" xr3:uid="{00000000-0010-0000-0500-000004000000}" name="Cage Code" dataDxfId="166" totalsRowDxfId="165" dataCellStyle="Normal 9 3"/>
    <tableColumn id="10" xr3:uid="{00000000-0010-0000-0500-00000A000000}" name="Replacement" dataDxfId="164" dataCellStyle="Normal 9 3"/>
    <tableColumn id="5" xr3:uid="{00000000-0010-0000-0500-000005000000}" name="Quantity" dataDxfId="163" totalsRowDxfId="162" dataCellStyle="Normal 9 3"/>
    <tableColumn id="6" xr3:uid="{00000000-0010-0000-0500-000006000000}" name="Unit Price" dataDxfId="161" totalsRowDxfId="160" dataCellStyle="Normal 9 2"/>
    <tableColumn id="9" xr3:uid="{00000000-0010-0000-0500-000009000000}" name="Extended price" totalsRowFunction="custom" dataDxfId="159" totalsRowDxfId="158" dataCellStyle="Normal 9 3">
      <calculatedColumnFormula>+Table116[[#This Row],[Quantity]]*Table116[[#This Row],[Unit Price]]</calculatedColumnFormula>
      <totalsRowFormula>SUM(I2:I34)</totalsRow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4" displayName="Table4" ref="A1:I40" totalsRowCount="1" dataDxfId="156" headerRowBorderDxfId="157" tableBorderDxfId="155" dataCellStyle="Normal 14">
  <sortState xmlns:xlrd2="http://schemas.microsoft.com/office/spreadsheetml/2017/richdata2" ref="A2:H39">
    <sortCondition ref="B1:B39"/>
  </sortState>
  <tableColumns count="9">
    <tableColumn id="1" xr3:uid="{00000000-0010-0000-0600-000001000000}" name="Nomenclature" dataDxfId="154" totalsRowDxfId="153" dataCellStyle="Normal 14"/>
    <tableColumn id="2" xr3:uid="{00000000-0010-0000-0600-000002000000}" name="Part Number" dataDxfId="152" totalsRowDxfId="151" dataCellStyle="Normal 14"/>
    <tableColumn id="8" xr3:uid="{00000000-0010-0000-0600-000008000000}" name="Country of Origin" dataDxfId="150" totalsRowDxfId="149" dataCellStyle="Normal 14"/>
    <tableColumn id="3" xr3:uid="{00000000-0010-0000-0600-000003000000}" name="MFG Part Number" dataDxfId="148" totalsRowDxfId="147" dataCellStyle="Normal 14"/>
    <tableColumn id="4" xr3:uid="{00000000-0010-0000-0600-000004000000}" name="Cage Code" dataDxfId="146" totalsRowDxfId="145" dataCellStyle="Normal 14"/>
    <tableColumn id="10" xr3:uid="{00000000-0010-0000-0600-00000A000000}" name="Replacement" dataDxfId="144" totalsRowDxfId="143" dataCellStyle="Normal 14"/>
    <tableColumn id="5" xr3:uid="{00000000-0010-0000-0600-000005000000}" name="Quantity" totalsRowDxfId="142" dataCellStyle="Normal 14"/>
    <tableColumn id="6" xr3:uid="{00000000-0010-0000-0600-000006000000}" name="Unit Price" dataDxfId="141" totalsRowDxfId="140" dataCellStyle="Normal 14"/>
    <tableColumn id="9" xr3:uid="{00000000-0010-0000-0600-000009000000}" name="Extended price" totalsRowFunction="custom" dataDxfId="139" totalsRowDxfId="138" dataCellStyle="Normal 14">
      <calculatedColumnFormula>+Table4[[#This Row],[Quantity]]*Table4[[#This Row],[Unit Price]]</calculatedColumnFormula>
      <totalsRowFormula>SUM(I2:I39)</totalsRowFormula>
    </tableColumn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Table16" displayName="Table16" ref="A1:I140" totalsRowCount="1" headerRowDxfId="137" headerRowBorderDxfId="136" tableBorderDxfId="135" headerRowCellStyle="Normal 9 2">
  <tableColumns count="9">
    <tableColumn id="1" xr3:uid="{00000000-0010-0000-0700-000001000000}" name="Nomenclature" totalsRowDxfId="134"/>
    <tableColumn id="2" xr3:uid="{00000000-0010-0000-0700-000002000000}" name="Part Number" totalsRowDxfId="133"/>
    <tableColumn id="8" xr3:uid="{00000000-0010-0000-0700-000008000000}" name="Country of Origin" dataDxfId="132" totalsRowDxfId="131"/>
    <tableColumn id="3" xr3:uid="{00000000-0010-0000-0700-000003000000}" name="MFG Part Number" dataDxfId="130" totalsRowDxfId="129" dataCellStyle="Normal 9 2"/>
    <tableColumn id="4" xr3:uid="{00000000-0010-0000-0700-000004000000}" name="Cage Code" dataDxfId="128" totalsRowDxfId="127"/>
    <tableColumn id="10" xr3:uid="{00000000-0010-0000-0700-00000A000000}" name="Replacement" dataDxfId="126" totalsRowDxfId="125"/>
    <tableColumn id="5" xr3:uid="{00000000-0010-0000-0700-000005000000}" name="Quantity" dataDxfId="124" totalsRowDxfId="123"/>
    <tableColumn id="6" xr3:uid="{00000000-0010-0000-0700-000006000000}" name="Unit Price" dataDxfId="122" totalsRowDxfId="121" dataCellStyle="Normal 9 2"/>
    <tableColumn id="9" xr3:uid="{00000000-0010-0000-0700-000009000000}" name="Extended price" totalsRowFunction="custom" dataDxfId="120" totalsRowDxfId="119">
      <calculatedColumnFormula>+Table16[[#This Row],[Quantity]]*Table16[[#This Row],[Unit Price]]</calculatedColumnFormula>
      <totalsRowFormula>SUM(I2:I139)</totalsRowFormula>
    </tableColumn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8000000}" name="Table19" displayName="Table19" ref="A1:I139" totalsRowCount="1" headerRowDxfId="118" headerRowBorderDxfId="117" tableBorderDxfId="116" totalsRowBorderDxfId="115" headerRowCellStyle="Normal 9 2">
  <tableColumns count="9">
    <tableColumn id="1" xr3:uid="{00000000-0010-0000-0800-000001000000}" name="Nomenclature" totalsRowDxfId="114" dataCellStyle="Normal 9 2"/>
    <tableColumn id="2" xr3:uid="{00000000-0010-0000-0800-000002000000}" name="Part Number" totalsRowDxfId="113" dataCellStyle="Normal 9 2"/>
    <tableColumn id="8" xr3:uid="{00000000-0010-0000-0800-000008000000}" name="Country of Origin" dataDxfId="112" totalsRowDxfId="111" dataCellStyle="Normal 9 2"/>
    <tableColumn id="3" xr3:uid="{00000000-0010-0000-0800-000003000000}" name="MFG Part Number" dataDxfId="110" totalsRowDxfId="109" dataCellStyle="Normal 9 2"/>
    <tableColumn id="4" xr3:uid="{00000000-0010-0000-0800-000004000000}" name="Cage Code" dataDxfId="108" totalsRowDxfId="107" dataCellStyle="Normal 9 2"/>
    <tableColumn id="10" xr3:uid="{00000000-0010-0000-0800-00000A000000}" name="Replacement" dataDxfId="106" totalsRowDxfId="105" dataCellStyle="Normal 9 2"/>
    <tableColumn id="5" xr3:uid="{00000000-0010-0000-0800-000005000000}" name="Quantity" dataDxfId="104" totalsRowDxfId="103" dataCellStyle="Normal 9 2"/>
    <tableColumn id="6" xr3:uid="{00000000-0010-0000-0800-000006000000}" name="Unit Price" dataDxfId="102" totalsRowDxfId="101" dataCellStyle="Normal 9 2"/>
    <tableColumn id="9" xr3:uid="{00000000-0010-0000-0800-000009000000}" name="Extended price" totalsRowFunction="custom" dataDxfId="100" totalsRowDxfId="99" dataCellStyle="Normal 9 2">
      <calculatedColumnFormula>+Table19[[#This Row],[Quantity]]*Table19[[#This Row],[Unit Price]]</calculatedColumnFormula>
      <totalsRowFormula>SUM(I2:I138)</totalsRowFormula>
    </tableColumn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e5" displayName="Table5" ref="A1:H45" totalsRowShown="0" headerRowDxfId="98" dataDxfId="96" headerRowBorderDxfId="97" tableBorderDxfId="95" headerRowCellStyle="Normal 9 2">
  <sortState xmlns:xlrd2="http://schemas.microsoft.com/office/spreadsheetml/2017/richdata2" ref="A2:H45">
    <sortCondition ref="B1:B45"/>
  </sortState>
  <tableColumns count="8">
    <tableColumn id="1" xr3:uid="{00000000-0010-0000-0900-000001000000}" name="Nomenclature" dataDxfId="94" dataCellStyle="Normal 3"/>
    <tableColumn id="2" xr3:uid="{00000000-0010-0000-0900-000002000000}" name="Part Number" dataDxfId="93"/>
    <tableColumn id="8" xr3:uid="{00000000-0010-0000-0900-000008000000}" name="Country of Origin" dataDxfId="92"/>
    <tableColumn id="3" xr3:uid="{00000000-0010-0000-0900-000003000000}" name="MFG Part Number" dataDxfId="91"/>
    <tableColumn id="4" xr3:uid="{00000000-0010-0000-0900-000004000000}" name="Cage Code" dataDxfId="90"/>
    <tableColumn id="5" xr3:uid="{00000000-0010-0000-0900-000005000000}" name="Quantity" dataDxfId="89" dataCellStyle="Normal 3"/>
    <tableColumn id="6" xr3:uid="{00000000-0010-0000-0900-000006000000}" name="Unit Price" dataDxfId="88" dataCellStyle="Normal 3"/>
    <tableColumn id="9" xr3:uid="{00000000-0010-0000-0900-000009000000}" name="Extended price" dataDxfId="87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A000000}" name="Table22" displayName="Table22" ref="A1:H14" totalsRowShown="0" headerRowDxfId="86" dataDxfId="84" headerRowBorderDxfId="85" tableBorderDxfId="83" headerRowCellStyle="Normal 9 2" dataCellStyle="Normal 14 2">
  <tableColumns count="8">
    <tableColumn id="1" xr3:uid="{00000000-0010-0000-0A00-000001000000}" name="Nomenclature" dataDxfId="82" totalsRowDxfId="81" dataCellStyle="Normal 9 2"/>
    <tableColumn id="2" xr3:uid="{00000000-0010-0000-0A00-000002000000}" name="Part Number" dataDxfId="80" totalsRowDxfId="79" dataCellStyle="Normal 14 2"/>
    <tableColumn id="8" xr3:uid="{00000000-0010-0000-0A00-000008000000}" name="Country of Origin" dataDxfId="78" totalsRowDxfId="77" dataCellStyle="Normal 14 2"/>
    <tableColumn id="3" xr3:uid="{00000000-0010-0000-0A00-000003000000}" name="MFG Part Number" dataDxfId="76" totalsRowDxfId="75" dataCellStyle="Normal 14 2"/>
    <tableColumn id="4" xr3:uid="{00000000-0010-0000-0A00-000004000000}" name="Cage Code" dataDxfId="74" totalsRowDxfId="73" dataCellStyle="Normal 14 2"/>
    <tableColumn id="5" xr3:uid="{00000000-0010-0000-0A00-000005000000}" name="Quantity" dataDxfId="72" totalsRowDxfId="71" dataCellStyle="Normal 9 2"/>
    <tableColumn id="6" xr3:uid="{00000000-0010-0000-0A00-000006000000}" name="Unit Price" dataDxfId="70" totalsRowDxfId="69" dataCellStyle="Normal 9 2"/>
    <tableColumn id="9" xr3:uid="{00000000-0010-0000-0A00-000009000000}" name="Extended price" dataDxfId="68" dataCellStyle="Normal 14 2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Table11" displayName="Table11" ref="A1:G114" totalsRowShown="0" headerRowDxfId="67" dataDxfId="65" headerRowBorderDxfId="66" tableBorderDxfId="64" headerRowCellStyle="Normal 9 2">
  <tableColumns count="7">
    <tableColumn id="1" xr3:uid="{00000000-0010-0000-0B00-000001000000}" name="Nomenclature" dataDxfId="63" dataCellStyle="Normal 9"/>
    <tableColumn id="2" xr3:uid="{00000000-0010-0000-0B00-000002000000}" name="Part Number" dataDxfId="62"/>
    <tableColumn id="8" xr3:uid="{00000000-0010-0000-0B00-000008000000}" name="Country of Origin" dataDxfId="61"/>
    <tableColumn id="3" xr3:uid="{00000000-0010-0000-0B00-000003000000}" name="MFG Part Number" dataDxfId="60"/>
    <tableColumn id="4" xr3:uid="{00000000-0010-0000-0B00-000004000000}" name="Cage Code" dataDxfId="59"/>
    <tableColumn id="5" xr3:uid="{00000000-0010-0000-0B00-000005000000}" name="Quantity" dataDxfId="58" dataCellStyle="Hyperlink"/>
    <tableColumn id="6" xr3:uid="{00000000-0010-0000-0B00-000006000000}" name="Unit Price" dataDxfId="57" dataCellStyle="Normal 9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C000000}" name="Table8" displayName="Table8" ref="A1:H100" totalsRowShown="0" headerRowDxfId="56" headerRowBorderDxfId="55" tableBorderDxfId="54" headerRowCellStyle="Normal 9 2">
  <sortState xmlns:xlrd2="http://schemas.microsoft.com/office/spreadsheetml/2017/richdata2" ref="A2:H100">
    <sortCondition ref="A1:A100"/>
  </sortState>
  <tableColumns count="8">
    <tableColumn id="1" xr3:uid="{00000000-0010-0000-0C00-000001000000}" name="Nomenclature" dataDxfId="53" dataCellStyle="Normal 9"/>
    <tableColumn id="2" xr3:uid="{00000000-0010-0000-0C00-000002000000}" name="Part Number" dataDxfId="52" dataCellStyle="Normal 9 3"/>
    <tableColumn id="8" xr3:uid="{00000000-0010-0000-0C00-000008000000}" name="Country of Origin" dataDxfId="51" dataCellStyle="Normal 9 3"/>
    <tableColumn id="3" xr3:uid="{00000000-0010-0000-0C00-000003000000}" name="MFG Part Number" dataDxfId="50"/>
    <tableColumn id="4" xr3:uid="{00000000-0010-0000-0C00-000004000000}" name="Cage Code" dataDxfId="49"/>
    <tableColumn id="5" xr3:uid="{00000000-0010-0000-0C00-000005000000}" name="Quantity" dataDxfId="48" dataCellStyle="Normal 9 2"/>
    <tableColumn id="6" xr3:uid="{00000000-0010-0000-0C00-000006000000}" name="Unit Price" dataDxfId="47" dataCellStyle="Normal 9 2"/>
    <tableColumn id="9" xr3:uid="{00000000-0010-0000-0C00-000009000000}" name="Extended price" dataDxfId="46" dataCellStyle="Normal 9 2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e7" displayName="Table7" ref="A1:H45" totalsRowShown="0" headerRowDxfId="45" headerRowBorderDxfId="44" tableBorderDxfId="43" headerRowCellStyle="Normal 9 2">
  <tableColumns count="8">
    <tableColumn id="1" xr3:uid="{00000000-0010-0000-0D00-000001000000}" name="Nomenclature" dataDxfId="42" dataCellStyle="Normal 9"/>
    <tableColumn id="2" xr3:uid="{00000000-0010-0000-0D00-000002000000}" name="Part Number" dataDxfId="41"/>
    <tableColumn id="8" xr3:uid="{00000000-0010-0000-0D00-000008000000}" name="Country of Origin" dataDxfId="40"/>
    <tableColumn id="3" xr3:uid="{00000000-0010-0000-0D00-000003000000}" name="MFG Part Number" dataDxfId="39"/>
    <tableColumn id="4" xr3:uid="{00000000-0010-0000-0D00-000004000000}" name="Cage Code" dataDxfId="38"/>
    <tableColumn id="5" xr3:uid="{00000000-0010-0000-0D00-000005000000}" name="Quantity" dataDxfId="37" dataCellStyle="Normal 9 3"/>
    <tableColumn id="6" xr3:uid="{00000000-0010-0000-0D00-000006000000}" name="Unit Price" dataDxfId="36" dataCellStyle="Normal 9 3"/>
    <tableColumn id="9" xr3:uid="{00000000-0010-0000-0D00-000009000000}" name="Extended price" dataDxfId="35" dataCellStyle="Normal 14 2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E000000}" name="Table9" displayName="Table9" ref="A1:H92" totalsRowShown="0" headerRowDxfId="34" dataDxfId="32" headerRowBorderDxfId="33" tableBorderDxfId="31" headerRowCellStyle="Normal 14">
  <tableColumns count="8">
    <tableColumn id="1" xr3:uid="{00000000-0010-0000-0E00-000001000000}" name="Nomenclature" dataDxfId="30" dataCellStyle="Normal 9"/>
    <tableColumn id="2" xr3:uid="{00000000-0010-0000-0E00-000002000000}" name="Part Number" dataDxfId="29"/>
    <tableColumn id="8" xr3:uid="{00000000-0010-0000-0E00-000008000000}" name="Country of Origin" dataDxfId="28"/>
    <tableColumn id="3" xr3:uid="{00000000-0010-0000-0E00-000003000000}" name="MFG Part Number" dataDxfId="27"/>
    <tableColumn id="4" xr3:uid="{00000000-0010-0000-0E00-000004000000}" name="Cage Code" dataDxfId="26"/>
    <tableColumn id="5" xr3:uid="{00000000-0010-0000-0E00-000005000000}" name="Quantity" dataDxfId="25" dataCellStyle="Normal 9 3"/>
    <tableColumn id="6" xr3:uid="{00000000-0010-0000-0E00-000006000000}" name="Unit Price" dataDxfId="24" dataCellStyle="Normal 9 3"/>
    <tableColumn id="9" xr3:uid="{00000000-0010-0000-0E00-000009000000}" name="Extended price" dataDxfId="23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e1517" displayName="Table1517" ref="A1:H8" totalsRowCount="1" headerRowDxfId="22" dataDxfId="20" headerRowBorderDxfId="21" tableBorderDxfId="19" headerRowCellStyle="Normal 9 2" dataCellStyle="Normal 9 3">
  <tableColumns count="8">
    <tableColumn id="1" xr3:uid="{00000000-0010-0000-0F00-000001000000}" name="Nomenclature" dataDxfId="18" totalsRowDxfId="17" dataCellStyle="Normal 9 3"/>
    <tableColumn id="2" xr3:uid="{00000000-0010-0000-0F00-000002000000}" name="Part Number" dataDxfId="16" totalsRowDxfId="15" dataCellStyle="Normal 9 3"/>
    <tableColumn id="8" xr3:uid="{00000000-0010-0000-0F00-000008000000}" name="Country of Origin" dataDxfId="14" totalsRowDxfId="13" dataCellStyle="Normal 9 3"/>
    <tableColumn id="3" xr3:uid="{00000000-0010-0000-0F00-000003000000}" name="MFG Part Number" dataDxfId="12" totalsRowDxfId="11" dataCellStyle="Normal 9 3"/>
    <tableColumn id="4" xr3:uid="{00000000-0010-0000-0F00-000004000000}" name="Cage Code" dataDxfId="10" totalsRowDxfId="9" dataCellStyle="Normal 9 3"/>
    <tableColumn id="5" xr3:uid="{00000000-0010-0000-0F00-000005000000}" name="Quantity" dataDxfId="8" totalsRowDxfId="7" dataCellStyle="Normal 9 3"/>
    <tableColumn id="6" xr3:uid="{00000000-0010-0000-0F00-000006000000}" name="Unit Price" dataDxfId="6" totalsRowDxfId="5" dataCellStyle="Normal 9 2"/>
    <tableColumn id="9" xr3:uid="{00000000-0010-0000-0F00-000009000000}" name="Extended price" totalsRowFunction="custom" dataDxfId="4" totalsRowDxfId="3" dataCellStyle="Normal 9 3">
      <calculatedColumnFormula>+Table1517[[#This Row],[Quantity]]*Table1517[[#This Row],[Unit Price]]</calculatedColumnFormula>
      <totalsRowFormula>SUM(H2:H7)</totalsRow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buy1.snapon.com/catalog/item.asp?search=true&amp;item_ID=273&amp;PartNo=VS32B&amp;group_id=560&amp;supersede=&amp;store=snapon-store&amp;tool=all" TargetMode="External"/><Relationship Id="rId3" Type="http://schemas.openxmlformats.org/officeDocument/2006/relationships/hyperlink" Target="http://buy1.snapon.com/catalog/item.asp?search=true&amp;item_ID=5236&amp;PartNo=VS24B&amp;group_id=560&amp;supersede=&amp;store=snapon-store&amp;tool=all" TargetMode="External"/><Relationship Id="rId7" Type="http://schemas.openxmlformats.org/officeDocument/2006/relationships/hyperlink" Target="http://buy1.snapon.com/catalog/item.asp?search=true&amp;item_ID=5245&amp;PartNo=VS40B&amp;group_id=560&amp;supersede=&amp;store=snapon-store&amp;tool=all" TargetMode="External"/><Relationship Id="rId2" Type="http://schemas.openxmlformats.org/officeDocument/2006/relationships/hyperlink" Target="http://buy1.snapon.com/catalog/item.asp?search=true&amp;item_ID=271&amp;PartNo=VS28B&amp;group_id=560&amp;supersede=&amp;store=snapon-store&amp;tool=all" TargetMode="External"/><Relationship Id="rId1" Type="http://schemas.openxmlformats.org/officeDocument/2006/relationships/hyperlink" Target="http://buy1.snapon.com/catalog/item.asp?search=true&amp;item_ID=5227&amp;PartNo=VS18B&amp;group_id=560&amp;supersede=&amp;store=snapon-store&amp;tool=all" TargetMode="External"/><Relationship Id="rId6" Type="http://schemas.openxmlformats.org/officeDocument/2006/relationships/hyperlink" Target="http://buy1.snapon.com/catalog/item.asp?search=true&amp;item_ID=5224&amp;PartNo=VS16B&amp;group_id=560&amp;supersede=&amp;store=snapon-store&amp;tool=all" TargetMode="External"/><Relationship Id="rId5" Type="http://schemas.openxmlformats.org/officeDocument/2006/relationships/hyperlink" Target="http://buy1.snapon.com/catalog/item.asp?search=true&amp;item_ID=5224&amp;PartNo=VS16B&amp;group_id=560&amp;supersede=&amp;store=snapon-store&amp;tool=all" TargetMode="External"/><Relationship Id="rId4" Type="http://schemas.openxmlformats.org/officeDocument/2006/relationships/hyperlink" Target="http://buy1.snapon.com/catalog/item.asp?search=true&amp;item_ID=5243&amp;PartNo=VS36B&amp;group_id=560&amp;supersede=&amp;store=snapon-store&amp;tool=all" TargetMode="External"/><Relationship Id="rId9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8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68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1"/>
  <sheetViews>
    <sheetView tabSelected="1" topLeftCell="B1" workbookViewId="0">
      <selection activeCell="C7" sqref="C7"/>
    </sheetView>
  </sheetViews>
  <sheetFormatPr defaultColWidth="42.140625" defaultRowHeight="15" x14ac:dyDescent="0.2"/>
  <cols>
    <col min="1" max="1" width="12" style="85" hidden="1" customWidth="1"/>
    <col min="2" max="2" width="11.42578125" style="85" bestFit="1" customWidth="1"/>
    <col min="3" max="3" width="38.42578125" style="119" bestFit="1" customWidth="1"/>
    <col min="4" max="4" width="27" style="119" bestFit="1" customWidth="1"/>
    <col min="5" max="16384" width="42.140625" style="119"/>
  </cols>
  <sheetData>
    <row r="1" spans="1:4" ht="15.75" x14ac:dyDescent="0.25">
      <c r="A1" s="142" t="s">
        <v>2840</v>
      </c>
      <c r="B1" s="141" t="s">
        <v>1709</v>
      </c>
      <c r="C1" s="142" t="s">
        <v>0</v>
      </c>
      <c r="D1" s="141" t="s">
        <v>463</v>
      </c>
    </row>
    <row r="2" spans="1:4" x14ac:dyDescent="0.2">
      <c r="A2" s="210" t="s">
        <v>2800</v>
      </c>
      <c r="B2" s="210" t="s">
        <v>1006</v>
      </c>
      <c r="C2" s="149" t="s">
        <v>1732</v>
      </c>
      <c r="D2" s="210" t="s">
        <v>995</v>
      </c>
    </row>
    <row r="3" spans="1:4" x14ac:dyDescent="0.2">
      <c r="A3" s="210"/>
      <c r="B3" s="210" t="s">
        <v>1009</v>
      </c>
      <c r="C3" s="149" t="s">
        <v>1733</v>
      </c>
      <c r="D3" s="210" t="s">
        <v>1866</v>
      </c>
    </row>
    <row r="4" spans="1:4" x14ac:dyDescent="0.2">
      <c r="A4" s="210" t="s">
        <v>2801</v>
      </c>
      <c r="B4" s="210" t="s">
        <v>1010</v>
      </c>
      <c r="C4" s="149" t="s">
        <v>1734</v>
      </c>
      <c r="D4" s="210" t="s">
        <v>748</v>
      </c>
    </row>
    <row r="5" spans="1:4" x14ac:dyDescent="0.2">
      <c r="A5" s="210" t="s">
        <v>2802</v>
      </c>
      <c r="B5" s="210" t="s">
        <v>1012</v>
      </c>
      <c r="C5" s="149" t="s">
        <v>1735</v>
      </c>
      <c r="D5" s="210" t="s">
        <v>3270</v>
      </c>
    </row>
    <row r="6" spans="1:4" x14ac:dyDescent="0.2">
      <c r="A6" s="210" t="s">
        <v>2803</v>
      </c>
      <c r="B6" s="210" t="s">
        <v>1015</v>
      </c>
      <c r="C6" s="149" t="s">
        <v>1736</v>
      </c>
      <c r="D6" s="210" t="s">
        <v>2721</v>
      </c>
    </row>
    <row r="7" spans="1:4" x14ac:dyDescent="0.2">
      <c r="A7" s="210" t="s">
        <v>2821</v>
      </c>
      <c r="B7" s="210" t="s">
        <v>1018</v>
      </c>
      <c r="C7" s="149" t="s">
        <v>1737</v>
      </c>
      <c r="D7" s="210" t="s">
        <v>748</v>
      </c>
    </row>
    <row r="8" spans="1:4" x14ac:dyDescent="0.2">
      <c r="A8" s="210" t="s">
        <v>2804</v>
      </c>
      <c r="B8" s="210" t="s">
        <v>1712</v>
      </c>
      <c r="C8" s="149" t="s">
        <v>1738</v>
      </c>
      <c r="D8" s="210" t="s">
        <v>995</v>
      </c>
    </row>
    <row r="9" spans="1:4" x14ac:dyDescent="0.2">
      <c r="A9" s="210" t="s">
        <v>2822</v>
      </c>
      <c r="B9" s="210" t="s">
        <v>1710</v>
      </c>
      <c r="C9" s="149" t="s">
        <v>1739</v>
      </c>
      <c r="D9" s="210" t="s">
        <v>3269</v>
      </c>
    </row>
    <row r="10" spans="1:4" x14ac:dyDescent="0.2">
      <c r="A10" s="210" t="s">
        <v>2805</v>
      </c>
      <c r="B10" s="210" t="s">
        <v>1723</v>
      </c>
      <c r="C10" s="149" t="s">
        <v>1740</v>
      </c>
      <c r="D10" s="210" t="s">
        <v>3269</v>
      </c>
    </row>
    <row r="11" spans="1:4" x14ac:dyDescent="0.2">
      <c r="A11" s="210" t="s">
        <v>2823</v>
      </c>
      <c r="B11" s="210" t="s">
        <v>1850</v>
      </c>
      <c r="C11" s="149" t="s">
        <v>2195</v>
      </c>
      <c r="D11" s="210" t="s">
        <v>748</v>
      </c>
    </row>
    <row r="12" spans="1:4" x14ac:dyDescent="0.2">
      <c r="A12" s="210" t="s">
        <v>2806</v>
      </c>
      <c r="B12" s="210" t="s">
        <v>2763</v>
      </c>
      <c r="C12" s="149" t="s">
        <v>2194</v>
      </c>
      <c r="D12" s="210" t="s">
        <v>1866</v>
      </c>
    </row>
    <row r="13" spans="1:4" x14ac:dyDescent="0.2">
      <c r="A13" s="211"/>
      <c r="B13" s="210" t="s">
        <v>2764</v>
      </c>
      <c r="C13" s="149" t="s">
        <v>2227</v>
      </c>
      <c r="D13" s="210" t="s">
        <v>994</v>
      </c>
    </row>
    <row r="14" spans="1:4" x14ac:dyDescent="0.2">
      <c r="A14" s="211"/>
      <c r="B14" s="210" t="s">
        <v>2765</v>
      </c>
      <c r="C14" s="149" t="s">
        <v>2241</v>
      </c>
      <c r="D14" s="210" t="s">
        <v>931</v>
      </c>
    </row>
    <row r="15" spans="1:4" x14ac:dyDescent="0.2">
      <c r="A15" s="211"/>
      <c r="B15" s="210" t="s">
        <v>2766</v>
      </c>
      <c r="C15" s="149" t="s">
        <v>2242</v>
      </c>
      <c r="D15" s="210" t="s">
        <v>996</v>
      </c>
    </row>
    <row r="16" spans="1:4" x14ac:dyDescent="0.2">
      <c r="A16" s="211"/>
      <c r="B16" s="210" t="s">
        <v>2767</v>
      </c>
      <c r="C16" s="149" t="s">
        <v>2245</v>
      </c>
      <c r="D16" s="210" t="s">
        <v>995</v>
      </c>
    </row>
    <row r="17" spans="1:4" x14ac:dyDescent="0.2">
      <c r="A17" s="211"/>
      <c r="B17" s="210" t="s">
        <v>2768</v>
      </c>
      <c r="C17" s="149" t="s">
        <v>2282</v>
      </c>
      <c r="D17" s="210" t="s">
        <v>1866</v>
      </c>
    </row>
    <row r="18" spans="1:4" x14ac:dyDescent="0.2">
      <c r="A18" s="211"/>
      <c r="B18" s="210" t="s">
        <v>2769</v>
      </c>
      <c r="C18" s="149" t="s">
        <v>2141</v>
      </c>
      <c r="D18" s="210" t="s">
        <v>3230</v>
      </c>
    </row>
    <row r="19" spans="1:4" x14ac:dyDescent="0.2">
      <c r="A19" s="211"/>
      <c r="B19" s="210" t="s">
        <v>2770</v>
      </c>
      <c r="C19" s="149" t="s">
        <v>2518</v>
      </c>
      <c r="D19" s="210" t="s">
        <v>1866</v>
      </c>
    </row>
    <row r="20" spans="1:4" x14ac:dyDescent="0.2">
      <c r="A20" s="211"/>
      <c r="B20" s="210" t="s">
        <v>2771</v>
      </c>
      <c r="C20" s="149" t="s">
        <v>2510</v>
      </c>
      <c r="D20" s="210" t="s">
        <v>3086</v>
      </c>
    </row>
    <row r="21" spans="1:4" x14ac:dyDescent="0.2">
      <c r="A21" s="210" t="s">
        <v>2824</v>
      </c>
      <c r="B21" s="210" t="s">
        <v>3084</v>
      </c>
      <c r="C21" s="149" t="s">
        <v>3085</v>
      </c>
      <c r="D21" s="210" t="s">
        <v>1868</v>
      </c>
    </row>
    <row r="22" spans="1:4" x14ac:dyDescent="0.2">
      <c r="A22" s="211"/>
      <c r="B22" s="210" t="s">
        <v>3127</v>
      </c>
      <c r="C22" s="149" t="s">
        <v>3202</v>
      </c>
      <c r="D22" s="210" t="s">
        <v>1868</v>
      </c>
    </row>
    <row r="23" spans="1:4" x14ac:dyDescent="0.2">
      <c r="A23" s="210" t="s">
        <v>2824</v>
      </c>
      <c r="B23" s="210" t="s">
        <v>1003</v>
      </c>
      <c r="C23" s="149" t="s">
        <v>3065</v>
      </c>
      <c r="D23" s="210" t="s">
        <v>996</v>
      </c>
    </row>
    <row r="24" spans="1:4" x14ac:dyDescent="0.2">
      <c r="A24" s="211"/>
      <c r="B24" s="210" t="s">
        <v>1004</v>
      </c>
      <c r="C24" s="149" t="s">
        <v>1741</v>
      </c>
      <c r="D24" s="210" t="s">
        <v>995</v>
      </c>
    </row>
    <row r="25" spans="1:4" x14ac:dyDescent="0.2">
      <c r="A25" s="210" t="s">
        <v>2825</v>
      </c>
      <c r="B25" s="210" t="s">
        <v>1005</v>
      </c>
      <c r="C25" s="149" t="s">
        <v>1742</v>
      </c>
      <c r="D25" s="210" t="s">
        <v>995</v>
      </c>
    </row>
    <row r="26" spans="1:4" x14ac:dyDescent="0.2">
      <c r="A26" s="210" t="s">
        <v>2826</v>
      </c>
      <c r="B26" s="210" t="s">
        <v>1007</v>
      </c>
      <c r="C26" s="149" t="s">
        <v>1743</v>
      </c>
      <c r="D26" s="210" t="s">
        <v>3269</v>
      </c>
    </row>
    <row r="27" spans="1:4" x14ac:dyDescent="0.2">
      <c r="A27" s="210" t="s">
        <v>2799</v>
      </c>
      <c r="B27" s="210" t="s">
        <v>1008</v>
      </c>
      <c r="C27" s="149" t="s">
        <v>1744</v>
      </c>
      <c r="D27" s="210" t="s">
        <v>995</v>
      </c>
    </row>
    <row r="28" spans="1:4" x14ac:dyDescent="0.2">
      <c r="A28" s="210" t="s">
        <v>2827</v>
      </c>
      <c r="B28" s="210" t="s">
        <v>1011</v>
      </c>
      <c r="C28" s="149" t="s">
        <v>1745</v>
      </c>
      <c r="D28" s="210">
        <v>1490</v>
      </c>
    </row>
    <row r="29" spans="1:4" x14ac:dyDescent="0.2">
      <c r="A29" s="210" t="s">
        <v>2807</v>
      </c>
      <c r="B29" s="210" t="s">
        <v>1013</v>
      </c>
      <c r="C29" s="149" t="s">
        <v>1746</v>
      </c>
      <c r="D29" s="210" t="s">
        <v>931</v>
      </c>
    </row>
    <row r="30" spans="1:4" x14ac:dyDescent="0.2">
      <c r="A30" s="210" t="s">
        <v>2808</v>
      </c>
      <c r="B30" s="210" t="s">
        <v>1014</v>
      </c>
      <c r="C30" s="149" t="s">
        <v>1747</v>
      </c>
      <c r="D30" s="210" t="s">
        <v>996</v>
      </c>
    </row>
    <row r="31" spans="1:4" x14ac:dyDescent="0.2">
      <c r="A31" s="210" t="s">
        <v>2828</v>
      </c>
      <c r="B31" s="210" t="s">
        <v>1016</v>
      </c>
      <c r="C31" s="149" t="s">
        <v>1748</v>
      </c>
      <c r="D31" s="210" t="s">
        <v>999</v>
      </c>
    </row>
    <row r="32" spans="1:4" x14ac:dyDescent="0.2">
      <c r="A32" s="210" t="s">
        <v>2809</v>
      </c>
      <c r="B32" s="210" t="s">
        <v>1017</v>
      </c>
      <c r="C32" s="149" t="s">
        <v>1749</v>
      </c>
      <c r="D32" s="210" t="s">
        <v>3226</v>
      </c>
    </row>
    <row r="33" spans="1:4" x14ac:dyDescent="0.2">
      <c r="A33" s="210" t="s">
        <v>2810</v>
      </c>
      <c r="B33" s="210" t="s">
        <v>1019</v>
      </c>
      <c r="C33" s="149" t="s">
        <v>2219</v>
      </c>
      <c r="D33" s="210" t="s">
        <v>1000</v>
      </c>
    </row>
    <row r="34" spans="1:4" x14ac:dyDescent="0.2">
      <c r="A34" s="210" t="s">
        <v>2811</v>
      </c>
      <c r="B34" s="210" t="s">
        <v>1020</v>
      </c>
      <c r="C34" s="149" t="s">
        <v>1750</v>
      </c>
      <c r="D34" s="210" t="s">
        <v>994</v>
      </c>
    </row>
    <row r="35" spans="1:4" x14ac:dyDescent="0.2">
      <c r="A35" s="210" t="s">
        <v>2829</v>
      </c>
      <c r="B35" s="210" t="s">
        <v>1021</v>
      </c>
      <c r="C35" s="149" t="s">
        <v>1751</v>
      </c>
      <c r="D35" s="210" t="s">
        <v>931</v>
      </c>
    </row>
    <row r="36" spans="1:4" x14ac:dyDescent="0.2">
      <c r="A36" s="210" t="s">
        <v>2812</v>
      </c>
      <c r="B36" s="210" t="s">
        <v>2796</v>
      </c>
      <c r="C36" s="149" t="s">
        <v>2196</v>
      </c>
      <c r="D36" s="210" t="s">
        <v>748</v>
      </c>
    </row>
    <row r="37" spans="1:4" x14ac:dyDescent="0.2">
      <c r="A37" s="210" t="s">
        <v>2830</v>
      </c>
      <c r="B37" s="210" t="s">
        <v>1022</v>
      </c>
      <c r="C37" s="149" t="s">
        <v>1752</v>
      </c>
      <c r="D37" s="210" t="s">
        <v>748</v>
      </c>
    </row>
    <row r="38" spans="1:4" x14ac:dyDescent="0.2">
      <c r="A38" s="210" t="s">
        <v>2813</v>
      </c>
      <c r="B38" s="210" t="s">
        <v>2797</v>
      </c>
      <c r="C38" s="149" t="s">
        <v>2199</v>
      </c>
      <c r="D38" s="210" t="s">
        <v>748</v>
      </c>
    </row>
    <row r="39" spans="1:4" x14ac:dyDescent="0.2">
      <c r="A39" s="210" t="s">
        <v>2831</v>
      </c>
      <c r="B39" s="210" t="s">
        <v>1023</v>
      </c>
      <c r="C39" s="149" t="s">
        <v>1753</v>
      </c>
      <c r="D39" s="210" t="s">
        <v>995</v>
      </c>
    </row>
    <row r="40" spans="1:4" x14ac:dyDescent="0.2">
      <c r="A40" s="210" t="s">
        <v>2832</v>
      </c>
      <c r="B40" s="210" t="s">
        <v>1718</v>
      </c>
      <c r="C40" s="149" t="s">
        <v>1754</v>
      </c>
      <c r="D40" s="210" t="s">
        <v>1000</v>
      </c>
    </row>
    <row r="41" spans="1:4" x14ac:dyDescent="0.2">
      <c r="A41" s="210" t="s">
        <v>2833</v>
      </c>
      <c r="B41" s="210" t="s">
        <v>1727</v>
      </c>
      <c r="C41" s="149" t="s">
        <v>1755</v>
      </c>
      <c r="D41" s="210" t="s">
        <v>3269</v>
      </c>
    </row>
    <row r="42" spans="1:4" x14ac:dyDescent="0.2">
      <c r="A42" s="210" t="s">
        <v>2814</v>
      </c>
      <c r="B42" s="210" t="s">
        <v>1719</v>
      </c>
      <c r="C42" s="149" t="s">
        <v>3101</v>
      </c>
      <c r="D42" s="210" t="s">
        <v>927</v>
      </c>
    </row>
    <row r="43" spans="1:4" x14ac:dyDescent="0.2">
      <c r="A43" s="210" t="s">
        <v>2834</v>
      </c>
      <c r="B43" s="210" t="s">
        <v>1711</v>
      </c>
      <c r="C43" s="149" t="s">
        <v>2252</v>
      </c>
      <c r="D43" s="210" t="s">
        <v>1000</v>
      </c>
    </row>
    <row r="44" spans="1:4" x14ac:dyDescent="0.2">
      <c r="A44" s="211"/>
      <c r="B44" s="210" t="s">
        <v>1713</v>
      </c>
      <c r="C44" s="149" t="s">
        <v>2255</v>
      </c>
      <c r="D44" s="210" t="s">
        <v>1867</v>
      </c>
    </row>
    <row r="45" spans="1:4" x14ac:dyDescent="0.2">
      <c r="A45" s="211"/>
      <c r="B45" s="210" t="s">
        <v>1714</v>
      </c>
      <c r="C45" s="149" t="s">
        <v>2256</v>
      </c>
      <c r="D45" s="210" t="s">
        <v>1000</v>
      </c>
    </row>
    <row r="46" spans="1:4" x14ac:dyDescent="0.2">
      <c r="A46" s="210" t="s">
        <v>2835</v>
      </c>
      <c r="B46" s="210" t="s">
        <v>1715</v>
      </c>
      <c r="C46" s="149" t="s">
        <v>2269</v>
      </c>
      <c r="D46" s="210" t="s">
        <v>995</v>
      </c>
    </row>
    <row r="47" spans="1:4" x14ac:dyDescent="0.2">
      <c r="A47" s="210" t="s">
        <v>2836</v>
      </c>
      <c r="B47" s="210" t="s">
        <v>1722</v>
      </c>
      <c r="C47" s="149" t="s">
        <v>1756</v>
      </c>
      <c r="D47" s="210" t="s">
        <v>748</v>
      </c>
    </row>
    <row r="48" spans="1:4" x14ac:dyDescent="0.2">
      <c r="A48" s="210" t="s">
        <v>2815</v>
      </c>
      <c r="B48" s="210" t="s">
        <v>1721</v>
      </c>
      <c r="C48" s="149" t="s">
        <v>1757</v>
      </c>
      <c r="D48" s="210" t="s">
        <v>2165</v>
      </c>
    </row>
    <row r="49" spans="1:4" x14ac:dyDescent="0.2">
      <c r="A49" s="210" t="s">
        <v>2837</v>
      </c>
      <c r="B49" s="210" t="s">
        <v>1728</v>
      </c>
      <c r="C49" s="149" t="s">
        <v>1758</v>
      </c>
      <c r="D49" s="210" t="s">
        <v>3269</v>
      </c>
    </row>
    <row r="50" spans="1:4" x14ac:dyDescent="0.2">
      <c r="A50" s="210" t="s">
        <v>2816</v>
      </c>
      <c r="B50" s="210" t="s">
        <v>1716</v>
      </c>
      <c r="C50" s="149" t="s">
        <v>1759</v>
      </c>
      <c r="D50" s="210" t="s">
        <v>3269</v>
      </c>
    </row>
    <row r="51" spans="1:4" x14ac:dyDescent="0.2">
      <c r="A51" s="210" t="s">
        <v>2817</v>
      </c>
      <c r="B51" s="210" t="s">
        <v>1720</v>
      </c>
      <c r="C51" s="149" t="s">
        <v>2266</v>
      </c>
      <c r="D51" s="210" t="s">
        <v>995</v>
      </c>
    </row>
    <row r="52" spans="1:4" x14ac:dyDescent="0.2">
      <c r="A52" s="210" t="s">
        <v>2838</v>
      </c>
      <c r="B52" s="210" t="s">
        <v>1726</v>
      </c>
      <c r="C52" s="149" t="s">
        <v>1760</v>
      </c>
      <c r="D52" s="210">
        <v>1490</v>
      </c>
    </row>
    <row r="53" spans="1:4" x14ac:dyDescent="0.2">
      <c r="A53" s="210" t="s">
        <v>2818</v>
      </c>
      <c r="B53" s="210" t="s">
        <v>1724</v>
      </c>
      <c r="C53" s="149" t="s">
        <v>1761</v>
      </c>
      <c r="D53" s="210" t="s">
        <v>2730</v>
      </c>
    </row>
    <row r="54" spans="1:4" x14ac:dyDescent="0.2">
      <c r="A54" s="210" t="s">
        <v>2819</v>
      </c>
      <c r="B54" s="210" t="s">
        <v>1725</v>
      </c>
      <c r="C54" s="149" t="s">
        <v>1762</v>
      </c>
      <c r="D54" s="210">
        <v>1490</v>
      </c>
    </row>
    <row r="55" spans="1:4" x14ac:dyDescent="0.2">
      <c r="A55" s="210" t="s">
        <v>2820</v>
      </c>
      <c r="B55" s="210" t="s">
        <v>1717</v>
      </c>
      <c r="C55" s="149" t="s">
        <v>1763</v>
      </c>
      <c r="D55" s="210" t="s">
        <v>996</v>
      </c>
    </row>
    <row r="56" spans="1:4" x14ac:dyDescent="0.2">
      <c r="A56" s="210" t="s">
        <v>2839</v>
      </c>
      <c r="B56" s="210" t="s">
        <v>2772</v>
      </c>
      <c r="C56" s="149" t="s">
        <v>2220</v>
      </c>
      <c r="D56" s="210" t="s">
        <v>1000</v>
      </c>
    </row>
    <row r="57" spans="1:4" x14ac:dyDescent="0.2">
      <c r="A57" s="211"/>
      <c r="B57" s="210" t="s">
        <v>2787</v>
      </c>
      <c r="C57" s="149" t="s">
        <v>3102</v>
      </c>
      <c r="D57" s="210" t="s">
        <v>994</v>
      </c>
    </row>
    <row r="58" spans="1:4" x14ac:dyDescent="0.2">
      <c r="A58" s="211"/>
      <c r="B58" s="210" t="s">
        <v>2788</v>
      </c>
      <c r="C58" s="149" t="s">
        <v>2253</v>
      </c>
      <c r="D58" s="210" t="s">
        <v>1000</v>
      </c>
    </row>
    <row r="59" spans="1:4" x14ac:dyDescent="0.2">
      <c r="A59" s="211"/>
      <c r="B59" s="210" t="s">
        <v>2791</v>
      </c>
      <c r="C59" s="149" t="s">
        <v>2268</v>
      </c>
      <c r="D59" s="210" t="s">
        <v>2271</v>
      </c>
    </row>
    <row r="60" spans="1:4" x14ac:dyDescent="0.2">
      <c r="A60" s="211"/>
      <c r="B60" s="210" t="s">
        <v>2786</v>
      </c>
      <c r="C60" s="149" t="s">
        <v>2267</v>
      </c>
      <c r="D60" s="210" t="s">
        <v>995</v>
      </c>
    </row>
    <row r="61" spans="1:4" x14ac:dyDescent="0.2">
      <c r="A61" s="211"/>
      <c r="B61" s="210" t="s">
        <v>2773</v>
      </c>
      <c r="C61" s="149" t="s">
        <v>2213</v>
      </c>
      <c r="D61" s="210" t="s">
        <v>1000</v>
      </c>
    </row>
    <row r="62" spans="1:4" x14ac:dyDescent="0.2">
      <c r="A62" s="211"/>
      <c r="B62" s="210" t="s">
        <v>2774</v>
      </c>
      <c r="C62" s="149" t="s">
        <v>2214</v>
      </c>
      <c r="D62" s="210" t="s">
        <v>1000</v>
      </c>
    </row>
    <row r="63" spans="1:4" x14ac:dyDescent="0.2">
      <c r="A63" s="211"/>
      <c r="B63" s="210" t="s">
        <v>2775</v>
      </c>
      <c r="C63" s="149" t="s">
        <v>2207</v>
      </c>
      <c r="D63" s="210" t="s">
        <v>999</v>
      </c>
    </row>
    <row r="64" spans="1:4" x14ac:dyDescent="0.2">
      <c r="A64" s="211"/>
      <c r="B64" s="210" t="s">
        <v>2793</v>
      </c>
      <c r="C64" s="149" t="s">
        <v>2529</v>
      </c>
      <c r="D64" s="210" t="s">
        <v>3269</v>
      </c>
    </row>
    <row r="65" spans="1:4" x14ac:dyDescent="0.2">
      <c r="A65" s="211"/>
      <c r="B65" s="210" t="s">
        <v>2794</v>
      </c>
      <c r="C65" s="149" t="s">
        <v>2198</v>
      </c>
      <c r="D65" s="210" t="s">
        <v>1867</v>
      </c>
    </row>
    <row r="66" spans="1:4" x14ac:dyDescent="0.2">
      <c r="A66" s="211"/>
      <c r="B66" s="210" t="s">
        <v>2795</v>
      </c>
      <c r="C66" s="149" t="s">
        <v>2197</v>
      </c>
      <c r="D66" s="210" t="s">
        <v>995</v>
      </c>
    </row>
    <row r="67" spans="1:4" x14ac:dyDescent="0.2">
      <c r="A67" s="211"/>
      <c r="B67" s="210" t="s">
        <v>2798</v>
      </c>
      <c r="C67" s="149" t="s">
        <v>2238</v>
      </c>
      <c r="D67" s="210" t="s">
        <v>995</v>
      </c>
    </row>
    <row r="68" spans="1:4" x14ac:dyDescent="0.2">
      <c r="A68" s="211"/>
      <c r="B68" s="210" t="s">
        <v>2789</v>
      </c>
      <c r="C68" s="149" t="s">
        <v>2260</v>
      </c>
      <c r="D68" s="210" t="s">
        <v>1000</v>
      </c>
    </row>
    <row r="69" spans="1:4" x14ac:dyDescent="0.2">
      <c r="A69" s="211"/>
      <c r="B69" s="210" t="s">
        <v>2790</v>
      </c>
      <c r="C69" s="149" t="s">
        <v>2262</v>
      </c>
      <c r="D69" s="210" t="s">
        <v>999</v>
      </c>
    </row>
    <row r="70" spans="1:4" x14ac:dyDescent="0.2">
      <c r="A70" s="211"/>
      <c r="B70" s="210" t="s">
        <v>2792</v>
      </c>
      <c r="C70" s="149" t="s">
        <v>2280</v>
      </c>
      <c r="D70" s="210" t="s">
        <v>995</v>
      </c>
    </row>
    <row r="71" spans="1:4" x14ac:dyDescent="0.2">
      <c r="A71" s="211"/>
      <c r="B71" s="210" t="s">
        <v>2780</v>
      </c>
      <c r="C71" s="149" t="s">
        <v>2722</v>
      </c>
      <c r="D71" s="210" t="s">
        <v>1000</v>
      </c>
    </row>
    <row r="72" spans="1:4" x14ac:dyDescent="0.2">
      <c r="A72" s="211"/>
      <c r="B72" s="210" t="s">
        <v>2781</v>
      </c>
      <c r="C72" s="149" t="s">
        <v>2143</v>
      </c>
      <c r="D72" s="210" t="s">
        <v>994</v>
      </c>
    </row>
    <row r="73" spans="1:4" x14ac:dyDescent="0.2">
      <c r="A73" s="211"/>
      <c r="B73" s="210" t="s">
        <v>2782</v>
      </c>
      <c r="C73" s="149" t="s">
        <v>2284</v>
      </c>
      <c r="D73" s="210" t="s">
        <v>999</v>
      </c>
    </row>
    <row r="74" spans="1:4" x14ac:dyDescent="0.2">
      <c r="A74" s="211"/>
      <c r="B74" s="210" t="s">
        <v>2783</v>
      </c>
      <c r="C74" s="149" t="s">
        <v>3201</v>
      </c>
      <c r="D74" s="210" t="s">
        <v>995</v>
      </c>
    </row>
    <row r="75" spans="1:4" x14ac:dyDescent="0.2">
      <c r="A75" s="211"/>
      <c r="B75" s="210" t="s">
        <v>2784</v>
      </c>
      <c r="C75" s="149" t="s">
        <v>2537</v>
      </c>
      <c r="D75" s="210" t="s">
        <v>999</v>
      </c>
    </row>
    <row r="76" spans="1:4" x14ac:dyDescent="0.2">
      <c r="A76" s="211"/>
      <c r="B76" s="210" t="s">
        <v>2785</v>
      </c>
      <c r="C76" s="149" t="s">
        <v>2516</v>
      </c>
      <c r="D76" s="210" t="s">
        <v>999</v>
      </c>
    </row>
    <row r="77" spans="1:4" x14ac:dyDescent="0.2">
      <c r="A77" s="211"/>
      <c r="B77" s="210" t="s">
        <v>2776</v>
      </c>
      <c r="C77" s="149" t="s">
        <v>2514</v>
      </c>
      <c r="D77" s="210" t="s">
        <v>995</v>
      </c>
    </row>
    <row r="78" spans="1:4" x14ac:dyDescent="0.2">
      <c r="A78" s="211"/>
      <c r="B78" s="210" t="s">
        <v>2777</v>
      </c>
      <c r="C78" s="149" t="s">
        <v>2512</v>
      </c>
      <c r="D78" s="210" t="s">
        <v>995</v>
      </c>
    </row>
    <row r="79" spans="1:4" x14ac:dyDescent="0.2">
      <c r="A79" s="211"/>
      <c r="B79" s="210" t="s">
        <v>2778</v>
      </c>
      <c r="C79" s="149" t="s">
        <v>2513</v>
      </c>
      <c r="D79" s="210" t="s">
        <v>1000</v>
      </c>
    </row>
    <row r="80" spans="1:4" x14ac:dyDescent="0.2">
      <c r="A80" s="211"/>
      <c r="B80" s="210" t="s">
        <v>2779</v>
      </c>
      <c r="C80" s="149" t="s">
        <v>2519</v>
      </c>
      <c r="D80" s="210" t="s">
        <v>994</v>
      </c>
    </row>
    <row r="81" spans="1:4" s="251" customFormat="1" x14ac:dyDescent="0.2">
      <c r="A81" s="211"/>
      <c r="B81" s="210" t="s">
        <v>3203</v>
      </c>
      <c r="C81" s="149" t="s">
        <v>3204</v>
      </c>
      <c r="D81" s="210" t="s">
        <v>995</v>
      </c>
    </row>
  </sheetData>
  <autoFilter ref="B1:D81" xr:uid="{00000000-0009-0000-0000-000000000000}">
    <sortState xmlns:xlrd2="http://schemas.microsoft.com/office/spreadsheetml/2017/richdata2" ref="B2:D83">
      <sortCondition ref="B1:B83"/>
    </sortState>
  </autoFilter>
  <sortState xmlns:xlrd2="http://schemas.microsoft.com/office/spreadsheetml/2017/richdata2" ref="C2:D81">
    <sortCondition ref="C2:C81"/>
  </sortState>
  <hyperlinks>
    <hyperlink ref="C2" location="'Tool Set, Flight Equipment'!A1" display="Tool Set, Flight Equipment" xr:uid="{00000000-0004-0000-0000-000000000000}"/>
    <hyperlink ref="C3" location="'Tool Set, Flight E Shop Equip'!A1" display="Tool Set, Flight E Shop Equip" xr:uid="{00000000-0004-0000-0000-000001000000}"/>
    <hyperlink ref="C4" location="'Tool Set, Structure Box (A)'!A1" display="Tool Set, Structure Box (A)" xr:uid="{00000000-0004-0000-0000-000002000000}"/>
    <hyperlink ref="C5" location="'Tool Set, LO Composite (A)'!A1" display="Tool Set, LO Composite (A)" xr:uid="{00000000-0004-0000-0000-000003000000}"/>
    <hyperlink ref="C6" location="'Tool Set, Structure Box (BC)'!A1" display="Tool Set, Structure Box (B/C)" xr:uid="{00000000-0004-0000-0000-000004000000}"/>
    <hyperlink ref="C7" location="'Tool Set, Power Plants (A)'!A1" display="Tool Set, Power Plants (A)" xr:uid="{00000000-0004-0000-0000-000005000000}"/>
    <hyperlink ref="C9" location="'Tool Set, Tire Back Shop (A)'!A1" display="Tool Set, Tire Back Shop (A)" xr:uid="{00000000-0004-0000-0000-000006000000}"/>
    <hyperlink ref="C10" location="'Tool Set, ECS (BC)'!A1" display="Tool Set, ECS (B/C)" xr:uid="{00000000-0004-0000-0000-000007000000}"/>
    <hyperlink ref="C11" location="'Tool Set, Support Equip (AB)'!A1" display="Tool Set, Support Equipment" xr:uid="{00000000-0004-0000-0000-000008000000}"/>
    <hyperlink ref="C23" location="'Tool Set, AF Hyd (BC)'!A1" display="Tool Set, Airframe/Hydraulic (B/C)" xr:uid="{00000000-0004-0000-0000-000009000000}"/>
    <hyperlink ref="C24" location="'Tool Set, PP Shop (BC)'!A1" display="Tool Set, Power Plant Shop (B/C)" xr:uid="{00000000-0004-0000-0000-00000A000000}"/>
    <hyperlink ref="C25" location="'Tool Set, Lift Systems (B)'!A1" display="Tool Set, Lift Systems (B)" xr:uid="{00000000-0004-0000-0000-00000B000000}"/>
    <hyperlink ref="C26" location="'Tool Set, Egress (A)'!A1" display="Tool Set, Egress (A)" xr:uid="{00000000-0004-0000-0000-00000C000000}"/>
    <hyperlink ref="C27" location="'Tool Set, Egress (BC)'!A1" display="Tool Set, Egress (B/C) " xr:uid="{00000000-0004-0000-0000-00000D000000}"/>
    <hyperlink ref="C28" location="'Tool Set, Torque Head '!A1" display="Tool Set, Torque Head " xr:uid="{00000000-0004-0000-0000-00000E000000}"/>
    <hyperlink ref="C29" location="'Tool Set, Fuels  (A)'!A1" display="Tool Set, Fuels  (A)" xr:uid="{00000000-0004-0000-0000-00000F000000}"/>
    <hyperlink ref="C30" location="'Tool Set, Fuels (BC)'!A1" display="Tool Set, Fuels  (B/C)" xr:uid="{00000000-0004-0000-0000-000010000000}"/>
    <hyperlink ref="C31" location="'Tool Set, Panel Kit (A)'!A1" display="Tool Set, Panel Kit (A)" xr:uid="{00000000-0004-0000-0000-000011000000}"/>
    <hyperlink ref="C32" location="'Tool Set, Tire Wheel (A)'!A1" display="Tool Set, Tire Wheel (A)" xr:uid="{00000000-0004-0000-0000-000012000000}"/>
    <hyperlink ref="C33" location="'Tool Set, OML Pouch (A)'!A1" display="Tool Set, OML Pouch (A)" xr:uid="{00000000-0004-0000-0000-000013000000}"/>
    <hyperlink ref="C34" location="'Tool Set, Tire Wheel (C)'!A1" display="Tool Set, Tire Wheel (C)" xr:uid="{00000000-0004-0000-0000-000014000000}"/>
    <hyperlink ref="C35" location="'Tool Set, Avi Maint (A)'!A1" display="Tool Set, Avionics Maint  (A)" xr:uid="{00000000-0004-0000-0000-000015000000}"/>
    <hyperlink ref="C37" location="'Tool Set, Gun Jam Clearing (A)'!A1" display="Tool Set, Gun Jam Clearing Box (A)" xr:uid="{00000000-0004-0000-0000-000016000000}"/>
    <hyperlink ref="C39" location="'Tool Set, Gun Jam Clearing (BC)'!A1" display="Tool Set, Gun Jam Clearing (B/C)" xr:uid="{00000000-0004-0000-0000-000017000000}"/>
    <hyperlink ref="C40" location="'Tool Set, Wpns Load Kit (BC)'!A1" display="Tool Set, Wpns Load Kit (B/C)" xr:uid="{00000000-0004-0000-0000-000018000000}"/>
    <hyperlink ref="C57" location="'Tool Box, Oxygen Use Only (BC)'!A1" display="Tool Set, Oxygen Use Only (B/C)" xr:uid="{00000000-0004-0000-0000-000019000000}"/>
    <hyperlink ref="C45" location="'Tool Set, 310 Shop Pouch (C)'!A1" display="Tool Set, 310 Shop Pouch (B/C)" xr:uid="{00000000-0004-0000-0000-00001A000000}"/>
    <hyperlink ref="C46" location="'Tool Set, Traffic Directing (B)'!A1" display="Tool Set, Traffic Directing (B)" xr:uid="{00000000-0004-0000-0000-00001B000000}"/>
    <hyperlink ref="C47" location="'Tool Set, Crew Chief (A)'!A1" display="Tool Set, Crew Chief (A)" xr:uid="{00000000-0004-0000-0000-00001C000000}"/>
    <hyperlink ref="C48" location="'Tool Set, CC Pouch (BC)'!A1" display="Tool Set, Cross Country Pouch (B/C)" xr:uid="{00000000-0004-0000-0000-00001D000000}"/>
    <hyperlink ref="C49" location="'Fuel Shop Dispatch (A)'!A1" display="Tool Set, Fuel Shop Dispatch (A)" xr:uid="{00000000-0004-0000-0000-00001E000000}"/>
    <hyperlink ref="C50" location="'Tool Set, LO Dispatch (A)'!A1" display="Tool Set, LO Dispatch (A)" xr:uid="{00000000-0004-0000-0000-00001F000000}"/>
    <hyperlink ref="C51" location="'Tool Set, Fastener (A)'!A1" display="Tool Set, Fastener (A)" xr:uid="{00000000-0004-0000-0000-000020000000}"/>
    <hyperlink ref="C52" location="'Tool Set, Eddie Bolt'!A1" display="Tool Set, Eddie Bolt  " xr:uid="{00000000-0004-0000-0000-000021000000}"/>
    <hyperlink ref="C53" location="'Tool Set, Rivet'!A1" display="Tool Set, Rivet " xr:uid="{00000000-0004-0000-0000-000022000000}"/>
    <hyperlink ref="C54" location="'Tool Set, Captive Fastener'!A1" display="Tool Set, Captive Fastener " xr:uid="{00000000-0004-0000-0000-000023000000}"/>
    <hyperlink ref="C55" location="'Tool Set, LO Composite (BC)'!A1" display="Tool Set, LO Composite (B/C)" xr:uid="{00000000-0004-0000-0000-000024000000}"/>
    <hyperlink ref="C18" location="'Tool Set, Mask Oxygen Only'!A1" display="Tool Set, Mask Oxygen Only" xr:uid="{00000000-0004-0000-0000-000025000000}"/>
    <hyperlink ref="C71" location="'Tool Set, Oxygen Use Only'!A1" display="Tool Set, Oxygen Use Only" xr:uid="{00000000-0004-0000-0000-000026000000}"/>
    <hyperlink ref="C72" location="'Tool Set, LO Dispatch (BC)'!A1" display="Tool Set, LO Dispatch (B/C)" xr:uid="{00000000-0004-0000-0000-000027000000}"/>
    <hyperlink ref="C36" location="'Tool Set, Avi Electrical (A)'!A1" display="Tool Set, Avionics/Electrical (A)" xr:uid="{00000000-0004-0000-0000-000028000000}"/>
    <hyperlink ref="C64" location="'Tool Set, Avionics Maint (B) '!A1" display="Tool Set, Avionics Maint (B/C)" xr:uid="{00000000-0004-0000-0000-000029000000}"/>
    <hyperlink ref="C38" location="'Tool Set, Weapons (A)'!A1" display="Tool Set, Weapons (A)" xr:uid="{00000000-0004-0000-0000-00002A000000}"/>
    <hyperlink ref="C73" location="'Tool Set, Panel Line Box (B)'!A1" display="Tool Set, Panel Line Box (B)" xr:uid="{00000000-0004-0000-0000-00002B000000}"/>
    <hyperlink ref="C12" location="'Tool Set, AF Shop Equip (BC)'!A1" display="Tool Set, Airframe Shop Equip (B/C)" xr:uid="{00000000-0004-0000-0000-00002C000000}"/>
    <hyperlink ref="C8" location="'Tool Set, Engine (BC)'!A1" display="Tool Set, Engine (B/C)" xr:uid="{00000000-0004-0000-0000-00002D000000}"/>
    <hyperlink ref="C66" location="'Tool Set, Avionics Line (B)'!A1" display="Tool Set, Avionics Line (B)" xr:uid="{00000000-0004-0000-0000-00002E000000}"/>
    <hyperlink ref="C65" location="'Tool Set, Avi Maint Pouch (B)'!A1" display="Tool Set, Avionics Maint Pouch (B)" xr:uid="{00000000-0004-0000-0000-00002F000000}"/>
    <hyperlink ref="C61" location="'Tool Set, AF Servicing Pouch(B)'!A1" display="Tool Set, Airframes Servicing Pouch (B)" xr:uid="{00000000-0004-0000-0000-000030000000}"/>
    <hyperlink ref="C62" location="'Tool Set, AF Servicing Pouch(C)'!A1" display="Tool Set, Airframes Servicing Pouch (C)" xr:uid="{00000000-0004-0000-0000-000031000000}"/>
    <hyperlink ref="C56" location="'Tool Set, OML Pouch (BC)'!A1" display="Tool Set, OML Pouch (B/C)" xr:uid="{00000000-0004-0000-0000-000032000000}"/>
    <hyperlink ref="C43" location="'Tool Set, 13B FS Pouch (B)'!A1" display="Tool Set, 13B Flight Service Pouch (B)" xr:uid="{00000000-0004-0000-0000-000033000000}"/>
    <hyperlink ref="C58" location="'Tool Set, 13B FS Pouch (C)'!A1" display="Tool Set, 13B Flight Service Pouch (C)" xr:uid="{00000000-0004-0000-0000-000034000000}"/>
    <hyperlink ref="C42" location="'Tool Box, Oxygen Use Only (A)'!A1" display="Tool Set, Oxygen Use Only (A)" xr:uid="{00000000-0004-0000-0000-000035000000}"/>
    <hyperlink ref="C13" location="'Tool Set, MALs Tire Buildup (B)'!A1" display="Tool Set, MALS Tire Buildup (B)" xr:uid="{00000000-0004-0000-0000-000036000000}"/>
    <hyperlink ref="C63" location="'Tool Set, PL Tire Removal (B)'!A1" display="Tool Set, Power Line Tire Removal (B)" xr:uid="{00000000-0004-0000-0000-000037000000}"/>
    <hyperlink ref="C67" location="'Tool Set, Weapons Maint (BC)'!A1" display="Tool Set, Weapons Maintenance (B/C)" xr:uid="{00000000-0004-0000-0000-000038000000}"/>
    <hyperlink ref="C14" location="'Tool Set, Ordnance Shop (B)'!A1" display="Tool Set, Ordnance Shop (B)" xr:uid="{00000000-0004-0000-0000-000039000000}"/>
    <hyperlink ref="C15" location="'Tool Set, Ordnance Shop (C)'!A1" display="Tool Set, Ordnance Shop (C)" xr:uid="{00000000-0004-0000-0000-00003A000000}"/>
    <hyperlink ref="C16" location="'Tool Set, Gun Maint Shop (BC)'!A1" display="Tool Set, Gun Maintenance Shop (BC)" xr:uid="{00000000-0004-0000-0000-00003B000000}"/>
    <hyperlink ref="C44" location="'Tool Set, 310 FS Pouch (B)'!A1" display="Tool Set, 310 Flight Servicing Pouch (B)" xr:uid="{00000000-0004-0000-0000-00003C000000}"/>
    <hyperlink ref="C68" location="'Tool Set, 110 FR Pouch (C)'!A1" display="Tool Set, 110 Flight Recovery Pouch (C)" xr:uid="{00000000-0004-0000-0000-00003D000000}"/>
    <hyperlink ref="C69" location="'Tool Set, 040 Inspect Box (C)'!A1" display="Tool Set, 040 Inspection Box (C)" xr:uid="{00000000-0004-0000-0000-00003E000000}"/>
    <hyperlink ref="C60" location="'Tool Set, Fastener (BC)'!A1" display="Tool Set, Fastener (B/C)" xr:uid="{00000000-0004-0000-0000-00003F000000}"/>
    <hyperlink ref="C59" location="'Tool Set, Traffic Directing (C)'!A1" display="Tool Set, Traffic Directing (C)" xr:uid="{00000000-0004-0000-0000-000040000000}"/>
    <hyperlink ref="C70" location="'Tool Set, Ordnance TD (B)'!A1" display="Tool Set, Ordnance Traffic Directing (B)" xr:uid="{00000000-0004-0000-0000-000041000000}"/>
    <hyperlink ref="C17" location="'Tool Set, LO Shop Equip (BC)'!A1" display="Tool Set, LO Shop Equipment (B/C)" xr:uid="{00000000-0004-0000-0000-000042000000}"/>
    <hyperlink ref="C20" location="'Tool Set, Supplemental (BC)'!A1" display="Tool Set, Supplemental (B/C)" xr:uid="{00000000-0004-0000-0000-000043000000}"/>
    <hyperlink ref="C77" location="'Tool Set, Avi Maint (C)'!A1" display="Tool Set, Avionics Maintenance (C)" xr:uid="{00000000-0004-0000-0000-000044000000}"/>
    <hyperlink ref="C78" location="'Tool Set, Avi TS (C)'!A1" display="Tool Set, Avionics Troubleshooter (C)" xr:uid="{00000000-0004-0000-0000-000045000000}"/>
    <hyperlink ref="C79" location="'Tool Set, Avi TS Pouch (C)'!A1" display="Tool Set, Avionics Troubleshooter Pouch (C)" xr:uid="{00000000-0004-0000-0000-000046000000}"/>
    <hyperlink ref="C80" location="'Tool Set, EOTS Maint (C)'!A1" display="Tool Set, EOTS Maintenance (B/C)" xr:uid="{00000000-0004-0000-0000-000047000000}"/>
    <hyperlink ref="C74" location="'Tool Set, Electrical Main (C)'!A1" display="Tool Set, Electrical Maintenance (C)" xr:uid="{00000000-0004-0000-0000-000048000000}"/>
    <hyperlink ref="C75" location="'Tool Set, Electrical TS (C)'!A1" display="Tool Set, Electrical Troubleshooter (C)" xr:uid="{00000000-0004-0000-0000-000049000000}"/>
    <hyperlink ref="C76" location="'Tool Set, Wire Repair (C)'!A1" display="Tool Set, Wire Repair (C)" xr:uid="{00000000-0004-0000-0000-00004A000000}"/>
    <hyperlink ref="C19" location="'Tool Set, Electrical Shop (C)'!A1" display="Tool Set, Electrical Shop Equipment (C)" xr:uid="{00000000-0004-0000-0000-00004B000000}"/>
    <hyperlink ref="C21" location="'Tool Set, Master Puller Kit (AB'!A1" display="Tool Set, Master Puller Kit (A/B)" xr:uid="{00000000-0004-0000-0000-00004C000000}"/>
    <hyperlink ref="C41" location="'Tool Set, Egress Dispatch (A)'!A1" display="Tool Set, Egress Dispatch (A)" xr:uid="{00000000-0004-0000-0000-00004D000000}"/>
    <hyperlink ref="C22" location="'Tool Set, Seat Survival'!A1" display="Tool Set, Seat Survival" xr:uid="{00000000-0004-0000-0000-00004E000000}"/>
    <hyperlink ref="C81" location="'Tool Set, Control Surfaces'!A1" display="Tool Set, Control Surfaces" xr:uid="{00000000-0004-0000-0000-00004F000000}"/>
  </hyperlinks>
  <pageMargins left="0.7" right="0.7" top="0.75" bottom="0.75" header="0.3" footer="0.3"/>
  <pageSetup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workbookViewId="0">
      <pane ySplit="1" topLeftCell="A2" activePane="bottomLeft" state="frozen"/>
      <selection activeCell="C26" sqref="C26"/>
      <selection pane="bottomLeft" activeCell="G57" sqref="G2:G57"/>
    </sheetView>
  </sheetViews>
  <sheetFormatPr defaultColWidth="9.140625" defaultRowHeight="15.75" x14ac:dyDescent="0.25"/>
  <cols>
    <col min="1" max="1" width="59.5703125" style="23" bestFit="1" customWidth="1"/>
    <col min="2" max="2" width="15.5703125" style="23" bestFit="1" customWidth="1"/>
    <col min="3" max="3" width="21.140625" style="319" bestFit="1" customWidth="1"/>
    <col min="4" max="4" width="20.140625" style="23" bestFit="1" customWidth="1"/>
    <col min="5" max="5" width="12.42578125" style="11" bestFit="1" customWidth="1"/>
    <col min="6" max="6" width="18" style="311" customWidth="1"/>
    <col min="7" max="7" width="12" style="11" customWidth="1"/>
    <col min="8" max="8" width="11.140625" style="11" bestFit="1" customWidth="1"/>
    <col min="9" max="9" width="16.85546875" style="311" bestFit="1" customWidth="1"/>
    <col min="10" max="10" width="14.85546875" style="11" bestFit="1" customWidth="1"/>
    <col min="11" max="12" width="9.140625" style="11"/>
    <col min="13" max="13" width="16.5703125" style="11" bestFit="1" customWidth="1"/>
    <col min="14" max="16384" width="9.140625" style="11"/>
  </cols>
  <sheetData>
    <row r="1" spans="1:9" x14ac:dyDescent="0.25">
      <c r="A1" s="322" t="s">
        <v>0</v>
      </c>
      <c r="B1" s="323" t="s">
        <v>1</v>
      </c>
      <c r="C1" s="323" t="s">
        <v>3373</v>
      </c>
      <c r="D1" s="323" t="s">
        <v>1872</v>
      </c>
      <c r="E1" s="323" t="s">
        <v>1873</v>
      </c>
      <c r="F1" s="323" t="s">
        <v>3372</v>
      </c>
      <c r="G1" s="324" t="s">
        <v>412</v>
      </c>
      <c r="H1" s="417" t="s">
        <v>3370</v>
      </c>
      <c r="I1" s="417" t="s">
        <v>3369</v>
      </c>
    </row>
    <row r="2" spans="1:9" x14ac:dyDescent="0.25">
      <c r="A2" s="380" t="s">
        <v>1574</v>
      </c>
      <c r="B2" s="15" t="s">
        <v>3017</v>
      </c>
      <c r="C2" s="523"/>
      <c r="D2" s="15"/>
      <c r="E2" s="15">
        <v>39428</v>
      </c>
      <c r="F2" s="523"/>
      <c r="G2" s="28">
        <v>1</v>
      </c>
      <c r="H2" s="553"/>
      <c r="I2" s="554">
        <f>+Table20[[#This Row],[Quantity]]*Table20[[#This Row],[Unit price]]</f>
        <v>0</v>
      </c>
    </row>
    <row r="3" spans="1:9" x14ac:dyDescent="0.25">
      <c r="A3" s="320" t="s">
        <v>1090</v>
      </c>
      <c r="B3" s="15">
        <v>56707</v>
      </c>
      <c r="C3" s="523"/>
      <c r="D3" s="15"/>
      <c r="E3" s="15">
        <v>25795</v>
      </c>
      <c r="F3" s="523"/>
      <c r="G3" s="28">
        <v>1</v>
      </c>
      <c r="H3" s="553"/>
      <c r="I3" s="554">
        <f>+Table20[[#This Row],[Quantity]]*Table20[[#This Row],[Unit price]]</f>
        <v>0</v>
      </c>
    </row>
    <row r="4" spans="1:9" x14ac:dyDescent="0.25">
      <c r="A4" s="320" t="s">
        <v>1125</v>
      </c>
      <c r="B4" s="15">
        <v>8130020</v>
      </c>
      <c r="C4" s="523"/>
      <c r="D4" s="15"/>
      <c r="E4" s="15" t="s">
        <v>1975</v>
      </c>
      <c r="F4" s="523"/>
      <c r="G4" s="28">
        <v>1</v>
      </c>
      <c r="H4" s="553"/>
      <c r="I4" s="554">
        <f>+Table20[[#This Row],[Quantity]]*Table20[[#This Row],[Unit price]]</f>
        <v>0</v>
      </c>
    </row>
    <row r="5" spans="1:9" x14ac:dyDescent="0.25">
      <c r="A5" s="320" t="s">
        <v>2762</v>
      </c>
      <c r="B5" s="15" t="s">
        <v>3125</v>
      </c>
      <c r="C5" s="523"/>
      <c r="D5" s="15"/>
      <c r="E5" s="15">
        <v>55719</v>
      </c>
      <c r="F5" s="523"/>
      <c r="G5" s="28">
        <v>1</v>
      </c>
      <c r="H5" s="553"/>
      <c r="I5" s="554">
        <f>+Table20[[#This Row],[Quantity]]*Table20[[#This Row],[Unit price]]</f>
        <v>0</v>
      </c>
    </row>
    <row r="6" spans="1:9" x14ac:dyDescent="0.25">
      <c r="A6" s="320" t="s">
        <v>1589</v>
      </c>
      <c r="B6" s="15" t="s">
        <v>2750</v>
      </c>
      <c r="C6" s="523"/>
      <c r="D6" s="15"/>
      <c r="E6" s="15" t="s">
        <v>1920</v>
      </c>
      <c r="F6" s="523"/>
      <c r="G6" s="28">
        <v>1</v>
      </c>
      <c r="H6" s="553"/>
      <c r="I6" s="554">
        <f>+Table20[[#This Row],[Quantity]]*Table20[[#This Row],[Unit price]]</f>
        <v>0</v>
      </c>
    </row>
    <row r="7" spans="1:9" x14ac:dyDescent="0.25">
      <c r="A7" s="320" t="s">
        <v>1283</v>
      </c>
      <c r="B7" s="15" t="s">
        <v>1992</v>
      </c>
      <c r="C7" s="523"/>
      <c r="D7" s="15"/>
      <c r="E7" s="15">
        <v>57163</v>
      </c>
      <c r="F7" s="523"/>
      <c r="G7" s="28">
        <v>1</v>
      </c>
      <c r="H7" s="553"/>
      <c r="I7" s="554">
        <f>+Table20[[#This Row],[Quantity]]*Table20[[#This Row],[Unit price]]</f>
        <v>0</v>
      </c>
    </row>
    <row r="8" spans="1:9" x14ac:dyDescent="0.25">
      <c r="A8" s="320" t="s">
        <v>459</v>
      </c>
      <c r="B8" s="15" t="s">
        <v>1823</v>
      </c>
      <c r="C8" s="523"/>
      <c r="D8" s="15"/>
      <c r="E8" s="15" t="s">
        <v>1920</v>
      </c>
      <c r="F8" s="523"/>
      <c r="G8" s="28">
        <v>1</v>
      </c>
      <c r="H8" s="553"/>
      <c r="I8" s="554">
        <f>+Table20[[#This Row],[Quantity]]*Table20[[#This Row],[Unit price]]</f>
        <v>0</v>
      </c>
    </row>
    <row r="9" spans="1:9" x14ac:dyDescent="0.25">
      <c r="A9" s="320" t="s">
        <v>2091</v>
      </c>
      <c r="B9" s="15" t="s">
        <v>2090</v>
      </c>
      <c r="C9" s="523"/>
      <c r="D9" s="15"/>
      <c r="E9" s="15" t="s">
        <v>1920</v>
      </c>
      <c r="F9" s="523"/>
      <c r="G9" s="28">
        <v>1</v>
      </c>
      <c r="H9" s="553"/>
      <c r="I9" s="554">
        <f>+Table20[[#This Row],[Quantity]]*Table20[[#This Row],[Unit price]]</f>
        <v>0</v>
      </c>
    </row>
    <row r="10" spans="1:9" x14ac:dyDescent="0.25">
      <c r="A10" s="320" t="s">
        <v>1558</v>
      </c>
      <c r="B10" s="15" t="s">
        <v>611</v>
      </c>
      <c r="C10" s="523"/>
      <c r="D10" s="15"/>
      <c r="E10" s="15" t="s">
        <v>1920</v>
      </c>
      <c r="F10" s="523"/>
      <c r="G10" s="28">
        <v>1</v>
      </c>
      <c r="H10" s="553"/>
      <c r="I10" s="554">
        <f>+Table20[[#This Row],[Quantity]]*Table20[[#This Row],[Unit price]]</f>
        <v>0</v>
      </c>
    </row>
    <row r="11" spans="1:9" x14ac:dyDescent="0.25">
      <c r="A11" s="320" t="s">
        <v>2135</v>
      </c>
      <c r="B11" s="15" t="s">
        <v>2136</v>
      </c>
      <c r="C11" s="523"/>
      <c r="D11" s="15"/>
      <c r="E11" s="15" t="s">
        <v>1920</v>
      </c>
      <c r="F11" s="523"/>
      <c r="G11" s="28">
        <v>1</v>
      </c>
      <c r="H11" s="553"/>
      <c r="I11" s="554">
        <f>+Table20[[#This Row],[Quantity]]*Table20[[#This Row],[Unit price]]</f>
        <v>0</v>
      </c>
    </row>
    <row r="12" spans="1:9" x14ac:dyDescent="0.25">
      <c r="A12" s="320" t="s">
        <v>1633</v>
      </c>
      <c r="B12" s="15" t="s">
        <v>547</v>
      </c>
      <c r="C12" s="523"/>
      <c r="D12" s="15"/>
      <c r="E12" s="15" t="s">
        <v>1920</v>
      </c>
      <c r="F12" s="523"/>
      <c r="G12" s="28">
        <v>1</v>
      </c>
      <c r="H12" s="553"/>
      <c r="I12" s="554">
        <f>+Table20[[#This Row],[Quantity]]*Table20[[#This Row],[Unit price]]</f>
        <v>0</v>
      </c>
    </row>
    <row r="13" spans="1:9" x14ac:dyDescent="0.25">
      <c r="A13" s="320" t="s">
        <v>2137</v>
      </c>
      <c r="B13" s="15" t="s">
        <v>2138</v>
      </c>
      <c r="C13" s="523"/>
      <c r="D13" s="15"/>
      <c r="E13" s="15" t="s">
        <v>1920</v>
      </c>
      <c r="F13" s="523"/>
      <c r="G13" s="28">
        <v>1</v>
      </c>
      <c r="H13" s="553"/>
      <c r="I13" s="554">
        <f>+Table20[[#This Row],[Quantity]]*Table20[[#This Row],[Unit price]]</f>
        <v>0</v>
      </c>
    </row>
    <row r="14" spans="1:9" x14ac:dyDescent="0.25">
      <c r="A14" s="320" t="s">
        <v>1500</v>
      </c>
      <c r="B14" s="15" t="s">
        <v>2004</v>
      </c>
      <c r="C14" s="523"/>
      <c r="D14" s="15"/>
      <c r="E14" s="15">
        <v>55719</v>
      </c>
      <c r="F14" s="523"/>
      <c r="G14" s="28">
        <v>1</v>
      </c>
      <c r="H14" s="553"/>
      <c r="I14" s="554">
        <f>+Table20[[#This Row],[Quantity]]*Table20[[#This Row],[Unit price]]</f>
        <v>0</v>
      </c>
    </row>
    <row r="15" spans="1:9" x14ac:dyDescent="0.25">
      <c r="A15" s="320" t="s">
        <v>1615</v>
      </c>
      <c r="B15" s="15" t="s">
        <v>2002</v>
      </c>
      <c r="C15" s="523"/>
      <c r="D15" s="15"/>
      <c r="E15" s="15">
        <v>55719</v>
      </c>
      <c r="F15" s="523"/>
      <c r="G15" s="28">
        <v>1</v>
      </c>
      <c r="H15" s="553"/>
      <c r="I15" s="554">
        <f>+Table20[[#This Row],[Quantity]]*Table20[[#This Row],[Unit price]]</f>
        <v>0</v>
      </c>
    </row>
    <row r="16" spans="1:9" x14ac:dyDescent="0.25">
      <c r="A16" s="320" t="s">
        <v>1642</v>
      </c>
      <c r="B16" s="312" t="s">
        <v>3225</v>
      </c>
      <c r="C16" s="523"/>
      <c r="D16" s="15"/>
      <c r="E16" s="15" t="s">
        <v>1920</v>
      </c>
      <c r="F16" s="523"/>
      <c r="G16" s="28">
        <v>1</v>
      </c>
      <c r="H16" s="553"/>
      <c r="I16" s="554">
        <f>+Table20[[#This Row],[Quantity]]*Table20[[#This Row],[Unit price]]</f>
        <v>0</v>
      </c>
    </row>
    <row r="17" spans="1:9" x14ac:dyDescent="0.25">
      <c r="A17" s="320" t="s">
        <v>1259</v>
      </c>
      <c r="B17" s="15" t="s">
        <v>615</v>
      </c>
      <c r="C17" s="523"/>
      <c r="D17" s="15"/>
      <c r="E17" s="15" t="s">
        <v>1920</v>
      </c>
      <c r="F17" s="523"/>
      <c r="G17" s="28">
        <v>1</v>
      </c>
      <c r="H17" s="553"/>
      <c r="I17" s="554">
        <f>+Table20[[#This Row],[Quantity]]*Table20[[#This Row],[Unit price]]</f>
        <v>0</v>
      </c>
    </row>
    <row r="18" spans="1:9" x14ac:dyDescent="0.25">
      <c r="A18" s="320" t="s">
        <v>1379</v>
      </c>
      <c r="B18" s="15" t="s">
        <v>63</v>
      </c>
      <c r="C18" s="523"/>
      <c r="D18" s="15"/>
      <c r="E18" s="15" t="s">
        <v>1920</v>
      </c>
      <c r="F18" s="523"/>
      <c r="G18" s="28">
        <v>1</v>
      </c>
      <c r="H18" s="553"/>
      <c r="I18" s="554">
        <f>+Table20[[#This Row],[Quantity]]*Table20[[#This Row],[Unit price]]</f>
        <v>0</v>
      </c>
    </row>
    <row r="19" spans="1:9" x14ac:dyDescent="0.25">
      <c r="A19" s="320" t="s">
        <v>2003</v>
      </c>
      <c r="B19" s="15" t="s">
        <v>2001</v>
      </c>
      <c r="C19" s="523"/>
      <c r="D19" s="15"/>
      <c r="E19" s="15" t="s">
        <v>1920</v>
      </c>
      <c r="F19" s="523"/>
      <c r="G19" s="28">
        <v>1</v>
      </c>
      <c r="H19" s="553"/>
      <c r="I19" s="554">
        <f>+Table20[[#This Row],[Quantity]]*Table20[[#This Row],[Unit price]]</f>
        <v>0</v>
      </c>
    </row>
    <row r="20" spans="1:9" x14ac:dyDescent="0.25">
      <c r="A20" s="320" t="s">
        <v>165</v>
      </c>
      <c r="B20" s="15" t="s">
        <v>1894</v>
      </c>
      <c r="C20" s="523"/>
      <c r="D20" s="15"/>
      <c r="E20" s="15">
        <v>55719</v>
      </c>
      <c r="F20" s="523"/>
      <c r="G20" s="28">
        <v>1</v>
      </c>
      <c r="H20" s="553"/>
      <c r="I20" s="554">
        <f>+Table20[[#This Row],[Quantity]]*Table20[[#This Row],[Unit price]]</f>
        <v>0</v>
      </c>
    </row>
    <row r="21" spans="1:9" x14ac:dyDescent="0.25">
      <c r="A21" s="320" t="s">
        <v>1400</v>
      </c>
      <c r="B21" s="15" t="s">
        <v>598</v>
      </c>
      <c r="C21" s="523"/>
      <c r="D21" s="15"/>
      <c r="E21" s="15" t="s">
        <v>1920</v>
      </c>
      <c r="F21" s="523"/>
      <c r="G21" s="28">
        <v>1</v>
      </c>
      <c r="H21" s="553"/>
      <c r="I21" s="554">
        <f>+Table20[[#This Row],[Quantity]]*Table20[[#This Row],[Unit price]]</f>
        <v>0</v>
      </c>
    </row>
    <row r="22" spans="1:9" x14ac:dyDescent="0.25">
      <c r="A22" s="320" t="s">
        <v>3261</v>
      </c>
      <c r="B22" s="15" t="s">
        <v>617</v>
      </c>
      <c r="C22" s="523"/>
      <c r="D22" s="15"/>
      <c r="E22" s="15" t="s">
        <v>1920</v>
      </c>
      <c r="F22" s="523"/>
      <c r="G22" s="28">
        <v>1</v>
      </c>
      <c r="H22" s="553"/>
      <c r="I22" s="554">
        <f>+Table20[[#This Row],[Quantity]]*Table20[[#This Row],[Unit price]]</f>
        <v>0</v>
      </c>
    </row>
    <row r="23" spans="1:9" x14ac:dyDescent="0.25">
      <c r="A23" s="320" t="s">
        <v>3257</v>
      </c>
      <c r="B23" s="15" t="s">
        <v>888</v>
      </c>
      <c r="C23" s="523"/>
      <c r="D23" s="15"/>
      <c r="E23" s="15" t="s">
        <v>1920</v>
      </c>
      <c r="F23" s="523"/>
      <c r="G23" s="28">
        <v>1</v>
      </c>
      <c r="H23" s="553"/>
      <c r="I23" s="554">
        <f>+Table20[[#This Row],[Quantity]]*Table20[[#This Row],[Unit price]]</f>
        <v>0</v>
      </c>
    </row>
    <row r="24" spans="1:9" x14ac:dyDescent="0.25">
      <c r="A24" s="320" t="s">
        <v>3259</v>
      </c>
      <c r="B24" s="15" t="s">
        <v>614</v>
      </c>
      <c r="C24" s="523"/>
      <c r="D24" s="15"/>
      <c r="E24" s="15" t="s">
        <v>1920</v>
      </c>
      <c r="F24" s="523"/>
      <c r="G24" s="28">
        <v>1</v>
      </c>
      <c r="H24" s="553"/>
      <c r="I24" s="554">
        <f>+Table20[[#This Row],[Quantity]]*Table20[[#This Row],[Unit price]]</f>
        <v>0</v>
      </c>
    </row>
    <row r="25" spans="1:9" x14ac:dyDescent="0.25">
      <c r="A25" s="320" t="s">
        <v>66</v>
      </c>
      <c r="B25" s="15" t="s">
        <v>1836</v>
      </c>
      <c r="C25" s="523"/>
      <c r="D25" s="15"/>
      <c r="E25" s="15" t="s">
        <v>1947</v>
      </c>
      <c r="F25" s="523"/>
      <c r="G25" s="28">
        <v>1</v>
      </c>
      <c r="H25" s="553"/>
      <c r="I25" s="554">
        <f>+Table20[[#This Row],[Quantity]]*Table20[[#This Row],[Unit price]]</f>
        <v>0</v>
      </c>
    </row>
    <row r="26" spans="1:9" x14ac:dyDescent="0.25">
      <c r="A26" s="320" t="s">
        <v>1510</v>
      </c>
      <c r="B26" s="15" t="s">
        <v>2130</v>
      </c>
      <c r="C26" s="523"/>
      <c r="D26" s="15"/>
      <c r="E26" s="15" t="s">
        <v>1920</v>
      </c>
      <c r="F26" s="523"/>
      <c r="G26" s="28">
        <v>1</v>
      </c>
      <c r="H26" s="553"/>
      <c r="I26" s="554">
        <f>+Table20[[#This Row],[Quantity]]*Table20[[#This Row],[Unit price]]</f>
        <v>0</v>
      </c>
    </row>
    <row r="27" spans="1:9" x14ac:dyDescent="0.25">
      <c r="A27" s="320" t="s">
        <v>1512</v>
      </c>
      <c r="B27" s="15" t="s">
        <v>1999</v>
      </c>
      <c r="C27" s="523"/>
      <c r="D27" s="15"/>
      <c r="E27" s="15" t="s">
        <v>1920</v>
      </c>
      <c r="F27" s="523"/>
      <c r="G27" s="28">
        <v>1</v>
      </c>
      <c r="H27" s="553"/>
      <c r="I27" s="554">
        <f>+Table20[[#This Row],[Quantity]]*Table20[[#This Row],[Unit price]]</f>
        <v>0</v>
      </c>
    </row>
    <row r="28" spans="1:9" x14ac:dyDescent="0.25">
      <c r="A28" s="320" t="s">
        <v>1495</v>
      </c>
      <c r="B28" s="15" t="s">
        <v>1102</v>
      </c>
      <c r="C28" s="523"/>
      <c r="D28" s="15"/>
      <c r="E28" s="15" t="s">
        <v>1952</v>
      </c>
      <c r="F28" s="523"/>
      <c r="G28" s="28">
        <v>2</v>
      </c>
      <c r="H28" s="553"/>
      <c r="I28" s="554">
        <f>+Table20[[#This Row],[Quantity]]*Table20[[#This Row],[Unit price]]</f>
        <v>0</v>
      </c>
    </row>
    <row r="29" spans="1:9" x14ac:dyDescent="0.25">
      <c r="A29" s="320" t="s">
        <v>1497</v>
      </c>
      <c r="B29" s="15" t="s">
        <v>791</v>
      </c>
      <c r="C29" s="523"/>
      <c r="D29" s="15" t="s">
        <v>1893</v>
      </c>
      <c r="E29" s="15" t="s">
        <v>1954</v>
      </c>
      <c r="F29" s="523"/>
      <c r="G29" s="28">
        <v>1</v>
      </c>
      <c r="H29" s="553"/>
      <c r="I29" s="554">
        <f>+Table20[[#This Row],[Quantity]]*Table20[[#This Row],[Unit price]]</f>
        <v>0</v>
      </c>
    </row>
    <row r="30" spans="1:9" x14ac:dyDescent="0.25">
      <c r="A30" s="320" t="s">
        <v>2925</v>
      </c>
      <c r="B30" s="15" t="s">
        <v>612</v>
      </c>
      <c r="C30" s="523"/>
      <c r="D30" s="15" t="s">
        <v>1895</v>
      </c>
      <c r="E30" s="15" t="s">
        <v>1955</v>
      </c>
      <c r="F30" s="523"/>
      <c r="G30" s="28">
        <v>1</v>
      </c>
      <c r="H30" s="553"/>
      <c r="I30" s="554">
        <f>+Table20[[#This Row],[Quantity]]*Table20[[#This Row],[Unit price]]</f>
        <v>0</v>
      </c>
    </row>
    <row r="31" spans="1:9" x14ac:dyDescent="0.25">
      <c r="A31" s="320" t="s">
        <v>1499</v>
      </c>
      <c r="B31" s="15" t="s">
        <v>899</v>
      </c>
      <c r="C31" s="523"/>
      <c r="D31" s="15" t="s">
        <v>1897</v>
      </c>
      <c r="E31" s="15" t="s">
        <v>1954</v>
      </c>
      <c r="F31" s="523"/>
      <c r="G31" s="28">
        <v>1</v>
      </c>
      <c r="H31" s="553"/>
      <c r="I31" s="554">
        <f>+Table20[[#This Row],[Quantity]]*Table20[[#This Row],[Unit price]]</f>
        <v>0</v>
      </c>
    </row>
    <row r="32" spans="1:9" x14ac:dyDescent="0.25">
      <c r="A32" s="320" t="s">
        <v>2926</v>
      </c>
      <c r="B32" s="15" t="s">
        <v>1105</v>
      </c>
      <c r="C32" s="523"/>
      <c r="D32" s="15" t="s">
        <v>1900</v>
      </c>
      <c r="E32" s="15" t="s">
        <v>1952</v>
      </c>
      <c r="F32" s="523"/>
      <c r="G32" s="28">
        <v>1</v>
      </c>
      <c r="H32" s="553"/>
      <c r="I32" s="554">
        <f>+Table20[[#This Row],[Quantity]]*Table20[[#This Row],[Unit price]]</f>
        <v>0</v>
      </c>
    </row>
    <row r="33" spans="1:10" x14ac:dyDescent="0.25">
      <c r="A33" s="320" t="s">
        <v>158</v>
      </c>
      <c r="B33" s="15" t="s">
        <v>603</v>
      </c>
      <c r="C33" s="523"/>
      <c r="D33" s="15" t="s">
        <v>1909</v>
      </c>
      <c r="E33" s="15" t="s">
        <v>1964</v>
      </c>
      <c r="F33" s="523"/>
      <c r="G33" s="28">
        <v>1</v>
      </c>
      <c r="H33" s="553"/>
      <c r="I33" s="554">
        <f>+Table20[[#This Row],[Quantity]]*Table20[[#This Row],[Unit price]]</f>
        <v>0</v>
      </c>
    </row>
    <row r="34" spans="1:10" x14ac:dyDescent="0.25">
      <c r="A34" s="320" t="s">
        <v>3088</v>
      </c>
      <c r="B34" s="15" t="s">
        <v>3087</v>
      </c>
      <c r="C34" s="523"/>
      <c r="D34" s="15"/>
      <c r="E34" s="15">
        <v>55719</v>
      </c>
      <c r="F34" s="523"/>
      <c r="G34" s="28">
        <v>1</v>
      </c>
      <c r="H34" s="553"/>
      <c r="I34" s="554">
        <f>+Table20[[#This Row],[Quantity]]*Table20[[#This Row],[Unit price]]</f>
        <v>0</v>
      </c>
    </row>
    <row r="35" spans="1:10" x14ac:dyDescent="0.25">
      <c r="A35" s="320" t="s">
        <v>1258</v>
      </c>
      <c r="B35" s="15" t="s">
        <v>544</v>
      </c>
      <c r="C35" s="523"/>
      <c r="D35" s="15"/>
      <c r="E35" s="15" t="s">
        <v>1920</v>
      </c>
      <c r="F35" s="523"/>
      <c r="G35" s="28">
        <v>1</v>
      </c>
      <c r="H35" s="553"/>
      <c r="I35" s="554">
        <f>+Table20[[#This Row],[Quantity]]*Table20[[#This Row],[Unit price]]</f>
        <v>0</v>
      </c>
    </row>
    <row r="36" spans="1:10" x14ac:dyDescent="0.25">
      <c r="A36" s="320" t="s">
        <v>1315</v>
      </c>
      <c r="B36" s="15" t="s">
        <v>616</v>
      </c>
      <c r="C36" s="523"/>
      <c r="D36" s="15"/>
      <c r="E36" s="15" t="s">
        <v>1920</v>
      </c>
      <c r="F36" s="523"/>
      <c r="G36" s="28">
        <v>1</v>
      </c>
      <c r="H36" s="553"/>
      <c r="I36" s="554">
        <f>+Table20[[#This Row],[Quantity]]*Table20[[#This Row],[Unit price]]</f>
        <v>0</v>
      </c>
    </row>
    <row r="37" spans="1:10" x14ac:dyDescent="0.25">
      <c r="A37" s="320" t="s">
        <v>1515</v>
      </c>
      <c r="B37" s="15" t="s">
        <v>1108</v>
      </c>
      <c r="C37" s="523"/>
      <c r="D37" s="15"/>
      <c r="E37" s="15" t="s">
        <v>1970</v>
      </c>
      <c r="F37" s="523"/>
      <c r="G37" s="28">
        <v>1</v>
      </c>
      <c r="H37" s="553"/>
      <c r="I37" s="554">
        <f>+Table20[[#This Row],[Quantity]]*Table20[[#This Row],[Unit price]]</f>
        <v>0</v>
      </c>
    </row>
    <row r="38" spans="1:10" s="311" customFormat="1" x14ac:dyDescent="0.25">
      <c r="A38" s="320" t="s">
        <v>1682</v>
      </c>
      <c r="B38" s="312" t="s">
        <v>261</v>
      </c>
      <c r="C38" s="523"/>
      <c r="D38" s="312"/>
      <c r="E38" s="312" t="s">
        <v>1920</v>
      </c>
      <c r="F38" s="523"/>
      <c r="G38" s="243">
        <v>1</v>
      </c>
      <c r="H38" s="553"/>
      <c r="I38" s="554">
        <f>+Table20[[#This Row],[Quantity]]*Table20[[#This Row],[Unit price]]</f>
        <v>0</v>
      </c>
    </row>
    <row r="39" spans="1:10" x14ac:dyDescent="0.25">
      <c r="A39" s="320" t="s">
        <v>1414</v>
      </c>
      <c r="B39" s="15" t="s">
        <v>163</v>
      </c>
      <c r="C39" s="523"/>
      <c r="D39" s="15"/>
      <c r="E39" s="15" t="s">
        <v>1973</v>
      </c>
      <c r="F39" s="523"/>
      <c r="G39" s="28">
        <v>1</v>
      </c>
      <c r="H39" s="553"/>
      <c r="I39" s="554">
        <f>+Table20[[#This Row],[Quantity]]*Table20[[#This Row],[Unit price]]</f>
        <v>0</v>
      </c>
      <c r="J39" s="138"/>
    </row>
    <row r="40" spans="1:10" x14ac:dyDescent="0.25">
      <c r="A40" s="320" t="s">
        <v>1121</v>
      </c>
      <c r="B40" s="15" t="s">
        <v>283</v>
      </c>
      <c r="C40" s="523"/>
      <c r="D40" s="15"/>
      <c r="E40" s="15">
        <v>55719</v>
      </c>
      <c r="F40" s="523"/>
      <c r="G40" s="28">
        <v>1</v>
      </c>
      <c r="H40" s="553"/>
      <c r="I40" s="554">
        <f>+Table20[[#This Row],[Quantity]]*Table20[[#This Row],[Unit price]]</f>
        <v>0</v>
      </c>
      <c r="J40" s="138"/>
    </row>
    <row r="41" spans="1:10" x14ac:dyDescent="0.25">
      <c r="A41" s="320" t="s">
        <v>3134</v>
      </c>
      <c r="B41" s="15" t="s">
        <v>2182</v>
      </c>
      <c r="C41" s="523"/>
      <c r="D41" s="15"/>
      <c r="E41" s="15" t="s">
        <v>1920</v>
      </c>
      <c r="F41" s="523"/>
      <c r="G41" s="28">
        <v>1</v>
      </c>
      <c r="H41" s="553"/>
      <c r="I41" s="554">
        <f>+Table20[[#This Row],[Quantity]]*Table20[[#This Row],[Unit price]]</f>
        <v>0</v>
      </c>
    </row>
    <row r="42" spans="1:10" x14ac:dyDescent="0.25">
      <c r="A42" s="320" t="s">
        <v>1216</v>
      </c>
      <c r="B42" s="15" t="s">
        <v>835</v>
      </c>
      <c r="C42" s="523"/>
      <c r="D42" s="15"/>
      <c r="E42" s="15" t="s">
        <v>1920</v>
      </c>
      <c r="F42" s="523"/>
      <c r="G42" s="28">
        <v>1</v>
      </c>
      <c r="H42" s="553"/>
      <c r="I42" s="554">
        <f>+Table20[[#This Row],[Quantity]]*Table20[[#This Row],[Unit price]]</f>
        <v>0</v>
      </c>
    </row>
    <row r="43" spans="1:10" x14ac:dyDescent="0.25">
      <c r="A43" s="320" t="s">
        <v>68</v>
      </c>
      <c r="B43" s="15" t="s">
        <v>536</v>
      </c>
      <c r="C43" s="523"/>
      <c r="D43" s="15"/>
      <c r="E43" s="15" t="s">
        <v>1920</v>
      </c>
      <c r="F43" s="523"/>
      <c r="G43" s="28">
        <v>1</v>
      </c>
      <c r="H43" s="553"/>
      <c r="I43" s="554">
        <f>+Table20[[#This Row],[Quantity]]*Table20[[#This Row],[Unit price]]</f>
        <v>0</v>
      </c>
    </row>
    <row r="44" spans="1:10" x14ac:dyDescent="0.25">
      <c r="A44" s="320" t="s">
        <v>1608</v>
      </c>
      <c r="B44" s="15" t="s">
        <v>164</v>
      </c>
      <c r="C44" s="523"/>
      <c r="D44" s="15"/>
      <c r="E44" s="15" t="s">
        <v>1920</v>
      </c>
      <c r="F44" s="523"/>
      <c r="G44" s="28">
        <v>1</v>
      </c>
      <c r="H44" s="553"/>
      <c r="I44" s="554">
        <f>+Table20[[#This Row],[Quantity]]*Table20[[#This Row],[Unit price]]</f>
        <v>0</v>
      </c>
    </row>
    <row r="45" spans="1:10" x14ac:dyDescent="0.25">
      <c r="A45" s="320" t="s">
        <v>105</v>
      </c>
      <c r="B45" s="312" t="s">
        <v>2118</v>
      </c>
      <c r="C45" s="523"/>
      <c r="D45" s="15"/>
      <c r="E45" s="15" t="s">
        <v>1975</v>
      </c>
      <c r="F45" s="523"/>
      <c r="G45" s="28">
        <v>3</v>
      </c>
      <c r="H45" s="553"/>
      <c r="I45" s="554">
        <f>+Table20[[#This Row],[Quantity]]*Table20[[#This Row],[Unit price]]</f>
        <v>0</v>
      </c>
    </row>
    <row r="46" spans="1:10" x14ac:dyDescent="0.25">
      <c r="A46" s="320" t="s">
        <v>1676</v>
      </c>
      <c r="B46" s="15" t="s">
        <v>3109</v>
      </c>
      <c r="C46" s="523"/>
      <c r="D46" s="15"/>
      <c r="E46" s="15" t="s">
        <v>1920</v>
      </c>
      <c r="F46" s="523"/>
      <c r="G46" s="28">
        <v>1</v>
      </c>
      <c r="H46" s="553"/>
      <c r="I46" s="554">
        <f>+Table20[[#This Row],[Quantity]]*Table20[[#This Row],[Unit price]]</f>
        <v>0</v>
      </c>
    </row>
    <row r="47" spans="1:10" x14ac:dyDescent="0.25">
      <c r="A47" s="320" t="s">
        <v>1085</v>
      </c>
      <c r="B47" s="15" t="s">
        <v>92</v>
      </c>
      <c r="C47" s="523"/>
      <c r="D47" s="15"/>
      <c r="E47" s="15" t="s">
        <v>1920</v>
      </c>
      <c r="F47" s="523"/>
      <c r="G47" s="28">
        <v>1</v>
      </c>
      <c r="H47" s="553"/>
      <c r="I47" s="554">
        <f>+Table20[[#This Row],[Quantity]]*Table20[[#This Row],[Unit price]]</f>
        <v>0</v>
      </c>
    </row>
    <row r="48" spans="1:10" x14ac:dyDescent="0.25">
      <c r="A48" s="320" t="s">
        <v>1337</v>
      </c>
      <c r="B48" s="15" t="s">
        <v>519</v>
      </c>
      <c r="C48" s="523"/>
      <c r="D48" s="15"/>
      <c r="E48" s="15" t="s">
        <v>1920</v>
      </c>
      <c r="F48" s="523"/>
      <c r="G48" s="28">
        <v>1</v>
      </c>
      <c r="H48" s="553"/>
      <c r="I48" s="554">
        <f>+Table20[[#This Row],[Quantity]]*Table20[[#This Row],[Unit price]]</f>
        <v>0</v>
      </c>
    </row>
    <row r="49" spans="1:9" s="20" customFormat="1" x14ac:dyDescent="0.25">
      <c r="A49" s="320" t="s">
        <v>3192</v>
      </c>
      <c r="B49" s="15" t="s">
        <v>2139</v>
      </c>
      <c r="C49" s="523"/>
      <c r="D49" s="15"/>
      <c r="E49" s="15" t="s">
        <v>1920</v>
      </c>
      <c r="F49" s="523"/>
      <c r="G49" s="28">
        <v>2</v>
      </c>
      <c r="H49" s="553"/>
      <c r="I49" s="554">
        <f>+Table20[[#This Row],[Quantity]]*Table20[[#This Row],[Unit price]]</f>
        <v>0</v>
      </c>
    </row>
    <row r="50" spans="1:9" s="20" customFormat="1" x14ac:dyDescent="0.25">
      <c r="A50" s="320" t="s">
        <v>1036</v>
      </c>
      <c r="B50" s="15" t="s">
        <v>468</v>
      </c>
      <c r="C50" s="523"/>
      <c r="D50" s="15"/>
      <c r="E50" s="15" t="s">
        <v>1920</v>
      </c>
      <c r="F50" s="523"/>
      <c r="G50" s="28">
        <v>1</v>
      </c>
      <c r="H50" s="553"/>
      <c r="I50" s="554">
        <f>+Table20[[#This Row],[Quantity]]*Table20[[#This Row],[Unit price]]</f>
        <v>0</v>
      </c>
    </row>
    <row r="51" spans="1:9" s="20" customFormat="1" x14ac:dyDescent="0.25">
      <c r="A51" s="320" t="s">
        <v>10</v>
      </c>
      <c r="B51" s="15" t="s">
        <v>469</v>
      </c>
      <c r="C51" s="523"/>
      <c r="D51" s="15"/>
      <c r="E51" s="15" t="s">
        <v>1920</v>
      </c>
      <c r="F51" s="523"/>
      <c r="G51" s="28">
        <v>1</v>
      </c>
      <c r="H51" s="553"/>
      <c r="I51" s="554">
        <f>+Table20[[#This Row],[Quantity]]*Table20[[#This Row],[Unit price]]</f>
        <v>0</v>
      </c>
    </row>
    <row r="52" spans="1:9" s="20" customFormat="1" x14ac:dyDescent="0.25">
      <c r="A52" s="320" t="s">
        <v>3072</v>
      </c>
      <c r="B52" s="15" t="s">
        <v>3070</v>
      </c>
      <c r="C52" s="523"/>
      <c r="D52" s="15"/>
      <c r="E52" s="15">
        <v>55719</v>
      </c>
      <c r="F52" s="523"/>
      <c r="G52" s="28">
        <v>1</v>
      </c>
      <c r="H52" s="553"/>
      <c r="I52" s="554">
        <f>+Table20[[#This Row],[Quantity]]*Table20[[#This Row],[Unit price]]</f>
        <v>0</v>
      </c>
    </row>
    <row r="53" spans="1:9" s="20" customFormat="1" x14ac:dyDescent="0.25">
      <c r="A53" s="320" t="s">
        <v>128</v>
      </c>
      <c r="B53" s="15" t="s">
        <v>129</v>
      </c>
      <c r="C53" s="523"/>
      <c r="D53" s="15"/>
      <c r="E53" s="15" t="s">
        <v>1920</v>
      </c>
      <c r="F53" s="523"/>
      <c r="G53" s="28">
        <v>1</v>
      </c>
      <c r="H53" s="553"/>
      <c r="I53" s="554">
        <f>+Table20[[#This Row],[Quantity]]*Table20[[#This Row],[Unit price]]</f>
        <v>0</v>
      </c>
    </row>
    <row r="54" spans="1:9" s="20" customFormat="1" x14ac:dyDescent="0.25">
      <c r="A54" s="320" t="s">
        <v>126</v>
      </c>
      <c r="B54" s="15" t="s">
        <v>127</v>
      </c>
      <c r="C54" s="523"/>
      <c r="D54" s="15"/>
      <c r="E54" s="15" t="s">
        <v>1920</v>
      </c>
      <c r="F54" s="523"/>
      <c r="G54" s="28">
        <v>1</v>
      </c>
      <c r="H54" s="553"/>
      <c r="I54" s="554">
        <f>+Table20[[#This Row],[Quantity]]*Table20[[#This Row],[Unit price]]</f>
        <v>0</v>
      </c>
    </row>
    <row r="55" spans="1:9" x14ac:dyDescent="0.25">
      <c r="A55" s="382" t="s">
        <v>3265</v>
      </c>
      <c r="B55" s="334" t="s">
        <v>3266</v>
      </c>
      <c r="C55" s="430"/>
      <c r="D55" s="383"/>
      <c r="E55" s="334">
        <v>55719</v>
      </c>
      <c r="F55" s="430"/>
      <c r="G55" s="334">
        <v>1</v>
      </c>
      <c r="H55" s="555"/>
      <c r="I55" s="556">
        <f>+G55*H55</f>
        <v>0</v>
      </c>
    </row>
    <row r="56" spans="1:9" x14ac:dyDescent="0.25">
      <c r="A56" s="520" t="s">
        <v>3121</v>
      </c>
      <c r="B56" s="326" t="s">
        <v>3122</v>
      </c>
      <c r="C56" s="457"/>
      <c r="D56" s="326"/>
      <c r="E56" s="326">
        <v>55719</v>
      </c>
      <c r="F56" s="457"/>
      <c r="G56" s="521">
        <v>1</v>
      </c>
      <c r="H56" s="555"/>
      <c r="I56" s="557">
        <f>+G56*H56</f>
        <v>0</v>
      </c>
    </row>
    <row r="57" spans="1:9" x14ac:dyDescent="0.25">
      <c r="A57" s="320" t="s">
        <v>2890</v>
      </c>
      <c r="B57" s="15">
        <v>120003</v>
      </c>
      <c r="C57" s="523"/>
      <c r="D57" s="15"/>
      <c r="E57" s="15" t="s">
        <v>2891</v>
      </c>
      <c r="F57" s="523"/>
      <c r="G57" s="28">
        <v>1</v>
      </c>
      <c r="H57" s="553"/>
      <c r="I57" s="556">
        <f>+G57*H57</f>
        <v>0</v>
      </c>
    </row>
    <row r="58" spans="1:9" x14ac:dyDescent="0.25">
      <c r="I58" s="532">
        <f>SUM(I2:I57)</f>
        <v>0</v>
      </c>
    </row>
    <row r="59" spans="1:9" x14ac:dyDescent="0.25">
      <c r="A59" s="381"/>
      <c r="B59" s="361"/>
      <c r="C59" s="361"/>
      <c r="D59" s="336"/>
      <c r="E59" s="361"/>
      <c r="F59" s="361"/>
      <c r="G59" s="361"/>
      <c r="H59" s="311"/>
    </row>
    <row r="60" spans="1:9" x14ac:dyDescent="0.25">
      <c r="A60" s="381"/>
      <c r="B60" s="361"/>
      <c r="C60" s="361"/>
      <c r="D60" s="336"/>
      <c r="E60" s="361"/>
      <c r="F60" s="361"/>
      <c r="G60" s="361"/>
      <c r="H60" s="311"/>
    </row>
    <row r="61" spans="1:9" ht="18" x14ac:dyDescent="0.25">
      <c r="A61" s="422" t="s">
        <v>1777</v>
      </c>
      <c r="B61" s="424"/>
    </row>
    <row r="62" spans="1:9" ht="18" x14ac:dyDescent="0.25">
      <c r="A62" s="422" t="s">
        <v>2932</v>
      </c>
      <c r="B62" s="424"/>
    </row>
    <row r="63" spans="1:9" ht="18" x14ac:dyDescent="0.25">
      <c r="A63" s="423" t="s">
        <v>3275</v>
      </c>
      <c r="B63" s="424"/>
    </row>
    <row r="64" spans="1:9" ht="18" x14ac:dyDescent="0.25">
      <c r="A64" s="421" t="s">
        <v>3367</v>
      </c>
      <c r="B64" s="522">
        <f>+I58</f>
        <v>0</v>
      </c>
    </row>
    <row r="65" spans="1:1" ht="18" x14ac:dyDescent="0.25">
      <c r="A65" s="366"/>
    </row>
  </sheetData>
  <printOptions gridLines="1"/>
  <pageMargins left="0.5" right="0.5" top="0.5" bottom="0.5" header="0.3" footer="0.3"/>
  <pageSetup scale="8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0"/>
  <sheetViews>
    <sheetView workbookViewId="0">
      <pane ySplit="1" topLeftCell="A2" activePane="bottomLeft" state="frozen"/>
      <selection activeCell="C26" sqref="C26"/>
      <selection pane="bottomLeft" activeCell="E3" sqref="E3"/>
    </sheetView>
  </sheetViews>
  <sheetFormatPr defaultRowHeight="15.75" x14ac:dyDescent="0.25"/>
  <cols>
    <col min="1" max="1" width="52.42578125" bestFit="1" customWidth="1"/>
    <col min="2" max="2" width="19.42578125" style="128" bestFit="1" customWidth="1"/>
    <col min="3" max="3" width="20.42578125" style="399" bestFit="1" customWidth="1"/>
    <col min="4" max="4" width="20.140625" style="128" bestFit="1" customWidth="1"/>
    <col min="5" max="5" width="26.42578125" style="128" bestFit="1" customWidth="1"/>
    <col min="6" max="6" width="18" style="311" customWidth="1"/>
    <col min="7" max="7" width="10.85546875" style="21" customWidth="1"/>
    <col min="8" max="8" width="11.42578125" bestFit="1" customWidth="1"/>
    <col min="9" max="9" width="16.85546875" bestFit="1" customWidth="1"/>
  </cols>
  <sheetData>
    <row r="1" spans="1:9" s="110" customFormat="1" x14ac:dyDescent="0.25">
      <c r="A1" s="13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13" t="s">
        <v>412</v>
      </c>
      <c r="H1" s="427" t="s">
        <v>3368</v>
      </c>
      <c r="I1" s="427" t="s">
        <v>3369</v>
      </c>
    </row>
    <row r="2" spans="1:9" x14ac:dyDescent="0.25">
      <c r="A2" s="40" t="s">
        <v>1368</v>
      </c>
      <c r="B2" s="9" t="s">
        <v>1979</v>
      </c>
      <c r="C2" s="430"/>
      <c r="D2" s="9" t="s">
        <v>1099</v>
      </c>
      <c r="E2" s="9" t="s">
        <v>1945</v>
      </c>
      <c r="F2" s="523"/>
      <c r="G2" s="15">
        <v>3</v>
      </c>
      <c r="H2" s="544"/>
      <c r="I2" s="558">
        <f>+G2*H2</f>
        <v>0</v>
      </c>
    </row>
    <row r="3" spans="1:9" s="212" customFormat="1" x14ac:dyDescent="0.25">
      <c r="A3" s="40" t="s">
        <v>3018</v>
      </c>
      <c r="B3" s="9" t="s">
        <v>3019</v>
      </c>
      <c r="C3" s="430"/>
      <c r="D3" s="9"/>
      <c r="E3" s="9" t="s">
        <v>3020</v>
      </c>
      <c r="F3" s="523"/>
      <c r="G3" s="15">
        <v>1</v>
      </c>
      <c r="H3" s="544"/>
      <c r="I3" s="558">
        <f t="shared" ref="I3:I4" si="0">+G3*H3</f>
        <v>0</v>
      </c>
    </row>
    <row r="4" spans="1:9" x14ac:dyDescent="0.25">
      <c r="A4" s="40" t="s">
        <v>1505</v>
      </c>
      <c r="B4" s="9" t="s">
        <v>618</v>
      </c>
      <c r="C4" s="430"/>
      <c r="D4" s="9" t="s">
        <v>1904</v>
      </c>
      <c r="E4" s="9" t="s">
        <v>1962</v>
      </c>
      <c r="F4" s="523"/>
      <c r="G4" s="15">
        <v>1</v>
      </c>
      <c r="H4" s="544"/>
      <c r="I4" s="558">
        <f t="shared" si="0"/>
        <v>0</v>
      </c>
    </row>
    <row r="5" spans="1:9" s="307" customFormat="1" x14ac:dyDescent="0.25">
      <c r="A5" s="362"/>
      <c r="B5" s="363"/>
      <c r="C5" s="331"/>
      <c r="D5" s="363"/>
      <c r="E5" s="363"/>
      <c r="F5"/>
      <c r="G5" s="364"/>
      <c r="H5" s="362"/>
      <c r="I5" s="307">
        <f t="shared" ref="I5" si="1">SUM(G5:H5)</f>
        <v>0</v>
      </c>
    </row>
    <row r="6" spans="1:9" ht="15" x14ac:dyDescent="0.25">
      <c r="F6"/>
    </row>
    <row r="7" spans="1:9" s="4" customFormat="1" ht="18" x14ac:dyDescent="0.25">
      <c r="A7" s="422" t="s">
        <v>1778</v>
      </c>
      <c r="B7" s="422"/>
      <c r="C7" s="308"/>
      <c r="D7" s="3"/>
      <c r="E7" s="3"/>
      <c r="F7"/>
      <c r="G7" s="3"/>
      <c r="H7" s="39"/>
    </row>
    <row r="8" spans="1:9" s="4" customFormat="1" ht="18" x14ac:dyDescent="0.25">
      <c r="A8" s="422" t="s">
        <v>2933</v>
      </c>
      <c r="B8" s="422"/>
      <c r="C8" s="308"/>
      <c r="D8" s="3"/>
      <c r="E8" s="3"/>
      <c r="F8"/>
      <c r="G8" s="3"/>
      <c r="H8" s="39"/>
    </row>
    <row r="9" spans="1:9" ht="18" x14ac:dyDescent="0.25">
      <c r="A9" s="423" t="s">
        <v>3276</v>
      </c>
      <c r="B9" s="426"/>
      <c r="F9"/>
    </row>
    <row r="10" spans="1:9" ht="18" x14ac:dyDescent="0.25">
      <c r="A10" s="421" t="s">
        <v>3367</v>
      </c>
      <c r="B10" s="420">
        <f>I5</f>
        <v>0</v>
      </c>
      <c r="F10"/>
    </row>
    <row r="11" spans="1:9" ht="15" x14ac:dyDescent="0.25">
      <c r="F11"/>
    </row>
    <row r="12" spans="1:9" ht="15" x14ac:dyDescent="0.25">
      <c r="F12"/>
    </row>
    <row r="13" spans="1:9" ht="15" x14ac:dyDescent="0.25">
      <c r="F13"/>
    </row>
    <row r="14" spans="1:9" ht="15" x14ac:dyDescent="0.25">
      <c r="F14"/>
    </row>
    <row r="15" spans="1:9" ht="15" x14ac:dyDescent="0.25">
      <c r="F15"/>
    </row>
    <row r="16" spans="1:9" ht="15" x14ac:dyDescent="0.25">
      <c r="F16"/>
    </row>
    <row r="17" spans="6:6" ht="15" x14ac:dyDescent="0.25">
      <c r="F17"/>
    </row>
    <row r="18" spans="6:6" ht="15" x14ac:dyDescent="0.25">
      <c r="F18"/>
    </row>
    <row r="19" spans="6:6" ht="15" x14ac:dyDescent="0.25">
      <c r="F19"/>
    </row>
    <row r="20" spans="6:6" ht="15" x14ac:dyDescent="0.25">
      <c r="F20"/>
    </row>
    <row r="21" spans="6:6" ht="15" x14ac:dyDescent="0.25">
      <c r="F21"/>
    </row>
    <row r="22" spans="6:6" ht="15" x14ac:dyDescent="0.25">
      <c r="F22"/>
    </row>
    <row r="23" spans="6:6" ht="15" x14ac:dyDescent="0.25">
      <c r="F23"/>
    </row>
    <row r="24" spans="6:6" ht="15" x14ac:dyDescent="0.25">
      <c r="F24"/>
    </row>
    <row r="25" spans="6:6" ht="15" x14ac:dyDescent="0.25">
      <c r="F25"/>
    </row>
    <row r="26" spans="6:6" ht="15" x14ac:dyDescent="0.25">
      <c r="F26"/>
    </row>
    <row r="27" spans="6:6" ht="15" x14ac:dyDescent="0.25">
      <c r="F27"/>
    </row>
    <row r="28" spans="6:6" ht="15" x14ac:dyDescent="0.25">
      <c r="F28"/>
    </row>
    <row r="29" spans="6:6" ht="15" x14ac:dyDescent="0.25">
      <c r="F29"/>
    </row>
    <row r="30" spans="6:6" ht="15" x14ac:dyDescent="0.25">
      <c r="F30"/>
    </row>
    <row r="31" spans="6:6" ht="15" x14ac:dyDescent="0.25">
      <c r="F31"/>
    </row>
    <row r="32" spans="6:6" ht="15" x14ac:dyDescent="0.25">
      <c r="F32"/>
    </row>
    <row r="33" spans="6:6" ht="15" x14ac:dyDescent="0.25">
      <c r="F33"/>
    </row>
    <row r="34" spans="6:6" ht="15" x14ac:dyDescent="0.25">
      <c r="F34"/>
    </row>
    <row r="35" spans="6:6" ht="15" x14ac:dyDescent="0.25">
      <c r="F35"/>
    </row>
    <row r="36" spans="6:6" ht="15" x14ac:dyDescent="0.25">
      <c r="F36"/>
    </row>
    <row r="37" spans="6:6" ht="15" x14ac:dyDescent="0.25">
      <c r="F37"/>
    </row>
    <row r="38" spans="6:6" ht="15" x14ac:dyDescent="0.25">
      <c r="F38"/>
    </row>
    <row r="39" spans="6:6" ht="15" x14ac:dyDescent="0.25">
      <c r="F39"/>
    </row>
    <row r="40" spans="6:6" ht="15" x14ac:dyDescent="0.25">
      <c r="F40"/>
    </row>
    <row r="41" spans="6:6" ht="15" x14ac:dyDescent="0.25">
      <c r="F41"/>
    </row>
    <row r="42" spans="6:6" ht="15" x14ac:dyDescent="0.25">
      <c r="F42"/>
    </row>
    <row r="43" spans="6:6" ht="15" x14ac:dyDescent="0.25">
      <c r="F43"/>
    </row>
    <row r="44" spans="6:6" ht="15" x14ac:dyDescent="0.25">
      <c r="F44"/>
    </row>
    <row r="45" spans="6:6" ht="15" x14ac:dyDescent="0.25">
      <c r="F45"/>
    </row>
    <row r="46" spans="6:6" ht="15" x14ac:dyDescent="0.25">
      <c r="F46"/>
    </row>
    <row r="47" spans="6:6" ht="15" x14ac:dyDescent="0.25">
      <c r="F47"/>
    </row>
    <row r="48" spans="6:6" ht="15" x14ac:dyDescent="0.25">
      <c r="F48"/>
    </row>
    <row r="49" spans="6:6" ht="15" x14ac:dyDescent="0.25">
      <c r="F49"/>
    </row>
    <row r="50" spans="6:6" ht="15" x14ac:dyDescent="0.25">
      <c r="F50"/>
    </row>
    <row r="51" spans="6:6" ht="15" x14ac:dyDescent="0.25">
      <c r="F51"/>
    </row>
    <row r="52" spans="6:6" ht="15" x14ac:dyDescent="0.25">
      <c r="F52"/>
    </row>
    <row r="53" spans="6:6" ht="15" x14ac:dyDescent="0.25">
      <c r="F53"/>
    </row>
    <row r="54" spans="6:6" ht="15" x14ac:dyDescent="0.25">
      <c r="F54"/>
    </row>
    <row r="55" spans="6:6" ht="15" x14ac:dyDescent="0.25">
      <c r="F55"/>
    </row>
    <row r="56" spans="6:6" ht="15" x14ac:dyDescent="0.25">
      <c r="F56"/>
    </row>
    <row r="57" spans="6:6" ht="15" x14ac:dyDescent="0.25">
      <c r="F57"/>
    </row>
    <row r="59" spans="6:6" x14ac:dyDescent="0.25">
      <c r="F59" s="361"/>
    </row>
    <row r="60" spans="6:6" x14ac:dyDescent="0.25">
      <c r="F60" s="361"/>
    </row>
  </sheetData>
  <sortState xmlns:xlrd2="http://schemas.microsoft.com/office/spreadsheetml/2017/richdata2" ref="A2:H6">
    <sortCondition ref="B2:B6"/>
  </sortState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9"/>
  <sheetViews>
    <sheetView workbookViewId="0">
      <pane ySplit="1" topLeftCell="A99" activePane="bottomLeft" state="frozen"/>
      <selection activeCell="C26" sqref="C26"/>
      <selection pane="bottomLeft" activeCell="G2" sqref="G2:G129"/>
    </sheetView>
  </sheetViews>
  <sheetFormatPr defaultColWidth="9.140625" defaultRowHeight="15.75" x14ac:dyDescent="0.25"/>
  <cols>
    <col min="1" max="1" width="51.5703125" style="16" bestFit="1" customWidth="1"/>
    <col min="2" max="2" width="20.5703125" style="17" bestFit="1" customWidth="1"/>
    <col min="3" max="3" width="21.42578125" style="17" customWidth="1"/>
    <col min="4" max="4" width="20.140625" style="17" bestFit="1" customWidth="1"/>
    <col min="5" max="5" width="26.42578125" style="17" bestFit="1" customWidth="1"/>
    <col min="6" max="6" width="18" style="311" customWidth="1"/>
    <col min="7" max="7" width="12.140625" style="17" customWidth="1"/>
    <col min="8" max="8" width="51.85546875" style="16" bestFit="1" customWidth="1"/>
    <col min="9" max="9" width="16.85546875" style="16" bestFit="1" customWidth="1"/>
    <col min="10" max="10" width="39.5703125" style="16" customWidth="1"/>
    <col min="11" max="11" width="28.5703125" style="16" bestFit="1" customWidth="1"/>
    <col min="12" max="16384" width="9.140625" style="16"/>
  </cols>
  <sheetData>
    <row r="1" spans="1:9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13" t="s">
        <v>412</v>
      </c>
      <c r="H1" s="545" t="s">
        <v>3368</v>
      </c>
      <c r="I1" s="539" t="s">
        <v>3369</v>
      </c>
    </row>
    <row r="2" spans="1:9" ht="15" x14ac:dyDescent="0.2">
      <c r="A2" s="227" t="s">
        <v>3280</v>
      </c>
      <c r="B2" s="229" t="s">
        <v>748</v>
      </c>
      <c r="C2" s="523"/>
      <c r="D2" s="229"/>
      <c r="E2" s="229">
        <v>55719</v>
      </c>
      <c r="F2" s="523"/>
      <c r="G2" s="228">
        <v>1</v>
      </c>
      <c r="H2" s="546"/>
      <c r="I2" s="547">
        <f>+G2*H2</f>
        <v>0</v>
      </c>
    </row>
    <row r="3" spans="1:9" ht="15" x14ac:dyDescent="0.2">
      <c r="A3" s="27" t="s">
        <v>1572</v>
      </c>
      <c r="B3" s="71">
        <v>1992</v>
      </c>
      <c r="C3" s="523"/>
      <c r="D3" s="71"/>
      <c r="E3" s="71" t="s">
        <v>1920</v>
      </c>
      <c r="F3" s="523"/>
      <c r="G3" s="28">
        <v>1</v>
      </c>
      <c r="H3" s="546"/>
      <c r="I3" s="547">
        <f t="shared" ref="I3:I66" si="0">+G3*H3</f>
        <v>0</v>
      </c>
    </row>
    <row r="4" spans="1:9" ht="15" x14ac:dyDescent="0.2">
      <c r="A4" s="27" t="s">
        <v>1573</v>
      </c>
      <c r="B4" s="71">
        <v>3791</v>
      </c>
      <c r="C4" s="523"/>
      <c r="D4" s="71"/>
      <c r="E4" s="71" t="s">
        <v>1921</v>
      </c>
      <c r="F4" s="523"/>
      <c r="G4" s="28">
        <v>1</v>
      </c>
      <c r="H4" s="546"/>
      <c r="I4" s="547">
        <f t="shared" si="0"/>
        <v>0</v>
      </c>
    </row>
    <row r="5" spans="1:9" ht="30" x14ac:dyDescent="0.2">
      <c r="A5" s="27" t="s">
        <v>2746</v>
      </c>
      <c r="B5" s="71">
        <v>42520</v>
      </c>
      <c r="C5" s="523"/>
      <c r="D5" s="71"/>
      <c r="E5" s="71" t="s">
        <v>1951</v>
      </c>
      <c r="F5" s="523"/>
      <c r="G5" s="28">
        <v>1</v>
      </c>
      <c r="H5" s="546"/>
      <c r="I5" s="547">
        <f t="shared" si="0"/>
        <v>0</v>
      </c>
    </row>
    <row r="6" spans="1:9" ht="30" x14ac:dyDescent="0.2">
      <c r="A6" s="27" t="s">
        <v>2747</v>
      </c>
      <c r="B6" s="71">
        <v>42530</v>
      </c>
      <c r="C6" s="523"/>
      <c r="D6" s="71"/>
      <c r="E6" s="71" t="s">
        <v>1951</v>
      </c>
      <c r="F6" s="523"/>
      <c r="G6" s="28">
        <v>1</v>
      </c>
      <c r="H6" s="546"/>
      <c r="I6" s="547">
        <f t="shared" si="0"/>
        <v>0</v>
      </c>
    </row>
    <row r="7" spans="1:9" ht="30" x14ac:dyDescent="0.2">
      <c r="A7" s="27" t="s">
        <v>2861</v>
      </c>
      <c r="B7" s="71" t="s">
        <v>3232</v>
      </c>
      <c r="C7" s="523"/>
      <c r="D7" s="71"/>
      <c r="E7" s="71">
        <v>55719</v>
      </c>
      <c r="F7" s="523"/>
      <c r="G7" s="28">
        <v>1</v>
      </c>
      <c r="H7" s="546"/>
      <c r="I7" s="547">
        <f t="shared" si="0"/>
        <v>0</v>
      </c>
    </row>
    <row r="8" spans="1:9" ht="15" x14ac:dyDescent="0.2">
      <c r="A8" s="27" t="s">
        <v>1090</v>
      </c>
      <c r="B8" s="71">
        <v>56707</v>
      </c>
      <c r="C8" s="523"/>
      <c r="D8" s="71"/>
      <c r="E8" s="71">
        <v>25795</v>
      </c>
      <c r="F8" s="523"/>
      <c r="G8" s="28">
        <v>1</v>
      </c>
      <c r="H8" s="546"/>
      <c r="I8" s="547">
        <f t="shared" si="0"/>
        <v>0</v>
      </c>
    </row>
    <row r="9" spans="1:9" ht="15" x14ac:dyDescent="0.2">
      <c r="A9" s="27" t="s">
        <v>862</v>
      </c>
      <c r="B9" s="71">
        <v>21259951</v>
      </c>
      <c r="C9" s="523"/>
      <c r="D9" s="71"/>
      <c r="E9" s="71" t="s">
        <v>1920</v>
      </c>
      <c r="F9" s="523"/>
      <c r="G9" s="28">
        <v>1</v>
      </c>
      <c r="H9" s="546"/>
      <c r="I9" s="547">
        <f t="shared" si="0"/>
        <v>0</v>
      </c>
    </row>
    <row r="10" spans="1:9" ht="15" x14ac:dyDescent="0.2">
      <c r="A10" s="27" t="s">
        <v>193</v>
      </c>
      <c r="B10" s="71" t="s">
        <v>602</v>
      </c>
      <c r="C10" s="523"/>
      <c r="D10" s="71"/>
      <c r="E10" s="71" t="s">
        <v>1930</v>
      </c>
      <c r="F10" s="523"/>
      <c r="G10" s="28">
        <v>1</v>
      </c>
      <c r="H10" s="546"/>
      <c r="I10" s="547">
        <f t="shared" si="0"/>
        <v>0</v>
      </c>
    </row>
    <row r="11" spans="1:9" ht="15" x14ac:dyDescent="0.2">
      <c r="A11" s="27" t="s">
        <v>18</v>
      </c>
      <c r="B11" s="71" t="s">
        <v>3110</v>
      </c>
      <c r="C11" s="523"/>
      <c r="D11" s="71"/>
      <c r="E11" s="71" t="s">
        <v>1920</v>
      </c>
      <c r="F11" s="523"/>
      <c r="G11" s="28">
        <v>1</v>
      </c>
      <c r="H11" s="546"/>
      <c r="I11" s="547">
        <f t="shared" si="0"/>
        <v>0</v>
      </c>
    </row>
    <row r="12" spans="1:9" ht="15" x14ac:dyDescent="0.2">
      <c r="A12" s="27" t="s">
        <v>1464</v>
      </c>
      <c r="B12" s="71" t="s">
        <v>2876</v>
      </c>
      <c r="C12" s="523"/>
      <c r="D12" s="71"/>
      <c r="E12" s="71" t="s">
        <v>1951</v>
      </c>
      <c r="F12" s="523"/>
      <c r="G12" s="28">
        <v>1</v>
      </c>
      <c r="H12" s="546"/>
      <c r="I12" s="547">
        <f t="shared" si="0"/>
        <v>0</v>
      </c>
    </row>
    <row r="13" spans="1:9" ht="15" x14ac:dyDescent="0.2">
      <c r="A13" s="27" t="s">
        <v>788</v>
      </c>
      <c r="B13" s="71" t="s">
        <v>634</v>
      </c>
      <c r="C13" s="523"/>
      <c r="D13" s="71"/>
      <c r="E13" s="71" t="s">
        <v>1935</v>
      </c>
      <c r="F13" s="523"/>
      <c r="G13" s="28">
        <v>8</v>
      </c>
      <c r="H13" s="546"/>
      <c r="I13" s="547">
        <f t="shared" si="0"/>
        <v>0</v>
      </c>
    </row>
    <row r="14" spans="1:9" ht="15" x14ac:dyDescent="0.2">
      <c r="A14" s="27" t="s">
        <v>787</v>
      </c>
      <c r="B14" s="71" t="s">
        <v>632</v>
      </c>
      <c r="C14" s="523"/>
      <c r="D14" s="71"/>
      <c r="E14" s="71" t="s">
        <v>1935</v>
      </c>
      <c r="F14" s="523"/>
      <c r="G14" s="28">
        <v>1</v>
      </c>
      <c r="H14" s="546"/>
      <c r="I14" s="547">
        <f t="shared" si="0"/>
        <v>0</v>
      </c>
    </row>
    <row r="15" spans="1:9" ht="15" x14ac:dyDescent="0.2">
      <c r="A15" s="27" t="s">
        <v>191</v>
      </c>
      <c r="B15" s="71" t="s">
        <v>597</v>
      </c>
      <c r="C15" s="523"/>
      <c r="D15" s="71"/>
      <c r="E15" s="71" t="s">
        <v>1936</v>
      </c>
      <c r="F15" s="523"/>
      <c r="G15" s="28">
        <v>1</v>
      </c>
      <c r="H15" s="546"/>
      <c r="I15" s="547">
        <f t="shared" si="0"/>
        <v>0</v>
      </c>
    </row>
    <row r="16" spans="1:9" ht="15" x14ac:dyDescent="0.2">
      <c r="A16" s="240" t="s">
        <v>3018</v>
      </c>
      <c r="B16" s="236" t="s">
        <v>3019</v>
      </c>
      <c r="C16" s="523"/>
      <c r="D16" s="236"/>
      <c r="E16" s="236" t="s">
        <v>3020</v>
      </c>
      <c r="F16" s="523"/>
      <c r="G16" s="237">
        <v>1</v>
      </c>
      <c r="H16" s="548"/>
      <c r="I16" s="547">
        <f t="shared" si="0"/>
        <v>0</v>
      </c>
    </row>
    <row r="17" spans="1:9" ht="15" x14ac:dyDescent="0.2">
      <c r="A17" s="27" t="s">
        <v>1540</v>
      </c>
      <c r="B17" s="71" t="s">
        <v>953</v>
      </c>
      <c r="C17" s="523"/>
      <c r="D17" s="71"/>
      <c r="E17" s="71" t="s">
        <v>1920</v>
      </c>
      <c r="F17" s="523"/>
      <c r="G17" s="28">
        <v>1</v>
      </c>
      <c r="H17" s="546"/>
      <c r="I17" s="547">
        <f t="shared" si="0"/>
        <v>0</v>
      </c>
    </row>
    <row r="18" spans="1:9" ht="15" x14ac:dyDescent="0.2">
      <c r="A18" s="27" t="s">
        <v>1541</v>
      </c>
      <c r="B18" s="71" t="s">
        <v>954</v>
      </c>
      <c r="C18" s="523"/>
      <c r="D18" s="71"/>
      <c r="E18" s="71" t="s">
        <v>1920</v>
      </c>
      <c r="F18" s="523"/>
      <c r="G18" s="28">
        <v>1</v>
      </c>
      <c r="H18" s="546"/>
      <c r="I18" s="547">
        <f t="shared" si="0"/>
        <v>0</v>
      </c>
    </row>
    <row r="19" spans="1:9" ht="15" x14ac:dyDescent="0.2">
      <c r="A19" s="27" t="s">
        <v>179</v>
      </c>
      <c r="B19" s="71" t="s">
        <v>2894</v>
      </c>
      <c r="C19" s="523"/>
      <c r="D19" s="71"/>
      <c r="E19" s="71">
        <v>55719</v>
      </c>
      <c r="F19" s="523"/>
      <c r="G19" s="28">
        <v>1</v>
      </c>
      <c r="H19" s="546"/>
      <c r="I19" s="547">
        <f t="shared" si="0"/>
        <v>0</v>
      </c>
    </row>
    <row r="20" spans="1:9" ht="15" x14ac:dyDescent="0.2">
      <c r="A20" s="27" t="s">
        <v>1542</v>
      </c>
      <c r="B20" s="71" t="s">
        <v>736</v>
      </c>
      <c r="C20" s="523"/>
      <c r="D20" s="71"/>
      <c r="E20" s="71" t="s">
        <v>1920</v>
      </c>
      <c r="F20" s="523"/>
      <c r="G20" s="28">
        <v>1</v>
      </c>
      <c r="H20" s="546"/>
      <c r="I20" s="547">
        <f t="shared" si="0"/>
        <v>0</v>
      </c>
    </row>
    <row r="21" spans="1:9" ht="15" x14ac:dyDescent="0.2">
      <c r="A21" s="27" t="s">
        <v>1543</v>
      </c>
      <c r="B21" s="71" t="s">
        <v>732</v>
      </c>
      <c r="C21" s="523"/>
      <c r="D21" s="71"/>
      <c r="E21" s="71" t="s">
        <v>1920</v>
      </c>
      <c r="F21" s="523"/>
      <c r="G21" s="28">
        <v>1</v>
      </c>
      <c r="H21" s="546"/>
      <c r="I21" s="547">
        <f t="shared" si="0"/>
        <v>0</v>
      </c>
    </row>
    <row r="22" spans="1:9" ht="15" x14ac:dyDescent="0.2">
      <c r="A22" s="27" t="s">
        <v>1544</v>
      </c>
      <c r="B22" s="71" t="s">
        <v>733</v>
      </c>
      <c r="C22" s="523"/>
      <c r="D22" s="71"/>
      <c r="E22" s="71" t="s">
        <v>1920</v>
      </c>
      <c r="F22" s="523"/>
      <c r="G22" s="28">
        <v>1</v>
      </c>
      <c r="H22" s="546"/>
      <c r="I22" s="547">
        <f t="shared" si="0"/>
        <v>0</v>
      </c>
    </row>
    <row r="23" spans="1:9" ht="15" x14ac:dyDescent="0.2">
      <c r="A23" s="27" t="s">
        <v>1545</v>
      </c>
      <c r="B23" s="71" t="s">
        <v>734</v>
      </c>
      <c r="C23" s="523"/>
      <c r="D23" s="71"/>
      <c r="E23" s="71" t="s">
        <v>1920</v>
      </c>
      <c r="F23" s="523"/>
      <c r="G23" s="28">
        <v>1</v>
      </c>
      <c r="H23" s="546"/>
      <c r="I23" s="547">
        <f t="shared" si="0"/>
        <v>0</v>
      </c>
    </row>
    <row r="24" spans="1:9" ht="15" x14ac:dyDescent="0.2">
      <c r="A24" s="27" t="s">
        <v>1546</v>
      </c>
      <c r="B24" s="71" t="s">
        <v>735</v>
      </c>
      <c r="C24" s="523"/>
      <c r="D24" s="71"/>
      <c r="E24" s="71" t="s">
        <v>1920</v>
      </c>
      <c r="F24" s="523"/>
      <c r="G24" s="28">
        <v>1</v>
      </c>
      <c r="H24" s="546"/>
      <c r="I24" s="547">
        <f t="shared" si="0"/>
        <v>0</v>
      </c>
    </row>
    <row r="25" spans="1:9" ht="15" x14ac:dyDescent="0.2">
      <c r="A25" s="27" t="s">
        <v>1551</v>
      </c>
      <c r="B25" s="71" t="s">
        <v>739</v>
      </c>
      <c r="C25" s="523"/>
      <c r="D25" s="71"/>
      <c r="E25" s="71" t="s">
        <v>1920</v>
      </c>
      <c r="F25" s="523"/>
      <c r="G25" s="28">
        <v>5</v>
      </c>
      <c r="H25" s="546"/>
      <c r="I25" s="547">
        <f t="shared" si="0"/>
        <v>0</v>
      </c>
    </row>
    <row r="26" spans="1:9" ht="15" x14ac:dyDescent="0.2">
      <c r="A26" s="27" t="s">
        <v>1549</v>
      </c>
      <c r="B26" s="71" t="s">
        <v>741</v>
      </c>
      <c r="C26" s="523"/>
      <c r="D26" s="71"/>
      <c r="E26" s="71" t="s">
        <v>1920</v>
      </c>
      <c r="F26" s="523"/>
      <c r="G26" s="28">
        <v>5</v>
      </c>
      <c r="H26" s="546"/>
      <c r="I26" s="547">
        <f t="shared" si="0"/>
        <v>0</v>
      </c>
    </row>
    <row r="27" spans="1:9" ht="15" x14ac:dyDescent="0.2">
      <c r="A27" s="27" t="s">
        <v>1550</v>
      </c>
      <c r="B27" s="71" t="s">
        <v>740</v>
      </c>
      <c r="C27" s="523"/>
      <c r="D27" s="71"/>
      <c r="E27" s="71" t="s">
        <v>1920</v>
      </c>
      <c r="F27" s="523"/>
      <c r="G27" s="28">
        <v>5</v>
      </c>
      <c r="H27" s="546"/>
      <c r="I27" s="547">
        <f t="shared" si="0"/>
        <v>0</v>
      </c>
    </row>
    <row r="28" spans="1:9" ht="15" x14ac:dyDescent="0.2">
      <c r="A28" s="27" t="s">
        <v>1554</v>
      </c>
      <c r="B28" s="71" t="s">
        <v>743</v>
      </c>
      <c r="C28" s="523"/>
      <c r="D28" s="71"/>
      <c r="E28" s="71" t="s">
        <v>1920</v>
      </c>
      <c r="F28" s="523"/>
      <c r="G28" s="28">
        <v>5</v>
      </c>
      <c r="H28" s="546"/>
      <c r="I28" s="547">
        <f t="shared" si="0"/>
        <v>0</v>
      </c>
    </row>
    <row r="29" spans="1:9" ht="15" x14ac:dyDescent="0.2">
      <c r="A29" s="27" t="s">
        <v>1552</v>
      </c>
      <c r="B29" s="71" t="s">
        <v>742</v>
      </c>
      <c r="C29" s="523"/>
      <c r="D29" s="71"/>
      <c r="E29" s="71" t="s">
        <v>1920</v>
      </c>
      <c r="F29" s="523"/>
      <c r="G29" s="28">
        <v>5</v>
      </c>
      <c r="H29" s="546"/>
      <c r="I29" s="547">
        <f t="shared" si="0"/>
        <v>0</v>
      </c>
    </row>
    <row r="30" spans="1:9" ht="15" x14ac:dyDescent="0.2">
      <c r="A30" s="27" t="s">
        <v>1547</v>
      </c>
      <c r="B30" s="71" t="s">
        <v>745</v>
      </c>
      <c r="C30" s="523"/>
      <c r="D30" s="71"/>
      <c r="E30" s="71" t="s">
        <v>1920</v>
      </c>
      <c r="F30" s="523"/>
      <c r="G30" s="28">
        <v>5</v>
      </c>
      <c r="H30" s="546"/>
      <c r="I30" s="547">
        <f t="shared" si="0"/>
        <v>0</v>
      </c>
    </row>
    <row r="31" spans="1:9" ht="15" x14ac:dyDescent="0.2">
      <c r="A31" s="27" t="s">
        <v>1553</v>
      </c>
      <c r="B31" s="71" t="s">
        <v>1120</v>
      </c>
      <c r="C31" s="523"/>
      <c r="D31" s="71"/>
      <c r="E31" s="71" t="s">
        <v>1920</v>
      </c>
      <c r="F31" s="523"/>
      <c r="G31" s="28">
        <v>5</v>
      </c>
      <c r="H31" s="546"/>
      <c r="I31" s="547">
        <f t="shared" si="0"/>
        <v>0</v>
      </c>
    </row>
    <row r="32" spans="1:9" ht="15" x14ac:dyDescent="0.2">
      <c r="A32" s="27" t="s">
        <v>1548</v>
      </c>
      <c r="B32" s="71" t="s">
        <v>744</v>
      </c>
      <c r="C32" s="523"/>
      <c r="D32" s="71"/>
      <c r="E32" s="71" t="s">
        <v>1920</v>
      </c>
      <c r="F32" s="523"/>
      <c r="G32" s="28">
        <v>5</v>
      </c>
      <c r="H32" s="429"/>
      <c r="I32" s="547">
        <f t="shared" si="0"/>
        <v>0</v>
      </c>
    </row>
    <row r="33" spans="1:9" ht="15" x14ac:dyDescent="0.2">
      <c r="A33" s="27" t="s">
        <v>1557</v>
      </c>
      <c r="B33" s="71" t="s">
        <v>2858</v>
      </c>
      <c r="C33" s="523"/>
      <c r="D33" s="71"/>
      <c r="E33" s="71">
        <v>55719</v>
      </c>
      <c r="F33" s="523"/>
      <c r="G33" s="28">
        <v>1</v>
      </c>
      <c r="H33" s="429"/>
      <c r="I33" s="547">
        <f t="shared" si="0"/>
        <v>0</v>
      </c>
    </row>
    <row r="34" spans="1:9" ht="15" x14ac:dyDescent="0.2">
      <c r="A34" s="27" t="s">
        <v>1653</v>
      </c>
      <c r="B34" s="71" t="s">
        <v>624</v>
      </c>
      <c r="C34" s="523"/>
      <c r="D34" s="71"/>
      <c r="E34" s="71" t="s">
        <v>1937</v>
      </c>
      <c r="F34" s="523"/>
      <c r="G34" s="28">
        <v>1</v>
      </c>
      <c r="H34" s="429"/>
      <c r="I34" s="547">
        <f t="shared" si="0"/>
        <v>0</v>
      </c>
    </row>
    <row r="35" spans="1:9" ht="15" x14ac:dyDescent="0.2">
      <c r="A35" s="27" t="s">
        <v>1654</v>
      </c>
      <c r="B35" s="71" t="s">
        <v>622</v>
      </c>
      <c r="C35" s="523"/>
      <c r="D35" s="71"/>
      <c r="E35" s="71" t="s">
        <v>1937</v>
      </c>
      <c r="F35" s="523"/>
      <c r="G35" s="28">
        <v>1</v>
      </c>
      <c r="H35" s="429"/>
      <c r="I35" s="547">
        <f t="shared" si="0"/>
        <v>0</v>
      </c>
    </row>
    <row r="36" spans="1:9" ht="15" x14ac:dyDescent="0.2">
      <c r="A36" s="27" t="s">
        <v>1652</v>
      </c>
      <c r="B36" s="71" t="s">
        <v>623</v>
      </c>
      <c r="C36" s="523"/>
      <c r="D36" s="71"/>
      <c r="E36" s="71" t="s">
        <v>1937</v>
      </c>
      <c r="F36" s="523"/>
      <c r="G36" s="28">
        <v>1</v>
      </c>
      <c r="H36" s="429"/>
      <c r="I36" s="547">
        <f t="shared" si="0"/>
        <v>0</v>
      </c>
    </row>
    <row r="37" spans="1:9" ht="15" x14ac:dyDescent="0.2">
      <c r="A37" s="27" t="s">
        <v>1656</v>
      </c>
      <c r="B37" s="71" t="s">
        <v>625</v>
      </c>
      <c r="C37" s="523"/>
      <c r="D37" s="71"/>
      <c r="E37" s="71" t="s">
        <v>1937</v>
      </c>
      <c r="F37" s="523"/>
      <c r="G37" s="28">
        <v>1</v>
      </c>
      <c r="H37" s="429"/>
      <c r="I37" s="547">
        <f t="shared" si="0"/>
        <v>0</v>
      </c>
    </row>
    <row r="38" spans="1:9" ht="15" x14ac:dyDescent="0.2">
      <c r="A38" s="27" t="s">
        <v>1655</v>
      </c>
      <c r="B38" s="71" t="s">
        <v>626</v>
      </c>
      <c r="C38" s="523"/>
      <c r="D38" s="71"/>
      <c r="E38" s="71" t="s">
        <v>1937</v>
      </c>
      <c r="F38" s="523"/>
      <c r="G38" s="28">
        <v>1</v>
      </c>
      <c r="H38" s="429"/>
      <c r="I38" s="547">
        <f t="shared" si="0"/>
        <v>0</v>
      </c>
    </row>
    <row r="39" spans="1:9" ht="15" x14ac:dyDescent="0.2">
      <c r="A39" s="27" t="s">
        <v>1390</v>
      </c>
      <c r="B39" s="71" t="s">
        <v>685</v>
      </c>
      <c r="C39" s="523"/>
      <c r="D39" s="71"/>
      <c r="E39" s="71" t="s">
        <v>1920</v>
      </c>
      <c r="F39" s="523"/>
      <c r="G39" s="28">
        <v>1</v>
      </c>
      <c r="H39" s="429"/>
      <c r="I39" s="547">
        <f t="shared" si="0"/>
        <v>0</v>
      </c>
    </row>
    <row r="40" spans="1:9" ht="15" x14ac:dyDescent="0.2">
      <c r="A40" s="27" t="s">
        <v>1663</v>
      </c>
      <c r="B40" s="71" t="s">
        <v>1097</v>
      </c>
      <c r="C40" s="523"/>
      <c r="D40" s="71"/>
      <c r="E40" s="71" t="s">
        <v>1941</v>
      </c>
      <c r="F40" s="523"/>
      <c r="G40" s="28">
        <v>1</v>
      </c>
      <c r="H40" s="429"/>
      <c r="I40" s="547">
        <f t="shared" si="0"/>
        <v>0</v>
      </c>
    </row>
    <row r="41" spans="1:9" ht="30" x14ac:dyDescent="0.2">
      <c r="A41" s="27" t="s">
        <v>1666</v>
      </c>
      <c r="B41" s="71" t="s">
        <v>792</v>
      </c>
      <c r="C41" s="523"/>
      <c r="D41" s="71"/>
      <c r="E41" s="71" t="s">
        <v>1920</v>
      </c>
      <c r="F41" s="523"/>
      <c r="G41" s="28">
        <v>1</v>
      </c>
      <c r="H41" s="429"/>
      <c r="I41" s="547">
        <f t="shared" si="0"/>
        <v>0</v>
      </c>
    </row>
    <row r="42" spans="1:9" ht="15" x14ac:dyDescent="0.2">
      <c r="A42" s="27" t="s">
        <v>1669</v>
      </c>
      <c r="B42" s="71" t="s">
        <v>767</v>
      </c>
      <c r="C42" s="523"/>
      <c r="D42" s="71"/>
      <c r="E42" s="71" t="s">
        <v>1920</v>
      </c>
      <c r="F42" s="523"/>
      <c r="G42" s="28">
        <v>5</v>
      </c>
      <c r="H42" s="429"/>
      <c r="I42" s="547">
        <f t="shared" si="0"/>
        <v>0</v>
      </c>
    </row>
    <row r="43" spans="1:9" ht="15" x14ac:dyDescent="0.2">
      <c r="A43" s="27" t="s">
        <v>1667</v>
      </c>
      <c r="B43" s="71" t="s">
        <v>627</v>
      </c>
      <c r="C43" s="523"/>
      <c r="D43" s="71"/>
      <c r="E43" s="71" t="s">
        <v>1920</v>
      </c>
      <c r="F43" s="523"/>
      <c r="G43" s="28">
        <v>5</v>
      </c>
      <c r="H43" s="429"/>
      <c r="I43" s="547">
        <f t="shared" si="0"/>
        <v>0</v>
      </c>
    </row>
    <row r="44" spans="1:9" ht="30" x14ac:dyDescent="0.2">
      <c r="A44" s="27" t="s">
        <v>1672</v>
      </c>
      <c r="B44" s="71" t="s">
        <v>176</v>
      </c>
      <c r="C44" s="523"/>
      <c r="D44" s="71"/>
      <c r="E44" s="71" t="s">
        <v>1920</v>
      </c>
      <c r="F44" s="523"/>
      <c r="G44" s="28">
        <v>1</v>
      </c>
      <c r="H44" s="429"/>
      <c r="I44" s="547">
        <f t="shared" si="0"/>
        <v>0</v>
      </c>
    </row>
    <row r="45" spans="1:9" ht="15" x14ac:dyDescent="0.2">
      <c r="A45" s="27" t="s">
        <v>1671</v>
      </c>
      <c r="B45" s="71" t="s">
        <v>768</v>
      </c>
      <c r="C45" s="523"/>
      <c r="D45" s="71"/>
      <c r="E45" s="71" t="s">
        <v>1920</v>
      </c>
      <c r="F45" s="523"/>
      <c r="G45" s="28">
        <v>5</v>
      </c>
      <c r="H45" s="429"/>
      <c r="I45" s="547">
        <f t="shared" si="0"/>
        <v>0</v>
      </c>
    </row>
    <row r="46" spans="1:9" ht="15" x14ac:dyDescent="0.2">
      <c r="A46" s="27" t="s">
        <v>1670</v>
      </c>
      <c r="B46" s="71" t="s">
        <v>628</v>
      </c>
      <c r="C46" s="523"/>
      <c r="D46" s="71"/>
      <c r="E46" s="71" t="s">
        <v>1920</v>
      </c>
      <c r="F46" s="523"/>
      <c r="G46" s="28">
        <v>5</v>
      </c>
      <c r="H46" s="429"/>
      <c r="I46" s="547">
        <f t="shared" si="0"/>
        <v>0</v>
      </c>
    </row>
    <row r="47" spans="1:9" ht="15" x14ac:dyDescent="0.2">
      <c r="A47" s="27" t="s">
        <v>1668</v>
      </c>
      <c r="B47" s="71" t="s">
        <v>769</v>
      </c>
      <c r="C47" s="523"/>
      <c r="D47" s="71"/>
      <c r="E47" s="71" t="s">
        <v>1920</v>
      </c>
      <c r="F47" s="523"/>
      <c r="G47" s="28">
        <v>5</v>
      </c>
      <c r="H47" s="429"/>
      <c r="I47" s="547">
        <f t="shared" si="0"/>
        <v>0</v>
      </c>
    </row>
    <row r="48" spans="1:9" ht="15" x14ac:dyDescent="0.2">
      <c r="A48" s="27" t="s">
        <v>1674</v>
      </c>
      <c r="B48" s="71" t="s">
        <v>892</v>
      </c>
      <c r="C48" s="523"/>
      <c r="D48" s="71"/>
      <c r="E48" s="71" t="s">
        <v>1920</v>
      </c>
      <c r="F48" s="523"/>
      <c r="G48" s="28">
        <v>5</v>
      </c>
      <c r="H48" s="429"/>
      <c r="I48" s="547">
        <f t="shared" si="0"/>
        <v>0</v>
      </c>
    </row>
    <row r="49" spans="1:9" ht="15" x14ac:dyDescent="0.2">
      <c r="A49" s="27" t="s">
        <v>1675</v>
      </c>
      <c r="B49" s="71" t="s">
        <v>893</v>
      </c>
      <c r="C49" s="523"/>
      <c r="D49" s="71"/>
      <c r="E49" s="71" t="s">
        <v>1920</v>
      </c>
      <c r="F49" s="523"/>
      <c r="G49" s="28">
        <v>5</v>
      </c>
      <c r="H49" s="429"/>
      <c r="I49" s="547">
        <f t="shared" si="0"/>
        <v>0</v>
      </c>
    </row>
    <row r="50" spans="1:9" ht="15" x14ac:dyDescent="0.2">
      <c r="A50" s="27" t="s">
        <v>1643</v>
      </c>
      <c r="B50" s="71" t="s">
        <v>2005</v>
      </c>
      <c r="C50" s="523"/>
      <c r="D50" s="71"/>
      <c r="E50" s="71" t="s">
        <v>1920</v>
      </c>
      <c r="F50" s="523"/>
      <c r="G50" s="28">
        <v>1</v>
      </c>
      <c r="H50" s="429"/>
      <c r="I50" s="547">
        <f t="shared" si="0"/>
        <v>0</v>
      </c>
    </row>
    <row r="51" spans="1:9" ht="15" x14ac:dyDescent="0.2">
      <c r="A51" s="27" t="s">
        <v>1644</v>
      </c>
      <c r="B51" s="71" t="s">
        <v>2006</v>
      </c>
      <c r="C51" s="523"/>
      <c r="D51" s="71"/>
      <c r="E51" s="71" t="s">
        <v>1920</v>
      </c>
      <c r="F51" s="523"/>
      <c r="G51" s="28">
        <v>1</v>
      </c>
      <c r="H51" s="429"/>
      <c r="I51" s="547">
        <f t="shared" si="0"/>
        <v>0</v>
      </c>
    </row>
    <row r="52" spans="1:9" ht="15" x14ac:dyDescent="0.2">
      <c r="A52" s="27" t="s">
        <v>1645</v>
      </c>
      <c r="B52" s="71" t="s">
        <v>2007</v>
      </c>
      <c r="C52" s="523"/>
      <c r="D52" s="71"/>
      <c r="E52" s="71" t="s">
        <v>1920</v>
      </c>
      <c r="F52" s="523"/>
      <c r="G52" s="28">
        <v>1</v>
      </c>
      <c r="H52" s="429"/>
      <c r="I52" s="547">
        <f t="shared" si="0"/>
        <v>0</v>
      </c>
    </row>
    <row r="53" spans="1:9" ht="15" x14ac:dyDescent="0.2">
      <c r="A53" s="27" t="s">
        <v>1646</v>
      </c>
      <c r="B53" s="71" t="s">
        <v>2008</v>
      </c>
      <c r="C53" s="523"/>
      <c r="D53" s="71"/>
      <c r="E53" s="71" t="s">
        <v>1920</v>
      </c>
      <c r="F53" s="523"/>
      <c r="G53" s="28">
        <v>1</v>
      </c>
      <c r="H53" s="429"/>
      <c r="I53" s="547">
        <f t="shared" si="0"/>
        <v>0</v>
      </c>
    </row>
    <row r="54" spans="1:9" ht="15" x14ac:dyDescent="0.2">
      <c r="A54" s="27" t="s">
        <v>1647</v>
      </c>
      <c r="B54" s="71" t="s">
        <v>2009</v>
      </c>
      <c r="C54" s="523"/>
      <c r="D54" s="71"/>
      <c r="E54" s="71" t="s">
        <v>1920</v>
      </c>
      <c r="F54" s="523"/>
      <c r="G54" s="28">
        <v>1</v>
      </c>
      <c r="H54" s="429"/>
      <c r="I54" s="547">
        <f t="shared" si="0"/>
        <v>0</v>
      </c>
    </row>
    <row r="55" spans="1:9" ht="30" x14ac:dyDescent="0.2">
      <c r="A55" s="27" t="s">
        <v>1870</v>
      </c>
      <c r="B55" s="71" t="s">
        <v>629</v>
      </c>
      <c r="C55" s="430"/>
      <c r="D55" s="71"/>
      <c r="E55" s="71" t="s">
        <v>1920</v>
      </c>
      <c r="F55" s="430"/>
      <c r="G55" s="28">
        <v>1</v>
      </c>
      <c r="H55" s="429"/>
      <c r="I55" s="547">
        <f t="shared" si="0"/>
        <v>0</v>
      </c>
    </row>
    <row r="56" spans="1:9" ht="30" x14ac:dyDescent="0.2">
      <c r="A56" s="27" t="s">
        <v>48</v>
      </c>
      <c r="B56" s="71" t="s">
        <v>252</v>
      </c>
      <c r="C56" s="457"/>
      <c r="D56" s="71"/>
      <c r="E56" s="71" t="s">
        <v>1920</v>
      </c>
      <c r="F56" s="457"/>
      <c r="G56" s="28">
        <v>1</v>
      </c>
      <c r="H56" s="429"/>
      <c r="I56" s="547">
        <f t="shared" si="0"/>
        <v>0</v>
      </c>
    </row>
    <row r="57" spans="1:9" ht="15" x14ac:dyDescent="0.2">
      <c r="A57" s="27" t="s">
        <v>1358</v>
      </c>
      <c r="B57" s="71" t="s">
        <v>3062</v>
      </c>
      <c r="C57" s="523"/>
      <c r="D57" s="71"/>
      <c r="E57" s="71" t="s">
        <v>1943</v>
      </c>
      <c r="F57" s="523"/>
      <c r="G57" s="28">
        <v>1</v>
      </c>
      <c r="H57" s="429"/>
      <c r="I57" s="547">
        <f t="shared" si="0"/>
        <v>0</v>
      </c>
    </row>
    <row r="58" spans="1:9" ht="15" x14ac:dyDescent="0.2">
      <c r="A58" s="27" t="s">
        <v>1524</v>
      </c>
      <c r="B58" s="71" t="s">
        <v>919</v>
      </c>
      <c r="C58" s="523"/>
      <c r="D58" s="71"/>
      <c r="E58" s="71" t="s">
        <v>1944</v>
      </c>
      <c r="F58" s="523"/>
      <c r="G58" s="28">
        <v>1</v>
      </c>
      <c r="H58" s="429"/>
      <c r="I58" s="547">
        <f t="shared" si="0"/>
        <v>0</v>
      </c>
    </row>
    <row r="59" spans="1:9" ht="15" x14ac:dyDescent="0.2">
      <c r="A59" s="27" t="s">
        <v>1093</v>
      </c>
      <c r="B59" s="71" t="s">
        <v>215</v>
      </c>
      <c r="C59" s="523"/>
      <c r="D59" s="71"/>
      <c r="E59" s="71" t="s">
        <v>1920</v>
      </c>
      <c r="F59" s="523"/>
      <c r="G59" s="28">
        <v>1</v>
      </c>
      <c r="H59" s="429"/>
      <c r="I59" s="547">
        <f t="shared" si="0"/>
        <v>0</v>
      </c>
    </row>
    <row r="60" spans="1:9" ht="15" x14ac:dyDescent="0.2">
      <c r="A60" s="27" t="s">
        <v>1084</v>
      </c>
      <c r="B60" s="71" t="s">
        <v>21</v>
      </c>
      <c r="C60" s="523"/>
      <c r="D60" s="71"/>
      <c r="E60" s="71" t="s">
        <v>1920</v>
      </c>
      <c r="F60" s="523"/>
      <c r="G60" s="28">
        <v>2</v>
      </c>
      <c r="H60" s="429"/>
      <c r="I60" s="547">
        <f t="shared" si="0"/>
        <v>0</v>
      </c>
    </row>
    <row r="61" spans="1:9" ht="30" x14ac:dyDescent="0.2">
      <c r="A61" s="27" t="s">
        <v>3092</v>
      </c>
      <c r="B61" s="71" t="s">
        <v>2745</v>
      </c>
      <c r="C61" s="523"/>
      <c r="D61" s="71"/>
      <c r="E61" s="71">
        <v>55719</v>
      </c>
      <c r="F61" s="523"/>
      <c r="G61" s="28">
        <v>1</v>
      </c>
      <c r="H61" s="429"/>
      <c r="I61" s="547">
        <f t="shared" si="0"/>
        <v>0</v>
      </c>
    </row>
    <row r="62" spans="1:9" ht="15" x14ac:dyDescent="0.2">
      <c r="A62" s="27" t="s">
        <v>2116</v>
      </c>
      <c r="B62" s="71" t="s">
        <v>2911</v>
      </c>
      <c r="C62" s="523"/>
      <c r="D62" s="71"/>
      <c r="E62" s="71" t="s">
        <v>1942</v>
      </c>
      <c r="F62" s="523"/>
      <c r="G62" s="28">
        <v>1</v>
      </c>
      <c r="H62" s="429"/>
      <c r="I62" s="547">
        <f t="shared" si="0"/>
        <v>0</v>
      </c>
    </row>
    <row r="63" spans="1:9" ht="15" x14ac:dyDescent="0.2">
      <c r="A63" s="27" t="s">
        <v>1259</v>
      </c>
      <c r="B63" s="71" t="s">
        <v>615</v>
      </c>
      <c r="C63" s="523"/>
      <c r="D63" s="71"/>
      <c r="E63" s="71" t="s">
        <v>1920</v>
      </c>
      <c r="F63" s="523"/>
      <c r="G63" s="28">
        <v>2</v>
      </c>
      <c r="H63" s="429"/>
      <c r="I63" s="547">
        <f t="shared" si="0"/>
        <v>0</v>
      </c>
    </row>
    <row r="64" spans="1:9" ht="15" x14ac:dyDescent="0.2">
      <c r="A64" s="27" t="s">
        <v>2115</v>
      </c>
      <c r="B64" s="71" t="s">
        <v>2884</v>
      </c>
      <c r="C64" s="523"/>
      <c r="D64" s="71"/>
      <c r="E64" s="71" t="s">
        <v>1942</v>
      </c>
      <c r="F64" s="523"/>
      <c r="G64" s="28">
        <v>1</v>
      </c>
      <c r="H64" s="429"/>
      <c r="I64" s="547">
        <f t="shared" si="0"/>
        <v>0</v>
      </c>
    </row>
    <row r="65" spans="1:9" ht="15" x14ac:dyDescent="0.2">
      <c r="A65" s="27" t="s">
        <v>1064</v>
      </c>
      <c r="B65" s="71" t="s">
        <v>112</v>
      </c>
      <c r="C65" s="523"/>
      <c r="D65" s="71"/>
      <c r="E65" s="71" t="s">
        <v>1920</v>
      </c>
      <c r="F65" s="523"/>
      <c r="G65" s="28">
        <v>1</v>
      </c>
      <c r="H65" s="429"/>
      <c r="I65" s="547">
        <f t="shared" si="0"/>
        <v>0</v>
      </c>
    </row>
    <row r="66" spans="1:9" ht="15" x14ac:dyDescent="0.2">
      <c r="A66" s="27" t="s">
        <v>1388</v>
      </c>
      <c r="B66" s="71" t="s">
        <v>630</v>
      </c>
      <c r="C66" s="523"/>
      <c r="D66" s="71"/>
      <c r="E66" s="71" t="s">
        <v>1920</v>
      </c>
      <c r="F66" s="523"/>
      <c r="G66" s="28">
        <v>1</v>
      </c>
      <c r="H66" s="429"/>
      <c r="I66" s="547">
        <f t="shared" si="0"/>
        <v>0</v>
      </c>
    </row>
    <row r="67" spans="1:9" ht="15" x14ac:dyDescent="0.2">
      <c r="A67" s="27" t="s">
        <v>2003</v>
      </c>
      <c r="B67" s="71" t="s">
        <v>2001</v>
      </c>
      <c r="C67" s="523"/>
      <c r="D67" s="71"/>
      <c r="E67" s="71" t="s">
        <v>1920</v>
      </c>
      <c r="F67" s="523"/>
      <c r="G67" s="28">
        <v>1</v>
      </c>
      <c r="H67" s="429"/>
      <c r="I67" s="547">
        <f t="shared" ref="I67:I99" si="1">+G67*H67</f>
        <v>0</v>
      </c>
    </row>
    <row r="68" spans="1:9" ht="15" x14ac:dyDescent="0.2">
      <c r="A68" s="27" t="s">
        <v>2857</v>
      </c>
      <c r="B68" s="71" t="s">
        <v>2850</v>
      </c>
      <c r="C68" s="523"/>
      <c r="D68" s="71"/>
      <c r="E68" s="71" t="s">
        <v>1928</v>
      </c>
      <c r="F68" s="523"/>
      <c r="G68" s="28">
        <v>1</v>
      </c>
      <c r="H68" s="429"/>
      <c r="I68" s="547">
        <f t="shared" si="1"/>
        <v>0</v>
      </c>
    </row>
    <row r="69" spans="1:9" ht="15" x14ac:dyDescent="0.2">
      <c r="A69" s="27" t="s">
        <v>1393</v>
      </c>
      <c r="B69" s="71" t="s">
        <v>653</v>
      </c>
      <c r="C69" s="523"/>
      <c r="D69" s="71"/>
      <c r="E69" s="71" t="s">
        <v>1920</v>
      </c>
      <c r="F69" s="523"/>
      <c r="G69" s="28">
        <v>1</v>
      </c>
      <c r="H69" s="429"/>
      <c r="I69" s="547">
        <f t="shared" si="1"/>
        <v>0</v>
      </c>
    </row>
    <row r="70" spans="1:9" ht="15" x14ac:dyDescent="0.2">
      <c r="A70" s="27" t="s">
        <v>1400</v>
      </c>
      <c r="B70" s="71" t="s">
        <v>598</v>
      </c>
      <c r="C70" s="523"/>
      <c r="D70" s="71"/>
      <c r="E70" s="71" t="s">
        <v>1920</v>
      </c>
      <c r="F70" s="523"/>
      <c r="G70" s="28">
        <v>1</v>
      </c>
      <c r="H70" s="429"/>
      <c r="I70" s="547">
        <f t="shared" si="1"/>
        <v>0</v>
      </c>
    </row>
    <row r="71" spans="1:9" ht="15" x14ac:dyDescent="0.2">
      <c r="A71" s="27" t="s">
        <v>192</v>
      </c>
      <c r="B71" s="71" t="s">
        <v>601</v>
      </c>
      <c r="C71" s="523"/>
      <c r="D71" s="71"/>
      <c r="E71" s="71" t="s">
        <v>1920</v>
      </c>
      <c r="F71" s="523"/>
      <c r="G71" s="28">
        <v>1</v>
      </c>
      <c r="H71" s="429"/>
      <c r="I71" s="547">
        <f t="shared" si="1"/>
        <v>0</v>
      </c>
    </row>
    <row r="72" spans="1:9" ht="30" x14ac:dyDescent="0.2">
      <c r="A72" s="242" t="s">
        <v>3260</v>
      </c>
      <c r="B72" s="71" t="s">
        <v>480</v>
      </c>
      <c r="C72" s="523"/>
      <c r="D72" s="71"/>
      <c r="E72" s="71" t="s">
        <v>1920</v>
      </c>
      <c r="F72" s="523"/>
      <c r="G72" s="28">
        <v>1</v>
      </c>
      <c r="H72" s="429"/>
      <c r="I72" s="547">
        <f t="shared" si="1"/>
        <v>0</v>
      </c>
    </row>
    <row r="73" spans="1:9" ht="30" x14ac:dyDescent="0.2">
      <c r="A73" s="242" t="s">
        <v>3262</v>
      </c>
      <c r="B73" s="71" t="s">
        <v>635</v>
      </c>
      <c r="C73" s="523"/>
      <c r="D73" s="71"/>
      <c r="E73" s="71" t="s">
        <v>1920</v>
      </c>
      <c r="F73" s="523"/>
      <c r="G73" s="28">
        <v>1</v>
      </c>
      <c r="H73" s="429"/>
      <c r="I73" s="547">
        <f t="shared" si="1"/>
        <v>0</v>
      </c>
    </row>
    <row r="74" spans="1:9" ht="30" x14ac:dyDescent="0.2">
      <c r="A74" s="242" t="s">
        <v>3263</v>
      </c>
      <c r="B74" s="71" t="s">
        <v>636</v>
      </c>
      <c r="C74" s="523"/>
      <c r="D74" s="71"/>
      <c r="E74" s="71" t="s">
        <v>1920</v>
      </c>
      <c r="F74" s="523"/>
      <c r="G74" s="28">
        <v>1</v>
      </c>
      <c r="H74" s="429"/>
      <c r="I74" s="547">
        <f t="shared" si="1"/>
        <v>0</v>
      </c>
    </row>
    <row r="75" spans="1:9" ht="15" x14ac:dyDescent="0.2">
      <c r="A75" s="27" t="s">
        <v>1470</v>
      </c>
      <c r="B75" s="71" t="s">
        <v>637</v>
      </c>
      <c r="C75" s="523"/>
      <c r="D75" s="71"/>
      <c r="E75" s="71" t="s">
        <v>1920</v>
      </c>
      <c r="F75" s="523"/>
      <c r="G75" s="28">
        <v>1</v>
      </c>
      <c r="H75" s="429"/>
      <c r="I75" s="547">
        <f t="shared" si="1"/>
        <v>0</v>
      </c>
    </row>
    <row r="76" spans="1:9" ht="15" x14ac:dyDescent="0.2">
      <c r="A76" s="27" t="s">
        <v>1518</v>
      </c>
      <c r="B76" s="71" t="s">
        <v>1992</v>
      </c>
      <c r="C76" s="523"/>
      <c r="D76" s="71"/>
      <c r="E76" s="71" t="s">
        <v>1920</v>
      </c>
      <c r="F76" s="523"/>
      <c r="G76" s="28">
        <v>1</v>
      </c>
      <c r="H76" s="429"/>
      <c r="I76" s="547">
        <f t="shared" si="1"/>
        <v>0</v>
      </c>
    </row>
    <row r="77" spans="1:9" ht="15" x14ac:dyDescent="0.2">
      <c r="A77" s="27" t="s">
        <v>175</v>
      </c>
      <c r="B77" s="71" t="s">
        <v>2740</v>
      </c>
      <c r="C77" s="523"/>
      <c r="D77" s="71"/>
      <c r="E77" s="71">
        <v>55719</v>
      </c>
      <c r="F77" s="523"/>
      <c r="G77" s="28">
        <v>1</v>
      </c>
      <c r="H77" s="429"/>
      <c r="I77" s="547">
        <f t="shared" si="1"/>
        <v>0</v>
      </c>
    </row>
    <row r="78" spans="1:9" ht="15" x14ac:dyDescent="0.2">
      <c r="A78" s="27" t="s">
        <v>962</v>
      </c>
      <c r="B78" s="71" t="s">
        <v>2741</v>
      </c>
      <c r="C78" s="523"/>
      <c r="D78" s="71"/>
      <c r="E78" s="71">
        <v>55719</v>
      </c>
      <c r="F78" s="523"/>
      <c r="G78" s="28">
        <v>1</v>
      </c>
      <c r="H78" s="429"/>
      <c r="I78" s="547">
        <f t="shared" si="1"/>
        <v>0</v>
      </c>
    </row>
    <row r="79" spans="1:9" ht="15" x14ac:dyDescent="0.2">
      <c r="A79" s="27" t="s">
        <v>66</v>
      </c>
      <c r="B79" s="71" t="s">
        <v>1836</v>
      </c>
      <c r="C79" s="523"/>
      <c r="D79" s="71"/>
      <c r="E79" s="71" t="s">
        <v>1947</v>
      </c>
      <c r="F79" s="523"/>
      <c r="G79" s="28">
        <v>1</v>
      </c>
      <c r="H79" s="546"/>
      <c r="I79" s="547">
        <f t="shared" si="1"/>
        <v>0</v>
      </c>
    </row>
    <row r="80" spans="1:9" ht="15" x14ac:dyDescent="0.2">
      <c r="A80" s="27" t="s">
        <v>1511</v>
      </c>
      <c r="B80" s="71" t="s">
        <v>2000</v>
      </c>
      <c r="C80" s="523"/>
      <c r="D80" s="71"/>
      <c r="E80" s="71"/>
      <c r="F80" s="523"/>
      <c r="G80" s="28">
        <v>1</v>
      </c>
      <c r="H80" s="546"/>
      <c r="I80" s="547">
        <f t="shared" si="1"/>
        <v>0</v>
      </c>
    </row>
    <row r="81" spans="1:9" ht="15" x14ac:dyDescent="0.2">
      <c r="A81" s="27" t="s">
        <v>1512</v>
      </c>
      <c r="B81" s="71" t="s">
        <v>1999</v>
      </c>
      <c r="C81" s="523"/>
      <c r="D81" s="71"/>
      <c r="E81" s="71"/>
      <c r="F81" s="523"/>
      <c r="G81" s="28">
        <v>1</v>
      </c>
      <c r="H81" s="546"/>
      <c r="I81" s="547">
        <f t="shared" si="1"/>
        <v>0</v>
      </c>
    </row>
    <row r="82" spans="1:9" ht="15" x14ac:dyDescent="0.2">
      <c r="A82" s="27" t="s">
        <v>181</v>
      </c>
      <c r="B82" s="71" t="s">
        <v>886</v>
      </c>
      <c r="C82" s="523"/>
      <c r="D82" s="71" t="s">
        <v>1886</v>
      </c>
      <c r="E82" s="71" t="s">
        <v>1933</v>
      </c>
      <c r="F82" s="523"/>
      <c r="G82" s="28">
        <v>1</v>
      </c>
      <c r="H82" s="546"/>
      <c r="I82" s="547">
        <f t="shared" si="1"/>
        <v>0</v>
      </c>
    </row>
    <row r="83" spans="1:9" ht="15" x14ac:dyDescent="0.2">
      <c r="A83" s="27" t="s">
        <v>157</v>
      </c>
      <c r="B83" s="71" t="s">
        <v>633</v>
      </c>
      <c r="C83" s="523"/>
      <c r="D83" s="71" t="s">
        <v>1890</v>
      </c>
      <c r="E83" s="71" t="s">
        <v>1948</v>
      </c>
      <c r="F83" s="523"/>
      <c r="G83" s="28">
        <v>1</v>
      </c>
      <c r="H83" s="546"/>
      <c r="I83" s="547">
        <f t="shared" si="1"/>
        <v>0</v>
      </c>
    </row>
    <row r="84" spans="1:9" ht="15" x14ac:dyDescent="0.2">
      <c r="A84" s="27" t="s">
        <v>1501</v>
      </c>
      <c r="B84" s="71" t="s">
        <v>1104</v>
      </c>
      <c r="C84" s="523"/>
      <c r="D84" s="71" t="s">
        <v>1899</v>
      </c>
      <c r="E84" s="71" t="s">
        <v>1958</v>
      </c>
      <c r="F84" s="523"/>
      <c r="G84" s="28">
        <v>1</v>
      </c>
      <c r="H84" s="546"/>
      <c r="I84" s="547">
        <f t="shared" si="1"/>
        <v>0</v>
      </c>
    </row>
    <row r="85" spans="1:9" ht="15" x14ac:dyDescent="0.2">
      <c r="A85" s="27" t="s">
        <v>3088</v>
      </c>
      <c r="B85" s="237" t="s">
        <v>3087</v>
      </c>
      <c r="C85" s="523"/>
      <c r="D85" s="237"/>
      <c r="E85" s="237">
        <v>55719</v>
      </c>
      <c r="F85" s="523"/>
      <c r="G85" s="28">
        <v>1</v>
      </c>
      <c r="H85" s="546"/>
      <c r="I85" s="547">
        <f t="shared" si="1"/>
        <v>0</v>
      </c>
    </row>
    <row r="86" spans="1:9" ht="15" x14ac:dyDescent="0.2">
      <c r="A86" s="27" t="s">
        <v>1504</v>
      </c>
      <c r="B86" s="71" t="s">
        <v>915</v>
      </c>
      <c r="C86" s="523"/>
      <c r="D86" s="71" t="s">
        <v>1903</v>
      </c>
      <c r="E86" s="71" t="s">
        <v>1961</v>
      </c>
      <c r="F86" s="523"/>
      <c r="G86" s="28">
        <v>1</v>
      </c>
      <c r="H86" s="546"/>
      <c r="I86" s="547">
        <f t="shared" si="1"/>
        <v>0</v>
      </c>
    </row>
    <row r="87" spans="1:9" ht="15" x14ac:dyDescent="0.2">
      <c r="A87" s="27" t="s">
        <v>1507</v>
      </c>
      <c r="B87" s="71" t="s">
        <v>631</v>
      </c>
      <c r="C87" s="523"/>
      <c r="D87" s="71" t="s">
        <v>1907</v>
      </c>
      <c r="E87" s="71" t="s">
        <v>1928</v>
      </c>
      <c r="F87" s="523"/>
      <c r="G87" s="28">
        <v>2</v>
      </c>
      <c r="H87" s="546"/>
      <c r="I87" s="547">
        <f t="shared" si="1"/>
        <v>0</v>
      </c>
    </row>
    <row r="88" spans="1:9" ht="15" x14ac:dyDescent="0.2">
      <c r="A88" s="27" t="s">
        <v>1508</v>
      </c>
      <c r="B88" s="71" t="s">
        <v>600</v>
      </c>
      <c r="C88" s="523"/>
      <c r="D88" s="71" t="s">
        <v>1908</v>
      </c>
      <c r="E88" s="71" t="s">
        <v>1928</v>
      </c>
      <c r="F88" s="523"/>
      <c r="G88" s="28">
        <v>2</v>
      </c>
      <c r="H88" s="546"/>
      <c r="I88" s="547">
        <f t="shared" si="1"/>
        <v>0</v>
      </c>
    </row>
    <row r="89" spans="1:9" ht="15" x14ac:dyDescent="0.2">
      <c r="A89" s="27" t="s">
        <v>158</v>
      </c>
      <c r="B89" s="71" t="s">
        <v>603</v>
      </c>
      <c r="C89" s="523"/>
      <c r="D89" s="71" t="s">
        <v>1909</v>
      </c>
      <c r="E89" s="71" t="s">
        <v>1964</v>
      </c>
      <c r="F89" s="523"/>
      <c r="G89" s="28">
        <v>1</v>
      </c>
      <c r="H89" s="546"/>
      <c r="I89" s="547">
        <f t="shared" si="1"/>
        <v>0</v>
      </c>
    </row>
    <row r="90" spans="1:9" ht="15" x14ac:dyDescent="0.2">
      <c r="A90" s="27" t="s">
        <v>1513</v>
      </c>
      <c r="B90" s="71" t="s">
        <v>763</v>
      </c>
      <c r="C90" s="523"/>
      <c r="D90" s="71" t="s">
        <v>1911</v>
      </c>
      <c r="E90" s="71"/>
      <c r="F90" s="523"/>
      <c r="G90" s="28">
        <v>1</v>
      </c>
      <c r="H90" s="546"/>
      <c r="I90" s="547">
        <f t="shared" si="1"/>
        <v>0</v>
      </c>
    </row>
    <row r="91" spans="1:9" ht="15" x14ac:dyDescent="0.2">
      <c r="A91" s="27" t="s">
        <v>160</v>
      </c>
      <c r="B91" s="71" t="s">
        <v>605</v>
      </c>
      <c r="C91" s="523"/>
      <c r="D91" s="71" t="s">
        <v>1912</v>
      </c>
      <c r="E91" s="71" t="s">
        <v>1967</v>
      </c>
      <c r="F91" s="523"/>
      <c r="G91" s="28">
        <v>1</v>
      </c>
      <c r="H91" s="546"/>
      <c r="I91" s="547">
        <f t="shared" si="1"/>
        <v>0</v>
      </c>
    </row>
    <row r="92" spans="1:9" ht="15" x14ac:dyDescent="0.2">
      <c r="A92" s="27" t="s">
        <v>155</v>
      </c>
      <c r="B92" s="71" t="s">
        <v>595</v>
      </c>
      <c r="C92" s="523"/>
      <c r="D92" s="71" t="s">
        <v>1913</v>
      </c>
      <c r="E92" s="71" t="s">
        <v>1967</v>
      </c>
      <c r="F92" s="523"/>
      <c r="G92" s="28">
        <v>1</v>
      </c>
      <c r="H92" s="546"/>
      <c r="I92" s="547">
        <f t="shared" si="1"/>
        <v>0</v>
      </c>
    </row>
    <row r="93" spans="1:9" ht="15" x14ac:dyDescent="0.2">
      <c r="A93" s="27" t="s">
        <v>156</v>
      </c>
      <c r="B93" s="71" t="s">
        <v>596</v>
      </c>
      <c r="C93" s="523"/>
      <c r="D93" s="71" t="s">
        <v>1914</v>
      </c>
      <c r="E93" s="71" t="s">
        <v>1967</v>
      </c>
      <c r="F93" s="523"/>
      <c r="G93" s="28">
        <v>1</v>
      </c>
      <c r="H93" s="546"/>
      <c r="I93" s="547">
        <f t="shared" si="1"/>
        <v>0</v>
      </c>
    </row>
    <row r="94" spans="1:9" ht="30" x14ac:dyDescent="0.2">
      <c r="A94" s="27" t="s">
        <v>2929</v>
      </c>
      <c r="B94" s="71" t="s">
        <v>710</v>
      </c>
      <c r="C94" s="523"/>
      <c r="D94" s="71"/>
      <c r="E94" s="71" t="s">
        <v>1920</v>
      </c>
      <c r="F94" s="523"/>
      <c r="G94" s="28">
        <v>1</v>
      </c>
      <c r="H94" s="546"/>
      <c r="I94" s="547">
        <f t="shared" si="1"/>
        <v>0</v>
      </c>
    </row>
    <row r="95" spans="1:9" ht="15" x14ac:dyDescent="0.2">
      <c r="A95" s="27" t="s">
        <v>3129</v>
      </c>
      <c r="B95" s="71" t="s">
        <v>885</v>
      </c>
      <c r="C95" s="523"/>
      <c r="D95" s="71" t="s">
        <v>1916</v>
      </c>
      <c r="E95" s="71" t="s">
        <v>1965</v>
      </c>
      <c r="F95" s="523"/>
      <c r="G95" s="28">
        <v>2</v>
      </c>
      <c r="H95" s="546"/>
      <c r="I95" s="547">
        <f t="shared" si="1"/>
        <v>0</v>
      </c>
    </row>
    <row r="96" spans="1:9" ht="15" x14ac:dyDescent="0.2">
      <c r="A96" s="27" t="s">
        <v>3128</v>
      </c>
      <c r="B96" s="71" t="s">
        <v>783</v>
      </c>
      <c r="C96" s="523"/>
      <c r="D96" s="71" t="s">
        <v>1917</v>
      </c>
      <c r="E96" s="71" t="s">
        <v>1965</v>
      </c>
      <c r="F96" s="523"/>
      <c r="G96" s="28">
        <v>1</v>
      </c>
      <c r="H96" s="546"/>
      <c r="I96" s="547">
        <f t="shared" si="1"/>
        <v>0</v>
      </c>
    </row>
    <row r="97" spans="1:9" s="212" customFormat="1" x14ac:dyDescent="0.25">
      <c r="A97" s="27" t="s">
        <v>1581</v>
      </c>
      <c r="B97" s="71" t="s">
        <v>713</v>
      </c>
      <c r="C97" s="523"/>
      <c r="D97" s="71"/>
      <c r="E97" s="71" t="s">
        <v>1920</v>
      </c>
      <c r="F97" s="523"/>
      <c r="G97" s="28">
        <v>1</v>
      </c>
      <c r="H97" s="546"/>
      <c r="I97" s="547">
        <f t="shared" si="1"/>
        <v>0</v>
      </c>
    </row>
    <row r="98" spans="1:9" ht="15" x14ac:dyDescent="0.2">
      <c r="A98" s="238" t="s">
        <v>1571</v>
      </c>
      <c r="B98" s="241" t="s">
        <v>891</v>
      </c>
      <c r="C98" s="523"/>
      <c r="D98" s="241"/>
      <c r="E98" s="241" t="s">
        <v>1920</v>
      </c>
      <c r="F98" s="523"/>
      <c r="G98" s="239">
        <v>1</v>
      </c>
      <c r="H98" s="546"/>
      <c r="I98" s="547">
        <f t="shared" si="1"/>
        <v>0</v>
      </c>
    </row>
    <row r="99" spans="1:9" ht="30" x14ac:dyDescent="0.2">
      <c r="A99" s="27" t="s">
        <v>1621</v>
      </c>
      <c r="B99" s="241" t="s">
        <v>288</v>
      </c>
      <c r="C99" s="523"/>
      <c r="D99" s="241"/>
      <c r="E99" s="241" t="s">
        <v>1920</v>
      </c>
      <c r="F99" s="523"/>
      <c r="G99" s="28">
        <v>1</v>
      </c>
      <c r="H99" s="546"/>
      <c r="I99" s="547">
        <f t="shared" si="1"/>
        <v>0</v>
      </c>
    </row>
    <row r="100" spans="1:9" ht="15" x14ac:dyDescent="0.2">
      <c r="A100" s="27" t="s">
        <v>1678</v>
      </c>
      <c r="B100" s="71" t="s">
        <v>494</v>
      </c>
      <c r="C100" s="523"/>
      <c r="D100" s="71"/>
      <c r="E100" s="71" t="s">
        <v>1920</v>
      </c>
      <c r="F100" s="523"/>
      <c r="G100" s="28">
        <v>1</v>
      </c>
      <c r="H100" s="547" t="s">
        <v>3366</v>
      </c>
      <c r="I100" s="547" t="s">
        <v>3371</v>
      </c>
    </row>
    <row r="101" spans="1:9" ht="15" x14ac:dyDescent="0.2">
      <c r="A101" s="27" t="s">
        <v>1704</v>
      </c>
      <c r="B101" s="71" t="s">
        <v>782</v>
      </c>
      <c r="C101" s="523"/>
      <c r="D101" s="71"/>
      <c r="E101" s="71" t="s">
        <v>1920</v>
      </c>
      <c r="F101" s="523"/>
      <c r="G101" s="28">
        <v>1</v>
      </c>
      <c r="H101" s="546"/>
      <c r="I101" s="547">
        <f t="shared" ref="I101:I129" si="2">+G101*H101</f>
        <v>0</v>
      </c>
    </row>
    <row r="102" spans="1:9" ht="15" x14ac:dyDescent="0.2">
      <c r="A102" s="27" t="s">
        <v>1415</v>
      </c>
      <c r="B102" s="71" t="s">
        <v>604</v>
      </c>
      <c r="C102" s="523"/>
      <c r="D102" s="71"/>
      <c r="E102" s="71" t="s">
        <v>1973</v>
      </c>
      <c r="F102" s="523"/>
      <c r="G102" s="28">
        <v>1</v>
      </c>
      <c r="H102" s="546"/>
      <c r="I102" s="547">
        <f t="shared" si="2"/>
        <v>0</v>
      </c>
    </row>
    <row r="103" spans="1:9" ht="15" x14ac:dyDescent="0.2">
      <c r="A103" s="27" t="s">
        <v>1216</v>
      </c>
      <c r="B103" s="71" t="s">
        <v>481</v>
      </c>
      <c r="C103" s="523"/>
      <c r="D103" s="71"/>
      <c r="E103" s="71" t="s">
        <v>1920</v>
      </c>
      <c r="F103" s="523"/>
      <c r="G103" s="28">
        <v>1</v>
      </c>
      <c r="H103" s="546"/>
      <c r="I103" s="547">
        <f t="shared" si="2"/>
        <v>0</v>
      </c>
    </row>
    <row r="104" spans="1:9" ht="15" x14ac:dyDescent="0.2">
      <c r="A104" s="238" t="s">
        <v>1286</v>
      </c>
      <c r="B104" s="71" t="s">
        <v>387</v>
      </c>
      <c r="C104" s="523"/>
      <c r="D104" s="71"/>
      <c r="E104" s="71" t="s">
        <v>1920</v>
      </c>
      <c r="F104" s="523"/>
      <c r="G104" s="28">
        <v>1</v>
      </c>
      <c r="H104" s="546"/>
      <c r="I104" s="547">
        <f t="shared" si="2"/>
        <v>0</v>
      </c>
    </row>
    <row r="105" spans="1:9" ht="15" x14ac:dyDescent="0.2">
      <c r="A105" s="27" t="s">
        <v>410</v>
      </c>
      <c r="B105" s="71" t="s">
        <v>483</v>
      </c>
      <c r="C105" s="523"/>
      <c r="D105" s="71"/>
      <c r="E105" s="71" t="s">
        <v>1920</v>
      </c>
      <c r="F105" s="523"/>
      <c r="G105" s="28">
        <v>1</v>
      </c>
      <c r="H105" s="546"/>
      <c r="I105" s="547">
        <f t="shared" si="2"/>
        <v>0</v>
      </c>
    </row>
    <row r="106" spans="1:9" ht="15" x14ac:dyDescent="0.2">
      <c r="A106" s="27" t="s">
        <v>1617</v>
      </c>
      <c r="B106" s="71" t="s">
        <v>409</v>
      </c>
      <c r="C106" s="523"/>
      <c r="D106" s="71"/>
      <c r="E106" s="71" t="s">
        <v>1920</v>
      </c>
      <c r="F106" s="523"/>
      <c r="G106" s="28">
        <v>1</v>
      </c>
      <c r="H106" s="546"/>
      <c r="I106" s="547">
        <f t="shared" si="2"/>
        <v>0</v>
      </c>
    </row>
    <row r="107" spans="1:9" ht="15" x14ac:dyDescent="0.2">
      <c r="A107" s="27" t="s">
        <v>2133</v>
      </c>
      <c r="B107" s="71" t="s">
        <v>2909</v>
      </c>
      <c r="C107" s="523"/>
      <c r="D107" s="71"/>
      <c r="E107" s="71">
        <v>56654</v>
      </c>
      <c r="F107" s="523"/>
      <c r="G107" s="28">
        <v>3</v>
      </c>
      <c r="H107" s="546"/>
      <c r="I107" s="547">
        <f t="shared" si="2"/>
        <v>0</v>
      </c>
    </row>
    <row r="108" spans="1:9" ht="15" x14ac:dyDescent="0.2">
      <c r="A108" s="27" t="s">
        <v>195</v>
      </c>
      <c r="B108" s="71" t="s">
        <v>1984</v>
      </c>
      <c r="C108" s="523"/>
      <c r="D108" s="71"/>
      <c r="E108" s="71" t="s">
        <v>1920</v>
      </c>
      <c r="F108" s="523"/>
      <c r="G108" s="28">
        <v>2</v>
      </c>
      <c r="H108" s="546"/>
      <c r="I108" s="547">
        <f t="shared" si="2"/>
        <v>0</v>
      </c>
    </row>
    <row r="109" spans="1:9" ht="15" x14ac:dyDescent="0.2">
      <c r="A109" s="27" t="s">
        <v>188</v>
      </c>
      <c r="B109" s="71" t="s">
        <v>2742</v>
      </c>
      <c r="C109" s="523"/>
      <c r="D109" s="71"/>
      <c r="E109" s="71" t="s">
        <v>1920</v>
      </c>
      <c r="F109" s="523"/>
      <c r="G109" s="28">
        <v>1</v>
      </c>
      <c r="H109" s="546"/>
      <c r="I109" s="547">
        <f t="shared" si="2"/>
        <v>0</v>
      </c>
    </row>
    <row r="110" spans="1:9" s="212" customFormat="1" x14ac:dyDescent="0.25">
      <c r="A110" s="27" t="s">
        <v>189</v>
      </c>
      <c r="B110" s="71" t="s">
        <v>2743</v>
      </c>
      <c r="C110" s="523"/>
      <c r="D110" s="71"/>
      <c r="E110" s="71" t="s">
        <v>1920</v>
      </c>
      <c r="F110" s="523"/>
      <c r="G110" s="28">
        <v>1</v>
      </c>
      <c r="H110" s="546"/>
      <c r="I110" s="547">
        <f t="shared" si="2"/>
        <v>0</v>
      </c>
    </row>
    <row r="111" spans="1:9" ht="15" x14ac:dyDescent="0.2">
      <c r="A111" s="27" t="s">
        <v>187</v>
      </c>
      <c r="B111" s="71" t="s">
        <v>2744</v>
      </c>
      <c r="C111" s="430"/>
      <c r="D111" s="71"/>
      <c r="E111" s="71" t="s">
        <v>1920</v>
      </c>
      <c r="F111" s="430"/>
      <c r="G111" s="28">
        <v>1</v>
      </c>
      <c r="H111" s="546"/>
      <c r="I111" s="547">
        <f t="shared" si="2"/>
        <v>0</v>
      </c>
    </row>
    <row r="112" spans="1:9" ht="15" x14ac:dyDescent="0.2">
      <c r="A112" s="27" t="s">
        <v>2922</v>
      </c>
      <c r="B112" s="71" t="s">
        <v>405</v>
      </c>
      <c r="C112" s="457"/>
      <c r="D112" s="71"/>
      <c r="E112" s="71" t="s">
        <v>1920</v>
      </c>
      <c r="F112" s="457"/>
      <c r="G112" s="28">
        <v>1</v>
      </c>
      <c r="H112" s="546"/>
      <c r="I112" s="547">
        <f t="shared" si="2"/>
        <v>0</v>
      </c>
    </row>
    <row r="113" spans="1:9" ht="15" x14ac:dyDescent="0.2">
      <c r="A113" s="27" t="s">
        <v>3131</v>
      </c>
      <c r="B113" s="71" t="s">
        <v>2126</v>
      </c>
      <c r="C113" s="523"/>
      <c r="D113" s="71"/>
      <c r="E113" s="71" t="s">
        <v>1942</v>
      </c>
      <c r="F113" s="523"/>
      <c r="G113" s="28">
        <v>1</v>
      </c>
      <c r="H113" s="546"/>
      <c r="I113" s="547">
        <f t="shared" si="2"/>
        <v>0</v>
      </c>
    </row>
    <row r="114" spans="1:9" ht="15" x14ac:dyDescent="0.2">
      <c r="A114" s="27" t="s">
        <v>1609</v>
      </c>
      <c r="B114" s="71" t="s">
        <v>914</v>
      </c>
      <c r="C114" s="523"/>
      <c r="D114" s="71"/>
      <c r="E114" s="71" t="s">
        <v>1942</v>
      </c>
      <c r="F114" s="523"/>
      <c r="G114" s="28">
        <v>1</v>
      </c>
      <c r="H114" s="546"/>
      <c r="I114" s="547">
        <f t="shared" si="2"/>
        <v>0</v>
      </c>
    </row>
    <row r="115" spans="1:9" ht="15" x14ac:dyDescent="0.2">
      <c r="A115" s="27" t="s">
        <v>190</v>
      </c>
      <c r="B115" s="71" t="s">
        <v>621</v>
      </c>
      <c r="C115" s="430"/>
      <c r="D115" s="71" t="s">
        <v>1918</v>
      </c>
      <c r="E115" s="71" t="s">
        <v>1977</v>
      </c>
      <c r="F115" s="523"/>
      <c r="G115" s="28">
        <v>6</v>
      </c>
      <c r="H115" s="546"/>
      <c r="I115" s="547">
        <f t="shared" si="2"/>
        <v>0</v>
      </c>
    </row>
    <row r="116" spans="1:9" ht="15" x14ac:dyDescent="0.2">
      <c r="A116" s="27" t="s">
        <v>1466</v>
      </c>
      <c r="B116" s="71" t="s">
        <v>620</v>
      </c>
      <c r="C116" s="430"/>
      <c r="D116" s="71"/>
      <c r="E116" s="71" t="s">
        <v>1920</v>
      </c>
      <c r="F116" s="523"/>
      <c r="G116" s="28">
        <v>1</v>
      </c>
      <c r="H116" s="546"/>
      <c r="I116" s="547">
        <f t="shared" si="2"/>
        <v>0</v>
      </c>
    </row>
    <row r="117" spans="1:9" ht="15" x14ac:dyDescent="0.2">
      <c r="A117" s="27" t="s">
        <v>20</v>
      </c>
      <c r="B117" s="71" t="s">
        <v>287</v>
      </c>
      <c r="C117" s="430"/>
      <c r="D117" s="71"/>
      <c r="E117" s="71" t="s">
        <v>1920</v>
      </c>
      <c r="F117" s="523"/>
      <c r="G117" s="28">
        <v>1</v>
      </c>
      <c r="H117" s="546"/>
      <c r="I117" s="547">
        <f t="shared" si="2"/>
        <v>0</v>
      </c>
    </row>
    <row r="118" spans="1:9" ht="15" x14ac:dyDescent="0.2">
      <c r="A118" s="27" t="s">
        <v>3093</v>
      </c>
      <c r="B118" s="71" t="s">
        <v>3094</v>
      </c>
      <c r="C118" s="430"/>
      <c r="D118" s="71"/>
      <c r="E118" s="71">
        <v>1556</v>
      </c>
      <c r="F118" s="523"/>
      <c r="G118" s="28">
        <v>1</v>
      </c>
      <c r="H118" s="546"/>
      <c r="I118" s="547">
        <f t="shared" si="2"/>
        <v>0</v>
      </c>
    </row>
    <row r="119" spans="1:9" ht="15" x14ac:dyDescent="0.2">
      <c r="A119" s="27" t="s">
        <v>2116</v>
      </c>
      <c r="B119" s="71" t="s">
        <v>2912</v>
      </c>
      <c r="C119" s="430"/>
      <c r="D119" s="71"/>
      <c r="E119" s="71" t="s">
        <v>1942</v>
      </c>
      <c r="F119" s="523"/>
      <c r="G119" s="28">
        <v>1</v>
      </c>
      <c r="H119" s="546"/>
      <c r="I119" s="547">
        <f t="shared" si="2"/>
        <v>0</v>
      </c>
    </row>
    <row r="120" spans="1:9" ht="15" x14ac:dyDescent="0.2">
      <c r="A120" s="27" t="s">
        <v>2116</v>
      </c>
      <c r="B120" s="71" t="s">
        <v>2914</v>
      </c>
      <c r="C120" s="430"/>
      <c r="D120" s="71"/>
      <c r="E120" s="71" t="s">
        <v>1942</v>
      </c>
      <c r="F120" s="523"/>
      <c r="G120" s="28">
        <v>1</v>
      </c>
      <c r="H120" s="546"/>
      <c r="I120" s="547">
        <f t="shared" si="2"/>
        <v>0</v>
      </c>
    </row>
    <row r="121" spans="1:9" ht="15" x14ac:dyDescent="0.2">
      <c r="A121" s="27" t="s">
        <v>2116</v>
      </c>
      <c r="B121" s="71" t="s">
        <v>2913</v>
      </c>
      <c r="C121" s="430"/>
      <c r="D121" s="71"/>
      <c r="E121" s="71" t="s">
        <v>1942</v>
      </c>
      <c r="F121" s="523"/>
      <c r="G121" s="28">
        <v>1</v>
      </c>
      <c r="H121" s="546"/>
      <c r="I121" s="547">
        <f t="shared" si="2"/>
        <v>0</v>
      </c>
    </row>
    <row r="122" spans="1:9" ht="15" x14ac:dyDescent="0.2">
      <c r="A122" s="27" t="s">
        <v>2116</v>
      </c>
      <c r="B122" s="71" t="s">
        <v>2916</v>
      </c>
      <c r="C122" s="430"/>
      <c r="D122" s="71"/>
      <c r="E122" s="71" t="s">
        <v>1942</v>
      </c>
      <c r="F122" s="523"/>
      <c r="G122" s="28">
        <v>1</v>
      </c>
      <c r="H122" s="546"/>
      <c r="I122" s="547">
        <f t="shared" si="2"/>
        <v>0</v>
      </c>
    </row>
    <row r="123" spans="1:9" ht="15" x14ac:dyDescent="0.2">
      <c r="A123" s="27" t="s">
        <v>2116</v>
      </c>
      <c r="B123" s="71" t="s">
        <v>2735</v>
      </c>
      <c r="C123" s="430"/>
      <c r="D123" s="71"/>
      <c r="E123" s="71" t="s">
        <v>1942</v>
      </c>
      <c r="F123" s="523"/>
      <c r="G123" s="28">
        <v>1</v>
      </c>
      <c r="H123" s="546"/>
      <c r="I123" s="547">
        <f t="shared" si="2"/>
        <v>0</v>
      </c>
    </row>
    <row r="124" spans="1:9" ht="15" x14ac:dyDescent="0.2">
      <c r="A124" s="27" t="s">
        <v>2116</v>
      </c>
      <c r="B124" s="266" t="s">
        <v>3130</v>
      </c>
      <c r="C124" s="430"/>
      <c r="D124" s="71"/>
      <c r="E124" s="71" t="s">
        <v>1942</v>
      </c>
      <c r="F124" s="523"/>
      <c r="G124" s="28">
        <v>1</v>
      </c>
      <c r="H124" s="546"/>
      <c r="I124" s="547">
        <f t="shared" si="2"/>
        <v>0</v>
      </c>
    </row>
    <row r="125" spans="1:9" ht="15" x14ac:dyDescent="0.2">
      <c r="A125" s="27" t="s">
        <v>2116</v>
      </c>
      <c r="B125" s="266" t="s">
        <v>2915</v>
      </c>
      <c r="C125" s="430"/>
      <c r="D125" s="71"/>
      <c r="E125" s="71" t="s">
        <v>1942</v>
      </c>
      <c r="F125" s="523"/>
      <c r="G125" s="28">
        <v>1</v>
      </c>
      <c r="H125" s="546"/>
      <c r="I125" s="547">
        <f t="shared" si="2"/>
        <v>0</v>
      </c>
    </row>
    <row r="126" spans="1:9" ht="15" x14ac:dyDescent="0.2">
      <c r="A126" s="27" t="s">
        <v>2115</v>
      </c>
      <c r="B126" s="71" t="s">
        <v>2881</v>
      </c>
      <c r="C126" s="430"/>
      <c r="D126" s="71"/>
      <c r="E126" s="71" t="s">
        <v>1942</v>
      </c>
      <c r="F126" s="523"/>
      <c r="G126" s="28">
        <v>1</v>
      </c>
      <c r="H126" s="546"/>
      <c r="I126" s="547">
        <f t="shared" si="2"/>
        <v>0</v>
      </c>
    </row>
    <row r="127" spans="1:9" ht="15" x14ac:dyDescent="0.2">
      <c r="A127" s="27" t="s">
        <v>2115</v>
      </c>
      <c r="B127" s="71" t="s">
        <v>2759</v>
      </c>
      <c r="C127" s="430"/>
      <c r="D127" s="71"/>
      <c r="E127" s="71" t="s">
        <v>1942</v>
      </c>
      <c r="F127" s="523"/>
      <c r="G127" s="28">
        <v>1</v>
      </c>
      <c r="H127" s="546"/>
      <c r="I127" s="547">
        <f t="shared" si="2"/>
        <v>0</v>
      </c>
    </row>
    <row r="128" spans="1:9" ht="15" x14ac:dyDescent="0.2">
      <c r="A128" s="27" t="s">
        <v>2115</v>
      </c>
      <c r="B128" s="71" t="s">
        <v>2882</v>
      </c>
      <c r="C128" s="430"/>
      <c r="D128" s="71"/>
      <c r="E128" s="71" t="s">
        <v>1942</v>
      </c>
      <c r="F128" s="523"/>
      <c r="G128" s="28">
        <v>1</v>
      </c>
      <c r="H128" s="546"/>
      <c r="I128" s="547">
        <f t="shared" si="2"/>
        <v>0</v>
      </c>
    </row>
    <row r="129" spans="1:9" ht="15" x14ac:dyDescent="0.2">
      <c r="A129" s="27" t="s">
        <v>2115</v>
      </c>
      <c r="B129" s="71" t="s">
        <v>2883</v>
      </c>
      <c r="C129" s="430"/>
      <c r="D129" s="71"/>
      <c r="E129" s="71" t="s">
        <v>1942</v>
      </c>
      <c r="F129" s="523"/>
      <c r="G129" s="28">
        <v>1</v>
      </c>
      <c r="H129" s="546"/>
      <c r="I129" s="547">
        <f t="shared" si="2"/>
        <v>0</v>
      </c>
    </row>
    <row r="130" spans="1:9" x14ac:dyDescent="0.25">
      <c r="F130"/>
      <c r="I130" s="549">
        <f>SUM(I2:I129)</f>
        <v>0</v>
      </c>
    </row>
    <row r="131" spans="1:9" x14ac:dyDescent="0.25">
      <c r="F131"/>
    </row>
    <row r="132" spans="1:9" x14ac:dyDescent="0.25">
      <c r="F132"/>
    </row>
    <row r="133" spans="1:9" s="4" customFormat="1" ht="18" x14ac:dyDescent="0.25">
      <c r="A133" s="422" t="s">
        <v>1779</v>
      </c>
      <c r="B133" s="425"/>
      <c r="C133" s="309"/>
      <c r="D133" s="3"/>
      <c r="E133" s="3"/>
      <c r="F133"/>
      <c r="G133" s="3"/>
      <c r="H133" s="39"/>
    </row>
    <row r="134" spans="1:9" s="4" customFormat="1" ht="18" x14ac:dyDescent="0.25">
      <c r="A134" s="422" t="s">
        <v>3097</v>
      </c>
      <c r="B134" s="425"/>
      <c r="C134" s="309"/>
      <c r="D134" s="3"/>
      <c r="E134" s="3"/>
      <c r="F134"/>
      <c r="G134" s="3"/>
      <c r="H134" s="39"/>
    </row>
    <row r="135" spans="1:9" s="308" customFormat="1" ht="18" x14ac:dyDescent="0.25">
      <c r="A135" s="431" t="s">
        <v>3277</v>
      </c>
      <c r="B135" s="425"/>
      <c r="C135" s="309"/>
      <c r="D135" s="309"/>
      <c r="E135" s="309"/>
      <c r="F135"/>
      <c r="G135" s="309"/>
      <c r="H135" s="310"/>
    </row>
    <row r="136" spans="1:9" s="308" customFormat="1" ht="18" x14ac:dyDescent="0.25">
      <c r="A136" s="421" t="s">
        <v>3367</v>
      </c>
      <c r="B136" s="550">
        <f>+I130</f>
        <v>0</v>
      </c>
      <c r="C136" s="309"/>
      <c r="D136" s="309"/>
      <c r="E136" s="309"/>
      <c r="F136"/>
      <c r="G136" s="309"/>
      <c r="H136" s="310"/>
    </row>
    <row r="137" spans="1:9" x14ac:dyDescent="0.25">
      <c r="F137"/>
    </row>
    <row r="138" spans="1:9" x14ac:dyDescent="0.25">
      <c r="F138"/>
    </row>
    <row r="139" spans="1:9" x14ac:dyDescent="0.25">
      <c r="F139"/>
    </row>
    <row r="140" spans="1:9" x14ac:dyDescent="0.25">
      <c r="F140"/>
    </row>
    <row r="141" spans="1:9" x14ac:dyDescent="0.25">
      <c r="F141"/>
    </row>
    <row r="142" spans="1:9" x14ac:dyDescent="0.25">
      <c r="F142"/>
    </row>
    <row r="143" spans="1:9" x14ac:dyDescent="0.25">
      <c r="F143"/>
    </row>
    <row r="144" spans="1:9" x14ac:dyDescent="0.25">
      <c r="F144"/>
    </row>
    <row r="145" spans="6:6" x14ac:dyDescent="0.25">
      <c r="F145"/>
    </row>
    <row r="146" spans="6:6" x14ac:dyDescent="0.25">
      <c r="F146"/>
    </row>
    <row r="147" spans="6:6" x14ac:dyDescent="0.25">
      <c r="F147"/>
    </row>
    <row r="148" spans="6:6" x14ac:dyDescent="0.25">
      <c r="F148"/>
    </row>
    <row r="149" spans="6:6" x14ac:dyDescent="0.25">
      <c r="F149"/>
    </row>
    <row r="150" spans="6:6" x14ac:dyDescent="0.25">
      <c r="F150"/>
    </row>
    <row r="151" spans="6:6" x14ac:dyDescent="0.25">
      <c r="F151"/>
    </row>
    <row r="152" spans="6:6" x14ac:dyDescent="0.25">
      <c r="F152"/>
    </row>
    <row r="153" spans="6:6" x14ac:dyDescent="0.25">
      <c r="F153"/>
    </row>
    <row r="154" spans="6:6" x14ac:dyDescent="0.25">
      <c r="F154"/>
    </row>
    <row r="155" spans="6:6" x14ac:dyDescent="0.25">
      <c r="F155"/>
    </row>
    <row r="156" spans="6:6" x14ac:dyDescent="0.25">
      <c r="F156"/>
    </row>
    <row r="157" spans="6:6" x14ac:dyDescent="0.25">
      <c r="F157"/>
    </row>
    <row r="158" spans="6:6" x14ac:dyDescent="0.25">
      <c r="F158"/>
    </row>
    <row r="159" spans="6:6" x14ac:dyDescent="0.25">
      <c r="F159"/>
    </row>
    <row r="160" spans="6:6" x14ac:dyDescent="0.25">
      <c r="F160"/>
    </row>
    <row r="161" spans="6:6" x14ac:dyDescent="0.25">
      <c r="F161"/>
    </row>
    <row r="162" spans="6:6" x14ac:dyDescent="0.25">
      <c r="F162"/>
    </row>
    <row r="163" spans="6:6" x14ac:dyDescent="0.25">
      <c r="F163"/>
    </row>
    <row r="164" spans="6:6" x14ac:dyDescent="0.25">
      <c r="F164"/>
    </row>
    <row r="165" spans="6:6" x14ac:dyDescent="0.25">
      <c r="F165"/>
    </row>
    <row r="166" spans="6:6" x14ac:dyDescent="0.25">
      <c r="F166"/>
    </row>
    <row r="167" spans="6:6" x14ac:dyDescent="0.25">
      <c r="F167"/>
    </row>
    <row r="168" spans="6:6" x14ac:dyDescent="0.25">
      <c r="F168"/>
    </row>
    <row r="169" spans="6:6" x14ac:dyDescent="0.25">
      <c r="F169"/>
    </row>
  </sheetData>
  <pageMargins left="0.5" right="0.5" top="0.5" bottom="0.5" header="0.3" footer="0.3"/>
  <pageSetup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5"/>
  <sheetViews>
    <sheetView workbookViewId="0">
      <pane ySplit="1" topLeftCell="A82" activePane="bottomLeft" state="frozen"/>
      <selection activeCell="G1" sqref="G1:G1048576"/>
      <selection pane="bottomLeft" activeCell="G2" sqref="G2:G110"/>
    </sheetView>
  </sheetViews>
  <sheetFormatPr defaultColWidth="9.140625" defaultRowHeight="15.75" x14ac:dyDescent="0.25"/>
  <cols>
    <col min="1" max="1" width="56.42578125" style="158" bestFit="1" customWidth="1"/>
    <col min="2" max="2" width="16.42578125" style="85" bestFit="1" customWidth="1"/>
    <col min="3" max="3" width="24.5703125" style="85" customWidth="1"/>
    <col min="4" max="4" width="22.85546875" style="85" bestFit="1" customWidth="1"/>
    <col min="5" max="5" width="26.42578125" style="85" bestFit="1" customWidth="1"/>
    <col min="6" max="6" width="18" style="311" customWidth="1"/>
    <col min="7" max="7" width="10" style="85" bestFit="1" customWidth="1"/>
    <col min="8" max="8" width="11.42578125" style="552" bestFit="1" customWidth="1"/>
    <col min="9" max="9" width="16.85546875" style="519" bestFit="1" customWidth="1"/>
    <col min="10" max="10" width="18" style="119" bestFit="1" customWidth="1"/>
    <col min="11" max="16384" width="9.140625" style="119"/>
  </cols>
  <sheetData>
    <row r="1" spans="1:9" x14ac:dyDescent="0.25">
      <c r="A1" s="157" t="s">
        <v>0</v>
      </c>
      <c r="B1" s="94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94" t="s">
        <v>412</v>
      </c>
      <c r="H1" s="545" t="s">
        <v>3368</v>
      </c>
      <c r="I1" s="539" t="s">
        <v>3369</v>
      </c>
    </row>
    <row r="2" spans="1:9" ht="15" x14ac:dyDescent="0.2">
      <c r="A2" s="55" t="s">
        <v>3279</v>
      </c>
      <c r="B2" s="71" t="s">
        <v>3270</v>
      </c>
      <c r="C2" s="430"/>
      <c r="D2" s="71" t="s">
        <v>3270</v>
      </c>
      <c r="E2" s="71"/>
      <c r="F2" s="523"/>
      <c r="G2" s="33">
        <v>1</v>
      </c>
      <c r="H2" s="551"/>
      <c r="I2" s="559">
        <f>+G2*H2</f>
        <v>0</v>
      </c>
    </row>
    <row r="3" spans="1:9" ht="15" x14ac:dyDescent="0.2">
      <c r="A3" s="55" t="s">
        <v>1572</v>
      </c>
      <c r="B3" s="71">
        <v>1992</v>
      </c>
      <c r="C3" s="430"/>
      <c r="D3" s="71"/>
      <c r="E3" s="71" t="s">
        <v>1920</v>
      </c>
      <c r="F3" s="523"/>
      <c r="G3" s="33">
        <v>1</v>
      </c>
      <c r="H3" s="551"/>
      <c r="I3" s="559">
        <f t="shared" ref="I3:I64" si="0">+G3*H3</f>
        <v>0</v>
      </c>
    </row>
    <row r="4" spans="1:9" ht="15" x14ac:dyDescent="0.2">
      <c r="A4" s="55" t="s">
        <v>1573</v>
      </c>
      <c r="B4" s="71">
        <v>3791</v>
      </c>
      <c r="C4" s="430"/>
      <c r="D4" s="71"/>
      <c r="E4" s="71" t="s">
        <v>1921</v>
      </c>
      <c r="F4" s="523"/>
      <c r="G4" s="33">
        <v>2</v>
      </c>
      <c r="H4" s="551"/>
      <c r="I4" s="559">
        <f t="shared" si="0"/>
        <v>0</v>
      </c>
    </row>
    <row r="5" spans="1:9" ht="15" x14ac:dyDescent="0.2">
      <c r="A5" s="246" t="s">
        <v>770</v>
      </c>
      <c r="B5" s="248" t="s">
        <v>771</v>
      </c>
      <c r="C5" s="430"/>
      <c r="D5" s="248"/>
      <c r="E5" s="248" t="s">
        <v>1923</v>
      </c>
      <c r="F5" s="523"/>
      <c r="G5" s="33">
        <v>1</v>
      </c>
      <c r="H5" s="551"/>
      <c r="I5" s="559">
        <f t="shared" si="0"/>
        <v>0</v>
      </c>
    </row>
    <row r="6" spans="1:9" ht="15" x14ac:dyDescent="0.2">
      <c r="A6" s="55" t="s">
        <v>1586</v>
      </c>
      <c r="B6" s="71" t="s">
        <v>775</v>
      </c>
      <c r="C6" s="430"/>
      <c r="D6" s="71"/>
      <c r="E6" s="71" t="s">
        <v>1927</v>
      </c>
      <c r="F6" s="523"/>
      <c r="G6" s="33">
        <v>1</v>
      </c>
      <c r="H6" s="551"/>
      <c r="I6" s="559">
        <f t="shared" si="0"/>
        <v>0</v>
      </c>
    </row>
    <row r="7" spans="1:9" ht="15" x14ac:dyDescent="0.2">
      <c r="A7" s="55" t="s">
        <v>193</v>
      </c>
      <c r="B7" s="71" t="s">
        <v>602</v>
      </c>
      <c r="C7" s="430"/>
      <c r="D7" s="71"/>
      <c r="E7" s="71" t="s">
        <v>1930</v>
      </c>
      <c r="F7" s="523"/>
      <c r="G7" s="33">
        <v>1</v>
      </c>
      <c r="H7" s="551"/>
      <c r="I7" s="559">
        <f t="shared" si="0"/>
        <v>0</v>
      </c>
    </row>
    <row r="8" spans="1:9" ht="15" x14ac:dyDescent="0.2">
      <c r="A8" s="55" t="s">
        <v>1623</v>
      </c>
      <c r="B8" s="71" t="s">
        <v>784</v>
      </c>
      <c r="C8" s="430"/>
      <c r="D8" s="71"/>
      <c r="E8" s="71" t="s">
        <v>1931</v>
      </c>
      <c r="F8" s="523"/>
      <c r="G8" s="33">
        <v>1</v>
      </c>
      <c r="H8" s="551"/>
      <c r="I8" s="559">
        <f t="shared" si="0"/>
        <v>0</v>
      </c>
    </row>
    <row r="9" spans="1:9" ht="15" x14ac:dyDescent="0.2">
      <c r="A9" s="55" t="s">
        <v>1624</v>
      </c>
      <c r="B9" s="71" t="s">
        <v>785</v>
      </c>
      <c r="C9" s="430"/>
      <c r="D9" s="71"/>
      <c r="E9" s="71" t="s">
        <v>1931</v>
      </c>
      <c r="F9" s="523"/>
      <c r="G9" s="33">
        <v>1</v>
      </c>
      <c r="H9" s="551"/>
      <c r="I9" s="559">
        <f t="shared" si="0"/>
        <v>0</v>
      </c>
    </row>
    <row r="10" spans="1:9" ht="15" x14ac:dyDescent="0.2">
      <c r="A10" s="55" t="s">
        <v>788</v>
      </c>
      <c r="B10" s="71" t="s">
        <v>634</v>
      </c>
      <c r="C10" s="430"/>
      <c r="D10" s="71"/>
      <c r="E10" s="71" t="s">
        <v>1935</v>
      </c>
      <c r="F10" s="523"/>
      <c r="G10" s="33">
        <v>8</v>
      </c>
      <c r="H10" s="551"/>
      <c r="I10" s="559">
        <f t="shared" si="0"/>
        <v>0</v>
      </c>
    </row>
    <row r="11" spans="1:9" ht="15" x14ac:dyDescent="0.2">
      <c r="A11" s="55" t="s">
        <v>787</v>
      </c>
      <c r="B11" s="71" t="s">
        <v>632</v>
      </c>
      <c r="C11" s="430"/>
      <c r="D11" s="71"/>
      <c r="E11" s="71" t="s">
        <v>1935</v>
      </c>
      <c r="F11" s="523"/>
      <c r="G11" s="33">
        <v>2</v>
      </c>
      <c r="H11" s="551"/>
      <c r="I11" s="559">
        <f t="shared" si="0"/>
        <v>0</v>
      </c>
    </row>
    <row r="12" spans="1:9" ht="15" x14ac:dyDescent="0.2">
      <c r="A12" s="55" t="s">
        <v>1533</v>
      </c>
      <c r="B12" s="71" t="s">
        <v>905</v>
      </c>
      <c r="C12" s="430"/>
      <c r="D12" s="71"/>
      <c r="E12" s="71" t="s">
        <v>1935</v>
      </c>
      <c r="F12" s="523"/>
      <c r="G12" s="33">
        <v>2</v>
      </c>
      <c r="H12" s="551"/>
      <c r="I12" s="559">
        <f t="shared" si="0"/>
        <v>0</v>
      </c>
    </row>
    <row r="13" spans="1:9" ht="15" x14ac:dyDescent="0.2">
      <c r="A13" s="55" t="s">
        <v>191</v>
      </c>
      <c r="B13" s="71" t="s">
        <v>597</v>
      </c>
      <c r="C13" s="430"/>
      <c r="D13" s="71"/>
      <c r="E13" s="71" t="s">
        <v>1936</v>
      </c>
      <c r="F13" s="523"/>
      <c r="G13" s="33">
        <v>4</v>
      </c>
      <c r="H13" s="551"/>
      <c r="I13" s="559">
        <f t="shared" si="0"/>
        <v>0</v>
      </c>
    </row>
    <row r="14" spans="1:9" ht="15" x14ac:dyDescent="0.2">
      <c r="A14" s="55" t="s">
        <v>1538</v>
      </c>
      <c r="B14" s="71" t="s">
        <v>903</v>
      </c>
      <c r="C14" s="430"/>
      <c r="D14" s="71"/>
      <c r="E14" s="71" t="s">
        <v>1935</v>
      </c>
      <c r="F14" s="523"/>
      <c r="G14" s="33">
        <v>6</v>
      </c>
      <c r="H14" s="551"/>
      <c r="I14" s="559">
        <f t="shared" si="0"/>
        <v>0</v>
      </c>
    </row>
    <row r="15" spans="1:9" ht="15" x14ac:dyDescent="0.2">
      <c r="A15" s="55" t="s">
        <v>1540</v>
      </c>
      <c r="B15" s="71" t="s">
        <v>953</v>
      </c>
      <c r="C15" s="430"/>
      <c r="D15" s="71"/>
      <c r="E15" s="71" t="s">
        <v>1920</v>
      </c>
      <c r="F15" s="523"/>
      <c r="G15" s="33">
        <v>1</v>
      </c>
      <c r="H15" s="551"/>
      <c r="I15" s="559">
        <f t="shared" si="0"/>
        <v>0</v>
      </c>
    </row>
    <row r="16" spans="1:9" ht="15" x14ac:dyDescent="0.2">
      <c r="A16" s="55" t="s">
        <v>1541</v>
      </c>
      <c r="B16" s="71" t="s">
        <v>954</v>
      </c>
      <c r="C16" s="430"/>
      <c r="D16" s="71"/>
      <c r="E16" s="71" t="s">
        <v>1920</v>
      </c>
      <c r="F16" s="523"/>
      <c r="G16" s="33">
        <v>1</v>
      </c>
      <c r="H16" s="551"/>
      <c r="I16" s="559">
        <f t="shared" si="0"/>
        <v>0</v>
      </c>
    </row>
    <row r="17" spans="1:9" ht="15" x14ac:dyDescent="0.2">
      <c r="A17" s="55" t="s">
        <v>1557</v>
      </c>
      <c r="B17" s="71" t="s">
        <v>2858</v>
      </c>
      <c r="C17" s="430"/>
      <c r="D17" s="71"/>
      <c r="E17" s="71">
        <v>55719</v>
      </c>
      <c r="F17" s="523"/>
      <c r="G17" s="33">
        <v>1</v>
      </c>
      <c r="H17" s="551"/>
      <c r="I17" s="559">
        <f t="shared" si="0"/>
        <v>0</v>
      </c>
    </row>
    <row r="18" spans="1:9" ht="15" x14ac:dyDescent="0.2">
      <c r="A18" s="55" t="s">
        <v>17</v>
      </c>
      <c r="B18" s="71" t="s">
        <v>407</v>
      </c>
      <c r="C18" s="430"/>
      <c r="D18" s="71"/>
      <c r="E18" s="266" t="s">
        <v>1920</v>
      </c>
      <c r="F18" s="523"/>
      <c r="G18" s="33">
        <v>1</v>
      </c>
      <c r="H18" s="551"/>
      <c r="I18" s="559">
        <f t="shared" si="0"/>
        <v>0</v>
      </c>
    </row>
    <row r="19" spans="1:9" ht="15" x14ac:dyDescent="0.2">
      <c r="A19" s="55" t="s">
        <v>1658</v>
      </c>
      <c r="B19" s="71" t="s">
        <v>599</v>
      </c>
      <c r="C19" s="430"/>
      <c r="D19" s="71"/>
      <c r="E19" s="266" t="s">
        <v>1939</v>
      </c>
      <c r="F19" s="523"/>
      <c r="G19" s="33">
        <v>1</v>
      </c>
      <c r="H19" s="551"/>
      <c r="I19" s="559">
        <f t="shared" si="0"/>
        <v>0</v>
      </c>
    </row>
    <row r="20" spans="1:9" ht="15" x14ac:dyDescent="0.2">
      <c r="A20" s="55" t="s">
        <v>779</v>
      </c>
      <c r="B20" s="71" t="s">
        <v>780</v>
      </c>
      <c r="C20" s="430"/>
      <c r="D20" s="71"/>
      <c r="E20" s="71" t="s">
        <v>1940</v>
      </c>
      <c r="F20" s="523"/>
      <c r="G20" s="33">
        <v>1</v>
      </c>
      <c r="H20" s="551"/>
      <c r="I20" s="559">
        <f t="shared" si="0"/>
        <v>0</v>
      </c>
    </row>
    <row r="21" spans="1:9" ht="15" x14ac:dyDescent="0.2">
      <c r="A21" s="55" t="s">
        <v>2927</v>
      </c>
      <c r="B21" s="71" t="s">
        <v>963</v>
      </c>
      <c r="C21" s="430"/>
      <c r="D21" s="71"/>
      <c r="E21" s="71" t="s">
        <v>1940</v>
      </c>
      <c r="F21" s="523"/>
      <c r="G21" s="33">
        <v>1</v>
      </c>
      <c r="H21" s="551"/>
      <c r="I21" s="559">
        <f t="shared" si="0"/>
        <v>0</v>
      </c>
    </row>
    <row r="22" spans="1:9" ht="15" x14ac:dyDescent="0.2">
      <c r="A22" s="246" t="s">
        <v>1513</v>
      </c>
      <c r="B22" s="314" t="s">
        <v>763</v>
      </c>
      <c r="C22" s="430"/>
      <c r="D22" s="314" t="s">
        <v>1911</v>
      </c>
      <c r="E22" s="314" t="s">
        <v>1966</v>
      </c>
      <c r="F22" s="523"/>
      <c r="G22" s="244">
        <v>4</v>
      </c>
      <c r="H22" s="551"/>
      <c r="I22" s="559">
        <f t="shared" si="0"/>
        <v>0</v>
      </c>
    </row>
    <row r="23" spans="1:9" ht="15" x14ac:dyDescent="0.2">
      <c r="A23" s="55" t="s">
        <v>3071</v>
      </c>
      <c r="B23" s="71" t="s">
        <v>3058</v>
      </c>
      <c r="C23" s="430"/>
      <c r="D23" s="71"/>
      <c r="E23" s="266">
        <v>55719</v>
      </c>
      <c r="F23" s="523"/>
      <c r="G23" s="33">
        <v>1</v>
      </c>
      <c r="H23" s="551"/>
      <c r="I23" s="559">
        <f t="shared" si="0"/>
        <v>0</v>
      </c>
    </row>
    <row r="24" spans="1:9" ht="15" x14ac:dyDescent="0.2">
      <c r="A24" s="55" t="s">
        <v>16</v>
      </c>
      <c r="B24" s="71" t="s">
        <v>476</v>
      </c>
      <c r="C24" s="430"/>
      <c r="D24" s="71"/>
      <c r="E24" s="266" t="s">
        <v>1920</v>
      </c>
      <c r="F24" s="523"/>
      <c r="G24" s="33">
        <v>1</v>
      </c>
      <c r="H24" s="551"/>
      <c r="I24" s="559">
        <f t="shared" si="0"/>
        <v>0</v>
      </c>
    </row>
    <row r="25" spans="1:9" ht="15" x14ac:dyDescent="0.2">
      <c r="A25" s="55" t="s">
        <v>1038</v>
      </c>
      <c r="B25" s="71" t="s">
        <v>280</v>
      </c>
      <c r="C25" s="430"/>
      <c r="D25" s="71"/>
      <c r="E25" s="266" t="s">
        <v>1920</v>
      </c>
      <c r="F25" s="523"/>
      <c r="G25" s="33">
        <v>2</v>
      </c>
      <c r="H25" s="551"/>
      <c r="I25" s="559">
        <f t="shared" si="0"/>
        <v>0</v>
      </c>
    </row>
    <row r="26" spans="1:9" ht="15" x14ac:dyDescent="0.2">
      <c r="A26" s="55" t="s">
        <v>1358</v>
      </c>
      <c r="B26" s="71" t="s">
        <v>3062</v>
      </c>
      <c r="C26" s="430"/>
      <c r="D26" s="71"/>
      <c r="E26" s="266" t="s">
        <v>1943</v>
      </c>
      <c r="F26" s="523"/>
      <c r="G26" s="33">
        <v>2</v>
      </c>
      <c r="H26" s="551"/>
      <c r="I26" s="559">
        <f t="shared" si="0"/>
        <v>0</v>
      </c>
    </row>
    <row r="27" spans="1:9" ht="15" x14ac:dyDescent="0.2">
      <c r="A27" s="313" t="s">
        <v>3018</v>
      </c>
      <c r="B27" s="236" t="s">
        <v>3019</v>
      </c>
      <c r="C27" s="430"/>
      <c r="D27" s="236"/>
      <c r="E27" s="236" t="s">
        <v>3020</v>
      </c>
      <c r="F27" s="523"/>
      <c r="G27" s="312">
        <v>1</v>
      </c>
      <c r="H27" s="544"/>
      <c r="I27" s="559">
        <f t="shared" si="0"/>
        <v>0</v>
      </c>
    </row>
    <row r="28" spans="1:9" ht="15" x14ac:dyDescent="0.2">
      <c r="A28" s="55" t="s">
        <v>1092</v>
      </c>
      <c r="B28" s="71" t="s">
        <v>406</v>
      </c>
      <c r="C28" s="430"/>
      <c r="D28" s="71"/>
      <c r="E28" s="71" t="s">
        <v>1920</v>
      </c>
      <c r="F28" s="523"/>
      <c r="G28" s="33">
        <v>5</v>
      </c>
      <c r="H28" s="551"/>
      <c r="I28" s="559">
        <f t="shared" si="0"/>
        <v>0</v>
      </c>
    </row>
    <row r="29" spans="1:9" ht="15" x14ac:dyDescent="0.2">
      <c r="A29" s="55" t="s">
        <v>1093</v>
      </c>
      <c r="B29" s="71" t="s">
        <v>215</v>
      </c>
      <c r="C29" s="430"/>
      <c r="D29" s="71"/>
      <c r="E29" s="71" t="s">
        <v>1920</v>
      </c>
      <c r="F29" s="523"/>
      <c r="G29" s="33">
        <v>5</v>
      </c>
      <c r="H29" s="551"/>
      <c r="I29" s="559">
        <f t="shared" si="0"/>
        <v>0</v>
      </c>
    </row>
    <row r="30" spans="1:9" ht="15" x14ac:dyDescent="0.2">
      <c r="A30" s="55" t="s">
        <v>1044</v>
      </c>
      <c r="B30" s="71" t="s">
        <v>272</v>
      </c>
      <c r="C30" s="430"/>
      <c r="D30" s="71"/>
      <c r="E30" s="71" t="s">
        <v>1920</v>
      </c>
      <c r="F30" s="523"/>
      <c r="G30" s="33">
        <v>4</v>
      </c>
      <c r="H30" s="551"/>
      <c r="I30" s="559">
        <f t="shared" si="0"/>
        <v>0</v>
      </c>
    </row>
    <row r="31" spans="1:9" ht="15" x14ac:dyDescent="0.2">
      <c r="A31" s="55" t="s">
        <v>1045</v>
      </c>
      <c r="B31" s="71" t="s">
        <v>273</v>
      </c>
      <c r="C31" s="430"/>
      <c r="D31" s="71"/>
      <c r="E31" s="71" t="s">
        <v>1920</v>
      </c>
      <c r="F31" s="523"/>
      <c r="G31" s="33">
        <v>4</v>
      </c>
      <c r="H31" s="551"/>
      <c r="I31" s="559">
        <f t="shared" si="0"/>
        <v>0</v>
      </c>
    </row>
    <row r="32" spans="1:9" ht="15" x14ac:dyDescent="0.2">
      <c r="A32" s="55" t="s">
        <v>6</v>
      </c>
      <c r="B32" s="71" t="s">
        <v>91</v>
      </c>
      <c r="C32" s="430"/>
      <c r="D32" s="71"/>
      <c r="E32" s="71" t="s">
        <v>1920</v>
      </c>
      <c r="F32" s="523"/>
      <c r="G32" s="33">
        <v>1</v>
      </c>
      <c r="H32" s="551"/>
      <c r="I32" s="559">
        <f t="shared" si="0"/>
        <v>0</v>
      </c>
    </row>
    <row r="33" spans="1:9" ht="15" x14ac:dyDescent="0.2">
      <c r="A33" s="55" t="s">
        <v>1259</v>
      </c>
      <c r="B33" s="71" t="s">
        <v>615</v>
      </c>
      <c r="C33" s="430"/>
      <c r="D33" s="71"/>
      <c r="E33" s="71" t="s">
        <v>1920</v>
      </c>
      <c r="F33" s="523"/>
      <c r="G33" s="33">
        <v>2</v>
      </c>
      <c r="H33" s="551"/>
      <c r="I33" s="559">
        <f t="shared" si="0"/>
        <v>0</v>
      </c>
    </row>
    <row r="34" spans="1:9" ht="15" x14ac:dyDescent="0.2">
      <c r="A34" s="55" t="s">
        <v>2003</v>
      </c>
      <c r="B34" s="71" t="s">
        <v>2001</v>
      </c>
      <c r="C34" s="430"/>
      <c r="D34" s="71"/>
      <c r="E34" s="71" t="s">
        <v>1920</v>
      </c>
      <c r="F34" s="523"/>
      <c r="G34" s="33">
        <v>2</v>
      </c>
      <c r="H34" s="551"/>
      <c r="I34" s="559">
        <f t="shared" si="0"/>
        <v>0</v>
      </c>
    </row>
    <row r="35" spans="1:9" ht="15" x14ac:dyDescent="0.2">
      <c r="A35" s="55" t="s">
        <v>161</v>
      </c>
      <c r="B35" s="71" t="s">
        <v>774</v>
      </c>
      <c r="C35" s="430"/>
      <c r="D35" s="71"/>
      <c r="E35" s="71" t="s">
        <v>1920</v>
      </c>
      <c r="F35" s="523"/>
      <c r="G35" s="33">
        <v>2</v>
      </c>
      <c r="H35" s="551"/>
      <c r="I35" s="559">
        <f t="shared" si="0"/>
        <v>0</v>
      </c>
    </row>
    <row r="36" spans="1:9" ht="15" x14ac:dyDescent="0.2">
      <c r="A36" s="55" t="s">
        <v>192</v>
      </c>
      <c r="B36" s="71" t="s">
        <v>601</v>
      </c>
      <c r="C36" s="430"/>
      <c r="D36" s="71"/>
      <c r="E36" s="71" t="s">
        <v>1920</v>
      </c>
      <c r="F36" s="523"/>
      <c r="G36" s="33">
        <v>2</v>
      </c>
      <c r="H36" s="551"/>
      <c r="I36" s="559">
        <f t="shared" si="0"/>
        <v>0</v>
      </c>
    </row>
    <row r="37" spans="1:9" ht="15" x14ac:dyDescent="0.2">
      <c r="A37" s="246" t="s">
        <v>3260</v>
      </c>
      <c r="B37" s="71" t="s">
        <v>480</v>
      </c>
      <c r="C37" s="430"/>
      <c r="D37" s="71"/>
      <c r="E37" s="71" t="s">
        <v>1920</v>
      </c>
      <c r="F37" s="523"/>
      <c r="G37" s="33">
        <v>4</v>
      </c>
      <c r="H37" s="551"/>
      <c r="I37" s="559">
        <f t="shared" si="0"/>
        <v>0</v>
      </c>
    </row>
    <row r="38" spans="1:9" ht="15" x14ac:dyDescent="0.2">
      <c r="A38" s="246" t="s">
        <v>3262</v>
      </c>
      <c r="B38" s="71" t="s">
        <v>635</v>
      </c>
      <c r="C38" s="430"/>
      <c r="D38" s="71"/>
      <c r="E38" s="71" t="s">
        <v>1920</v>
      </c>
      <c r="F38" s="523"/>
      <c r="G38" s="33">
        <v>2</v>
      </c>
      <c r="H38" s="551"/>
      <c r="I38" s="559">
        <f t="shared" si="0"/>
        <v>0</v>
      </c>
    </row>
    <row r="39" spans="1:9" ht="15" x14ac:dyDescent="0.2">
      <c r="A39" s="55" t="s">
        <v>1469</v>
      </c>
      <c r="B39" s="71" t="s">
        <v>737</v>
      </c>
      <c r="C39" s="430"/>
      <c r="D39" s="71"/>
      <c r="E39" s="71" t="s">
        <v>1920</v>
      </c>
      <c r="F39" s="523"/>
      <c r="G39" s="33">
        <v>1</v>
      </c>
      <c r="H39" s="551"/>
      <c r="I39" s="559">
        <f t="shared" si="0"/>
        <v>0</v>
      </c>
    </row>
    <row r="40" spans="1:9" ht="15" x14ac:dyDescent="0.2">
      <c r="A40" s="246" t="s">
        <v>3257</v>
      </c>
      <c r="B40" s="71" t="s">
        <v>888</v>
      </c>
      <c r="C40" s="430"/>
      <c r="D40" s="71"/>
      <c r="E40" s="71" t="s">
        <v>1920</v>
      </c>
      <c r="F40" s="523"/>
      <c r="G40" s="33">
        <v>4</v>
      </c>
      <c r="H40" s="551"/>
      <c r="I40" s="559">
        <f t="shared" si="0"/>
        <v>0</v>
      </c>
    </row>
    <row r="41" spans="1:9" ht="15" x14ac:dyDescent="0.2">
      <c r="A41" s="55" t="s">
        <v>1470</v>
      </c>
      <c r="B41" s="71" t="s">
        <v>637</v>
      </c>
      <c r="C41" s="430"/>
      <c r="D41" s="71"/>
      <c r="E41" s="71" t="s">
        <v>1920</v>
      </c>
      <c r="F41" s="523"/>
      <c r="G41" s="33">
        <v>2</v>
      </c>
      <c r="H41" s="551"/>
      <c r="I41" s="559">
        <f t="shared" si="0"/>
        <v>0</v>
      </c>
    </row>
    <row r="42" spans="1:9" ht="15" x14ac:dyDescent="0.2">
      <c r="A42" s="55" t="s">
        <v>1283</v>
      </c>
      <c r="B42" s="71" t="s">
        <v>1992</v>
      </c>
      <c r="C42" s="430"/>
      <c r="D42" s="71"/>
      <c r="E42" s="71">
        <v>57163</v>
      </c>
      <c r="F42" s="523"/>
      <c r="G42" s="33">
        <v>1</v>
      </c>
      <c r="H42" s="551"/>
      <c r="I42" s="559">
        <f t="shared" si="0"/>
        <v>0</v>
      </c>
    </row>
    <row r="43" spans="1:9" ht="15" x14ac:dyDescent="0.2">
      <c r="A43" s="55" t="s">
        <v>66</v>
      </c>
      <c r="B43" s="71" t="s">
        <v>1836</v>
      </c>
      <c r="C43" s="430"/>
      <c r="D43" s="71"/>
      <c r="E43" s="71" t="s">
        <v>1947</v>
      </c>
      <c r="F43" s="523"/>
      <c r="G43" s="33">
        <v>2</v>
      </c>
      <c r="H43" s="551"/>
      <c r="I43" s="559">
        <f t="shared" si="0"/>
        <v>0</v>
      </c>
    </row>
    <row r="44" spans="1:9" ht="15" x14ac:dyDescent="0.2">
      <c r="A44" s="55" t="s">
        <v>1510</v>
      </c>
      <c r="B44" s="71" t="s">
        <v>2130</v>
      </c>
      <c r="C44" s="430"/>
      <c r="D44" s="71"/>
      <c r="E44" s="71" t="s">
        <v>1920</v>
      </c>
      <c r="F44" s="523"/>
      <c r="G44" s="33">
        <v>2</v>
      </c>
      <c r="H44" s="551"/>
      <c r="I44" s="559">
        <f t="shared" si="0"/>
        <v>0</v>
      </c>
    </row>
    <row r="45" spans="1:9" ht="15" x14ac:dyDescent="0.2">
      <c r="A45" s="55" t="s">
        <v>1511</v>
      </c>
      <c r="B45" s="71" t="s">
        <v>2000</v>
      </c>
      <c r="C45" s="430"/>
      <c r="D45" s="71"/>
      <c r="E45" s="71" t="s">
        <v>1920</v>
      </c>
      <c r="F45" s="523"/>
      <c r="G45" s="33">
        <v>2</v>
      </c>
      <c r="H45" s="551"/>
      <c r="I45" s="559">
        <f t="shared" si="0"/>
        <v>0</v>
      </c>
    </row>
    <row r="46" spans="1:9" ht="15" x14ac:dyDescent="0.2">
      <c r="A46" s="55" t="s">
        <v>1512</v>
      </c>
      <c r="B46" s="71" t="s">
        <v>1999</v>
      </c>
      <c r="C46" s="430"/>
      <c r="D46" s="71"/>
      <c r="E46" s="71" t="s">
        <v>1920</v>
      </c>
      <c r="F46" s="523"/>
      <c r="G46" s="33">
        <v>2</v>
      </c>
      <c r="H46" s="551"/>
      <c r="I46" s="559">
        <f t="shared" si="0"/>
        <v>0</v>
      </c>
    </row>
    <row r="47" spans="1:9" ht="15" x14ac:dyDescent="0.2">
      <c r="A47" s="55" t="s">
        <v>157</v>
      </c>
      <c r="B47" s="71" t="s">
        <v>633</v>
      </c>
      <c r="C47" s="430"/>
      <c r="D47" s="71" t="s">
        <v>1890</v>
      </c>
      <c r="E47" s="71" t="s">
        <v>1948</v>
      </c>
      <c r="F47" s="523"/>
      <c r="G47" s="33">
        <v>1</v>
      </c>
      <c r="H47" s="551"/>
      <c r="I47" s="559">
        <f t="shared" si="0"/>
        <v>0</v>
      </c>
    </row>
    <row r="48" spans="1:9" ht="15" x14ac:dyDescent="0.2">
      <c r="A48" s="55" t="s">
        <v>1502</v>
      </c>
      <c r="B48" s="71" t="s">
        <v>789</v>
      </c>
      <c r="C48" s="430"/>
      <c r="D48" s="71" t="s">
        <v>1901</v>
      </c>
      <c r="E48" s="71" t="s">
        <v>1959</v>
      </c>
      <c r="F48" s="523"/>
      <c r="G48" s="33">
        <v>1</v>
      </c>
      <c r="H48" s="551"/>
      <c r="I48" s="559">
        <f t="shared" si="0"/>
        <v>0</v>
      </c>
    </row>
    <row r="49" spans="1:9" ht="15" x14ac:dyDescent="0.2">
      <c r="A49" s="55" t="s">
        <v>1503</v>
      </c>
      <c r="B49" s="71" t="s">
        <v>786</v>
      </c>
      <c r="C49" s="430"/>
      <c r="D49" s="71" t="s">
        <v>1902</v>
      </c>
      <c r="E49" s="71" t="s">
        <v>1960</v>
      </c>
      <c r="F49" s="523"/>
      <c r="G49" s="33">
        <v>1</v>
      </c>
      <c r="H49" s="551"/>
      <c r="I49" s="559">
        <f t="shared" si="0"/>
        <v>0</v>
      </c>
    </row>
    <row r="50" spans="1:9" ht="15" x14ac:dyDescent="0.2">
      <c r="A50" s="55" t="s">
        <v>1506</v>
      </c>
      <c r="B50" s="71" t="s">
        <v>904</v>
      </c>
      <c r="C50" s="430"/>
      <c r="D50" s="71" t="s">
        <v>1905</v>
      </c>
      <c r="E50" s="71" t="s">
        <v>1963</v>
      </c>
      <c r="F50" s="523"/>
      <c r="G50" s="33">
        <v>2</v>
      </c>
      <c r="H50" s="551"/>
      <c r="I50" s="559">
        <f t="shared" si="0"/>
        <v>0</v>
      </c>
    </row>
    <row r="51" spans="1:9" ht="15" x14ac:dyDescent="0.2">
      <c r="A51" s="55" t="s">
        <v>1507</v>
      </c>
      <c r="B51" s="71" t="s">
        <v>631</v>
      </c>
      <c r="C51" s="430"/>
      <c r="D51" s="71" t="s">
        <v>1907</v>
      </c>
      <c r="E51" s="71" t="s">
        <v>1928</v>
      </c>
      <c r="F51" s="523"/>
      <c r="G51" s="33">
        <v>4</v>
      </c>
      <c r="H51" s="551"/>
      <c r="I51" s="559">
        <f t="shared" si="0"/>
        <v>0</v>
      </c>
    </row>
    <row r="52" spans="1:9" ht="15" x14ac:dyDescent="0.2">
      <c r="A52" s="55" t="s">
        <v>1508</v>
      </c>
      <c r="B52" s="71" t="s">
        <v>600</v>
      </c>
      <c r="C52" s="430"/>
      <c r="D52" s="71" t="s">
        <v>1908</v>
      </c>
      <c r="E52" s="71" t="s">
        <v>1928</v>
      </c>
      <c r="F52" s="523"/>
      <c r="G52" s="33">
        <v>4</v>
      </c>
      <c r="H52" s="551"/>
      <c r="I52" s="559">
        <f t="shared" si="0"/>
        <v>0</v>
      </c>
    </row>
    <row r="53" spans="1:9" ht="15" x14ac:dyDescent="0.2">
      <c r="A53" s="55" t="s">
        <v>158</v>
      </c>
      <c r="B53" s="71" t="s">
        <v>603</v>
      </c>
      <c r="C53" s="430"/>
      <c r="D53" s="71" t="s">
        <v>1909</v>
      </c>
      <c r="E53" s="71" t="s">
        <v>1964</v>
      </c>
      <c r="F53" s="523"/>
      <c r="G53" s="33">
        <v>2</v>
      </c>
      <c r="H53" s="551"/>
      <c r="I53" s="559">
        <f t="shared" si="0"/>
        <v>0</v>
      </c>
    </row>
    <row r="54" spans="1:9" ht="15" x14ac:dyDescent="0.2">
      <c r="A54" s="55" t="s">
        <v>765</v>
      </c>
      <c r="B54" s="71" t="s">
        <v>766</v>
      </c>
      <c r="C54" s="430"/>
      <c r="D54" s="71" t="s">
        <v>1910</v>
      </c>
      <c r="E54" s="71" t="s">
        <v>1965</v>
      </c>
      <c r="F54" s="430"/>
      <c r="G54" s="33">
        <v>6</v>
      </c>
      <c r="H54" s="551"/>
      <c r="I54" s="559">
        <f t="shared" si="0"/>
        <v>0</v>
      </c>
    </row>
    <row r="55" spans="1:9" ht="15" x14ac:dyDescent="0.2">
      <c r="A55" s="55" t="s">
        <v>160</v>
      </c>
      <c r="B55" s="71" t="s">
        <v>605</v>
      </c>
      <c r="C55" s="430"/>
      <c r="D55" s="71" t="s">
        <v>1912</v>
      </c>
      <c r="E55" s="71" t="s">
        <v>1967</v>
      </c>
      <c r="F55" s="457"/>
      <c r="G55" s="33">
        <v>4</v>
      </c>
      <c r="H55" s="551"/>
      <c r="I55" s="559">
        <f t="shared" si="0"/>
        <v>0</v>
      </c>
    </row>
    <row r="56" spans="1:9" ht="15" x14ac:dyDescent="0.2">
      <c r="A56" s="55" t="s">
        <v>155</v>
      </c>
      <c r="B56" s="71" t="s">
        <v>595</v>
      </c>
      <c r="C56" s="430"/>
      <c r="D56" s="71" t="s">
        <v>1913</v>
      </c>
      <c r="E56" s="71" t="s">
        <v>1967</v>
      </c>
      <c r="F56" s="523"/>
      <c r="G56" s="33">
        <v>4</v>
      </c>
      <c r="H56" s="551"/>
      <c r="I56" s="559">
        <f t="shared" si="0"/>
        <v>0</v>
      </c>
    </row>
    <row r="57" spans="1:9" ht="15" x14ac:dyDescent="0.2">
      <c r="A57" s="55" t="s">
        <v>156</v>
      </c>
      <c r="B57" s="71" t="s">
        <v>596</v>
      </c>
      <c r="C57" s="430"/>
      <c r="D57" s="71" t="s">
        <v>1914</v>
      </c>
      <c r="E57" s="71" t="s">
        <v>1967</v>
      </c>
      <c r="F57" s="523"/>
      <c r="G57" s="33">
        <v>4</v>
      </c>
      <c r="H57" s="551"/>
      <c r="I57" s="559">
        <f t="shared" si="0"/>
        <v>0</v>
      </c>
    </row>
    <row r="58" spans="1:9" ht="15" x14ac:dyDescent="0.2">
      <c r="A58" s="242" t="s">
        <v>3088</v>
      </c>
      <c r="B58" s="312" t="s">
        <v>3087</v>
      </c>
      <c r="C58" s="430"/>
      <c r="D58" s="312"/>
      <c r="E58" s="312">
        <v>55719</v>
      </c>
      <c r="F58" s="523"/>
      <c r="G58" s="33">
        <v>2</v>
      </c>
      <c r="H58" s="551"/>
      <c r="I58" s="559">
        <f t="shared" si="0"/>
        <v>0</v>
      </c>
    </row>
    <row r="59" spans="1:9" ht="15" x14ac:dyDescent="0.2">
      <c r="A59" s="246" t="s">
        <v>2857</v>
      </c>
      <c r="B59" s="314" t="s">
        <v>2850</v>
      </c>
      <c r="C59" s="430"/>
      <c r="D59" s="314"/>
      <c r="E59" s="314" t="s">
        <v>1928</v>
      </c>
      <c r="F59" s="523"/>
      <c r="G59" s="33">
        <v>2</v>
      </c>
      <c r="H59" s="551"/>
      <c r="I59" s="559">
        <f t="shared" si="0"/>
        <v>0</v>
      </c>
    </row>
    <row r="60" spans="1:9" ht="15" x14ac:dyDescent="0.2">
      <c r="A60" s="55" t="s">
        <v>14</v>
      </c>
      <c r="B60" s="71" t="s">
        <v>472</v>
      </c>
      <c r="C60" s="430"/>
      <c r="D60" s="71"/>
      <c r="E60" s="71" t="s">
        <v>1971</v>
      </c>
      <c r="F60" s="523"/>
      <c r="G60" s="33">
        <v>2</v>
      </c>
      <c r="H60" s="551"/>
      <c r="I60" s="559">
        <f t="shared" si="0"/>
        <v>0</v>
      </c>
    </row>
    <row r="61" spans="1:9" ht="15" x14ac:dyDescent="0.2">
      <c r="A61" s="55" t="s">
        <v>2929</v>
      </c>
      <c r="B61" s="71" t="s">
        <v>710</v>
      </c>
      <c r="C61" s="430"/>
      <c r="D61" s="71"/>
      <c r="E61" s="71" t="s">
        <v>1920</v>
      </c>
      <c r="F61" s="523"/>
      <c r="G61" s="33">
        <v>1</v>
      </c>
      <c r="H61" s="551"/>
      <c r="I61" s="559">
        <f t="shared" si="0"/>
        <v>0</v>
      </c>
    </row>
    <row r="62" spans="1:9" ht="15" x14ac:dyDescent="0.2">
      <c r="A62" s="55" t="s">
        <v>159</v>
      </c>
      <c r="B62" s="71" t="s">
        <v>1107</v>
      </c>
      <c r="C62" s="430"/>
      <c r="D62" s="71" t="s">
        <v>1915</v>
      </c>
      <c r="E62" s="71" t="s">
        <v>1965</v>
      </c>
      <c r="F62" s="523"/>
      <c r="G62" s="33">
        <v>2</v>
      </c>
      <c r="H62" s="551"/>
      <c r="I62" s="559">
        <f t="shared" si="0"/>
        <v>0</v>
      </c>
    </row>
    <row r="63" spans="1:9" ht="15" x14ac:dyDescent="0.2">
      <c r="A63" s="55" t="s">
        <v>3128</v>
      </c>
      <c r="B63" s="71" t="s">
        <v>783</v>
      </c>
      <c r="C63" s="430"/>
      <c r="D63" s="71" t="s">
        <v>1917</v>
      </c>
      <c r="E63" s="71" t="s">
        <v>1965</v>
      </c>
      <c r="F63" s="523"/>
      <c r="G63" s="33">
        <v>2</v>
      </c>
      <c r="H63" s="551"/>
      <c r="I63" s="559">
        <f t="shared" si="0"/>
        <v>0</v>
      </c>
    </row>
    <row r="64" spans="1:9" ht="15" x14ac:dyDescent="0.2">
      <c r="A64" s="55" t="s">
        <v>2895</v>
      </c>
      <c r="B64" s="71" t="s">
        <v>2896</v>
      </c>
      <c r="C64" s="430"/>
      <c r="D64" s="71"/>
      <c r="E64" s="71" t="s">
        <v>1920</v>
      </c>
      <c r="F64" s="523"/>
      <c r="G64" s="33">
        <v>6</v>
      </c>
      <c r="H64" s="551"/>
      <c r="I64" s="559">
        <f t="shared" si="0"/>
        <v>0</v>
      </c>
    </row>
    <row r="65" spans="1:9" ht="15" x14ac:dyDescent="0.2">
      <c r="A65" s="55" t="s">
        <v>1704</v>
      </c>
      <c r="B65" s="71" t="s">
        <v>782</v>
      </c>
      <c r="C65" s="430"/>
      <c r="D65" s="71"/>
      <c r="E65" s="71" t="s">
        <v>1920</v>
      </c>
      <c r="F65" s="523"/>
      <c r="G65" s="33">
        <v>1</v>
      </c>
      <c r="H65" s="551"/>
      <c r="I65" s="559">
        <f t="shared" ref="I65:I110" si="1">+G65*H65</f>
        <v>0</v>
      </c>
    </row>
    <row r="66" spans="1:9" ht="15" x14ac:dyDescent="0.2">
      <c r="A66" s="55" t="s">
        <v>1415</v>
      </c>
      <c r="B66" s="71" t="s">
        <v>604</v>
      </c>
      <c r="C66" s="430"/>
      <c r="D66" s="71"/>
      <c r="E66" s="71" t="s">
        <v>1973</v>
      </c>
      <c r="F66" s="523"/>
      <c r="G66" s="33">
        <v>2</v>
      </c>
      <c r="H66" s="551"/>
      <c r="I66" s="559">
        <f t="shared" si="1"/>
        <v>0</v>
      </c>
    </row>
    <row r="67" spans="1:9" ht="15" x14ac:dyDescent="0.2">
      <c r="A67" s="55" t="s">
        <v>2928</v>
      </c>
      <c r="B67" s="71" t="s">
        <v>781</v>
      </c>
      <c r="C67" s="430"/>
      <c r="D67" s="71"/>
      <c r="E67" s="71" t="s">
        <v>1920</v>
      </c>
      <c r="F67" s="523"/>
      <c r="G67" s="33">
        <v>1</v>
      </c>
      <c r="H67" s="551"/>
      <c r="I67" s="559">
        <f t="shared" si="1"/>
        <v>0</v>
      </c>
    </row>
    <row r="68" spans="1:9" ht="15" x14ac:dyDescent="0.2">
      <c r="A68" s="55" t="s">
        <v>1590</v>
      </c>
      <c r="B68" s="71" t="s">
        <v>715</v>
      </c>
      <c r="C68" s="430"/>
      <c r="D68" s="71"/>
      <c r="E68" s="71" t="s">
        <v>1920</v>
      </c>
      <c r="F68" s="523"/>
      <c r="G68" s="33">
        <v>1</v>
      </c>
      <c r="H68" s="551"/>
      <c r="I68" s="559">
        <f t="shared" si="1"/>
        <v>0</v>
      </c>
    </row>
    <row r="69" spans="1:9" ht="15" x14ac:dyDescent="0.2">
      <c r="A69" s="55" t="s">
        <v>1592</v>
      </c>
      <c r="B69" s="71" t="s">
        <v>772</v>
      </c>
      <c r="C69" s="430"/>
      <c r="D69" s="71"/>
      <c r="E69" s="71" t="s">
        <v>1920</v>
      </c>
      <c r="F69" s="523"/>
      <c r="G69" s="33">
        <v>1</v>
      </c>
      <c r="H69" s="551"/>
      <c r="I69" s="559">
        <f t="shared" si="1"/>
        <v>0</v>
      </c>
    </row>
    <row r="70" spans="1:9" ht="15" x14ac:dyDescent="0.2">
      <c r="A70" s="55" t="s">
        <v>1593</v>
      </c>
      <c r="B70" s="71" t="s">
        <v>773</v>
      </c>
      <c r="C70" s="430"/>
      <c r="D70" s="71"/>
      <c r="E70" s="71" t="s">
        <v>1920</v>
      </c>
      <c r="F70" s="523"/>
      <c r="G70" s="33">
        <v>1</v>
      </c>
      <c r="H70" s="551"/>
      <c r="I70" s="559">
        <f t="shared" si="1"/>
        <v>0</v>
      </c>
    </row>
    <row r="71" spans="1:9" ht="15" x14ac:dyDescent="0.2">
      <c r="A71" s="55" t="s">
        <v>1617</v>
      </c>
      <c r="B71" s="71" t="s">
        <v>409</v>
      </c>
      <c r="C71" s="430"/>
      <c r="D71" s="71"/>
      <c r="E71" s="71" t="s">
        <v>1920</v>
      </c>
      <c r="F71" s="523"/>
      <c r="G71" s="33">
        <v>1</v>
      </c>
      <c r="H71" s="551"/>
      <c r="I71" s="559">
        <f t="shared" si="1"/>
        <v>0</v>
      </c>
    </row>
    <row r="72" spans="1:9" ht="15" x14ac:dyDescent="0.2">
      <c r="A72" s="246" t="s">
        <v>2133</v>
      </c>
      <c r="B72" s="314" t="s">
        <v>2909</v>
      </c>
      <c r="C72" s="430"/>
      <c r="D72" s="314"/>
      <c r="E72" s="314">
        <v>56654</v>
      </c>
      <c r="F72" s="523"/>
      <c r="G72" s="244">
        <v>2</v>
      </c>
      <c r="H72" s="551"/>
      <c r="I72" s="559">
        <f t="shared" si="1"/>
        <v>0</v>
      </c>
    </row>
    <row r="73" spans="1:9" ht="15" x14ac:dyDescent="0.2">
      <c r="A73" s="246" t="s">
        <v>776</v>
      </c>
      <c r="B73" s="314" t="s">
        <v>777</v>
      </c>
      <c r="C73" s="430"/>
      <c r="D73" s="314" t="s">
        <v>1919</v>
      </c>
      <c r="E73" s="314" t="s">
        <v>1978</v>
      </c>
      <c r="F73" s="523"/>
      <c r="G73" s="33">
        <v>2</v>
      </c>
      <c r="H73" s="551"/>
      <c r="I73" s="559">
        <f t="shared" si="1"/>
        <v>0</v>
      </c>
    </row>
    <row r="74" spans="1:9" ht="15" x14ac:dyDescent="0.2">
      <c r="A74" s="55" t="s">
        <v>105</v>
      </c>
      <c r="B74" s="71" t="s">
        <v>2118</v>
      </c>
      <c r="C74" s="430"/>
      <c r="D74" s="71"/>
      <c r="E74" s="71" t="s">
        <v>1920</v>
      </c>
      <c r="F74" s="523"/>
      <c r="G74" s="33">
        <v>4</v>
      </c>
      <c r="H74" s="551"/>
      <c r="I74" s="559">
        <f t="shared" si="1"/>
        <v>0</v>
      </c>
    </row>
    <row r="75" spans="1:9" ht="15" x14ac:dyDescent="0.2">
      <c r="A75" s="55" t="s">
        <v>195</v>
      </c>
      <c r="B75" s="71" t="s">
        <v>1984</v>
      </c>
      <c r="C75" s="430"/>
      <c r="D75" s="71"/>
      <c r="E75" s="71" t="s">
        <v>1920</v>
      </c>
      <c r="F75" s="523"/>
      <c r="G75" s="33">
        <v>3</v>
      </c>
      <c r="H75" s="551"/>
      <c r="I75" s="559">
        <f t="shared" si="1"/>
        <v>0</v>
      </c>
    </row>
    <row r="76" spans="1:9" ht="15" x14ac:dyDescent="0.2">
      <c r="A76" s="55" t="s">
        <v>188</v>
      </c>
      <c r="B76" s="71" t="s">
        <v>2742</v>
      </c>
      <c r="C76" s="430"/>
      <c r="D76" s="71"/>
      <c r="E76" s="71" t="s">
        <v>1920</v>
      </c>
      <c r="F76" s="523"/>
      <c r="G76" s="33">
        <v>1</v>
      </c>
      <c r="H76" s="551"/>
      <c r="I76" s="559">
        <f t="shared" si="1"/>
        <v>0</v>
      </c>
    </row>
    <row r="77" spans="1:9" ht="15" x14ac:dyDescent="0.2">
      <c r="A77" s="55" t="s">
        <v>189</v>
      </c>
      <c r="B77" s="71" t="s">
        <v>2743</v>
      </c>
      <c r="C77" s="430"/>
      <c r="D77" s="71"/>
      <c r="E77" s="71" t="s">
        <v>1920</v>
      </c>
      <c r="F77" s="523"/>
      <c r="G77" s="33">
        <v>1</v>
      </c>
      <c r="H77" s="551"/>
      <c r="I77" s="559">
        <f t="shared" si="1"/>
        <v>0</v>
      </c>
    </row>
    <row r="78" spans="1:9" s="212" customFormat="1" x14ac:dyDescent="0.25">
      <c r="A78" s="55" t="s">
        <v>187</v>
      </c>
      <c r="B78" s="71" t="s">
        <v>2744</v>
      </c>
      <c r="C78" s="430"/>
      <c r="D78" s="71"/>
      <c r="E78" s="71" t="s">
        <v>1920</v>
      </c>
      <c r="F78" s="523"/>
      <c r="G78" s="33">
        <v>1</v>
      </c>
      <c r="H78" s="551"/>
      <c r="I78" s="559">
        <f t="shared" si="1"/>
        <v>0</v>
      </c>
    </row>
    <row r="79" spans="1:9" ht="15" x14ac:dyDescent="0.2">
      <c r="A79" s="55" t="s">
        <v>1085</v>
      </c>
      <c r="B79" s="71" t="s">
        <v>92</v>
      </c>
      <c r="C79" s="430"/>
      <c r="D79" s="71"/>
      <c r="E79" s="71" t="s">
        <v>1920</v>
      </c>
      <c r="F79" s="523"/>
      <c r="G79" s="33">
        <v>1</v>
      </c>
      <c r="H79" s="551"/>
      <c r="I79" s="559">
        <f t="shared" si="1"/>
        <v>0</v>
      </c>
    </row>
    <row r="80" spans="1:9" ht="15" x14ac:dyDescent="0.2">
      <c r="A80" s="55" t="s">
        <v>3132</v>
      </c>
      <c r="B80" s="71" t="s">
        <v>2732</v>
      </c>
      <c r="C80" s="430"/>
      <c r="D80" s="71"/>
      <c r="E80" s="71" t="s">
        <v>1920</v>
      </c>
      <c r="F80" s="523"/>
      <c r="G80" s="33">
        <v>2</v>
      </c>
      <c r="H80" s="551"/>
      <c r="I80" s="559">
        <f t="shared" si="1"/>
        <v>0</v>
      </c>
    </row>
    <row r="81" spans="1:9" ht="15" x14ac:dyDescent="0.2">
      <c r="A81" s="55" t="s">
        <v>1651</v>
      </c>
      <c r="B81" s="71" t="s">
        <v>764</v>
      </c>
      <c r="C81" s="430"/>
      <c r="D81" s="71"/>
      <c r="E81" s="71" t="s">
        <v>1920</v>
      </c>
      <c r="F81" s="523"/>
      <c r="G81" s="33">
        <v>1</v>
      </c>
      <c r="H81" s="551"/>
      <c r="I81" s="559">
        <f t="shared" si="1"/>
        <v>0</v>
      </c>
    </row>
    <row r="82" spans="1:9" ht="15" x14ac:dyDescent="0.2">
      <c r="A82" s="55" t="s">
        <v>3036</v>
      </c>
      <c r="B82" s="71" t="s">
        <v>3037</v>
      </c>
      <c r="C82" s="430"/>
      <c r="D82" s="71"/>
      <c r="E82" s="71" t="s">
        <v>3022</v>
      </c>
      <c r="F82" s="523"/>
      <c r="G82" s="33">
        <v>2</v>
      </c>
      <c r="H82" s="551"/>
      <c r="I82" s="559">
        <f t="shared" si="1"/>
        <v>0</v>
      </c>
    </row>
    <row r="83" spans="1:9" ht="15" x14ac:dyDescent="0.2">
      <c r="A83" s="55" t="s">
        <v>3038</v>
      </c>
      <c r="B83" s="71" t="s">
        <v>3039</v>
      </c>
      <c r="C83" s="430"/>
      <c r="D83" s="71"/>
      <c r="E83" s="71" t="s">
        <v>3022</v>
      </c>
      <c r="F83" s="523"/>
      <c r="G83" s="33">
        <v>2</v>
      </c>
      <c r="H83" s="551"/>
      <c r="I83" s="559">
        <f t="shared" si="1"/>
        <v>0</v>
      </c>
    </row>
    <row r="84" spans="1:9" ht="15" x14ac:dyDescent="0.2">
      <c r="A84" s="55" t="s">
        <v>3034</v>
      </c>
      <c r="B84" s="71" t="s">
        <v>3035</v>
      </c>
      <c r="C84" s="430"/>
      <c r="D84" s="71"/>
      <c r="E84" s="71" t="s">
        <v>3022</v>
      </c>
      <c r="F84" s="523"/>
      <c r="G84" s="33">
        <v>2</v>
      </c>
      <c r="H84" s="551"/>
      <c r="I84" s="559">
        <f t="shared" si="1"/>
        <v>0</v>
      </c>
    </row>
    <row r="85" spans="1:9" ht="15" x14ac:dyDescent="0.2">
      <c r="A85" s="55" t="s">
        <v>3042</v>
      </c>
      <c r="B85" s="71" t="s">
        <v>3043</v>
      </c>
      <c r="C85" s="430"/>
      <c r="D85" s="71"/>
      <c r="E85" s="71" t="s">
        <v>3022</v>
      </c>
      <c r="F85" s="523"/>
      <c r="G85" s="33">
        <v>2</v>
      </c>
      <c r="H85" s="551"/>
      <c r="I85" s="559">
        <f t="shared" si="1"/>
        <v>0</v>
      </c>
    </row>
    <row r="86" spans="1:9" ht="15" x14ac:dyDescent="0.2">
      <c r="A86" s="55" t="s">
        <v>3044</v>
      </c>
      <c r="B86" s="71" t="s">
        <v>3045</v>
      </c>
      <c r="C86" s="430"/>
      <c r="D86" s="71"/>
      <c r="E86" s="71" t="s">
        <v>3022</v>
      </c>
      <c r="F86" s="523"/>
      <c r="G86" s="33">
        <v>2</v>
      </c>
      <c r="H86" s="551"/>
      <c r="I86" s="559">
        <f t="shared" si="1"/>
        <v>0</v>
      </c>
    </row>
    <row r="87" spans="1:9" ht="15" x14ac:dyDescent="0.2">
      <c r="A87" s="55" t="s">
        <v>3040</v>
      </c>
      <c r="B87" s="71" t="s">
        <v>3041</v>
      </c>
      <c r="C87" s="430"/>
      <c r="D87" s="71"/>
      <c r="E87" s="71" t="s">
        <v>3022</v>
      </c>
      <c r="F87" s="523"/>
      <c r="G87" s="33">
        <v>2</v>
      </c>
      <c r="H87" s="551"/>
      <c r="I87" s="559">
        <f t="shared" si="1"/>
        <v>0</v>
      </c>
    </row>
    <row r="88" spans="1:9" ht="15" x14ac:dyDescent="0.2">
      <c r="A88" s="55" t="s">
        <v>3048</v>
      </c>
      <c r="B88" s="71" t="s">
        <v>3049</v>
      </c>
      <c r="C88" s="430"/>
      <c r="D88" s="71"/>
      <c r="E88" s="71" t="s">
        <v>3022</v>
      </c>
      <c r="F88" s="523"/>
      <c r="G88" s="33">
        <v>2</v>
      </c>
      <c r="H88" s="551"/>
      <c r="I88" s="559">
        <f t="shared" si="1"/>
        <v>0</v>
      </c>
    </row>
    <row r="89" spans="1:9" ht="15" x14ac:dyDescent="0.2">
      <c r="A89" s="55" t="s">
        <v>3050</v>
      </c>
      <c r="B89" s="71" t="s">
        <v>3051</v>
      </c>
      <c r="C89" s="430"/>
      <c r="D89" s="71"/>
      <c r="E89" s="71" t="s">
        <v>3022</v>
      </c>
      <c r="F89" s="523"/>
      <c r="G89" s="33">
        <v>2</v>
      </c>
      <c r="H89" s="551"/>
      <c r="I89" s="559">
        <f t="shared" si="1"/>
        <v>0</v>
      </c>
    </row>
    <row r="90" spans="1:9" ht="15" x14ac:dyDescent="0.2">
      <c r="A90" s="55" t="s">
        <v>3046</v>
      </c>
      <c r="B90" s="71" t="s">
        <v>3047</v>
      </c>
      <c r="C90" s="430"/>
      <c r="D90" s="71"/>
      <c r="E90" s="71" t="s">
        <v>3022</v>
      </c>
      <c r="F90" s="523"/>
      <c r="G90" s="33">
        <v>2</v>
      </c>
      <c r="H90" s="551"/>
      <c r="I90" s="559">
        <f t="shared" si="1"/>
        <v>0</v>
      </c>
    </row>
    <row r="91" spans="1:9" ht="15" x14ac:dyDescent="0.2">
      <c r="A91" s="55" t="s">
        <v>3054</v>
      </c>
      <c r="B91" s="71" t="s">
        <v>3056</v>
      </c>
      <c r="C91" s="430"/>
      <c r="D91" s="71"/>
      <c r="E91" s="71" t="s">
        <v>3022</v>
      </c>
      <c r="F91" s="523"/>
      <c r="G91" s="33">
        <v>2</v>
      </c>
      <c r="H91" s="551"/>
      <c r="I91" s="559">
        <f t="shared" si="1"/>
        <v>0</v>
      </c>
    </row>
    <row r="92" spans="1:9" ht="15" x14ac:dyDescent="0.2">
      <c r="A92" s="55" t="s">
        <v>3055</v>
      </c>
      <c r="B92" s="71" t="s">
        <v>3057</v>
      </c>
      <c r="C92" s="430"/>
      <c r="D92" s="71"/>
      <c r="E92" s="71" t="s">
        <v>3022</v>
      </c>
      <c r="F92" s="523"/>
      <c r="G92" s="33">
        <v>2</v>
      </c>
      <c r="H92" s="551"/>
      <c r="I92" s="559">
        <f t="shared" si="1"/>
        <v>0</v>
      </c>
    </row>
    <row r="93" spans="1:9" ht="15" x14ac:dyDescent="0.2">
      <c r="A93" s="55" t="s">
        <v>3052</v>
      </c>
      <c r="B93" s="71" t="s">
        <v>3053</v>
      </c>
      <c r="C93" s="430"/>
      <c r="D93" s="71"/>
      <c r="E93" s="71" t="s">
        <v>3022</v>
      </c>
      <c r="F93" s="523"/>
      <c r="G93" s="33">
        <v>2</v>
      </c>
      <c r="H93" s="551"/>
      <c r="I93" s="559">
        <f t="shared" si="1"/>
        <v>0</v>
      </c>
    </row>
    <row r="94" spans="1:9" ht="15" x14ac:dyDescent="0.2">
      <c r="A94" s="55" t="s">
        <v>3030</v>
      </c>
      <c r="B94" s="71" t="s">
        <v>3031</v>
      </c>
      <c r="C94" s="430"/>
      <c r="D94" s="71"/>
      <c r="E94" s="71" t="s">
        <v>3022</v>
      </c>
      <c r="F94" s="523"/>
      <c r="G94" s="33">
        <v>2</v>
      </c>
      <c r="H94" s="551"/>
      <c r="I94" s="559">
        <f t="shared" si="1"/>
        <v>0</v>
      </c>
    </row>
    <row r="95" spans="1:9" ht="15" x14ac:dyDescent="0.2">
      <c r="A95" s="55" t="s">
        <v>3032</v>
      </c>
      <c r="B95" s="71" t="s">
        <v>3033</v>
      </c>
      <c r="C95" s="430"/>
      <c r="D95" s="71"/>
      <c r="E95" s="71" t="s">
        <v>3022</v>
      </c>
      <c r="F95" s="523"/>
      <c r="G95" s="33">
        <v>2</v>
      </c>
      <c r="H95" s="551"/>
      <c r="I95" s="559">
        <f t="shared" si="1"/>
        <v>0</v>
      </c>
    </row>
    <row r="96" spans="1:9" ht="15" x14ac:dyDescent="0.2">
      <c r="A96" s="55" t="s">
        <v>3028</v>
      </c>
      <c r="B96" s="71" t="s">
        <v>3029</v>
      </c>
      <c r="C96" s="430"/>
      <c r="D96" s="71"/>
      <c r="E96" s="71" t="s">
        <v>3022</v>
      </c>
      <c r="F96" s="523"/>
      <c r="G96" s="33">
        <v>2</v>
      </c>
      <c r="H96" s="551"/>
      <c r="I96" s="559">
        <f t="shared" si="1"/>
        <v>0</v>
      </c>
    </row>
    <row r="97" spans="1:9" ht="15" x14ac:dyDescent="0.2">
      <c r="A97" s="55" t="s">
        <v>3026</v>
      </c>
      <c r="B97" s="71" t="s">
        <v>3012</v>
      </c>
      <c r="C97" s="430"/>
      <c r="D97" s="71"/>
      <c r="E97" s="71" t="s">
        <v>3022</v>
      </c>
      <c r="F97" s="523"/>
      <c r="G97" s="33">
        <v>2</v>
      </c>
      <c r="H97" s="551"/>
      <c r="I97" s="559">
        <f t="shared" si="1"/>
        <v>0</v>
      </c>
    </row>
    <row r="98" spans="1:9" ht="15" x14ac:dyDescent="0.2">
      <c r="A98" s="55" t="s">
        <v>3023</v>
      </c>
      <c r="B98" s="71" t="s">
        <v>3016</v>
      </c>
      <c r="C98" s="430"/>
      <c r="D98" s="71"/>
      <c r="E98" s="71" t="s">
        <v>3022</v>
      </c>
      <c r="F98" s="523"/>
      <c r="G98" s="33">
        <v>2</v>
      </c>
      <c r="H98" s="551"/>
      <c r="I98" s="559">
        <f t="shared" si="1"/>
        <v>0</v>
      </c>
    </row>
    <row r="99" spans="1:9" ht="15" x14ac:dyDescent="0.2">
      <c r="A99" s="55" t="s">
        <v>3024</v>
      </c>
      <c r="B99" s="71" t="s">
        <v>3015</v>
      </c>
      <c r="C99" s="430"/>
      <c r="D99" s="71"/>
      <c r="E99" s="71" t="s">
        <v>3022</v>
      </c>
      <c r="F99" s="523"/>
      <c r="G99" s="33">
        <v>2</v>
      </c>
      <c r="H99" s="551"/>
      <c r="I99" s="559">
        <f t="shared" si="1"/>
        <v>0</v>
      </c>
    </row>
    <row r="100" spans="1:9" ht="15" x14ac:dyDescent="0.2">
      <c r="A100" s="55" t="s">
        <v>3027</v>
      </c>
      <c r="B100" s="71" t="s">
        <v>3014</v>
      </c>
      <c r="C100" s="430"/>
      <c r="D100" s="71"/>
      <c r="E100" s="71" t="s">
        <v>3022</v>
      </c>
      <c r="F100" s="523"/>
      <c r="G100" s="33">
        <v>2</v>
      </c>
      <c r="H100" s="551"/>
      <c r="I100" s="559">
        <f t="shared" si="1"/>
        <v>0</v>
      </c>
    </row>
    <row r="101" spans="1:9" ht="15" x14ac:dyDescent="0.2">
      <c r="A101" s="55" t="s">
        <v>3025</v>
      </c>
      <c r="B101" s="71" t="s">
        <v>3013</v>
      </c>
      <c r="C101" s="430"/>
      <c r="D101" s="71"/>
      <c r="E101" s="71" t="s">
        <v>3022</v>
      </c>
      <c r="F101" s="523"/>
      <c r="G101" s="33">
        <v>2</v>
      </c>
      <c r="H101" s="551"/>
      <c r="I101" s="559">
        <f t="shared" si="1"/>
        <v>0</v>
      </c>
    </row>
    <row r="102" spans="1:9" ht="15" x14ac:dyDescent="0.2">
      <c r="A102" s="55" t="s">
        <v>1445</v>
      </c>
      <c r="B102" s="71" t="s">
        <v>541</v>
      </c>
      <c r="C102" s="430"/>
      <c r="D102" s="71"/>
      <c r="E102" s="71" t="s">
        <v>1920</v>
      </c>
      <c r="F102" s="523"/>
      <c r="G102" s="33">
        <v>5</v>
      </c>
      <c r="H102" s="551"/>
      <c r="I102" s="559">
        <f t="shared" si="1"/>
        <v>0</v>
      </c>
    </row>
    <row r="103" spans="1:9" ht="15" x14ac:dyDescent="0.2">
      <c r="A103" s="55" t="s">
        <v>2922</v>
      </c>
      <c r="B103" s="71" t="s">
        <v>405</v>
      </c>
      <c r="C103" s="430"/>
      <c r="D103" s="71"/>
      <c r="E103" s="71" t="s">
        <v>1920</v>
      </c>
      <c r="F103" s="523"/>
      <c r="G103" s="33">
        <v>5</v>
      </c>
      <c r="H103" s="551"/>
      <c r="I103" s="559">
        <f t="shared" si="1"/>
        <v>0</v>
      </c>
    </row>
    <row r="104" spans="1:9" ht="15" x14ac:dyDescent="0.2">
      <c r="A104" s="55" t="s">
        <v>2923</v>
      </c>
      <c r="B104" s="71" t="s">
        <v>241</v>
      </c>
      <c r="C104" s="430"/>
      <c r="D104" s="71"/>
      <c r="E104" s="71" t="s">
        <v>1920</v>
      </c>
      <c r="F104" s="523"/>
      <c r="G104" s="33">
        <v>5</v>
      </c>
      <c r="H104" s="551"/>
      <c r="I104" s="559">
        <f t="shared" si="1"/>
        <v>0</v>
      </c>
    </row>
    <row r="105" spans="1:9" ht="15" x14ac:dyDescent="0.2">
      <c r="A105" s="55" t="s">
        <v>1090</v>
      </c>
      <c r="B105" s="71">
        <v>56707</v>
      </c>
      <c r="C105" s="430"/>
      <c r="D105" s="71"/>
      <c r="E105" s="71">
        <v>25795</v>
      </c>
      <c r="F105" s="523"/>
      <c r="G105" s="33">
        <v>2</v>
      </c>
      <c r="H105" s="551"/>
      <c r="I105" s="559">
        <f t="shared" si="1"/>
        <v>0</v>
      </c>
    </row>
    <row r="106" spans="1:9" ht="15" x14ac:dyDescent="0.2">
      <c r="A106" s="55" t="s">
        <v>902</v>
      </c>
      <c r="B106" s="71" t="s">
        <v>3063</v>
      </c>
      <c r="C106" s="430"/>
      <c r="D106" s="71"/>
      <c r="E106" s="71" t="s">
        <v>1935</v>
      </c>
      <c r="F106" s="523"/>
      <c r="G106" s="33">
        <v>2</v>
      </c>
      <c r="H106" s="551"/>
      <c r="I106" s="559">
        <f t="shared" si="1"/>
        <v>0</v>
      </c>
    </row>
    <row r="107" spans="1:9" ht="15" x14ac:dyDescent="0.2">
      <c r="A107" s="55" t="s">
        <v>20</v>
      </c>
      <c r="B107" s="71" t="s">
        <v>287</v>
      </c>
      <c r="C107" s="430"/>
      <c r="D107" s="71"/>
      <c r="E107" s="71" t="s">
        <v>1920</v>
      </c>
      <c r="F107" s="523"/>
      <c r="G107" s="33">
        <v>2</v>
      </c>
      <c r="H107" s="551"/>
      <c r="I107" s="559">
        <f t="shared" si="1"/>
        <v>0</v>
      </c>
    </row>
    <row r="108" spans="1:9" ht="15" x14ac:dyDescent="0.2">
      <c r="A108" s="55" t="s">
        <v>410</v>
      </c>
      <c r="B108" s="71" t="s">
        <v>411</v>
      </c>
      <c r="C108" s="430"/>
      <c r="D108" s="71"/>
      <c r="E108" s="71" t="s">
        <v>1920</v>
      </c>
      <c r="F108" s="430"/>
      <c r="G108" s="33">
        <v>1</v>
      </c>
      <c r="H108" s="551"/>
      <c r="I108" s="559">
        <f t="shared" si="1"/>
        <v>0</v>
      </c>
    </row>
    <row r="109" spans="1:9" ht="15" x14ac:dyDescent="0.2">
      <c r="A109" s="55" t="s">
        <v>3080</v>
      </c>
      <c r="B109" s="71" t="s">
        <v>3081</v>
      </c>
      <c r="C109" s="430"/>
      <c r="D109" s="71"/>
      <c r="E109" s="71" t="s">
        <v>3022</v>
      </c>
      <c r="F109" s="457"/>
      <c r="G109" s="33">
        <v>1</v>
      </c>
      <c r="H109" s="551"/>
      <c r="I109" s="559">
        <f t="shared" si="1"/>
        <v>0</v>
      </c>
    </row>
    <row r="110" spans="1:9" ht="15" x14ac:dyDescent="0.2">
      <c r="A110" s="246" t="s">
        <v>3021</v>
      </c>
      <c r="B110" s="248" t="s">
        <v>3061</v>
      </c>
      <c r="C110" s="430"/>
      <c r="D110" s="248"/>
      <c r="E110" s="248" t="s">
        <v>3022</v>
      </c>
      <c r="F110" s="523"/>
      <c r="G110" s="244">
        <v>1</v>
      </c>
      <c r="H110" s="551"/>
      <c r="I110" s="559">
        <f t="shared" si="1"/>
        <v>0</v>
      </c>
    </row>
    <row r="111" spans="1:9" x14ac:dyDescent="0.25">
      <c r="B111" s="127"/>
      <c r="C111" s="127"/>
      <c r="D111" s="127"/>
      <c r="E111" s="127"/>
      <c r="I111" s="519">
        <f>SUM(I2:I110)</f>
        <v>0</v>
      </c>
    </row>
    <row r="112" spans="1:9" s="4" customFormat="1" ht="18" x14ac:dyDescent="0.25">
      <c r="A112" s="422" t="s">
        <v>1773</v>
      </c>
      <c r="B112" s="425"/>
      <c r="C112" s="309"/>
      <c r="D112" s="3"/>
      <c r="E112" s="3"/>
      <c r="F112" s="311"/>
      <c r="G112" s="3"/>
      <c r="H112" s="531"/>
      <c r="I112" s="541"/>
    </row>
    <row r="113" spans="1:9" s="4" customFormat="1" ht="18" x14ac:dyDescent="0.25">
      <c r="A113" s="422" t="s">
        <v>2934</v>
      </c>
      <c r="B113" s="425"/>
      <c r="C113" s="309"/>
      <c r="D113" s="3"/>
      <c r="E113" s="3"/>
      <c r="F113" s="311"/>
      <c r="G113" s="3"/>
      <c r="H113" s="531"/>
      <c r="I113" s="541"/>
    </row>
    <row r="114" spans="1:9" ht="18" x14ac:dyDescent="0.25">
      <c r="A114" s="431" t="s">
        <v>3278</v>
      </c>
      <c r="B114" s="244"/>
    </row>
    <row r="115" spans="1:9" ht="18" x14ac:dyDescent="0.25">
      <c r="A115" s="434" t="s">
        <v>3367</v>
      </c>
      <c r="B115" s="550">
        <f>+I111</f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0"/>
  <sheetViews>
    <sheetView workbookViewId="0">
      <pane ySplit="1" topLeftCell="A131" activePane="bottomLeft" state="frozen"/>
      <selection activeCell="G1" sqref="G1:G1048576"/>
      <selection pane="bottomLeft" activeCell="G2" sqref="G2:G157"/>
    </sheetView>
  </sheetViews>
  <sheetFormatPr defaultColWidth="9.140625" defaultRowHeight="15" x14ac:dyDescent="0.2"/>
  <cols>
    <col min="1" max="1" width="69.42578125" style="376" bestFit="1" customWidth="1"/>
    <col min="2" max="2" width="20.5703125" style="376" bestFit="1" customWidth="1"/>
    <col min="3" max="3" width="21.140625" style="376" bestFit="1" customWidth="1"/>
    <col min="4" max="4" width="20.140625" style="376" bestFit="1" customWidth="1"/>
    <col min="5" max="5" width="17" style="376" bestFit="1" customWidth="1"/>
    <col min="6" max="6" width="17" style="376" customWidth="1"/>
    <col min="7" max="7" width="10.42578125" style="376" customWidth="1"/>
    <col min="8" max="8" width="22.42578125" style="549" customWidth="1"/>
    <col min="9" max="9" width="16.85546875" style="549" bestFit="1" customWidth="1"/>
    <col min="10" max="16384" width="9.140625" style="371"/>
  </cols>
  <sheetData>
    <row r="1" spans="1:9" ht="15.75" x14ac:dyDescent="0.25">
      <c r="A1" s="368" t="s">
        <v>0</v>
      </c>
      <c r="B1" s="369" t="s">
        <v>1</v>
      </c>
      <c r="C1" s="367" t="s">
        <v>3373</v>
      </c>
      <c r="D1" s="369" t="s">
        <v>1872</v>
      </c>
      <c r="E1" s="369" t="s">
        <v>1873</v>
      </c>
      <c r="F1" s="323" t="s">
        <v>3372</v>
      </c>
      <c r="G1" s="368" t="s">
        <v>412</v>
      </c>
      <c r="H1" s="545" t="s">
        <v>3368</v>
      </c>
      <c r="I1" s="539" t="s">
        <v>3369</v>
      </c>
    </row>
    <row r="2" spans="1:9" x14ac:dyDescent="0.2">
      <c r="A2" s="372" t="s">
        <v>2325</v>
      </c>
      <c r="B2" s="197">
        <v>51700</v>
      </c>
      <c r="C2" s="579"/>
      <c r="D2" s="197"/>
      <c r="E2" s="197" t="s">
        <v>1951</v>
      </c>
      <c r="F2" s="523"/>
      <c r="G2" s="10">
        <v>1</v>
      </c>
      <c r="H2" s="551"/>
      <c r="I2" s="560">
        <f>+H2*G2</f>
        <v>0</v>
      </c>
    </row>
    <row r="3" spans="1:9" x14ac:dyDescent="0.2">
      <c r="A3" s="372" t="s">
        <v>1572</v>
      </c>
      <c r="B3" s="197">
        <v>1992</v>
      </c>
      <c r="C3" s="579"/>
      <c r="D3" s="197"/>
      <c r="E3" s="197" t="s">
        <v>1920</v>
      </c>
      <c r="F3" s="523"/>
      <c r="G3" s="10">
        <v>1</v>
      </c>
      <c r="H3" s="551"/>
      <c r="I3" s="560">
        <f t="shared" ref="I3:I66" si="0">+H3*G3</f>
        <v>0</v>
      </c>
    </row>
    <row r="4" spans="1:9" x14ac:dyDescent="0.2">
      <c r="A4" s="372" t="s">
        <v>1573</v>
      </c>
      <c r="B4" s="197">
        <v>3791</v>
      </c>
      <c r="C4" s="579"/>
      <c r="D4" s="197"/>
      <c r="E4" s="197" t="s">
        <v>1921</v>
      </c>
      <c r="F4" s="523"/>
      <c r="G4" s="10">
        <v>1</v>
      </c>
      <c r="H4" s="551"/>
      <c r="I4" s="560">
        <f t="shared" si="0"/>
        <v>0</v>
      </c>
    </row>
    <row r="5" spans="1:9" x14ac:dyDescent="0.2">
      <c r="A5" s="372" t="s">
        <v>3256</v>
      </c>
      <c r="B5" s="197">
        <v>75908</v>
      </c>
      <c r="C5" s="579"/>
      <c r="D5" s="197"/>
      <c r="E5" s="197">
        <v>56654</v>
      </c>
      <c r="F5" s="523"/>
      <c r="G5" s="10">
        <v>3</v>
      </c>
      <c r="H5" s="551"/>
      <c r="I5" s="560">
        <f t="shared" si="0"/>
        <v>0</v>
      </c>
    </row>
    <row r="6" spans="1:9" x14ac:dyDescent="0.2">
      <c r="A6" s="372" t="s">
        <v>862</v>
      </c>
      <c r="B6" s="197">
        <v>21259951</v>
      </c>
      <c r="C6" s="579"/>
      <c r="D6" s="197"/>
      <c r="E6" s="197" t="s">
        <v>1920</v>
      </c>
      <c r="F6" s="523"/>
      <c r="G6" s="10">
        <v>1</v>
      </c>
      <c r="H6" s="551"/>
      <c r="I6" s="560">
        <f t="shared" si="0"/>
        <v>0</v>
      </c>
    </row>
    <row r="7" spans="1:9" x14ac:dyDescent="0.2">
      <c r="A7" s="372" t="s">
        <v>3093</v>
      </c>
      <c r="B7" s="197" t="s">
        <v>3094</v>
      </c>
      <c r="C7" s="579"/>
      <c r="D7" s="197"/>
      <c r="E7" s="197">
        <v>1556</v>
      </c>
      <c r="F7" s="523"/>
      <c r="G7" s="10">
        <v>1</v>
      </c>
      <c r="H7" s="551"/>
      <c r="I7" s="560">
        <f t="shared" si="0"/>
        <v>0</v>
      </c>
    </row>
    <row r="8" spans="1:9" x14ac:dyDescent="0.2">
      <c r="A8" s="372" t="s">
        <v>18</v>
      </c>
      <c r="B8" s="197" t="s">
        <v>3110</v>
      </c>
      <c r="C8" s="579"/>
      <c r="D8" s="197"/>
      <c r="E8" s="197" t="s">
        <v>1920</v>
      </c>
      <c r="F8" s="523"/>
      <c r="G8" s="10">
        <v>1</v>
      </c>
      <c r="H8" s="551"/>
      <c r="I8" s="560">
        <f t="shared" si="0"/>
        <v>0</v>
      </c>
    </row>
    <row r="9" spans="1:9" x14ac:dyDescent="0.2">
      <c r="A9" s="372" t="s">
        <v>788</v>
      </c>
      <c r="B9" s="197" t="s">
        <v>634</v>
      </c>
      <c r="C9" s="579"/>
      <c r="D9" s="197"/>
      <c r="E9" s="197" t="s">
        <v>1935</v>
      </c>
      <c r="F9" s="523"/>
      <c r="G9" s="10">
        <v>4</v>
      </c>
      <c r="H9" s="551"/>
      <c r="I9" s="560">
        <f t="shared" si="0"/>
        <v>0</v>
      </c>
    </row>
    <row r="10" spans="1:9" x14ac:dyDescent="0.2">
      <c r="A10" s="372" t="s">
        <v>787</v>
      </c>
      <c r="B10" s="197" t="s">
        <v>632</v>
      </c>
      <c r="C10" s="579"/>
      <c r="D10" s="197"/>
      <c r="E10" s="197" t="s">
        <v>1935</v>
      </c>
      <c r="F10" s="523"/>
      <c r="G10" s="10">
        <v>2</v>
      </c>
      <c r="H10" s="551"/>
      <c r="I10" s="560">
        <f t="shared" si="0"/>
        <v>0</v>
      </c>
    </row>
    <row r="11" spans="1:9" x14ac:dyDescent="0.2">
      <c r="A11" s="372" t="s">
        <v>1533</v>
      </c>
      <c r="B11" s="197" t="s">
        <v>905</v>
      </c>
      <c r="C11" s="579"/>
      <c r="D11" s="197"/>
      <c r="E11" s="197" t="s">
        <v>1920</v>
      </c>
      <c r="F11" s="523"/>
      <c r="G11" s="10">
        <v>2</v>
      </c>
      <c r="H11" s="551"/>
      <c r="I11" s="560">
        <f t="shared" si="0"/>
        <v>0</v>
      </c>
    </row>
    <row r="12" spans="1:9" x14ac:dyDescent="0.2">
      <c r="A12" s="374" t="s">
        <v>1538</v>
      </c>
      <c r="B12" s="375" t="s">
        <v>903</v>
      </c>
      <c r="C12" s="579"/>
      <c r="D12" s="375"/>
      <c r="E12" s="375" t="s">
        <v>1935</v>
      </c>
      <c r="F12" s="523"/>
      <c r="G12" s="337">
        <v>6</v>
      </c>
      <c r="H12" s="561"/>
      <c r="I12" s="560">
        <f t="shared" si="0"/>
        <v>0</v>
      </c>
    </row>
    <row r="13" spans="1:9" x14ac:dyDescent="0.2">
      <c r="A13" s="372" t="s">
        <v>1540</v>
      </c>
      <c r="B13" s="197" t="s">
        <v>953</v>
      </c>
      <c r="C13" s="579"/>
      <c r="D13" s="197"/>
      <c r="E13" s="197" t="s">
        <v>1920</v>
      </c>
      <c r="F13" s="523"/>
      <c r="G13" s="10">
        <v>1</v>
      </c>
      <c r="H13" s="551"/>
      <c r="I13" s="560">
        <f t="shared" si="0"/>
        <v>0</v>
      </c>
    </row>
    <row r="14" spans="1:9" x14ac:dyDescent="0.2">
      <c r="A14" s="372" t="s">
        <v>1541</v>
      </c>
      <c r="B14" s="197" t="s">
        <v>954</v>
      </c>
      <c r="C14" s="579"/>
      <c r="D14" s="197"/>
      <c r="E14" s="197" t="s">
        <v>1920</v>
      </c>
      <c r="F14" s="523"/>
      <c r="G14" s="10">
        <v>1</v>
      </c>
      <c r="H14" s="551"/>
      <c r="I14" s="560">
        <f t="shared" si="0"/>
        <v>0</v>
      </c>
    </row>
    <row r="15" spans="1:9" x14ac:dyDescent="0.2">
      <c r="A15" s="372" t="s">
        <v>179</v>
      </c>
      <c r="B15" s="197" t="s">
        <v>2894</v>
      </c>
      <c r="C15" s="579"/>
      <c r="D15" s="197"/>
      <c r="E15" s="197">
        <v>55719</v>
      </c>
      <c r="F15" s="523"/>
      <c r="G15" s="10">
        <v>1</v>
      </c>
      <c r="H15" s="551"/>
      <c r="I15" s="560">
        <f t="shared" si="0"/>
        <v>0</v>
      </c>
    </row>
    <row r="16" spans="1:9" x14ac:dyDescent="0.2">
      <c r="A16" s="372" t="s">
        <v>1542</v>
      </c>
      <c r="B16" s="197" t="s">
        <v>736</v>
      </c>
      <c r="C16" s="579"/>
      <c r="D16" s="197"/>
      <c r="E16" s="197" t="s">
        <v>1920</v>
      </c>
      <c r="F16" s="523"/>
      <c r="G16" s="10">
        <v>1</v>
      </c>
      <c r="H16" s="551"/>
      <c r="I16" s="560">
        <f t="shared" si="0"/>
        <v>0</v>
      </c>
    </row>
    <row r="17" spans="1:9" x14ac:dyDescent="0.2">
      <c r="A17" s="372" t="s">
        <v>1543</v>
      </c>
      <c r="B17" s="197" t="s">
        <v>732</v>
      </c>
      <c r="C17" s="579"/>
      <c r="D17" s="197"/>
      <c r="E17" s="197" t="s">
        <v>1920</v>
      </c>
      <c r="F17" s="523"/>
      <c r="G17" s="10">
        <v>1</v>
      </c>
      <c r="H17" s="551"/>
      <c r="I17" s="560">
        <f t="shared" si="0"/>
        <v>0</v>
      </c>
    </row>
    <row r="18" spans="1:9" x14ac:dyDescent="0.2">
      <c r="A18" s="372" t="s">
        <v>1544</v>
      </c>
      <c r="B18" s="197" t="s">
        <v>733</v>
      </c>
      <c r="C18" s="579"/>
      <c r="D18" s="197"/>
      <c r="E18" s="197" t="s">
        <v>1920</v>
      </c>
      <c r="F18" s="523"/>
      <c r="G18" s="10">
        <v>1</v>
      </c>
      <c r="H18" s="551"/>
      <c r="I18" s="560">
        <f t="shared" si="0"/>
        <v>0</v>
      </c>
    </row>
    <row r="19" spans="1:9" x14ac:dyDescent="0.2">
      <c r="A19" s="372" t="s">
        <v>1545</v>
      </c>
      <c r="B19" s="197" t="s">
        <v>734</v>
      </c>
      <c r="C19" s="579"/>
      <c r="D19" s="197"/>
      <c r="E19" s="197" t="s">
        <v>1920</v>
      </c>
      <c r="F19" s="523"/>
      <c r="G19" s="10">
        <v>1</v>
      </c>
      <c r="H19" s="551"/>
      <c r="I19" s="560">
        <f t="shared" si="0"/>
        <v>0</v>
      </c>
    </row>
    <row r="20" spans="1:9" x14ac:dyDescent="0.2">
      <c r="A20" s="372" t="s">
        <v>1546</v>
      </c>
      <c r="B20" s="197" t="s">
        <v>735</v>
      </c>
      <c r="C20" s="579"/>
      <c r="D20" s="197"/>
      <c r="E20" s="197" t="s">
        <v>1920</v>
      </c>
      <c r="F20" s="523"/>
      <c r="G20" s="10">
        <v>1</v>
      </c>
      <c r="H20" s="551"/>
      <c r="I20" s="560">
        <f t="shared" si="0"/>
        <v>0</v>
      </c>
    </row>
    <row r="21" spans="1:9" x14ac:dyDescent="0.2">
      <c r="A21" s="372" t="s">
        <v>1557</v>
      </c>
      <c r="B21" s="197" t="s">
        <v>2858</v>
      </c>
      <c r="C21" s="579"/>
      <c r="D21" s="197"/>
      <c r="E21" s="197">
        <v>55719</v>
      </c>
      <c r="F21" s="523"/>
      <c r="G21" s="10">
        <v>1</v>
      </c>
      <c r="H21" s="551"/>
      <c r="I21" s="560">
        <f t="shared" si="0"/>
        <v>0</v>
      </c>
    </row>
    <row r="22" spans="1:9" x14ac:dyDescent="0.2">
      <c r="A22" s="372" t="s">
        <v>17</v>
      </c>
      <c r="B22" s="197" t="s">
        <v>407</v>
      </c>
      <c r="C22" s="579"/>
      <c r="D22" s="197"/>
      <c r="E22" s="197" t="s">
        <v>1920</v>
      </c>
      <c r="F22" s="523"/>
      <c r="G22" s="10">
        <v>1</v>
      </c>
      <c r="H22" s="551"/>
      <c r="I22" s="560">
        <f t="shared" si="0"/>
        <v>0</v>
      </c>
    </row>
    <row r="23" spans="1:9" x14ac:dyDescent="0.2">
      <c r="A23" s="372" t="s">
        <v>1658</v>
      </c>
      <c r="B23" s="197" t="s">
        <v>599</v>
      </c>
      <c r="C23" s="579"/>
      <c r="D23" s="197"/>
      <c r="E23" s="197" t="s">
        <v>1920</v>
      </c>
      <c r="F23" s="523"/>
      <c r="G23" s="10">
        <v>1</v>
      </c>
      <c r="H23" s="551"/>
      <c r="I23" s="560">
        <f t="shared" si="0"/>
        <v>0</v>
      </c>
    </row>
    <row r="24" spans="1:9" x14ac:dyDescent="0.2">
      <c r="A24" s="372" t="s">
        <v>181</v>
      </c>
      <c r="B24" s="197" t="s">
        <v>886</v>
      </c>
      <c r="C24" s="579"/>
      <c r="D24" s="197" t="s">
        <v>1886</v>
      </c>
      <c r="E24" s="197" t="s">
        <v>1933</v>
      </c>
      <c r="F24" s="523"/>
      <c r="G24" s="10">
        <v>1</v>
      </c>
      <c r="H24" s="551"/>
      <c r="I24" s="560">
        <f t="shared" si="0"/>
        <v>0</v>
      </c>
    </row>
    <row r="25" spans="1:9" x14ac:dyDescent="0.2">
      <c r="A25" s="372" t="s">
        <v>1663</v>
      </c>
      <c r="B25" s="197" t="s">
        <v>1097</v>
      </c>
      <c r="C25" s="579"/>
      <c r="D25" s="197"/>
      <c r="E25" s="197" t="s">
        <v>1941</v>
      </c>
      <c r="F25" s="523"/>
      <c r="G25" s="10">
        <v>1</v>
      </c>
      <c r="H25" s="551"/>
      <c r="I25" s="560">
        <f t="shared" si="0"/>
        <v>0</v>
      </c>
    </row>
    <row r="26" spans="1:9" x14ac:dyDescent="0.2">
      <c r="A26" s="372" t="s">
        <v>1666</v>
      </c>
      <c r="B26" s="197" t="s">
        <v>792</v>
      </c>
      <c r="C26" s="579"/>
      <c r="D26" s="197"/>
      <c r="E26" s="197" t="s">
        <v>1920</v>
      </c>
      <c r="F26" s="523"/>
      <c r="G26" s="10">
        <v>1</v>
      </c>
      <c r="H26" s="551"/>
      <c r="I26" s="560">
        <f t="shared" si="0"/>
        <v>0</v>
      </c>
    </row>
    <row r="27" spans="1:9" x14ac:dyDescent="0.2">
      <c r="A27" s="372" t="s">
        <v>2323</v>
      </c>
      <c r="B27" s="197" t="s">
        <v>2322</v>
      </c>
      <c r="C27" s="579"/>
      <c r="D27" s="197"/>
      <c r="E27" s="197" t="s">
        <v>1920</v>
      </c>
      <c r="F27" s="523"/>
      <c r="G27" s="10">
        <v>1</v>
      </c>
      <c r="H27" s="551"/>
      <c r="I27" s="560">
        <f t="shared" si="0"/>
        <v>0</v>
      </c>
    </row>
    <row r="28" spans="1:9" x14ac:dyDescent="0.2">
      <c r="A28" s="372" t="s">
        <v>1643</v>
      </c>
      <c r="B28" s="197" t="s">
        <v>2005</v>
      </c>
      <c r="C28" s="579"/>
      <c r="D28" s="197"/>
      <c r="E28" s="197" t="s">
        <v>1920</v>
      </c>
      <c r="F28" s="523"/>
      <c r="G28" s="10">
        <v>1</v>
      </c>
      <c r="H28" s="551"/>
      <c r="I28" s="560">
        <f t="shared" si="0"/>
        <v>0</v>
      </c>
    </row>
    <row r="29" spans="1:9" x14ac:dyDescent="0.2">
      <c r="A29" s="372" t="s">
        <v>1644</v>
      </c>
      <c r="B29" s="197" t="s">
        <v>2006</v>
      </c>
      <c r="C29" s="579"/>
      <c r="D29" s="197"/>
      <c r="E29" s="197" t="s">
        <v>1920</v>
      </c>
      <c r="F29" s="523"/>
      <c r="G29" s="10">
        <v>1</v>
      </c>
      <c r="H29" s="551"/>
      <c r="I29" s="560">
        <f t="shared" si="0"/>
        <v>0</v>
      </c>
    </row>
    <row r="30" spans="1:9" x14ac:dyDescent="0.2">
      <c r="A30" s="372" t="s">
        <v>1645</v>
      </c>
      <c r="B30" s="197" t="s">
        <v>2007</v>
      </c>
      <c r="C30" s="579"/>
      <c r="D30" s="197"/>
      <c r="E30" s="197" t="s">
        <v>1920</v>
      </c>
      <c r="F30" s="523"/>
      <c r="G30" s="10">
        <v>1</v>
      </c>
      <c r="H30" s="551"/>
      <c r="I30" s="560">
        <f t="shared" si="0"/>
        <v>0</v>
      </c>
    </row>
    <row r="31" spans="1:9" x14ac:dyDescent="0.2">
      <c r="A31" s="372" t="s">
        <v>1646</v>
      </c>
      <c r="B31" s="197" t="s">
        <v>2008</v>
      </c>
      <c r="C31" s="579"/>
      <c r="D31" s="197"/>
      <c r="E31" s="197" t="s">
        <v>1920</v>
      </c>
      <c r="F31" s="523"/>
      <c r="G31" s="10">
        <v>1</v>
      </c>
      <c r="H31" s="551"/>
      <c r="I31" s="560">
        <f t="shared" si="0"/>
        <v>0</v>
      </c>
    </row>
    <row r="32" spans="1:9" x14ac:dyDescent="0.2">
      <c r="A32" s="372" t="s">
        <v>1647</v>
      </c>
      <c r="B32" s="197" t="s">
        <v>2009</v>
      </c>
      <c r="C32" s="579"/>
      <c r="D32" s="197"/>
      <c r="E32" s="197" t="s">
        <v>1920</v>
      </c>
      <c r="F32" s="523"/>
      <c r="G32" s="10">
        <v>1</v>
      </c>
      <c r="H32" s="551"/>
      <c r="I32" s="560">
        <f t="shared" si="0"/>
        <v>0</v>
      </c>
    </row>
    <row r="33" spans="1:9" x14ac:dyDescent="0.2">
      <c r="A33" s="372" t="s">
        <v>1513</v>
      </c>
      <c r="B33" s="197" t="s">
        <v>763</v>
      </c>
      <c r="C33" s="579"/>
      <c r="D33" s="197" t="s">
        <v>1911</v>
      </c>
      <c r="E33" s="197" t="s">
        <v>1920</v>
      </c>
      <c r="F33" s="523"/>
      <c r="G33" s="10">
        <v>1</v>
      </c>
      <c r="H33" s="551"/>
      <c r="I33" s="560">
        <f t="shared" si="0"/>
        <v>0</v>
      </c>
    </row>
    <row r="34" spans="1:9" x14ac:dyDescent="0.2">
      <c r="A34" s="372" t="s">
        <v>1870</v>
      </c>
      <c r="B34" s="197" t="s">
        <v>629</v>
      </c>
      <c r="C34" s="579"/>
      <c r="D34" s="197"/>
      <c r="E34" s="197" t="s">
        <v>1920</v>
      </c>
      <c r="F34" s="523"/>
      <c r="G34" s="10">
        <v>1</v>
      </c>
      <c r="H34" s="551"/>
      <c r="I34" s="560">
        <f t="shared" si="0"/>
        <v>0</v>
      </c>
    </row>
    <row r="35" spans="1:9" x14ac:dyDescent="0.2">
      <c r="A35" s="372" t="s">
        <v>48</v>
      </c>
      <c r="B35" s="197" t="s">
        <v>252</v>
      </c>
      <c r="C35" s="579"/>
      <c r="D35" s="197"/>
      <c r="E35" s="197" t="s">
        <v>1920</v>
      </c>
      <c r="F35" s="523"/>
      <c r="G35" s="10">
        <v>1</v>
      </c>
      <c r="H35" s="551"/>
      <c r="I35" s="560">
        <f t="shared" si="0"/>
        <v>0</v>
      </c>
    </row>
    <row r="36" spans="1:9" x14ac:dyDescent="0.2">
      <c r="A36" s="372" t="s">
        <v>1142</v>
      </c>
      <c r="B36" s="197" t="s">
        <v>275</v>
      </c>
      <c r="C36" s="579"/>
      <c r="D36" s="197"/>
      <c r="E36" s="197" t="s">
        <v>1920</v>
      </c>
      <c r="F36" s="523"/>
      <c r="G36" s="10">
        <v>1</v>
      </c>
      <c r="H36" s="551"/>
      <c r="I36" s="560">
        <f t="shared" si="0"/>
        <v>0</v>
      </c>
    </row>
    <row r="37" spans="1:9" x14ac:dyDescent="0.2">
      <c r="A37" s="372" t="s">
        <v>1349</v>
      </c>
      <c r="B37" s="197" t="s">
        <v>420</v>
      </c>
      <c r="C37" s="579"/>
      <c r="D37" s="197"/>
      <c r="E37" s="197" t="s">
        <v>1920</v>
      </c>
      <c r="F37" s="523"/>
      <c r="G37" s="10">
        <v>1</v>
      </c>
      <c r="H37" s="551"/>
      <c r="I37" s="560">
        <f t="shared" si="0"/>
        <v>0</v>
      </c>
    </row>
    <row r="38" spans="1:9" x14ac:dyDescent="0.2">
      <c r="A38" s="372" t="s">
        <v>1029</v>
      </c>
      <c r="B38" s="197" t="s">
        <v>251</v>
      </c>
      <c r="C38" s="579"/>
      <c r="D38" s="197"/>
      <c r="E38" s="197" t="s">
        <v>1920</v>
      </c>
      <c r="F38" s="523"/>
      <c r="G38" s="10">
        <v>1</v>
      </c>
      <c r="H38" s="551"/>
      <c r="I38" s="560">
        <f t="shared" si="0"/>
        <v>0</v>
      </c>
    </row>
    <row r="39" spans="1:9" x14ac:dyDescent="0.2">
      <c r="A39" s="372" t="s">
        <v>1030</v>
      </c>
      <c r="B39" s="197" t="s">
        <v>276</v>
      </c>
      <c r="C39" s="579"/>
      <c r="D39" s="197"/>
      <c r="E39" s="197" t="s">
        <v>1920</v>
      </c>
      <c r="F39" s="523"/>
      <c r="G39" s="10">
        <v>1</v>
      </c>
      <c r="H39" s="551"/>
      <c r="I39" s="560">
        <f t="shared" si="0"/>
        <v>0</v>
      </c>
    </row>
    <row r="40" spans="1:9" x14ac:dyDescent="0.2">
      <c r="A40" s="372" t="s">
        <v>1028</v>
      </c>
      <c r="B40" s="197" t="s">
        <v>262</v>
      </c>
      <c r="C40" s="579"/>
      <c r="D40" s="197"/>
      <c r="E40" s="197" t="s">
        <v>1920</v>
      </c>
      <c r="F40" s="523"/>
      <c r="G40" s="10">
        <v>1</v>
      </c>
      <c r="H40" s="551"/>
      <c r="I40" s="560">
        <f t="shared" si="0"/>
        <v>0</v>
      </c>
    </row>
    <row r="41" spans="1:9" x14ac:dyDescent="0.2">
      <c r="A41" s="372" t="s">
        <v>1060</v>
      </c>
      <c r="B41" s="197" t="s">
        <v>426</v>
      </c>
      <c r="C41" s="579"/>
      <c r="D41" s="197"/>
      <c r="E41" s="197" t="s">
        <v>1920</v>
      </c>
      <c r="F41" s="523"/>
      <c r="G41" s="10">
        <v>1</v>
      </c>
      <c r="H41" s="551"/>
      <c r="I41" s="560">
        <f t="shared" si="0"/>
        <v>0</v>
      </c>
    </row>
    <row r="42" spans="1:9" x14ac:dyDescent="0.2">
      <c r="A42" s="372" t="s">
        <v>1355</v>
      </c>
      <c r="B42" s="197" t="s">
        <v>427</v>
      </c>
      <c r="C42" s="579"/>
      <c r="D42" s="197"/>
      <c r="E42" s="197" t="s">
        <v>1920</v>
      </c>
      <c r="F42" s="523"/>
      <c r="G42" s="10">
        <v>2</v>
      </c>
      <c r="H42" s="551"/>
      <c r="I42" s="560">
        <f t="shared" si="0"/>
        <v>0</v>
      </c>
    </row>
    <row r="43" spans="1:9" x14ac:dyDescent="0.2">
      <c r="A43" s="372" t="s">
        <v>1061</v>
      </c>
      <c r="B43" s="197" t="s">
        <v>429</v>
      </c>
      <c r="C43" s="579"/>
      <c r="D43" s="197"/>
      <c r="E43" s="197" t="s">
        <v>1920</v>
      </c>
      <c r="F43" s="523"/>
      <c r="G43" s="10">
        <v>1</v>
      </c>
      <c r="H43" s="551"/>
      <c r="I43" s="560">
        <f t="shared" si="0"/>
        <v>0</v>
      </c>
    </row>
    <row r="44" spans="1:9" x14ac:dyDescent="0.2">
      <c r="A44" s="372" t="s">
        <v>1062</v>
      </c>
      <c r="B44" s="197" t="s">
        <v>430</v>
      </c>
      <c r="C44" s="579"/>
      <c r="D44" s="197"/>
      <c r="E44" s="197" t="s">
        <v>1920</v>
      </c>
      <c r="F44" s="523"/>
      <c r="G44" s="10">
        <v>2</v>
      </c>
      <c r="H44" s="551"/>
      <c r="I44" s="560">
        <f t="shared" si="0"/>
        <v>0</v>
      </c>
    </row>
    <row r="45" spans="1:9" x14ac:dyDescent="0.2">
      <c r="A45" s="372" t="s">
        <v>1032</v>
      </c>
      <c r="B45" s="197" t="s">
        <v>413</v>
      </c>
      <c r="C45" s="579"/>
      <c r="D45" s="197"/>
      <c r="E45" s="197" t="s">
        <v>1920</v>
      </c>
      <c r="F45" s="523"/>
      <c r="G45" s="10">
        <v>1</v>
      </c>
      <c r="H45" s="551"/>
      <c r="I45" s="560">
        <f t="shared" si="0"/>
        <v>0</v>
      </c>
    </row>
    <row r="46" spans="1:9" x14ac:dyDescent="0.2">
      <c r="A46" s="372" t="s">
        <v>1035</v>
      </c>
      <c r="B46" s="197" t="s">
        <v>414</v>
      </c>
      <c r="C46" s="579"/>
      <c r="D46" s="197"/>
      <c r="E46" s="197" t="s">
        <v>1920</v>
      </c>
      <c r="F46" s="523"/>
      <c r="G46" s="10">
        <v>1</v>
      </c>
      <c r="H46" s="551"/>
      <c r="I46" s="560">
        <f t="shared" si="0"/>
        <v>0</v>
      </c>
    </row>
    <row r="47" spans="1:9" x14ac:dyDescent="0.2">
      <c r="A47" s="372" t="s">
        <v>1033</v>
      </c>
      <c r="B47" s="197" t="s">
        <v>98</v>
      </c>
      <c r="C47" s="579"/>
      <c r="D47" s="197"/>
      <c r="E47" s="197" t="s">
        <v>1920</v>
      </c>
      <c r="F47" s="523"/>
      <c r="G47" s="10">
        <v>1</v>
      </c>
      <c r="H47" s="551"/>
      <c r="I47" s="560">
        <f t="shared" si="0"/>
        <v>0</v>
      </c>
    </row>
    <row r="48" spans="1:9" x14ac:dyDescent="0.2">
      <c r="A48" s="372" t="s">
        <v>1027</v>
      </c>
      <c r="B48" s="197" t="s">
        <v>415</v>
      </c>
      <c r="C48" s="579"/>
      <c r="D48" s="197"/>
      <c r="E48" s="197" t="s">
        <v>1920</v>
      </c>
      <c r="F48" s="523"/>
      <c r="G48" s="10">
        <v>1</v>
      </c>
      <c r="H48" s="551"/>
      <c r="I48" s="560">
        <f t="shared" si="0"/>
        <v>0</v>
      </c>
    </row>
    <row r="49" spans="1:9" x14ac:dyDescent="0.2">
      <c r="A49" s="372" t="s">
        <v>1031</v>
      </c>
      <c r="B49" s="197" t="s">
        <v>416</v>
      </c>
      <c r="C49" s="579"/>
      <c r="D49" s="197"/>
      <c r="E49" s="197" t="s">
        <v>1920</v>
      </c>
      <c r="F49" s="523"/>
      <c r="G49" s="10">
        <v>1</v>
      </c>
      <c r="H49" s="551"/>
      <c r="I49" s="560">
        <f t="shared" si="0"/>
        <v>0</v>
      </c>
    </row>
    <row r="50" spans="1:9" x14ac:dyDescent="0.2">
      <c r="A50" s="372" t="s">
        <v>1034</v>
      </c>
      <c r="B50" s="197" t="s">
        <v>417</v>
      </c>
      <c r="C50" s="579"/>
      <c r="D50" s="197"/>
      <c r="E50" s="197" t="s">
        <v>1920</v>
      </c>
      <c r="F50" s="523"/>
      <c r="G50" s="10">
        <v>1</v>
      </c>
      <c r="H50" s="551"/>
      <c r="I50" s="560">
        <f t="shared" si="0"/>
        <v>0</v>
      </c>
    </row>
    <row r="51" spans="1:9" x14ac:dyDescent="0.2">
      <c r="A51" s="372" t="s">
        <v>1026</v>
      </c>
      <c r="B51" s="197" t="s">
        <v>99</v>
      </c>
      <c r="C51" s="579"/>
      <c r="D51" s="197"/>
      <c r="E51" s="197" t="s">
        <v>1920</v>
      </c>
      <c r="F51" s="523"/>
      <c r="G51" s="10">
        <v>2</v>
      </c>
      <c r="H51" s="551"/>
      <c r="I51" s="560">
        <f t="shared" si="0"/>
        <v>0</v>
      </c>
    </row>
    <row r="52" spans="1:9" x14ac:dyDescent="0.2">
      <c r="A52" s="372" t="s">
        <v>1358</v>
      </c>
      <c r="B52" s="197" t="s">
        <v>3062</v>
      </c>
      <c r="C52" s="579"/>
      <c r="D52" s="197"/>
      <c r="E52" s="197" t="s">
        <v>1943</v>
      </c>
      <c r="F52" s="523"/>
      <c r="G52" s="10">
        <v>1</v>
      </c>
      <c r="H52" s="551"/>
      <c r="I52" s="560">
        <f t="shared" si="0"/>
        <v>0</v>
      </c>
    </row>
    <row r="53" spans="1:9" x14ac:dyDescent="0.2">
      <c r="A53" s="372" t="s">
        <v>1063</v>
      </c>
      <c r="B53" s="197" t="s">
        <v>876</v>
      </c>
      <c r="C53" s="579"/>
      <c r="D53" s="197"/>
      <c r="E53" s="197" t="s">
        <v>1920</v>
      </c>
      <c r="F53" s="523"/>
      <c r="G53" s="10">
        <v>1</v>
      </c>
      <c r="H53" s="551"/>
      <c r="I53" s="560">
        <f t="shared" si="0"/>
        <v>0</v>
      </c>
    </row>
    <row r="54" spans="1:9" x14ac:dyDescent="0.2">
      <c r="A54" s="372" t="s">
        <v>2106</v>
      </c>
      <c r="B54" s="197" t="s">
        <v>2096</v>
      </c>
      <c r="C54" s="579"/>
      <c r="D54" s="197"/>
      <c r="E54" s="197" t="s">
        <v>1920</v>
      </c>
      <c r="F54" s="523"/>
      <c r="G54" s="10">
        <v>1</v>
      </c>
      <c r="H54" s="551"/>
      <c r="I54" s="560">
        <f t="shared" si="0"/>
        <v>0</v>
      </c>
    </row>
    <row r="55" spans="1:9" x14ac:dyDescent="0.2">
      <c r="A55" s="372" t="s">
        <v>2107</v>
      </c>
      <c r="B55" s="197" t="s">
        <v>2097</v>
      </c>
      <c r="C55" s="579"/>
      <c r="D55" s="197"/>
      <c r="E55" s="197" t="s">
        <v>1920</v>
      </c>
      <c r="F55" s="430"/>
      <c r="G55" s="10">
        <v>1</v>
      </c>
      <c r="H55" s="551"/>
      <c r="I55" s="560">
        <f t="shared" si="0"/>
        <v>0</v>
      </c>
    </row>
    <row r="56" spans="1:9" x14ac:dyDescent="0.2">
      <c r="A56" s="372" t="s">
        <v>2105</v>
      </c>
      <c r="B56" s="197" t="s">
        <v>2095</v>
      </c>
      <c r="C56" s="579"/>
      <c r="D56" s="197"/>
      <c r="E56" s="197" t="s">
        <v>1920</v>
      </c>
      <c r="F56" s="457"/>
      <c r="G56" s="10">
        <v>1</v>
      </c>
      <c r="H56" s="551"/>
      <c r="I56" s="560">
        <f t="shared" si="0"/>
        <v>0</v>
      </c>
    </row>
    <row r="57" spans="1:9" x14ac:dyDescent="0.2">
      <c r="A57" s="372" t="s">
        <v>2104</v>
      </c>
      <c r="B57" s="197" t="s">
        <v>2094</v>
      </c>
      <c r="C57" s="579"/>
      <c r="D57" s="197"/>
      <c r="E57" s="197" t="s">
        <v>1920</v>
      </c>
      <c r="F57" s="523"/>
      <c r="G57" s="10">
        <v>1</v>
      </c>
      <c r="H57" s="551"/>
      <c r="I57" s="560">
        <f t="shared" si="0"/>
        <v>0</v>
      </c>
    </row>
    <row r="58" spans="1:9" x14ac:dyDescent="0.2">
      <c r="A58" s="372" t="s">
        <v>1706</v>
      </c>
      <c r="B58" s="197" t="s">
        <v>1705</v>
      </c>
      <c r="C58" s="579"/>
      <c r="D58" s="197"/>
      <c r="E58" s="197">
        <v>55719</v>
      </c>
      <c r="F58" s="523"/>
      <c r="G58" s="10">
        <v>1</v>
      </c>
      <c r="H58" s="551"/>
      <c r="I58" s="560">
        <f t="shared" si="0"/>
        <v>0</v>
      </c>
    </row>
    <row r="59" spans="1:9" x14ac:dyDescent="0.2">
      <c r="A59" s="372" t="s">
        <v>2109</v>
      </c>
      <c r="B59" s="197" t="s">
        <v>2099</v>
      </c>
      <c r="C59" s="579"/>
      <c r="D59" s="197"/>
      <c r="E59" s="197" t="s">
        <v>1920</v>
      </c>
      <c r="F59" s="523"/>
      <c r="G59" s="10">
        <v>1</v>
      </c>
      <c r="H59" s="551"/>
      <c r="I59" s="560">
        <f t="shared" si="0"/>
        <v>0</v>
      </c>
    </row>
    <row r="60" spans="1:9" x14ac:dyDescent="0.2">
      <c r="A60" s="372" t="s">
        <v>2108</v>
      </c>
      <c r="B60" s="197" t="s">
        <v>2098</v>
      </c>
      <c r="C60" s="579"/>
      <c r="D60" s="197"/>
      <c r="E60" s="197">
        <v>55719</v>
      </c>
      <c r="F60" s="523"/>
      <c r="G60" s="10">
        <v>1</v>
      </c>
      <c r="H60" s="551"/>
      <c r="I60" s="560">
        <f t="shared" si="0"/>
        <v>0</v>
      </c>
    </row>
    <row r="61" spans="1:9" x14ac:dyDescent="0.2">
      <c r="A61" s="372" t="s">
        <v>1524</v>
      </c>
      <c r="B61" s="197" t="s">
        <v>919</v>
      </c>
      <c r="C61" s="579"/>
      <c r="D61" s="197"/>
      <c r="E61" s="197" t="s">
        <v>1944</v>
      </c>
      <c r="F61" s="523"/>
      <c r="G61" s="10">
        <v>1</v>
      </c>
      <c r="H61" s="551"/>
      <c r="I61" s="560">
        <f t="shared" si="0"/>
        <v>0</v>
      </c>
    </row>
    <row r="62" spans="1:9" x14ac:dyDescent="0.2">
      <c r="A62" s="372" t="s">
        <v>1084</v>
      </c>
      <c r="B62" s="197" t="s">
        <v>21</v>
      </c>
      <c r="C62" s="579"/>
      <c r="D62" s="197"/>
      <c r="E62" s="197" t="s">
        <v>1920</v>
      </c>
      <c r="F62" s="523"/>
      <c r="G62" s="10">
        <v>2</v>
      </c>
      <c r="H62" s="551"/>
      <c r="I62" s="560">
        <f t="shared" si="0"/>
        <v>0</v>
      </c>
    </row>
    <row r="63" spans="1:9" x14ac:dyDescent="0.2">
      <c r="A63" s="372" t="s">
        <v>2747</v>
      </c>
      <c r="B63" s="197">
        <v>42530</v>
      </c>
      <c r="C63" s="579"/>
      <c r="D63" s="197"/>
      <c r="E63" s="197" t="s">
        <v>1951</v>
      </c>
      <c r="F63" s="523"/>
      <c r="G63" s="10">
        <v>1</v>
      </c>
      <c r="H63" s="551"/>
      <c r="I63" s="560">
        <f t="shared" si="0"/>
        <v>0</v>
      </c>
    </row>
    <row r="64" spans="1:9" x14ac:dyDescent="0.2">
      <c r="A64" s="372" t="s">
        <v>2861</v>
      </c>
      <c r="B64" s="197" t="s">
        <v>3232</v>
      </c>
      <c r="C64" s="579"/>
      <c r="D64" s="197"/>
      <c r="E64" s="197">
        <v>55719</v>
      </c>
      <c r="F64" s="523"/>
      <c r="G64" s="10">
        <v>1</v>
      </c>
      <c r="H64" s="551"/>
      <c r="I64" s="560">
        <f t="shared" si="0"/>
        <v>0</v>
      </c>
    </row>
    <row r="65" spans="1:9" x14ac:dyDescent="0.2">
      <c r="A65" s="372" t="s">
        <v>3092</v>
      </c>
      <c r="B65" s="197" t="s">
        <v>2745</v>
      </c>
      <c r="C65" s="579"/>
      <c r="D65" s="197"/>
      <c r="E65" s="197">
        <v>55719</v>
      </c>
      <c r="F65" s="523"/>
      <c r="G65" s="10">
        <v>1</v>
      </c>
      <c r="H65" s="551"/>
      <c r="I65" s="560">
        <f t="shared" si="0"/>
        <v>0</v>
      </c>
    </row>
    <row r="66" spans="1:9" x14ac:dyDescent="0.2">
      <c r="A66" s="372" t="s">
        <v>6</v>
      </c>
      <c r="B66" s="197" t="s">
        <v>91</v>
      </c>
      <c r="C66" s="579"/>
      <c r="D66" s="197"/>
      <c r="E66" s="197">
        <v>55719</v>
      </c>
      <c r="F66" s="523"/>
      <c r="G66" s="10">
        <v>1</v>
      </c>
      <c r="H66" s="551"/>
      <c r="I66" s="560">
        <f t="shared" si="0"/>
        <v>0</v>
      </c>
    </row>
    <row r="67" spans="1:9" x14ac:dyDescent="0.2">
      <c r="A67" s="372" t="s">
        <v>1261</v>
      </c>
      <c r="B67" s="197" t="s">
        <v>898</v>
      </c>
      <c r="C67" s="579"/>
      <c r="D67" s="197"/>
      <c r="E67" s="197" t="s">
        <v>1920</v>
      </c>
      <c r="F67" s="523"/>
      <c r="G67" s="10">
        <v>1</v>
      </c>
      <c r="H67" s="551"/>
      <c r="I67" s="560">
        <f t="shared" ref="I67:I130" si="1">+H67*G67</f>
        <v>0</v>
      </c>
    </row>
    <row r="68" spans="1:9" x14ac:dyDescent="0.2">
      <c r="A68" s="372" t="s">
        <v>1262</v>
      </c>
      <c r="B68" s="197" t="s">
        <v>901</v>
      </c>
      <c r="C68" s="579"/>
      <c r="D68" s="197"/>
      <c r="E68" s="197" t="s">
        <v>1920</v>
      </c>
      <c r="F68" s="523"/>
      <c r="G68" s="10">
        <v>1</v>
      </c>
      <c r="H68" s="551"/>
      <c r="I68" s="560">
        <f t="shared" si="1"/>
        <v>0</v>
      </c>
    </row>
    <row r="69" spans="1:9" x14ac:dyDescent="0.2">
      <c r="A69" s="372" t="s">
        <v>1259</v>
      </c>
      <c r="B69" s="197" t="s">
        <v>615</v>
      </c>
      <c r="C69" s="579"/>
      <c r="D69" s="197"/>
      <c r="E69" s="197" t="s">
        <v>1920</v>
      </c>
      <c r="F69" s="523"/>
      <c r="G69" s="10">
        <v>2</v>
      </c>
      <c r="H69" s="551"/>
      <c r="I69" s="560">
        <f t="shared" si="1"/>
        <v>0</v>
      </c>
    </row>
    <row r="70" spans="1:9" x14ac:dyDescent="0.2">
      <c r="A70" s="372" t="s">
        <v>1622</v>
      </c>
      <c r="B70" s="197" t="s">
        <v>681</v>
      </c>
      <c r="C70" s="579"/>
      <c r="D70" s="197"/>
      <c r="E70" s="197" t="s">
        <v>1920</v>
      </c>
      <c r="F70" s="523"/>
      <c r="G70" s="10">
        <v>1</v>
      </c>
      <c r="H70" s="551"/>
      <c r="I70" s="560">
        <f t="shared" si="1"/>
        <v>0</v>
      </c>
    </row>
    <row r="71" spans="1:9" x14ac:dyDescent="0.2">
      <c r="A71" s="372" t="s">
        <v>1064</v>
      </c>
      <c r="B71" s="197" t="s">
        <v>112</v>
      </c>
      <c r="C71" s="579"/>
      <c r="D71" s="197"/>
      <c r="E71" s="197" t="s">
        <v>1920</v>
      </c>
      <c r="F71" s="523"/>
      <c r="G71" s="10">
        <v>1</v>
      </c>
      <c r="H71" s="551"/>
      <c r="I71" s="560">
        <f t="shared" si="1"/>
        <v>0</v>
      </c>
    </row>
    <row r="72" spans="1:9" x14ac:dyDescent="0.2">
      <c r="A72" s="372" t="s">
        <v>1388</v>
      </c>
      <c r="B72" s="197" t="s">
        <v>630</v>
      </c>
      <c r="C72" s="579"/>
      <c r="D72" s="197"/>
      <c r="E72" s="197" t="s">
        <v>1920</v>
      </c>
      <c r="F72" s="523"/>
      <c r="G72" s="10">
        <v>1</v>
      </c>
      <c r="H72" s="551"/>
      <c r="I72" s="560">
        <f t="shared" si="1"/>
        <v>0</v>
      </c>
    </row>
    <row r="73" spans="1:9" x14ac:dyDescent="0.2">
      <c r="A73" s="372" t="s">
        <v>2003</v>
      </c>
      <c r="B73" s="197" t="s">
        <v>2001</v>
      </c>
      <c r="C73" s="579"/>
      <c r="D73" s="197"/>
      <c r="E73" s="197" t="s">
        <v>1920</v>
      </c>
      <c r="F73" s="523"/>
      <c r="G73" s="10">
        <v>1</v>
      </c>
      <c r="H73" s="551"/>
      <c r="I73" s="560">
        <f t="shared" si="1"/>
        <v>0</v>
      </c>
    </row>
    <row r="74" spans="1:9" x14ac:dyDescent="0.2">
      <c r="A74" s="372" t="s">
        <v>1065</v>
      </c>
      <c r="B74" s="197" t="s">
        <v>490</v>
      </c>
      <c r="C74" s="579"/>
      <c r="D74" s="197"/>
      <c r="E74" s="197" t="s">
        <v>1920</v>
      </c>
      <c r="F74" s="523"/>
      <c r="G74" s="10">
        <v>1</v>
      </c>
      <c r="H74" s="551"/>
      <c r="I74" s="560">
        <f t="shared" si="1"/>
        <v>0</v>
      </c>
    </row>
    <row r="75" spans="1:9" x14ac:dyDescent="0.2">
      <c r="A75" s="372" t="s">
        <v>1066</v>
      </c>
      <c r="B75" s="197" t="s">
        <v>491</v>
      </c>
      <c r="C75" s="579"/>
      <c r="D75" s="197"/>
      <c r="E75" s="197" t="s">
        <v>1920</v>
      </c>
      <c r="F75" s="523"/>
      <c r="G75" s="10">
        <v>1</v>
      </c>
      <c r="H75" s="551"/>
      <c r="I75" s="560">
        <f t="shared" si="1"/>
        <v>0</v>
      </c>
    </row>
    <row r="76" spans="1:9" x14ac:dyDescent="0.2">
      <c r="A76" s="384" t="s">
        <v>3120</v>
      </c>
      <c r="B76" s="386" t="s">
        <v>3119</v>
      </c>
      <c r="C76" s="579"/>
      <c r="D76" s="386"/>
      <c r="E76" s="386" t="s">
        <v>1928</v>
      </c>
      <c r="F76" s="523"/>
      <c r="G76" s="388">
        <v>1</v>
      </c>
      <c r="H76" s="562"/>
      <c r="I76" s="560">
        <f t="shared" si="1"/>
        <v>0</v>
      </c>
    </row>
    <row r="77" spans="1:9" x14ac:dyDescent="0.2">
      <c r="A77" s="372" t="s">
        <v>32</v>
      </c>
      <c r="B77" s="197" t="s">
        <v>22</v>
      </c>
      <c r="C77" s="579"/>
      <c r="D77" s="197"/>
      <c r="E77" s="197" t="s">
        <v>1920</v>
      </c>
      <c r="F77" s="523"/>
      <c r="G77" s="10">
        <v>1</v>
      </c>
      <c r="H77" s="551"/>
      <c r="I77" s="560">
        <f t="shared" si="1"/>
        <v>0</v>
      </c>
    </row>
    <row r="78" spans="1:9" x14ac:dyDescent="0.2">
      <c r="A78" s="372" t="s">
        <v>1393</v>
      </c>
      <c r="B78" s="197" t="s">
        <v>653</v>
      </c>
      <c r="C78" s="579"/>
      <c r="D78" s="197"/>
      <c r="E78" s="197" t="s">
        <v>1920</v>
      </c>
      <c r="F78" s="523"/>
      <c r="G78" s="10">
        <v>1</v>
      </c>
      <c r="H78" s="551"/>
      <c r="I78" s="560">
        <f t="shared" si="1"/>
        <v>0</v>
      </c>
    </row>
    <row r="79" spans="1:9" x14ac:dyDescent="0.2">
      <c r="A79" s="372" t="s">
        <v>161</v>
      </c>
      <c r="B79" s="197" t="s">
        <v>774</v>
      </c>
      <c r="C79" s="579"/>
      <c r="D79" s="197"/>
      <c r="E79" s="197" t="s">
        <v>1920</v>
      </c>
      <c r="F79" s="523"/>
      <c r="G79" s="10">
        <v>1</v>
      </c>
      <c r="H79" s="551"/>
      <c r="I79" s="560">
        <f t="shared" si="1"/>
        <v>0</v>
      </c>
    </row>
    <row r="80" spans="1:9" x14ac:dyDescent="0.2">
      <c r="A80" s="372" t="s">
        <v>1400</v>
      </c>
      <c r="B80" s="197" t="s">
        <v>598</v>
      </c>
      <c r="C80" s="579"/>
      <c r="D80" s="197"/>
      <c r="E80" s="197" t="s">
        <v>1920</v>
      </c>
      <c r="F80" s="523"/>
      <c r="G80" s="10">
        <v>1</v>
      </c>
      <c r="H80" s="551"/>
      <c r="I80" s="560">
        <f t="shared" si="1"/>
        <v>0</v>
      </c>
    </row>
    <row r="81" spans="1:9" x14ac:dyDescent="0.2">
      <c r="A81" s="372" t="s">
        <v>192</v>
      </c>
      <c r="B81" s="197" t="s">
        <v>601</v>
      </c>
      <c r="C81" s="579"/>
      <c r="D81" s="197"/>
      <c r="E81" s="197" t="s">
        <v>1920</v>
      </c>
      <c r="F81" s="523"/>
      <c r="G81" s="10">
        <v>1</v>
      </c>
      <c r="H81" s="551"/>
      <c r="I81" s="560">
        <f t="shared" si="1"/>
        <v>0</v>
      </c>
    </row>
    <row r="82" spans="1:9" x14ac:dyDescent="0.2">
      <c r="A82" s="372" t="s">
        <v>3260</v>
      </c>
      <c r="B82" s="197" t="s">
        <v>480</v>
      </c>
      <c r="C82" s="579"/>
      <c r="D82" s="197"/>
      <c r="E82" s="197" t="s">
        <v>1920</v>
      </c>
      <c r="F82" s="523"/>
      <c r="G82" s="10">
        <v>1</v>
      </c>
      <c r="H82" s="551"/>
      <c r="I82" s="560">
        <f t="shared" si="1"/>
        <v>0</v>
      </c>
    </row>
    <row r="83" spans="1:9" x14ac:dyDescent="0.2">
      <c r="A83" s="372" t="s">
        <v>3262</v>
      </c>
      <c r="B83" s="197" t="s">
        <v>635</v>
      </c>
      <c r="C83" s="579"/>
      <c r="D83" s="197"/>
      <c r="E83" s="197" t="s">
        <v>1920</v>
      </c>
      <c r="F83" s="523"/>
      <c r="G83" s="10">
        <v>1</v>
      </c>
      <c r="H83" s="551"/>
      <c r="I83" s="560">
        <f t="shared" si="1"/>
        <v>0</v>
      </c>
    </row>
    <row r="84" spans="1:9" x14ac:dyDescent="0.2">
      <c r="A84" s="372" t="s">
        <v>3263</v>
      </c>
      <c r="B84" s="197" t="s">
        <v>636</v>
      </c>
      <c r="C84" s="579"/>
      <c r="D84" s="197"/>
      <c r="E84" s="197" t="s">
        <v>1920</v>
      </c>
      <c r="F84" s="523"/>
      <c r="G84" s="10">
        <v>1</v>
      </c>
      <c r="H84" s="551"/>
      <c r="I84" s="560">
        <f t="shared" si="1"/>
        <v>0</v>
      </c>
    </row>
    <row r="85" spans="1:9" x14ac:dyDescent="0.2">
      <c r="A85" s="372" t="s">
        <v>3257</v>
      </c>
      <c r="B85" s="197" t="s">
        <v>888</v>
      </c>
      <c r="C85" s="579"/>
      <c r="D85" s="197"/>
      <c r="E85" s="197" t="s">
        <v>1920</v>
      </c>
      <c r="F85" s="523"/>
      <c r="G85" s="10">
        <v>1</v>
      </c>
      <c r="H85" s="551"/>
      <c r="I85" s="560">
        <f t="shared" si="1"/>
        <v>0</v>
      </c>
    </row>
    <row r="86" spans="1:9" x14ac:dyDescent="0.2">
      <c r="A86" s="372" t="s">
        <v>175</v>
      </c>
      <c r="B86" s="197" t="s">
        <v>2740</v>
      </c>
      <c r="C86" s="579"/>
      <c r="D86" s="197"/>
      <c r="E86" s="197">
        <v>55719</v>
      </c>
      <c r="F86" s="523"/>
      <c r="G86" s="10">
        <v>1</v>
      </c>
      <c r="H86" s="551"/>
      <c r="I86" s="560">
        <f t="shared" si="1"/>
        <v>0</v>
      </c>
    </row>
    <row r="87" spans="1:9" x14ac:dyDescent="0.2">
      <c r="A87" s="372" t="s">
        <v>962</v>
      </c>
      <c r="B87" s="197" t="s">
        <v>2741</v>
      </c>
      <c r="C87" s="579"/>
      <c r="D87" s="197"/>
      <c r="E87" s="197">
        <v>55719</v>
      </c>
      <c r="F87" s="523"/>
      <c r="G87" s="10">
        <v>1</v>
      </c>
      <c r="H87" s="551"/>
      <c r="I87" s="560">
        <f t="shared" si="1"/>
        <v>0</v>
      </c>
    </row>
    <row r="88" spans="1:9" x14ac:dyDescent="0.2">
      <c r="A88" s="372" t="s">
        <v>66</v>
      </c>
      <c r="B88" s="197" t="s">
        <v>1836</v>
      </c>
      <c r="C88" s="579"/>
      <c r="D88" s="197"/>
      <c r="E88" s="197" t="s">
        <v>1947</v>
      </c>
      <c r="F88" s="523"/>
      <c r="G88" s="10">
        <v>1</v>
      </c>
      <c r="H88" s="551"/>
      <c r="I88" s="560">
        <f t="shared" si="1"/>
        <v>0</v>
      </c>
    </row>
    <row r="89" spans="1:9" x14ac:dyDescent="0.2">
      <c r="A89" s="372" t="s">
        <v>1512</v>
      </c>
      <c r="B89" s="197" t="s">
        <v>1999</v>
      </c>
      <c r="C89" s="579"/>
      <c r="D89" s="197"/>
      <c r="E89" s="197">
        <v>55719</v>
      </c>
      <c r="F89" s="523"/>
      <c r="G89" s="10">
        <v>1</v>
      </c>
      <c r="H89" s="551"/>
      <c r="I89" s="560">
        <f t="shared" si="1"/>
        <v>0</v>
      </c>
    </row>
    <row r="90" spans="1:9" x14ac:dyDescent="0.2">
      <c r="A90" s="372" t="s">
        <v>157</v>
      </c>
      <c r="B90" s="197" t="s">
        <v>633</v>
      </c>
      <c r="C90" s="579"/>
      <c r="D90" s="197" t="s">
        <v>1890</v>
      </c>
      <c r="E90" s="197" t="s">
        <v>1948</v>
      </c>
      <c r="F90" s="523"/>
      <c r="G90" s="10">
        <v>1</v>
      </c>
      <c r="H90" s="551"/>
      <c r="I90" s="560">
        <f t="shared" si="1"/>
        <v>0</v>
      </c>
    </row>
    <row r="91" spans="1:9" x14ac:dyDescent="0.2">
      <c r="A91" s="372" t="s">
        <v>1501</v>
      </c>
      <c r="B91" s="197" t="s">
        <v>1104</v>
      </c>
      <c r="C91" s="579"/>
      <c r="D91" s="197" t="s">
        <v>1899</v>
      </c>
      <c r="E91" s="197" t="s">
        <v>1958</v>
      </c>
      <c r="F91" s="523"/>
      <c r="G91" s="10">
        <v>1</v>
      </c>
      <c r="H91" s="551"/>
      <c r="I91" s="560">
        <f t="shared" si="1"/>
        <v>0</v>
      </c>
    </row>
    <row r="92" spans="1:9" x14ac:dyDescent="0.2">
      <c r="A92" s="372" t="s">
        <v>1504</v>
      </c>
      <c r="B92" s="197" t="s">
        <v>915</v>
      </c>
      <c r="C92" s="579"/>
      <c r="D92" s="197" t="s">
        <v>1903</v>
      </c>
      <c r="E92" s="197" t="s">
        <v>1961</v>
      </c>
      <c r="F92" s="523"/>
      <c r="G92" s="10">
        <v>1</v>
      </c>
      <c r="H92" s="551"/>
      <c r="I92" s="560">
        <f t="shared" si="1"/>
        <v>0</v>
      </c>
    </row>
    <row r="93" spans="1:9" x14ac:dyDescent="0.2">
      <c r="A93" s="372" t="s">
        <v>1508</v>
      </c>
      <c r="B93" s="197" t="s">
        <v>600</v>
      </c>
      <c r="C93" s="579"/>
      <c r="D93" s="197" t="s">
        <v>1908</v>
      </c>
      <c r="E93" s="197" t="s">
        <v>1928</v>
      </c>
      <c r="F93" s="523"/>
      <c r="G93" s="10">
        <v>2</v>
      </c>
      <c r="H93" s="551"/>
      <c r="I93" s="560">
        <f t="shared" si="1"/>
        <v>0</v>
      </c>
    </row>
    <row r="94" spans="1:9" x14ac:dyDescent="0.2">
      <c r="A94" s="372" t="s">
        <v>158</v>
      </c>
      <c r="B94" s="197" t="s">
        <v>603</v>
      </c>
      <c r="C94" s="579"/>
      <c r="D94" s="197" t="s">
        <v>1909</v>
      </c>
      <c r="E94" s="197" t="s">
        <v>1964</v>
      </c>
      <c r="F94" s="523"/>
      <c r="G94" s="10">
        <v>1</v>
      </c>
      <c r="H94" s="551"/>
      <c r="I94" s="560">
        <f t="shared" si="1"/>
        <v>0</v>
      </c>
    </row>
    <row r="95" spans="1:9" x14ac:dyDescent="0.2">
      <c r="A95" s="372" t="s">
        <v>3088</v>
      </c>
      <c r="B95" s="334" t="s">
        <v>3087</v>
      </c>
      <c r="C95" s="579"/>
      <c r="D95" s="334"/>
      <c r="E95" s="334">
        <v>55719</v>
      </c>
      <c r="F95" s="523"/>
      <c r="G95" s="10">
        <v>1</v>
      </c>
      <c r="H95" s="551"/>
      <c r="I95" s="560">
        <f t="shared" si="1"/>
        <v>0</v>
      </c>
    </row>
    <row r="96" spans="1:9" x14ac:dyDescent="0.2">
      <c r="A96" s="372" t="s">
        <v>2857</v>
      </c>
      <c r="B96" s="197" t="s">
        <v>2850</v>
      </c>
      <c r="C96" s="579"/>
      <c r="D96" s="197"/>
      <c r="E96" s="197" t="s">
        <v>1928</v>
      </c>
      <c r="F96" s="523"/>
      <c r="G96" s="10">
        <v>1</v>
      </c>
      <c r="H96" s="551"/>
      <c r="I96" s="560">
        <f t="shared" si="1"/>
        <v>0</v>
      </c>
    </row>
    <row r="97" spans="1:9" x14ac:dyDescent="0.2">
      <c r="A97" s="372" t="s">
        <v>1053</v>
      </c>
      <c r="B97" s="197" t="s">
        <v>322</v>
      </c>
      <c r="C97" s="579"/>
      <c r="D97" s="197"/>
      <c r="E97" s="197" t="s">
        <v>1920</v>
      </c>
      <c r="F97" s="523"/>
      <c r="G97" s="10">
        <v>1</v>
      </c>
      <c r="H97" s="551"/>
      <c r="I97" s="560">
        <f t="shared" si="1"/>
        <v>0</v>
      </c>
    </row>
    <row r="98" spans="1:9" x14ac:dyDescent="0.2">
      <c r="A98" s="372" t="s">
        <v>167</v>
      </c>
      <c r="B98" s="197" t="s">
        <v>323</v>
      </c>
      <c r="C98" s="579"/>
      <c r="D98" s="197"/>
      <c r="E98" s="197" t="s">
        <v>1920</v>
      </c>
      <c r="F98" s="523"/>
      <c r="G98" s="10">
        <v>1</v>
      </c>
      <c r="H98" s="551"/>
      <c r="I98" s="560">
        <f t="shared" si="1"/>
        <v>0</v>
      </c>
    </row>
    <row r="99" spans="1:9" x14ac:dyDescent="0.2">
      <c r="A99" s="372" t="s">
        <v>1068</v>
      </c>
      <c r="B99" s="197" t="s">
        <v>365</v>
      </c>
      <c r="C99" s="579"/>
      <c r="D99" s="197"/>
      <c r="E99" s="197" t="s">
        <v>1920</v>
      </c>
      <c r="F99" s="523"/>
      <c r="G99" s="10">
        <v>1</v>
      </c>
      <c r="H99" s="551"/>
      <c r="I99" s="560">
        <f t="shared" si="1"/>
        <v>0</v>
      </c>
    </row>
    <row r="100" spans="1:9" x14ac:dyDescent="0.2">
      <c r="A100" s="372" t="s">
        <v>2114</v>
      </c>
      <c r="B100" s="197" t="s">
        <v>2132</v>
      </c>
      <c r="C100" s="579"/>
      <c r="D100" s="197"/>
      <c r="E100" s="197" t="s">
        <v>1920</v>
      </c>
      <c r="F100" s="523"/>
      <c r="G100" s="10">
        <v>1</v>
      </c>
      <c r="H100" s="551"/>
      <c r="I100" s="560">
        <f t="shared" si="1"/>
        <v>0</v>
      </c>
    </row>
    <row r="101" spans="1:9" s="373" customFormat="1" ht="18" x14ac:dyDescent="0.25">
      <c r="A101" s="372" t="s">
        <v>2929</v>
      </c>
      <c r="B101" s="197" t="s">
        <v>710</v>
      </c>
      <c r="C101" s="579"/>
      <c r="D101" s="197"/>
      <c r="E101" s="197" t="s">
        <v>1920</v>
      </c>
      <c r="F101" s="523"/>
      <c r="G101" s="10">
        <v>1</v>
      </c>
      <c r="H101" s="551"/>
      <c r="I101" s="560">
        <f t="shared" si="1"/>
        <v>0</v>
      </c>
    </row>
    <row r="102" spans="1:9" s="373" customFormat="1" ht="18" x14ac:dyDescent="0.25">
      <c r="A102" s="372" t="s">
        <v>159</v>
      </c>
      <c r="B102" s="197" t="s">
        <v>1107</v>
      </c>
      <c r="C102" s="579"/>
      <c r="D102" s="197"/>
      <c r="E102" s="197" t="s">
        <v>1920</v>
      </c>
      <c r="F102" s="523"/>
      <c r="G102" s="10">
        <v>1</v>
      </c>
      <c r="H102" s="551"/>
      <c r="I102" s="560">
        <f t="shared" si="1"/>
        <v>0</v>
      </c>
    </row>
    <row r="103" spans="1:9" s="373" customFormat="1" ht="18" x14ac:dyDescent="0.25">
      <c r="A103" s="372" t="s">
        <v>3129</v>
      </c>
      <c r="B103" s="197" t="s">
        <v>885</v>
      </c>
      <c r="C103" s="579"/>
      <c r="D103" s="197" t="s">
        <v>1916</v>
      </c>
      <c r="E103" s="197" t="s">
        <v>1965</v>
      </c>
      <c r="F103" s="523"/>
      <c r="G103" s="10">
        <v>2</v>
      </c>
      <c r="H103" s="551"/>
      <c r="I103" s="560">
        <f t="shared" si="1"/>
        <v>0</v>
      </c>
    </row>
    <row r="104" spans="1:9" s="373" customFormat="1" ht="18" x14ac:dyDescent="0.25">
      <c r="A104" s="372" t="s">
        <v>3128</v>
      </c>
      <c r="B104" s="197" t="s">
        <v>783</v>
      </c>
      <c r="C104" s="579"/>
      <c r="D104" s="197" t="s">
        <v>1917</v>
      </c>
      <c r="E104" s="197" t="s">
        <v>1965</v>
      </c>
      <c r="F104" s="523"/>
      <c r="G104" s="10">
        <v>1</v>
      </c>
      <c r="H104" s="551"/>
      <c r="I104" s="560">
        <f t="shared" si="1"/>
        <v>0</v>
      </c>
    </row>
    <row r="105" spans="1:9" s="373" customFormat="1" ht="18" x14ac:dyDescent="0.25">
      <c r="A105" s="372" t="s">
        <v>1561</v>
      </c>
      <c r="B105" s="197" t="s">
        <v>573</v>
      </c>
      <c r="C105" s="579"/>
      <c r="D105" s="197"/>
      <c r="E105" s="197" t="s">
        <v>1920</v>
      </c>
      <c r="F105" s="523"/>
      <c r="G105" s="10">
        <v>1</v>
      </c>
      <c r="H105" s="551"/>
      <c r="I105" s="560">
        <f t="shared" si="1"/>
        <v>0</v>
      </c>
    </row>
    <row r="106" spans="1:9" s="373" customFormat="1" ht="18" x14ac:dyDescent="0.25">
      <c r="A106" s="372" t="s">
        <v>1577</v>
      </c>
      <c r="B106" s="197" t="s">
        <v>574</v>
      </c>
      <c r="C106" s="579"/>
      <c r="D106" s="197"/>
      <c r="E106" s="197" t="s">
        <v>1920</v>
      </c>
      <c r="F106" s="523"/>
      <c r="G106" s="10">
        <v>1</v>
      </c>
      <c r="H106" s="551"/>
      <c r="I106" s="560">
        <f t="shared" si="1"/>
        <v>0</v>
      </c>
    </row>
    <row r="107" spans="1:9" s="373" customFormat="1" ht="18" x14ac:dyDescent="0.25">
      <c r="A107" s="372" t="s">
        <v>1621</v>
      </c>
      <c r="B107" s="197" t="s">
        <v>288</v>
      </c>
      <c r="C107" s="579"/>
      <c r="D107" s="197"/>
      <c r="E107" s="197" t="s">
        <v>1920</v>
      </c>
      <c r="F107" s="523"/>
      <c r="G107" s="10">
        <v>1</v>
      </c>
      <c r="H107" s="551"/>
      <c r="I107" s="560">
        <f t="shared" si="1"/>
        <v>0</v>
      </c>
    </row>
    <row r="108" spans="1:9" s="373" customFormat="1" ht="18" x14ac:dyDescent="0.25">
      <c r="A108" s="372" t="s">
        <v>1078</v>
      </c>
      <c r="B108" s="197" t="s">
        <v>447</v>
      </c>
      <c r="C108" s="579"/>
      <c r="D108" s="197"/>
      <c r="E108" s="197" t="s">
        <v>1920</v>
      </c>
      <c r="F108" s="523"/>
      <c r="G108" s="10">
        <v>1</v>
      </c>
      <c r="H108" s="551"/>
      <c r="I108" s="560">
        <f t="shared" si="1"/>
        <v>0</v>
      </c>
    </row>
    <row r="109" spans="1:9" s="373" customFormat="1" ht="18" x14ac:dyDescent="0.25">
      <c r="A109" s="372" t="s">
        <v>1079</v>
      </c>
      <c r="B109" s="197" t="s">
        <v>487</v>
      </c>
      <c r="C109" s="579"/>
      <c r="D109" s="197"/>
      <c r="E109" s="197" t="s">
        <v>1920</v>
      </c>
      <c r="F109" s="523"/>
      <c r="G109" s="10">
        <v>1</v>
      </c>
      <c r="H109" s="551"/>
      <c r="I109" s="560">
        <f t="shared" si="1"/>
        <v>0</v>
      </c>
    </row>
    <row r="110" spans="1:9" s="373" customFormat="1" ht="18" x14ac:dyDescent="0.25">
      <c r="A110" s="372" t="s">
        <v>1704</v>
      </c>
      <c r="B110" s="197" t="s">
        <v>782</v>
      </c>
      <c r="C110" s="579"/>
      <c r="D110" s="197"/>
      <c r="E110" s="197" t="s">
        <v>1920</v>
      </c>
      <c r="F110" s="523"/>
      <c r="G110" s="10">
        <v>1</v>
      </c>
      <c r="H110" s="551"/>
      <c r="I110" s="560">
        <f t="shared" si="1"/>
        <v>0</v>
      </c>
    </row>
    <row r="111" spans="1:9" s="373" customFormat="1" ht="18" x14ac:dyDescent="0.25">
      <c r="A111" s="372" t="s">
        <v>1024</v>
      </c>
      <c r="B111" s="197" t="s">
        <v>400</v>
      </c>
      <c r="C111" s="579"/>
      <c r="D111" s="197"/>
      <c r="E111" s="197" t="s">
        <v>1920</v>
      </c>
      <c r="F111" s="430"/>
      <c r="G111" s="10">
        <v>2</v>
      </c>
      <c r="H111" s="551"/>
      <c r="I111" s="560">
        <f t="shared" si="1"/>
        <v>0</v>
      </c>
    </row>
    <row r="112" spans="1:9" s="373" customFormat="1" ht="18" x14ac:dyDescent="0.25">
      <c r="A112" s="372" t="s">
        <v>1130</v>
      </c>
      <c r="B112" s="197" t="s">
        <v>399</v>
      </c>
      <c r="C112" s="579"/>
      <c r="D112" s="197"/>
      <c r="E112" s="197" t="s">
        <v>1920</v>
      </c>
      <c r="F112" s="457"/>
      <c r="G112" s="10">
        <v>2</v>
      </c>
      <c r="H112" s="551"/>
      <c r="I112" s="560">
        <f t="shared" si="1"/>
        <v>0</v>
      </c>
    </row>
    <row r="113" spans="1:9" s="373" customFormat="1" ht="18" x14ac:dyDescent="0.25">
      <c r="A113" s="372" t="s">
        <v>1415</v>
      </c>
      <c r="B113" s="197" t="s">
        <v>604</v>
      </c>
      <c r="C113" s="579"/>
      <c r="D113" s="197"/>
      <c r="E113" s="197" t="s">
        <v>1973</v>
      </c>
      <c r="F113" s="523"/>
      <c r="G113" s="10">
        <v>1</v>
      </c>
      <c r="H113" s="551"/>
      <c r="I113" s="560">
        <f t="shared" si="1"/>
        <v>0</v>
      </c>
    </row>
    <row r="114" spans="1:9" s="373" customFormat="1" ht="18" x14ac:dyDescent="0.25">
      <c r="A114" s="372" t="s">
        <v>3115</v>
      </c>
      <c r="B114" s="197" t="s">
        <v>2226</v>
      </c>
      <c r="C114" s="579"/>
      <c r="D114" s="197"/>
      <c r="E114" s="197" t="s">
        <v>1920</v>
      </c>
      <c r="F114" s="523"/>
      <c r="G114" s="10">
        <v>1</v>
      </c>
      <c r="H114" s="551"/>
      <c r="I114" s="560">
        <f t="shared" si="1"/>
        <v>0</v>
      </c>
    </row>
    <row r="115" spans="1:9" s="373" customFormat="1" ht="18" x14ac:dyDescent="0.25">
      <c r="A115" s="372" t="s">
        <v>410</v>
      </c>
      <c r="B115" s="197" t="s">
        <v>483</v>
      </c>
      <c r="C115" s="579"/>
      <c r="D115" s="197"/>
      <c r="E115" s="197" t="s">
        <v>1920</v>
      </c>
      <c r="F115" s="523"/>
      <c r="G115" s="10">
        <v>1</v>
      </c>
      <c r="H115" s="551"/>
      <c r="I115" s="560">
        <f t="shared" si="1"/>
        <v>0</v>
      </c>
    </row>
    <row r="116" spans="1:9" s="373" customFormat="1" ht="18" x14ac:dyDescent="0.25">
      <c r="A116" s="372" t="s">
        <v>3090</v>
      </c>
      <c r="B116" s="197" t="s">
        <v>1982</v>
      </c>
      <c r="C116" s="579"/>
      <c r="D116" s="197"/>
      <c r="E116" s="197" t="s">
        <v>1920</v>
      </c>
      <c r="F116" s="523"/>
      <c r="G116" s="10">
        <v>1</v>
      </c>
      <c r="H116" s="551"/>
      <c r="I116" s="560">
        <f t="shared" si="1"/>
        <v>0</v>
      </c>
    </row>
    <row r="117" spans="1:9" s="373" customFormat="1" ht="18" x14ac:dyDescent="0.25">
      <c r="A117" s="372" t="s">
        <v>1081</v>
      </c>
      <c r="B117" s="197" t="s">
        <v>875</v>
      </c>
      <c r="C117" s="579"/>
      <c r="D117" s="197"/>
      <c r="E117" s="197" t="s">
        <v>1920</v>
      </c>
      <c r="F117" s="523"/>
      <c r="G117" s="10">
        <v>1</v>
      </c>
      <c r="H117" s="551"/>
      <c r="I117" s="560">
        <f t="shared" si="1"/>
        <v>0</v>
      </c>
    </row>
    <row r="118" spans="1:9" s="373" customFormat="1" ht="18" x14ac:dyDescent="0.25">
      <c r="A118" s="372" t="s">
        <v>1082</v>
      </c>
      <c r="B118" s="197" t="s">
        <v>909</v>
      </c>
      <c r="C118" s="579"/>
      <c r="D118" s="197"/>
      <c r="E118" s="197" t="s">
        <v>1920</v>
      </c>
      <c r="F118" s="523"/>
      <c r="G118" s="10">
        <v>1</v>
      </c>
      <c r="H118" s="551"/>
      <c r="I118" s="560">
        <f t="shared" si="1"/>
        <v>0</v>
      </c>
    </row>
    <row r="119" spans="1:9" s="373" customFormat="1" ht="18" x14ac:dyDescent="0.25">
      <c r="A119" s="372" t="s">
        <v>1083</v>
      </c>
      <c r="B119" s="197" t="s">
        <v>910</v>
      </c>
      <c r="C119" s="579"/>
      <c r="D119" s="197"/>
      <c r="E119" s="197" t="s">
        <v>1920</v>
      </c>
      <c r="F119" s="523"/>
      <c r="G119" s="10">
        <v>1</v>
      </c>
      <c r="H119" s="551"/>
      <c r="I119" s="560">
        <f t="shared" si="1"/>
        <v>0</v>
      </c>
    </row>
    <row r="120" spans="1:9" s="373" customFormat="1" ht="18" x14ac:dyDescent="0.25">
      <c r="A120" s="372" t="s">
        <v>1617</v>
      </c>
      <c r="B120" s="197" t="s">
        <v>409</v>
      </c>
      <c r="C120" s="579"/>
      <c r="D120" s="197"/>
      <c r="E120" s="197" t="s">
        <v>1920</v>
      </c>
      <c r="F120" s="523"/>
      <c r="G120" s="10">
        <v>1</v>
      </c>
      <c r="H120" s="551"/>
      <c r="I120" s="560">
        <f t="shared" si="1"/>
        <v>0</v>
      </c>
    </row>
    <row r="121" spans="1:9" s="373" customFormat="1" ht="18" x14ac:dyDescent="0.25">
      <c r="A121" s="372" t="s">
        <v>2133</v>
      </c>
      <c r="B121" s="197" t="s">
        <v>2909</v>
      </c>
      <c r="C121" s="579"/>
      <c r="D121" s="197"/>
      <c r="E121" s="197">
        <v>56654</v>
      </c>
      <c r="F121" s="523"/>
      <c r="G121" s="10">
        <v>3</v>
      </c>
      <c r="H121" s="551"/>
      <c r="I121" s="560">
        <f t="shared" si="1"/>
        <v>0</v>
      </c>
    </row>
    <row r="122" spans="1:9" s="373" customFormat="1" ht="18" x14ac:dyDescent="0.25">
      <c r="A122" s="372" t="s">
        <v>1124</v>
      </c>
      <c r="B122" s="197">
        <v>8130015</v>
      </c>
      <c r="C122" s="579"/>
      <c r="D122" s="197"/>
      <c r="E122" s="197" t="s">
        <v>1975</v>
      </c>
      <c r="F122" s="523"/>
      <c r="G122" s="10">
        <v>1</v>
      </c>
      <c r="H122" s="551"/>
      <c r="I122" s="560">
        <f t="shared" si="1"/>
        <v>0</v>
      </c>
    </row>
    <row r="123" spans="1:9" s="373" customFormat="1" ht="18" x14ac:dyDescent="0.25">
      <c r="A123" s="372" t="s">
        <v>1125</v>
      </c>
      <c r="B123" s="197">
        <v>8130020</v>
      </c>
      <c r="C123" s="579"/>
      <c r="D123" s="197"/>
      <c r="E123" s="197" t="s">
        <v>1975</v>
      </c>
      <c r="F123" s="523"/>
      <c r="G123" s="10">
        <v>1</v>
      </c>
      <c r="H123" s="551"/>
      <c r="I123" s="560">
        <f t="shared" si="1"/>
        <v>0</v>
      </c>
    </row>
    <row r="124" spans="1:9" s="373" customFormat="1" ht="18" x14ac:dyDescent="0.25">
      <c r="A124" s="372" t="s">
        <v>1127</v>
      </c>
      <c r="B124" s="197">
        <v>8130030</v>
      </c>
      <c r="C124" s="579"/>
      <c r="D124" s="197"/>
      <c r="E124" s="197" t="s">
        <v>1975</v>
      </c>
      <c r="F124" s="523"/>
      <c r="G124" s="10">
        <v>1</v>
      </c>
      <c r="H124" s="551"/>
      <c r="I124" s="560">
        <f t="shared" si="1"/>
        <v>0</v>
      </c>
    </row>
    <row r="125" spans="1:9" s="373" customFormat="1" ht="18" x14ac:dyDescent="0.25">
      <c r="A125" s="372" t="s">
        <v>1128</v>
      </c>
      <c r="B125" s="197">
        <v>8130040</v>
      </c>
      <c r="C125" s="579"/>
      <c r="D125" s="197"/>
      <c r="E125" s="197" t="s">
        <v>1975</v>
      </c>
      <c r="F125" s="523"/>
      <c r="G125" s="10">
        <v>1</v>
      </c>
      <c r="H125" s="551"/>
      <c r="I125" s="560">
        <f t="shared" si="1"/>
        <v>0</v>
      </c>
    </row>
    <row r="126" spans="1:9" s="373" customFormat="1" ht="18" x14ac:dyDescent="0.25">
      <c r="A126" s="372" t="s">
        <v>1156</v>
      </c>
      <c r="B126" s="197" t="s">
        <v>2117</v>
      </c>
      <c r="C126" s="579"/>
      <c r="D126" s="197"/>
      <c r="E126" s="197" t="s">
        <v>1975</v>
      </c>
      <c r="F126" s="523"/>
      <c r="G126" s="10">
        <v>1</v>
      </c>
      <c r="H126" s="551"/>
      <c r="I126" s="560">
        <f t="shared" si="1"/>
        <v>0</v>
      </c>
    </row>
    <row r="127" spans="1:9" s="373" customFormat="1" ht="18" x14ac:dyDescent="0.25">
      <c r="A127" s="372" t="s">
        <v>1221</v>
      </c>
      <c r="B127" s="197" t="s">
        <v>248</v>
      </c>
      <c r="C127" s="579"/>
      <c r="D127" s="197"/>
      <c r="E127" s="197" t="s">
        <v>1920</v>
      </c>
      <c r="F127" s="523"/>
      <c r="G127" s="10">
        <v>1</v>
      </c>
      <c r="H127" s="551"/>
      <c r="I127" s="560">
        <f t="shared" si="1"/>
        <v>0</v>
      </c>
    </row>
    <row r="128" spans="1:9" s="373" customFormat="1" ht="18" x14ac:dyDescent="0.25">
      <c r="A128" s="372" t="s">
        <v>188</v>
      </c>
      <c r="B128" s="197" t="s">
        <v>2742</v>
      </c>
      <c r="C128" s="579"/>
      <c r="D128" s="197"/>
      <c r="E128" s="197">
        <v>55719</v>
      </c>
      <c r="F128" s="523"/>
      <c r="G128" s="10">
        <v>1</v>
      </c>
      <c r="H128" s="551"/>
      <c r="I128" s="560">
        <f t="shared" si="1"/>
        <v>0</v>
      </c>
    </row>
    <row r="129" spans="1:9" s="373" customFormat="1" ht="18" x14ac:dyDescent="0.25">
      <c r="A129" s="372" t="s">
        <v>1289</v>
      </c>
      <c r="B129" s="197" t="s">
        <v>940</v>
      </c>
      <c r="C129" s="579"/>
      <c r="D129" s="197"/>
      <c r="E129" s="197" t="s">
        <v>1920</v>
      </c>
      <c r="F129" s="523"/>
      <c r="G129" s="10">
        <v>1</v>
      </c>
      <c r="H129" s="551"/>
      <c r="I129" s="560">
        <f t="shared" si="1"/>
        <v>0</v>
      </c>
    </row>
    <row r="130" spans="1:9" s="373" customFormat="1" ht="18" x14ac:dyDescent="0.25">
      <c r="A130" s="372" t="s">
        <v>1282</v>
      </c>
      <c r="B130" s="197" t="s">
        <v>877</v>
      </c>
      <c r="C130" s="579"/>
      <c r="D130" s="197"/>
      <c r="E130" s="197" t="s">
        <v>1920</v>
      </c>
      <c r="F130" s="523"/>
      <c r="G130" s="10">
        <v>1</v>
      </c>
      <c r="H130" s="551"/>
      <c r="I130" s="560">
        <f t="shared" si="1"/>
        <v>0</v>
      </c>
    </row>
    <row r="131" spans="1:9" s="373" customFormat="1" ht="18" x14ac:dyDescent="0.25">
      <c r="A131" s="372" t="s">
        <v>2746</v>
      </c>
      <c r="B131" s="197">
        <v>42520</v>
      </c>
      <c r="C131" s="579"/>
      <c r="D131" s="197"/>
      <c r="E131" s="197" t="s">
        <v>1951</v>
      </c>
      <c r="F131" s="523"/>
      <c r="G131" s="10">
        <v>1</v>
      </c>
      <c r="H131" s="551"/>
      <c r="I131" s="560">
        <f t="shared" ref="I131:I157" si="2">+H131*G131</f>
        <v>0</v>
      </c>
    </row>
    <row r="132" spans="1:9" s="373" customFormat="1" ht="18" x14ac:dyDescent="0.25">
      <c r="A132" s="372" t="s">
        <v>1090</v>
      </c>
      <c r="B132" s="197">
        <v>56707</v>
      </c>
      <c r="C132" s="579"/>
      <c r="D132" s="197"/>
      <c r="E132" s="197">
        <v>25795</v>
      </c>
      <c r="F132" s="523"/>
      <c r="G132" s="10">
        <v>1</v>
      </c>
      <c r="H132" s="551"/>
      <c r="I132" s="560">
        <f t="shared" si="2"/>
        <v>0</v>
      </c>
    </row>
    <row r="133" spans="1:9" x14ac:dyDescent="0.2">
      <c r="A133" s="374" t="s">
        <v>902</v>
      </c>
      <c r="B133" s="375" t="s">
        <v>3063</v>
      </c>
      <c r="C133" s="579"/>
      <c r="D133" s="375"/>
      <c r="E133" s="375" t="s">
        <v>1935</v>
      </c>
      <c r="F133" s="523"/>
      <c r="G133" s="337">
        <v>2</v>
      </c>
      <c r="H133" s="561"/>
      <c r="I133" s="560">
        <f t="shared" si="2"/>
        <v>0</v>
      </c>
    </row>
    <row r="134" spans="1:9" x14ac:dyDescent="0.2">
      <c r="A134" s="372" t="s">
        <v>2324</v>
      </c>
      <c r="B134" s="197" t="s">
        <v>2326</v>
      </c>
      <c r="C134" s="579"/>
      <c r="D134" s="197"/>
      <c r="E134" s="197">
        <v>55719</v>
      </c>
      <c r="F134" s="523"/>
      <c r="G134" s="10">
        <v>1</v>
      </c>
      <c r="H134" s="551"/>
      <c r="I134" s="560">
        <f t="shared" si="2"/>
        <v>0</v>
      </c>
    </row>
    <row r="135" spans="1:9" x14ac:dyDescent="0.2">
      <c r="A135" s="372" t="s">
        <v>3131</v>
      </c>
      <c r="B135" s="197" t="s">
        <v>2126</v>
      </c>
      <c r="C135" s="579"/>
      <c r="D135" s="197"/>
      <c r="E135" s="197" t="s">
        <v>1942</v>
      </c>
      <c r="F135" s="523"/>
      <c r="G135" s="10">
        <v>1</v>
      </c>
      <c r="H135" s="551"/>
      <c r="I135" s="560">
        <f t="shared" si="2"/>
        <v>0</v>
      </c>
    </row>
    <row r="136" spans="1:9" x14ac:dyDescent="0.2">
      <c r="A136" s="372" t="s">
        <v>1609</v>
      </c>
      <c r="B136" s="197" t="s">
        <v>914</v>
      </c>
      <c r="C136" s="579"/>
      <c r="D136" s="197"/>
      <c r="E136" s="197" t="s">
        <v>1942</v>
      </c>
      <c r="F136" s="523"/>
      <c r="G136" s="10">
        <v>1</v>
      </c>
      <c r="H136" s="551"/>
      <c r="I136" s="560">
        <f t="shared" si="2"/>
        <v>0</v>
      </c>
    </row>
    <row r="137" spans="1:9" x14ac:dyDescent="0.2">
      <c r="A137" s="372" t="s">
        <v>2115</v>
      </c>
      <c r="B137" s="197" t="s">
        <v>2884</v>
      </c>
      <c r="C137" s="579"/>
      <c r="D137" s="197"/>
      <c r="E137" s="197" t="s">
        <v>1942</v>
      </c>
      <c r="F137" s="523"/>
      <c r="G137" s="10">
        <v>1</v>
      </c>
      <c r="H137" s="551"/>
      <c r="I137" s="560">
        <f t="shared" si="2"/>
        <v>0</v>
      </c>
    </row>
    <row r="138" spans="1:9" x14ac:dyDescent="0.2">
      <c r="A138" s="372" t="s">
        <v>2116</v>
      </c>
      <c r="B138" s="197" t="s">
        <v>2911</v>
      </c>
      <c r="C138" s="579"/>
      <c r="D138" s="197"/>
      <c r="E138" s="197" t="s">
        <v>1942</v>
      </c>
      <c r="F138" s="523"/>
      <c r="G138" s="10">
        <v>1</v>
      </c>
      <c r="H138" s="551"/>
      <c r="I138" s="560">
        <f t="shared" si="2"/>
        <v>0</v>
      </c>
    </row>
    <row r="139" spans="1:9" x14ac:dyDescent="0.2">
      <c r="A139" s="372" t="s">
        <v>190</v>
      </c>
      <c r="B139" s="197" t="s">
        <v>621</v>
      </c>
      <c r="C139" s="579"/>
      <c r="D139" s="197" t="s">
        <v>1918</v>
      </c>
      <c r="E139" s="197" t="s">
        <v>1977</v>
      </c>
      <c r="F139" s="523"/>
      <c r="G139" s="10">
        <v>6</v>
      </c>
      <c r="H139" s="551"/>
      <c r="I139" s="560">
        <f t="shared" si="2"/>
        <v>0</v>
      </c>
    </row>
    <row r="140" spans="1:9" x14ac:dyDescent="0.2">
      <c r="A140" s="372" t="s">
        <v>1466</v>
      </c>
      <c r="B140" s="197" t="s">
        <v>620</v>
      </c>
      <c r="C140" s="579"/>
      <c r="D140" s="197"/>
      <c r="E140" s="197" t="s">
        <v>1920</v>
      </c>
      <c r="F140" s="523"/>
      <c r="G140" s="10">
        <v>1</v>
      </c>
      <c r="H140" s="551"/>
      <c r="I140" s="560">
        <f t="shared" si="2"/>
        <v>0</v>
      </c>
    </row>
    <row r="141" spans="1:9" x14ac:dyDescent="0.2">
      <c r="A141" s="372" t="s">
        <v>20</v>
      </c>
      <c r="B141" s="197" t="s">
        <v>287</v>
      </c>
      <c r="C141" s="579"/>
      <c r="D141" s="197"/>
      <c r="E141" s="197" t="s">
        <v>1920</v>
      </c>
      <c r="F141" s="523"/>
      <c r="G141" s="10">
        <v>1</v>
      </c>
      <c r="H141" s="551"/>
      <c r="I141" s="560">
        <f t="shared" si="2"/>
        <v>0</v>
      </c>
    </row>
    <row r="142" spans="1:9" ht="45" x14ac:dyDescent="0.2">
      <c r="A142" s="385" t="s">
        <v>1678</v>
      </c>
      <c r="B142" s="387" t="s">
        <v>494</v>
      </c>
      <c r="C142" s="579"/>
      <c r="D142" s="387"/>
      <c r="E142" s="387" t="s">
        <v>1920</v>
      </c>
      <c r="F142" s="523"/>
      <c r="G142" s="303">
        <v>1</v>
      </c>
      <c r="H142" s="551" t="s">
        <v>3366</v>
      </c>
      <c r="I142" s="560"/>
    </row>
    <row r="143" spans="1:9" x14ac:dyDescent="0.2">
      <c r="A143" s="372" t="s">
        <v>1662</v>
      </c>
      <c r="B143" s="197" t="s">
        <v>668</v>
      </c>
      <c r="C143" s="579"/>
      <c r="D143" s="197"/>
      <c r="E143" s="197" t="s">
        <v>1920</v>
      </c>
      <c r="F143" s="523"/>
      <c r="G143" s="10">
        <v>1</v>
      </c>
      <c r="H143" s="551"/>
      <c r="I143" s="560">
        <f t="shared" si="2"/>
        <v>0</v>
      </c>
    </row>
    <row r="144" spans="1:9" x14ac:dyDescent="0.2">
      <c r="A144" s="385" t="s">
        <v>1216</v>
      </c>
      <c r="B144" s="387" t="s">
        <v>481</v>
      </c>
      <c r="C144" s="579"/>
      <c r="D144" s="387"/>
      <c r="E144" s="387" t="s">
        <v>1920</v>
      </c>
      <c r="F144" s="523"/>
      <c r="G144" s="303">
        <v>1</v>
      </c>
      <c r="H144" s="551"/>
      <c r="I144" s="560">
        <f t="shared" si="2"/>
        <v>0</v>
      </c>
    </row>
    <row r="145" spans="1:9" s="373" customFormat="1" ht="18" x14ac:dyDescent="0.25">
      <c r="A145" s="372" t="s">
        <v>1286</v>
      </c>
      <c r="B145" s="197" t="s">
        <v>387</v>
      </c>
      <c r="C145" s="579"/>
      <c r="D145" s="197"/>
      <c r="E145" s="197" t="s">
        <v>1920</v>
      </c>
      <c r="F145" s="523"/>
      <c r="G145" s="10">
        <v>1</v>
      </c>
      <c r="H145" s="551"/>
      <c r="I145" s="560">
        <f t="shared" si="2"/>
        <v>0</v>
      </c>
    </row>
    <row r="146" spans="1:9" x14ac:dyDescent="0.2">
      <c r="A146" s="372" t="s">
        <v>2116</v>
      </c>
      <c r="B146" s="197" t="s">
        <v>2915</v>
      </c>
      <c r="C146" s="579"/>
      <c r="D146" s="197"/>
      <c r="E146" s="197" t="s">
        <v>1942</v>
      </c>
      <c r="F146" s="523"/>
      <c r="G146" s="10">
        <v>1</v>
      </c>
      <c r="H146" s="551"/>
      <c r="I146" s="560">
        <f t="shared" si="2"/>
        <v>0</v>
      </c>
    </row>
    <row r="147" spans="1:9" x14ac:dyDescent="0.2">
      <c r="A147" s="372" t="s">
        <v>2116</v>
      </c>
      <c r="B147" s="197" t="s">
        <v>2912</v>
      </c>
      <c r="C147" s="579"/>
      <c r="D147" s="197"/>
      <c r="E147" s="197" t="s">
        <v>1942</v>
      </c>
      <c r="F147" s="523"/>
      <c r="G147" s="10">
        <v>1</v>
      </c>
      <c r="H147" s="551"/>
      <c r="I147" s="560">
        <f t="shared" si="2"/>
        <v>0</v>
      </c>
    </row>
    <row r="148" spans="1:9" x14ac:dyDescent="0.2">
      <c r="A148" s="372" t="s">
        <v>2116</v>
      </c>
      <c r="B148" s="197" t="s">
        <v>2914</v>
      </c>
      <c r="C148" s="579"/>
      <c r="D148" s="197"/>
      <c r="E148" s="197" t="s">
        <v>1942</v>
      </c>
      <c r="F148" s="523"/>
      <c r="G148" s="10">
        <v>1</v>
      </c>
      <c r="H148" s="551"/>
      <c r="I148" s="560">
        <f t="shared" si="2"/>
        <v>0</v>
      </c>
    </row>
    <row r="149" spans="1:9" x14ac:dyDescent="0.2">
      <c r="A149" s="372" t="s">
        <v>2116</v>
      </c>
      <c r="B149" s="197" t="s">
        <v>2913</v>
      </c>
      <c r="C149" s="579"/>
      <c r="D149" s="197"/>
      <c r="E149" s="197" t="s">
        <v>1942</v>
      </c>
      <c r="F149" s="523"/>
      <c r="G149" s="10">
        <v>1</v>
      </c>
      <c r="H149" s="551"/>
      <c r="I149" s="560">
        <f t="shared" si="2"/>
        <v>0</v>
      </c>
    </row>
    <row r="150" spans="1:9" s="373" customFormat="1" ht="18" x14ac:dyDescent="0.25">
      <c r="A150" s="372" t="s">
        <v>2116</v>
      </c>
      <c r="B150" s="197" t="s">
        <v>2916</v>
      </c>
      <c r="C150" s="579"/>
      <c r="D150" s="197"/>
      <c r="E150" s="197" t="s">
        <v>1942</v>
      </c>
      <c r="F150" s="523"/>
      <c r="G150" s="10">
        <v>1</v>
      </c>
      <c r="H150" s="551"/>
      <c r="I150" s="560">
        <f t="shared" si="2"/>
        <v>0</v>
      </c>
    </row>
    <row r="151" spans="1:9" s="373" customFormat="1" ht="18" x14ac:dyDescent="0.25">
      <c r="A151" s="372" t="s">
        <v>2116</v>
      </c>
      <c r="B151" s="197" t="s">
        <v>2735</v>
      </c>
      <c r="C151" s="579"/>
      <c r="D151" s="197"/>
      <c r="E151" s="197" t="s">
        <v>1942</v>
      </c>
      <c r="F151" s="523"/>
      <c r="G151" s="10">
        <v>1</v>
      </c>
      <c r="H151" s="551"/>
      <c r="I151" s="560">
        <f t="shared" si="2"/>
        <v>0</v>
      </c>
    </row>
    <row r="152" spans="1:9" s="373" customFormat="1" ht="18" x14ac:dyDescent="0.25">
      <c r="A152" s="372" t="s">
        <v>2116</v>
      </c>
      <c r="B152" s="197" t="s">
        <v>3130</v>
      </c>
      <c r="C152" s="579"/>
      <c r="D152" s="197"/>
      <c r="E152" s="197" t="s">
        <v>1942</v>
      </c>
      <c r="F152" s="523"/>
      <c r="G152" s="10">
        <v>1</v>
      </c>
      <c r="H152" s="551"/>
      <c r="I152" s="560">
        <f t="shared" si="2"/>
        <v>0</v>
      </c>
    </row>
    <row r="153" spans="1:9" s="373" customFormat="1" ht="18" x14ac:dyDescent="0.25">
      <c r="A153" s="372" t="s">
        <v>2115</v>
      </c>
      <c r="B153" s="197" t="s">
        <v>2881</v>
      </c>
      <c r="C153" s="579"/>
      <c r="D153" s="197"/>
      <c r="E153" s="197" t="s">
        <v>1942</v>
      </c>
      <c r="F153" s="523"/>
      <c r="G153" s="10">
        <v>1</v>
      </c>
      <c r="H153" s="551"/>
      <c r="I153" s="560">
        <f t="shared" si="2"/>
        <v>0</v>
      </c>
    </row>
    <row r="154" spans="1:9" x14ac:dyDescent="0.2">
      <c r="A154" s="372" t="s">
        <v>2115</v>
      </c>
      <c r="B154" s="197" t="s">
        <v>2759</v>
      </c>
      <c r="C154" s="579"/>
      <c r="D154" s="197"/>
      <c r="E154" s="197" t="s">
        <v>1942</v>
      </c>
      <c r="F154" s="523"/>
      <c r="G154" s="10">
        <v>1</v>
      </c>
      <c r="H154" s="551"/>
      <c r="I154" s="560">
        <f t="shared" si="2"/>
        <v>0</v>
      </c>
    </row>
    <row r="155" spans="1:9" s="373" customFormat="1" ht="18" x14ac:dyDescent="0.25">
      <c r="A155" s="372" t="s">
        <v>2115</v>
      </c>
      <c r="B155" s="197" t="s">
        <v>2882</v>
      </c>
      <c r="C155" s="579"/>
      <c r="D155" s="197"/>
      <c r="E155" s="197" t="s">
        <v>1942</v>
      </c>
      <c r="F155" s="523"/>
      <c r="G155" s="10">
        <v>1</v>
      </c>
      <c r="H155" s="551"/>
      <c r="I155" s="560">
        <f t="shared" si="2"/>
        <v>0</v>
      </c>
    </row>
    <row r="156" spans="1:9" x14ac:dyDescent="0.2">
      <c r="A156" s="372" t="s">
        <v>2115</v>
      </c>
      <c r="B156" s="197" t="s">
        <v>2883</v>
      </c>
      <c r="C156" s="579"/>
      <c r="D156" s="197"/>
      <c r="E156" s="197" t="s">
        <v>1942</v>
      </c>
      <c r="F156" s="523"/>
      <c r="G156" s="10">
        <v>1</v>
      </c>
      <c r="H156" s="551"/>
      <c r="I156" s="560">
        <f t="shared" si="2"/>
        <v>0</v>
      </c>
    </row>
    <row r="157" spans="1:9" x14ac:dyDescent="0.2">
      <c r="A157" s="372" t="s">
        <v>1453</v>
      </c>
      <c r="B157" s="197" t="s">
        <v>638</v>
      </c>
      <c r="C157" s="579"/>
      <c r="D157" s="197"/>
      <c r="E157" s="197" t="s">
        <v>1920</v>
      </c>
      <c r="F157" s="523"/>
      <c r="G157" s="10">
        <v>2</v>
      </c>
      <c r="H157" s="551"/>
      <c r="I157" s="560">
        <f t="shared" si="2"/>
        <v>0</v>
      </c>
    </row>
    <row r="158" spans="1:9" s="373" customFormat="1" ht="18" x14ac:dyDescent="0.25">
      <c r="A158" s="376"/>
      <c r="B158" s="376"/>
      <c r="C158" s="376"/>
      <c r="D158" s="376"/>
      <c r="E158" s="376"/>
      <c r="F158"/>
      <c r="G158" s="376"/>
      <c r="H158" s="549"/>
      <c r="I158" s="541">
        <f>SUM(I2:I157)</f>
        <v>0</v>
      </c>
    </row>
    <row r="159" spans="1:9" s="373" customFormat="1" ht="18" x14ac:dyDescent="0.25">
      <c r="A159" s="376"/>
      <c r="B159" s="376"/>
      <c r="C159" s="376"/>
      <c r="D159" s="376"/>
      <c r="E159" s="376"/>
      <c r="F159"/>
      <c r="G159" s="376"/>
      <c r="H159" s="549"/>
      <c r="I159" s="541"/>
    </row>
    <row r="160" spans="1:9" ht="15.75" x14ac:dyDescent="0.25">
      <c r="F160"/>
    </row>
    <row r="161" spans="1:8" ht="18" x14ac:dyDescent="0.25">
      <c r="A161" s="435" t="s">
        <v>1780</v>
      </c>
      <c r="B161" s="436"/>
      <c r="C161" s="377"/>
      <c r="D161" s="377"/>
      <c r="E161" s="377"/>
      <c r="F161"/>
      <c r="G161" s="377"/>
      <c r="H161" s="531"/>
    </row>
    <row r="162" spans="1:8" ht="18" x14ac:dyDescent="0.25">
      <c r="A162" s="435" t="s">
        <v>2936</v>
      </c>
      <c r="B162" s="435"/>
      <c r="C162" s="373"/>
      <c r="D162" s="373"/>
      <c r="E162" s="373"/>
      <c r="F162"/>
      <c r="G162" s="373"/>
      <c r="H162" s="541"/>
    </row>
    <row r="163" spans="1:8" ht="18" x14ac:dyDescent="0.25">
      <c r="A163" s="437" t="s">
        <v>3281</v>
      </c>
      <c r="B163" s="334"/>
      <c r="F163"/>
    </row>
    <row r="164" spans="1:8" ht="18" x14ac:dyDescent="0.25">
      <c r="A164" s="434" t="s">
        <v>3367</v>
      </c>
      <c r="B164" s="550">
        <f>+I158</f>
        <v>0</v>
      </c>
      <c r="F164"/>
    </row>
    <row r="165" spans="1:8" ht="15.75" x14ac:dyDescent="0.25">
      <c r="F165"/>
    </row>
    <row r="166" spans="1:8" ht="15.75" x14ac:dyDescent="0.25">
      <c r="F166"/>
    </row>
    <row r="167" spans="1:8" ht="15.75" x14ac:dyDescent="0.25">
      <c r="F167"/>
    </row>
    <row r="168" spans="1:8" ht="15.75" x14ac:dyDescent="0.25">
      <c r="F168"/>
    </row>
    <row r="169" spans="1:8" ht="15.75" x14ac:dyDescent="0.25">
      <c r="F169"/>
    </row>
    <row r="170" spans="1:8" ht="15.75" x14ac:dyDescent="0.25">
      <c r="F170"/>
    </row>
    <row r="171" spans="1:8" ht="15.75" x14ac:dyDescent="0.25">
      <c r="F171"/>
    </row>
    <row r="172" spans="1:8" ht="15.75" x14ac:dyDescent="0.25">
      <c r="F172"/>
    </row>
    <row r="173" spans="1:8" ht="15.75" x14ac:dyDescent="0.25">
      <c r="F173"/>
    </row>
    <row r="174" spans="1:8" ht="15.75" x14ac:dyDescent="0.25">
      <c r="F174"/>
    </row>
    <row r="175" spans="1:8" ht="15.75" x14ac:dyDescent="0.25">
      <c r="F175"/>
    </row>
    <row r="176" spans="1:8" ht="15.75" x14ac:dyDescent="0.25">
      <c r="F176"/>
    </row>
    <row r="177" spans="6:6" ht="15.75" x14ac:dyDescent="0.25">
      <c r="F177"/>
    </row>
    <row r="178" spans="6:6" ht="15.75" x14ac:dyDescent="0.25">
      <c r="F178"/>
    </row>
    <row r="179" spans="6:6" ht="15.75" x14ac:dyDescent="0.25">
      <c r="F179"/>
    </row>
    <row r="180" spans="6:6" ht="15.75" x14ac:dyDescent="0.25">
      <c r="F180"/>
    </row>
    <row r="181" spans="6:6" ht="15.75" x14ac:dyDescent="0.25">
      <c r="F181"/>
    </row>
    <row r="182" spans="6:6" ht="15.75" x14ac:dyDescent="0.25">
      <c r="F182"/>
    </row>
    <row r="183" spans="6:6" ht="15.75" x14ac:dyDescent="0.25">
      <c r="F183"/>
    </row>
    <row r="184" spans="6:6" ht="15.75" x14ac:dyDescent="0.25">
      <c r="F184"/>
    </row>
    <row r="185" spans="6:6" ht="15.75" x14ac:dyDescent="0.25">
      <c r="F185"/>
    </row>
    <row r="186" spans="6:6" ht="15.75" x14ac:dyDescent="0.25">
      <c r="F186"/>
    </row>
    <row r="187" spans="6:6" ht="15.75" x14ac:dyDescent="0.25">
      <c r="F187"/>
    </row>
    <row r="188" spans="6:6" ht="15.75" x14ac:dyDescent="0.25">
      <c r="F188"/>
    </row>
    <row r="189" spans="6:6" ht="15.75" x14ac:dyDescent="0.25">
      <c r="F189"/>
    </row>
    <row r="190" spans="6:6" ht="15.75" x14ac:dyDescent="0.25">
      <c r="F190"/>
    </row>
  </sheetData>
  <sortState xmlns:xlrd2="http://schemas.microsoft.com/office/spreadsheetml/2017/richdata2" ref="A3:H162">
    <sortCondition ref="B3:B162"/>
  </sortState>
  <pageMargins left="0.5" right="0.5" top="0.5" bottom="0.5" header="0.3" footer="0.3"/>
  <pageSetup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5"/>
  <sheetViews>
    <sheetView workbookViewId="0">
      <pane ySplit="1" topLeftCell="A2" activePane="bottomLeft" state="frozen"/>
      <selection activeCell="G1" sqref="G1:G1048576"/>
      <selection pane="bottomLeft" activeCell="G299" sqref="G2:G299"/>
    </sheetView>
  </sheetViews>
  <sheetFormatPr defaultColWidth="9.140625" defaultRowHeight="15.75" x14ac:dyDescent="0.25"/>
  <cols>
    <col min="1" max="1" width="70.140625" style="90" bestFit="1" customWidth="1"/>
    <col min="2" max="2" width="19.42578125" style="90" bestFit="1" customWidth="1"/>
    <col min="3" max="3" width="20.140625" style="90" customWidth="1"/>
    <col min="4" max="4" width="20.140625" style="90" bestFit="1" customWidth="1"/>
    <col min="5" max="5" width="12.42578125" style="90" bestFit="1" customWidth="1"/>
    <col min="6" max="6" width="18" style="311" customWidth="1"/>
    <col min="7" max="7" width="10.5703125" style="83" bestFit="1" customWidth="1"/>
    <col min="8" max="8" width="11.42578125" style="568" bestFit="1" customWidth="1"/>
    <col min="9" max="9" width="16.85546875" style="568" bestFit="1" customWidth="1"/>
    <col min="10" max="10" width="18.5703125" style="83" bestFit="1" customWidth="1"/>
    <col min="11" max="16384" width="9.140625" style="83"/>
  </cols>
  <sheetData>
    <row r="1" spans="1:9" x14ac:dyDescent="0.25">
      <c r="A1" s="9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94" t="s">
        <v>412</v>
      </c>
      <c r="H1" s="563" t="s">
        <v>3368</v>
      </c>
      <c r="I1" s="563" t="s">
        <v>3369</v>
      </c>
    </row>
    <row r="2" spans="1:9" ht="15" x14ac:dyDescent="0.2">
      <c r="A2" s="246" t="s">
        <v>1650</v>
      </c>
      <c r="B2" s="71" t="s">
        <v>3126</v>
      </c>
      <c r="C2" s="430"/>
      <c r="D2" s="71"/>
      <c r="E2" s="71" t="s">
        <v>1920</v>
      </c>
      <c r="F2" s="523"/>
      <c r="G2" s="33">
        <v>1</v>
      </c>
      <c r="H2" s="564"/>
      <c r="I2" s="559">
        <f>+G2*H2</f>
        <v>0</v>
      </c>
    </row>
    <row r="3" spans="1:9" ht="15" x14ac:dyDescent="0.2">
      <c r="A3" s="55" t="s">
        <v>18</v>
      </c>
      <c r="B3" s="71" t="s">
        <v>3110</v>
      </c>
      <c r="C3" s="430"/>
      <c r="D3" s="71"/>
      <c r="E3" s="71" t="s">
        <v>1920</v>
      </c>
      <c r="F3" s="523"/>
      <c r="G3" s="33">
        <v>1</v>
      </c>
      <c r="H3" s="564"/>
      <c r="I3" s="559">
        <f t="shared" ref="I3:I66" si="0">+G3*H3</f>
        <v>0</v>
      </c>
    </row>
    <row r="4" spans="1:9" ht="15" x14ac:dyDescent="0.2">
      <c r="A4" s="253" t="s">
        <v>3078</v>
      </c>
      <c r="B4" s="252" t="s">
        <v>3079</v>
      </c>
      <c r="C4" s="430"/>
      <c r="D4" s="252"/>
      <c r="E4" s="252" t="s">
        <v>1920</v>
      </c>
      <c r="F4" s="523"/>
      <c r="G4" s="267">
        <v>1</v>
      </c>
      <c r="H4" s="565"/>
      <c r="I4" s="559">
        <f t="shared" si="0"/>
        <v>0</v>
      </c>
    </row>
    <row r="5" spans="1:9" ht="15" x14ac:dyDescent="0.2">
      <c r="A5" s="55" t="s">
        <v>1584</v>
      </c>
      <c r="B5" s="71" t="s">
        <v>384</v>
      </c>
      <c r="C5" s="430"/>
      <c r="D5" s="71"/>
      <c r="E5" s="71" t="s">
        <v>1924</v>
      </c>
      <c r="F5" s="523"/>
      <c r="G5" s="33">
        <v>1</v>
      </c>
      <c r="H5" s="564"/>
      <c r="I5" s="559">
        <f t="shared" si="0"/>
        <v>0</v>
      </c>
    </row>
    <row r="6" spans="1:9" ht="15" x14ac:dyDescent="0.2">
      <c r="A6" s="253" t="s">
        <v>2947</v>
      </c>
      <c r="B6" s="71" t="s">
        <v>748</v>
      </c>
      <c r="C6" s="430"/>
      <c r="D6" s="71"/>
      <c r="E6" s="71"/>
      <c r="F6" s="523"/>
      <c r="G6" s="33">
        <v>1</v>
      </c>
      <c r="H6" s="564"/>
      <c r="I6" s="559">
        <f t="shared" si="0"/>
        <v>0</v>
      </c>
    </row>
    <row r="7" spans="1:9" ht="15" x14ac:dyDescent="0.2">
      <c r="A7" s="55" t="s">
        <v>1534</v>
      </c>
      <c r="B7" s="71" t="s">
        <v>432</v>
      </c>
      <c r="C7" s="430"/>
      <c r="D7" s="71"/>
      <c r="E7" s="71" t="s">
        <v>1920</v>
      </c>
      <c r="F7" s="523"/>
      <c r="G7" s="33">
        <v>1</v>
      </c>
      <c r="H7" s="564"/>
      <c r="I7" s="559">
        <f t="shared" si="0"/>
        <v>0</v>
      </c>
    </row>
    <row r="8" spans="1:9" ht="15" x14ac:dyDescent="0.2">
      <c r="A8" s="55" t="s">
        <v>1140</v>
      </c>
      <c r="B8" s="71" t="s">
        <v>204</v>
      </c>
      <c r="C8" s="430"/>
      <c r="D8" s="71"/>
      <c r="E8" s="71" t="s">
        <v>1920</v>
      </c>
      <c r="F8" s="523"/>
      <c r="G8" s="33">
        <v>1</v>
      </c>
      <c r="H8" s="564"/>
      <c r="I8" s="559">
        <f t="shared" si="0"/>
        <v>0</v>
      </c>
    </row>
    <row r="9" spans="1:9" ht="15" x14ac:dyDescent="0.2">
      <c r="A9" s="55" t="s">
        <v>1145</v>
      </c>
      <c r="B9" s="71" t="s">
        <v>333</v>
      </c>
      <c r="C9" s="430"/>
      <c r="D9" s="71"/>
      <c r="E9" s="71" t="s">
        <v>1920</v>
      </c>
      <c r="F9" s="523"/>
      <c r="G9" s="33">
        <v>1</v>
      </c>
      <c r="H9" s="564"/>
      <c r="I9" s="559">
        <f t="shared" si="0"/>
        <v>0</v>
      </c>
    </row>
    <row r="10" spans="1:9" ht="15" x14ac:dyDescent="0.2">
      <c r="A10" s="55" t="s">
        <v>1143</v>
      </c>
      <c r="B10" s="71" t="s">
        <v>332</v>
      </c>
      <c r="C10" s="430"/>
      <c r="D10" s="71"/>
      <c r="E10" s="71" t="s">
        <v>1920</v>
      </c>
      <c r="F10" s="523"/>
      <c r="G10" s="33">
        <v>1</v>
      </c>
      <c r="H10" s="564"/>
      <c r="I10" s="559">
        <f t="shared" si="0"/>
        <v>0</v>
      </c>
    </row>
    <row r="11" spans="1:9" ht="15" x14ac:dyDescent="0.2">
      <c r="A11" s="55" t="s">
        <v>1148</v>
      </c>
      <c r="B11" s="71" t="s">
        <v>335</v>
      </c>
      <c r="C11" s="430"/>
      <c r="D11" s="71"/>
      <c r="E11" s="71" t="s">
        <v>1920</v>
      </c>
      <c r="F11" s="523"/>
      <c r="G11" s="33">
        <v>1</v>
      </c>
      <c r="H11" s="564"/>
      <c r="I11" s="559">
        <f t="shared" si="0"/>
        <v>0</v>
      </c>
    </row>
    <row r="12" spans="1:9" s="162" customFormat="1" ht="15" x14ac:dyDescent="0.2">
      <c r="A12" s="55" t="s">
        <v>1535</v>
      </c>
      <c r="B12" s="71" t="s">
        <v>433</v>
      </c>
      <c r="C12" s="430"/>
      <c r="D12" s="71"/>
      <c r="E12" s="71" t="s">
        <v>1920</v>
      </c>
      <c r="F12" s="523"/>
      <c r="G12" s="33">
        <v>1</v>
      </c>
      <c r="H12" s="564"/>
      <c r="I12" s="559">
        <f t="shared" si="0"/>
        <v>0</v>
      </c>
    </row>
    <row r="13" spans="1:9" ht="15" x14ac:dyDescent="0.2">
      <c r="A13" s="55" t="s">
        <v>1200</v>
      </c>
      <c r="B13" s="71" t="s">
        <v>100</v>
      </c>
      <c r="C13" s="430"/>
      <c r="D13" s="71"/>
      <c r="E13" s="71" t="s">
        <v>1920</v>
      </c>
      <c r="F13" s="523"/>
      <c r="G13" s="33">
        <v>1</v>
      </c>
      <c r="H13" s="564"/>
      <c r="I13" s="559">
        <f t="shared" si="0"/>
        <v>0</v>
      </c>
    </row>
    <row r="14" spans="1:9" ht="15" x14ac:dyDescent="0.2">
      <c r="A14" s="55" t="s">
        <v>1136</v>
      </c>
      <c r="B14" s="71" t="s">
        <v>334</v>
      </c>
      <c r="C14" s="430"/>
      <c r="D14" s="71"/>
      <c r="E14" s="71" t="s">
        <v>1920</v>
      </c>
      <c r="F14" s="523"/>
      <c r="G14" s="33">
        <v>1</v>
      </c>
      <c r="H14" s="564"/>
      <c r="I14" s="559">
        <f t="shared" si="0"/>
        <v>0</v>
      </c>
    </row>
    <row r="15" spans="1:9" ht="15" x14ac:dyDescent="0.2">
      <c r="A15" s="55" t="s">
        <v>1137</v>
      </c>
      <c r="B15" s="71" t="s">
        <v>431</v>
      </c>
      <c r="C15" s="430"/>
      <c r="D15" s="71"/>
      <c r="E15" s="71" t="s">
        <v>1920</v>
      </c>
      <c r="F15" s="523"/>
      <c r="G15" s="33">
        <v>1</v>
      </c>
      <c r="H15" s="564"/>
      <c r="I15" s="559">
        <f t="shared" si="0"/>
        <v>0</v>
      </c>
    </row>
    <row r="16" spans="1:9" ht="15" x14ac:dyDescent="0.2">
      <c r="A16" s="55" t="s">
        <v>1135</v>
      </c>
      <c r="B16" s="71" t="s">
        <v>331</v>
      </c>
      <c r="C16" s="430"/>
      <c r="D16" s="71"/>
      <c r="E16" s="71" t="s">
        <v>1920</v>
      </c>
      <c r="F16" s="523"/>
      <c r="G16" s="33">
        <v>1</v>
      </c>
      <c r="H16" s="564"/>
      <c r="I16" s="559">
        <f t="shared" si="0"/>
        <v>0</v>
      </c>
    </row>
    <row r="17" spans="1:9" ht="15" x14ac:dyDescent="0.2">
      <c r="A17" s="55" t="s">
        <v>1138</v>
      </c>
      <c r="B17" s="71" t="s">
        <v>336</v>
      </c>
      <c r="C17" s="430"/>
      <c r="D17" s="71"/>
      <c r="E17" s="71" t="s">
        <v>1920</v>
      </c>
      <c r="F17" s="523"/>
      <c r="G17" s="33">
        <v>1</v>
      </c>
      <c r="H17" s="564"/>
      <c r="I17" s="559">
        <f t="shared" si="0"/>
        <v>0</v>
      </c>
    </row>
    <row r="18" spans="1:9" ht="15" x14ac:dyDescent="0.2">
      <c r="A18" s="55" t="s">
        <v>1157</v>
      </c>
      <c r="B18" s="71" t="s">
        <v>672</v>
      </c>
      <c r="C18" s="430"/>
      <c r="D18" s="71"/>
      <c r="E18" s="71" t="s">
        <v>1920</v>
      </c>
      <c r="F18" s="523"/>
      <c r="G18" s="33">
        <v>1</v>
      </c>
      <c r="H18" s="564"/>
      <c r="I18" s="559">
        <f t="shared" si="0"/>
        <v>0</v>
      </c>
    </row>
    <row r="19" spans="1:9" ht="15" x14ac:dyDescent="0.2">
      <c r="A19" s="246" t="s">
        <v>17</v>
      </c>
      <c r="B19" s="314" t="s">
        <v>407</v>
      </c>
      <c r="C19" s="430"/>
      <c r="D19" s="314"/>
      <c r="E19" s="314" t="s">
        <v>1920</v>
      </c>
      <c r="F19" s="523"/>
      <c r="G19" s="244">
        <v>1</v>
      </c>
      <c r="H19" s="564"/>
      <c r="I19" s="559">
        <f t="shared" si="0"/>
        <v>0</v>
      </c>
    </row>
    <row r="20" spans="1:9" ht="15" x14ac:dyDescent="0.2">
      <c r="A20" s="55" t="s">
        <v>1640</v>
      </c>
      <c r="B20" s="71" t="s">
        <v>683</v>
      </c>
      <c r="C20" s="430"/>
      <c r="D20" s="71"/>
      <c r="E20" s="71" t="s">
        <v>1920</v>
      </c>
      <c r="F20" s="523"/>
      <c r="G20" s="33">
        <v>1</v>
      </c>
      <c r="H20" s="564"/>
      <c r="I20" s="559">
        <f t="shared" si="0"/>
        <v>0</v>
      </c>
    </row>
    <row r="21" spans="1:9" ht="15" x14ac:dyDescent="0.2">
      <c r="A21" s="55" t="s">
        <v>1390</v>
      </c>
      <c r="B21" s="71" t="s">
        <v>685</v>
      </c>
      <c r="C21" s="430"/>
      <c r="D21" s="71"/>
      <c r="E21" s="71" t="s">
        <v>1920</v>
      </c>
      <c r="F21" s="523"/>
      <c r="G21" s="33">
        <v>1</v>
      </c>
      <c r="H21" s="564"/>
      <c r="I21" s="559">
        <f t="shared" si="0"/>
        <v>0</v>
      </c>
    </row>
    <row r="22" spans="1:9" ht="15" x14ac:dyDescent="0.2">
      <c r="A22" s="55" t="s">
        <v>1199</v>
      </c>
      <c r="B22" s="71" t="s">
        <v>382</v>
      </c>
      <c r="C22" s="430"/>
      <c r="D22" s="71"/>
      <c r="E22" s="71" t="s">
        <v>1920</v>
      </c>
      <c r="F22" s="523"/>
      <c r="G22" s="33">
        <v>1</v>
      </c>
      <c r="H22" s="564"/>
      <c r="I22" s="559">
        <f t="shared" si="0"/>
        <v>0</v>
      </c>
    </row>
    <row r="23" spans="1:9" ht="15" x14ac:dyDescent="0.2">
      <c r="A23" s="55" t="s">
        <v>1195</v>
      </c>
      <c r="B23" s="71" t="s">
        <v>314</v>
      </c>
      <c r="C23" s="430"/>
      <c r="D23" s="71"/>
      <c r="E23" s="71" t="s">
        <v>1920</v>
      </c>
      <c r="F23" s="523"/>
      <c r="G23" s="33">
        <v>1</v>
      </c>
      <c r="H23" s="564"/>
      <c r="I23" s="559">
        <f t="shared" si="0"/>
        <v>0</v>
      </c>
    </row>
    <row r="24" spans="1:9" ht="15" x14ac:dyDescent="0.2">
      <c r="A24" s="55" t="s">
        <v>1197</v>
      </c>
      <c r="B24" s="71" t="s">
        <v>80</v>
      </c>
      <c r="C24" s="430"/>
      <c r="D24" s="71"/>
      <c r="E24" s="71" t="s">
        <v>1920</v>
      </c>
      <c r="F24" s="523"/>
      <c r="G24" s="33">
        <v>1</v>
      </c>
      <c r="H24" s="564"/>
      <c r="I24" s="559">
        <f t="shared" si="0"/>
        <v>0</v>
      </c>
    </row>
    <row r="25" spans="1:9" ht="15" x14ac:dyDescent="0.2">
      <c r="A25" s="55" t="s">
        <v>1051</v>
      </c>
      <c r="B25" s="71" t="s">
        <v>317</v>
      </c>
      <c r="C25" s="430"/>
      <c r="D25" s="71"/>
      <c r="E25" s="71" t="s">
        <v>1920</v>
      </c>
      <c r="F25" s="523"/>
      <c r="G25" s="33">
        <v>1</v>
      </c>
      <c r="H25" s="564"/>
      <c r="I25" s="559">
        <f t="shared" si="0"/>
        <v>0</v>
      </c>
    </row>
    <row r="26" spans="1:9" ht="15" x14ac:dyDescent="0.2">
      <c r="A26" s="55" t="s">
        <v>3243</v>
      </c>
      <c r="B26" s="71" t="s">
        <v>82</v>
      </c>
      <c r="C26" s="430"/>
      <c r="D26" s="71"/>
      <c r="E26" s="71" t="s">
        <v>1920</v>
      </c>
      <c r="F26" s="523"/>
      <c r="G26" s="33">
        <v>1</v>
      </c>
      <c r="H26" s="564"/>
      <c r="I26" s="559">
        <f t="shared" si="0"/>
        <v>0</v>
      </c>
    </row>
    <row r="27" spans="1:9" ht="15" x14ac:dyDescent="0.2">
      <c r="A27" s="55" t="s">
        <v>1198</v>
      </c>
      <c r="B27" s="71" t="s">
        <v>257</v>
      </c>
      <c r="C27" s="430"/>
      <c r="D27" s="71"/>
      <c r="E27" s="71" t="s">
        <v>1920</v>
      </c>
      <c r="F27" s="523"/>
      <c r="G27" s="33">
        <v>1</v>
      </c>
      <c r="H27" s="564"/>
      <c r="I27" s="559">
        <f t="shared" si="0"/>
        <v>0</v>
      </c>
    </row>
    <row r="28" spans="1:9" ht="15" x14ac:dyDescent="0.2">
      <c r="A28" s="55" t="s">
        <v>1052</v>
      </c>
      <c r="B28" s="71" t="s">
        <v>312</v>
      </c>
      <c r="C28" s="430"/>
      <c r="D28" s="71"/>
      <c r="E28" s="71" t="s">
        <v>1920</v>
      </c>
      <c r="F28" s="523"/>
      <c r="G28" s="33">
        <v>1</v>
      </c>
      <c r="H28" s="564"/>
      <c r="I28" s="559">
        <f t="shared" si="0"/>
        <v>0</v>
      </c>
    </row>
    <row r="29" spans="1:9" ht="15" x14ac:dyDescent="0.2">
      <c r="A29" s="55" t="s">
        <v>1174</v>
      </c>
      <c r="B29" s="71" t="s">
        <v>309</v>
      </c>
      <c r="C29" s="430"/>
      <c r="D29" s="71"/>
      <c r="E29" s="71" t="s">
        <v>1920</v>
      </c>
      <c r="F29" s="523"/>
      <c r="G29" s="33">
        <v>1</v>
      </c>
      <c r="H29" s="564"/>
      <c r="I29" s="559">
        <f t="shared" si="0"/>
        <v>0</v>
      </c>
    </row>
    <row r="30" spans="1:9" ht="15" x14ac:dyDescent="0.2">
      <c r="A30" s="55" t="s">
        <v>3244</v>
      </c>
      <c r="B30" s="71" t="s">
        <v>308</v>
      </c>
      <c r="C30" s="430"/>
      <c r="D30" s="71"/>
      <c r="E30" s="71" t="s">
        <v>1920</v>
      </c>
      <c r="F30" s="523"/>
      <c r="G30" s="33">
        <v>1</v>
      </c>
      <c r="H30" s="564"/>
      <c r="I30" s="559">
        <f t="shared" si="0"/>
        <v>0</v>
      </c>
    </row>
    <row r="31" spans="1:9" ht="15" x14ac:dyDescent="0.2">
      <c r="A31" s="55" t="s">
        <v>16</v>
      </c>
      <c r="B31" s="71" t="s">
        <v>476</v>
      </c>
      <c r="C31" s="430"/>
      <c r="D31" s="71"/>
      <c r="E31" s="71" t="s">
        <v>1920</v>
      </c>
      <c r="F31" s="523"/>
      <c r="G31" s="33">
        <v>4</v>
      </c>
      <c r="H31" s="564"/>
      <c r="I31" s="559">
        <f t="shared" si="0"/>
        <v>0</v>
      </c>
    </row>
    <row r="32" spans="1:9" ht="15" x14ac:dyDescent="0.2">
      <c r="A32" s="55" t="s">
        <v>1192</v>
      </c>
      <c r="B32" s="71" t="s">
        <v>94</v>
      </c>
      <c r="C32" s="430"/>
      <c r="D32" s="71"/>
      <c r="E32" s="71" t="s">
        <v>1920</v>
      </c>
      <c r="F32" s="523"/>
      <c r="G32" s="33">
        <v>2</v>
      </c>
      <c r="H32" s="564"/>
      <c r="I32" s="559">
        <f t="shared" si="0"/>
        <v>0</v>
      </c>
    </row>
    <row r="33" spans="1:9" ht="15" x14ac:dyDescent="0.2">
      <c r="A33" s="55" t="s">
        <v>1038</v>
      </c>
      <c r="B33" s="71" t="s">
        <v>280</v>
      </c>
      <c r="C33" s="430"/>
      <c r="D33" s="71"/>
      <c r="E33" s="71" t="s">
        <v>1920</v>
      </c>
      <c r="F33" s="523"/>
      <c r="G33" s="33">
        <v>1</v>
      </c>
      <c r="H33" s="564"/>
      <c r="I33" s="559">
        <f t="shared" si="0"/>
        <v>0</v>
      </c>
    </row>
    <row r="34" spans="1:9" ht="15" x14ac:dyDescent="0.2">
      <c r="A34" s="55" t="s">
        <v>1348</v>
      </c>
      <c r="B34" s="71" t="s">
        <v>419</v>
      </c>
      <c r="C34" s="430"/>
      <c r="D34" s="71"/>
      <c r="E34" s="71" t="s">
        <v>1920</v>
      </c>
      <c r="F34" s="523"/>
      <c r="G34" s="33">
        <v>1</v>
      </c>
      <c r="H34" s="564"/>
      <c r="I34" s="559">
        <f t="shared" si="0"/>
        <v>0</v>
      </c>
    </row>
    <row r="35" spans="1:9" ht="15" x14ac:dyDescent="0.2">
      <c r="A35" s="55" t="s">
        <v>1142</v>
      </c>
      <c r="B35" s="71" t="s">
        <v>275</v>
      </c>
      <c r="C35" s="430"/>
      <c r="D35" s="71"/>
      <c r="E35" s="71" t="s">
        <v>1920</v>
      </c>
      <c r="F35" s="523"/>
      <c r="G35" s="33">
        <v>1</v>
      </c>
      <c r="H35" s="564"/>
      <c r="I35" s="559">
        <f t="shared" si="0"/>
        <v>0</v>
      </c>
    </row>
    <row r="36" spans="1:9" ht="15" x14ac:dyDescent="0.2">
      <c r="A36" s="55" t="s">
        <v>1349</v>
      </c>
      <c r="B36" s="71" t="s">
        <v>420</v>
      </c>
      <c r="C36" s="430"/>
      <c r="D36" s="71"/>
      <c r="E36" s="71" t="s">
        <v>1920</v>
      </c>
      <c r="F36" s="523"/>
      <c r="G36" s="33">
        <v>1</v>
      </c>
      <c r="H36" s="564"/>
      <c r="I36" s="559">
        <f t="shared" si="0"/>
        <v>0</v>
      </c>
    </row>
    <row r="37" spans="1:9" ht="15" x14ac:dyDescent="0.2">
      <c r="A37" s="55" t="s">
        <v>1029</v>
      </c>
      <c r="B37" s="71" t="s">
        <v>251</v>
      </c>
      <c r="C37" s="430"/>
      <c r="D37" s="71"/>
      <c r="E37" s="71" t="s">
        <v>1920</v>
      </c>
      <c r="F37" s="523"/>
      <c r="G37" s="33">
        <v>1</v>
      </c>
      <c r="H37" s="564"/>
      <c r="I37" s="559">
        <f t="shared" si="0"/>
        <v>0</v>
      </c>
    </row>
    <row r="38" spans="1:9" ht="15" x14ac:dyDescent="0.2">
      <c r="A38" s="55" t="s">
        <v>1292</v>
      </c>
      <c r="B38" s="71" t="s">
        <v>421</v>
      </c>
      <c r="C38" s="430"/>
      <c r="D38" s="71"/>
      <c r="E38" s="71" t="s">
        <v>1920</v>
      </c>
      <c r="F38" s="523"/>
      <c r="G38" s="33">
        <v>1</v>
      </c>
      <c r="H38" s="564"/>
      <c r="I38" s="559">
        <f t="shared" si="0"/>
        <v>0</v>
      </c>
    </row>
    <row r="39" spans="1:9" ht="15" x14ac:dyDescent="0.2">
      <c r="A39" s="55" t="s">
        <v>1030</v>
      </c>
      <c r="B39" s="71" t="s">
        <v>276</v>
      </c>
      <c r="C39" s="430"/>
      <c r="D39" s="71"/>
      <c r="E39" s="71" t="s">
        <v>1920</v>
      </c>
      <c r="F39" s="523"/>
      <c r="G39" s="33">
        <v>1</v>
      </c>
      <c r="H39" s="564"/>
      <c r="I39" s="559">
        <f t="shared" si="0"/>
        <v>0</v>
      </c>
    </row>
    <row r="40" spans="1:9" ht="15" x14ac:dyDescent="0.2">
      <c r="A40" s="55" t="s">
        <v>1350</v>
      </c>
      <c r="B40" s="71" t="s">
        <v>422</v>
      </c>
      <c r="C40" s="430"/>
      <c r="D40" s="71"/>
      <c r="E40" s="71" t="s">
        <v>1920</v>
      </c>
      <c r="F40" s="523"/>
      <c r="G40" s="33">
        <v>1</v>
      </c>
      <c r="H40" s="564"/>
      <c r="I40" s="559">
        <f t="shared" si="0"/>
        <v>0</v>
      </c>
    </row>
    <row r="41" spans="1:9" ht="15" x14ac:dyDescent="0.2">
      <c r="A41" s="55" t="s">
        <v>1351</v>
      </c>
      <c r="B41" s="71" t="s">
        <v>1098</v>
      </c>
      <c r="C41" s="430"/>
      <c r="D41" s="71"/>
      <c r="E41" s="71">
        <v>55719</v>
      </c>
      <c r="F41" s="523"/>
      <c r="G41" s="33">
        <v>1</v>
      </c>
      <c r="H41" s="564"/>
      <c r="I41" s="559">
        <f t="shared" si="0"/>
        <v>0</v>
      </c>
    </row>
    <row r="42" spans="1:9" ht="15" x14ac:dyDescent="0.2">
      <c r="A42" s="55" t="s">
        <v>1028</v>
      </c>
      <c r="B42" s="71" t="s">
        <v>262</v>
      </c>
      <c r="C42" s="430"/>
      <c r="D42" s="71"/>
      <c r="E42" s="71" t="s">
        <v>1920</v>
      </c>
      <c r="F42" s="523"/>
      <c r="G42" s="33">
        <v>1</v>
      </c>
      <c r="H42" s="564"/>
      <c r="I42" s="559">
        <f t="shared" si="0"/>
        <v>0</v>
      </c>
    </row>
    <row r="43" spans="1:9" ht="15" x14ac:dyDescent="0.2">
      <c r="A43" s="55" t="s">
        <v>1352</v>
      </c>
      <c r="B43" s="71" t="s">
        <v>423</v>
      </c>
      <c r="C43" s="430"/>
      <c r="D43" s="71"/>
      <c r="E43" s="71" t="s">
        <v>1920</v>
      </c>
      <c r="F43" s="523"/>
      <c r="G43" s="33">
        <v>1</v>
      </c>
      <c r="H43" s="564"/>
      <c r="I43" s="559">
        <f t="shared" si="0"/>
        <v>0</v>
      </c>
    </row>
    <row r="44" spans="1:9" ht="15" x14ac:dyDescent="0.2">
      <c r="A44" s="55" t="s">
        <v>1288</v>
      </c>
      <c r="B44" s="71" t="s">
        <v>388</v>
      </c>
      <c r="C44" s="430"/>
      <c r="D44" s="71"/>
      <c r="E44" s="71" t="s">
        <v>1920</v>
      </c>
      <c r="F44" s="523"/>
      <c r="G44" s="33">
        <v>1</v>
      </c>
      <c r="H44" s="564"/>
      <c r="I44" s="559">
        <f t="shared" si="0"/>
        <v>0</v>
      </c>
    </row>
    <row r="45" spans="1:9" ht="15" x14ac:dyDescent="0.2">
      <c r="A45" s="55" t="s">
        <v>1353</v>
      </c>
      <c r="B45" s="71" t="s">
        <v>424</v>
      </c>
      <c r="C45" s="430"/>
      <c r="D45" s="71"/>
      <c r="E45" s="71" t="s">
        <v>1920</v>
      </c>
      <c r="F45" s="523"/>
      <c r="G45" s="33">
        <v>1</v>
      </c>
      <c r="H45" s="564"/>
      <c r="I45" s="559">
        <f t="shared" si="0"/>
        <v>0</v>
      </c>
    </row>
    <row r="46" spans="1:9" ht="15" x14ac:dyDescent="0.2">
      <c r="A46" s="55" t="s">
        <v>1354</v>
      </c>
      <c r="B46" s="71" t="s">
        <v>425</v>
      </c>
      <c r="C46" s="430"/>
      <c r="D46" s="71"/>
      <c r="E46" s="71" t="s">
        <v>1920</v>
      </c>
      <c r="F46" s="523"/>
      <c r="G46" s="33">
        <v>1</v>
      </c>
      <c r="H46" s="564"/>
      <c r="I46" s="559">
        <f t="shared" si="0"/>
        <v>0</v>
      </c>
    </row>
    <row r="47" spans="1:9" ht="15" x14ac:dyDescent="0.2">
      <c r="A47" s="55" t="s">
        <v>1060</v>
      </c>
      <c r="B47" s="71" t="s">
        <v>426</v>
      </c>
      <c r="C47" s="430"/>
      <c r="D47" s="71"/>
      <c r="E47" s="71" t="s">
        <v>1920</v>
      </c>
      <c r="F47" s="523"/>
      <c r="G47" s="33">
        <v>1</v>
      </c>
      <c r="H47" s="564"/>
      <c r="I47" s="559">
        <f t="shared" si="0"/>
        <v>0</v>
      </c>
    </row>
    <row r="48" spans="1:9" ht="15" x14ac:dyDescent="0.2">
      <c r="A48" s="55" t="s">
        <v>1355</v>
      </c>
      <c r="B48" s="71" t="s">
        <v>427</v>
      </c>
      <c r="C48" s="430"/>
      <c r="D48" s="71"/>
      <c r="E48" s="71" t="s">
        <v>1920</v>
      </c>
      <c r="F48" s="523"/>
      <c r="G48" s="33">
        <v>1</v>
      </c>
      <c r="H48" s="564"/>
      <c r="I48" s="559">
        <f t="shared" si="0"/>
        <v>0</v>
      </c>
    </row>
    <row r="49" spans="1:9" ht="15" x14ac:dyDescent="0.2">
      <c r="A49" s="55" t="s">
        <v>1293</v>
      </c>
      <c r="B49" s="71" t="s">
        <v>428</v>
      </c>
      <c r="C49" s="430"/>
      <c r="D49" s="71"/>
      <c r="E49" s="71" t="s">
        <v>1920</v>
      </c>
      <c r="F49" s="523"/>
      <c r="G49" s="33">
        <v>1</v>
      </c>
      <c r="H49" s="564"/>
      <c r="I49" s="559">
        <f t="shared" si="0"/>
        <v>0</v>
      </c>
    </row>
    <row r="50" spans="1:9" ht="15" x14ac:dyDescent="0.2">
      <c r="A50" s="55" t="s">
        <v>1061</v>
      </c>
      <c r="B50" s="71" t="s">
        <v>429</v>
      </c>
      <c r="C50" s="430"/>
      <c r="D50" s="71"/>
      <c r="E50" s="71" t="s">
        <v>1920</v>
      </c>
      <c r="F50" s="523"/>
      <c r="G50" s="33">
        <v>1</v>
      </c>
      <c r="H50" s="564"/>
      <c r="I50" s="559">
        <f t="shared" si="0"/>
        <v>0</v>
      </c>
    </row>
    <row r="51" spans="1:9" ht="15" x14ac:dyDescent="0.2">
      <c r="A51" s="55" t="s">
        <v>1356</v>
      </c>
      <c r="B51" s="71" t="s">
        <v>7</v>
      </c>
      <c r="C51" s="430"/>
      <c r="D51" s="71"/>
      <c r="E51" s="71" t="s">
        <v>1920</v>
      </c>
      <c r="F51" s="523"/>
      <c r="G51" s="33">
        <v>1</v>
      </c>
      <c r="H51" s="564"/>
      <c r="I51" s="559">
        <f t="shared" si="0"/>
        <v>0</v>
      </c>
    </row>
    <row r="52" spans="1:9" ht="15" x14ac:dyDescent="0.2">
      <c r="A52" s="55" t="s">
        <v>1062</v>
      </c>
      <c r="B52" s="71" t="s">
        <v>430</v>
      </c>
      <c r="C52" s="430"/>
      <c r="D52" s="71"/>
      <c r="E52" s="71" t="s">
        <v>1920</v>
      </c>
      <c r="F52" s="523"/>
      <c r="G52" s="33">
        <v>1</v>
      </c>
      <c r="H52" s="564"/>
      <c r="I52" s="559">
        <f t="shared" si="0"/>
        <v>0</v>
      </c>
    </row>
    <row r="53" spans="1:9" ht="15" x14ac:dyDescent="0.2">
      <c r="A53" s="55" t="s">
        <v>1032</v>
      </c>
      <c r="B53" s="71" t="s">
        <v>413</v>
      </c>
      <c r="C53" s="430"/>
      <c r="D53" s="71"/>
      <c r="E53" s="71" t="s">
        <v>1920</v>
      </c>
      <c r="F53" s="523"/>
      <c r="G53" s="33">
        <v>1</v>
      </c>
      <c r="H53" s="564"/>
      <c r="I53" s="559">
        <f t="shared" si="0"/>
        <v>0</v>
      </c>
    </row>
    <row r="54" spans="1:9" ht="15" x14ac:dyDescent="0.2">
      <c r="A54" s="55" t="s">
        <v>1147</v>
      </c>
      <c r="B54" s="71" t="s">
        <v>403</v>
      </c>
      <c r="C54" s="430"/>
      <c r="D54" s="71"/>
      <c r="E54" s="71" t="s">
        <v>1920</v>
      </c>
      <c r="F54" s="523"/>
      <c r="G54" s="33">
        <v>1</v>
      </c>
      <c r="H54" s="564"/>
      <c r="I54" s="559">
        <f t="shared" si="0"/>
        <v>0</v>
      </c>
    </row>
    <row r="55" spans="1:9" ht="15" x14ac:dyDescent="0.2">
      <c r="A55" s="55" t="s">
        <v>1139</v>
      </c>
      <c r="B55" s="71" t="s">
        <v>45</v>
      </c>
      <c r="C55" s="430"/>
      <c r="D55" s="71"/>
      <c r="E55" s="71" t="s">
        <v>1920</v>
      </c>
      <c r="F55" s="430"/>
      <c r="G55" s="33">
        <v>1</v>
      </c>
      <c r="H55" s="564"/>
      <c r="I55" s="559">
        <f t="shared" si="0"/>
        <v>0</v>
      </c>
    </row>
    <row r="56" spans="1:9" ht="15" x14ac:dyDescent="0.2">
      <c r="A56" s="55" t="s">
        <v>1035</v>
      </c>
      <c r="B56" s="71" t="s">
        <v>414</v>
      </c>
      <c r="C56" s="430"/>
      <c r="D56" s="71"/>
      <c r="E56" s="71" t="s">
        <v>1920</v>
      </c>
      <c r="F56" s="457"/>
      <c r="G56" s="33">
        <v>1</v>
      </c>
      <c r="H56" s="564"/>
      <c r="I56" s="559">
        <f t="shared" si="0"/>
        <v>0</v>
      </c>
    </row>
    <row r="57" spans="1:9" ht="15" x14ac:dyDescent="0.2">
      <c r="A57" s="55" t="s">
        <v>1033</v>
      </c>
      <c r="B57" s="71" t="s">
        <v>98</v>
      </c>
      <c r="C57" s="430"/>
      <c r="D57" s="71"/>
      <c r="E57" s="71" t="s">
        <v>1920</v>
      </c>
      <c r="F57" s="523"/>
      <c r="G57" s="33">
        <v>1</v>
      </c>
      <c r="H57" s="564"/>
      <c r="I57" s="559">
        <f t="shared" si="0"/>
        <v>0</v>
      </c>
    </row>
    <row r="58" spans="1:9" ht="15" x14ac:dyDescent="0.2">
      <c r="A58" s="55" t="s">
        <v>1027</v>
      </c>
      <c r="B58" s="71" t="s">
        <v>415</v>
      </c>
      <c r="C58" s="430"/>
      <c r="D58" s="71"/>
      <c r="E58" s="71" t="s">
        <v>1920</v>
      </c>
      <c r="F58" s="523"/>
      <c r="G58" s="33">
        <v>1</v>
      </c>
      <c r="H58" s="564"/>
      <c r="I58" s="559">
        <f t="shared" si="0"/>
        <v>0</v>
      </c>
    </row>
    <row r="59" spans="1:9" ht="15" x14ac:dyDescent="0.2">
      <c r="A59" s="55" t="s">
        <v>1031</v>
      </c>
      <c r="B59" s="71" t="s">
        <v>416</v>
      </c>
      <c r="C59" s="430"/>
      <c r="D59" s="71"/>
      <c r="E59" s="71" t="s">
        <v>1920</v>
      </c>
      <c r="F59" s="523"/>
      <c r="G59" s="33">
        <v>1</v>
      </c>
      <c r="H59" s="564"/>
      <c r="I59" s="559">
        <f t="shared" si="0"/>
        <v>0</v>
      </c>
    </row>
    <row r="60" spans="1:9" ht="15" x14ac:dyDescent="0.2">
      <c r="A60" s="55" t="s">
        <v>1144</v>
      </c>
      <c r="B60" s="71" t="s">
        <v>203</v>
      </c>
      <c r="C60" s="430"/>
      <c r="D60" s="71"/>
      <c r="E60" s="71" t="s">
        <v>1920</v>
      </c>
      <c r="F60" s="523"/>
      <c r="G60" s="33">
        <v>1</v>
      </c>
      <c r="H60" s="564"/>
      <c r="I60" s="559">
        <f t="shared" si="0"/>
        <v>0</v>
      </c>
    </row>
    <row r="61" spans="1:9" ht="15" x14ac:dyDescent="0.2">
      <c r="A61" s="55" t="s">
        <v>1034</v>
      </c>
      <c r="B61" s="71" t="s">
        <v>417</v>
      </c>
      <c r="C61" s="430"/>
      <c r="D61" s="71"/>
      <c r="E61" s="71" t="s">
        <v>1920</v>
      </c>
      <c r="F61" s="523"/>
      <c r="G61" s="33">
        <v>1</v>
      </c>
      <c r="H61" s="564"/>
      <c r="I61" s="559">
        <f t="shared" si="0"/>
        <v>0</v>
      </c>
    </row>
    <row r="62" spans="1:9" ht="15" x14ac:dyDescent="0.2">
      <c r="A62" s="55" t="s">
        <v>1357</v>
      </c>
      <c r="B62" s="71" t="s">
        <v>418</v>
      </c>
      <c r="C62" s="430"/>
      <c r="D62" s="71"/>
      <c r="E62" s="71" t="s">
        <v>1920</v>
      </c>
      <c r="F62" s="523"/>
      <c r="G62" s="33">
        <v>1</v>
      </c>
      <c r="H62" s="564"/>
      <c r="I62" s="559">
        <f t="shared" si="0"/>
        <v>0</v>
      </c>
    </row>
    <row r="63" spans="1:9" ht="15" x14ac:dyDescent="0.2">
      <c r="A63" s="55" t="s">
        <v>1026</v>
      </c>
      <c r="B63" s="71" t="s">
        <v>99</v>
      </c>
      <c r="C63" s="430"/>
      <c r="D63" s="71"/>
      <c r="E63" s="71" t="s">
        <v>1920</v>
      </c>
      <c r="F63" s="523"/>
      <c r="G63" s="33">
        <v>1</v>
      </c>
      <c r="H63" s="564"/>
      <c r="I63" s="559">
        <f t="shared" si="0"/>
        <v>0</v>
      </c>
    </row>
    <row r="64" spans="1:9" ht="15" x14ac:dyDescent="0.2">
      <c r="A64" s="55" t="s">
        <v>1277</v>
      </c>
      <c r="B64" s="71" t="s">
        <v>1832</v>
      </c>
      <c r="C64" s="430"/>
      <c r="D64" s="71"/>
      <c r="E64" s="71" t="s">
        <v>1920</v>
      </c>
      <c r="F64" s="523"/>
      <c r="G64" s="33">
        <v>1</v>
      </c>
      <c r="H64" s="564"/>
      <c r="I64" s="559">
        <f t="shared" si="0"/>
        <v>0</v>
      </c>
    </row>
    <row r="65" spans="1:9" ht="15" x14ac:dyDescent="0.2">
      <c r="A65" s="55" t="s">
        <v>1279</v>
      </c>
      <c r="B65" s="71" t="s">
        <v>1833</v>
      </c>
      <c r="C65" s="430"/>
      <c r="D65" s="71"/>
      <c r="E65" s="71" t="s">
        <v>1920</v>
      </c>
      <c r="F65" s="523"/>
      <c r="G65" s="33">
        <v>1</v>
      </c>
      <c r="H65" s="564"/>
      <c r="I65" s="559">
        <f t="shared" si="0"/>
        <v>0</v>
      </c>
    </row>
    <row r="66" spans="1:9" ht="15" x14ac:dyDescent="0.2">
      <c r="A66" s="55" t="s">
        <v>1276</v>
      </c>
      <c r="B66" s="71" t="s">
        <v>887</v>
      </c>
      <c r="C66" s="430"/>
      <c r="D66" s="71"/>
      <c r="E66" s="71" t="s">
        <v>1920</v>
      </c>
      <c r="F66" s="523"/>
      <c r="G66" s="33">
        <v>1</v>
      </c>
      <c r="H66" s="564"/>
      <c r="I66" s="559">
        <f t="shared" si="0"/>
        <v>0</v>
      </c>
    </row>
    <row r="67" spans="1:9" ht="15" x14ac:dyDescent="0.2">
      <c r="A67" s="55" t="s">
        <v>1280</v>
      </c>
      <c r="B67" s="71" t="s">
        <v>1834</v>
      </c>
      <c r="C67" s="430"/>
      <c r="D67" s="71"/>
      <c r="E67" s="71" t="s">
        <v>1920</v>
      </c>
      <c r="F67" s="523"/>
      <c r="G67" s="33">
        <v>1</v>
      </c>
      <c r="H67" s="564"/>
      <c r="I67" s="559">
        <f t="shared" ref="I67:I130" si="1">+G67*H67</f>
        <v>0</v>
      </c>
    </row>
    <row r="68" spans="1:9" ht="15" x14ac:dyDescent="0.2">
      <c r="A68" s="55" t="s">
        <v>1278</v>
      </c>
      <c r="B68" s="71" t="s">
        <v>1835</v>
      </c>
      <c r="C68" s="430"/>
      <c r="D68" s="71"/>
      <c r="E68" s="71" t="s">
        <v>1920</v>
      </c>
      <c r="F68" s="523"/>
      <c r="G68" s="33">
        <v>1</v>
      </c>
      <c r="H68" s="564"/>
      <c r="I68" s="559">
        <f t="shared" si="1"/>
        <v>0</v>
      </c>
    </row>
    <row r="69" spans="1:9" ht="15" x14ac:dyDescent="0.2">
      <c r="A69" s="55" t="s">
        <v>34</v>
      </c>
      <c r="B69" s="71" t="s">
        <v>1826</v>
      </c>
      <c r="C69" s="430"/>
      <c r="D69" s="71"/>
      <c r="E69" s="71" t="s">
        <v>1920</v>
      </c>
      <c r="F69" s="523"/>
      <c r="G69" s="33">
        <v>1</v>
      </c>
      <c r="H69" s="564"/>
      <c r="I69" s="559">
        <f t="shared" si="1"/>
        <v>0</v>
      </c>
    </row>
    <row r="70" spans="1:9" ht="15" x14ac:dyDescent="0.2">
      <c r="A70" s="55" t="s">
        <v>985</v>
      </c>
      <c r="B70" s="71" t="s">
        <v>1830</v>
      </c>
      <c r="C70" s="430"/>
      <c r="D70" s="71"/>
      <c r="E70" s="71" t="s">
        <v>1920</v>
      </c>
      <c r="F70" s="523"/>
      <c r="G70" s="33">
        <v>1</v>
      </c>
      <c r="H70" s="564"/>
      <c r="I70" s="559">
        <f t="shared" si="1"/>
        <v>0</v>
      </c>
    </row>
    <row r="71" spans="1:9" ht="15" x14ac:dyDescent="0.2">
      <c r="A71" s="55" t="s">
        <v>1244</v>
      </c>
      <c r="B71" s="71" t="s">
        <v>1831</v>
      </c>
      <c r="C71" s="430"/>
      <c r="D71" s="71"/>
      <c r="E71" s="71" t="s">
        <v>1920</v>
      </c>
      <c r="F71" s="523"/>
      <c r="G71" s="33">
        <v>1</v>
      </c>
      <c r="H71" s="564"/>
      <c r="I71" s="559">
        <f t="shared" si="1"/>
        <v>0</v>
      </c>
    </row>
    <row r="72" spans="1:9" ht="15" x14ac:dyDescent="0.2">
      <c r="A72" s="55" t="s">
        <v>1360</v>
      </c>
      <c r="B72" s="71" t="s">
        <v>103</v>
      </c>
      <c r="C72" s="430"/>
      <c r="D72" s="71"/>
      <c r="E72" s="71" t="s">
        <v>1920</v>
      </c>
      <c r="F72" s="523"/>
      <c r="G72" s="33">
        <v>1</v>
      </c>
      <c r="H72" s="564"/>
      <c r="I72" s="559">
        <f t="shared" si="1"/>
        <v>0</v>
      </c>
    </row>
    <row r="73" spans="1:9" ht="15" x14ac:dyDescent="0.2">
      <c r="A73" s="55" t="s">
        <v>1363</v>
      </c>
      <c r="B73" s="71" t="s">
        <v>223</v>
      </c>
      <c r="C73" s="430"/>
      <c r="D73" s="71"/>
      <c r="E73" s="71" t="s">
        <v>1920</v>
      </c>
      <c r="F73" s="523"/>
      <c r="G73" s="33">
        <v>1</v>
      </c>
      <c r="H73" s="564"/>
      <c r="I73" s="559">
        <f t="shared" si="1"/>
        <v>0</v>
      </c>
    </row>
    <row r="74" spans="1:9" ht="15" x14ac:dyDescent="0.2">
      <c r="A74" s="55" t="s">
        <v>2898</v>
      </c>
      <c r="B74" s="71" t="s">
        <v>2899</v>
      </c>
      <c r="C74" s="430"/>
      <c r="D74" s="71"/>
      <c r="E74" s="71" t="s">
        <v>1920</v>
      </c>
      <c r="F74" s="523"/>
      <c r="G74" s="33">
        <v>1</v>
      </c>
      <c r="H74" s="564"/>
      <c r="I74" s="559">
        <f t="shared" si="1"/>
        <v>0</v>
      </c>
    </row>
    <row r="75" spans="1:9" ht="15" x14ac:dyDescent="0.2">
      <c r="A75" s="55" t="s">
        <v>2900</v>
      </c>
      <c r="B75" s="71" t="s">
        <v>2320</v>
      </c>
      <c r="C75" s="430"/>
      <c r="D75" s="71"/>
      <c r="E75" s="71" t="s">
        <v>1920</v>
      </c>
      <c r="F75" s="523"/>
      <c r="G75" s="33">
        <v>1</v>
      </c>
      <c r="H75" s="564"/>
      <c r="I75" s="559">
        <f t="shared" si="1"/>
        <v>0</v>
      </c>
    </row>
    <row r="76" spans="1:9" ht="15" x14ac:dyDescent="0.2">
      <c r="A76" s="55" t="s">
        <v>2901</v>
      </c>
      <c r="B76" s="71" t="s">
        <v>2321</v>
      </c>
      <c r="C76" s="430"/>
      <c r="D76" s="71"/>
      <c r="E76" s="71" t="s">
        <v>1920</v>
      </c>
      <c r="F76" s="523"/>
      <c r="G76" s="33">
        <v>1</v>
      </c>
      <c r="H76" s="564"/>
      <c r="I76" s="559">
        <f t="shared" si="1"/>
        <v>0</v>
      </c>
    </row>
    <row r="77" spans="1:9" ht="15" x14ac:dyDescent="0.2">
      <c r="A77" s="55" t="s">
        <v>2902</v>
      </c>
      <c r="B77" s="71" t="s">
        <v>2903</v>
      </c>
      <c r="C77" s="430"/>
      <c r="D77" s="71"/>
      <c r="E77" s="71" t="s">
        <v>1920</v>
      </c>
      <c r="F77" s="523"/>
      <c r="G77" s="33">
        <v>1</v>
      </c>
      <c r="H77" s="564"/>
      <c r="I77" s="559">
        <f t="shared" si="1"/>
        <v>0</v>
      </c>
    </row>
    <row r="78" spans="1:9" ht="15" x14ac:dyDescent="0.2">
      <c r="A78" s="55" t="s">
        <v>2892</v>
      </c>
      <c r="B78" s="71" t="s">
        <v>2893</v>
      </c>
      <c r="C78" s="430"/>
      <c r="D78" s="71"/>
      <c r="E78" s="71">
        <v>55719</v>
      </c>
      <c r="F78" s="430"/>
      <c r="G78" s="33">
        <v>1</v>
      </c>
      <c r="H78" s="564"/>
      <c r="I78" s="559">
        <f t="shared" si="1"/>
        <v>0</v>
      </c>
    </row>
    <row r="79" spans="1:9" ht="15" x14ac:dyDescent="0.2">
      <c r="A79" s="55" t="s">
        <v>1044</v>
      </c>
      <c r="B79" s="71" t="s">
        <v>272</v>
      </c>
      <c r="C79" s="430"/>
      <c r="D79" s="71"/>
      <c r="E79" s="71" t="s">
        <v>1920</v>
      </c>
      <c r="F79" s="457"/>
      <c r="G79" s="33">
        <v>1</v>
      </c>
      <c r="H79" s="564"/>
      <c r="I79" s="559">
        <f t="shared" si="1"/>
        <v>0</v>
      </c>
    </row>
    <row r="80" spans="1:9" ht="15" x14ac:dyDescent="0.2">
      <c r="A80" s="55" t="s">
        <v>1045</v>
      </c>
      <c r="B80" s="71" t="s">
        <v>273</v>
      </c>
      <c r="C80" s="430"/>
      <c r="D80" s="71"/>
      <c r="E80" s="71" t="s">
        <v>1920</v>
      </c>
      <c r="F80" s="523"/>
      <c r="G80" s="33">
        <v>1</v>
      </c>
      <c r="H80" s="564"/>
      <c r="I80" s="559">
        <f t="shared" si="1"/>
        <v>0</v>
      </c>
    </row>
    <row r="81" spans="1:9" ht="15" x14ac:dyDescent="0.2">
      <c r="A81" s="55" t="s">
        <v>1084</v>
      </c>
      <c r="B81" s="71" t="s">
        <v>21</v>
      </c>
      <c r="C81" s="430"/>
      <c r="D81" s="71"/>
      <c r="E81" s="71" t="s">
        <v>1920</v>
      </c>
      <c r="F81" s="523"/>
      <c r="G81" s="33">
        <v>1</v>
      </c>
      <c r="H81" s="564"/>
      <c r="I81" s="559">
        <f t="shared" si="1"/>
        <v>0</v>
      </c>
    </row>
    <row r="82" spans="1:9" ht="15" x14ac:dyDescent="0.2">
      <c r="A82" s="55" t="s">
        <v>39</v>
      </c>
      <c r="B82" s="71" t="s">
        <v>245</v>
      </c>
      <c r="C82" s="430"/>
      <c r="D82" s="71"/>
      <c r="E82" s="71" t="s">
        <v>1920</v>
      </c>
      <c r="F82" s="523"/>
      <c r="G82" s="33">
        <v>1</v>
      </c>
      <c r="H82" s="564"/>
      <c r="I82" s="559">
        <f t="shared" si="1"/>
        <v>0</v>
      </c>
    </row>
    <row r="83" spans="1:9" ht="15" x14ac:dyDescent="0.2">
      <c r="A83" s="55" t="s">
        <v>1370</v>
      </c>
      <c r="B83" s="71" t="s">
        <v>684</v>
      </c>
      <c r="C83" s="430"/>
      <c r="D83" s="71"/>
      <c r="E83" s="71" t="s">
        <v>1920</v>
      </c>
      <c r="F83" s="523"/>
      <c r="G83" s="33">
        <v>1</v>
      </c>
      <c r="H83" s="564"/>
      <c r="I83" s="559">
        <f t="shared" si="1"/>
        <v>0</v>
      </c>
    </row>
    <row r="84" spans="1:9" ht="15" x14ac:dyDescent="0.2">
      <c r="A84" s="55" t="s">
        <v>5</v>
      </c>
      <c r="B84" s="71" t="s">
        <v>379</v>
      </c>
      <c r="C84" s="430"/>
      <c r="D84" s="71"/>
      <c r="E84" s="71" t="s">
        <v>1920</v>
      </c>
      <c r="F84" s="523"/>
      <c r="G84" s="33">
        <v>1</v>
      </c>
      <c r="H84" s="564"/>
      <c r="I84" s="559">
        <f t="shared" si="1"/>
        <v>0</v>
      </c>
    </row>
    <row r="85" spans="1:9" ht="15" x14ac:dyDescent="0.2">
      <c r="A85" s="55" t="s">
        <v>6</v>
      </c>
      <c r="B85" s="71" t="s">
        <v>91</v>
      </c>
      <c r="C85" s="430"/>
      <c r="D85" s="71"/>
      <c r="E85" s="71" t="s">
        <v>1920</v>
      </c>
      <c r="F85" s="523"/>
      <c r="G85" s="33">
        <v>1</v>
      </c>
      <c r="H85" s="564"/>
      <c r="I85" s="559">
        <f t="shared" si="1"/>
        <v>0</v>
      </c>
    </row>
    <row r="86" spans="1:9" ht="15" x14ac:dyDescent="0.2">
      <c r="A86" s="55" t="s">
        <v>1373</v>
      </c>
      <c r="B86" s="71" t="s">
        <v>1109</v>
      </c>
      <c r="C86" s="430"/>
      <c r="D86" s="71"/>
      <c r="E86" s="71" t="s">
        <v>1920</v>
      </c>
      <c r="F86" s="523"/>
      <c r="G86" s="33">
        <v>1</v>
      </c>
      <c r="H86" s="564"/>
      <c r="I86" s="559">
        <f t="shared" si="1"/>
        <v>0</v>
      </c>
    </row>
    <row r="87" spans="1:9" ht="15" x14ac:dyDescent="0.2">
      <c r="A87" s="55" t="s">
        <v>1374</v>
      </c>
      <c r="B87" s="71" t="s">
        <v>1110</v>
      </c>
      <c r="C87" s="430"/>
      <c r="D87" s="71"/>
      <c r="E87" s="71" t="s">
        <v>1920</v>
      </c>
      <c r="F87" s="523"/>
      <c r="G87" s="33">
        <v>1</v>
      </c>
      <c r="H87" s="564"/>
      <c r="I87" s="559">
        <f t="shared" si="1"/>
        <v>0</v>
      </c>
    </row>
    <row r="88" spans="1:9" ht="15" x14ac:dyDescent="0.2">
      <c r="A88" s="55" t="s">
        <v>1375</v>
      </c>
      <c r="B88" s="71" t="s">
        <v>897</v>
      </c>
      <c r="C88" s="430"/>
      <c r="D88" s="71"/>
      <c r="E88" s="71" t="s">
        <v>1920</v>
      </c>
      <c r="F88" s="523"/>
      <c r="G88" s="33">
        <v>1</v>
      </c>
      <c r="H88" s="564"/>
      <c r="I88" s="559">
        <f t="shared" si="1"/>
        <v>0</v>
      </c>
    </row>
    <row r="89" spans="1:9" ht="15" x14ac:dyDescent="0.2">
      <c r="A89" s="55" t="s">
        <v>1376</v>
      </c>
      <c r="B89" s="71" t="s">
        <v>1111</v>
      </c>
      <c r="C89" s="430"/>
      <c r="D89" s="71"/>
      <c r="E89" s="71" t="s">
        <v>1920</v>
      </c>
      <c r="F89" s="523"/>
      <c r="G89" s="33">
        <v>1</v>
      </c>
      <c r="H89" s="564"/>
      <c r="I89" s="559">
        <f t="shared" si="1"/>
        <v>0</v>
      </c>
    </row>
    <row r="90" spans="1:9" ht="15" x14ac:dyDescent="0.2">
      <c r="A90" s="55" t="s">
        <v>1377</v>
      </c>
      <c r="B90" s="71" t="s">
        <v>1112</v>
      </c>
      <c r="C90" s="430"/>
      <c r="D90" s="71"/>
      <c r="E90" s="71" t="s">
        <v>1920</v>
      </c>
      <c r="F90" s="523"/>
      <c r="G90" s="33">
        <v>1</v>
      </c>
      <c r="H90" s="564"/>
      <c r="I90" s="559">
        <f t="shared" si="1"/>
        <v>0</v>
      </c>
    </row>
    <row r="91" spans="1:9" ht="15" x14ac:dyDescent="0.2">
      <c r="A91" s="55" t="s">
        <v>1378</v>
      </c>
      <c r="B91" s="71" t="s">
        <v>1113</v>
      </c>
      <c r="C91" s="430"/>
      <c r="D91" s="71"/>
      <c r="E91" s="71" t="s">
        <v>1920</v>
      </c>
      <c r="F91" s="523"/>
      <c r="G91" s="33">
        <v>1</v>
      </c>
      <c r="H91" s="564"/>
      <c r="I91" s="559">
        <f t="shared" si="1"/>
        <v>0</v>
      </c>
    </row>
    <row r="92" spans="1:9" ht="15" x14ac:dyDescent="0.2">
      <c r="A92" s="55" t="s">
        <v>1261</v>
      </c>
      <c r="B92" s="71" t="s">
        <v>898</v>
      </c>
      <c r="C92" s="430"/>
      <c r="D92" s="71"/>
      <c r="E92" s="71" t="s">
        <v>1920</v>
      </c>
      <c r="F92" s="523"/>
      <c r="G92" s="33">
        <v>1</v>
      </c>
      <c r="H92" s="564"/>
      <c r="I92" s="559">
        <f t="shared" si="1"/>
        <v>0</v>
      </c>
    </row>
    <row r="93" spans="1:9" ht="15" x14ac:dyDescent="0.2">
      <c r="A93" s="55" t="s">
        <v>209</v>
      </c>
      <c r="B93" s="71" t="s">
        <v>374</v>
      </c>
      <c r="C93" s="430"/>
      <c r="D93" s="71"/>
      <c r="E93" s="71" t="s">
        <v>1920</v>
      </c>
      <c r="F93" s="523"/>
      <c r="G93" s="33">
        <v>1</v>
      </c>
      <c r="H93" s="564"/>
      <c r="I93" s="559">
        <f t="shared" si="1"/>
        <v>0</v>
      </c>
    </row>
    <row r="94" spans="1:9" ht="15" x14ac:dyDescent="0.2">
      <c r="A94" s="55" t="s">
        <v>11</v>
      </c>
      <c r="B94" s="71" t="s">
        <v>372</v>
      </c>
      <c r="C94" s="430"/>
      <c r="D94" s="71"/>
      <c r="E94" s="71" t="s">
        <v>1920</v>
      </c>
      <c r="F94" s="523"/>
      <c r="G94" s="33">
        <v>1</v>
      </c>
      <c r="H94" s="564"/>
      <c r="I94" s="559">
        <f t="shared" si="1"/>
        <v>0</v>
      </c>
    </row>
    <row r="95" spans="1:9" ht="15" x14ac:dyDescent="0.2">
      <c r="A95" s="55" t="s">
        <v>12</v>
      </c>
      <c r="B95" s="71" t="s">
        <v>373</v>
      </c>
      <c r="C95" s="430"/>
      <c r="D95" s="71"/>
      <c r="E95" s="71" t="s">
        <v>1920</v>
      </c>
      <c r="F95" s="523"/>
      <c r="G95" s="33">
        <v>1</v>
      </c>
      <c r="H95" s="564"/>
      <c r="I95" s="559">
        <f t="shared" si="1"/>
        <v>0</v>
      </c>
    </row>
    <row r="96" spans="1:9" ht="15" x14ac:dyDescent="0.2">
      <c r="A96" s="55" t="s">
        <v>44</v>
      </c>
      <c r="B96" s="71" t="s">
        <v>896</v>
      </c>
      <c r="C96" s="430"/>
      <c r="D96" s="71"/>
      <c r="E96" s="71" t="s">
        <v>1920</v>
      </c>
      <c r="F96" s="523"/>
      <c r="G96" s="33">
        <v>1</v>
      </c>
      <c r="H96" s="564"/>
      <c r="I96" s="559">
        <f t="shared" si="1"/>
        <v>0</v>
      </c>
    </row>
    <row r="97" spans="1:9" ht="15" x14ac:dyDescent="0.2">
      <c r="A97" s="55" t="s">
        <v>1259</v>
      </c>
      <c r="B97" s="71" t="s">
        <v>615</v>
      </c>
      <c r="C97" s="430"/>
      <c r="D97" s="71"/>
      <c r="E97" s="71" t="s">
        <v>1920</v>
      </c>
      <c r="F97" s="523"/>
      <c r="G97" s="33">
        <v>2</v>
      </c>
      <c r="H97" s="564"/>
      <c r="I97" s="559">
        <f t="shared" si="1"/>
        <v>0</v>
      </c>
    </row>
    <row r="98" spans="1:9" ht="15" x14ac:dyDescent="0.2">
      <c r="A98" s="55" t="s">
        <v>1208</v>
      </c>
      <c r="B98" s="71" t="s">
        <v>942</v>
      </c>
      <c r="C98" s="430"/>
      <c r="D98" s="71"/>
      <c r="E98" s="71" t="s">
        <v>1920</v>
      </c>
      <c r="F98" s="523"/>
      <c r="G98" s="33">
        <v>2</v>
      </c>
      <c r="H98" s="564"/>
      <c r="I98" s="559">
        <f t="shared" si="1"/>
        <v>0</v>
      </c>
    </row>
    <row r="99" spans="1:9" ht="15" x14ac:dyDescent="0.2">
      <c r="A99" s="55" t="s">
        <v>115</v>
      </c>
      <c r="B99" s="71" t="s">
        <v>116</v>
      </c>
      <c r="C99" s="430"/>
      <c r="D99" s="71"/>
      <c r="E99" s="71" t="s">
        <v>1946</v>
      </c>
      <c r="F99" s="523"/>
      <c r="G99" s="33">
        <v>1</v>
      </c>
      <c r="H99" s="564"/>
      <c r="I99" s="559">
        <f t="shared" si="1"/>
        <v>0</v>
      </c>
    </row>
    <row r="100" spans="1:9" ht="15" x14ac:dyDescent="0.2">
      <c r="A100" s="55" t="s">
        <v>3</v>
      </c>
      <c r="B100" s="71" t="s">
        <v>465</v>
      </c>
      <c r="C100" s="430"/>
      <c r="D100" s="71"/>
      <c r="E100" s="71" t="s">
        <v>1920</v>
      </c>
      <c r="F100" s="523"/>
      <c r="G100" s="33">
        <v>1</v>
      </c>
      <c r="H100" s="564"/>
      <c r="I100" s="559">
        <f t="shared" si="1"/>
        <v>0</v>
      </c>
    </row>
    <row r="101" spans="1:9" ht="15" x14ac:dyDescent="0.2">
      <c r="A101" s="55" t="s">
        <v>1380</v>
      </c>
      <c r="B101" s="71" t="s">
        <v>1114</v>
      </c>
      <c r="C101" s="430"/>
      <c r="D101" s="71"/>
      <c r="E101" s="71" t="s">
        <v>1920</v>
      </c>
      <c r="F101" s="430"/>
      <c r="G101" s="33">
        <v>1</v>
      </c>
      <c r="H101" s="564"/>
      <c r="I101" s="559">
        <f t="shared" si="1"/>
        <v>0</v>
      </c>
    </row>
    <row r="102" spans="1:9" ht="15" x14ac:dyDescent="0.2">
      <c r="A102" s="55" t="s">
        <v>1381</v>
      </c>
      <c r="B102" s="71" t="s">
        <v>1115</v>
      </c>
      <c r="C102" s="430"/>
      <c r="D102" s="71"/>
      <c r="E102" s="71" t="s">
        <v>1920</v>
      </c>
      <c r="F102" s="457"/>
      <c r="G102" s="33">
        <v>1</v>
      </c>
      <c r="H102" s="564"/>
      <c r="I102" s="559">
        <f t="shared" si="1"/>
        <v>0</v>
      </c>
    </row>
    <row r="103" spans="1:9" ht="15" x14ac:dyDescent="0.2">
      <c r="A103" s="55" t="s">
        <v>1382</v>
      </c>
      <c r="B103" s="71" t="s">
        <v>1116</v>
      </c>
      <c r="C103" s="430"/>
      <c r="D103" s="71"/>
      <c r="E103" s="71" t="s">
        <v>1920</v>
      </c>
      <c r="F103" s="523"/>
      <c r="G103" s="33">
        <v>1</v>
      </c>
      <c r="H103" s="564"/>
      <c r="I103" s="559">
        <f t="shared" si="1"/>
        <v>0</v>
      </c>
    </row>
    <row r="104" spans="1:9" ht="15" x14ac:dyDescent="0.2">
      <c r="A104" s="55" t="s">
        <v>1383</v>
      </c>
      <c r="B104" s="71" t="s">
        <v>1117</v>
      </c>
      <c r="C104" s="430"/>
      <c r="D104" s="71"/>
      <c r="E104" s="71" t="s">
        <v>1920</v>
      </c>
      <c r="F104" s="523"/>
      <c r="G104" s="33">
        <v>1</v>
      </c>
      <c r="H104" s="564"/>
      <c r="I104" s="559">
        <f t="shared" si="1"/>
        <v>0</v>
      </c>
    </row>
    <row r="105" spans="1:9" ht="15" x14ac:dyDescent="0.2">
      <c r="A105" s="55" t="s">
        <v>4</v>
      </c>
      <c r="B105" s="71" t="s">
        <v>378</v>
      </c>
      <c r="C105" s="430"/>
      <c r="D105" s="71"/>
      <c r="E105" s="71" t="s">
        <v>1920</v>
      </c>
      <c r="F105" s="523"/>
      <c r="G105" s="33">
        <v>1</v>
      </c>
      <c r="H105" s="564"/>
      <c r="I105" s="559">
        <f t="shared" si="1"/>
        <v>0</v>
      </c>
    </row>
    <row r="106" spans="1:9" ht="15" x14ac:dyDescent="0.2">
      <c r="A106" s="55" t="s">
        <v>1384</v>
      </c>
      <c r="B106" s="71" t="s">
        <v>370</v>
      </c>
      <c r="C106" s="430"/>
      <c r="D106" s="71"/>
      <c r="E106" s="71" t="s">
        <v>1920</v>
      </c>
      <c r="F106" s="523"/>
      <c r="G106" s="33">
        <v>1</v>
      </c>
      <c r="H106" s="564"/>
      <c r="I106" s="559">
        <f t="shared" si="1"/>
        <v>0</v>
      </c>
    </row>
    <row r="107" spans="1:9" ht="15" x14ac:dyDescent="0.2">
      <c r="A107" s="55" t="s">
        <v>101</v>
      </c>
      <c r="B107" s="71" t="s">
        <v>371</v>
      </c>
      <c r="C107" s="430"/>
      <c r="D107" s="71"/>
      <c r="E107" s="71" t="s">
        <v>1920</v>
      </c>
      <c r="F107" s="523"/>
      <c r="G107" s="33">
        <v>1</v>
      </c>
      <c r="H107" s="564"/>
      <c r="I107" s="559">
        <f t="shared" si="1"/>
        <v>0</v>
      </c>
    </row>
    <row r="108" spans="1:9" ht="15" x14ac:dyDescent="0.2">
      <c r="A108" s="55" t="s">
        <v>205</v>
      </c>
      <c r="B108" s="71" t="s">
        <v>682</v>
      </c>
      <c r="C108" s="430"/>
      <c r="D108" s="71"/>
      <c r="E108" s="71" t="s">
        <v>1920</v>
      </c>
      <c r="F108" s="523"/>
      <c r="G108" s="33">
        <v>1</v>
      </c>
      <c r="H108" s="564"/>
      <c r="I108" s="559">
        <f t="shared" si="1"/>
        <v>0</v>
      </c>
    </row>
    <row r="109" spans="1:9" ht="15" x14ac:dyDescent="0.2">
      <c r="A109" s="55" t="s">
        <v>1387</v>
      </c>
      <c r="B109" s="71" t="s">
        <v>578</v>
      </c>
      <c r="C109" s="430"/>
      <c r="D109" s="71"/>
      <c r="E109" s="71" t="s">
        <v>1920</v>
      </c>
      <c r="F109" s="523"/>
      <c r="G109" s="33">
        <v>1</v>
      </c>
      <c r="H109" s="564"/>
      <c r="I109" s="559">
        <f t="shared" si="1"/>
        <v>0</v>
      </c>
    </row>
    <row r="110" spans="1:9" ht="15" x14ac:dyDescent="0.2">
      <c r="A110" s="55" t="s">
        <v>165</v>
      </c>
      <c r="B110" s="71" t="s">
        <v>1894</v>
      </c>
      <c r="C110" s="430"/>
      <c r="D110" s="71"/>
      <c r="E110" s="71" t="s">
        <v>1920</v>
      </c>
      <c r="F110" s="523"/>
      <c r="G110" s="33">
        <v>1</v>
      </c>
      <c r="H110" s="564"/>
      <c r="I110" s="559">
        <f t="shared" si="1"/>
        <v>0</v>
      </c>
    </row>
    <row r="111" spans="1:9" ht="15" x14ac:dyDescent="0.2">
      <c r="A111" s="55" t="s">
        <v>1530</v>
      </c>
      <c r="B111" s="71" t="s">
        <v>568</v>
      </c>
      <c r="C111" s="430"/>
      <c r="D111" s="71"/>
      <c r="E111" s="71" t="s">
        <v>1920</v>
      </c>
      <c r="F111" s="523"/>
      <c r="G111" s="33">
        <v>1</v>
      </c>
      <c r="H111" s="564"/>
      <c r="I111" s="559">
        <f t="shared" si="1"/>
        <v>0</v>
      </c>
    </row>
    <row r="112" spans="1:9" ht="15" x14ac:dyDescent="0.2">
      <c r="A112" s="55" t="s">
        <v>180</v>
      </c>
      <c r="B112" s="71" t="s">
        <v>479</v>
      </c>
      <c r="C112" s="430"/>
      <c r="D112" s="71"/>
      <c r="E112" s="71" t="s">
        <v>1920</v>
      </c>
      <c r="F112" s="523"/>
      <c r="G112" s="33">
        <v>1</v>
      </c>
      <c r="H112" s="564"/>
      <c r="I112" s="559">
        <f t="shared" si="1"/>
        <v>0</v>
      </c>
    </row>
    <row r="113" spans="1:9" ht="15" x14ac:dyDescent="0.2">
      <c r="A113" s="55" t="s">
        <v>54</v>
      </c>
      <c r="B113" s="71" t="s">
        <v>3073</v>
      </c>
      <c r="C113" s="430"/>
      <c r="D113" s="71"/>
      <c r="E113" s="71" t="s">
        <v>1920</v>
      </c>
      <c r="F113" s="523"/>
      <c r="G113" s="33">
        <v>1</v>
      </c>
      <c r="H113" s="564"/>
      <c r="I113" s="559">
        <f t="shared" si="1"/>
        <v>0</v>
      </c>
    </row>
    <row r="114" spans="1:9" ht="15" x14ac:dyDescent="0.2">
      <c r="A114" s="55" t="s">
        <v>55</v>
      </c>
      <c r="B114" s="71" t="s">
        <v>524</v>
      </c>
      <c r="C114" s="430"/>
      <c r="D114" s="71"/>
      <c r="E114" s="71" t="s">
        <v>1920</v>
      </c>
      <c r="F114" s="523"/>
      <c r="G114" s="33">
        <v>1</v>
      </c>
      <c r="H114" s="564"/>
      <c r="I114" s="559">
        <f t="shared" si="1"/>
        <v>0</v>
      </c>
    </row>
    <row r="115" spans="1:9" ht="15" x14ac:dyDescent="0.2">
      <c r="A115" s="55" t="s">
        <v>1396</v>
      </c>
      <c r="B115" s="71" t="s">
        <v>913</v>
      </c>
      <c r="C115" s="430"/>
      <c r="D115" s="71"/>
      <c r="E115" s="71" t="s">
        <v>1920</v>
      </c>
      <c r="F115" s="523"/>
      <c r="G115" s="33">
        <v>1</v>
      </c>
      <c r="H115" s="564"/>
      <c r="I115" s="559">
        <f t="shared" si="1"/>
        <v>0</v>
      </c>
    </row>
    <row r="116" spans="1:9" ht="15" x14ac:dyDescent="0.2">
      <c r="A116" s="55" t="s">
        <v>1397</v>
      </c>
      <c r="B116" s="71" t="s">
        <v>522</v>
      </c>
      <c r="C116" s="430"/>
      <c r="D116" s="71"/>
      <c r="E116" s="71" t="s">
        <v>1920</v>
      </c>
      <c r="F116" s="523"/>
      <c r="G116" s="33">
        <v>1</v>
      </c>
      <c r="H116" s="564"/>
      <c r="I116" s="559">
        <f t="shared" si="1"/>
        <v>0</v>
      </c>
    </row>
    <row r="117" spans="1:9" ht="15" x14ac:dyDescent="0.2">
      <c r="A117" s="55" t="s">
        <v>1398</v>
      </c>
      <c r="B117" s="71" t="s">
        <v>912</v>
      </c>
      <c r="C117" s="430"/>
      <c r="D117" s="71"/>
      <c r="E117" s="71" t="s">
        <v>1920</v>
      </c>
      <c r="F117" s="523"/>
      <c r="G117" s="33">
        <v>1</v>
      </c>
      <c r="H117" s="564"/>
      <c r="I117" s="559">
        <f t="shared" si="1"/>
        <v>0</v>
      </c>
    </row>
    <row r="118" spans="1:9" ht="15" x14ac:dyDescent="0.2">
      <c r="A118" s="55" t="s">
        <v>3257</v>
      </c>
      <c r="B118" s="71" t="s">
        <v>888</v>
      </c>
      <c r="C118" s="430"/>
      <c r="D118" s="71"/>
      <c r="E118" s="71" t="s">
        <v>1920</v>
      </c>
      <c r="F118" s="523"/>
      <c r="G118" s="33">
        <v>1</v>
      </c>
      <c r="H118" s="564"/>
      <c r="I118" s="559">
        <f t="shared" si="1"/>
        <v>0</v>
      </c>
    </row>
    <row r="119" spans="1:9" ht="15" x14ac:dyDescent="0.2">
      <c r="A119" s="55" t="s">
        <v>1488</v>
      </c>
      <c r="B119" s="71" t="s">
        <v>918</v>
      </c>
      <c r="C119" s="430"/>
      <c r="D119" s="71" t="s">
        <v>1879</v>
      </c>
      <c r="E119" s="71" t="s">
        <v>1928</v>
      </c>
      <c r="F119" s="523"/>
      <c r="G119" s="33">
        <v>1</v>
      </c>
      <c r="H119" s="564"/>
      <c r="I119" s="559">
        <f t="shared" si="1"/>
        <v>0</v>
      </c>
    </row>
    <row r="120" spans="1:9" ht="15" x14ac:dyDescent="0.2">
      <c r="A120" s="55" t="s">
        <v>1489</v>
      </c>
      <c r="B120" s="71" t="s">
        <v>2025</v>
      </c>
      <c r="C120" s="430"/>
      <c r="D120" s="71" t="s">
        <v>1880</v>
      </c>
      <c r="E120" s="71" t="s">
        <v>1928</v>
      </c>
      <c r="F120" s="523"/>
      <c r="G120" s="33">
        <v>1</v>
      </c>
      <c r="H120" s="564"/>
      <c r="I120" s="559">
        <f t="shared" si="1"/>
        <v>0</v>
      </c>
    </row>
    <row r="121" spans="1:9" ht="15" x14ac:dyDescent="0.2">
      <c r="A121" s="55" t="s">
        <v>1219</v>
      </c>
      <c r="B121" s="71" t="s">
        <v>882</v>
      </c>
      <c r="C121" s="430"/>
      <c r="D121" s="71" t="s">
        <v>1882</v>
      </c>
      <c r="E121" s="71" t="s">
        <v>1928</v>
      </c>
      <c r="F121" s="523"/>
      <c r="G121" s="33">
        <v>1</v>
      </c>
      <c r="H121" s="564"/>
      <c r="I121" s="559">
        <f t="shared" si="1"/>
        <v>0</v>
      </c>
    </row>
    <row r="122" spans="1:9" ht="15" x14ac:dyDescent="0.2">
      <c r="A122" s="55" t="s">
        <v>1490</v>
      </c>
      <c r="B122" s="71" t="s">
        <v>932</v>
      </c>
      <c r="C122" s="430"/>
      <c r="D122" s="71" t="s">
        <v>1883</v>
      </c>
      <c r="E122" s="71" t="s">
        <v>1928</v>
      </c>
      <c r="F122" s="523"/>
      <c r="G122" s="33">
        <v>1</v>
      </c>
      <c r="H122" s="564"/>
      <c r="I122" s="559">
        <f t="shared" si="1"/>
        <v>0</v>
      </c>
    </row>
    <row r="123" spans="1:9" ht="15" x14ac:dyDescent="0.2">
      <c r="A123" s="55" t="s">
        <v>1491</v>
      </c>
      <c r="B123" s="71" t="s">
        <v>870</v>
      </c>
      <c r="C123" s="430"/>
      <c r="D123" s="71" t="s">
        <v>1884</v>
      </c>
      <c r="E123" s="71" t="s">
        <v>1928</v>
      </c>
      <c r="F123" s="523"/>
      <c r="G123" s="33">
        <v>1</v>
      </c>
      <c r="H123" s="564"/>
      <c r="I123" s="559">
        <f t="shared" si="1"/>
        <v>0</v>
      </c>
    </row>
    <row r="124" spans="1:9" ht="15" x14ac:dyDescent="0.2">
      <c r="A124" s="55" t="s">
        <v>1498</v>
      </c>
      <c r="B124" s="71" t="s">
        <v>883</v>
      </c>
      <c r="C124" s="430"/>
      <c r="D124" s="71" t="s">
        <v>1896</v>
      </c>
      <c r="E124" s="71" t="s">
        <v>1956</v>
      </c>
      <c r="F124" s="430"/>
      <c r="G124" s="33">
        <v>2</v>
      </c>
      <c r="H124" s="564"/>
      <c r="I124" s="559">
        <f t="shared" si="1"/>
        <v>0</v>
      </c>
    </row>
    <row r="125" spans="1:9" ht="15" x14ac:dyDescent="0.2">
      <c r="A125" s="55" t="s">
        <v>2857</v>
      </c>
      <c r="B125" s="71" t="s">
        <v>2850</v>
      </c>
      <c r="C125" s="430"/>
      <c r="D125" s="71"/>
      <c r="E125" s="71" t="s">
        <v>1928</v>
      </c>
      <c r="F125" s="457"/>
      <c r="G125" s="33">
        <v>1</v>
      </c>
      <c r="H125" s="564"/>
      <c r="I125" s="559">
        <f t="shared" si="1"/>
        <v>0</v>
      </c>
    </row>
    <row r="126" spans="1:9" ht="15" x14ac:dyDescent="0.2">
      <c r="A126" s="55" t="s">
        <v>1460</v>
      </c>
      <c r="B126" s="71" t="s">
        <v>2851</v>
      </c>
      <c r="C126" s="430"/>
      <c r="D126" s="71"/>
      <c r="E126" s="71" t="s">
        <v>1928</v>
      </c>
      <c r="F126" s="523"/>
      <c r="G126" s="33">
        <v>1</v>
      </c>
      <c r="H126" s="564"/>
      <c r="I126" s="559">
        <f t="shared" si="1"/>
        <v>0</v>
      </c>
    </row>
    <row r="127" spans="1:9" ht="15" x14ac:dyDescent="0.2">
      <c r="A127" s="55" t="s">
        <v>2856</v>
      </c>
      <c r="B127" s="71" t="s">
        <v>2849</v>
      </c>
      <c r="C127" s="430"/>
      <c r="D127" s="71"/>
      <c r="E127" s="71" t="s">
        <v>1920</v>
      </c>
      <c r="F127" s="523"/>
      <c r="G127" s="33">
        <v>1</v>
      </c>
      <c r="H127" s="564"/>
      <c r="I127" s="559">
        <f t="shared" si="1"/>
        <v>0</v>
      </c>
    </row>
    <row r="128" spans="1:9" ht="15" x14ac:dyDescent="0.2">
      <c r="A128" s="55" t="s">
        <v>341</v>
      </c>
      <c r="B128" s="71" t="s">
        <v>2852</v>
      </c>
      <c r="C128" s="430"/>
      <c r="D128" s="71"/>
      <c r="E128" s="71" t="s">
        <v>1928</v>
      </c>
      <c r="F128" s="523"/>
      <c r="G128" s="33">
        <v>1</v>
      </c>
      <c r="H128" s="564"/>
      <c r="I128" s="559">
        <f t="shared" si="1"/>
        <v>0</v>
      </c>
    </row>
    <row r="129" spans="1:9" ht="15" x14ac:dyDescent="0.2">
      <c r="A129" s="55" t="s">
        <v>2231</v>
      </c>
      <c r="B129" s="71" t="s">
        <v>357</v>
      </c>
      <c r="C129" s="430"/>
      <c r="D129" s="71"/>
      <c r="E129" s="71" t="s">
        <v>1920</v>
      </c>
      <c r="F129" s="523"/>
      <c r="G129" s="33">
        <v>1</v>
      </c>
      <c r="H129" s="564"/>
      <c r="I129" s="559">
        <f t="shared" si="1"/>
        <v>0</v>
      </c>
    </row>
    <row r="130" spans="1:9" ht="15" x14ac:dyDescent="0.2">
      <c r="A130" s="246" t="s">
        <v>1314</v>
      </c>
      <c r="B130" s="71" t="s">
        <v>358</v>
      </c>
      <c r="C130" s="430"/>
      <c r="D130" s="71"/>
      <c r="E130" s="71" t="s">
        <v>1920</v>
      </c>
      <c r="F130" s="523"/>
      <c r="G130" s="33">
        <v>1</v>
      </c>
      <c r="H130" s="564"/>
      <c r="I130" s="559">
        <f t="shared" si="1"/>
        <v>0</v>
      </c>
    </row>
    <row r="131" spans="1:9" ht="15" x14ac:dyDescent="0.2">
      <c r="A131" s="55" t="s">
        <v>1184</v>
      </c>
      <c r="B131" s="71" t="s">
        <v>327</v>
      </c>
      <c r="C131" s="430"/>
      <c r="D131" s="71"/>
      <c r="E131" s="71" t="s">
        <v>1920</v>
      </c>
      <c r="F131" s="523"/>
      <c r="G131" s="33">
        <v>1</v>
      </c>
      <c r="H131" s="564"/>
      <c r="I131" s="559">
        <f t="shared" ref="I131:I194" si="2">+G131*H131</f>
        <v>0</v>
      </c>
    </row>
    <row r="132" spans="1:9" ht="15" x14ac:dyDescent="0.2">
      <c r="A132" s="55" t="s">
        <v>1186</v>
      </c>
      <c r="B132" s="71" t="s">
        <v>328</v>
      </c>
      <c r="C132" s="430"/>
      <c r="D132" s="71"/>
      <c r="E132" s="71" t="s">
        <v>1920</v>
      </c>
      <c r="F132" s="523"/>
      <c r="G132" s="33">
        <v>1</v>
      </c>
      <c r="H132" s="564"/>
      <c r="I132" s="559">
        <f t="shared" si="2"/>
        <v>0</v>
      </c>
    </row>
    <row r="133" spans="1:9" ht="15" x14ac:dyDescent="0.2">
      <c r="A133" s="55" t="s">
        <v>1180</v>
      </c>
      <c r="B133" s="71" t="s">
        <v>359</v>
      </c>
      <c r="C133" s="430"/>
      <c r="D133" s="71"/>
      <c r="E133" s="71" t="s">
        <v>1920</v>
      </c>
      <c r="F133" s="523"/>
      <c r="G133" s="33">
        <v>1</v>
      </c>
      <c r="H133" s="564"/>
      <c r="I133" s="559">
        <f t="shared" si="2"/>
        <v>0</v>
      </c>
    </row>
    <row r="134" spans="1:9" ht="15" x14ac:dyDescent="0.2">
      <c r="A134" s="55" t="s">
        <v>1187</v>
      </c>
      <c r="B134" s="71" t="s">
        <v>360</v>
      </c>
      <c r="C134" s="430"/>
      <c r="D134" s="71"/>
      <c r="E134" s="71" t="s">
        <v>1920</v>
      </c>
      <c r="F134" s="523"/>
      <c r="G134" s="33">
        <v>1</v>
      </c>
      <c r="H134" s="564"/>
      <c r="I134" s="559">
        <f t="shared" si="2"/>
        <v>0</v>
      </c>
    </row>
    <row r="135" spans="1:9" ht="15" x14ac:dyDescent="0.2">
      <c r="A135" s="55" t="s">
        <v>1185</v>
      </c>
      <c r="B135" s="71" t="s">
        <v>330</v>
      </c>
      <c r="C135" s="430"/>
      <c r="D135" s="71"/>
      <c r="E135" s="71" t="s">
        <v>1920</v>
      </c>
      <c r="F135" s="523"/>
      <c r="G135" s="33">
        <v>1</v>
      </c>
      <c r="H135" s="564"/>
      <c r="I135" s="559">
        <f t="shared" si="2"/>
        <v>0</v>
      </c>
    </row>
    <row r="136" spans="1:9" ht="15" x14ac:dyDescent="0.2">
      <c r="A136" s="55" t="s">
        <v>1181</v>
      </c>
      <c r="B136" s="71" t="s">
        <v>199</v>
      </c>
      <c r="C136" s="430"/>
      <c r="D136" s="71"/>
      <c r="E136" s="71" t="s">
        <v>1920</v>
      </c>
      <c r="F136" s="523"/>
      <c r="G136" s="33">
        <v>1</v>
      </c>
      <c r="H136" s="564"/>
      <c r="I136" s="559">
        <f t="shared" si="2"/>
        <v>0</v>
      </c>
    </row>
    <row r="137" spans="1:9" ht="15" x14ac:dyDescent="0.2">
      <c r="A137" s="55" t="s">
        <v>1054</v>
      </c>
      <c r="B137" s="71" t="s">
        <v>326</v>
      </c>
      <c r="C137" s="430"/>
      <c r="D137" s="71"/>
      <c r="E137" s="71" t="s">
        <v>1920</v>
      </c>
      <c r="F137" s="523"/>
      <c r="G137" s="33">
        <v>1</v>
      </c>
      <c r="H137" s="564"/>
      <c r="I137" s="559">
        <f t="shared" si="2"/>
        <v>0</v>
      </c>
    </row>
    <row r="138" spans="1:9" ht="15" x14ac:dyDescent="0.2">
      <c r="A138" s="55" t="s">
        <v>2230</v>
      </c>
      <c r="B138" s="71" t="s">
        <v>325</v>
      </c>
      <c r="C138" s="430"/>
      <c r="D138" s="71"/>
      <c r="E138" s="71" t="s">
        <v>1920</v>
      </c>
      <c r="F138" s="523"/>
      <c r="G138" s="33">
        <v>1</v>
      </c>
      <c r="H138" s="564"/>
      <c r="I138" s="559">
        <f t="shared" si="2"/>
        <v>0</v>
      </c>
    </row>
    <row r="139" spans="1:9" ht="15" x14ac:dyDescent="0.2">
      <c r="A139" s="55" t="s">
        <v>2879</v>
      </c>
      <c r="B139" s="71" t="s">
        <v>329</v>
      </c>
      <c r="C139" s="430"/>
      <c r="D139" s="71"/>
      <c r="E139" s="71" t="s">
        <v>1920</v>
      </c>
      <c r="F139" s="523"/>
      <c r="G139" s="33">
        <v>1</v>
      </c>
      <c r="H139" s="564"/>
      <c r="I139" s="559">
        <f t="shared" si="2"/>
        <v>0</v>
      </c>
    </row>
    <row r="140" spans="1:9" ht="15" x14ac:dyDescent="0.2">
      <c r="A140" s="55" t="s">
        <v>1183</v>
      </c>
      <c r="B140" s="71" t="s">
        <v>120</v>
      </c>
      <c r="C140" s="430"/>
      <c r="D140" s="71"/>
      <c r="E140" s="71" t="s">
        <v>1920</v>
      </c>
      <c r="F140" s="523"/>
      <c r="G140" s="33">
        <v>1</v>
      </c>
      <c r="H140" s="564"/>
      <c r="I140" s="559">
        <f t="shared" si="2"/>
        <v>0</v>
      </c>
    </row>
    <row r="141" spans="1:9" ht="15" x14ac:dyDescent="0.2">
      <c r="A141" s="55" t="s">
        <v>2234</v>
      </c>
      <c r="B141" s="71" t="s">
        <v>119</v>
      </c>
      <c r="C141" s="430"/>
      <c r="D141" s="71"/>
      <c r="E141" s="71" t="s">
        <v>1920</v>
      </c>
      <c r="F141" s="523"/>
      <c r="G141" s="33">
        <v>1</v>
      </c>
      <c r="H141" s="564"/>
      <c r="I141" s="559">
        <f t="shared" si="2"/>
        <v>0</v>
      </c>
    </row>
    <row r="142" spans="1:9" ht="15" x14ac:dyDescent="0.2">
      <c r="A142" s="55" t="s">
        <v>1053</v>
      </c>
      <c r="B142" s="71" t="s">
        <v>322</v>
      </c>
      <c r="C142" s="430"/>
      <c r="D142" s="71"/>
      <c r="E142" s="71" t="s">
        <v>1920</v>
      </c>
      <c r="F142" s="523"/>
      <c r="G142" s="33">
        <v>1</v>
      </c>
      <c r="H142" s="564"/>
      <c r="I142" s="559">
        <f t="shared" si="2"/>
        <v>0</v>
      </c>
    </row>
    <row r="143" spans="1:9" ht="15" x14ac:dyDescent="0.2">
      <c r="A143" s="55" t="s">
        <v>167</v>
      </c>
      <c r="B143" s="71" t="s">
        <v>323</v>
      </c>
      <c r="C143" s="430"/>
      <c r="D143" s="71"/>
      <c r="E143" s="71" t="s">
        <v>1920</v>
      </c>
      <c r="F143" s="523"/>
      <c r="G143" s="33">
        <v>1</v>
      </c>
      <c r="H143" s="564"/>
      <c r="I143" s="559">
        <f t="shared" si="2"/>
        <v>0</v>
      </c>
    </row>
    <row r="144" spans="1:9" ht="15" x14ac:dyDescent="0.2">
      <c r="A144" s="55" t="s">
        <v>1317</v>
      </c>
      <c r="B144" s="71" t="s">
        <v>361</v>
      </c>
      <c r="C144" s="430"/>
      <c r="D144" s="71"/>
      <c r="E144" s="71" t="s">
        <v>1920</v>
      </c>
      <c r="F144" s="523"/>
      <c r="G144" s="33">
        <v>1</v>
      </c>
      <c r="H144" s="564"/>
      <c r="I144" s="559">
        <f t="shared" si="2"/>
        <v>0</v>
      </c>
    </row>
    <row r="145" spans="1:9" ht="15" x14ac:dyDescent="0.2">
      <c r="A145" s="55" t="s">
        <v>1316</v>
      </c>
      <c r="B145" s="71" t="s">
        <v>362</v>
      </c>
      <c r="C145" s="430"/>
      <c r="D145" s="71"/>
      <c r="E145" s="71" t="s">
        <v>1920</v>
      </c>
      <c r="F145" s="523"/>
      <c r="G145" s="33">
        <v>1</v>
      </c>
      <c r="H145" s="564"/>
      <c r="I145" s="559">
        <f t="shared" si="2"/>
        <v>0</v>
      </c>
    </row>
    <row r="146" spans="1:9" ht="15" x14ac:dyDescent="0.2">
      <c r="A146" s="55" t="s">
        <v>1318</v>
      </c>
      <c r="B146" s="71" t="s">
        <v>363</v>
      </c>
      <c r="C146" s="430"/>
      <c r="D146" s="71"/>
      <c r="E146" s="71" t="s">
        <v>1920</v>
      </c>
      <c r="F146" s="523"/>
      <c r="G146" s="33">
        <v>1</v>
      </c>
      <c r="H146" s="564"/>
      <c r="I146" s="559">
        <f t="shared" si="2"/>
        <v>0</v>
      </c>
    </row>
    <row r="147" spans="1:9" ht="15" x14ac:dyDescent="0.2">
      <c r="A147" s="55" t="s">
        <v>1319</v>
      </c>
      <c r="B147" s="71" t="s">
        <v>364</v>
      </c>
      <c r="C147" s="430"/>
      <c r="D147" s="71"/>
      <c r="E147" s="71" t="s">
        <v>1920</v>
      </c>
      <c r="F147" s="430"/>
      <c r="G147" s="33">
        <v>1</v>
      </c>
      <c r="H147" s="564"/>
      <c r="I147" s="559">
        <f t="shared" si="2"/>
        <v>0</v>
      </c>
    </row>
    <row r="148" spans="1:9" ht="15" x14ac:dyDescent="0.2">
      <c r="A148" s="55" t="s">
        <v>1068</v>
      </c>
      <c r="B148" s="71" t="s">
        <v>365</v>
      </c>
      <c r="C148" s="430"/>
      <c r="D148" s="71"/>
      <c r="E148" s="71" t="s">
        <v>1920</v>
      </c>
      <c r="F148" s="457"/>
      <c r="G148" s="33">
        <v>1</v>
      </c>
      <c r="H148" s="564"/>
      <c r="I148" s="559">
        <f t="shared" si="2"/>
        <v>0</v>
      </c>
    </row>
    <row r="149" spans="1:9" ht="15" x14ac:dyDescent="0.2">
      <c r="A149" s="55" t="s">
        <v>1182</v>
      </c>
      <c r="B149" s="71" t="s">
        <v>366</v>
      </c>
      <c r="C149" s="430"/>
      <c r="D149" s="71"/>
      <c r="E149" s="71" t="s">
        <v>1920</v>
      </c>
      <c r="F149" s="523"/>
      <c r="G149" s="33">
        <v>1</v>
      </c>
      <c r="H149" s="564"/>
      <c r="I149" s="559">
        <f t="shared" si="2"/>
        <v>0</v>
      </c>
    </row>
    <row r="150" spans="1:9" ht="15" x14ac:dyDescent="0.2">
      <c r="A150" s="55" t="s">
        <v>2897</v>
      </c>
      <c r="B150" s="71" t="s">
        <v>324</v>
      </c>
      <c r="C150" s="430"/>
      <c r="D150" s="71"/>
      <c r="E150" s="71" t="s">
        <v>1920</v>
      </c>
      <c r="F150" s="523"/>
      <c r="G150" s="33">
        <v>1</v>
      </c>
      <c r="H150" s="564"/>
      <c r="I150" s="559">
        <f t="shared" si="2"/>
        <v>0</v>
      </c>
    </row>
    <row r="151" spans="1:9" ht="15" x14ac:dyDescent="0.2">
      <c r="A151" s="55" t="s">
        <v>1324</v>
      </c>
      <c r="B151" s="71" t="s">
        <v>351</v>
      </c>
      <c r="C151" s="430"/>
      <c r="D151" s="71"/>
      <c r="E151" s="71" t="s">
        <v>1920</v>
      </c>
      <c r="F151" s="523"/>
      <c r="G151" s="33">
        <v>1</v>
      </c>
      <c r="H151" s="564"/>
      <c r="I151" s="559">
        <f t="shared" si="2"/>
        <v>0</v>
      </c>
    </row>
    <row r="152" spans="1:9" ht="15" x14ac:dyDescent="0.2">
      <c r="A152" s="55" t="s">
        <v>1204</v>
      </c>
      <c r="B152" s="71" t="s">
        <v>352</v>
      </c>
      <c r="C152" s="430"/>
      <c r="D152" s="71"/>
      <c r="E152" s="71" t="s">
        <v>1920</v>
      </c>
      <c r="F152" s="523"/>
      <c r="G152" s="33">
        <v>1</v>
      </c>
      <c r="H152" s="564"/>
      <c r="I152" s="559">
        <f t="shared" si="2"/>
        <v>0</v>
      </c>
    </row>
    <row r="153" spans="1:9" ht="15" x14ac:dyDescent="0.2">
      <c r="A153" s="55" t="s">
        <v>1325</v>
      </c>
      <c r="B153" s="71" t="s">
        <v>353</v>
      </c>
      <c r="C153" s="430"/>
      <c r="D153" s="71"/>
      <c r="E153" s="71" t="s">
        <v>1920</v>
      </c>
      <c r="F153" s="523"/>
      <c r="G153" s="33">
        <v>1</v>
      </c>
      <c r="H153" s="564"/>
      <c r="I153" s="559">
        <f t="shared" si="2"/>
        <v>0</v>
      </c>
    </row>
    <row r="154" spans="1:9" ht="15" x14ac:dyDescent="0.2">
      <c r="A154" s="55" t="s">
        <v>1326</v>
      </c>
      <c r="B154" s="71" t="s">
        <v>354</v>
      </c>
      <c r="C154" s="430"/>
      <c r="D154" s="71"/>
      <c r="E154" s="71" t="s">
        <v>1920</v>
      </c>
      <c r="F154" s="523"/>
      <c r="G154" s="33">
        <v>1</v>
      </c>
      <c r="H154" s="564"/>
      <c r="I154" s="559">
        <f t="shared" si="2"/>
        <v>0</v>
      </c>
    </row>
    <row r="155" spans="1:9" ht="15" x14ac:dyDescent="0.2">
      <c r="A155" s="55" t="s">
        <v>1327</v>
      </c>
      <c r="B155" s="71" t="s">
        <v>355</v>
      </c>
      <c r="C155" s="430"/>
      <c r="D155" s="71"/>
      <c r="E155" s="71" t="s">
        <v>1920</v>
      </c>
      <c r="F155" s="523"/>
      <c r="G155" s="33">
        <v>1</v>
      </c>
      <c r="H155" s="564"/>
      <c r="I155" s="559">
        <f t="shared" si="2"/>
        <v>0</v>
      </c>
    </row>
    <row r="156" spans="1:9" ht="15" x14ac:dyDescent="0.2">
      <c r="A156" s="55" t="s">
        <v>1189</v>
      </c>
      <c r="B156" s="71" t="s">
        <v>356</v>
      </c>
      <c r="C156" s="430"/>
      <c r="D156" s="71"/>
      <c r="E156" s="71" t="s">
        <v>1920</v>
      </c>
      <c r="F156" s="523"/>
      <c r="G156" s="33">
        <v>1</v>
      </c>
      <c r="H156" s="564"/>
      <c r="I156" s="559">
        <f t="shared" si="2"/>
        <v>0</v>
      </c>
    </row>
    <row r="157" spans="1:9" ht="15" x14ac:dyDescent="0.2">
      <c r="A157" s="55" t="s">
        <v>1055</v>
      </c>
      <c r="B157" s="71" t="s">
        <v>347</v>
      </c>
      <c r="C157" s="430"/>
      <c r="D157" s="71"/>
      <c r="E157" s="71" t="s">
        <v>1920</v>
      </c>
      <c r="F157" s="523"/>
      <c r="G157" s="33">
        <v>1</v>
      </c>
      <c r="H157" s="564"/>
      <c r="I157" s="559">
        <f t="shared" si="2"/>
        <v>0</v>
      </c>
    </row>
    <row r="158" spans="1:9" ht="15" x14ac:dyDescent="0.2">
      <c r="A158" s="55" t="s">
        <v>1077</v>
      </c>
      <c r="B158" s="71" t="s">
        <v>348</v>
      </c>
      <c r="C158" s="430"/>
      <c r="D158" s="71"/>
      <c r="E158" s="71" t="s">
        <v>1920</v>
      </c>
      <c r="F158" s="523"/>
      <c r="G158" s="33">
        <v>1</v>
      </c>
      <c r="H158" s="564"/>
      <c r="I158" s="559">
        <f t="shared" si="2"/>
        <v>0</v>
      </c>
    </row>
    <row r="159" spans="1:9" ht="15" x14ac:dyDescent="0.2">
      <c r="A159" s="55" t="s">
        <v>1328</v>
      </c>
      <c r="B159" s="71" t="s">
        <v>349</v>
      </c>
      <c r="C159" s="430"/>
      <c r="D159" s="71"/>
      <c r="E159" s="71" t="s">
        <v>1920</v>
      </c>
      <c r="F159" s="523"/>
      <c r="G159" s="33">
        <v>1</v>
      </c>
      <c r="H159" s="564"/>
      <c r="I159" s="559">
        <f t="shared" si="2"/>
        <v>0</v>
      </c>
    </row>
    <row r="160" spans="1:9" ht="15" x14ac:dyDescent="0.2">
      <c r="A160" s="55" t="s">
        <v>1329</v>
      </c>
      <c r="B160" s="71" t="s">
        <v>350</v>
      </c>
      <c r="C160" s="430"/>
      <c r="D160" s="71"/>
      <c r="E160" s="71" t="s">
        <v>1920</v>
      </c>
      <c r="F160" s="523"/>
      <c r="G160" s="33">
        <v>1</v>
      </c>
      <c r="H160" s="564"/>
      <c r="I160" s="559">
        <f t="shared" si="2"/>
        <v>0</v>
      </c>
    </row>
    <row r="161" spans="1:9" ht="15" x14ac:dyDescent="0.2">
      <c r="A161" s="55" t="s">
        <v>1575</v>
      </c>
      <c r="B161" s="71" t="s">
        <v>571</v>
      </c>
      <c r="C161" s="430"/>
      <c r="D161" s="71"/>
      <c r="E161" s="71" t="s">
        <v>1920</v>
      </c>
      <c r="F161" s="523"/>
      <c r="G161" s="33">
        <v>1</v>
      </c>
      <c r="H161" s="564"/>
      <c r="I161" s="559">
        <f t="shared" si="2"/>
        <v>0</v>
      </c>
    </row>
    <row r="162" spans="1:9" ht="15" x14ac:dyDescent="0.2">
      <c r="A162" s="55" t="s">
        <v>1562</v>
      </c>
      <c r="B162" s="71" t="s">
        <v>652</v>
      </c>
      <c r="C162" s="430"/>
      <c r="D162" s="71"/>
      <c r="E162" s="71" t="s">
        <v>1920</v>
      </c>
      <c r="F162" s="523"/>
      <c r="G162" s="33">
        <v>2</v>
      </c>
      <c r="H162" s="564"/>
      <c r="I162" s="559">
        <f t="shared" si="2"/>
        <v>0</v>
      </c>
    </row>
    <row r="163" spans="1:9" ht="15" x14ac:dyDescent="0.2">
      <c r="A163" s="55" t="s">
        <v>1563</v>
      </c>
      <c r="B163" s="71" t="s">
        <v>513</v>
      </c>
      <c r="C163" s="430"/>
      <c r="D163" s="71"/>
      <c r="E163" s="71" t="s">
        <v>1920</v>
      </c>
      <c r="F163" s="523"/>
      <c r="G163" s="33">
        <v>1</v>
      </c>
      <c r="H163" s="564"/>
      <c r="I163" s="559">
        <f t="shared" si="2"/>
        <v>0</v>
      </c>
    </row>
    <row r="164" spans="1:9" ht="15" x14ac:dyDescent="0.2">
      <c r="A164" s="55" t="s">
        <v>1564</v>
      </c>
      <c r="B164" s="71" t="s">
        <v>647</v>
      </c>
      <c r="C164" s="430"/>
      <c r="D164" s="71"/>
      <c r="E164" s="71" t="s">
        <v>1920</v>
      </c>
      <c r="F164" s="523"/>
      <c r="G164" s="33">
        <v>1</v>
      </c>
      <c r="H164" s="564"/>
      <c r="I164" s="559">
        <f t="shared" si="2"/>
        <v>0</v>
      </c>
    </row>
    <row r="165" spans="1:9" ht="15" x14ac:dyDescent="0.2">
      <c r="A165" s="55" t="s">
        <v>1565</v>
      </c>
      <c r="B165" s="71" t="s">
        <v>648</v>
      </c>
      <c r="C165" s="430"/>
      <c r="D165" s="71"/>
      <c r="E165" s="71" t="s">
        <v>1920</v>
      </c>
      <c r="F165" s="523"/>
      <c r="G165" s="33">
        <v>1</v>
      </c>
      <c r="H165" s="564"/>
      <c r="I165" s="559">
        <f t="shared" si="2"/>
        <v>0</v>
      </c>
    </row>
    <row r="166" spans="1:9" ht="15" x14ac:dyDescent="0.2">
      <c r="A166" s="55" t="s">
        <v>1566</v>
      </c>
      <c r="B166" s="71" t="s">
        <v>514</v>
      </c>
      <c r="C166" s="430"/>
      <c r="D166" s="71"/>
      <c r="E166" s="71" t="s">
        <v>1920</v>
      </c>
      <c r="F166" s="523"/>
      <c r="G166" s="33">
        <v>1</v>
      </c>
      <c r="H166" s="564"/>
      <c r="I166" s="559">
        <f t="shared" si="2"/>
        <v>0</v>
      </c>
    </row>
    <row r="167" spans="1:9" ht="15" x14ac:dyDescent="0.2">
      <c r="A167" s="55" t="s">
        <v>1567</v>
      </c>
      <c r="B167" s="71" t="s">
        <v>649</v>
      </c>
      <c r="C167" s="430"/>
      <c r="D167" s="71"/>
      <c r="E167" s="71" t="s">
        <v>1920</v>
      </c>
      <c r="F167" s="523"/>
      <c r="G167" s="33">
        <v>1</v>
      </c>
      <c r="H167" s="564"/>
      <c r="I167" s="559">
        <f t="shared" si="2"/>
        <v>0</v>
      </c>
    </row>
    <row r="168" spans="1:9" ht="15" x14ac:dyDescent="0.2">
      <c r="A168" s="55" t="s">
        <v>1568</v>
      </c>
      <c r="B168" s="71" t="s">
        <v>650</v>
      </c>
      <c r="C168" s="430"/>
      <c r="D168" s="71"/>
      <c r="E168" s="71" t="s">
        <v>1920</v>
      </c>
      <c r="F168" s="523"/>
      <c r="G168" s="33">
        <v>2</v>
      </c>
      <c r="H168" s="564"/>
      <c r="I168" s="559">
        <f t="shared" si="2"/>
        <v>0</v>
      </c>
    </row>
    <row r="169" spans="1:9" ht="15" x14ac:dyDescent="0.2">
      <c r="A169" s="55" t="s">
        <v>1569</v>
      </c>
      <c r="B169" s="71" t="s">
        <v>651</v>
      </c>
      <c r="C169" s="430"/>
      <c r="D169" s="71"/>
      <c r="E169" s="71" t="s">
        <v>1920</v>
      </c>
      <c r="F169" s="523"/>
      <c r="G169" s="33">
        <v>1</v>
      </c>
      <c r="H169" s="564"/>
      <c r="I169" s="559">
        <f t="shared" si="2"/>
        <v>0</v>
      </c>
    </row>
    <row r="170" spans="1:9" ht="15" x14ac:dyDescent="0.2">
      <c r="A170" s="55" t="s">
        <v>1571</v>
      </c>
      <c r="B170" s="71" t="s">
        <v>891</v>
      </c>
      <c r="C170" s="430"/>
      <c r="D170" s="71"/>
      <c r="E170" s="71" t="s">
        <v>1920</v>
      </c>
      <c r="F170" s="430"/>
      <c r="G170" s="33">
        <v>1</v>
      </c>
      <c r="H170" s="564"/>
      <c r="I170" s="559">
        <f t="shared" si="2"/>
        <v>0</v>
      </c>
    </row>
    <row r="171" spans="1:9" ht="15" x14ac:dyDescent="0.2">
      <c r="A171" s="55" t="s">
        <v>1570</v>
      </c>
      <c r="B171" s="71" t="s">
        <v>575</v>
      </c>
      <c r="C171" s="430"/>
      <c r="D171" s="71"/>
      <c r="E171" s="71" t="s">
        <v>1920</v>
      </c>
      <c r="F171" s="457"/>
      <c r="G171" s="33">
        <v>1</v>
      </c>
      <c r="H171" s="564"/>
      <c r="I171" s="559">
        <f t="shared" si="2"/>
        <v>0</v>
      </c>
    </row>
    <row r="172" spans="1:9" ht="15" x14ac:dyDescent="0.2">
      <c r="A172" s="55" t="s">
        <v>1621</v>
      </c>
      <c r="B172" s="71" t="s">
        <v>288</v>
      </c>
      <c r="C172" s="430"/>
      <c r="D172" s="71"/>
      <c r="E172" s="71" t="s">
        <v>1920</v>
      </c>
      <c r="F172" s="523"/>
      <c r="G172" s="33">
        <v>1</v>
      </c>
      <c r="H172" s="564"/>
      <c r="I172" s="559">
        <f t="shared" si="2"/>
        <v>0</v>
      </c>
    </row>
    <row r="173" spans="1:9" ht="15" x14ac:dyDescent="0.2">
      <c r="A173" s="55" t="s">
        <v>3199</v>
      </c>
      <c r="B173" s="71" t="s">
        <v>253</v>
      </c>
      <c r="C173" s="430"/>
      <c r="D173" s="71"/>
      <c r="E173" s="71" t="s">
        <v>1920</v>
      </c>
      <c r="F173" s="523"/>
      <c r="G173" s="33">
        <v>1</v>
      </c>
      <c r="H173" s="564"/>
      <c r="I173" s="559">
        <f t="shared" si="2"/>
        <v>0</v>
      </c>
    </row>
    <row r="174" spans="1:9" ht="15" x14ac:dyDescent="0.2">
      <c r="A174" s="55" t="s">
        <v>3197</v>
      </c>
      <c r="B174" s="71" t="s">
        <v>254</v>
      </c>
      <c r="C174" s="430"/>
      <c r="D174" s="71"/>
      <c r="E174" s="71" t="s">
        <v>1920</v>
      </c>
      <c r="F174" s="523"/>
      <c r="G174" s="33">
        <v>1</v>
      </c>
      <c r="H174" s="564"/>
      <c r="I174" s="559">
        <f t="shared" si="2"/>
        <v>0</v>
      </c>
    </row>
    <row r="175" spans="1:9" ht="15" x14ac:dyDescent="0.2">
      <c r="A175" s="55" t="s">
        <v>1683</v>
      </c>
      <c r="B175" s="71" t="s">
        <v>369</v>
      </c>
      <c r="C175" s="430"/>
      <c r="D175" s="71"/>
      <c r="E175" s="71" t="s">
        <v>1920</v>
      </c>
      <c r="F175" s="523"/>
      <c r="G175" s="33">
        <v>1</v>
      </c>
      <c r="H175" s="564"/>
      <c r="I175" s="559">
        <f t="shared" si="2"/>
        <v>0</v>
      </c>
    </row>
    <row r="176" spans="1:9" ht="15" x14ac:dyDescent="0.2">
      <c r="A176" s="55" t="s">
        <v>3198</v>
      </c>
      <c r="B176" s="71" t="s">
        <v>255</v>
      </c>
      <c r="C176" s="430"/>
      <c r="D176" s="71"/>
      <c r="E176" s="71" t="s">
        <v>1920</v>
      </c>
      <c r="F176" s="523"/>
      <c r="G176" s="33">
        <v>1</v>
      </c>
      <c r="H176" s="564"/>
      <c r="I176" s="559">
        <f t="shared" si="2"/>
        <v>0</v>
      </c>
    </row>
    <row r="177" spans="1:9" ht="15" x14ac:dyDescent="0.2">
      <c r="A177" s="55" t="s">
        <v>3195</v>
      </c>
      <c r="B177" s="71" t="s">
        <v>41</v>
      </c>
      <c r="C177" s="430"/>
      <c r="D177" s="71"/>
      <c r="E177" s="71" t="s">
        <v>1920</v>
      </c>
      <c r="F177" s="523"/>
      <c r="G177" s="33">
        <v>1</v>
      </c>
      <c r="H177" s="564"/>
      <c r="I177" s="559">
        <f t="shared" si="2"/>
        <v>0</v>
      </c>
    </row>
    <row r="178" spans="1:9" ht="15" x14ac:dyDescent="0.2">
      <c r="A178" s="55" t="s">
        <v>3194</v>
      </c>
      <c r="B178" s="71" t="s">
        <v>40</v>
      </c>
      <c r="C178" s="430"/>
      <c r="D178" s="71"/>
      <c r="E178" s="71" t="s">
        <v>1920</v>
      </c>
      <c r="F178" s="523"/>
      <c r="G178" s="33">
        <v>1</v>
      </c>
      <c r="H178" s="564"/>
      <c r="I178" s="559">
        <f t="shared" si="2"/>
        <v>0</v>
      </c>
    </row>
    <row r="179" spans="1:9" ht="15" x14ac:dyDescent="0.2">
      <c r="A179" s="55" t="s">
        <v>3196</v>
      </c>
      <c r="B179" s="71" t="s">
        <v>42</v>
      </c>
      <c r="C179" s="430"/>
      <c r="D179" s="71"/>
      <c r="E179" s="71" t="s">
        <v>1920</v>
      </c>
      <c r="F179" s="523"/>
      <c r="G179" s="33">
        <v>1</v>
      </c>
      <c r="H179" s="564"/>
      <c r="I179" s="559">
        <f t="shared" si="2"/>
        <v>0</v>
      </c>
    </row>
    <row r="180" spans="1:9" ht="15" x14ac:dyDescent="0.2">
      <c r="A180" s="55" t="s">
        <v>1690</v>
      </c>
      <c r="B180" s="71" t="s">
        <v>367</v>
      </c>
      <c r="C180" s="430"/>
      <c r="D180" s="71"/>
      <c r="E180" s="71" t="s">
        <v>1920</v>
      </c>
      <c r="F180" s="523"/>
      <c r="G180" s="33">
        <v>1</v>
      </c>
      <c r="H180" s="564"/>
      <c r="I180" s="559">
        <f t="shared" si="2"/>
        <v>0</v>
      </c>
    </row>
    <row r="181" spans="1:9" ht="15" x14ac:dyDescent="0.2">
      <c r="A181" s="55" t="s">
        <v>1691</v>
      </c>
      <c r="B181" s="71" t="s">
        <v>368</v>
      </c>
      <c r="C181" s="430"/>
      <c r="D181" s="71"/>
      <c r="E181" s="71" t="s">
        <v>1920</v>
      </c>
      <c r="F181" s="523"/>
      <c r="G181" s="33">
        <v>1</v>
      </c>
      <c r="H181" s="564"/>
      <c r="I181" s="559">
        <f t="shared" si="2"/>
        <v>0</v>
      </c>
    </row>
    <row r="182" spans="1:9" ht="15" x14ac:dyDescent="0.2">
      <c r="A182" s="55" t="s">
        <v>3193</v>
      </c>
      <c r="B182" s="71" t="s">
        <v>337</v>
      </c>
      <c r="C182" s="430"/>
      <c r="D182" s="71"/>
      <c r="E182" s="71" t="s">
        <v>1920</v>
      </c>
      <c r="F182" s="523"/>
      <c r="G182" s="33">
        <v>1</v>
      </c>
      <c r="H182" s="564"/>
      <c r="I182" s="559">
        <f t="shared" si="2"/>
        <v>0</v>
      </c>
    </row>
    <row r="183" spans="1:9" ht="15" x14ac:dyDescent="0.2">
      <c r="A183" s="55" t="s">
        <v>1401</v>
      </c>
      <c r="B183" s="71" t="s">
        <v>961</v>
      </c>
      <c r="C183" s="430"/>
      <c r="D183" s="71"/>
      <c r="E183" s="71" t="s">
        <v>1920</v>
      </c>
      <c r="F183" s="523"/>
      <c r="G183" s="33">
        <v>1</v>
      </c>
      <c r="H183" s="564"/>
      <c r="I183" s="559">
        <f t="shared" si="2"/>
        <v>0</v>
      </c>
    </row>
    <row r="184" spans="1:9" ht="15" x14ac:dyDescent="0.2">
      <c r="A184" s="55" t="s">
        <v>1403</v>
      </c>
      <c r="B184" s="71" t="s">
        <v>446</v>
      </c>
      <c r="C184" s="430"/>
      <c r="D184" s="71"/>
      <c r="E184" s="71" t="s">
        <v>1920</v>
      </c>
      <c r="F184" s="523"/>
      <c r="G184" s="33">
        <v>1</v>
      </c>
      <c r="H184" s="564"/>
      <c r="I184" s="559">
        <f t="shared" si="2"/>
        <v>0</v>
      </c>
    </row>
    <row r="185" spans="1:9" ht="15" x14ac:dyDescent="0.2">
      <c r="A185" s="55" t="s">
        <v>1078</v>
      </c>
      <c r="B185" s="71" t="s">
        <v>447</v>
      </c>
      <c r="C185" s="430"/>
      <c r="D185" s="71"/>
      <c r="E185" s="71" t="s">
        <v>1920</v>
      </c>
      <c r="F185" s="523"/>
      <c r="G185" s="33">
        <v>1</v>
      </c>
      <c r="H185" s="564"/>
      <c r="I185" s="559">
        <f t="shared" si="2"/>
        <v>0</v>
      </c>
    </row>
    <row r="186" spans="1:9" ht="15" x14ac:dyDescent="0.2">
      <c r="A186" s="55" t="s">
        <v>1404</v>
      </c>
      <c r="B186" s="71" t="s">
        <v>448</v>
      </c>
      <c r="C186" s="430"/>
      <c r="D186" s="71"/>
      <c r="E186" s="71" t="s">
        <v>1920</v>
      </c>
      <c r="F186" s="523"/>
      <c r="G186" s="33">
        <v>1</v>
      </c>
      <c r="H186" s="564"/>
      <c r="I186" s="559">
        <f t="shared" si="2"/>
        <v>0</v>
      </c>
    </row>
    <row r="187" spans="1:9" ht="15" x14ac:dyDescent="0.2">
      <c r="A187" s="55" t="s">
        <v>50</v>
      </c>
      <c r="B187" s="71" t="s">
        <v>381</v>
      </c>
      <c r="C187" s="430"/>
      <c r="D187" s="71"/>
      <c r="E187" s="71" t="s">
        <v>1920</v>
      </c>
      <c r="F187" s="523"/>
      <c r="G187" s="33">
        <v>1</v>
      </c>
      <c r="H187" s="564"/>
      <c r="I187" s="559">
        <f t="shared" si="2"/>
        <v>0</v>
      </c>
    </row>
    <row r="188" spans="1:9" ht="15" x14ac:dyDescent="0.2">
      <c r="A188" s="55" t="s">
        <v>1405</v>
      </c>
      <c r="B188" s="71" t="s">
        <v>449</v>
      </c>
      <c r="C188" s="430"/>
      <c r="D188" s="71"/>
      <c r="E188" s="71" t="s">
        <v>1920</v>
      </c>
      <c r="F188" s="523"/>
      <c r="G188" s="33">
        <v>1</v>
      </c>
      <c r="H188" s="564"/>
      <c r="I188" s="559">
        <f t="shared" si="2"/>
        <v>0</v>
      </c>
    </row>
    <row r="189" spans="1:9" ht="15" x14ac:dyDescent="0.2">
      <c r="A189" s="55" t="s">
        <v>1407</v>
      </c>
      <c r="B189" s="71" t="s">
        <v>377</v>
      </c>
      <c r="C189" s="430"/>
      <c r="D189" s="71"/>
      <c r="E189" s="71" t="s">
        <v>1920</v>
      </c>
      <c r="F189" s="523"/>
      <c r="G189" s="33">
        <v>1</v>
      </c>
      <c r="H189" s="564"/>
      <c r="I189" s="559">
        <f t="shared" si="2"/>
        <v>0</v>
      </c>
    </row>
    <row r="190" spans="1:9" ht="15" x14ac:dyDescent="0.2">
      <c r="A190" s="55" t="s">
        <v>1210</v>
      </c>
      <c r="B190" s="71" t="s">
        <v>475</v>
      </c>
      <c r="C190" s="430"/>
      <c r="D190" s="71"/>
      <c r="E190" s="71" t="s">
        <v>1920</v>
      </c>
      <c r="F190" s="523"/>
      <c r="G190" s="33">
        <v>2</v>
      </c>
      <c r="H190" s="564"/>
      <c r="I190" s="559">
        <f t="shared" si="2"/>
        <v>0</v>
      </c>
    </row>
    <row r="191" spans="1:9" ht="15" x14ac:dyDescent="0.2">
      <c r="A191" s="246" t="s">
        <v>3135</v>
      </c>
      <c r="B191" s="314" t="s">
        <v>959</v>
      </c>
      <c r="C191" s="430"/>
      <c r="D191" s="314"/>
      <c r="E191" s="314" t="s">
        <v>1920</v>
      </c>
      <c r="F191" s="523"/>
      <c r="G191" s="244">
        <v>1</v>
      </c>
      <c r="H191" s="564"/>
      <c r="I191" s="559">
        <f t="shared" si="2"/>
        <v>0</v>
      </c>
    </row>
    <row r="192" spans="1:9" ht="15" x14ac:dyDescent="0.2">
      <c r="A192" s="55" t="s">
        <v>1121</v>
      </c>
      <c r="B192" s="71" t="s">
        <v>283</v>
      </c>
      <c r="C192" s="430"/>
      <c r="D192" s="71"/>
      <c r="E192" s="71" t="s">
        <v>1920</v>
      </c>
      <c r="F192" s="523"/>
      <c r="G192" s="33">
        <v>1</v>
      </c>
      <c r="H192" s="564"/>
      <c r="I192" s="559">
        <f t="shared" si="2"/>
        <v>0</v>
      </c>
    </row>
    <row r="193" spans="1:9" ht="15" x14ac:dyDescent="0.2">
      <c r="A193" s="55" t="s">
        <v>1122</v>
      </c>
      <c r="B193" s="71" t="s">
        <v>284</v>
      </c>
      <c r="C193" s="430"/>
      <c r="D193" s="71"/>
      <c r="E193" s="71" t="s">
        <v>1920</v>
      </c>
      <c r="F193" s="430"/>
      <c r="G193" s="33">
        <v>1</v>
      </c>
      <c r="H193" s="564"/>
      <c r="I193" s="559">
        <f t="shared" si="2"/>
        <v>0</v>
      </c>
    </row>
    <row r="194" spans="1:9" ht="15" x14ac:dyDescent="0.2">
      <c r="A194" s="55" t="s">
        <v>1205</v>
      </c>
      <c r="B194" s="71" t="s">
        <v>285</v>
      </c>
      <c r="C194" s="430"/>
      <c r="D194" s="71"/>
      <c r="E194" s="71" t="s">
        <v>1920</v>
      </c>
      <c r="F194" s="457"/>
      <c r="G194" s="33">
        <v>1</v>
      </c>
      <c r="H194" s="564"/>
      <c r="I194" s="559">
        <f t="shared" si="2"/>
        <v>0</v>
      </c>
    </row>
    <row r="195" spans="1:9" ht="15" x14ac:dyDescent="0.2">
      <c r="A195" s="55" t="s">
        <v>1854</v>
      </c>
      <c r="B195" s="71" t="s">
        <v>268</v>
      </c>
      <c r="C195" s="430"/>
      <c r="D195" s="71"/>
      <c r="E195" s="71" t="s">
        <v>1920</v>
      </c>
      <c r="F195" s="523"/>
      <c r="G195" s="33">
        <v>1</v>
      </c>
      <c r="H195" s="564"/>
      <c r="I195" s="559">
        <f t="shared" ref="I195:I258" si="3">+G195*H195</f>
        <v>0</v>
      </c>
    </row>
    <row r="196" spans="1:9" ht="15" x14ac:dyDescent="0.2">
      <c r="A196" s="55" t="s">
        <v>1855</v>
      </c>
      <c r="B196" s="71" t="s">
        <v>266</v>
      </c>
      <c r="C196" s="430"/>
      <c r="D196" s="71"/>
      <c r="E196" s="71" t="s">
        <v>1920</v>
      </c>
      <c r="F196" s="523"/>
      <c r="G196" s="33">
        <v>1</v>
      </c>
      <c r="H196" s="564"/>
      <c r="I196" s="559">
        <f t="shared" si="3"/>
        <v>0</v>
      </c>
    </row>
    <row r="197" spans="1:9" ht="15" x14ac:dyDescent="0.2">
      <c r="A197" s="55" t="s">
        <v>1856</v>
      </c>
      <c r="B197" s="71" t="s">
        <v>270</v>
      </c>
      <c r="C197" s="430"/>
      <c r="D197" s="71"/>
      <c r="E197" s="71" t="s">
        <v>1920</v>
      </c>
      <c r="F197" s="523"/>
      <c r="G197" s="33">
        <v>1</v>
      </c>
      <c r="H197" s="564"/>
      <c r="I197" s="559">
        <f t="shared" si="3"/>
        <v>0</v>
      </c>
    </row>
    <row r="198" spans="1:9" ht="15" x14ac:dyDescent="0.2">
      <c r="A198" s="55" t="s">
        <v>1857</v>
      </c>
      <c r="B198" s="71" t="s">
        <v>264</v>
      </c>
      <c r="C198" s="430"/>
      <c r="D198" s="71"/>
      <c r="E198" s="71" t="s">
        <v>1920</v>
      </c>
      <c r="F198" s="523"/>
      <c r="G198" s="33">
        <v>1</v>
      </c>
      <c r="H198" s="564"/>
      <c r="I198" s="559">
        <f t="shared" si="3"/>
        <v>0</v>
      </c>
    </row>
    <row r="199" spans="1:9" ht="15" x14ac:dyDescent="0.2">
      <c r="A199" s="55" t="s">
        <v>1858</v>
      </c>
      <c r="B199" s="71" t="s">
        <v>271</v>
      </c>
      <c r="C199" s="430"/>
      <c r="D199" s="71"/>
      <c r="E199" s="71" t="s">
        <v>1920</v>
      </c>
      <c r="F199" s="523"/>
      <c r="G199" s="33">
        <v>1</v>
      </c>
      <c r="H199" s="564"/>
      <c r="I199" s="559">
        <f t="shared" si="3"/>
        <v>0</v>
      </c>
    </row>
    <row r="200" spans="1:9" ht="15" x14ac:dyDescent="0.2">
      <c r="A200" s="55" t="s">
        <v>1859</v>
      </c>
      <c r="B200" s="71" t="s">
        <v>267</v>
      </c>
      <c r="C200" s="430"/>
      <c r="D200" s="71"/>
      <c r="E200" s="71" t="s">
        <v>1920</v>
      </c>
      <c r="F200" s="523"/>
      <c r="G200" s="33">
        <v>1</v>
      </c>
      <c r="H200" s="564"/>
      <c r="I200" s="559">
        <f t="shared" si="3"/>
        <v>0</v>
      </c>
    </row>
    <row r="201" spans="1:9" ht="15" x14ac:dyDescent="0.2">
      <c r="A201" s="55" t="s">
        <v>1860</v>
      </c>
      <c r="B201" s="71" t="s">
        <v>265</v>
      </c>
      <c r="C201" s="430"/>
      <c r="D201" s="71"/>
      <c r="E201" s="71" t="s">
        <v>1920</v>
      </c>
      <c r="F201" s="523"/>
      <c r="G201" s="33">
        <v>1</v>
      </c>
      <c r="H201" s="564"/>
      <c r="I201" s="559">
        <f t="shared" si="3"/>
        <v>0</v>
      </c>
    </row>
    <row r="202" spans="1:9" ht="15" x14ac:dyDescent="0.2">
      <c r="A202" s="55" t="s">
        <v>1861</v>
      </c>
      <c r="B202" s="71" t="s">
        <v>269</v>
      </c>
      <c r="C202" s="430"/>
      <c r="D202" s="71"/>
      <c r="E202" s="71" t="s">
        <v>1920</v>
      </c>
      <c r="F202" s="523"/>
      <c r="G202" s="33">
        <v>1</v>
      </c>
      <c r="H202" s="564"/>
      <c r="I202" s="559">
        <f t="shared" si="3"/>
        <v>0</v>
      </c>
    </row>
    <row r="203" spans="1:9" ht="15" x14ac:dyDescent="0.2">
      <c r="A203" s="55" t="s">
        <v>1862</v>
      </c>
      <c r="B203" s="71" t="s">
        <v>263</v>
      </c>
      <c r="C203" s="430"/>
      <c r="D203" s="71"/>
      <c r="E203" s="71" t="s">
        <v>1920</v>
      </c>
      <c r="F203" s="523"/>
      <c r="G203" s="33">
        <v>1</v>
      </c>
      <c r="H203" s="564"/>
      <c r="I203" s="559">
        <f t="shared" si="3"/>
        <v>0</v>
      </c>
    </row>
    <row r="204" spans="1:9" ht="15" x14ac:dyDescent="0.2">
      <c r="A204" s="55" t="s">
        <v>23</v>
      </c>
      <c r="B204" s="71" t="s">
        <v>290</v>
      </c>
      <c r="C204" s="430"/>
      <c r="D204" s="71"/>
      <c r="E204" s="71" t="s">
        <v>1920</v>
      </c>
      <c r="F204" s="523"/>
      <c r="G204" s="33">
        <v>1</v>
      </c>
      <c r="H204" s="564"/>
      <c r="I204" s="559">
        <f t="shared" si="3"/>
        <v>0</v>
      </c>
    </row>
    <row r="205" spans="1:9" ht="15" x14ac:dyDescent="0.2">
      <c r="A205" s="55" t="s">
        <v>25</v>
      </c>
      <c r="B205" s="71" t="s">
        <v>300</v>
      </c>
      <c r="C205" s="430"/>
      <c r="D205" s="71"/>
      <c r="E205" s="71" t="s">
        <v>1920</v>
      </c>
      <c r="F205" s="523"/>
      <c r="G205" s="33">
        <v>1</v>
      </c>
      <c r="H205" s="564"/>
      <c r="I205" s="559">
        <f t="shared" si="3"/>
        <v>0</v>
      </c>
    </row>
    <row r="206" spans="1:9" ht="15" x14ac:dyDescent="0.2">
      <c r="A206" s="55" t="s">
        <v>1224</v>
      </c>
      <c r="B206" s="71" t="s">
        <v>114</v>
      </c>
      <c r="C206" s="430"/>
      <c r="D206" s="71"/>
      <c r="E206" s="71" t="s">
        <v>1920</v>
      </c>
      <c r="F206" s="523"/>
      <c r="G206" s="33">
        <v>1</v>
      </c>
      <c r="H206" s="564"/>
      <c r="I206" s="559">
        <f t="shared" si="3"/>
        <v>0</v>
      </c>
    </row>
    <row r="207" spans="1:9" ht="15" x14ac:dyDescent="0.2">
      <c r="A207" s="55" t="s">
        <v>27</v>
      </c>
      <c r="B207" s="71" t="s">
        <v>302</v>
      </c>
      <c r="C207" s="430"/>
      <c r="D207" s="71"/>
      <c r="E207" s="71" t="s">
        <v>1920</v>
      </c>
      <c r="F207" s="523"/>
      <c r="G207" s="33">
        <v>1</v>
      </c>
      <c r="H207" s="564"/>
      <c r="I207" s="559">
        <f t="shared" si="3"/>
        <v>0</v>
      </c>
    </row>
    <row r="208" spans="1:9" ht="15" x14ac:dyDescent="0.2">
      <c r="A208" s="55" t="s">
        <v>24</v>
      </c>
      <c r="B208" s="71" t="s">
        <v>297</v>
      </c>
      <c r="C208" s="430"/>
      <c r="D208" s="71"/>
      <c r="E208" s="71" t="s">
        <v>1920</v>
      </c>
      <c r="F208" s="523"/>
      <c r="G208" s="33">
        <v>1</v>
      </c>
      <c r="H208" s="564"/>
      <c r="I208" s="559">
        <f t="shared" si="3"/>
        <v>0</v>
      </c>
    </row>
    <row r="209" spans="1:9" ht="15" x14ac:dyDescent="0.2">
      <c r="A209" s="55" t="s">
        <v>1275</v>
      </c>
      <c r="B209" s="71" t="s">
        <v>478</v>
      </c>
      <c r="C209" s="430"/>
      <c r="D209" s="71"/>
      <c r="E209" s="71" t="s">
        <v>1920</v>
      </c>
      <c r="F209" s="523"/>
      <c r="G209" s="33">
        <v>1</v>
      </c>
      <c r="H209" s="564"/>
      <c r="I209" s="559">
        <f t="shared" si="3"/>
        <v>0</v>
      </c>
    </row>
    <row r="210" spans="1:9" ht="15" x14ac:dyDescent="0.2">
      <c r="A210" s="55" t="s">
        <v>1253</v>
      </c>
      <c r="B210" s="71" t="s">
        <v>315</v>
      </c>
      <c r="C210" s="430"/>
      <c r="D210" s="71"/>
      <c r="E210" s="71" t="s">
        <v>1920</v>
      </c>
      <c r="F210" s="523"/>
      <c r="G210" s="33">
        <v>1</v>
      </c>
      <c r="H210" s="564"/>
      <c r="I210" s="559">
        <f t="shared" si="3"/>
        <v>0</v>
      </c>
    </row>
    <row r="211" spans="1:9" ht="15" x14ac:dyDescent="0.2">
      <c r="A211" s="55" t="s">
        <v>1251</v>
      </c>
      <c r="B211" s="71" t="s">
        <v>81</v>
      </c>
      <c r="C211" s="430"/>
      <c r="D211" s="71"/>
      <c r="E211" s="71" t="s">
        <v>1920</v>
      </c>
      <c r="F211" s="523"/>
      <c r="G211" s="33">
        <v>1</v>
      </c>
      <c r="H211" s="564"/>
      <c r="I211" s="559">
        <f t="shared" si="3"/>
        <v>0</v>
      </c>
    </row>
    <row r="212" spans="1:9" ht="15" x14ac:dyDescent="0.2">
      <c r="A212" s="55" t="s">
        <v>1247</v>
      </c>
      <c r="B212" s="71" t="s">
        <v>443</v>
      </c>
      <c r="C212" s="430"/>
      <c r="D212" s="71"/>
      <c r="E212" s="71" t="s">
        <v>1920</v>
      </c>
      <c r="F212" s="523"/>
      <c r="G212" s="33">
        <v>1</v>
      </c>
      <c r="H212" s="564"/>
      <c r="I212" s="559">
        <f t="shared" si="3"/>
        <v>0</v>
      </c>
    </row>
    <row r="213" spans="1:9" ht="15" x14ac:dyDescent="0.2">
      <c r="A213" s="55" t="s">
        <v>1175</v>
      </c>
      <c r="B213" s="71" t="s">
        <v>310</v>
      </c>
      <c r="C213" s="430"/>
      <c r="D213" s="71"/>
      <c r="E213" s="71" t="s">
        <v>1920</v>
      </c>
      <c r="F213" s="523"/>
      <c r="G213" s="33">
        <v>1</v>
      </c>
      <c r="H213" s="564"/>
      <c r="I213" s="559">
        <f t="shared" si="3"/>
        <v>0</v>
      </c>
    </row>
    <row r="214" spans="1:9" ht="15" x14ac:dyDescent="0.2">
      <c r="A214" s="55" t="s">
        <v>1248</v>
      </c>
      <c r="B214" s="71" t="s">
        <v>444</v>
      </c>
      <c r="C214" s="430"/>
      <c r="D214" s="71"/>
      <c r="E214" s="71" t="s">
        <v>1920</v>
      </c>
      <c r="F214" s="523"/>
      <c r="G214" s="33">
        <v>1</v>
      </c>
      <c r="H214" s="564"/>
      <c r="I214" s="559">
        <f t="shared" si="3"/>
        <v>0</v>
      </c>
    </row>
    <row r="215" spans="1:9" ht="15" x14ac:dyDescent="0.2">
      <c r="A215" s="55" t="s">
        <v>1173</v>
      </c>
      <c r="B215" s="71" t="s">
        <v>313</v>
      </c>
      <c r="C215" s="430"/>
      <c r="D215" s="71"/>
      <c r="E215" s="71" t="s">
        <v>1920</v>
      </c>
      <c r="F215" s="523"/>
      <c r="G215" s="33">
        <v>1</v>
      </c>
      <c r="H215" s="564"/>
      <c r="I215" s="559">
        <f t="shared" si="3"/>
        <v>0</v>
      </c>
    </row>
    <row r="216" spans="1:9" ht="15" x14ac:dyDescent="0.2">
      <c r="A216" s="55" t="s">
        <v>1249</v>
      </c>
      <c r="B216" s="71" t="s">
        <v>445</v>
      </c>
      <c r="C216" s="430"/>
      <c r="D216" s="71"/>
      <c r="E216" s="71" t="s">
        <v>1920</v>
      </c>
      <c r="F216" s="523"/>
      <c r="G216" s="33">
        <v>1</v>
      </c>
      <c r="H216" s="564"/>
      <c r="I216" s="559">
        <f t="shared" si="3"/>
        <v>0</v>
      </c>
    </row>
    <row r="217" spans="1:9" ht="15" x14ac:dyDescent="0.2">
      <c r="A217" s="55" t="s">
        <v>1246</v>
      </c>
      <c r="B217" s="71" t="s">
        <v>442</v>
      </c>
      <c r="C217" s="430"/>
      <c r="D217" s="71"/>
      <c r="E217" s="71" t="s">
        <v>1920</v>
      </c>
      <c r="F217" s="430"/>
      <c r="G217" s="33">
        <v>1</v>
      </c>
      <c r="H217" s="564"/>
      <c r="I217" s="559">
        <f t="shared" si="3"/>
        <v>0</v>
      </c>
    </row>
    <row r="218" spans="1:9" ht="15" x14ac:dyDescent="0.2">
      <c r="A218" s="55" t="s">
        <v>1042</v>
      </c>
      <c r="B218" s="71" t="s">
        <v>456</v>
      </c>
      <c r="C218" s="430"/>
      <c r="D218" s="71"/>
      <c r="E218" s="71" t="s">
        <v>1920</v>
      </c>
      <c r="F218" s="457"/>
      <c r="G218" s="33">
        <v>1</v>
      </c>
      <c r="H218" s="564"/>
      <c r="I218" s="559">
        <f t="shared" si="3"/>
        <v>0</v>
      </c>
    </row>
    <row r="219" spans="1:9" ht="15" x14ac:dyDescent="0.2">
      <c r="A219" s="55" t="s">
        <v>1591</v>
      </c>
      <c r="B219" s="71" t="s">
        <v>166</v>
      </c>
      <c r="C219" s="430"/>
      <c r="D219" s="71"/>
      <c r="E219" s="71" t="s">
        <v>1920</v>
      </c>
      <c r="F219" s="523"/>
      <c r="G219" s="33">
        <v>1</v>
      </c>
      <c r="H219" s="564"/>
      <c r="I219" s="559">
        <f t="shared" si="3"/>
        <v>0</v>
      </c>
    </row>
    <row r="220" spans="1:9" ht="15" x14ac:dyDescent="0.2">
      <c r="A220" s="55" t="s">
        <v>1163</v>
      </c>
      <c r="B220" s="71" t="s">
        <v>239</v>
      </c>
      <c r="C220" s="430"/>
      <c r="D220" s="71"/>
      <c r="E220" s="71" t="s">
        <v>1920</v>
      </c>
      <c r="F220" s="523"/>
      <c r="G220" s="33">
        <v>1</v>
      </c>
      <c r="H220" s="564"/>
      <c r="I220" s="559">
        <f t="shared" si="3"/>
        <v>0</v>
      </c>
    </row>
    <row r="221" spans="1:9" ht="15" x14ac:dyDescent="0.2">
      <c r="A221" s="55" t="s">
        <v>1594</v>
      </c>
      <c r="B221" s="71" t="s">
        <v>454</v>
      </c>
      <c r="C221" s="430"/>
      <c r="D221" s="71"/>
      <c r="E221" s="71" t="s">
        <v>1920</v>
      </c>
      <c r="F221" s="523"/>
      <c r="G221" s="33">
        <v>1</v>
      </c>
      <c r="H221" s="564"/>
      <c r="I221" s="559">
        <f t="shared" si="3"/>
        <v>0</v>
      </c>
    </row>
    <row r="222" spans="1:9" ht="15" x14ac:dyDescent="0.2">
      <c r="A222" s="55" t="s">
        <v>1155</v>
      </c>
      <c r="B222" s="71" t="s">
        <v>383</v>
      </c>
      <c r="C222" s="430"/>
      <c r="D222" s="71"/>
      <c r="E222" s="71" t="s">
        <v>1920</v>
      </c>
      <c r="F222" s="523"/>
      <c r="G222" s="33">
        <v>1</v>
      </c>
      <c r="H222" s="564"/>
      <c r="I222" s="559">
        <f t="shared" si="3"/>
        <v>0</v>
      </c>
    </row>
    <row r="223" spans="1:9" ht="15" x14ac:dyDescent="0.2">
      <c r="A223" s="55" t="s">
        <v>1847</v>
      </c>
      <c r="B223" s="71" t="s">
        <v>1853</v>
      </c>
      <c r="C223" s="430"/>
      <c r="D223" s="71"/>
      <c r="E223" s="71" t="s">
        <v>1974</v>
      </c>
      <c r="F223" s="523"/>
      <c r="G223" s="33">
        <v>1</v>
      </c>
      <c r="H223" s="564"/>
      <c r="I223" s="559">
        <f t="shared" si="3"/>
        <v>0</v>
      </c>
    </row>
    <row r="224" spans="1:9" ht="15" x14ac:dyDescent="0.2">
      <c r="A224" s="55" t="s">
        <v>1844</v>
      </c>
      <c r="B224" s="71" t="s">
        <v>1119</v>
      </c>
      <c r="C224" s="430"/>
      <c r="D224" s="71"/>
      <c r="E224" s="71" t="s">
        <v>1974</v>
      </c>
      <c r="F224" s="523"/>
      <c r="G224" s="33">
        <v>1</v>
      </c>
      <c r="H224" s="564"/>
      <c r="I224" s="559">
        <f t="shared" si="3"/>
        <v>0</v>
      </c>
    </row>
    <row r="225" spans="1:9" ht="15" x14ac:dyDescent="0.2">
      <c r="A225" s="55" t="s">
        <v>1843</v>
      </c>
      <c r="B225" s="71" t="s">
        <v>1118</v>
      </c>
      <c r="C225" s="430"/>
      <c r="D225" s="71"/>
      <c r="E225" s="71" t="s">
        <v>1974</v>
      </c>
      <c r="F225" s="523"/>
      <c r="G225" s="33">
        <v>1</v>
      </c>
      <c r="H225" s="564"/>
      <c r="I225" s="559">
        <f t="shared" si="3"/>
        <v>0</v>
      </c>
    </row>
    <row r="226" spans="1:9" ht="15" x14ac:dyDescent="0.2">
      <c r="A226" s="55" t="s">
        <v>1845</v>
      </c>
      <c r="B226" s="71" t="s">
        <v>1851</v>
      </c>
      <c r="C226" s="430"/>
      <c r="D226" s="71"/>
      <c r="E226" s="71" t="s">
        <v>1974</v>
      </c>
      <c r="F226" s="523"/>
      <c r="G226" s="33">
        <v>1</v>
      </c>
      <c r="H226" s="564"/>
      <c r="I226" s="559">
        <f t="shared" si="3"/>
        <v>0</v>
      </c>
    </row>
    <row r="227" spans="1:9" ht="15" x14ac:dyDescent="0.2">
      <c r="A227" s="55" t="s">
        <v>1846</v>
      </c>
      <c r="B227" s="71" t="s">
        <v>1852</v>
      </c>
      <c r="C227" s="430"/>
      <c r="D227" s="71"/>
      <c r="E227" s="71" t="s">
        <v>1974</v>
      </c>
      <c r="F227" s="523"/>
      <c r="G227" s="33">
        <v>1</v>
      </c>
      <c r="H227" s="564"/>
      <c r="I227" s="559">
        <f t="shared" si="3"/>
        <v>0</v>
      </c>
    </row>
    <row r="228" spans="1:9" ht="15" x14ac:dyDescent="0.2">
      <c r="A228" s="55" t="s">
        <v>3090</v>
      </c>
      <c r="B228" s="71" t="s">
        <v>1982</v>
      </c>
      <c r="C228" s="430"/>
      <c r="D228" s="71"/>
      <c r="E228" s="71" t="s">
        <v>1920</v>
      </c>
      <c r="F228" s="523"/>
      <c r="G228" s="33">
        <v>1</v>
      </c>
      <c r="H228" s="564"/>
      <c r="I228" s="559">
        <f t="shared" si="3"/>
        <v>0</v>
      </c>
    </row>
    <row r="229" spans="1:9" ht="15" x14ac:dyDescent="0.2">
      <c r="A229" s="55" t="s">
        <v>1424</v>
      </c>
      <c r="B229" s="71" t="s">
        <v>458</v>
      </c>
      <c r="C229" s="430"/>
      <c r="D229" s="71"/>
      <c r="E229" s="71" t="s">
        <v>1920</v>
      </c>
      <c r="F229" s="523"/>
      <c r="G229" s="33">
        <v>1</v>
      </c>
      <c r="H229" s="564"/>
      <c r="I229" s="559">
        <f t="shared" si="3"/>
        <v>0</v>
      </c>
    </row>
    <row r="230" spans="1:9" ht="15" x14ac:dyDescent="0.2">
      <c r="A230" s="55" t="s">
        <v>1083</v>
      </c>
      <c r="B230" s="71" t="s">
        <v>910</v>
      </c>
      <c r="C230" s="430"/>
      <c r="D230" s="71"/>
      <c r="E230" s="71" t="s">
        <v>1920</v>
      </c>
      <c r="F230" s="523"/>
      <c r="G230" s="33">
        <v>1</v>
      </c>
      <c r="H230" s="564"/>
      <c r="I230" s="559">
        <f t="shared" si="3"/>
        <v>0</v>
      </c>
    </row>
    <row r="231" spans="1:9" ht="15" x14ac:dyDescent="0.2">
      <c r="A231" s="55" t="s">
        <v>2133</v>
      </c>
      <c r="B231" s="71" t="s">
        <v>2909</v>
      </c>
      <c r="C231" s="430"/>
      <c r="D231" s="71"/>
      <c r="E231" s="71">
        <v>56654</v>
      </c>
      <c r="F231" s="523"/>
      <c r="G231" s="33">
        <v>4</v>
      </c>
      <c r="H231" s="564"/>
      <c r="I231" s="559">
        <f t="shared" si="3"/>
        <v>0</v>
      </c>
    </row>
    <row r="232" spans="1:9" ht="15" x14ac:dyDescent="0.2">
      <c r="A232" s="55" t="s">
        <v>1242</v>
      </c>
      <c r="B232" s="71" t="s">
        <v>305</v>
      </c>
      <c r="C232" s="430"/>
      <c r="D232" s="71"/>
      <c r="E232" s="71" t="s">
        <v>1920</v>
      </c>
      <c r="F232" s="523"/>
      <c r="G232" s="33">
        <v>1</v>
      </c>
      <c r="H232" s="564"/>
      <c r="I232" s="559">
        <f t="shared" si="3"/>
        <v>0</v>
      </c>
    </row>
    <row r="233" spans="1:9" ht="15" x14ac:dyDescent="0.2">
      <c r="A233" s="55" t="s">
        <v>1429</v>
      </c>
      <c r="B233" s="71" t="s">
        <v>440</v>
      </c>
      <c r="C233" s="430"/>
      <c r="D233" s="71"/>
      <c r="E233" s="71" t="s">
        <v>1920</v>
      </c>
      <c r="F233" s="523"/>
      <c r="G233" s="33">
        <v>1</v>
      </c>
      <c r="H233" s="564"/>
      <c r="I233" s="559">
        <f t="shared" si="3"/>
        <v>0</v>
      </c>
    </row>
    <row r="234" spans="1:9" ht="15" x14ac:dyDescent="0.2">
      <c r="A234" s="55" t="s">
        <v>1171</v>
      </c>
      <c r="B234" s="71" t="s">
        <v>441</v>
      </c>
      <c r="C234" s="430"/>
      <c r="D234" s="71"/>
      <c r="E234" s="71" t="s">
        <v>1920</v>
      </c>
      <c r="F234" s="523"/>
      <c r="G234" s="33">
        <v>1</v>
      </c>
      <c r="H234" s="564"/>
      <c r="I234" s="559">
        <f t="shared" si="3"/>
        <v>0</v>
      </c>
    </row>
    <row r="235" spans="1:9" ht="15" x14ac:dyDescent="0.2">
      <c r="A235" s="55" t="s">
        <v>1172</v>
      </c>
      <c r="B235" s="71" t="s">
        <v>340</v>
      </c>
      <c r="C235" s="430"/>
      <c r="D235" s="71"/>
      <c r="E235" s="71" t="s">
        <v>1920</v>
      </c>
      <c r="F235" s="523"/>
      <c r="G235" s="33">
        <v>1</v>
      </c>
      <c r="H235" s="564"/>
      <c r="I235" s="559">
        <f t="shared" si="3"/>
        <v>0</v>
      </c>
    </row>
    <row r="236" spans="1:9" ht="15" x14ac:dyDescent="0.2">
      <c r="A236" s="55" t="s">
        <v>1430</v>
      </c>
      <c r="B236" s="71" t="s">
        <v>438</v>
      </c>
      <c r="C236" s="430"/>
      <c r="D236" s="71"/>
      <c r="E236" s="71" t="s">
        <v>1920</v>
      </c>
      <c r="F236" s="523"/>
      <c r="G236" s="33">
        <v>1</v>
      </c>
      <c r="H236" s="564"/>
      <c r="I236" s="559">
        <f t="shared" si="3"/>
        <v>0</v>
      </c>
    </row>
    <row r="237" spans="1:9" ht="15" x14ac:dyDescent="0.2">
      <c r="A237" s="55" t="s">
        <v>1241</v>
      </c>
      <c r="B237" s="71" t="s">
        <v>74</v>
      </c>
      <c r="C237" s="430"/>
      <c r="D237" s="71"/>
      <c r="E237" s="71" t="s">
        <v>1920</v>
      </c>
      <c r="F237" s="523"/>
      <c r="G237" s="33">
        <v>1</v>
      </c>
      <c r="H237" s="564"/>
      <c r="I237" s="559">
        <f t="shared" si="3"/>
        <v>0</v>
      </c>
    </row>
    <row r="238" spans="1:9" ht="15" x14ac:dyDescent="0.2">
      <c r="A238" s="55" t="s">
        <v>1243</v>
      </c>
      <c r="B238" s="71" t="s">
        <v>307</v>
      </c>
      <c r="C238" s="430"/>
      <c r="D238" s="71"/>
      <c r="E238" s="71" t="s">
        <v>1920</v>
      </c>
      <c r="F238" s="523"/>
      <c r="G238" s="33">
        <v>1</v>
      </c>
      <c r="H238" s="564"/>
      <c r="I238" s="559">
        <f t="shared" si="3"/>
        <v>0</v>
      </c>
    </row>
    <row r="239" spans="1:9" ht="15" x14ac:dyDescent="0.2">
      <c r="A239" s="55" t="s">
        <v>1240</v>
      </c>
      <c r="B239" s="71" t="s">
        <v>304</v>
      </c>
      <c r="C239" s="430"/>
      <c r="D239" s="71"/>
      <c r="E239" s="71" t="s">
        <v>1920</v>
      </c>
      <c r="F239" s="523"/>
      <c r="G239" s="33">
        <v>1</v>
      </c>
      <c r="H239" s="564"/>
      <c r="I239" s="559">
        <f t="shared" si="3"/>
        <v>0</v>
      </c>
    </row>
    <row r="240" spans="1:9" ht="15" x14ac:dyDescent="0.2">
      <c r="A240" s="55" t="s">
        <v>1431</v>
      </c>
      <c r="B240" s="71" t="s">
        <v>439</v>
      </c>
      <c r="C240" s="430"/>
      <c r="D240" s="71"/>
      <c r="E240" s="71" t="s">
        <v>1920</v>
      </c>
      <c r="F240" s="523"/>
      <c r="G240" s="33">
        <v>1</v>
      </c>
      <c r="H240" s="564"/>
      <c r="I240" s="559">
        <f t="shared" si="3"/>
        <v>0</v>
      </c>
    </row>
    <row r="241" spans="1:9" ht="15" x14ac:dyDescent="0.2">
      <c r="A241" s="55" t="s">
        <v>1123</v>
      </c>
      <c r="B241" s="71">
        <v>8130010</v>
      </c>
      <c r="C241" s="430"/>
      <c r="D241" s="71"/>
      <c r="E241" s="71" t="s">
        <v>1975</v>
      </c>
      <c r="F241" s="430"/>
      <c r="G241" s="33">
        <v>2</v>
      </c>
      <c r="H241" s="564"/>
      <c r="I241" s="559">
        <f t="shared" si="3"/>
        <v>0</v>
      </c>
    </row>
    <row r="242" spans="1:9" ht="15" x14ac:dyDescent="0.2">
      <c r="A242" s="55" t="s">
        <v>1124</v>
      </c>
      <c r="B242" s="71">
        <v>8130015</v>
      </c>
      <c r="C242" s="430"/>
      <c r="D242" s="71"/>
      <c r="E242" s="71" t="s">
        <v>1975</v>
      </c>
      <c r="F242" s="457"/>
      <c r="G242" s="33">
        <v>2</v>
      </c>
      <c r="H242" s="564"/>
      <c r="I242" s="559">
        <f t="shared" si="3"/>
        <v>0</v>
      </c>
    </row>
    <row r="243" spans="1:9" ht="15" x14ac:dyDescent="0.2">
      <c r="A243" s="55" t="s">
        <v>1125</v>
      </c>
      <c r="B243" s="71">
        <v>8130020</v>
      </c>
      <c r="C243" s="430"/>
      <c r="D243" s="71"/>
      <c r="E243" s="71" t="s">
        <v>1975</v>
      </c>
      <c r="F243" s="523"/>
      <c r="G243" s="33">
        <v>4</v>
      </c>
      <c r="H243" s="564"/>
      <c r="I243" s="559">
        <f t="shared" si="3"/>
        <v>0</v>
      </c>
    </row>
    <row r="244" spans="1:9" ht="15" x14ac:dyDescent="0.2">
      <c r="A244" s="55" t="s">
        <v>1127</v>
      </c>
      <c r="B244" s="71">
        <v>8130030</v>
      </c>
      <c r="C244" s="430"/>
      <c r="D244" s="71"/>
      <c r="E244" s="71" t="s">
        <v>1975</v>
      </c>
      <c r="F244" s="523"/>
      <c r="G244" s="33">
        <v>3</v>
      </c>
      <c r="H244" s="564"/>
      <c r="I244" s="559">
        <f t="shared" si="3"/>
        <v>0</v>
      </c>
    </row>
    <row r="245" spans="1:9" ht="15" x14ac:dyDescent="0.2">
      <c r="A245" s="55" t="s">
        <v>1128</v>
      </c>
      <c r="B245" s="71">
        <v>8130040</v>
      </c>
      <c r="C245" s="430"/>
      <c r="D245" s="71"/>
      <c r="E245" s="71" t="s">
        <v>1975</v>
      </c>
      <c r="F245" s="523"/>
      <c r="G245" s="33">
        <v>2</v>
      </c>
      <c r="H245" s="564"/>
      <c r="I245" s="559">
        <f t="shared" si="3"/>
        <v>0</v>
      </c>
    </row>
    <row r="246" spans="1:9" ht="15" x14ac:dyDescent="0.2">
      <c r="A246" s="55" t="s">
        <v>105</v>
      </c>
      <c r="B246" s="71" t="s">
        <v>2118</v>
      </c>
      <c r="C246" s="430"/>
      <c r="D246" s="71"/>
      <c r="E246" s="71" t="s">
        <v>1975</v>
      </c>
      <c r="F246" s="523"/>
      <c r="G246" s="33">
        <v>2</v>
      </c>
      <c r="H246" s="564"/>
      <c r="I246" s="559">
        <f t="shared" si="3"/>
        <v>0</v>
      </c>
    </row>
    <row r="247" spans="1:9" ht="15" x14ac:dyDescent="0.2">
      <c r="A247" s="55" t="s">
        <v>1156</v>
      </c>
      <c r="B247" s="71" t="s">
        <v>2117</v>
      </c>
      <c r="C247" s="430"/>
      <c r="D247" s="71"/>
      <c r="E247" s="71" t="s">
        <v>1975</v>
      </c>
      <c r="F247" s="523"/>
      <c r="G247" s="33">
        <v>4</v>
      </c>
      <c r="H247" s="564"/>
      <c r="I247" s="559">
        <f t="shared" si="3"/>
        <v>0</v>
      </c>
    </row>
    <row r="248" spans="1:9" ht="15" x14ac:dyDescent="0.2">
      <c r="A248" s="55" t="s">
        <v>1221</v>
      </c>
      <c r="B248" s="71" t="s">
        <v>248</v>
      </c>
      <c r="C248" s="430"/>
      <c r="D248" s="71"/>
      <c r="E248" s="71" t="s">
        <v>1920</v>
      </c>
      <c r="F248" s="523"/>
      <c r="G248" s="33">
        <v>1</v>
      </c>
      <c r="H248" s="564"/>
      <c r="I248" s="559">
        <f t="shared" si="3"/>
        <v>0</v>
      </c>
    </row>
    <row r="249" spans="1:9" ht="15" x14ac:dyDescent="0.2">
      <c r="A249" s="55" t="s">
        <v>1165</v>
      </c>
      <c r="B249" s="71" t="s">
        <v>294</v>
      </c>
      <c r="C249" s="430"/>
      <c r="D249" s="71"/>
      <c r="E249" s="71" t="s">
        <v>1920</v>
      </c>
      <c r="F249" s="523"/>
      <c r="G249" s="33">
        <v>1</v>
      </c>
      <c r="H249" s="564"/>
      <c r="I249" s="559">
        <f t="shared" si="3"/>
        <v>0</v>
      </c>
    </row>
    <row r="250" spans="1:9" ht="15" x14ac:dyDescent="0.2">
      <c r="A250" s="55" t="s">
        <v>1166</v>
      </c>
      <c r="B250" s="71" t="s">
        <v>437</v>
      </c>
      <c r="C250" s="430"/>
      <c r="D250" s="71"/>
      <c r="E250" s="71" t="s">
        <v>1920</v>
      </c>
      <c r="F250" s="523"/>
      <c r="G250" s="33">
        <v>1</v>
      </c>
      <c r="H250" s="564"/>
      <c r="I250" s="559">
        <f t="shared" si="3"/>
        <v>0</v>
      </c>
    </row>
    <row r="251" spans="1:9" ht="15" x14ac:dyDescent="0.2">
      <c r="A251" s="55" t="s">
        <v>85</v>
      </c>
      <c r="B251" s="71" t="s">
        <v>113</v>
      </c>
      <c r="C251" s="430"/>
      <c r="D251" s="71"/>
      <c r="E251" s="71" t="s">
        <v>1920</v>
      </c>
      <c r="F251" s="523"/>
      <c r="G251" s="33">
        <v>1</v>
      </c>
      <c r="H251" s="564"/>
      <c r="I251" s="559">
        <f t="shared" si="3"/>
        <v>0</v>
      </c>
    </row>
    <row r="252" spans="1:9" ht="15" x14ac:dyDescent="0.2">
      <c r="A252" s="55" t="s">
        <v>1433</v>
      </c>
      <c r="B252" s="71" t="s">
        <v>376</v>
      </c>
      <c r="C252" s="430"/>
      <c r="D252" s="71"/>
      <c r="E252" s="71" t="s">
        <v>1920</v>
      </c>
      <c r="F252" s="523"/>
      <c r="G252" s="33">
        <v>1</v>
      </c>
      <c r="H252" s="564"/>
      <c r="I252" s="559">
        <f t="shared" si="3"/>
        <v>0</v>
      </c>
    </row>
    <row r="253" spans="1:9" ht="15" x14ac:dyDescent="0.2">
      <c r="A253" s="55" t="s">
        <v>1150</v>
      </c>
      <c r="B253" s="71" t="s">
        <v>279</v>
      </c>
      <c r="C253" s="430"/>
      <c r="D253" s="71"/>
      <c r="E253" s="71" t="s">
        <v>1920</v>
      </c>
      <c r="F253" s="523"/>
      <c r="G253" s="33">
        <v>1</v>
      </c>
      <c r="H253" s="564"/>
      <c r="I253" s="559">
        <f t="shared" si="3"/>
        <v>0</v>
      </c>
    </row>
    <row r="254" spans="1:9" ht="15" x14ac:dyDescent="0.2">
      <c r="A254" s="55" t="s">
        <v>9</v>
      </c>
      <c r="B254" s="71" t="s">
        <v>375</v>
      </c>
      <c r="C254" s="430"/>
      <c r="D254" s="71"/>
      <c r="E254" s="71" t="s">
        <v>1920</v>
      </c>
      <c r="F254" s="523"/>
      <c r="G254" s="33">
        <v>1</v>
      </c>
      <c r="H254" s="564"/>
      <c r="I254" s="559">
        <f t="shared" si="3"/>
        <v>0</v>
      </c>
    </row>
    <row r="255" spans="1:9" ht="15" x14ac:dyDescent="0.2">
      <c r="A255" s="55" t="s">
        <v>1177</v>
      </c>
      <c r="B255" s="71">
        <v>57213</v>
      </c>
      <c r="C255" s="430"/>
      <c r="D255" s="71"/>
      <c r="E255" s="71">
        <v>25795</v>
      </c>
      <c r="F255" s="523"/>
      <c r="G255" s="33">
        <v>1</v>
      </c>
      <c r="H255" s="564"/>
      <c r="I255" s="559">
        <f t="shared" si="3"/>
        <v>0</v>
      </c>
    </row>
    <row r="256" spans="1:9" ht="15" x14ac:dyDescent="0.2">
      <c r="A256" s="55" t="s">
        <v>1085</v>
      </c>
      <c r="B256" s="71" t="s">
        <v>92</v>
      </c>
      <c r="C256" s="430"/>
      <c r="D256" s="71"/>
      <c r="E256" s="71" t="s">
        <v>1920</v>
      </c>
      <c r="F256" s="523"/>
      <c r="G256" s="33">
        <v>2</v>
      </c>
      <c r="H256" s="564"/>
      <c r="I256" s="559">
        <f t="shared" si="3"/>
        <v>0</v>
      </c>
    </row>
    <row r="257" spans="1:9" ht="15" x14ac:dyDescent="0.2">
      <c r="A257" s="55" t="s">
        <v>1435</v>
      </c>
      <c r="B257" s="71" t="s">
        <v>1841</v>
      </c>
      <c r="C257" s="430"/>
      <c r="D257" s="71"/>
      <c r="E257" s="71" t="s">
        <v>1920</v>
      </c>
      <c r="F257" s="523"/>
      <c r="G257" s="33">
        <v>1</v>
      </c>
      <c r="H257" s="564"/>
      <c r="I257" s="559">
        <f t="shared" si="3"/>
        <v>0</v>
      </c>
    </row>
    <row r="258" spans="1:9" ht="15" x14ac:dyDescent="0.2">
      <c r="A258" s="55" t="s">
        <v>1436</v>
      </c>
      <c r="B258" s="71" t="s">
        <v>1842</v>
      </c>
      <c r="C258" s="430"/>
      <c r="D258" s="71"/>
      <c r="E258" s="71" t="s">
        <v>1920</v>
      </c>
      <c r="F258" s="523"/>
      <c r="G258" s="33">
        <v>1</v>
      </c>
      <c r="H258" s="564"/>
      <c r="I258" s="559">
        <f t="shared" si="3"/>
        <v>0</v>
      </c>
    </row>
    <row r="259" spans="1:9" ht="15" x14ac:dyDescent="0.2">
      <c r="A259" s="55" t="s">
        <v>1437</v>
      </c>
      <c r="B259" s="71" t="s">
        <v>1840</v>
      </c>
      <c r="C259" s="430"/>
      <c r="D259" s="71"/>
      <c r="E259" s="71" t="s">
        <v>1920</v>
      </c>
      <c r="F259" s="523"/>
      <c r="G259" s="33">
        <v>1</v>
      </c>
      <c r="H259" s="564"/>
      <c r="I259" s="559">
        <f t="shared" ref="I259:I299" si="4">+G259*H259</f>
        <v>0</v>
      </c>
    </row>
    <row r="260" spans="1:9" ht="15" x14ac:dyDescent="0.2">
      <c r="A260" s="55" t="s">
        <v>30</v>
      </c>
      <c r="B260" s="71" t="s">
        <v>1825</v>
      </c>
      <c r="C260" s="430"/>
      <c r="D260" s="71"/>
      <c r="E260" s="71" t="s">
        <v>1920</v>
      </c>
      <c r="F260" s="523"/>
      <c r="G260" s="33">
        <v>1</v>
      </c>
      <c r="H260" s="564"/>
      <c r="I260" s="559">
        <f t="shared" si="4"/>
        <v>0</v>
      </c>
    </row>
    <row r="261" spans="1:9" ht="15" x14ac:dyDescent="0.2">
      <c r="A261" s="55" t="s">
        <v>29</v>
      </c>
      <c r="B261" s="71" t="s">
        <v>2758</v>
      </c>
      <c r="C261" s="430"/>
      <c r="D261" s="71"/>
      <c r="E261" s="71" t="s">
        <v>1920</v>
      </c>
      <c r="F261" s="523"/>
      <c r="G261" s="33">
        <v>1</v>
      </c>
      <c r="H261" s="564"/>
      <c r="I261" s="559">
        <f t="shared" si="4"/>
        <v>0</v>
      </c>
    </row>
    <row r="262" spans="1:9" ht="15" x14ac:dyDescent="0.2">
      <c r="A262" s="55" t="s">
        <v>984</v>
      </c>
      <c r="B262" s="71" t="s">
        <v>289</v>
      </c>
      <c r="C262" s="430"/>
      <c r="D262" s="71"/>
      <c r="E262" s="71" t="s">
        <v>1920</v>
      </c>
      <c r="F262" s="523"/>
      <c r="G262" s="33">
        <v>1</v>
      </c>
      <c r="H262" s="564"/>
      <c r="I262" s="559">
        <f t="shared" si="4"/>
        <v>0</v>
      </c>
    </row>
    <row r="263" spans="1:9" ht="15" x14ac:dyDescent="0.2">
      <c r="A263" s="55" t="s">
        <v>1239</v>
      </c>
      <c r="B263" s="71" t="s">
        <v>1839</v>
      </c>
      <c r="C263" s="430"/>
      <c r="D263" s="71"/>
      <c r="E263" s="71" t="s">
        <v>1920</v>
      </c>
      <c r="F263" s="523"/>
      <c r="G263" s="33">
        <v>1</v>
      </c>
      <c r="H263" s="564"/>
      <c r="I263" s="559">
        <f t="shared" si="4"/>
        <v>0</v>
      </c>
    </row>
    <row r="264" spans="1:9" ht="15" x14ac:dyDescent="0.2">
      <c r="A264" s="55" t="s">
        <v>1233</v>
      </c>
      <c r="B264" s="71" t="s">
        <v>1824</v>
      </c>
      <c r="C264" s="430"/>
      <c r="D264" s="71"/>
      <c r="E264" s="71" t="s">
        <v>1920</v>
      </c>
      <c r="F264" s="523"/>
      <c r="G264" s="33">
        <v>1</v>
      </c>
      <c r="H264" s="564"/>
      <c r="I264" s="559">
        <f t="shared" si="4"/>
        <v>0</v>
      </c>
    </row>
    <row r="265" spans="1:9" ht="15" x14ac:dyDescent="0.2">
      <c r="A265" s="55" t="s">
        <v>1438</v>
      </c>
      <c r="B265" s="71" t="s">
        <v>1874</v>
      </c>
      <c r="C265" s="430"/>
      <c r="D265" s="71"/>
      <c r="E265" s="71" t="s">
        <v>1920</v>
      </c>
      <c r="F265" s="430"/>
      <c r="G265" s="33">
        <v>1</v>
      </c>
      <c r="H265" s="564"/>
      <c r="I265" s="559">
        <f t="shared" si="4"/>
        <v>0</v>
      </c>
    </row>
    <row r="266" spans="1:9" ht="15" x14ac:dyDescent="0.2">
      <c r="A266" s="55" t="s">
        <v>1333</v>
      </c>
      <c r="B266" s="71" t="s">
        <v>65</v>
      </c>
      <c r="C266" s="430"/>
      <c r="D266" s="71"/>
      <c r="E266" s="71" t="s">
        <v>1920</v>
      </c>
      <c r="F266" s="457"/>
      <c r="G266" s="33">
        <v>1</v>
      </c>
      <c r="H266" s="564"/>
      <c r="I266" s="559">
        <f t="shared" si="4"/>
        <v>0</v>
      </c>
    </row>
    <row r="267" spans="1:9" ht="15" x14ac:dyDescent="0.2">
      <c r="A267" s="55" t="s">
        <v>1236</v>
      </c>
      <c r="B267" s="71" t="s">
        <v>77</v>
      </c>
      <c r="C267" s="430"/>
      <c r="D267" s="71"/>
      <c r="E267" s="71" t="s">
        <v>1920</v>
      </c>
      <c r="F267" s="523"/>
      <c r="G267" s="33">
        <v>1</v>
      </c>
      <c r="H267" s="564"/>
      <c r="I267" s="559">
        <f t="shared" si="4"/>
        <v>0</v>
      </c>
    </row>
    <row r="268" spans="1:9" ht="15" x14ac:dyDescent="0.2">
      <c r="A268" s="55" t="s">
        <v>1344</v>
      </c>
      <c r="B268" s="71" t="s">
        <v>435</v>
      </c>
      <c r="C268" s="430"/>
      <c r="D268" s="71"/>
      <c r="E268" s="71" t="s">
        <v>1920</v>
      </c>
      <c r="F268" s="523"/>
      <c r="G268" s="33">
        <v>2</v>
      </c>
      <c r="H268" s="564"/>
      <c r="I268" s="559">
        <f t="shared" si="4"/>
        <v>0</v>
      </c>
    </row>
    <row r="269" spans="1:9" ht="15" x14ac:dyDescent="0.2">
      <c r="A269" s="55" t="s">
        <v>1235</v>
      </c>
      <c r="B269" s="71" t="s">
        <v>78</v>
      </c>
      <c r="C269" s="430"/>
      <c r="D269" s="71"/>
      <c r="E269" s="71" t="s">
        <v>1920</v>
      </c>
      <c r="F269" s="523"/>
      <c r="G269" s="33">
        <v>1</v>
      </c>
      <c r="H269" s="564"/>
      <c r="I269" s="559">
        <f t="shared" si="4"/>
        <v>0</v>
      </c>
    </row>
    <row r="270" spans="1:9" ht="15" x14ac:dyDescent="0.2">
      <c r="A270" s="55" t="s">
        <v>1237</v>
      </c>
      <c r="B270" s="71" t="s">
        <v>306</v>
      </c>
      <c r="C270" s="430"/>
      <c r="D270" s="71"/>
      <c r="E270" s="71" t="s">
        <v>1920</v>
      </c>
      <c r="F270" s="523"/>
      <c r="G270" s="33">
        <v>1</v>
      </c>
      <c r="H270" s="564"/>
      <c r="I270" s="559">
        <f t="shared" si="4"/>
        <v>0</v>
      </c>
    </row>
    <row r="271" spans="1:9" ht="15" x14ac:dyDescent="0.2">
      <c r="A271" s="55" t="s">
        <v>1169</v>
      </c>
      <c r="B271" s="71" t="s">
        <v>436</v>
      </c>
      <c r="C271" s="430"/>
      <c r="D271" s="71"/>
      <c r="E271" s="71" t="s">
        <v>1920</v>
      </c>
      <c r="F271" s="523"/>
      <c r="G271" s="33">
        <v>1</v>
      </c>
      <c r="H271" s="564"/>
      <c r="I271" s="559">
        <f t="shared" si="4"/>
        <v>0</v>
      </c>
    </row>
    <row r="272" spans="1:9" ht="15" x14ac:dyDescent="0.2">
      <c r="A272" s="55" t="s">
        <v>1234</v>
      </c>
      <c r="B272" s="71" t="s">
        <v>73</v>
      </c>
      <c r="C272" s="430"/>
      <c r="D272" s="71"/>
      <c r="E272" s="71" t="s">
        <v>1920</v>
      </c>
      <c r="F272" s="523"/>
      <c r="G272" s="33">
        <v>2</v>
      </c>
      <c r="H272" s="564"/>
      <c r="I272" s="559">
        <f t="shared" si="4"/>
        <v>0</v>
      </c>
    </row>
    <row r="273" spans="1:9" ht="15" x14ac:dyDescent="0.2">
      <c r="A273" s="55" t="s">
        <v>1238</v>
      </c>
      <c r="B273" s="71" t="s">
        <v>75</v>
      </c>
      <c r="C273" s="430"/>
      <c r="D273" s="71"/>
      <c r="E273" s="71" t="s">
        <v>1920</v>
      </c>
      <c r="F273" s="523"/>
      <c r="G273" s="33">
        <v>1</v>
      </c>
      <c r="H273" s="564"/>
      <c r="I273" s="559">
        <f t="shared" si="4"/>
        <v>0</v>
      </c>
    </row>
    <row r="274" spans="1:9" ht="15" x14ac:dyDescent="0.2">
      <c r="A274" s="55" t="s">
        <v>1232</v>
      </c>
      <c r="B274" s="71" t="s">
        <v>76</v>
      </c>
      <c r="C274" s="430"/>
      <c r="D274" s="71"/>
      <c r="E274" s="71" t="s">
        <v>1920</v>
      </c>
      <c r="F274" s="523"/>
      <c r="G274" s="33">
        <v>1</v>
      </c>
      <c r="H274" s="564"/>
      <c r="I274" s="559">
        <f t="shared" si="4"/>
        <v>0</v>
      </c>
    </row>
    <row r="275" spans="1:9" ht="15" x14ac:dyDescent="0.2">
      <c r="A275" s="55" t="s">
        <v>1441</v>
      </c>
      <c r="B275" s="71" t="s">
        <v>434</v>
      </c>
      <c r="C275" s="430"/>
      <c r="D275" s="71"/>
      <c r="E275" s="71" t="s">
        <v>1920</v>
      </c>
      <c r="F275" s="523"/>
      <c r="G275" s="33">
        <v>1</v>
      </c>
      <c r="H275" s="564"/>
      <c r="I275" s="559">
        <f t="shared" si="4"/>
        <v>0</v>
      </c>
    </row>
    <row r="276" spans="1:9" ht="15" x14ac:dyDescent="0.2">
      <c r="A276" s="55" t="s">
        <v>15</v>
      </c>
      <c r="B276" s="71" t="s">
        <v>380</v>
      </c>
      <c r="C276" s="430"/>
      <c r="D276" s="71"/>
      <c r="E276" s="71" t="s">
        <v>1920</v>
      </c>
      <c r="F276" s="523"/>
      <c r="G276" s="33">
        <v>1</v>
      </c>
      <c r="H276" s="564"/>
      <c r="I276" s="559">
        <f t="shared" si="4"/>
        <v>0</v>
      </c>
    </row>
    <row r="277" spans="1:9" ht="15" x14ac:dyDescent="0.2">
      <c r="A277" s="55" t="s">
        <v>37</v>
      </c>
      <c r="B277" s="71" t="s">
        <v>38</v>
      </c>
      <c r="C277" s="430"/>
      <c r="D277" s="71"/>
      <c r="E277" s="71" t="s">
        <v>1920</v>
      </c>
      <c r="F277" s="523"/>
      <c r="G277" s="33">
        <v>1</v>
      </c>
      <c r="H277" s="564"/>
      <c r="I277" s="559">
        <f t="shared" si="4"/>
        <v>0</v>
      </c>
    </row>
    <row r="278" spans="1:9" ht="15" x14ac:dyDescent="0.2">
      <c r="A278" s="55" t="s">
        <v>1448</v>
      </c>
      <c r="B278" s="71" t="s">
        <v>216</v>
      </c>
      <c r="C278" s="430"/>
      <c r="D278" s="71"/>
      <c r="E278" s="71" t="s">
        <v>1920</v>
      </c>
      <c r="F278" s="523"/>
      <c r="G278" s="33">
        <v>1</v>
      </c>
      <c r="H278" s="564"/>
      <c r="I278" s="559">
        <f t="shared" si="4"/>
        <v>0</v>
      </c>
    </row>
    <row r="279" spans="1:9" ht="15" x14ac:dyDescent="0.2">
      <c r="A279" s="55" t="s">
        <v>1452</v>
      </c>
      <c r="B279" s="71" t="s">
        <v>450</v>
      </c>
      <c r="C279" s="430"/>
      <c r="D279" s="71"/>
      <c r="E279" s="71" t="s">
        <v>1920</v>
      </c>
      <c r="F279" s="523"/>
      <c r="G279" s="33">
        <v>1</v>
      </c>
      <c r="H279" s="564"/>
      <c r="I279" s="559">
        <f t="shared" si="4"/>
        <v>0</v>
      </c>
    </row>
    <row r="280" spans="1:9" ht="15" x14ac:dyDescent="0.2">
      <c r="A280" s="55" t="s">
        <v>61</v>
      </c>
      <c r="B280" s="71" t="s">
        <v>62</v>
      </c>
      <c r="C280" s="430"/>
      <c r="D280" s="71"/>
      <c r="E280" s="71" t="s">
        <v>1920</v>
      </c>
      <c r="F280" s="523"/>
      <c r="G280" s="33">
        <v>1</v>
      </c>
      <c r="H280" s="564"/>
      <c r="I280" s="559">
        <f t="shared" si="4"/>
        <v>0</v>
      </c>
    </row>
    <row r="281" spans="1:9" ht="15" x14ac:dyDescent="0.2">
      <c r="A281" s="55" t="s">
        <v>138</v>
      </c>
      <c r="B281" s="71" t="s">
        <v>139</v>
      </c>
      <c r="C281" s="430"/>
      <c r="D281" s="71"/>
      <c r="E281" s="71" t="s">
        <v>1920</v>
      </c>
      <c r="F281" s="523"/>
      <c r="G281" s="33">
        <v>1</v>
      </c>
      <c r="H281" s="564"/>
      <c r="I281" s="559">
        <f t="shared" si="4"/>
        <v>0</v>
      </c>
    </row>
    <row r="282" spans="1:9" ht="15" x14ac:dyDescent="0.2">
      <c r="A282" s="55" t="s">
        <v>185</v>
      </c>
      <c r="B282" s="71" t="s">
        <v>186</v>
      </c>
      <c r="C282" s="430"/>
      <c r="D282" s="71"/>
      <c r="E282" s="71" t="s">
        <v>1920</v>
      </c>
      <c r="F282" s="523"/>
      <c r="G282" s="33">
        <v>1</v>
      </c>
      <c r="H282" s="564"/>
      <c r="I282" s="559">
        <f t="shared" si="4"/>
        <v>0</v>
      </c>
    </row>
    <row r="283" spans="1:9" ht="15" x14ac:dyDescent="0.2">
      <c r="A283" s="55" t="s">
        <v>128</v>
      </c>
      <c r="B283" s="71" t="s">
        <v>129</v>
      </c>
      <c r="C283" s="430"/>
      <c r="D283" s="71"/>
      <c r="E283" s="71" t="s">
        <v>1920</v>
      </c>
      <c r="F283" s="523"/>
      <c r="G283" s="33">
        <v>1</v>
      </c>
      <c r="H283" s="564"/>
      <c r="I283" s="559">
        <f t="shared" si="4"/>
        <v>0</v>
      </c>
    </row>
    <row r="284" spans="1:9" ht="15" x14ac:dyDescent="0.2">
      <c r="A284" s="55" t="s">
        <v>134</v>
      </c>
      <c r="B284" s="71" t="s">
        <v>135</v>
      </c>
      <c r="C284" s="430"/>
      <c r="D284" s="71"/>
      <c r="E284" s="71" t="s">
        <v>1920</v>
      </c>
      <c r="F284" s="523"/>
      <c r="G284" s="33">
        <v>1</v>
      </c>
      <c r="H284" s="564"/>
      <c r="I284" s="559">
        <f t="shared" si="4"/>
        <v>0</v>
      </c>
    </row>
    <row r="285" spans="1:9" ht="15" x14ac:dyDescent="0.2">
      <c r="A285" s="55" t="s">
        <v>183</v>
      </c>
      <c r="B285" s="71" t="s">
        <v>184</v>
      </c>
      <c r="C285" s="430"/>
      <c r="D285" s="71"/>
      <c r="E285" s="71" t="s">
        <v>1920</v>
      </c>
      <c r="F285" s="523"/>
      <c r="G285" s="33">
        <v>1</v>
      </c>
      <c r="H285" s="564"/>
      <c r="I285" s="559">
        <f t="shared" si="4"/>
        <v>0</v>
      </c>
    </row>
    <row r="286" spans="1:9" ht="15" x14ac:dyDescent="0.2">
      <c r="A286" s="55" t="s">
        <v>136</v>
      </c>
      <c r="B286" s="71" t="s">
        <v>137</v>
      </c>
      <c r="C286" s="430"/>
      <c r="D286" s="71"/>
      <c r="E286" s="71" t="s">
        <v>1920</v>
      </c>
      <c r="F286" s="523"/>
      <c r="G286" s="33">
        <v>1</v>
      </c>
      <c r="H286" s="564"/>
      <c r="I286" s="559">
        <f t="shared" si="4"/>
        <v>0</v>
      </c>
    </row>
    <row r="287" spans="1:9" ht="15" x14ac:dyDescent="0.2">
      <c r="A287" s="55" t="s">
        <v>345</v>
      </c>
      <c r="B287" s="71" t="s">
        <v>346</v>
      </c>
      <c r="C287" s="430"/>
      <c r="D287" s="71"/>
      <c r="E287" s="71" t="s">
        <v>1920</v>
      </c>
      <c r="F287" s="523"/>
      <c r="G287" s="33">
        <v>1</v>
      </c>
      <c r="H287" s="564"/>
      <c r="I287" s="559">
        <f t="shared" si="4"/>
        <v>0</v>
      </c>
    </row>
    <row r="288" spans="1:9" ht="15" x14ac:dyDescent="0.2">
      <c r="A288" s="55" t="s">
        <v>126</v>
      </c>
      <c r="B288" s="71" t="s">
        <v>127</v>
      </c>
      <c r="C288" s="430"/>
      <c r="D288" s="71"/>
      <c r="E288" s="71" t="s">
        <v>1920</v>
      </c>
      <c r="F288" s="523"/>
      <c r="G288" s="33">
        <v>1</v>
      </c>
      <c r="H288" s="564"/>
      <c r="I288" s="559">
        <f t="shared" si="4"/>
        <v>0</v>
      </c>
    </row>
    <row r="289" spans="1:9" ht="15" x14ac:dyDescent="0.2">
      <c r="A289" s="55" t="s">
        <v>132</v>
      </c>
      <c r="B289" s="71" t="s">
        <v>133</v>
      </c>
      <c r="C289" s="430"/>
      <c r="D289" s="71"/>
      <c r="E289" s="71" t="s">
        <v>1920</v>
      </c>
      <c r="F289" s="430"/>
      <c r="G289" s="33">
        <v>1</v>
      </c>
      <c r="H289" s="564"/>
      <c r="I289" s="559">
        <f t="shared" si="4"/>
        <v>0</v>
      </c>
    </row>
    <row r="290" spans="1:9" ht="15" x14ac:dyDescent="0.2">
      <c r="A290" s="55" t="s">
        <v>1458</v>
      </c>
      <c r="B290" s="71" t="s">
        <v>344</v>
      </c>
      <c r="C290" s="430"/>
      <c r="D290" s="71"/>
      <c r="E290" s="71" t="s">
        <v>1920</v>
      </c>
      <c r="F290" s="457"/>
      <c r="G290" s="33">
        <v>1</v>
      </c>
      <c r="H290" s="564"/>
      <c r="I290" s="559">
        <f t="shared" si="4"/>
        <v>0</v>
      </c>
    </row>
    <row r="291" spans="1:9" ht="15" x14ac:dyDescent="0.2">
      <c r="A291" s="55" t="s">
        <v>130</v>
      </c>
      <c r="B291" s="71" t="s">
        <v>131</v>
      </c>
      <c r="C291" s="430"/>
      <c r="D291" s="71"/>
      <c r="E291" s="71" t="s">
        <v>1920</v>
      </c>
      <c r="F291" s="523"/>
      <c r="G291" s="33">
        <v>1</v>
      </c>
      <c r="H291" s="564"/>
      <c r="I291" s="559">
        <f t="shared" si="4"/>
        <v>0</v>
      </c>
    </row>
    <row r="292" spans="1:9" ht="15" x14ac:dyDescent="0.2">
      <c r="A292" s="55" t="s">
        <v>1459</v>
      </c>
      <c r="B292" s="71" t="s">
        <v>182</v>
      </c>
      <c r="C292" s="430"/>
      <c r="D292" s="71"/>
      <c r="E292" s="71" t="s">
        <v>1920</v>
      </c>
      <c r="F292" s="523"/>
      <c r="G292" s="33">
        <v>1</v>
      </c>
      <c r="H292" s="564"/>
      <c r="I292" s="559">
        <f t="shared" si="4"/>
        <v>0</v>
      </c>
    </row>
    <row r="293" spans="1:9" ht="15" x14ac:dyDescent="0.2">
      <c r="A293" s="255" t="s">
        <v>1215</v>
      </c>
      <c r="B293" s="296" t="s">
        <v>286</v>
      </c>
      <c r="C293" s="430"/>
      <c r="D293" s="199"/>
      <c r="E293" s="199" t="s">
        <v>1920</v>
      </c>
      <c r="F293" s="523"/>
      <c r="G293" s="271">
        <v>1</v>
      </c>
      <c r="H293" s="567"/>
      <c r="I293" s="559">
        <f t="shared" si="4"/>
        <v>0</v>
      </c>
    </row>
    <row r="294" spans="1:9" ht="15" x14ac:dyDescent="0.2">
      <c r="A294" s="55" t="s">
        <v>20</v>
      </c>
      <c r="B294" s="71" t="s">
        <v>287</v>
      </c>
      <c r="C294" s="430"/>
      <c r="D294" s="71"/>
      <c r="E294" s="71" t="s">
        <v>1920</v>
      </c>
      <c r="F294" s="523"/>
      <c r="G294" s="33">
        <v>2</v>
      </c>
      <c r="H294" s="564"/>
      <c r="I294" s="559">
        <f t="shared" si="4"/>
        <v>0</v>
      </c>
    </row>
    <row r="295" spans="1:9" ht="15" x14ac:dyDescent="0.2">
      <c r="A295" s="55" t="s">
        <v>1628</v>
      </c>
      <c r="B295" s="71" t="s">
        <v>453</v>
      </c>
      <c r="C295" s="430"/>
      <c r="D295" s="71"/>
      <c r="E295" s="71" t="s">
        <v>1932</v>
      </c>
      <c r="F295" s="523"/>
      <c r="G295" s="33">
        <v>2</v>
      </c>
      <c r="H295" s="564"/>
      <c r="I295" s="559">
        <f t="shared" si="4"/>
        <v>0</v>
      </c>
    </row>
    <row r="296" spans="1:9" ht="15" x14ac:dyDescent="0.2">
      <c r="A296" s="55" t="s">
        <v>1698</v>
      </c>
      <c r="B296" s="71" t="s">
        <v>451</v>
      </c>
      <c r="C296" s="430"/>
      <c r="D296" s="71"/>
      <c r="E296" s="71" t="s">
        <v>1932</v>
      </c>
      <c r="F296" s="523"/>
      <c r="G296" s="33">
        <v>2</v>
      </c>
      <c r="H296" s="564"/>
      <c r="I296" s="559">
        <f t="shared" si="4"/>
        <v>0</v>
      </c>
    </row>
    <row r="297" spans="1:9" ht="15" x14ac:dyDescent="0.2">
      <c r="A297" s="55" t="s">
        <v>1627</v>
      </c>
      <c r="B297" s="71" t="s">
        <v>452</v>
      </c>
      <c r="C297" s="430"/>
      <c r="D297" s="71"/>
      <c r="E297" s="71" t="s">
        <v>1932</v>
      </c>
      <c r="F297" s="430"/>
      <c r="G297" s="33">
        <v>2</v>
      </c>
      <c r="H297" s="564"/>
      <c r="I297" s="559">
        <f t="shared" si="4"/>
        <v>0</v>
      </c>
    </row>
    <row r="298" spans="1:9" ht="15" x14ac:dyDescent="0.2">
      <c r="A298" s="55" t="s">
        <v>1593</v>
      </c>
      <c r="B298" s="71" t="s">
        <v>455</v>
      </c>
      <c r="C298" s="430"/>
      <c r="D298" s="71"/>
      <c r="E298" s="71" t="s">
        <v>1920</v>
      </c>
      <c r="F298" s="457"/>
      <c r="G298" s="33">
        <v>1</v>
      </c>
      <c r="H298" s="564"/>
      <c r="I298" s="559">
        <f t="shared" si="4"/>
        <v>0</v>
      </c>
    </row>
    <row r="299" spans="1:9" ht="15" x14ac:dyDescent="0.2">
      <c r="A299" s="55" t="s">
        <v>1286</v>
      </c>
      <c r="B299" s="71" t="s">
        <v>387</v>
      </c>
      <c r="C299" s="430"/>
      <c r="D299" s="71"/>
      <c r="E299" s="71" t="s">
        <v>1920</v>
      </c>
      <c r="F299" s="523"/>
      <c r="G299" s="33">
        <v>1</v>
      </c>
      <c r="H299" s="564"/>
      <c r="I299" s="559">
        <f t="shared" si="4"/>
        <v>0</v>
      </c>
    </row>
    <row r="300" spans="1:9" x14ac:dyDescent="0.25">
      <c r="A300" s="83"/>
      <c r="G300" s="90"/>
      <c r="I300" s="568">
        <f>SUM(I2:I299)</f>
        <v>0</v>
      </c>
    </row>
    <row r="301" spans="1:9" x14ac:dyDescent="0.25">
      <c r="A301" s="83"/>
      <c r="G301" s="90"/>
      <c r="H301" s="569"/>
    </row>
    <row r="302" spans="1:9" s="4" customFormat="1" ht="18" x14ac:dyDescent="0.25">
      <c r="A302" s="422" t="s">
        <v>1786</v>
      </c>
      <c r="B302" s="425"/>
      <c r="C302" s="309"/>
      <c r="D302" s="3"/>
      <c r="E302" s="3"/>
      <c r="F302" s="311"/>
      <c r="G302" s="3"/>
      <c r="H302" s="531"/>
      <c r="I302" s="541"/>
    </row>
    <row r="303" spans="1:9" s="4" customFormat="1" ht="18" x14ac:dyDescent="0.25">
      <c r="A303" s="422" t="s">
        <v>2937</v>
      </c>
      <c r="B303" s="425"/>
      <c r="C303" s="309"/>
      <c r="D303" s="3"/>
      <c r="E303" s="3"/>
      <c r="F303" s="311"/>
      <c r="G303" s="3"/>
      <c r="H303" s="531"/>
      <c r="I303" s="541"/>
    </row>
    <row r="304" spans="1:9" ht="54" customHeight="1" x14ac:dyDescent="0.25">
      <c r="A304" s="437" t="s">
        <v>3309</v>
      </c>
      <c r="B304" s="244"/>
      <c r="G304" s="90"/>
    </row>
    <row r="305" spans="1:7" ht="26.25" customHeight="1" x14ac:dyDescent="0.25">
      <c r="A305" s="434" t="s">
        <v>3367</v>
      </c>
      <c r="B305" s="550">
        <f>+I300</f>
        <v>0</v>
      </c>
      <c r="G305" s="90"/>
    </row>
  </sheetData>
  <hyperlinks>
    <hyperlink ref="B281" r:id="rId1" xr:uid="{00000000-0004-0000-0600-000000000000}"/>
    <hyperlink ref="B286" r:id="rId2" xr:uid="{00000000-0004-0000-0600-000001000000}"/>
    <hyperlink ref="B284" r:id="rId3" xr:uid="{00000000-0004-0000-0600-000002000000}"/>
    <hyperlink ref="B289" r:id="rId4" xr:uid="{00000000-0004-0000-0600-000003000000}"/>
    <hyperlink ref="B283" r:id="rId5" display="VS16B" xr:uid="{00000000-0004-0000-0600-000004000000}"/>
    <hyperlink ref="B280" r:id="rId6" xr:uid="{00000000-0004-0000-0600-000005000000}"/>
    <hyperlink ref="B291" r:id="rId7" xr:uid="{00000000-0004-0000-0600-000006000000}"/>
    <hyperlink ref="B288" r:id="rId8" xr:uid="{00000000-0004-0000-0600-000007000000}"/>
  </hyperlinks>
  <pageMargins left="0.7" right="0.7" top="0.75" bottom="0.75" header="0.3" footer="0.3"/>
  <pageSetup scale="95" orientation="landscape"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0"/>
  <sheetViews>
    <sheetView workbookViewId="0">
      <pane ySplit="1" topLeftCell="A92" activePane="bottomLeft" state="frozen"/>
      <selection activeCell="G1" sqref="G1:G1048576"/>
      <selection pane="bottomLeft" activeCell="G2" sqref="G2:G123"/>
    </sheetView>
  </sheetViews>
  <sheetFormatPr defaultColWidth="9.140625" defaultRowHeight="15.75" x14ac:dyDescent="0.25"/>
  <cols>
    <col min="1" max="1" width="63.85546875" style="16" bestFit="1" customWidth="1"/>
    <col min="2" max="2" width="15.85546875" style="17" bestFit="1" customWidth="1"/>
    <col min="3" max="3" width="21.140625" style="17" bestFit="1" customWidth="1"/>
    <col min="4" max="4" width="20.140625" style="17" bestFit="1" customWidth="1"/>
    <col min="5" max="5" width="12.42578125" style="17" bestFit="1" customWidth="1"/>
    <col min="6" max="6" width="18" style="311" customWidth="1"/>
    <col min="7" max="7" width="11.5703125" style="17" customWidth="1"/>
    <col min="8" max="8" width="11.42578125" style="549" bestFit="1" customWidth="1"/>
    <col min="9" max="9" width="16.85546875" style="549" bestFit="1" customWidth="1"/>
    <col min="10" max="16384" width="9.140625" style="16"/>
  </cols>
  <sheetData>
    <row r="1" spans="1:9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13" t="s">
        <v>412</v>
      </c>
      <c r="H1" s="528" t="s">
        <v>3368</v>
      </c>
      <c r="I1" s="528" t="s">
        <v>3369</v>
      </c>
    </row>
    <row r="2" spans="1:9" ht="15" x14ac:dyDescent="0.2">
      <c r="A2" s="242" t="s">
        <v>3256</v>
      </c>
      <c r="B2" s="236">
        <v>75908</v>
      </c>
      <c r="C2" s="430"/>
      <c r="D2" s="236"/>
      <c r="E2" s="236">
        <v>56654</v>
      </c>
      <c r="F2" s="523"/>
      <c r="G2" s="10">
        <v>2</v>
      </c>
      <c r="H2" s="570"/>
      <c r="I2" s="547">
        <f>+G2*H2</f>
        <v>0</v>
      </c>
    </row>
    <row r="3" spans="1:9" ht="15" x14ac:dyDescent="0.2">
      <c r="A3" s="160" t="s">
        <v>459</v>
      </c>
      <c r="B3" s="71" t="s">
        <v>1823</v>
      </c>
      <c r="C3" s="430"/>
      <c r="D3" s="71"/>
      <c r="E3" s="71" t="s">
        <v>1920</v>
      </c>
      <c r="F3" s="523"/>
      <c r="G3" s="15">
        <v>1</v>
      </c>
      <c r="H3" s="546"/>
      <c r="I3" s="547">
        <f t="shared" ref="I3:I66" si="0">+G3*H3</f>
        <v>0</v>
      </c>
    </row>
    <row r="4" spans="1:9" ht="15" x14ac:dyDescent="0.2">
      <c r="A4" s="195" t="s">
        <v>1870</v>
      </c>
      <c r="B4" s="49" t="s">
        <v>629</v>
      </c>
      <c r="C4" s="430"/>
      <c r="D4" s="49"/>
      <c r="E4" s="49" t="s">
        <v>1920</v>
      </c>
      <c r="F4" s="523"/>
      <c r="G4" s="31">
        <v>1</v>
      </c>
      <c r="H4" s="571"/>
      <c r="I4" s="547">
        <f t="shared" si="0"/>
        <v>0</v>
      </c>
    </row>
    <row r="5" spans="1:9" s="83" customFormat="1" ht="15" x14ac:dyDescent="0.2">
      <c r="A5" s="8" t="s">
        <v>1049</v>
      </c>
      <c r="B5" s="71" t="s">
        <v>493</v>
      </c>
      <c r="C5" s="430"/>
      <c r="D5" s="71"/>
      <c r="E5" s="71" t="s">
        <v>1920</v>
      </c>
      <c r="F5" s="523"/>
      <c r="G5" s="10">
        <v>1</v>
      </c>
      <c r="H5" s="572"/>
      <c r="I5" s="547">
        <f t="shared" si="0"/>
        <v>0</v>
      </c>
    </row>
    <row r="6" spans="1:9" ht="15" x14ac:dyDescent="0.2">
      <c r="A6" s="260" t="s">
        <v>1199</v>
      </c>
      <c r="B6" s="71" t="s">
        <v>382</v>
      </c>
      <c r="C6" s="430"/>
      <c r="D6" s="71"/>
      <c r="E6" s="71" t="s">
        <v>1920</v>
      </c>
      <c r="F6" s="523"/>
      <c r="G6" s="312">
        <v>1</v>
      </c>
      <c r="H6" s="546"/>
      <c r="I6" s="547">
        <f t="shared" si="0"/>
        <v>0</v>
      </c>
    </row>
    <row r="7" spans="1:9" ht="15" x14ac:dyDescent="0.2">
      <c r="A7" s="8" t="s">
        <v>1048</v>
      </c>
      <c r="B7" s="314" t="s">
        <v>170</v>
      </c>
      <c r="C7" s="430"/>
      <c r="D7" s="314"/>
      <c r="E7" s="314" t="s">
        <v>1920</v>
      </c>
      <c r="F7" s="523"/>
      <c r="G7" s="10">
        <v>1</v>
      </c>
      <c r="H7" s="572"/>
      <c r="I7" s="547">
        <f t="shared" si="0"/>
        <v>0</v>
      </c>
    </row>
    <row r="8" spans="1:9" ht="15" x14ac:dyDescent="0.2">
      <c r="A8" s="8" t="s">
        <v>1050</v>
      </c>
      <c r="B8" s="314" t="s">
        <v>404</v>
      </c>
      <c r="C8" s="430"/>
      <c r="D8" s="314"/>
      <c r="E8" s="314" t="s">
        <v>1920</v>
      </c>
      <c r="F8" s="523"/>
      <c r="G8" s="10">
        <v>1</v>
      </c>
      <c r="H8" s="572"/>
      <c r="I8" s="547">
        <f t="shared" si="0"/>
        <v>0</v>
      </c>
    </row>
    <row r="9" spans="1:9" ht="15" x14ac:dyDescent="0.2">
      <c r="A9" s="70" t="s">
        <v>1197</v>
      </c>
      <c r="B9" s="71" t="s">
        <v>80</v>
      </c>
      <c r="C9" s="430"/>
      <c r="D9" s="71"/>
      <c r="E9" s="71" t="s">
        <v>1920</v>
      </c>
      <c r="F9" s="523"/>
      <c r="G9" s="15">
        <v>1</v>
      </c>
      <c r="H9" s="546"/>
      <c r="I9" s="547">
        <f t="shared" si="0"/>
        <v>0</v>
      </c>
    </row>
    <row r="10" spans="1:9" ht="15" x14ac:dyDescent="0.2">
      <c r="A10" s="8" t="s">
        <v>1192</v>
      </c>
      <c r="B10" s="71" t="s">
        <v>94</v>
      </c>
      <c r="C10" s="430"/>
      <c r="D10" s="71"/>
      <c r="E10" s="71" t="s">
        <v>1920</v>
      </c>
      <c r="F10" s="523"/>
      <c r="G10" s="10">
        <v>2</v>
      </c>
      <c r="H10" s="572"/>
      <c r="I10" s="547">
        <f t="shared" si="0"/>
        <v>0</v>
      </c>
    </row>
    <row r="11" spans="1:9" ht="15" x14ac:dyDescent="0.2">
      <c r="A11" s="70" t="s">
        <v>1299</v>
      </c>
      <c r="B11" s="71" t="s">
        <v>827</v>
      </c>
      <c r="C11" s="430"/>
      <c r="D11" s="71"/>
      <c r="E11" s="71" t="s">
        <v>1920</v>
      </c>
      <c r="F11" s="523"/>
      <c r="G11" s="312">
        <v>1</v>
      </c>
      <c r="H11" s="546"/>
      <c r="I11" s="547">
        <f t="shared" si="0"/>
        <v>0</v>
      </c>
    </row>
    <row r="12" spans="1:9" ht="15" x14ac:dyDescent="0.2">
      <c r="A12" s="192" t="s">
        <v>1038</v>
      </c>
      <c r="B12" s="71" t="s">
        <v>280</v>
      </c>
      <c r="C12" s="430"/>
      <c r="D12" s="71"/>
      <c r="E12" s="71" t="s">
        <v>1920</v>
      </c>
      <c r="F12" s="523"/>
      <c r="G12" s="10">
        <v>1</v>
      </c>
      <c r="H12" s="572"/>
      <c r="I12" s="547">
        <f t="shared" si="0"/>
        <v>0</v>
      </c>
    </row>
    <row r="13" spans="1:9" ht="15" x14ac:dyDescent="0.2">
      <c r="A13" s="193" t="s">
        <v>1152</v>
      </c>
      <c r="B13" s="32" t="s">
        <v>281</v>
      </c>
      <c r="C13" s="430"/>
      <c r="D13" s="71"/>
      <c r="E13" s="71" t="s">
        <v>1920</v>
      </c>
      <c r="F13" s="523"/>
      <c r="G13" s="10">
        <v>1</v>
      </c>
      <c r="H13" s="572"/>
      <c r="I13" s="547">
        <f t="shared" si="0"/>
        <v>0</v>
      </c>
    </row>
    <row r="14" spans="1:9" ht="15" x14ac:dyDescent="0.2">
      <c r="A14" s="8" t="s">
        <v>1142</v>
      </c>
      <c r="B14" s="71" t="s">
        <v>275</v>
      </c>
      <c r="C14" s="430"/>
      <c r="D14" s="71"/>
      <c r="E14" s="71" t="s">
        <v>1920</v>
      </c>
      <c r="F14" s="523"/>
      <c r="G14" s="10">
        <v>1</v>
      </c>
      <c r="H14" s="572"/>
      <c r="I14" s="547">
        <f t="shared" si="0"/>
        <v>0</v>
      </c>
    </row>
    <row r="15" spans="1:9" ht="15" x14ac:dyDescent="0.2">
      <c r="A15" s="8" t="s">
        <v>1029</v>
      </c>
      <c r="B15" s="71" t="s">
        <v>251</v>
      </c>
      <c r="C15" s="430"/>
      <c r="D15" s="71"/>
      <c r="E15" s="71" t="s">
        <v>1920</v>
      </c>
      <c r="F15" s="523"/>
      <c r="G15" s="10">
        <v>1</v>
      </c>
      <c r="H15" s="572"/>
      <c r="I15" s="547">
        <f t="shared" si="0"/>
        <v>0</v>
      </c>
    </row>
    <row r="16" spans="1:9" ht="15" x14ac:dyDescent="0.2">
      <c r="A16" s="8" t="s">
        <v>1028</v>
      </c>
      <c r="B16" s="71" t="s">
        <v>262</v>
      </c>
      <c r="C16" s="430"/>
      <c r="D16" s="71"/>
      <c r="E16" s="71" t="s">
        <v>1920</v>
      </c>
      <c r="F16" s="523"/>
      <c r="G16" s="10">
        <v>1</v>
      </c>
      <c r="H16" s="572"/>
      <c r="I16" s="547">
        <f t="shared" si="0"/>
        <v>0</v>
      </c>
    </row>
    <row r="17" spans="1:9" ht="15" x14ac:dyDescent="0.2">
      <c r="A17" s="260" t="s">
        <v>1288</v>
      </c>
      <c r="B17" s="71" t="s">
        <v>388</v>
      </c>
      <c r="C17" s="430"/>
      <c r="D17" s="71"/>
      <c r="E17" s="71" t="s">
        <v>1920</v>
      </c>
      <c r="F17" s="523"/>
      <c r="G17" s="312">
        <v>1</v>
      </c>
      <c r="H17" s="546"/>
      <c r="I17" s="547">
        <f t="shared" si="0"/>
        <v>0</v>
      </c>
    </row>
    <row r="18" spans="1:9" ht="15" x14ac:dyDescent="0.2">
      <c r="A18" s="8" t="s">
        <v>1035</v>
      </c>
      <c r="B18" s="71" t="s">
        <v>414</v>
      </c>
      <c r="C18" s="430"/>
      <c r="D18" s="71"/>
      <c r="E18" s="71" t="s">
        <v>1920</v>
      </c>
      <c r="F18" s="523"/>
      <c r="G18" s="10">
        <v>1</v>
      </c>
      <c r="H18" s="572"/>
      <c r="I18" s="547">
        <f t="shared" si="0"/>
        <v>0</v>
      </c>
    </row>
    <row r="19" spans="1:9" ht="15" x14ac:dyDescent="0.2">
      <c r="A19" s="8" t="s">
        <v>1033</v>
      </c>
      <c r="B19" s="71" t="s">
        <v>98</v>
      </c>
      <c r="C19" s="430"/>
      <c r="D19" s="71"/>
      <c r="E19" s="71" t="s">
        <v>1920</v>
      </c>
      <c r="F19" s="523"/>
      <c r="G19" s="10">
        <v>1</v>
      </c>
      <c r="H19" s="572"/>
      <c r="I19" s="547">
        <f t="shared" si="0"/>
        <v>0</v>
      </c>
    </row>
    <row r="20" spans="1:9" ht="15" x14ac:dyDescent="0.2">
      <c r="A20" s="8" t="s">
        <v>1027</v>
      </c>
      <c r="B20" s="71" t="s">
        <v>415</v>
      </c>
      <c r="C20" s="430"/>
      <c r="D20" s="71"/>
      <c r="E20" s="71" t="s">
        <v>1920</v>
      </c>
      <c r="F20" s="523"/>
      <c r="G20" s="10">
        <v>1</v>
      </c>
      <c r="H20" s="572"/>
      <c r="I20" s="547">
        <f t="shared" si="0"/>
        <v>0</v>
      </c>
    </row>
    <row r="21" spans="1:9" ht="15" x14ac:dyDescent="0.2">
      <c r="A21" s="8" t="s">
        <v>1031</v>
      </c>
      <c r="B21" s="71" t="s">
        <v>416</v>
      </c>
      <c r="C21" s="430"/>
      <c r="D21" s="71"/>
      <c r="E21" s="71" t="s">
        <v>1920</v>
      </c>
      <c r="F21" s="523"/>
      <c r="G21" s="10">
        <v>1</v>
      </c>
      <c r="H21" s="572"/>
      <c r="I21" s="547">
        <f t="shared" si="0"/>
        <v>0</v>
      </c>
    </row>
    <row r="22" spans="1:9" ht="15" x14ac:dyDescent="0.2">
      <c r="A22" s="70" t="s">
        <v>1144</v>
      </c>
      <c r="B22" s="71" t="s">
        <v>203</v>
      </c>
      <c r="C22" s="430"/>
      <c r="D22" s="71"/>
      <c r="E22" s="71" t="s">
        <v>1920</v>
      </c>
      <c r="F22" s="523"/>
      <c r="G22" s="312">
        <v>1</v>
      </c>
      <c r="H22" s="546"/>
      <c r="I22" s="547">
        <f t="shared" si="0"/>
        <v>0</v>
      </c>
    </row>
    <row r="23" spans="1:9" ht="15" x14ac:dyDescent="0.2">
      <c r="A23" s="8" t="s">
        <v>1034</v>
      </c>
      <c r="B23" s="71" t="s">
        <v>417</v>
      </c>
      <c r="C23" s="430"/>
      <c r="D23" s="71"/>
      <c r="E23" s="71" t="s">
        <v>1920</v>
      </c>
      <c r="F23" s="523"/>
      <c r="G23" s="10">
        <v>1</v>
      </c>
      <c r="H23" s="572"/>
      <c r="I23" s="547">
        <f t="shared" si="0"/>
        <v>0</v>
      </c>
    </row>
    <row r="24" spans="1:9" ht="15" x14ac:dyDescent="0.2">
      <c r="A24" s="8" t="s">
        <v>1357</v>
      </c>
      <c r="B24" s="71" t="s">
        <v>418</v>
      </c>
      <c r="C24" s="430"/>
      <c r="D24" s="71"/>
      <c r="E24" s="71" t="s">
        <v>1920</v>
      </c>
      <c r="F24" s="523"/>
      <c r="G24" s="10">
        <v>1</v>
      </c>
      <c r="H24" s="572"/>
      <c r="I24" s="547">
        <f t="shared" si="0"/>
        <v>0</v>
      </c>
    </row>
    <row r="25" spans="1:9" s="121" customFormat="1" ht="15" x14ac:dyDescent="0.2">
      <c r="A25" s="8" t="s">
        <v>1026</v>
      </c>
      <c r="B25" s="71" t="s">
        <v>99</v>
      </c>
      <c r="C25" s="430"/>
      <c r="D25" s="71"/>
      <c r="E25" s="71" t="s">
        <v>1920</v>
      </c>
      <c r="F25" s="523"/>
      <c r="G25" s="10">
        <v>1</v>
      </c>
      <c r="H25" s="572"/>
      <c r="I25" s="547">
        <f t="shared" si="0"/>
        <v>0</v>
      </c>
    </row>
    <row r="26" spans="1:9" ht="15" x14ac:dyDescent="0.2">
      <c r="A26" s="245" t="s">
        <v>2892</v>
      </c>
      <c r="B26" s="244" t="s">
        <v>2893</v>
      </c>
      <c r="C26" s="430"/>
      <c r="D26" s="244"/>
      <c r="E26" s="244">
        <v>55719</v>
      </c>
      <c r="F26" s="523"/>
      <c r="G26" s="244">
        <v>1</v>
      </c>
      <c r="H26" s="564"/>
      <c r="I26" s="547">
        <f t="shared" si="0"/>
        <v>0</v>
      </c>
    </row>
    <row r="27" spans="1:9" ht="15" x14ac:dyDescent="0.2">
      <c r="A27" s="70" t="s">
        <v>2186</v>
      </c>
      <c r="B27" s="71" t="s">
        <v>2188</v>
      </c>
      <c r="C27" s="430"/>
      <c r="D27" s="71"/>
      <c r="E27" s="71" t="s">
        <v>1920</v>
      </c>
      <c r="F27" s="523"/>
      <c r="G27" s="312">
        <v>1</v>
      </c>
      <c r="H27" s="546"/>
      <c r="I27" s="547">
        <f t="shared" si="0"/>
        <v>0</v>
      </c>
    </row>
    <row r="28" spans="1:9" ht="15" x14ac:dyDescent="0.2">
      <c r="A28" s="70" t="s">
        <v>2185</v>
      </c>
      <c r="B28" s="71" t="s">
        <v>2189</v>
      </c>
      <c r="C28" s="430"/>
      <c r="D28" s="71"/>
      <c r="E28" s="71" t="s">
        <v>1920</v>
      </c>
      <c r="F28" s="523"/>
      <c r="G28" s="312">
        <v>1</v>
      </c>
      <c r="H28" s="546"/>
      <c r="I28" s="547">
        <f t="shared" si="0"/>
        <v>0</v>
      </c>
    </row>
    <row r="29" spans="1:9" ht="15" x14ac:dyDescent="0.2">
      <c r="A29" s="260" t="s">
        <v>39</v>
      </c>
      <c r="B29" s="71" t="s">
        <v>245</v>
      </c>
      <c r="C29" s="430"/>
      <c r="D29" s="71"/>
      <c r="E29" s="71" t="s">
        <v>1920</v>
      </c>
      <c r="F29" s="523"/>
      <c r="G29" s="312">
        <v>1</v>
      </c>
      <c r="H29" s="546"/>
      <c r="I29" s="547">
        <f t="shared" si="0"/>
        <v>0</v>
      </c>
    </row>
    <row r="30" spans="1:9" ht="15" x14ac:dyDescent="0.2">
      <c r="A30" s="8" t="s">
        <v>111</v>
      </c>
      <c r="B30" s="71" t="s">
        <v>560</v>
      </c>
      <c r="C30" s="430"/>
      <c r="D30" s="71"/>
      <c r="E30" s="71" t="s">
        <v>1920</v>
      </c>
      <c r="F30" s="523"/>
      <c r="G30" s="10">
        <v>1</v>
      </c>
      <c r="H30" s="572"/>
      <c r="I30" s="547">
        <f t="shared" si="0"/>
        <v>0</v>
      </c>
    </row>
    <row r="31" spans="1:9" ht="15" x14ac:dyDescent="0.2">
      <c r="A31" s="8" t="s">
        <v>6</v>
      </c>
      <c r="B31" s="71" t="s">
        <v>91</v>
      </c>
      <c r="C31" s="430"/>
      <c r="D31" s="71"/>
      <c r="E31" s="71" t="s">
        <v>1920</v>
      </c>
      <c r="F31" s="523"/>
      <c r="G31" s="10">
        <v>1</v>
      </c>
      <c r="H31" s="572"/>
      <c r="I31" s="547">
        <f t="shared" si="0"/>
        <v>0</v>
      </c>
    </row>
    <row r="32" spans="1:9" ht="15" x14ac:dyDescent="0.2">
      <c r="A32" s="8" t="s">
        <v>338</v>
      </c>
      <c r="B32" s="71" t="s">
        <v>43</v>
      </c>
      <c r="C32" s="430"/>
      <c r="D32" s="71"/>
      <c r="E32" s="71" t="s">
        <v>1920</v>
      </c>
      <c r="F32" s="523"/>
      <c r="G32" s="312">
        <v>1</v>
      </c>
      <c r="H32" s="573"/>
      <c r="I32" s="547">
        <f t="shared" si="0"/>
        <v>0</v>
      </c>
    </row>
    <row r="33" spans="1:9" ht="15" x14ac:dyDescent="0.2">
      <c r="A33" s="70" t="s">
        <v>3</v>
      </c>
      <c r="B33" s="71" t="s">
        <v>465</v>
      </c>
      <c r="C33" s="430"/>
      <c r="D33" s="71"/>
      <c r="E33" s="71" t="s">
        <v>1920</v>
      </c>
      <c r="F33" s="523"/>
      <c r="G33" s="312">
        <v>1</v>
      </c>
      <c r="H33" s="546"/>
      <c r="I33" s="547">
        <f t="shared" si="0"/>
        <v>0</v>
      </c>
    </row>
    <row r="34" spans="1:9" ht="15" x14ac:dyDescent="0.2">
      <c r="A34" s="8" t="s">
        <v>2190</v>
      </c>
      <c r="B34" s="71" t="s">
        <v>2191</v>
      </c>
      <c r="C34" s="430"/>
      <c r="D34" s="71"/>
      <c r="E34" s="71" t="s">
        <v>1920</v>
      </c>
      <c r="F34" s="523"/>
      <c r="G34" s="10">
        <v>1</v>
      </c>
      <c r="H34" s="572"/>
      <c r="I34" s="547">
        <f t="shared" si="0"/>
        <v>0</v>
      </c>
    </row>
    <row r="35" spans="1:9" ht="15" x14ac:dyDescent="0.2">
      <c r="A35" s="8" t="s">
        <v>861</v>
      </c>
      <c r="B35" s="314" t="s">
        <v>506</v>
      </c>
      <c r="C35" s="430"/>
      <c r="D35" s="314"/>
      <c r="E35" s="314" t="s">
        <v>1920</v>
      </c>
      <c r="F35" s="523"/>
      <c r="G35" s="312">
        <v>1</v>
      </c>
      <c r="H35" s="573"/>
      <c r="I35" s="547">
        <f t="shared" si="0"/>
        <v>0</v>
      </c>
    </row>
    <row r="36" spans="1:9" ht="15" x14ac:dyDescent="0.2">
      <c r="A36" s="8" t="s">
        <v>1530</v>
      </c>
      <c r="B36" s="314" t="s">
        <v>568</v>
      </c>
      <c r="C36" s="430"/>
      <c r="D36" s="71"/>
      <c r="E36" s="71" t="s">
        <v>1920</v>
      </c>
      <c r="F36" s="523"/>
      <c r="G36" s="10">
        <v>1</v>
      </c>
      <c r="H36" s="572"/>
      <c r="I36" s="547">
        <f t="shared" si="0"/>
        <v>0</v>
      </c>
    </row>
    <row r="37" spans="1:9" ht="15" x14ac:dyDescent="0.2">
      <c r="A37" s="260" t="s">
        <v>180</v>
      </c>
      <c r="B37" s="71" t="s">
        <v>479</v>
      </c>
      <c r="C37" s="430"/>
      <c r="D37" s="71"/>
      <c r="E37" s="71" t="s">
        <v>1920</v>
      </c>
      <c r="F37" s="523"/>
      <c r="G37" s="312">
        <v>1</v>
      </c>
      <c r="H37" s="546"/>
      <c r="I37" s="547">
        <f t="shared" si="0"/>
        <v>0</v>
      </c>
    </row>
    <row r="38" spans="1:9" ht="15" x14ac:dyDescent="0.2">
      <c r="A38" s="8" t="s">
        <v>54</v>
      </c>
      <c r="B38" s="71" t="s">
        <v>3073</v>
      </c>
      <c r="C38" s="430"/>
      <c r="D38" s="71"/>
      <c r="E38" s="71" t="s">
        <v>1920</v>
      </c>
      <c r="F38" s="523"/>
      <c r="G38" s="10">
        <v>1</v>
      </c>
      <c r="H38" s="572"/>
      <c r="I38" s="547">
        <f t="shared" si="0"/>
        <v>0</v>
      </c>
    </row>
    <row r="39" spans="1:9" ht="15" x14ac:dyDescent="0.2">
      <c r="A39" s="8" t="s">
        <v>55</v>
      </c>
      <c r="B39" s="71" t="s">
        <v>524</v>
      </c>
      <c r="C39" s="430"/>
      <c r="D39" s="71"/>
      <c r="E39" s="71" t="s">
        <v>1920</v>
      </c>
      <c r="F39" s="523"/>
      <c r="G39" s="10">
        <v>1</v>
      </c>
      <c r="H39" s="572"/>
      <c r="I39" s="547">
        <f t="shared" si="0"/>
        <v>0</v>
      </c>
    </row>
    <row r="40" spans="1:9" ht="15" x14ac:dyDescent="0.2">
      <c r="A40" s="196" t="s">
        <v>1469</v>
      </c>
      <c r="B40" s="49" t="s">
        <v>737</v>
      </c>
      <c r="C40" s="430"/>
      <c r="D40" s="49"/>
      <c r="E40" s="49" t="s">
        <v>1920</v>
      </c>
      <c r="F40" s="523"/>
      <c r="G40" s="31">
        <v>1</v>
      </c>
      <c r="H40" s="571"/>
      <c r="I40" s="547">
        <f t="shared" si="0"/>
        <v>0</v>
      </c>
    </row>
    <row r="41" spans="1:9" ht="15" x14ac:dyDescent="0.2">
      <c r="A41" s="8" t="s">
        <v>66</v>
      </c>
      <c r="B41" s="71" t="s">
        <v>1836</v>
      </c>
      <c r="C41" s="430"/>
      <c r="D41" s="71"/>
      <c r="E41" s="71" t="s">
        <v>1947</v>
      </c>
      <c r="F41" s="523"/>
      <c r="G41" s="10">
        <v>1</v>
      </c>
      <c r="H41" s="572"/>
      <c r="I41" s="547">
        <f t="shared" si="0"/>
        <v>0</v>
      </c>
    </row>
    <row r="42" spans="1:9" ht="15" x14ac:dyDescent="0.2">
      <c r="A42" s="246" t="s">
        <v>1219</v>
      </c>
      <c r="B42" s="71" t="s">
        <v>882</v>
      </c>
      <c r="C42" s="430"/>
      <c r="D42" s="71" t="s">
        <v>1882</v>
      </c>
      <c r="E42" s="71" t="s">
        <v>1928</v>
      </c>
      <c r="F42" s="523"/>
      <c r="G42" s="244">
        <v>1</v>
      </c>
      <c r="H42" s="564"/>
      <c r="I42" s="547">
        <f t="shared" si="0"/>
        <v>0</v>
      </c>
    </row>
    <row r="43" spans="1:9" ht="15" x14ac:dyDescent="0.2">
      <c r="A43" s="245" t="s">
        <v>1494</v>
      </c>
      <c r="B43" s="71" t="s">
        <v>866</v>
      </c>
      <c r="C43" s="430"/>
      <c r="D43" s="71" t="s">
        <v>1889</v>
      </c>
      <c r="E43" s="71" t="s">
        <v>1951</v>
      </c>
      <c r="F43" s="523"/>
      <c r="G43" s="312">
        <v>1</v>
      </c>
      <c r="H43" s="546"/>
      <c r="I43" s="547">
        <f t="shared" si="0"/>
        <v>0</v>
      </c>
    </row>
    <row r="44" spans="1:9" ht="15" x14ac:dyDescent="0.2">
      <c r="A44" s="195" t="s">
        <v>1496</v>
      </c>
      <c r="B44" s="197" t="s">
        <v>738</v>
      </c>
      <c r="C44" s="430"/>
      <c r="D44" s="197" t="s">
        <v>1891</v>
      </c>
      <c r="E44" s="197" t="s">
        <v>1949</v>
      </c>
      <c r="F44" s="523"/>
      <c r="G44" s="31">
        <v>1</v>
      </c>
      <c r="H44" s="571"/>
      <c r="I44" s="547">
        <f t="shared" si="0"/>
        <v>0</v>
      </c>
    </row>
    <row r="45" spans="1:9" ht="15" x14ac:dyDescent="0.2">
      <c r="A45" s="8" t="s">
        <v>2231</v>
      </c>
      <c r="B45" s="314" t="s">
        <v>357</v>
      </c>
      <c r="C45" s="430"/>
      <c r="D45" s="71"/>
      <c r="E45" s="314" t="s">
        <v>1920</v>
      </c>
      <c r="F45" s="523"/>
      <c r="G45" s="10">
        <v>1</v>
      </c>
      <c r="H45" s="572"/>
      <c r="I45" s="547">
        <f t="shared" si="0"/>
        <v>0</v>
      </c>
    </row>
    <row r="46" spans="1:9" ht="15" x14ac:dyDescent="0.2">
      <c r="A46" s="8" t="s">
        <v>1184</v>
      </c>
      <c r="B46" s="71" t="s">
        <v>327</v>
      </c>
      <c r="C46" s="430"/>
      <c r="D46" s="71"/>
      <c r="E46" s="71" t="s">
        <v>1920</v>
      </c>
      <c r="F46" s="523"/>
      <c r="G46" s="10">
        <v>1</v>
      </c>
      <c r="H46" s="572"/>
      <c r="I46" s="547">
        <f t="shared" si="0"/>
        <v>0</v>
      </c>
    </row>
    <row r="47" spans="1:9" ht="15" x14ac:dyDescent="0.2">
      <c r="A47" s="8" t="s">
        <v>1180</v>
      </c>
      <c r="B47" s="314" t="s">
        <v>359</v>
      </c>
      <c r="C47" s="430"/>
      <c r="D47" s="314"/>
      <c r="E47" s="314" t="s">
        <v>1920</v>
      </c>
      <c r="F47" s="523"/>
      <c r="G47" s="10">
        <v>1</v>
      </c>
      <c r="H47" s="572"/>
      <c r="I47" s="547">
        <f t="shared" si="0"/>
        <v>0</v>
      </c>
    </row>
    <row r="48" spans="1:9" ht="15" x14ac:dyDescent="0.2">
      <c r="A48" s="8" t="s">
        <v>1187</v>
      </c>
      <c r="B48" s="71" t="s">
        <v>360</v>
      </c>
      <c r="C48" s="430"/>
      <c r="D48" s="71"/>
      <c r="E48" s="71" t="s">
        <v>1920</v>
      </c>
      <c r="F48" s="523"/>
      <c r="G48" s="10">
        <v>1</v>
      </c>
      <c r="H48" s="572"/>
      <c r="I48" s="547">
        <f t="shared" si="0"/>
        <v>0</v>
      </c>
    </row>
    <row r="49" spans="1:9" ht="15" x14ac:dyDescent="0.2">
      <c r="A49" s="8" t="s">
        <v>1181</v>
      </c>
      <c r="B49" s="71" t="s">
        <v>199</v>
      </c>
      <c r="C49" s="430"/>
      <c r="D49" s="71"/>
      <c r="E49" s="71" t="s">
        <v>1920</v>
      </c>
      <c r="F49" s="523"/>
      <c r="G49" s="10">
        <v>1</v>
      </c>
      <c r="H49" s="572"/>
      <c r="I49" s="547">
        <f t="shared" si="0"/>
        <v>0</v>
      </c>
    </row>
    <row r="50" spans="1:9" ht="15" x14ac:dyDescent="0.2">
      <c r="A50" s="8" t="s">
        <v>1054</v>
      </c>
      <c r="B50" s="71" t="s">
        <v>326</v>
      </c>
      <c r="C50" s="430"/>
      <c r="D50" s="71"/>
      <c r="E50" s="71" t="s">
        <v>1920</v>
      </c>
      <c r="F50" s="523"/>
      <c r="G50" s="10">
        <v>1</v>
      </c>
      <c r="H50" s="572"/>
      <c r="I50" s="547">
        <f t="shared" si="0"/>
        <v>0</v>
      </c>
    </row>
    <row r="51" spans="1:9" ht="15" x14ac:dyDescent="0.2">
      <c r="A51" s="8" t="s">
        <v>2230</v>
      </c>
      <c r="B51" s="71" t="s">
        <v>325</v>
      </c>
      <c r="C51" s="430"/>
      <c r="D51" s="71"/>
      <c r="E51" s="71" t="s">
        <v>1920</v>
      </c>
      <c r="F51" s="523"/>
      <c r="G51" s="10">
        <v>1</v>
      </c>
      <c r="H51" s="572"/>
      <c r="I51" s="547">
        <f t="shared" si="0"/>
        <v>0</v>
      </c>
    </row>
    <row r="52" spans="1:9" ht="15" x14ac:dyDescent="0.2">
      <c r="A52" s="8" t="s">
        <v>2879</v>
      </c>
      <c r="B52" s="71" t="s">
        <v>329</v>
      </c>
      <c r="C52" s="430"/>
      <c r="D52" s="71"/>
      <c r="E52" s="71" t="s">
        <v>1920</v>
      </c>
      <c r="F52" s="523"/>
      <c r="G52" s="10">
        <v>1</v>
      </c>
      <c r="H52" s="572"/>
      <c r="I52" s="547">
        <f t="shared" si="0"/>
        <v>0</v>
      </c>
    </row>
    <row r="53" spans="1:9" ht="15" x14ac:dyDescent="0.2">
      <c r="A53" s="8" t="s">
        <v>1182</v>
      </c>
      <c r="B53" s="71" t="s">
        <v>366</v>
      </c>
      <c r="C53" s="430"/>
      <c r="D53" s="71"/>
      <c r="E53" s="71" t="s">
        <v>1920</v>
      </c>
      <c r="F53" s="523"/>
      <c r="G53" s="10">
        <v>1</v>
      </c>
      <c r="H53" s="572"/>
      <c r="I53" s="547">
        <f t="shared" si="0"/>
        <v>0</v>
      </c>
    </row>
    <row r="54" spans="1:9" ht="15" x14ac:dyDescent="0.2">
      <c r="A54" s="8" t="s">
        <v>2897</v>
      </c>
      <c r="B54" s="71" t="s">
        <v>324</v>
      </c>
      <c r="C54" s="430"/>
      <c r="D54" s="71"/>
      <c r="E54" s="71" t="s">
        <v>1920</v>
      </c>
      <c r="F54" s="523"/>
      <c r="G54" s="10">
        <v>1</v>
      </c>
      <c r="H54" s="572"/>
      <c r="I54" s="547">
        <f t="shared" si="0"/>
        <v>0</v>
      </c>
    </row>
    <row r="55" spans="1:9" ht="15" x14ac:dyDescent="0.2">
      <c r="A55" s="389" t="s">
        <v>852</v>
      </c>
      <c r="B55" s="71" t="s">
        <v>545</v>
      </c>
      <c r="C55" s="430"/>
      <c r="D55" s="71"/>
      <c r="E55" s="71" t="s">
        <v>1920</v>
      </c>
      <c r="F55" s="430"/>
      <c r="G55" s="10">
        <v>1</v>
      </c>
      <c r="H55" s="572"/>
      <c r="I55" s="547">
        <f t="shared" si="0"/>
        <v>0</v>
      </c>
    </row>
    <row r="56" spans="1:9" ht="15" x14ac:dyDescent="0.2">
      <c r="A56" s="195" t="s">
        <v>1559</v>
      </c>
      <c r="B56" s="71" t="s">
        <v>655</v>
      </c>
      <c r="C56" s="430"/>
      <c r="D56" s="71"/>
      <c r="E56" s="71" t="s">
        <v>1920</v>
      </c>
      <c r="F56" s="457"/>
      <c r="G56" s="10">
        <v>1</v>
      </c>
      <c r="H56" s="572"/>
      <c r="I56" s="547">
        <f t="shared" si="0"/>
        <v>0</v>
      </c>
    </row>
    <row r="57" spans="1:9" ht="15" x14ac:dyDescent="0.2">
      <c r="A57" s="8" t="s">
        <v>1575</v>
      </c>
      <c r="B57" s="71" t="s">
        <v>571</v>
      </c>
      <c r="C57" s="430"/>
      <c r="D57" s="71"/>
      <c r="E57" s="71" t="s">
        <v>1920</v>
      </c>
      <c r="F57" s="523"/>
      <c r="G57" s="10">
        <v>1</v>
      </c>
      <c r="H57" s="572"/>
      <c r="I57" s="547">
        <f t="shared" si="0"/>
        <v>0</v>
      </c>
    </row>
    <row r="58" spans="1:9" ht="15" x14ac:dyDescent="0.2">
      <c r="A58" s="159" t="s">
        <v>1562</v>
      </c>
      <c r="B58" s="71" t="s">
        <v>652</v>
      </c>
      <c r="C58" s="430"/>
      <c r="D58" s="71"/>
      <c r="E58" s="71" t="s">
        <v>1920</v>
      </c>
      <c r="F58" s="429"/>
      <c r="G58" s="10">
        <v>1</v>
      </c>
      <c r="H58" s="572"/>
      <c r="I58" s="547">
        <f t="shared" si="0"/>
        <v>0</v>
      </c>
    </row>
    <row r="59" spans="1:9" ht="15" x14ac:dyDescent="0.2">
      <c r="A59" s="159" t="s">
        <v>1563</v>
      </c>
      <c r="B59" s="71" t="s">
        <v>513</v>
      </c>
      <c r="C59" s="430"/>
      <c r="D59" s="71"/>
      <c r="E59" s="71" t="s">
        <v>1920</v>
      </c>
      <c r="F59" s="429"/>
      <c r="G59" s="10">
        <v>1</v>
      </c>
      <c r="H59" s="572"/>
      <c r="I59" s="547">
        <f t="shared" si="0"/>
        <v>0</v>
      </c>
    </row>
    <row r="60" spans="1:9" ht="15" x14ac:dyDescent="0.2">
      <c r="A60" s="159" t="s">
        <v>1564</v>
      </c>
      <c r="B60" s="71" t="s">
        <v>647</v>
      </c>
      <c r="C60" s="430"/>
      <c r="D60" s="71"/>
      <c r="E60" s="71" t="s">
        <v>1920</v>
      </c>
      <c r="F60" s="429"/>
      <c r="G60" s="10">
        <v>1</v>
      </c>
      <c r="H60" s="572"/>
      <c r="I60" s="547">
        <f t="shared" si="0"/>
        <v>0</v>
      </c>
    </row>
    <row r="61" spans="1:9" ht="15" x14ac:dyDescent="0.2">
      <c r="A61" s="159" t="s">
        <v>1565</v>
      </c>
      <c r="B61" s="71" t="s">
        <v>648</v>
      </c>
      <c r="C61" s="430"/>
      <c r="D61" s="71"/>
      <c r="E61" s="71" t="s">
        <v>1920</v>
      </c>
      <c r="F61" s="429"/>
      <c r="G61" s="10">
        <v>1</v>
      </c>
      <c r="H61" s="572"/>
      <c r="I61" s="547">
        <f t="shared" si="0"/>
        <v>0</v>
      </c>
    </row>
    <row r="62" spans="1:9" ht="15" x14ac:dyDescent="0.2">
      <c r="A62" s="159" t="s">
        <v>1566</v>
      </c>
      <c r="B62" s="71" t="s">
        <v>514</v>
      </c>
      <c r="C62" s="430"/>
      <c r="D62" s="71"/>
      <c r="E62" s="71" t="s">
        <v>1920</v>
      </c>
      <c r="F62" s="429"/>
      <c r="G62" s="10">
        <v>1</v>
      </c>
      <c r="H62" s="572"/>
      <c r="I62" s="547">
        <f t="shared" si="0"/>
        <v>0</v>
      </c>
    </row>
    <row r="63" spans="1:9" ht="15" x14ac:dyDescent="0.2">
      <c r="A63" s="159" t="s">
        <v>1567</v>
      </c>
      <c r="B63" s="71" t="s">
        <v>649</v>
      </c>
      <c r="C63" s="430"/>
      <c r="D63" s="71"/>
      <c r="E63" s="71" t="s">
        <v>1920</v>
      </c>
      <c r="F63" s="429"/>
      <c r="G63" s="10">
        <v>1</v>
      </c>
      <c r="H63" s="572"/>
      <c r="I63" s="547">
        <f t="shared" si="0"/>
        <v>0</v>
      </c>
    </row>
    <row r="64" spans="1:9" ht="15" x14ac:dyDescent="0.2">
      <c r="A64" s="159" t="s">
        <v>1568</v>
      </c>
      <c r="B64" s="71" t="s">
        <v>650</v>
      </c>
      <c r="C64" s="430"/>
      <c r="D64" s="71"/>
      <c r="E64" s="71" t="s">
        <v>1920</v>
      </c>
      <c r="F64" s="429"/>
      <c r="G64" s="10">
        <v>1</v>
      </c>
      <c r="H64" s="572"/>
      <c r="I64" s="547">
        <f t="shared" si="0"/>
        <v>0</v>
      </c>
    </row>
    <row r="65" spans="1:9" ht="15" x14ac:dyDescent="0.2">
      <c r="A65" s="159" t="s">
        <v>1569</v>
      </c>
      <c r="B65" s="314" t="s">
        <v>651</v>
      </c>
      <c r="C65" s="430"/>
      <c r="D65" s="314"/>
      <c r="E65" s="314" t="s">
        <v>1920</v>
      </c>
      <c r="F65" s="429"/>
      <c r="G65" s="10">
        <v>1</v>
      </c>
      <c r="H65" s="572"/>
      <c r="I65" s="547">
        <f t="shared" si="0"/>
        <v>0</v>
      </c>
    </row>
    <row r="66" spans="1:9" ht="15" x14ac:dyDescent="0.2">
      <c r="A66" s="159" t="s">
        <v>1570</v>
      </c>
      <c r="B66" s="71" t="s">
        <v>575</v>
      </c>
      <c r="C66" s="430"/>
      <c r="D66" s="71"/>
      <c r="E66" s="71" t="s">
        <v>1920</v>
      </c>
      <c r="F66" s="429"/>
      <c r="G66" s="10">
        <v>1</v>
      </c>
      <c r="H66" s="572"/>
      <c r="I66" s="547">
        <f t="shared" si="0"/>
        <v>0</v>
      </c>
    </row>
    <row r="67" spans="1:9" ht="15" x14ac:dyDescent="0.2">
      <c r="A67" s="8" t="s">
        <v>1040</v>
      </c>
      <c r="B67" s="71" t="s">
        <v>274</v>
      </c>
      <c r="C67" s="430"/>
      <c r="D67" s="71"/>
      <c r="E67" s="71" t="s">
        <v>1920</v>
      </c>
      <c r="F67" s="429"/>
      <c r="G67" s="10">
        <v>1</v>
      </c>
      <c r="H67" s="572"/>
      <c r="I67" s="547">
        <f t="shared" ref="I67:I123" si="1">+G67*H67</f>
        <v>0</v>
      </c>
    </row>
    <row r="68" spans="1:9" ht="15" x14ac:dyDescent="0.2">
      <c r="A68" s="14" t="s">
        <v>3199</v>
      </c>
      <c r="B68" s="71" t="s">
        <v>253</v>
      </c>
      <c r="C68" s="430"/>
      <c r="D68" s="71"/>
      <c r="E68" s="71" t="s">
        <v>1920</v>
      </c>
      <c r="F68" s="429"/>
      <c r="G68" s="15">
        <v>1</v>
      </c>
      <c r="H68" s="546"/>
      <c r="I68" s="547">
        <f t="shared" si="1"/>
        <v>0</v>
      </c>
    </row>
    <row r="69" spans="1:9" ht="15" x14ac:dyDescent="0.2">
      <c r="A69" s="14" t="s">
        <v>3197</v>
      </c>
      <c r="B69" s="71" t="s">
        <v>254</v>
      </c>
      <c r="C69" s="430"/>
      <c r="D69" s="71"/>
      <c r="E69" s="71" t="s">
        <v>1920</v>
      </c>
      <c r="F69" s="429"/>
      <c r="G69" s="15">
        <v>1</v>
      </c>
      <c r="H69" s="546"/>
      <c r="I69" s="547">
        <f t="shared" si="1"/>
        <v>0</v>
      </c>
    </row>
    <row r="70" spans="1:9" ht="15" x14ac:dyDescent="0.2">
      <c r="A70" s="260" t="s">
        <v>3198</v>
      </c>
      <c r="B70" s="71" t="s">
        <v>255</v>
      </c>
      <c r="C70" s="430"/>
      <c r="D70" s="71"/>
      <c r="E70" s="71" t="s">
        <v>1920</v>
      </c>
      <c r="F70" s="429"/>
      <c r="G70" s="15">
        <v>1</v>
      </c>
      <c r="H70" s="546"/>
      <c r="I70" s="547">
        <f t="shared" si="1"/>
        <v>0</v>
      </c>
    </row>
    <row r="71" spans="1:9" ht="15" x14ac:dyDescent="0.2">
      <c r="A71" s="70" t="s">
        <v>25</v>
      </c>
      <c r="B71" s="71" t="s">
        <v>300</v>
      </c>
      <c r="C71" s="430"/>
      <c r="D71" s="71"/>
      <c r="E71" s="71" t="s">
        <v>1920</v>
      </c>
      <c r="F71" s="429"/>
      <c r="G71" s="15">
        <v>1</v>
      </c>
      <c r="H71" s="546"/>
      <c r="I71" s="547">
        <f t="shared" si="1"/>
        <v>0</v>
      </c>
    </row>
    <row r="72" spans="1:9" ht="15" x14ac:dyDescent="0.2">
      <c r="A72" s="8" t="s">
        <v>1275</v>
      </c>
      <c r="B72" s="71" t="s">
        <v>478</v>
      </c>
      <c r="C72" s="430"/>
      <c r="D72" s="71"/>
      <c r="E72" s="71">
        <v>55719</v>
      </c>
      <c r="F72" s="429"/>
      <c r="G72" s="10">
        <v>1</v>
      </c>
      <c r="H72" s="572"/>
      <c r="I72" s="547">
        <f t="shared" si="1"/>
        <v>0</v>
      </c>
    </row>
    <row r="73" spans="1:9" ht="15" x14ac:dyDescent="0.2">
      <c r="A73" s="8" t="s">
        <v>1253</v>
      </c>
      <c r="B73" s="314" t="s">
        <v>315</v>
      </c>
      <c r="C73" s="430"/>
      <c r="D73" s="314"/>
      <c r="E73" s="314" t="s">
        <v>1920</v>
      </c>
      <c r="F73" s="429"/>
      <c r="G73" s="10">
        <v>1</v>
      </c>
      <c r="H73" s="572"/>
      <c r="I73" s="547">
        <f t="shared" si="1"/>
        <v>0</v>
      </c>
    </row>
    <row r="74" spans="1:9" ht="15" x14ac:dyDescent="0.2">
      <c r="A74" s="260" t="s">
        <v>1595</v>
      </c>
      <c r="B74" s="71" t="s">
        <v>935</v>
      </c>
      <c r="C74" s="430"/>
      <c r="D74" s="71"/>
      <c r="E74" s="71" t="s">
        <v>1920</v>
      </c>
      <c r="F74" s="429"/>
      <c r="G74" s="15">
        <v>1</v>
      </c>
      <c r="H74" s="546"/>
      <c r="I74" s="547">
        <f t="shared" si="1"/>
        <v>0</v>
      </c>
    </row>
    <row r="75" spans="1:9" ht="15" x14ac:dyDescent="0.2">
      <c r="A75" s="260" t="s">
        <v>1596</v>
      </c>
      <c r="B75" s="71" t="s">
        <v>936</v>
      </c>
      <c r="C75" s="430"/>
      <c r="D75" s="71"/>
      <c r="E75" s="71" t="s">
        <v>1920</v>
      </c>
      <c r="F75" s="429"/>
      <c r="G75" s="15">
        <v>1</v>
      </c>
      <c r="H75" s="546"/>
      <c r="I75" s="547">
        <f t="shared" si="1"/>
        <v>0</v>
      </c>
    </row>
    <row r="76" spans="1:9" ht="15" x14ac:dyDescent="0.2">
      <c r="A76" s="8" t="s">
        <v>410</v>
      </c>
      <c r="B76" s="71" t="s">
        <v>483</v>
      </c>
      <c r="C76" s="430"/>
      <c r="D76" s="71"/>
      <c r="E76" s="71" t="s">
        <v>1920</v>
      </c>
      <c r="F76" s="429"/>
      <c r="G76" s="10">
        <v>1</v>
      </c>
      <c r="H76" s="572"/>
      <c r="I76" s="547">
        <f t="shared" si="1"/>
        <v>0</v>
      </c>
    </row>
    <row r="77" spans="1:9" ht="15" x14ac:dyDescent="0.2">
      <c r="A77" s="8" t="s">
        <v>1287</v>
      </c>
      <c r="B77" s="314" t="s">
        <v>474</v>
      </c>
      <c r="C77" s="430"/>
      <c r="D77" s="314"/>
      <c r="E77" s="314" t="s">
        <v>1920</v>
      </c>
      <c r="F77" s="429"/>
      <c r="G77" s="10">
        <v>1</v>
      </c>
      <c r="H77" s="572"/>
      <c r="I77" s="547">
        <f t="shared" si="1"/>
        <v>0</v>
      </c>
    </row>
    <row r="78" spans="1:9" ht="15" x14ac:dyDescent="0.2">
      <c r="A78" s="155" t="s">
        <v>2133</v>
      </c>
      <c r="B78" s="236" t="s">
        <v>2909</v>
      </c>
      <c r="C78" s="430"/>
      <c r="D78" s="71"/>
      <c r="E78" s="236">
        <v>56654</v>
      </c>
      <c r="F78" s="429"/>
      <c r="G78" s="10">
        <v>2</v>
      </c>
      <c r="H78" s="546"/>
      <c r="I78" s="547">
        <f t="shared" si="1"/>
        <v>0</v>
      </c>
    </row>
    <row r="79" spans="1:9" ht="15" x14ac:dyDescent="0.2">
      <c r="A79" s="8" t="s">
        <v>1242</v>
      </c>
      <c r="B79" s="71" t="s">
        <v>305</v>
      </c>
      <c r="C79" s="430"/>
      <c r="D79" s="71"/>
      <c r="E79" s="71" t="s">
        <v>1920</v>
      </c>
      <c r="F79" s="429"/>
      <c r="G79" s="10">
        <v>1</v>
      </c>
      <c r="H79" s="572"/>
      <c r="I79" s="547">
        <f t="shared" si="1"/>
        <v>0</v>
      </c>
    </row>
    <row r="80" spans="1:9" ht="15" x14ac:dyDescent="0.2">
      <c r="A80" s="8" t="s">
        <v>1240</v>
      </c>
      <c r="B80" s="71" t="s">
        <v>304</v>
      </c>
      <c r="C80" s="430"/>
      <c r="D80" s="71"/>
      <c r="E80" s="71" t="s">
        <v>1920</v>
      </c>
      <c r="F80" s="429"/>
      <c r="G80" s="10">
        <v>1</v>
      </c>
      <c r="H80" s="572"/>
      <c r="I80" s="547">
        <f t="shared" si="1"/>
        <v>0</v>
      </c>
    </row>
    <row r="81" spans="1:9" ht="15" x14ac:dyDescent="0.2">
      <c r="A81" s="70" t="s">
        <v>1123</v>
      </c>
      <c r="B81" s="71">
        <v>8130010</v>
      </c>
      <c r="C81" s="430"/>
      <c r="D81" s="71"/>
      <c r="E81" s="71" t="s">
        <v>1975</v>
      </c>
      <c r="F81" s="429"/>
      <c r="G81" s="312">
        <v>1</v>
      </c>
      <c r="H81" s="546"/>
      <c r="I81" s="547">
        <f t="shared" si="1"/>
        <v>0</v>
      </c>
    </row>
    <row r="82" spans="1:9" ht="15" x14ac:dyDescent="0.2">
      <c r="A82" s="193" t="s">
        <v>105</v>
      </c>
      <c r="B82" s="32" t="s">
        <v>2118</v>
      </c>
      <c r="C82" s="430"/>
      <c r="D82" s="71"/>
      <c r="E82" s="32" t="s">
        <v>1975</v>
      </c>
      <c r="F82" s="429"/>
      <c r="G82" s="10">
        <v>1</v>
      </c>
      <c r="H82" s="572"/>
      <c r="I82" s="547">
        <f t="shared" si="1"/>
        <v>0</v>
      </c>
    </row>
    <row r="83" spans="1:9" ht="15" x14ac:dyDescent="0.2">
      <c r="A83" s="194" t="s">
        <v>1156</v>
      </c>
      <c r="B83" s="32" t="s">
        <v>2117</v>
      </c>
      <c r="C83" s="430"/>
      <c r="D83" s="71"/>
      <c r="E83" s="32" t="s">
        <v>1975</v>
      </c>
      <c r="F83" s="429"/>
      <c r="G83" s="312">
        <v>2</v>
      </c>
      <c r="H83" s="546"/>
      <c r="I83" s="547">
        <f t="shared" si="1"/>
        <v>0</v>
      </c>
    </row>
    <row r="84" spans="1:9" ht="15" x14ac:dyDescent="0.2">
      <c r="A84" s="70" t="s">
        <v>1226</v>
      </c>
      <c r="B84" s="71" t="s">
        <v>299</v>
      </c>
      <c r="C84" s="430"/>
      <c r="D84" s="71"/>
      <c r="E84" s="71" t="s">
        <v>1920</v>
      </c>
      <c r="F84" s="429"/>
      <c r="G84" s="312">
        <v>1</v>
      </c>
      <c r="H84" s="546"/>
      <c r="I84" s="547">
        <f t="shared" si="1"/>
        <v>0</v>
      </c>
    </row>
    <row r="85" spans="1:9" ht="15" x14ac:dyDescent="0.2">
      <c r="A85" s="8" t="s">
        <v>9</v>
      </c>
      <c r="B85" s="71" t="s">
        <v>375</v>
      </c>
      <c r="C85" s="430"/>
      <c r="D85" s="71"/>
      <c r="E85" s="71" t="s">
        <v>1920</v>
      </c>
      <c r="F85" s="429"/>
      <c r="G85" s="10">
        <v>1</v>
      </c>
      <c r="H85" s="572"/>
      <c r="I85" s="547">
        <f t="shared" si="1"/>
        <v>0</v>
      </c>
    </row>
    <row r="86" spans="1:9" ht="15" x14ac:dyDescent="0.2">
      <c r="A86" s="8" t="s">
        <v>1085</v>
      </c>
      <c r="B86" s="71" t="s">
        <v>92</v>
      </c>
      <c r="C86" s="430"/>
      <c r="D86" s="71"/>
      <c r="E86" s="71" t="s">
        <v>1920</v>
      </c>
      <c r="F86" s="429"/>
      <c r="G86" s="10">
        <v>1</v>
      </c>
      <c r="H86" s="572"/>
      <c r="I86" s="547">
        <f t="shared" si="1"/>
        <v>0</v>
      </c>
    </row>
    <row r="87" spans="1:9" ht="15" x14ac:dyDescent="0.2">
      <c r="A87" s="70" t="s">
        <v>29</v>
      </c>
      <c r="B87" s="71" t="s">
        <v>2758</v>
      </c>
      <c r="C87" s="430"/>
      <c r="D87" s="71"/>
      <c r="E87" s="71" t="s">
        <v>1920</v>
      </c>
      <c r="F87" s="429"/>
      <c r="G87" s="312">
        <v>1</v>
      </c>
      <c r="H87" s="546"/>
      <c r="I87" s="547">
        <f t="shared" si="1"/>
        <v>0</v>
      </c>
    </row>
    <row r="88" spans="1:9" ht="15" x14ac:dyDescent="0.2">
      <c r="A88" s="8" t="s">
        <v>1439</v>
      </c>
      <c r="B88" s="71" t="s">
        <v>389</v>
      </c>
      <c r="C88" s="430"/>
      <c r="D88" s="71"/>
      <c r="E88" s="71" t="s">
        <v>1920</v>
      </c>
      <c r="F88" s="429"/>
      <c r="G88" s="10">
        <v>1</v>
      </c>
      <c r="H88" s="572"/>
      <c r="I88" s="547">
        <f t="shared" si="1"/>
        <v>0</v>
      </c>
    </row>
    <row r="89" spans="1:9" ht="15" x14ac:dyDescent="0.2">
      <c r="A89" s="8" t="s">
        <v>1291</v>
      </c>
      <c r="B89" s="71" t="s">
        <v>95</v>
      </c>
      <c r="C89" s="430"/>
      <c r="D89" s="71"/>
      <c r="E89" s="71" t="s">
        <v>1920</v>
      </c>
      <c r="F89" s="429"/>
      <c r="G89" s="10">
        <v>1</v>
      </c>
      <c r="H89" s="572"/>
      <c r="I89" s="547">
        <f t="shared" si="1"/>
        <v>0</v>
      </c>
    </row>
    <row r="90" spans="1:9" ht="15" x14ac:dyDescent="0.2">
      <c r="A90" s="8" t="s">
        <v>1236</v>
      </c>
      <c r="B90" s="71" t="s">
        <v>77</v>
      </c>
      <c r="C90" s="430"/>
      <c r="D90" s="71"/>
      <c r="E90" s="71" t="s">
        <v>1920</v>
      </c>
      <c r="F90" s="429"/>
      <c r="G90" s="10">
        <v>1</v>
      </c>
      <c r="H90" s="572"/>
      <c r="I90" s="547">
        <f t="shared" si="1"/>
        <v>0</v>
      </c>
    </row>
    <row r="91" spans="1:9" ht="15" x14ac:dyDescent="0.2">
      <c r="A91" s="8" t="s">
        <v>1235</v>
      </c>
      <c r="B91" s="71" t="s">
        <v>78</v>
      </c>
      <c r="C91" s="430"/>
      <c r="D91" s="71"/>
      <c r="E91" s="71" t="s">
        <v>1920</v>
      </c>
      <c r="F91" s="429"/>
      <c r="G91" s="10">
        <v>1</v>
      </c>
      <c r="H91" s="572"/>
      <c r="I91" s="547">
        <f t="shared" si="1"/>
        <v>0</v>
      </c>
    </row>
    <row r="92" spans="1:9" ht="15" x14ac:dyDescent="0.2">
      <c r="A92" s="8" t="s">
        <v>1237</v>
      </c>
      <c r="B92" s="71" t="s">
        <v>306</v>
      </c>
      <c r="C92" s="430"/>
      <c r="D92" s="71"/>
      <c r="E92" s="71" t="s">
        <v>1920</v>
      </c>
      <c r="F92" s="429"/>
      <c r="G92" s="10">
        <v>1</v>
      </c>
      <c r="H92" s="572"/>
      <c r="I92" s="547">
        <f t="shared" si="1"/>
        <v>0</v>
      </c>
    </row>
    <row r="93" spans="1:9" ht="15" x14ac:dyDescent="0.2">
      <c r="A93" s="8" t="s">
        <v>1232</v>
      </c>
      <c r="B93" s="71" t="s">
        <v>76</v>
      </c>
      <c r="C93" s="430"/>
      <c r="D93" s="71"/>
      <c r="E93" s="71" t="s">
        <v>1920</v>
      </c>
      <c r="F93" s="429"/>
      <c r="G93" s="10">
        <v>1</v>
      </c>
      <c r="H93" s="572"/>
      <c r="I93" s="547">
        <f t="shared" si="1"/>
        <v>0</v>
      </c>
    </row>
    <row r="94" spans="1:9" ht="15" x14ac:dyDescent="0.2">
      <c r="A94" s="70" t="s">
        <v>259</v>
      </c>
      <c r="B94" s="71" t="s">
        <v>242</v>
      </c>
      <c r="C94" s="430"/>
      <c r="D94" s="71"/>
      <c r="E94" s="71" t="s">
        <v>1920</v>
      </c>
      <c r="F94" s="429"/>
      <c r="G94" s="15">
        <v>1</v>
      </c>
      <c r="H94" s="546"/>
      <c r="I94" s="547">
        <f t="shared" si="1"/>
        <v>0</v>
      </c>
    </row>
    <row r="95" spans="1:9" ht="15" x14ac:dyDescent="0.2">
      <c r="A95" s="8" t="s">
        <v>1025</v>
      </c>
      <c r="B95" s="314" t="s">
        <v>467</v>
      </c>
      <c r="C95" s="430"/>
      <c r="D95" s="71"/>
      <c r="E95" s="71" t="s">
        <v>1920</v>
      </c>
      <c r="F95" s="429"/>
      <c r="G95" s="10">
        <v>1</v>
      </c>
      <c r="H95" s="572"/>
      <c r="I95" s="547">
        <f t="shared" si="1"/>
        <v>0</v>
      </c>
    </row>
    <row r="96" spans="1:9" ht="15" x14ac:dyDescent="0.2">
      <c r="A96" s="8" t="s">
        <v>1442</v>
      </c>
      <c r="B96" s="71" t="s">
        <v>554</v>
      </c>
      <c r="C96" s="430"/>
      <c r="D96" s="71"/>
      <c r="E96" s="71" t="s">
        <v>1920</v>
      </c>
      <c r="F96" s="429"/>
      <c r="G96" s="10">
        <v>1</v>
      </c>
      <c r="H96" s="572"/>
      <c r="I96" s="547">
        <f t="shared" si="1"/>
        <v>0</v>
      </c>
    </row>
    <row r="97" spans="1:9" ht="15" x14ac:dyDescent="0.2">
      <c r="A97" s="70" t="s">
        <v>2187</v>
      </c>
      <c r="B97" s="71" t="s">
        <v>666</v>
      </c>
      <c r="C97" s="430"/>
      <c r="D97" s="71"/>
      <c r="E97" s="71" t="s">
        <v>1920</v>
      </c>
      <c r="F97" s="429"/>
      <c r="G97" s="15">
        <v>1</v>
      </c>
      <c r="H97" s="546"/>
      <c r="I97" s="547">
        <f t="shared" si="1"/>
        <v>0</v>
      </c>
    </row>
    <row r="98" spans="1:9" ht="15" x14ac:dyDescent="0.2">
      <c r="A98" s="260" t="s">
        <v>37</v>
      </c>
      <c r="B98" s="71" t="s">
        <v>38</v>
      </c>
      <c r="C98" s="430"/>
      <c r="D98" s="71"/>
      <c r="E98" s="71" t="s">
        <v>1920</v>
      </c>
      <c r="F98" s="429"/>
      <c r="G98" s="15">
        <v>1</v>
      </c>
      <c r="H98" s="546"/>
      <c r="I98" s="547">
        <f t="shared" si="1"/>
        <v>0</v>
      </c>
    </row>
    <row r="99" spans="1:9" ht="15" x14ac:dyDescent="0.2">
      <c r="A99" s="8" t="s">
        <v>108</v>
      </c>
      <c r="B99" s="71" t="s">
        <v>559</v>
      </c>
      <c r="C99" s="430"/>
      <c r="D99" s="71"/>
      <c r="E99" s="71" t="s">
        <v>1920</v>
      </c>
      <c r="F99" s="429"/>
      <c r="G99" s="10">
        <v>1</v>
      </c>
      <c r="H99" s="572"/>
      <c r="I99" s="547">
        <f t="shared" si="1"/>
        <v>0</v>
      </c>
    </row>
    <row r="100" spans="1:9" ht="15" x14ac:dyDescent="0.2">
      <c r="A100" s="8" t="s">
        <v>2184</v>
      </c>
      <c r="B100" s="314" t="s">
        <v>206</v>
      </c>
      <c r="C100" s="430"/>
      <c r="D100" s="71"/>
      <c r="E100" s="71" t="s">
        <v>1920</v>
      </c>
      <c r="F100" s="429"/>
      <c r="G100" s="10">
        <v>1</v>
      </c>
      <c r="H100" s="572"/>
      <c r="I100" s="547">
        <f t="shared" si="1"/>
        <v>0</v>
      </c>
    </row>
    <row r="101" spans="1:9" ht="15" x14ac:dyDescent="0.2">
      <c r="A101" s="8" t="s">
        <v>1036</v>
      </c>
      <c r="B101" s="71" t="s">
        <v>468</v>
      </c>
      <c r="C101" s="430"/>
      <c r="D101" s="71"/>
      <c r="E101" s="71" t="s">
        <v>1920</v>
      </c>
      <c r="F101" s="429"/>
      <c r="G101" s="10">
        <v>1</v>
      </c>
      <c r="H101" s="572"/>
      <c r="I101" s="547">
        <f t="shared" si="1"/>
        <v>0</v>
      </c>
    </row>
    <row r="102" spans="1:9" ht="15" x14ac:dyDescent="0.2">
      <c r="A102" s="8" t="s">
        <v>10</v>
      </c>
      <c r="B102" s="71" t="s">
        <v>469</v>
      </c>
      <c r="C102" s="430"/>
      <c r="D102" s="71"/>
      <c r="E102" s="71" t="s">
        <v>1920</v>
      </c>
      <c r="F102" s="429"/>
      <c r="G102" s="10">
        <v>1</v>
      </c>
      <c r="H102" s="572"/>
      <c r="I102" s="547">
        <f t="shared" si="1"/>
        <v>0</v>
      </c>
    </row>
    <row r="103" spans="1:9" ht="15" x14ac:dyDescent="0.2">
      <c r="A103" s="70" t="s">
        <v>1467</v>
      </c>
      <c r="B103" s="31" t="s">
        <v>3235</v>
      </c>
      <c r="C103" s="430"/>
      <c r="D103" s="31"/>
      <c r="E103" s="31" t="s">
        <v>1920</v>
      </c>
      <c r="F103" s="429"/>
      <c r="G103" s="31">
        <v>2</v>
      </c>
      <c r="H103" s="571"/>
      <c r="I103" s="547">
        <f t="shared" si="1"/>
        <v>0</v>
      </c>
    </row>
    <row r="104" spans="1:9" ht="15" x14ac:dyDescent="0.2">
      <c r="A104" s="75" t="s">
        <v>1217</v>
      </c>
      <c r="B104" s="71" t="s">
        <v>1218</v>
      </c>
      <c r="C104" s="430"/>
      <c r="D104" s="71"/>
      <c r="E104" s="71" t="s">
        <v>1920</v>
      </c>
      <c r="F104" s="429"/>
      <c r="G104" s="10">
        <v>1</v>
      </c>
      <c r="H104" s="572"/>
      <c r="I104" s="547">
        <f t="shared" si="1"/>
        <v>0</v>
      </c>
    </row>
    <row r="105" spans="1:9" ht="15" x14ac:dyDescent="0.2">
      <c r="A105" s="8" t="s">
        <v>1454</v>
      </c>
      <c r="B105" s="71" t="s">
        <v>657</v>
      </c>
      <c r="C105" s="430"/>
      <c r="D105" s="71"/>
      <c r="E105" s="71" t="s">
        <v>1920</v>
      </c>
      <c r="F105" s="429"/>
      <c r="G105" s="10">
        <v>1</v>
      </c>
      <c r="H105" s="572"/>
      <c r="I105" s="547">
        <f t="shared" si="1"/>
        <v>0</v>
      </c>
    </row>
    <row r="106" spans="1:9" ht="15" x14ac:dyDescent="0.2">
      <c r="A106" s="8" t="s">
        <v>1455</v>
      </c>
      <c r="B106" s="71" t="s">
        <v>658</v>
      </c>
      <c r="C106" s="430"/>
      <c r="D106" s="71"/>
      <c r="E106" s="71" t="s">
        <v>1920</v>
      </c>
      <c r="F106" s="429"/>
      <c r="G106" s="10">
        <v>1</v>
      </c>
      <c r="H106" s="572"/>
      <c r="I106" s="547">
        <f t="shared" si="1"/>
        <v>0</v>
      </c>
    </row>
    <row r="107" spans="1:9" ht="15" x14ac:dyDescent="0.2">
      <c r="A107" s="8" t="s">
        <v>125</v>
      </c>
      <c r="B107" s="71" t="s">
        <v>567</v>
      </c>
      <c r="C107" s="430"/>
      <c r="D107" s="71"/>
      <c r="E107" s="71" t="s">
        <v>1920</v>
      </c>
      <c r="F107" s="429"/>
      <c r="G107" s="10">
        <v>1</v>
      </c>
      <c r="H107" s="572"/>
      <c r="I107" s="547">
        <f t="shared" si="1"/>
        <v>0</v>
      </c>
    </row>
    <row r="108" spans="1:9" ht="15" x14ac:dyDescent="0.2">
      <c r="A108" s="8" t="s">
        <v>1456</v>
      </c>
      <c r="B108" s="71" t="s">
        <v>656</v>
      </c>
      <c r="C108" s="430"/>
      <c r="D108" s="71"/>
      <c r="E108" s="71" t="s">
        <v>1920</v>
      </c>
      <c r="F108" s="429"/>
      <c r="G108" s="10">
        <v>1</v>
      </c>
      <c r="H108" s="572"/>
      <c r="I108" s="547">
        <f t="shared" si="1"/>
        <v>0</v>
      </c>
    </row>
    <row r="109" spans="1:9" ht="15" x14ac:dyDescent="0.2">
      <c r="A109" s="8" t="s">
        <v>121</v>
      </c>
      <c r="B109" s="71" t="s">
        <v>564</v>
      </c>
      <c r="C109" s="430"/>
      <c r="D109" s="71"/>
      <c r="E109" s="71" t="s">
        <v>1920</v>
      </c>
      <c r="F109" s="429"/>
      <c r="G109" s="10">
        <v>1</v>
      </c>
      <c r="H109" s="572"/>
      <c r="I109" s="547">
        <f t="shared" si="1"/>
        <v>0</v>
      </c>
    </row>
    <row r="110" spans="1:9" ht="15" x14ac:dyDescent="0.2">
      <c r="A110" s="8" t="s">
        <v>222</v>
      </c>
      <c r="B110" s="71" t="s">
        <v>566</v>
      </c>
      <c r="C110" s="430"/>
      <c r="D110" s="71"/>
      <c r="E110" s="71" t="s">
        <v>1920</v>
      </c>
      <c r="F110" s="429"/>
      <c r="G110" s="10">
        <v>1</v>
      </c>
      <c r="H110" s="572"/>
      <c r="I110" s="547">
        <f t="shared" si="1"/>
        <v>0</v>
      </c>
    </row>
    <row r="111" spans="1:9" ht="15" x14ac:dyDescent="0.2">
      <c r="A111" s="8" t="s">
        <v>124</v>
      </c>
      <c r="B111" s="71" t="s">
        <v>565</v>
      </c>
      <c r="C111" s="430"/>
      <c r="D111" s="71"/>
      <c r="E111" s="71" t="s">
        <v>1920</v>
      </c>
      <c r="F111" s="429"/>
      <c r="G111" s="10">
        <v>1</v>
      </c>
      <c r="H111" s="572"/>
      <c r="I111" s="547">
        <f t="shared" si="1"/>
        <v>0</v>
      </c>
    </row>
    <row r="112" spans="1:9" ht="15" x14ac:dyDescent="0.2">
      <c r="A112" s="198" t="s">
        <v>2113</v>
      </c>
      <c r="B112" s="71" t="s">
        <v>2103</v>
      </c>
      <c r="C112" s="430"/>
      <c r="D112" s="71"/>
      <c r="E112" s="71" t="s">
        <v>1920</v>
      </c>
      <c r="F112" s="429"/>
      <c r="G112" s="312">
        <v>1</v>
      </c>
      <c r="H112" s="546"/>
      <c r="I112" s="547">
        <f t="shared" si="1"/>
        <v>0</v>
      </c>
    </row>
    <row r="113" spans="1:9" ht="15" x14ac:dyDescent="0.2">
      <c r="A113" s="198" t="s">
        <v>2112</v>
      </c>
      <c r="B113" s="32" t="s">
        <v>2102</v>
      </c>
      <c r="C113" s="430"/>
      <c r="D113" s="71"/>
      <c r="E113" s="71" t="s">
        <v>1920</v>
      </c>
      <c r="F113" s="429"/>
      <c r="G113" s="312">
        <v>1</v>
      </c>
      <c r="H113" s="546"/>
      <c r="I113" s="547">
        <f t="shared" si="1"/>
        <v>0</v>
      </c>
    </row>
    <row r="114" spans="1:9" ht="15" x14ac:dyDescent="0.2">
      <c r="A114" s="198" t="s">
        <v>2110</v>
      </c>
      <c r="B114" s="71" t="s">
        <v>2100</v>
      </c>
      <c r="C114" s="430"/>
      <c r="D114" s="71"/>
      <c r="E114" s="71" t="s">
        <v>1920</v>
      </c>
      <c r="F114" s="429"/>
      <c r="G114" s="312">
        <v>1</v>
      </c>
      <c r="H114" s="546"/>
      <c r="I114" s="547">
        <f t="shared" si="1"/>
        <v>0</v>
      </c>
    </row>
    <row r="115" spans="1:9" ht="15" x14ac:dyDescent="0.2">
      <c r="A115" s="8" t="s">
        <v>13</v>
      </c>
      <c r="B115" s="71" t="s">
        <v>471</v>
      </c>
      <c r="C115" s="430"/>
      <c r="D115" s="71"/>
      <c r="E115" s="49" t="s">
        <v>1920</v>
      </c>
      <c r="F115" s="429"/>
      <c r="G115" s="10">
        <v>1</v>
      </c>
      <c r="H115" s="572"/>
      <c r="I115" s="547">
        <f t="shared" si="1"/>
        <v>0</v>
      </c>
    </row>
    <row r="116" spans="1:9" ht="15" x14ac:dyDescent="0.2">
      <c r="A116" s="70" t="s">
        <v>1468</v>
      </c>
      <c r="B116" s="31" t="s">
        <v>2169</v>
      </c>
      <c r="C116" s="430"/>
      <c r="D116" s="31"/>
      <c r="E116" s="31" t="s">
        <v>1920</v>
      </c>
      <c r="F116" s="429"/>
      <c r="G116" s="31">
        <v>2</v>
      </c>
      <c r="H116" s="571"/>
      <c r="I116" s="547">
        <f t="shared" si="1"/>
        <v>0</v>
      </c>
    </row>
    <row r="117" spans="1:9" ht="15" x14ac:dyDescent="0.2">
      <c r="A117" s="8" t="s">
        <v>4</v>
      </c>
      <c r="B117" s="71" t="s">
        <v>90</v>
      </c>
      <c r="C117" s="430"/>
      <c r="D117" s="71"/>
      <c r="E117" s="71" t="s">
        <v>1920</v>
      </c>
      <c r="F117" s="429"/>
      <c r="G117" s="312">
        <v>1</v>
      </c>
      <c r="H117" s="546"/>
      <c r="I117" s="547">
        <f t="shared" si="1"/>
        <v>0</v>
      </c>
    </row>
    <row r="118" spans="1:9" ht="15" x14ac:dyDescent="0.2">
      <c r="A118" s="8" t="s">
        <v>5</v>
      </c>
      <c r="B118" s="71" t="s">
        <v>466</v>
      </c>
      <c r="C118" s="430"/>
      <c r="D118" s="71"/>
      <c r="E118" s="71" t="s">
        <v>1920</v>
      </c>
      <c r="F118" s="429"/>
      <c r="G118" s="10">
        <v>1</v>
      </c>
      <c r="H118" s="572"/>
      <c r="I118" s="547">
        <f t="shared" si="1"/>
        <v>0</v>
      </c>
    </row>
    <row r="119" spans="1:9" ht="15" x14ac:dyDescent="0.2">
      <c r="A119" s="8" t="s">
        <v>101</v>
      </c>
      <c r="B119" s="71" t="s">
        <v>509</v>
      </c>
      <c r="C119" s="430"/>
      <c r="D119" s="71"/>
      <c r="E119" s="71" t="s">
        <v>1920</v>
      </c>
      <c r="F119" s="429"/>
      <c r="G119" s="10">
        <v>1</v>
      </c>
      <c r="H119" s="572"/>
      <c r="I119" s="547">
        <f t="shared" si="1"/>
        <v>0</v>
      </c>
    </row>
    <row r="120" spans="1:9" ht="15" x14ac:dyDescent="0.2">
      <c r="A120" s="8" t="s">
        <v>209</v>
      </c>
      <c r="B120" s="71" t="s">
        <v>210</v>
      </c>
      <c r="C120" s="430"/>
      <c r="D120" s="71"/>
      <c r="E120" s="71" t="s">
        <v>1920</v>
      </c>
      <c r="F120" s="429"/>
      <c r="G120" s="10">
        <v>1</v>
      </c>
      <c r="H120" s="572"/>
      <c r="I120" s="547">
        <f t="shared" si="1"/>
        <v>0</v>
      </c>
    </row>
    <row r="121" spans="1:9" ht="15" x14ac:dyDescent="0.2">
      <c r="A121" s="8" t="s">
        <v>11</v>
      </c>
      <c r="B121" s="71" t="s">
        <v>278</v>
      </c>
      <c r="C121" s="430"/>
      <c r="D121" s="71"/>
      <c r="E121" s="71" t="s">
        <v>1920</v>
      </c>
      <c r="F121" s="429"/>
      <c r="G121" s="10">
        <v>1</v>
      </c>
      <c r="H121" s="572"/>
      <c r="I121" s="547">
        <f t="shared" si="1"/>
        <v>0</v>
      </c>
    </row>
    <row r="122" spans="1:9" ht="15" x14ac:dyDescent="0.2">
      <c r="A122" s="8" t="s">
        <v>12</v>
      </c>
      <c r="B122" s="314" t="s">
        <v>171</v>
      </c>
      <c r="C122" s="430"/>
      <c r="D122" s="314"/>
      <c r="E122" s="314" t="s">
        <v>1920</v>
      </c>
      <c r="F122" s="429"/>
      <c r="G122" s="10">
        <v>1</v>
      </c>
      <c r="H122" s="572"/>
      <c r="I122" s="547">
        <f t="shared" si="1"/>
        <v>0</v>
      </c>
    </row>
    <row r="123" spans="1:9" ht="15" x14ac:dyDescent="0.2">
      <c r="A123" s="8" t="s">
        <v>1216</v>
      </c>
      <c r="B123" s="314" t="s">
        <v>481</v>
      </c>
      <c r="C123" s="430"/>
      <c r="D123" s="314"/>
      <c r="E123" s="314" t="s">
        <v>1920</v>
      </c>
      <c r="F123" s="429"/>
      <c r="G123" s="10">
        <v>1</v>
      </c>
      <c r="H123" s="572"/>
      <c r="I123" s="547">
        <f t="shared" si="1"/>
        <v>0</v>
      </c>
    </row>
    <row r="124" spans="1:9" x14ac:dyDescent="0.25">
      <c r="A124" s="107"/>
      <c r="B124" s="108"/>
      <c r="C124" s="108"/>
      <c r="D124" s="108"/>
      <c r="E124" s="108"/>
      <c r="G124" s="109"/>
      <c r="H124" s="574"/>
      <c r="I124" s="549">
        <f>SUM(I2:I123)</f>
        <v>0</v>
      </c>
    </row>
    <row r="125" spans="1:9" x14ac:dyDescent="0.25">
      <c r="A125" s="107"/>
      <c r="B125" s="108"/>
      <c r="C125" s="108"/>
      <c r="D125" s="108"/>
      <c r="E125" s="108"/>
      <c r="G125" s="109"/>
      <c r="H125" s="574"/>
    </row>
    <row r="126" spans="1:9" x14ac:dyDescent="0.25">
      <c r="A126" s="107"/>
      <c r="B126" s="108"/>
      <c r="C126" s="108"/>
      <c r="D126" s="108"/>
      <c r="E126" s="108"/>
      <c r="G126" s="109"/>
      <c r="H126" s="574"/>
    </row>
    <row r="127" spans="1:9" s="4" customFormat="1" ht="18" x14ac:dyDescent="0.25">
      <c r="A127" s="422" t="s">
        <v>2168</v>
      </c>
      <c r="B127" s="425"/>
      <c r="C127" s="309"/>
      <c r="D127" s="3"/>
      <c r="E127" s="3"/>
      <c r="F127" s="311"/>
      <c r="G127" s="3"/>
      <c r="H127" s="531"/>
      <c r="I127" s="541"/>
    </row>
    <row r="128" spans="1:9" s="4" customFormat="1" ht="18" x14ac:dyDescent="0.25">
      <c r="A128" s="422" t="s">
        <v>2938</v>
      </c>
      <c r="B128" s="425"/>
      <c r="C128" s="309"/>
      <c r="D128" s="3"/>
      <c r="E128" s="3"/>
      <c r="F128" s="311"/>
      <c r="G128" s="3"/>
      <c r="H128" s="575"/>
      <c r="I128" s="541"/>
    </row>
    <row r="129" spans="1:2" ht="18" x14ac:dyDescent="0.25">
      <c r="A129" s="437" t="s">
        <v>3310</v>
      </c>
      <c r="B129" s="312"/>
    </row>
    <row r="130" spans="1:2" ht="18" x14ac:dyDescent="0.25">
      <c r="A130" s="434" t="s">
        <v>3367</v>
      </c>
      <c r="B130" s="550">
        <f>+I124</f>
        <v>0</v>
      </c>
    </row>
  </sheetData>
  <pageMargins left="0.5" right="0.5" top="0.5" bottom="0.5" header="0.3" footer="0.3"/>
  <pageSetup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0"/>
  <sheetViews>
    <sheetView workbookViewId="0">
      <pane ySplit="1" topLeftCell="A19" activePane="bottomLeft" state="frozen"/>
      <selection activeCell="G1" sqref="G1:G1048576"/>
      <selection pane="bottomLeft" activeCell="G2" sqref="G2:G50"/>
    </sheetView>
  </sheetViews>
  <sheetFormatPr defaultColWidth="9.140625" defaultRowHeight="15.75" x14ac:dyDescent="0.25"/>
  <cols>
    <col min="1" max="1" width="63.85546875" style="119" bestFit="1" customWidth="1"/>
    <col min="2" max="2" width="16.42578125" style="85" bestFit="1" customWidth="1"/>
    <col min="3" max="3" width="21.140625" style="85" bestFit="1" customWidth="1"/>
    <col min="4" max="4" width="20.140625" style="85" bestFit="1" customWidth="1"/>
    <col min="5" max="5" width="12.42578125" style="85" bestFit="1" customWidth="1"/>
    <col min="6" max="6" width="18" style="311" customWidth="1"/>
    <col min="7" max="7" width="10" style="85" bestFit="1" customWidth="1"/>
    <col min="8" max="8" width="17.42578125" style="519" bestFit="1" customWidth="1"/>
    <col min="9" max="9" width="16.85546875" style="519" bestFit="1" customWidth="1"/>
    <col min="10" max="10" width="25.140625" style="119" bestFit="1" customWidth="1"/>
    <col min="11" max="16384" width="9.140625" style="119"/>
  </cols>
  <sheetData>
    <row r="1" spans="1:9" x14ac:dyDescent="0.25">
      <c r="A1" s="9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94" t="s">
        <v>412</v>
      </c>
      <c r="H1" s="528" t="s">
        <v>3368</v>
      </c>
      <c r="I1" s="539" t="s">
        <v>3369</v>
      </c>
    </row>
    <row r="2" spans="1:9" ht="15" x14ac:dyDescent="0.2">
      <c r="A2" s="245" t="s">
        <v>1630</v>
      </c>
      <c r="B2" s="129" t="s">
        <v>997</v>
      </c>
      <c r="C2" s="430"/>
      <c r="D2" s="129"/>
      <c r="E2" s="129" t="s">
        <v>1928</v>
      </c>
      <c r="F2" s="523"/>
      <c r="G2" s="33">
        <v>1</v>
      </c>
      <c r="H2" s="543" t="s">
        <v>2736</v>
      </c>
      <c r="I2" s="559"/>
    </row>
    <row r="3" spans="1:9" ht="15" x14ac:dyDescent="0.2">
      <c r="A3" s="43" t="s">
        <v>1048</v>
      </c>
      <c r="B3" s="129" t="s">
        <v>170</v>
      </c>
      <c r="C3" s="430"/>
      <c r="D3" s="129"/>
      <c r="E3" s="129" t="s">
        <v>1920</v>
      </c>
      <c r="F3" s="523"/>
      <c r="G3" s="33">
        <v>1</v>
      </c>
      <c r="H3" s="543"/>
      <c r="I3" s="559">
        <f>+G3*H3</f>
        <v>0</v>
      </c>
    </row>
    <row r="4" spans="1:9" ht="15" x14ac:dyDescent="0.2">
      <c r="A4" s="43" t="s">
        <v>16</v>
      </c>
      <c r="B4" s="129" t="s">
        <v>476</v>
      </c>
      <c r="C4" s="430"/>
      <c r="D4" s="129"/>
      <c r="E4" s="129" t="s">
        <v>1920</v>
      </c>
      <c r="F4" s="523"/>
      <c r="G4" s="33">
        <v>1</v>
      </c>
      <c r="H4" s="543"/>
      <c r="I4" s="559">
        <f t="shared" ref="I4:I50" si="0">+G4*H4</f>
        <v>0</v>
      </c>
    </row>
    <row r="5" spans="1:9" ht="15" x14ac:dyDescent="0.2">
      <c r="A5" s="43" t="s">
        <v>1192</v>
      </c>
      <c r="B5" s="129" t="s">
        <v>94</v>
      </c>
      <c r="C5" s="430"/>
      <c r="D5" s="129"/>
      <c r="E5" s="129" t="s">
        <v>1920</v>
      </c>
      <c r="F5" s="523"/>
      <c r="G5" s="33">
        <v>1</v>
      </c>
      <c r="H5" s="543"/>
      <c r="I5" s="559">
        <f t="shared" si="0"/>
        <v>0</v>
      </c>
    </row>
    <row r="6" spans="1:9" ht="15" x14ac:dyDescent="0.2">
      <c r="A6" s="43" t="s">
        <v>1038</v>
      </c>
      <c r="B6" s="129" t="s">
        <v>280</v>
      </c>
      <c r="C6" s="430"/>
      <c r="D6" s="129"/>
      <c r="E6" s="129" t="s">
        <v>1920</v>
      </c>
      <c r="F6" s="523"/>
      <c r="G6" s="33">
        <v>1</v>
      </c>
      <c r="H6" s="543"/>
      <c r="I6" s="559">
        <f t="shared" si="0"/>
        <v>0</v>
      </c>
    </row>
    <row r="7" spans="1:9" ht="15" x14ac:dyDescent="0.2">
      <c r="A7" s="43" t="s">
        <v>1152</v>
      </c>
      <c r="B7" s="129" t="s">
        <v>281</v>
      </c>
      <c r="C7" s="430"/>
      <c r="D7" s="129"/>
      <c r="E7" s="129" t="s">
        <v>1920</v>
      </c>
      <c r="F7" s="523"/>
      <c r="G7" s="33">
        <v>1</v>
      </c>
      <c r="H7" s="543"/>
      <c r="I7" s="559">
        <f t="shared" si="0"/>
        <v>0</v>
      </c>
    </row>
    <row r="8" spans="1:9" ht="15" customHeight="1" x14ac:dyDescent="0.2">
      <c r="A8" s="43" t="s">
        <v>1259</v>
      </c>
      <c r="B8" s="129" t="s">
        <v>615</v>
      </c>
      <c r="C8" s="430"/>
      <c r="D8" s="129"/>
      <c r="E8" s="129" t="s">
        <v>1920</v>
      </c>
      <c r="F8" s="523"/>
      <c r="G8" s="33">
        <v>2</v>
      </c>
      <c r="H8" s="543"/>
      <c r="I8" s="559">
        <f t="shared" si="0"/>
        <v>0</v>
      </c>
    </row>
    <row r="9" spans="1:9" ht="15" x14ac:dyDescent="0.2">
      <c r="A9" s="43" t="s">
        <v>1209</v>
      </c>
      <c r="B9" s="129" t="s">
        <v>473</v>
      </c>
      <c r="C9" s="430"/>
      <c r="D9" s="129"/>
      <c r="E9" s="129" t="s">
        <v>1920</v>
      </c>
      <c r="F9" s="523"/>
      <c r="G9" s="33">
        <v>1</v>
      </c>
      <c r="H9" s="543"/>
      <c r="I9" s="559">
        <f t="shared" si="0"/>
        <v>0</v>
      </c>
    </row>
    <row r="10" spans="1:9" ht="15" customHeight="1" x14ac:dyDescent="0.2">
      <c r="A10" s="43" t="s">
        <v>1387</v>
      </c>
      <c r="B10" s="129" t="s">
        <v>578</v>
      </c>
      <c r="C10" s="430"/>
      <c r="D10" s="129"/>
      <c r="E10" s="129" t="s">
        <v>1920</v>
      </c>
      <c r="F10" s="523"/>
      <c r="G10" s="33">
        <v>1</v>
      </c>
      <c r="H10" s="543"/>
      <c r="I10" s="559">
        <f t="shared" si="0"/>
        <v>0</v>
      </c>
    </row>
    <row r="11" spans="1:9" ht="15" x14ac:dyDescent="0.2">
      <c r="A11" s="43" t="s">
        <v>1483</v>
      </c>
      <c r="B11" s="129" t="s">
        <v>2024</v>
      </c>
      <c r="C11" s="430"/>
      <c r="D11" s="129" t="s">
        <v>1875</v>
      </c>
      <c r="E11" s="129" t="s">
        <v>1948</v>
      </c>
      <c r="F11" s="523"/>
      <c r="G11" s="33">
        <v>1</v>
      </c>
      <c r="H11" s="543"/>
      <c r="I11" s="559">
        <f t="shared" si="0"/>
        <v>0</v>
      </c>
    </row>
    <row r="12" spans="1:9" ht="15" x14ac:dyDescent="0.2">
      <c r="A12" s="43" t="s">
        <v>1631</v>
      </c>
      <c r="B12" s="129" t="s">
        <v>1996</v>
      </c>
      <c r="C12" s="430"/>
      <c r="D12" s="129"/>
      <c r="E12" s="129" t="s">
        <v>1920</v>
      </c>
      <c r="F12" s="523"/>
      <c r="G12" s="33">
        <v>1</v>
      </c>
      <c r="H12" s="543"/>
      <c r="I12" s="559">
        <f t="shared" si="0"/>
        <v>0</v>
      </c>
    </row>
    <row r="13" spans="1:9" ht="15" customHeight="1" x14ac:dyDescent="0.2">
      <c r="A13" s="43" t="s">
        <v>1632</v>
      </c>
      <c r="B13" s="129" t="s">
        <v>1994</v>
      </c>
      <c r="C13" s="430"/>
      <c r="D13" s="129"/>
      <c r="E13" s="129" t="s">
        <v>1920</v>
      </c>
      <c r="F13" s="523"/>
      <c r="G13" s="33">
        <v>1</v>
      </c>
      <c r="H13" s="543"/>
      <c r="I13" s="559">
        <f t="shared" si="0"/>
        <v>0</v>
      </c>
    </row>
    <row r="14" spans="1:9" ht="15" x14ac:dyDescent="0.2">
      <c r="A14" s="43" t="s">
        <v>839</v>
      </c>
      <c r="B14" s="129" t="s">
        <v>1995</v>
      </c>
      <c r="C14" s="430"/>
      <c r="D14" s="129"/>
      <c r="E14" s="129" t="s">
        <v>1920</v>
      </c>
      <c r="F14" s="523"/>
      <c r="G14" s="33">
        <v>1</v>
      </c>
      <c r="H14" s="543"/>
      <c r="I14" s="559">
        <f t="shared" si="0"/>
        <v>0</v>
      </c>
    </row>
    <row r="15" spans="1:9" ht="15" x14ac:dyDescent="0.2">
      <c r="A15" s="43" t="s">
        <v>1529</v>
      </c>
      <c r="B15" s="129" t="s">
        <v>577</v>
      </c>
      <c r="C15" s="430"/>
      <c r="D15" s="129"/>
      <c r="E15" s="129" t="s">
        <v>1920</v>
      </c>
      <c r="F15" s="523"/>
      <c r="G15" s="33">
        <v>1</v>
      </c>
      <c r="H15" s="543"/>
      <c r="I15" s="559">
        <f t="shared" si="0"/>
        <v>0</v>
      </c>
    </row>
    <row r="16" spans="1:9" ht="15" x14ac:dyDescent="0.2">
      <c r="A16" s="43" t="s">
        <v>1530</v>
      </c>
      <c r="B16" s="129" t="s">
        <v>568</v>
      </c>
      <c r="C16" s="430"/>
      <c r="D16" s="129"/>
      <c r="E16" s="129" t="s">
        <v>1920</v>
      </c>
      <c r="F16" s="523"/>
      <c r="G16" s="33">
        <v>1</v>
      </c>
      <c r="H16" s="543"/>
      <c r="I16" s="559">
        <f t="shared" si="0"/>
        <v>0</v>
      </c>
    </row>
    <row r="17" spans="1:9" ht="15" x14ac:dyDescent="0.2">
      <c r="A17" s="43" t="s">
        <v>180</v>
      </c>
      <c r="B17" s="129" t="s">
        <v>479</v>
      </c>
      <c r="C17" s="430"/>
      <c r="D17" s="129"/>
      <c r="E17" s="129" t="s">
        <v>1920</v>
      </c>
      <c r="F17" s="523"/>
      <c r="G17" s="33">
        <v>1</v>
      </c>
      <c r="H17" s="543"/>
      <c r="I17" s="559">
        <f t="shared" si="0"/>
        <v>0</v>
      </c>
    </row>
    <row r="18" spans="1:9" ht="15" x14ac:dyDescent="0.2">
      <c r="A18" s="43" t="s">
        <v>1518</v>
      </c>
      <c r="B18" s="129" t="s">
        <v>1992</v>
      </c>
      <c r="C18" s="430"/>
      <c r="D18" s="129"/>
      <c r="E18" s="129" t="s">
        <v>1920</v>
      </c>
      <c r="F18" s="523"/>
      <c r="G18" s="33">
        <v>1</v>
      </c>
      <c r="H18" s="543"/>
      <c r="I18" s="559">
        <f t="shared" si="0"/>
        <v>0</v>
      </c>
    </row>
    <row r="19" spans="1:9" ht="15" x14ac:dyDescent="0.2">
      <c r="A19" s="43" t="s">
        <v>1494</v>
      </c>
      <c r="B19" s="129" t="s">
        <v>866</v>
      </c>
      <c r="C19" s="430"/>
      <c r="D19" s="129" t="s">
        <v>1889</v>
      </c>
      <c r="E19" s="129" t="s">
        <v>1951</v>
      </c>
      <c r="F19" s="523"/>
      <c r="G19" s="33">
        <v>1</v>
      </c>
      <c r="H19" s="543"/>
      <c r="I19" s="559">
        <f t="shared" si="0"/>
        <v>0</v>
      </c>
    </row>
    <row r="20" spans="1:9" ht="15" x14ac:dyDescent="0.2">
      <c r="A20" s="43" t="s">
        <v>926</v>
      </c>
      <c r="B20" s="129" t="s">
        <v>2125</v>
      </c>
      <c r="C20" s="430"/>
      <c r="D20" s="129"/>
      <c r="E20" s="129">
        <v>94894</v>
      </c>
      <c r="F20" s="523"/>
      <c r="G20" s="33">
        <v>1</v>
      </c>
      <c r="H20" s="543"/>
      <c r="I20" s="559">
        <f t="shared" si="0"/>
        <v>0</v>
      </c>
    </row>
    <row r="21" spans="1:9" ht="15" x14ac:dyDescent="0.2">
      <c r="A21" s="43" t="s">
        <v>1576</v>
      </c>
      <c r="B21" s="129" t="s">
        <v>900</v>
      </c>
      <c r="C21" s="430"/>
      <c r="D21" s="129"/>
      <c r="E21" s="129" t="s">
        <v>1920</v>
      </c>
      <c r="F21" s="523"/>
      <c r="G21" s="33">
        <v>1</v>
      </c>
      <c r="H21" s="543"/>
      <c r="I21" s="559">
        <f t="shared" si="0"/>
        <v>0</v>
      </c>
    </row>
    <row r="22" spans="1:9" ht="15" x14ac:dyDescent="0.2">
      <c r="A22" s="43" t="s">
        <v>1583</v>
      </c>
      <c r="B22" s="129" t="s">
        <v>938</v>
      </c>
      <c r="C22" s="430"/>
      <c r="D22" s="129"/>
      <c r="E22" s="129" t="s">
        <v>1920</v>
      </c>
      <c r="F22" s="523"/>
      <c r="G22" s="33">
        <v>1</v>
      </c>
      <c r="H22" s="543"/>
      <c r="I22" s="559">
        <f t="shared" si="0"/>
        <v>0</v>
      </c>
    </row>
    <row r="23" spans="1:9" ht="15" x14ac:dyDescent="0.2">
      <c r="A23" s="43" t="s">
        <v>1568</v>
      </c>
      <c r="B23" s="129" t="s">
        <v>650</v>
      </c>
      <c r="C23" s="430"/>
      <c r="D23" s="129"/>
      <c r="E23" s="129" t="s">
        <v>1920</v>
      </c>
      <c r="F23" s="523"/>
      <c r="G23" s="33">
        <v>1</v>
      </c>
      <c r="H23" s="543"/>
      <c r="I23" s="559">
        <f t="shared" si="0"/>
        <v>0</v>
      </c>
    </row>
    <row r="24" spans="1:9" ht="15" x14ac:dyDescent="0.2">
      <c r="A24" s="43" t="s">
        <v>1122</v>
      </c>
      <c r="B24" s="129" t="s">
        <v>284</v>
      </c>
      <c r="C24" s="430"/>
      <c r="D24" s="129"/>
      <c r="E24" s="129" t="s">
        <v>1920</v>
      </c>
      <c r="F24" s="523"/>
      <c r="G24" s="33">
        <v>3</v>
      </c>
      <c r="H24" s="543"/>
      <c r="I24" s="559">
        <f t="shared" si="0"/>
        <v>0</v>
      </c>
    </row>
    <row r="25" spans="1:9" ht="15" x14ac:dyDescent="0.2">
      <c r="A25" s="43" t="s">
        <v>1859</v>
      </c>
      <c r="B25" s="129" t="s">
        <v>267</v>
      </c>
      <c r="C25" s="430"/>
      <c r="D25" s="129"/>
      <c r="E25" s="129" t="s">
        <v>1920</v>
      </c>
      <c r="F25" s="523"/>
      <c r="G25" s="33">
        <v>3</v>
      </c>
      <c r="H25" s="543"/>
      <c r="I25" s="559">
        <f t="shared" si="0"/>
        <v>0</v>
      </c>
    </row>
    <row r="26" spans="1:9" ht="15" x14ac:dyDescent="0.2">
      <c r="A26" s="43" t="s">
        <v>1422</v>
      </c>
      <c r="B26" s="129" t="s">
        <v>579</v>
      </c>
      <c r="C26" s="430"/>
      <c r="D26" s="129"/>
      <c r="E26" s="129" t="s">
        <v>1920</v>
      </c>
      <c r="F26" s="523"/>
      <c r="G26" s="33">
        <v>1</v>
      </c>
      <c r="H26" s="543"/>
      <c r="I26" s="559">
        <f t="shared" si="0"/>
        <v>0</v>
      </c>
    </row>
    <row r="27" spans="1:9" ht="15" x14ac:dyDescent="0.2">
      <c r="A27" s="43" t="s">
        <v>1250</v>
      </c>
      <c r="B27" s="129" t="s">
        <v>462</v>
      </c>
      <c r="C27" s="430"/>
      <c r="D27" s="129"/>
      <c r="E27" s="129" t="s">
        <v>1920</v>
      </c>
      <c r="F27" s="523"/>
      <c r="G27" s="33">
        <v>1</v>
      </c>
      <c r="H27" s="543"/>
      <c r="I27" s="559">
        <f t="shared" si="0"/>
        <v>0</v>
      </c>
    </row>
    <row r="28" spans="1:9" ht="15" x14ac:dyDescent="0.2">
      <c r="A28" s="43" t="s">
        <v>1252</v>
      </c>
      <c r="B28" s="129" t="s">
        <v>311</v>
      </c>
      <c r="C28" s="430"/>
      <c r="D28" s="129"/>
      <c r="E28" s="129" t="s">
        <v>1920</v>
      </c>
      <c r="F28" s="523"/>
      <c r="G28" s="33">
        <v>1</v>
      </c>
      <c r="H28" s="543"/>
      <c r="I28" s="559">
        <f t="shared" si="0"/>
        <v>0</v>
      </c>
    </row>
    <row r="29" spans="1:9" ht="15" x14ac:dyDescent="0.2">
      <c r="A29" s="43" t="s">
        <v>1251</v>
      </c>
      <c r="B29" s="129" t="s">
        <v>81</v>
      </c>
      <c r="C29" s="430"/>
      <c r="D29" s="129"/>
      <c r="E29" s="129" t="s">
        <v>1920</v>
      </c>
      <c r="F29" s="523"/>
      <c r="G29" s="33">
        <v>1</v>
      </c>
      <c r="H29" s="543"/>
      <c r="I29" s="559">
        <f t="shared" si="0"/>
        <v>0</v>
      </c>
    </row>
    <row r="30" spans="1:9" ht="15" x14ac:dyDescent="0.2">
      <c r="A30" s="43" t="s">
        <v>1247</v>
      </c>
      <c r="B30" s="129" t="s">
        <v>443</v>
      </c>
      <c r="C30" s="430"/>
      <c r="D30" s="129"/>
      <c r="E30" s="129" t="s">
        <v>1920</v>
      </c>
      <c r="F30" s="523"/>
      <c r="G30" s="33">
        <v>1</v>
      </c>
      <c r="H30" s="543"/>
      <c r="I30" s="559">
        <f t="shared" si="0"/>
        <v>0</v>
      </c>
    </row>
    <row r="31" spans="1:9" ht="15" x14ac:dyDescent="0.2">
      <c r="A31" s="43" t="s">
        <v>1173</v>
      </c>
      <c r="B31" s="129" t="s">
        <v>313</v>
      </c>
      <c r="C31" s="430"/>
      <c r="D31" s="129"/>
      <c r="E31" s="129" t="s">
        <v>1920</v>
      </c>
      <c r="F31" s="523"/>
      <c r="G31" s="33">
        <v>1</v>
      </c>
      <c r="H31" s="543"/>
      <c r="I31" s="559">
        <f t="shared" si="0"/>
        <v>0</v>
      </c>
    </row>
    <row r="32" spans="1:9" ht="15" x14ac:dyDescent="0.2">
      <c r="A32" s="43" t="s">
        <v>1608</v>
      </c>
      <c r="B32" s="129" t="s">
        <v>164</v>
      </c>
      <c r="C32" s="430"/>
      <c r="D32" s="129"/>
      <c r="E32" s="129" t="s">
        <v>1920</v>
      </c>
      <c r="F32" s="523"/>
      <c r="G32" s="33">
        <v>1</v>
      </c>
      <c r="H32" s="543"/>
      <c r="I32" s="559">
        <f t="shared" si="0"/>
        <v>0</v>
      </c>
    </row>
    <row r="33" spans="1:9" ht="15" x14ac:dyDescent="0.2">
      <c r="A33" s="43" t="s">
        <v>1427</v>
      </c>
      <c r="B33" s="129" t="s">
        <v>581</v>
      </c>
      <c r="C33" s="430"/>
      <c r="D33" s="129"/>
      <c r="E33" s="129" t="s">
        <v>1920</v>
      </c>
      <c r="F33" s="523"/>
      <c r="G33" s="33">
        <v>1</v>
      </c>
      <c r="H33" s="543"/>
      <c r="I33" s="559">
        <f t="shared" si="0"/>
        <v>0</v>
      </c>
    </row>
    <row r="34" spans="1:9" ht="15" x14ac:dyDescent="0.2">
      <c r="A34" s="43" t="s">
        <v>1591</v>
      </c>
      <c r="B34" s="129" t="s">
        <v>166</v>
      </c>
      <c r="C34" s="430"/>
      <c r="D34" s="129"/>
      <c r="E34" s="129" t="s">
        <v>1920</v>
      </c>
      <c r="F34" s="523"/>
      <c r="G34" s="33">
        <v>1</v>
      </c>
      <c r="H34" s="543"/>
      <c r="I34" s="559">
        <f t="shared" si="0"/>
        <v>0</v>
      </c>
    </row>
    <row r="35" spans="1:9" ht="15" x14ac:dyDescent="0.2">
      <c r="A35" s="43" t="s">
        <v>1164</v>
      </c>
      <c r="B35" s="129" t="s">
        <v>580</v>
      </c>
      <c r="C35" s="430"/>
      <c r="D35" s="129"/>
      <c r="E35" s="129" t="s">
        <v>1920</v>
      </c>
      <c r="F35" s="523"/>
      <c r="G35" s="33">
        <v>1</v>
      </c>
      <c r="H35" s="543"/>
      <c r="I35" s="559">
        <f t="shared" si="0"/>
        <v>0</v>
      </c>
    </row>
    <row r="36" spans="1:9" ht="15" x14ac:dyDescent="0.2">
      <c r="A36" s="43" t="s">
        <v>3255</v>
      </c>
      <c r="B36" s="129" t="s">
        <v>1993</v>
      </c>
      <c r="C36" s="430"/>
      <c r="D36" s="129"/>
      <c r="E36" s="129">
        <v>55719</v>
      </c>
      <c r="F36" s="523"/>
      <c r="G36" s="33">
        <v>1</v>
      </c>
      <c r="H36" s="543"/>
      <c r="I36" s="559">
        <f t="shared" si="0"/>
        <v>0</v>
      </c>
    </row>
    <row r="37" spans="1:9" ht="15" x14ac:dyDescent="0.2">
      <c r="A37" s="43" t="s">
        <v>1125</v>
      </c>
      <c r="B37" s="129">
        <v>8130020</v>
      </c>
      <c r="C37" s="430"/>
      <c r="D37" s="129"/>
      <c r="E37" s="129" t="s">
        <v>1975</v>
      </c>
      <c r="F37" s="523"/>
      <c r="G37" s="33">
        <v>3</v>
      </c>
      <c r="H37" s="543"/>
      <c r="I37" s="559">
        <f t="shared" si="0"/>
        <v>0</v>
      </c>
    </row>
    <row r="38" spans="1:9" s="83" customFormat="1" ht="15" x14ac:dyDescent="0.2">
      <c r="A38" s="43" t="s">
        <v>105</v>
      </c>
      <c r="B38" s="129" t="s">
        <v>2118</v>
      </c>
      <c r="C38" s="430"/>
      <c r="D38" s="129"/>
      <c r="E38" s="129" t="s">
        <v>1975</v>
      </c>
      <c r="F38" s="523"/>
      <c r="G38" s="33">
        <v>1</v>
      </c>
      <c r="H38" s="543"/>
      <c r="I38" s="559">
        <f t="shared" si="0"/>
        <v>0</v>
      </c>
    </row>
    <row r="39" spans="1:9" ht="15" x14ac:dyDescent="0.2">
      <c r="A39" s="43" t="s">
        <v>1156</v>
      </c>
      <c r="B39" s="129" t="s">
        <v>2117</v>
      </c>
      <c r="C39" s="430"/>
      <c r="D39" s="129"/>
      <c r="E39" s="129" t="s">
        <v>1975</v>
      </c>
      <c r="F39" s="523"/>
      <c r="G39" s="33">
        <v>1</v>
      </c>
      <c r="H39" s="543"/>
      <c r="I39" s="559">
        <f t="shared" si="0"/>
        <v>0</v>
      </c>
    </row>
    <row r="40" spans="1:9" ht="15" x14ac:dyDescent="0.2">
      <c r="A40" s="43" t="s">
        <v>1085</v>
      </c>
      <c r="B40" s="129" t="s">
        <v>92</v>
      </c>
      <c r="C40" s="430"/>
      <c r="D40" s="129"/>
      <c r="E40" s="129" t="s">
        <v>1920</v>
      </c>
      <c r="F40" s="523"/>
      <c r="G40" s="33">
        <v>1</v>
      </c>
      <c r="H40" s="543"/>
      <c r="I40" s="559">
        <f t="shared" si="0"/>
        <v>0</v>
      </c>
    </row>
    <row r="41" spans="1:9" ht="15" x14ac:dyDescent="0.2">
      <c r="A41" s="43" t="s">
        <v>1230</v>
      </c>
      <c r="B41" s="129" t="s">
        <v>584</v>
      </c>
      <c r="C41" s="430"/>
      <c r="D41" s="129"/>
      <c r="E41" s="129" t="s">
        <v>1920</v>
      </c>
      <c r="F41" s="523"/>
      <c r="G41" s="33">
        <v>1</v>
      </c>
      <c r="H41" s="543"/>
      <c r="I41" s="559">
        <f t="shared" si="0"/>
        <v>0</v>
      </c>
    </row>
    <row r="42" spans="1:9" ht="15" x14ac:dyDescent="0.2">
      <c r="A42" s="43" t="s">
        <v>1235</v>
      </c>
      <c r="B42" s="129" t="s">
        <v>78</v>
      </c>
      <c r="C42" s="430"/>
      <c r="D42" s="129"/>
      <c r="E42" s="129" t="s">
        <v>1920</v>
      </c>
      <c r="F42" s="523"/>
      <c r="G42" s="33">
        <v>1</v>
      </c>
      <c r="H42" s="543"/>
      <c r="I42" s="559">
        <f t="shared" si="0"/>
        <v>0</v>
      </c>
    </row>
    <row r="43" spans="1:9" ht="15" x14ac:dyDescent="0.2">
      <c r="A43" s="43" t="s">
        <v>917</v>
      </c>
      <c r="B43" s="129" t="s">
        <v>916</v>
      </c>
      <c r="C43" s="430"/>
      <c r="D43" s="129" t="s">
        <v>1898</v>
      </c>
      <c r="E43" s="129" t="s">
        <v>1957</v>
      </c>
      <c r="F43" s="523"/>
      <c r="G43" s="33">
        <v>1</v>
      </c>
      <c r="H43" s="543"/>
      <c r="I43" s="559">
        <f t="shared" si="0"/>
        <v>0</v>
      </c>
    </row>
    <row r="44" spans="1:9" ht="15" customHeight="1" x14ac:dyDescent="0.2">
      <c r="A44" s="43" t="s">
        <v>20</v>
      </c>
      <c r="B44" s="129" t="s">
        <v>287</v>
      </c>
      <c r="C44" s="430"/>
      <c r="D44" s="129"/>
      <c r="E44" s="129" t="s">
        <v>1920</v>
      </c>
      <c r="F44" s="523"/>
      <c r="G44" s="33">
        <v>2</v>
      </c>
      <c r="H44" s="543"/>
      <c r="I44" s="559">
        <f t="shared" si="0"/>
        <v>0</v>
      </c>
    </row>
    <row r="45" spans="1:9" ht="15" x14ac:dyDescent="0.2">
      <c r="A45" s="255" t="s">
        <v>1869</v>
      </c>
      <c r="B45" s="129" t="s">
        <v>3269</v>
      </c>
      <c r="C45" s="430"/>
      <c r="D45" s="129"/>
      <c r="E45" s="252" t="s">
        <v>1920</v>
      </c>
      <c r="F45" s="523"/>
      <c r="G45" s="33">
        <v>1</v>
      </c>
      <c r="H45" s="543"/>
      <c r="I45" s="559">
        <f t="shared" si="0"/>
        <v>0</v>
      </c>
    </row>
    <row r="46" spans="1:9" ht="15" x14ac:dyDescent="0.2">
      <c r="A46" s="43" t="s">
        <v>12</v>
      </c>
      <c r="B46" s="129" t="s">
        <v>171</v>
      </c>
      <c r="C46" s="430"/>
      <c r="D46" s="129"/>
      <c r="E46" s="129" t="s">
        <v>1920</v>
      </c>
      <c r="F46" s="523"/>
      <c r="G46" s="33">
        <v>1</v>
      </c>
      <c r="H46" s="543"/>
      <c r="I46" s="559">
        <f t="shared" si="0"/>
        <v>0</v>
      </c>
    </row>
    <row r="47" spans="1:9" ht="15.75" customHeight="1" x14ac:dyDescent="0.2">
      <c r="A47" s="43" t="s">
        <v>1216</v>
      </c>
      <c r="B47" s="129" t="s">
        <v>481</v>
      </c>
      <c r="C47" s="430"/>
      <c r="D47" s="129"/>
      <c r="E47" s="129" t="s">
        <v>1920</v>
      </c>
      <c r="F47" s="523"/>
      <c r="G47" s="33">
        <v>1</v>
      </c>
      <c r="H47" s="543"/>
      <c r="I47" s="559">
        <f t="shared" si="0"/>
        <v>0</v>
      </c>
    </row>
    <row r="48" spans="1:9" ht="15.75" customHeight="1" x14ac:dyDescent="0.2">
      <c r="A48" s="43" t="s">
        <v>4</v>
      </c>
      <c r="B48" s="129" t="s">
        <v>90</v>
      </c>
      <c r="C48" s="430"/>
      <c r="D48" s="129"/>
      <c r="E48" s="129" t="s">
        <v>1920</v>
      </c>
      <c r="F48" s="523"/>
      <c r="G48" s="33">
        <v>1</v>
      </c>
      <c r="H48" s="543"/>
      <c r="I48" s="559">
        <f t="shared" si="0"/>
        <v>0</v>
      </c>
    </row>
    <row r="49" spans="1:9" s="117" customFormat="1" ht="15" x14ac:dyDescent="0.2">
      <c r="A49" s="43" t="s">
        <v>101</v>
      </c>
      <c r="B49" s="129" t="s">
        <v>509</v>
      </c>
      <c r="C49" s="430"/>
      <c r="D49" s="129"/>
      <c r="E49" s="129" t="s">
        <v>1920</v>
      </c>
      <c r="F49" s="523"/>
      <c r="G49" s="33">
        <v>1</v>
      </c>
      <c r="H49" s="543"/>
      <c r="I49" s="559">
        <f t="shared" si="0"/>
        <v>0</v>
      </c>
    </row>
    <row r="50" spans="1:9" s="117" customFormat="1" ht="15" x14ac:dyDescent="0.2">
      <c r="A50" s="245" t="s">
        <v>3267</v>
      </c>
      <c r="B50" s="252" t="s">
        <v>3268</v>
      </c>
      <c r="C50" s="430"/>
      <c r="D50" s="252"/>
      <c r="E50" s="252">
        <v>55719</v>
      </c>
      <c r="F50" s="523"/>
      <c r="G50" s="244">
        <v>1</v>
      </c>
      <c r="H50" s="543"/>
      <c r="I50" s="559">
        <f t="shared" si="0"/>
        <v>0</v>
      </c>
    </row>
    <row r="51" spans="1:9" x14ac:dyDescent="0.25">
      <c r="B51" s="90"/>
      <c r="C51" s="90"/>
      <c r="D51" s="90"/>
      <c r="E51" s="90"/>
      <c r="F51"/>
      <c r="G51" s="90"/>
      <c r="I51" s="519">
        <f>SUM(I2:I50)</f>
        <v>0</v>
      </c>
    </row>
    <row r="52" spans="1:9" x14ac:dyDescent="0.25">
      <c r="F52"/>
    </row>
    <row r="53" spans="1:9" x14ac:dyDescent="0.25">
      <c r="F53"/>
    </row>
    <row r="54" spans="1:9" s="4" customFormat="1" ht="18" x14ac:dyDescent="0.25">
      <c r="A54" s="422" t="s">
        <v>1769</v>
      </c>
      <c r="B54" s="425"/>
      <c r="C54" s="309"/>
      <c r="D54" s="3"/>
      <c r="E54" s="3"/>
      <c r="F54"/>
      <c r="G54" s="3"/>
      <c r="H54" s="531"/>
      <c r="I54" s="541"/>
    </row>
    <row r="55" spans="1:9" s="4" customFormat="1" ht="18" x14ac:dyDescent="0.25">
      <c r="A55" s="422" t="s">
        <v>2939</v>
      </c>
      <c r="B55" s="425"/>
      <c r="C55" s="309"/>
      <c r="D55" s="3"/>
      <c r="E55" s="3"/>
      <c r="F55"/>
      <c r="G55" s="3"/>
      <c r="H55" s="531"/>
      <c r="I55" s="541"/>
    </row>
    <row r="56" spans="1:9" ht="18" x14ac:dyDescent="0.25">
      <c r="A56" s="437" t="s">
        <v>3311</v>
      </c>
      <c r="B56" s="244"/>
      <c r="F56"/>
    </row>
    <row r="57" spans="1:9" ht="18" x14ac:dyDescent="0.25">
      <c r="A57" s="434" t="s">
        <v>3367</v>
      </c>
      <c r="B57" s="550">
        <f>+I51</f>
        <v>0</v>
      </c>
      <c r="F57"/>
    </row>
    <row r="59" spans="1:9" ht="15" x14ac:dyDescent="0.2">
      <c r="F59" s="361"/>
    </row>
    <row r="60" spans="1:9" ht="15" x14ac:dyDescent="0.2">
      <c r="F60" s="361"/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0"/>
  <sheetViews>
    <sheetView workbookViewId="0">
      <pane ySplit="1" topLeftCell="A99" activePane="bottomLeft" state="frozen"/>
      <selection activeCell="G1" sqref="G1:G1048576"/>
      <selection pane="bottomLeft" activeCell="G2" sqref="G2:G124"/>
    </sheetView>
  </sheetViews>
  <sheetFormatPr defaultColWidth="9.140625" defaultRowHeight="18" x14ac:dyDescent="0.25"/>
  <cols>
    <col min="1" max="1" width="63.85546875" style="178" bestFit="1" customWidth="1"/>
    <col min="2" max="2" width="16.42578125" style="181" bestFit="1" customWidth="1"/>
    <col min="3" max="3" width="20.42578125" style="85" bestFit="1" customWidth="1"/>
    <col min="4" max="4" width="20.140625" style="181" bestFit="1" customWidth="1"/>
    <col min="5" max="5" width="12.42578125" style="181" bestFit="1" customWidth="1"/>
    <col min="6" max="6" width="18" style="311" customWidth="1"/>
    <col min="7" max="7" width="11.42578125" style="181" customWidth="1"/>
    <col min="8" max="8" width="11.42578125" style="578" bestFit="1" customWidth="1"/>
    <col min="9" max="9" width="16.85546875" style="578" bestFit="1" customWidth="1"/>
    <col min="10" max="10" width="21" style="178" bestFit="1" customWidth="1"/>
    <col min="11" max="16384" width="9.140625" style="178"/>
  </cols>
  <sheetData>
    <row r="1" spans="1:9" x14ac:dyDescent="0.25">
      <c r="A1" s="2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24" t="s">
        <v>412</v>
      </c>
      <c r="H1" s="528" t="s">
        <v>3368</v>
      </c>
      <c r="I1" s="528" t="s">
        <v>3369</v>
      </c>
    </row>
    <row r="2" spans="1:9" x14ac:dyDescent="0.25">
      <c r="A2" s="213" t="s">
        <v>1869</v>
      </c>
      <c r="B2" s="114" t="s">
        <v>3269</v>
      </c>
      <c r="C2" s="430"/>
      <c r="D2" s="114"/>
      <c r="E2" s="267" t="s">
        <v>1920</v>
      </c>
      <c r="F2" s="517"/>
      <c r="G2" s="47">
        <v>1</v>
      </c>
      <c r="H2" s="577"/>
      <c r="I2" s="566">
        <f>+G2*H2</f>
        <v>0</v>
      </c>
    </row>
    <row r="3" spans="1:9" x14ac:dyDescent="0.25">
      <c r="A3" s="25" t="s">
        <v>4</v>
      </c>
      <c r="B3" s="114" t="s">
        <v>90</v>
      </c>
      <c r="C3" s="430"/>
      <c r="D3" s="114"/>
      <c r="E3" s="114" t="s">
        <v>1920</v>
      </c>
      <c r="F3" s="517"/>
      <c r="G3" s="47">
        <v>1</v>
      </c>
      <c r="H3" s="577"/>
      <c r="I3" s="566">
        <f t="shared" ref="I3:I66" si="0">+G3*H3</f>
        <v>0</v>
      </c>
    </row>
    <row r="4" spans="1:9" x14ac:dyDescent="0.25">
      <c r="A4" s="25" t="s">
        <v>5</v>
      </c>
      <c r="B4" s="114" t="s">
        <v>466</v>
      </c>
      <c r="C4" s="430"/>
      <c r="D4" s="114"/>
      <c r="E4" s="114" t="s">
        <v>1920</v>
      </c>
      <c r="F4" s="517"/>
      <c r="G4" s="47">
        <v>1</v>
      </c>
      <c r="H4" s="577"/>
      <c r="I4" s="566">
        <f t="shared" si="0"/>
        <v>0</v>
      </c>
    </row>
    <row r="5" spans="1:9" x14ac:dyDescent="0.25">
      <c r="A5" s="25" t="s">
        <v>6</v>
      </c>
      <c r="B5" s="114" t="s">
        <v>91</v>
      </c>
      <c r="C5" s="430"/>
      <c r="D5" s="114"/>
      <c r="E5" s="114" t="s">
        <v>1920</v>
      </c>
      <c r="F5" s="517"/>
      <c r="G5" s="47">
        <v>2</v>
      </c>
      <c r="H5" s="577"/>
      <c r="I5" s="566">
        <f t="shared" si="0"/>
        <v>0</v>
      </c>
    </row>
    <row r="6" spans="1:9" x14ac:dyDescent="0.25">
      <c r="A6" s="25" t="s">
        <v>1125</v>
      </c>
      <c r="B6" s="114">
        <v>8130020</v>
      </c>
      <c r="C6" s="430"/>
      <c r="D6" s="114"/>
      <c r="E6" s="114" t="s">
        <v>1975</v>
      </c>
      <c r="F6" s="517"/>
      <c r="G6" s="47">
        <v>4</v>
      </c>
      <c r="H6" s="577"/>
      <c r="I6" s="566">
        <f t="shared" si="0"/>
        <v>0</v>
      </c>
    </row>
    <row r="7" spans="1:9" x14ac:dyDescent="0.25">
      <c r="A7" s="25" t="s">
        <v>1127</v>
      </c>
      <c r="B7" s="114">
        <v>8130030</v>
      </c>
      <c r="C7" s="430"/>
      <c r="D7" s="114"/>
      <c r="E7" s="114" t="s">
        <v>1975</v>
      </c>
      <c r="F7" s="517"/>
      <c r="G7" s="47">
        <v>1</v>
      </c>
      <c r="H7" s="577"/>
      <c r="I7" s="566">
        <f t="shared" si="0"/>
        <v>0</v>
      </c>
    </row>
    <row r="8" spans="1:9" x14ac:dyDescent="0.25">
      <c r="A8" s="25" t="s">
        <v>1201</v>
      </c>
      <c r="B8" s="114" t="s">
        <v>863</v>
      </c>
      <c r="C8" s="430"/>
      <c r="D8" s="114"/>
      <c r="E8" s="114" t="s">
        <v>1920</v>
      </c>
      <c r="F8" s="517"/>
      <c r="G8" s="47">
        <v>1</v>
      </c>
      <c r="H8" s="577"/>
      <c r="I8" s="566">
        <f t="shared" si="0"/>
        <v>0</v>
      </c>
    </row>
    <row r="9" spans="1:9" x14ac:dyDescent="0.25">
      <c r="A9" s="25" t="s">
        <v>1290</v>
      </c>
      <c r="B9" s="114" t="s">
        <v>96</v>
      </c>
      <c r="C9" s="430"/>
      <c r="D9" s="114"/>
      <c r="E9" s="114" t="s">
        <v>1920</v>
      </c>
      <c r="F9" s="517"/>
      <c r="G9" s="47">
        <v>1</v>
      </c>
      <c r="H9" s="577"/>
      <c r="I9" s="566">
        <f t="shared" si="0"/>
        <v>0</v>
      </c>
    </row>
    <row r="10" spans="1:9" x14ac:dyDescent="0.25">
      <c r="A10" s="25" t="s">
        <v>1442</v>
      </c>
      <c r="B10" s="114" t="s">
        <v>554</v>
      </c>
      <c r="C10" s="430"/>
      <c r="D10" s="114"/>
      <c r="E10" s="114" t="s">
        <v>1920</v>
      </c>
      <c r="F10" s="517"/>
      <c r="G10" s="47">
        <v>1</v>
      </c>
      <c r="H10" s="577"/>
      <c r="I10" s="566">
        <f t="shared" si="0"/>
        <v>0</v>
      </c>
    </row>
    <row r="11" spans="1:9" x14ac:dyDescent="0.25">
      <c r="A11" s="25" t="s">
        <v>2285</v>
      </c>
      <c r="B11" s="114" t="s">
        <v>2286</v>
      </c>
      <c r="C11" s="430"/>
      <c r="D11" s="114"/>
      <c r="E11" s="114" t="s">
        <v>1920</v>
      </c>
      <c r="F11" s="517"/>
      <c r="G11" s="47">
        <v>1</v>
      </c>
      <c r="H11" s="577"/>
      <c r="I11" s="566">
        <f t="shared" si="0"/>
        <v>0</v>
      </c>
    </row>
    <row r="12" spans="1:9" x14ac:dyDescent="0.25">
      <c r="A12" s="25" t="s">
        <v>1025</v>
      </c>
      <c r="B12" s="114" t="s">
        <v>467</v>
      </c>
      <c r="C12" s="430"/>
      <c r="D12" s="114"/>
      <c r="E12" s="114" t="s">
        <v>1920</v>
      </c>
      <c r="F12" s="517"/>
      <c r="G12" s="47">
        <v>1</v>
      </c>
      <c r="H12" s="577"/>
      <c r="I12" s="566">
        <f t="shared" si="0"/>
        <v>0</v>
      </c>
    </row>
    <row r="13" spans="1:9" x14ac:dyDescent="0.25">
      <c r="A13" s="25" t="s">
        <v>1289</v>
      </c>
      <c r="B13" s="114" t="s">
        <v>940</v>
      </c>
      <c r="C13" s="430"/>
      <c r="D13" s="114"/>
      <c r="E13" s="114" t="s">
        <v>1920</v>
      </c>
      <c r="F13" s="517"/>
      <c r="G13" s="47">
        <v>1</v>
      </c>
      <c r="H13" s="577"/>
      <c r="I13" s="566">
        <f t="shared" si="0"/>
        <v>0</v>
      </c>
    </row>
    <row r="14" spans="1:9" x14ac:dyDescent="0.25">
      <c r="A14" s="25" t="s">
        <v>1291</v>
      </c>
      <c r="B14" s="114" t="s">
        <v>95</v>
      </c>
      <c r="C14" s="430"/>
      <c r="D14" s="114"/>
      <c r="E14" s="114" t="s">
        <v>1920</v>
      </c>
      <c r="F14" s="517"/>
      <c r="G14" s="47">
        <v>1</v>
      </c>
      <c r="H14" s="577"/>
      <c r="I14" s="566">
        <f t="shared" si="0"/>
        <v>0</v>
      </c>
    </row>
    <row r="15" spans="1:9" x14ac:dyDescent="0.25">
      <c r="A15" s="25" t="s">
        <v>1281</v>
      </c>
      <c r="B15" s="114" t="s">
        <v>97</v>
      </c>
      <c r="C15" s="430"/>
      <c r="D15" s="114"/>
      <c r="E15" s="114" t="s">
        <v>1920</v>
      </c>
      <c r="F15" s="517"/>
      <c r="G15" s="47">
        <v>1</v>
      </c>
      <c r="H15" s="577"/>
      <c r="I15" s="566">
        <f t="shared" si="0"/>
        <v>0</v>
      </c>
    </row>
    <row r="16" spans="1:9" x14ac:dyDescent="0.25">
      <c r="A16" s="25" t="s">
        <v>1200</v>
      </c>
      <c r="B16" s="114" t="s">
        <v>100</v>
      </c>
      <c r="C16" s="430"/>
      <c r="D16" s="114"/>
      <c r="E16" s="114" t="s">
        <v>1920</v>
      </c>
      <c r="F16" s="517"/>
      <c r="G16" s="47">
        <v>1</v>
      </c>
      <c r="H16" s="577"/>
      <c r="I16" s="566">
        <f t="shared" si="0"/>
        <v>0</v>
      </c>
    </row>
    <row r="17" spans="1:9" x14ac:dyDescent="0.25">
      <c r="A17" s="25" t="s">
        <v>1026</v>
      </c>
      <c r="B17" s="114" t="s">
        <v>99</v>
      </c>
      <c r="C17" s="430"/>
      <c r="D17" s="114"/>
      <c r="E17" s="114" t="s">
        <v>1920</v>
      </c>
      <c r="F17" s="517"/>
      <c r="G17" s="47">
        <v>1</v>
      </c>
      <c r="H17" s="577"/>
      <c r="I17" s="566">
        <f t="shared" si="0"/>
        <v>0</v>
      </c>
    </row>
    <row r="18" spans="1:9" x14ac:dyDescent="0.25">
      <c r="A18" s="25" t="s">
        <v>1140</v>
      </c>
      <c r="B18" s="114" t="s">
        <v>204</v>
      </c>
      <c r="C18" s="430"/>
      <c r="D18" s="114"/>
      <c r="E18" s="114" t="s">
        <v>1920</v>
      </c>
      <c r="F18" s="517"/>
      <c r="G18" s="47">
        <v>1</v>
      </c>
      <c r="H18" s="577"/>
      <c r="I18" s="566">
        <f t="shared" si="0"/>
        <v>0</v>
      </c>
    </row>
    <row r="19" spans="1:9" x14ac:dyDescent="0.25">
      <c r="A19" s="25" t="s">
        <v>1027</v>
      </c>
      <c r="B19" s="114" t="s">
        <v>415</v>
      </c>
      <c r="C19" s="430"/>
      <c r="D19" s="114"/>
      <c r="E19" s="114" t="s">
        <v>1920</v>
      </c>
      <c r="F19" s="517"/>
      <c r="G19" s="47">
        <v>1</v>
      </c>
      <c r="H19" s="577"/>
      <c r="I19" s="566">
        <f t="shared" si="0"/>
        <v>0</v>
      </c>
    </row>
    <row r="20" spans="1:9" x14ac:dyDescent="0.25">
      <c r="A20" s="25" t="s">
        <v>1029</v>
      </c>
      <c r="B20" s="114" t="s">
        <v>251</v>
      </c>
      <c r="C20" s="430"/>
      <c r="D20" s="114"/>
      <c r="E20" s="114" t="s">
        <v>1920</v>
      </c>
      <c r="F20" s="517"/>
      <c r="G20" s="47">
        <v>1</v>
      </c>
      <c r="H20" s="577"/>
      <c r="I20" s="566">
        <f t="shared" si="0"/>
        <v>0</v>
      </c>
    </row>
    <row r="21" spans="1:9" x14ac:dyDescent="0.25">
      <c r="A21" s="25" t="s">
        <v>1142</v>
      </c>
      <c r="B21" s="114" t="s">
        <v>275</v>
      </c>
      <c r="C21" s="430"/>
      <c r="D21" s="114"/>
      <c r="E21" s="114" t="s">
        <v>1920</v>
      </c>
      <c r="F21" s="517"/>
      <c r="G21" s="47">
        <v>1</v>
      </c>
      <c r="H21" s="577"/>
      <c r="I21" s="566">
        <f t="shared" si="0"/>
        <v>0</v>
      </c>
    </row>
    <row r="22" spans="1:9" x14ac:dyDescent="0.25">
      <c r="A22" s="25" t="s">
        <v>1356</v>
      </c>
      <c r="B22" s="114" t="s">
        <v>7</v>
      </c>
      <c r="C22" s="430"/>
      <c r="D22" s="114"/>
      <c r="E22" s="114" t="s">
        <v>1920</v>
      </c>
      <c r="F22" s="517"/>
      <c r="G22" s="47">
        <v>1</v>
      </c>
      <c r="H22" s="577"/>
      <c r="I22" s="566">
        <f t="shared" si="0"/>
        <v>0</v>
      </c>
    </row>
    <row r="23" spans="1:9" x14ac:dyDescent="0.25">
      <c r="A23" s="25" t="s">
        <v>1034</v>
      </c>
      <c r="B23" s="114" t="s">
        <v>417</v>
      </c>
      <c r="C23" s="430"/>
      <c r="D23" s="114"/>
      <c r="E23" s="114" t="s">
        <v>1920</v>
      </c>
      <c r="F23" s="517"/>
      <c r="G23" s="47">
        <v>1</v>
      </c>
      <c r="H23" s="577"/>
      <c r="I23" s="566">
        <f t="shared" si="0"/>
        <v>0</v>
      </c>
    </row>
    <row r="24" spans="1:9" x14ac:dyDescent="0.25">
      <c r="A24" s="25" t="s">
        <v>1035</v>
      </c>
      <c r="B24" s="114" t="s">
        <v>414</v>
      </c>
      <c r="C24" s="430"/>
      <c r="D24" s="114"/>
      <c r="E24" s="114" t="s">
        <v>1920</v>
      </c>
      <c r="F24" s="517"/>
      <c r="G24" s="47">
        <v>1</v>
      </c>
      <c r="H24" s="577"/>
      <c r="I24" s="566">
        <f t="shared" si="0"/>
        <v>0</v>
      </c>
    </row>
    <row r="25" spans="1:9" x14ac:dyDescent="0.25">
      <c r="A25" s="25" t="s">
        <v>108</v>
      </c>
      <c r="B25" s="114" t="s">
        <v>559</v>
      </c>
      <c r="C25" s="430"/>
      <c r="D25" s="114"/>
      <c r="E25" s="114" t="s">
        <v>1920</v>
      </c>
      <c r="F25" s="517"/>
      <c r="G25" s="47">
        <v>1</v>
      </c>
      <c r="H25" s="577"/>
      <c r="I25" s="566">
        <f t="shared" si="0"/>
        <v>0</v>
      </c>
    </row>
    <row r="26" spans="1:9" x14ac:dyDescent="0.25">
      <c r="A26" s="25" t="s">
        <v>109</v>
      </c>
      <c r="B26" s="114" t="s">
        <v>110</v>
      </c>
      <c r="C26" s="430"/>
      <c r="D26" s="114"/>
      <c r="E26" s="114" t="s">
        <v>1920</v>
      </c>
      <c r="F26" s="517"/>
      <c r="G26" s="47">
        <v>1</v>
      </c>
      <c r="H26" s="577"/>
      <c r="I26" s="566">
        <f t="shared" si="0"/>
        <v>0</v>
      </c>
    </row>
    <row r="27" spans="1:9" x14ac:dyDescent="0.25">
      <c r="A27" s="25" t="s">
        <v>10</v>
      </c>
      <c r="B27" s="114" t="s">
        <v>469</v>
      </c>
      <c r="C27" s="430"/>
      <c r="D27" s="114"/>
      <c r="E27" s="114" t="s">
        <v>1920</v>
      </c>
      <c r="F27" s="517"/>
      <c r="G27" s="47">
        <v>1</v>
      </c>
      <c r="H27" s="577"/>
      <c r="I27" s="566">
        <f t="shared" si="0"/>
        <v>0</v>
      </c>
    </row>
    <row r="28" spans="1:9" x14ac:dyDescent="0.25">
      <c r="A28" s="25" t="s">
        <v>101</v>
      </c>
      <c r="B28" s="114" t="s">
        <v>509</v>
      </c>
      <c r="C28" s="430"/>
      <c r="D28" s="114"/>
      <c r="E28" s="114" t="s">
        <v>1920</v>
      </c>
      <c r="F28" s="517"/>
      <c r="G28" s="47">
        <v>1</v>
      </c>
      <c r="H28" s="577"/>
      <c r="I28" s="566">
        <f t="shared" si="0"/>
        <v>0</v>
      </c>
    </row>
    <row r="29" spans="1:9" x14ac:dyDescent="0.25">
      <c r="A29" s="25" t="s">
        <v>1036</v>
      </c>
      <c r="B29" s="114" t="s">
        <v>468</v>
      </c>
      <c r="C29" s="430"/>
      <c r="D29" s="114"/>
      <c r="E29" s="114" t="s">
        <v>1920</v>
      </c>
      <c r="F29" s="517"/>
      <c r="G29" s="47">
        <v>1</v>
      </c>
      <c r="H29" s="577"/>
      <c r="I29" s="566">
        <f t="shared" si="0"/>
        <v>0</v>
      </c>
    </row>
    <row r="30" spans="1:9" x14ac:dyDescent="0.25">
      <c r="A30" s="25" t="s">
        <v>209</v>
      </c>
      <c r="B30" s="114" t="s">
        <v>210</v>
      </c>
      <c r="C30" s="430"/>
      <c r="D30" s="114"/>
      <c r="E30" s="114" t="s">
        <v>1920</v>
      </c>
      <c r="F30" s="517"/>
      <c r="G30" s="47">
        <v>1</v>
      </c>
      <c r="H30" s="577"/>
      <c r="I30" s="566">
        <f t="shared" si="0"/>
        <v>0</v>
      </c>
    </row>
    <row r="31" spans="1:9" x14ac:dyDescent="0.25">
      <c r="A31" s="25" t="s">
        <v>11</v>
      </c>
      <c r="B31" s="114" t="s">
        <v>278</v>
      </c>
      <c r="C31" s="430"/>
      <c r="D31" s="114"/>
      <c r="E31" s="114" t="s">
        <v>1920</v>
      </c>
      <c r="F31" s="517"/>
      <c r="G31" s="47">
        <v>1</v>
      </c>
      <c r="H31" s="577"/>
      <c r="I31" s="566">
        <f t="shared" si="0"/>
        <v>0</v>
      </c>
    </row>
    <row r="32" spans="1:9" x14ac:dyDescent="0.25">
      <c r="A32" s="25" t="s">
        <v>12</v>
      </c>
      <c r="B32" s="114" t="s">
        <v>171</v>
      </c>
      <c r="C32" s="430"/>
      <c r="D32" s="114"/>
      <c r="E32" s="114" t="s">
        <v>1920</v>
      </c>
      <c r="F32" s="517"/>
      <c r="G32" s="47">
        <v>1</v>
      </c>
      <c r="H32" s="577"/>
      <c r="I32" s="566">
        <f t="shared" si="0"/>
        <v>0</v>
      </c>
    </row>
    <row r="33" spans="1:9" x14ac:dyDescent="0.25">
      <c r="A33" s="25" t="s">
        <v>111</v>
      </c>
      <c r="B33" s="114" t="s">
        <v>560</v>
      </c>
      <c r="C33" s="430"/>
      <c r="D33" s="114"/>
      <c r="E33" s="114" t="s">
        <v>1920</v>
      </c>
      <c r="F33" s="517"/>
      <c r="G33" s="47">
        <v>1</v>
      </c>
      <c r="H33" s="577"/>
      <c r="I33" s="566">
        <f t="shared" si="0"/>
        <v>0</v>
      </c>
    </row>
    <row r="34" spans="1:9" x14ac:dyDescent="0.25">
      <c r="A34" s="25" t="s">
        <v>2133</v>
      </c>
      <c r="B34" s="114" t="s">
        <v>2909</v>
      </c>
      <c r="C34" s="430"/>
      <c r="D34" s="114"/>
      <c r="E34" s="114">
        <v>56654</v>
      </c>
      <c r="F34" s="517"/>
      <c r="G34" s="47">
        <v>2</v>
      </c>
      <c r="H34" s="577"/>
      <c r="I34" s="566">
        <f t="shared" si="0"/>
        <v>0</v>
      </c>
    </row>
    <row r="35" spans="1:9" x14ac:dyDescent="0.25">
      <c r="A35" s="25" t="s">
        <v>1038</v>
      </c>
      <c r="B35" s="114" t="s">
        <v>280</v>
      </c>
      <c r="C35" s="430"/>
      <c r="D35" s="114"/>
      <c r="E35" s="114" t="s">
        <v>1920</v>
      </c>
      <c r="F35" s="517"/>
      <c r="G35" s="47">
        <v>1</v>
      </c>
      <c r="H35" s="577"/>
      <c r="I35" s="566">
        <f t="shared" si="0"/>
        <v>0</v>
      </c>
    </row>
    <row r="36" spans="1:9" x14ac:dyDescent="0.25">
      <c r="A36" s="25" t="s">
        <v>2190</v>
      </c>
      <c r="B36" s="114" t="s">
        <v>2191</v>
      </c>
      <c r="C36" s="430"/>
      <c r="D36" s="114"/>
      <c r="E36" s="114" t="s">
        <v>1920</v>
      </c>
      <c r="F36" s="517"/>
      <c r="G36" s="47">
        <v>1</v>
      </c>
      <c r="H36" s="577"/>
      <c r="I36" s="566">
        <f t="shared" si="0"/>
        <v>0</v>
      </c>
    </row>
    <row r="37" spans="1:9" x14ac:dyDescent="0.25">
      <c r="A37" s="25" t="s">
        <v>1085</v>
      </c>
      <c r="B37" s="114" t="s">
        <v>92</v>
      </c>
      <c r="C37" s="430"/>
      <c r="D37" s="114"/>
      <c r="E37" s="114" t="s">
        <v>1920</v>
      </c>
      <c r="F37" s="517"/>
      <c r="G37" s="47">
        <v>1</v>
      </c>
      <c r="H37" s="577"/>
      <c r="I37" s="566">
        <f t="shared" si="0"/>
        <v>0</v>
      </c>
    </row>
    <row r="38" spans="1:9" x14ac:dyDescent="0.25">
      <c r="A38" s="25" t="s">
        <v>1192</v>
      </c>
      <c r="B38" s="114" t="s">
        <v>94</v>
      </c>
      <c r="C38" s="430"/>
      <c r="D38" s="114"/>
      <c r="E38" s="114" t="s">
        <v>1920</v>
      </c>
      <c r="F38" s="517"/>
      <c r="G38" s="47">
        <v>1</v>
      </c>
      <c r="H38" s="577"/>
      <c r="I38" s="566">
        <f t="shared" si="0"/>
        <v>0</v>
      </c>
    </row>
    <row r="39" spans="1:9" x14ac:dyDescent="0.25">
      <c r="A39" s="25" t="s">
        <v>2297</v>
      </c>
      <c r="B39" s="114" t="s">
        <v>2298</v>
      </c>
      <c r="C39" s="430"/>
      <c r="D39" s="114"/>
      <c r="E39" s="114" t="s">
        <v>1920</v>
      </c>
      <c r="F39" s="517"/>
      <c r="G39" s="47">
        <v>1</v>
      </c>
      <c r="H39" s="577"/>
      <c r="I39" s="566">
        <f t="shared" si="0"/>
        <v>0</v>
      </c>
    </row>
    <row r="40" spans="1:9" x14ac:dyDescent="0.25">
      <c r="A40" s="25" t="s">
        <v>15</v>
      </c>
      <c r="B40" s="114" t="s">
        <v>380</v>
      </c>
      <c r="C40" s="430"/>
      <c r="D40" s="114"/>
      <c r="E40" s="114" t="s">
        <v>1920</v>
      </c>
      <c r="F40" s="517"/>
      <c r="G40" s="47">
        <v>1</v>
      </c>
      <c r="H40" s="577"/>
      <c r="I40" s="566">
        <f t="shared" si="0"/>
        <v>0</v>
      </c>
    </row>
    <row r="41" spans="1:9" x14ac:dyDescent="0.25">
      <c r="A41" s="25" t="s">
        <v>16</v>
      </c>
      <c r="B41" s="114" t="s">
        <v>476</v>
      </c>
      <c r="C41" s="430"/>
      <c r="D41" s="114"/>
      <c r="E41" s="114" t="s">
        <v>1920</v>
      </c>
      <c r="F41" s="517"/>
      <c r="G41" s="47">
        <v>2</v>
      </c>
      <c r="H41" s="577"/>
      <c r="I41" s="566">
        <f t="shared" si="0"/>
        <v>0</v>
      </c>
    </row>
    <row r="42" spans="1:9" x14ac:dyDescent="0.25">
      <c r="A42" s="25" t="s">
        <v>1332</v>
      </c>
      <c r="B42" s="114" t="s">
        <v>939</v>
      </c>
      <c r="C42" s="430"/>
      <c r="D42" s="114"/>
      <c r="E42" s="114" t="s">
        <v>1920</v>
      </c>
      <c r="F42" s="517"/>
      <c r="G42" s="47">
        <v>1</v>
      </c>
      <c r="H42" s="577"/>
      <c r="I42" s="566">
        <f t="shared" si="0"/>
        <v>0</v>
      </c>
    </row>
    <row r="43" spans="1:9" x14ac:dyDescent="0.25">
      <c r="A43" s="25" t="s">
        <v>105</v>
      </c>
      <c r="B43" s="114" t="s">
        <v>2118</v>
      </c>
      <c r="C43" s="430"/>
      <c r="D43" s="114"/>
      <c r="E43" s="114" t="s">
        <v>1975</v>
      </c>
      <c r="F43" s="517"/>
      <c r="G43" s="47">
        <v>3</v>
      </c>
      <c r="H43" s="577"/>
      <c r="I43" s="566">
        <f t="shared" si="0"/>
        <v>0</v>
      </c>
    </row>
    <row r="44" spans="1:9" x14ac:dyDescent="0.25">
      <c r="A44" s="25" t="s">
        <v>1156</v>
      </c>
      <c r="B44" s="114" t="s">
        <v>2117</v>
      </c>
      <c r="C44" s="430"/>
      <c r="D44" s="114"/>
      <c r="E44" s="114" t="s">
        <v>1975</v>
      </c>
      <c r="F44" s="517"/>
      <c r="G44" s="47">
        <v>2</v>
      </c>
      <c r="H44" s="577"/>
      <c r="I44" s="566">
        <f t="shared" si="0"/>
        <v>0</v>
      </c>
    </row>
    <row r="45" spans="1:9" x14ac:dyDescent="0.25">
      <c r="A45" s="25" t="s">
        <v>197</v>
      </c>
      <c r="B45" s="114" t="s">
        <v>645</v>
      </c>
      <c r="C45" s="430"/>
      <c r="D45" s="114"/>
      <c r="E45" s="114" t="s">
        <v>1920</v>
      </c>
      <c r="F45" s="517"/>
      <c r="G45" s="47">
        <v>1</v>
      </c>
      <c r="H45" s="577"/>
      <c r="I45" s="566">
        <f t="shared" si="0"/>
        <v>0</v>
      </c>
    </row>
    <row r="46" spans="1:9" x14ac:dyDescent="0.25">
      <c r="A46" s="25" t="s">
        <v>17</v>
      </c>
      <c r="B46" s="114" t="s">
        <v>407</v>
      </c>
      <c r="C46" s="430"/>
      <c r="D46" s="114"/>
      <c r="E46" s="114" t="s">
        <v>1920</v>
      </c>
      <c r="F46" s="517"/>
      <c r="G46" s="47">
        <v>1</v>
      </c>
      <c r="H46" s="577"/>
      <c r="I46" s="566">
        <f t="shared" si="0"/>
        <v>0</v>
      </c>
    </row>
    <row r="47" spans="1:9" ht="17.25" customHeight="1" x14ac:dyDescent="0.25">
      <c r="A47" s="25" t="s">
        <v>1275</v>
      </c>
      <c r="B47" s="114" t="s">
        <v>478</v>
      </c>
      <c r="C47" s="430"/>
      <c r="D47" s="114"/>
      <c r="E47" s="114" t="s">
        <v>1920</v>
      </c>
      <c r="F47" s="517"/>
      <c r="G47" s="47">
        <v>1</v>
      </c>
      <c r="H47" s="577"/>
      <c r="I47" s="566">
        <f t="shared" si="0"/>
        <v>0</v>
      </c>
    </row>
    <row r="48" spans="1:9" x14ac:dyDescent="0.25">
      <c r="A48" s="25" t="s">
        <v>1498</v>
      </c>
      <c r="B48" s="114" t="s">
        <v>883</v>
      </c>
      <c r="C48" s="430"/>
      <c r="D48" s="114" t="s">
        <v>1896</v>
      </c>
      <c r="E48" s="114" t="s">
        <v>1956</v>
      </c>
      <c r="F48" s="517"/>
      <c r="G48" s="47">
        <v>1</v>
      </c>
      <c r="H48" s="577"/>
      <c r="I48" s="566">
        <f t="shared" si="0"/>
        <v>0</v>
      </c>
    </row>
    <row r="49" spans="1:9" x14ac:dyDescent="0.25">
      <c r="A49" s="25" t="s">
        <v>1211</v>
      </c>
      <c r="B49" s="114" t="s">
        <v>1990</v>
      </c>
      <c r="C49" s="430"/>
      <c r="D49" s="114"/>
      <c r="E49" s="114" t="s">
        <v>1920</v>
      </c>
      <c r="F49" s="517"/>
      <c r="G49" s="47">
        <v>1</v>
      </c>
      <c r="H49" s="577"/>
      <c r="I49" s="566">
        <f t="shared" si="0"/>
        <v>0</v>
      </c>
    </row>
    <row r="50" spans="1:9" x14ac:dyDescent="0.25">
      <c r="A50" s="25" t="s">
        <v>180</v>
      </c>
      <c r="B50" s="114" t="s">
        <v>479</v>
      </c>
      <c r="C50" s="430"/>
      <c r="D50" s="114"/>
      <c r="E50" s="114" t="s">
        <v>1920</v>
      </c>
      <c r="F50" s="517"/>
      <c r="G50" s="47">
        <v>1</v>
      </c>
      <c r="H50" s="577"/>
      <c r="I50" s="566">
        <f t="shared" si="0"/>
        <v>0</v>
      </c>
    </row>
    <row r="51" spans="1:9" x14ac:dyDescent="0.25">
      <c r="A51" s="25" t="s">
        <v>1040</v>
      </c>
      <c r="B51" s="114" t="s">
        <v>274</v>
      </c>
      <c r="C51" s="430"/>
      <c r="D51" s="114"/>
      <c r="E51" s="114" t="s">
        <v>1920</v>
      </c>
      <c r="F51" s="517"/>
      <c r="G51" s="47">
        <v>1</v>
      </c>
      <c r="H51" s="577"/>
      <c r="I51" s="566">
        <f t="shared" si="0"/>
        <v>0</v>
      </c>
    </row>
    <row r="52" spans="1:9" x14ac:dyDescent="0.25">
      <c r="A52" s="25" t="s">
        <v>3258</v>
      </c>
      <c r="B52" s="114" t="s">
        <v>561</v>
      </c>
      <c r="C52" s="430"/>
      <c r="D52" s="114"/>
      <c r="E52" s="114" t="s">
        <v>1920</v>
      </c>
      <c r="F52" s="517"/>
      <c r="G52" s="47">
        <v>1</v>
      </c>
      <c r="H52" s="577"/>
      <c r="I52" s="566">
        <f t="shared" si="0"/>
        <v>0</v>
      </c>
    </row>
    <row r="53" spans="1:9" x14ac:dyDescent="0.25">
      <c r="A53" s="25" t="s">
        <v>1216</v>
      </c>
      <c r="B53" s="114" t="s">
        <v>481</v>
      </c>
      <c r="C53" s="430"/>
      <c r="D53" s="114"/>
      <c r="E53" s="114" t="s">
        <v>1920</v>
      </c>
      <c r="F53" s="517"/>
      <c r="G53" s="47">
        <v>1</v>
      </c>
      <c r="H53" s="577"/>
      <c r="I53" s="566">
        <f t="shared" si="0"/>
        <v>0</v>
      </c>
    </row>
    <row r="54" spans="1:9" x14ac:dyDescent="0.25">
      <c r="A54" s="25" t="s">
        <v>1416</v>
      </c>
      <c r="B54" s="114" t="s">
        <v>550</v>
      </c>
      <c r="C54" s="430"/>
      <c r="D54" s="114"/>
      <c r="E54" s="114" t="s">
        <v>1920</v>
      </c>
      <c r="F54" s="517"/>
      <c r="G54" s="47">
        <v>1</v>
      </c>
      <c r="H54" s="577"/>
      <c r="I54" s="566">
        <f t="shared" si="0"/>
        <v>0</v>
      </c>
    </row>
    <row r="55" spans="1:9" x14ac:dyDescent="0.25">
      <c r="A55" s="25" t="s">
        <v>1163</v>
      </c>
      <c r="B55" s="114" t="s">
        <v>562</v>
      </c>
      <c r="C55" s="430"/>
      <c r="D55" s="114"/>
      <c r="E55" s="114" t="s">
        <v>1920</v>
      </c>
      <c r="F55" s="517"/>
      <c r="G55" s="47">
        <v>1</v>
      </c>
      <c r="H55" s="577"/>
      <c r="I55" s="566">
        <f t="shared" si="0"/>
        <v>0</v>
      </c>
    </row>
    <row r="56" spans="1:9" x14ac:dyDescent="0.25">
      <c r="A56" s="25" t="s">
        <v>2865</v>
      </c>
      <c r="B56" s="114" t="s">
        <v>2870</v>
      </c>
      <c r="C56" s="430"/>
      <c r="D56" s="114"/>
      <c r="E56" s="114">
        <v>99532</v>
      </c>
      <c r="F56" s="517"/>
      <c r="G56" s="47">
        <v>1</v>
      </c>
      <c r="H56" s="577"/>
      <c r="I56" s="566">
        <f t="shared" si="0"/>
        <v>0</v>
      </c>
    </row>
    <row r="57" spans="1:9" x14ac:dyDescent="0.25">
      <c r="A57" s="25" t="s">
        <v>2868</v>
      </c>
      <c r="B57" s="114" t="s">
        <v>2873</v>
      </c>
      <c r="C57" s="430"/>
      <c r="D57" s="114"/>
      <c r="E57" s="114">
        <v>99532</v>
      </c>
      <c r="F57" s="517"/>
      <c r="G57" s="47">
        <v>1</v>
      </c>
      <c r="H57" s="577"/>
      <c r="I57" s="566">
        <f t="shared" si="0"/>
        <v>0</v>
      </c>
    </row>
    <row r="58" spans="1:9" x14ac:dyDescent="0.25">
      <c r="A58" s="25" t="s">
        <v>2869</v>
      </c>
      <c r="B58" s="114" t="s">
        <v>2874</v>
      </c>
      <c r="C58" s="430"/>
      <c r="D58" s="114"/>
      <c r="E58" s="114">
        <v>99532</v>
      </c>
      <c r="F58" s="517"/>
      <c r="G58" s="47">
        <v>1</v>
      </c>
      <c r="H58" s="577"/>
      <c r="I58" s="566">
        <f t="shared" si="0"/>
        <v>0</v>
      </c>
    </row>
    <row r="59" spans="1:9" x14ac:dyDescent="0.25">
      <c r="A59" s="25" t="s">
        <v>1164</v>
      </c>
      <c r="B59" s="114" t="s">
        <v>665</v>
      </c>
      <c r="C59" s="430"/>
      <c r="D59" s="114"/>
      <c r="E59" s="114" t="s">
        <v>1920</v>
      </c>
      <c r="F59" s="517"/>
      <c r="G59" s="47">
        <v>1</v>
      </c>
      <c r="H59" s="577"/>
      <c r="I59" s="566">
        <f t="shared" si="0"/>
        <v>0</v>
      </c>
    </row>
    <row r="60" spans="1:9" x14ac:dyDescent="0.25">
      <c r="A60" s="25" t="s">
        <v>20</v>
      </c>
      <c r="B60" s="114" t="s">
        <v>287</v>
      </c>
      <c r="C60" s="430"/>
      <c r="D60" s="114"/>
      <c r="E60" s="114" t="s">
        <v>1920</v>
      </c>
      <c r="F60" s="517"/>
      <c r="G60" s="47">
        <v>1</v>
      </c>
      <c r="H60" s="577"/>
      <c r="I60" s="566">
        <f t="shared" si="0"/>
        <v>0</v>
      </c>
    </row>
    <row r="61" spans="1:9" x14ac:dyDescent="0.25">
      <c r="A61" s="25" t="s">
        <v>85</v>
      </c>
      <c r="B61" s="114" t="s">
        <v>113</v>
      </c>
      <c r="C61" s="430"/>
      <c r="D61" s="114"/>
      <c r="E61" s="114" t="s">
        <v>1920</v>
      </c>
      <c r="F61" s="517"/>
      <c r="G61" s="47">
        <v>1</v>
      </c>
      <c r="H61" s="577"/>
      <c r="I61" s="566">
        <f t="shared" si="0"/>
        <v>0</v>
      </c>
    </row>
    <row r="62" spans="1:9" x14ac:dyDescent="0.25">
      <c r="A62" s="25" t="s">
        <v>1078</v>
      </c>
      <c r="B62" s="114" t="s">
        <v>447</v>
      </c>
      <c r="C62" s="430"/>
      <c r="D62" s="114"/>
      <c r="E62" s="114" t="s">
        <v>1920</v>
      </c>
      <c r="F62" s="517"/>
      <c r="G62" s="47">
        <v>1</v>
      </c>
      <c r="H62" s="577"/>
      <c r="I62" s="566">
        <f t="shared" si="0"/>
        <v>0</v>
      </c>
    </row>
    <row r="63" spans="1:9" x14ac:dyDescent="0.25">
      <c r="A63" s="25" t="s">
        <v>1169</v>
      </c>
      <c r="B63" s="114" t="s">
        <v>436</v>
      </c>
      <c r="C63" s="430"/>
      <c r="D63" s="114"/>
      <c r="E63" s="114" t="s">
        <v>1920</v>
      </c>
      <c r="F63" s="517"/>
      <c r="G63" s="47">
        <v>1</v>
      </c>
      <c r="H63" s="577"/>
      <c r="I63" s="566">
        <f t="shared" si="0"/>
        <v>0</v>
      </c>
    </row>
    <row r="64" spans="1:9" x14ac:dyDescent="0.25">
      <c r="A64" s="25" t="s">
        <v>1232</v>
      </c>
      <c r="B64" s="114" t="s">
        <v>76</v>
      </c>
      <c r="C64" s="430"/>
      <c r="D64" s="114"/>
      <c r="E64" s="114" t="s">
        <v>1920</v>
      </c>
      <c r="F64" s="517"/>
      <c r="G64" s="47">
        <v>1</v>
      </c>
      <c r="H64" s="577"/>
      <c r="I64" s="566">
        <f t="shared" si="0"/>
        <v>0</v>
      </c>
    </row>
    <row r="65" spans="1:9" x14ac:dyDescent="0.25">
      <c r="A65" s="25" t="s">
        <v>2761</v>
      </c>
      <c r="B65" s="114" t="s">
        <v>2292</v>
      </c>
      <c r="C65" s="430"/>
      <c r="D65" s="114"/>
      <c r="E65" s="114" t="s">
        <v>1920</v>
      </c>
      <c r="F65" s="517"/>
      <c r="G65" s="47">
        <v>1</v>
      </c>
      <c r="H65" s="577"/>
      <c r="I65" s="566">
        <f t="shared" si="0"/>
        <v>0</v>
      </c>
    </row>
    <row r="66" spans="1:9" x14ac:dyDescent="0.25">
      <c r="A66" s="25" t="s">
        <v>1234</v>
      </c>
      <c r="B66" s="114" t="s">
        <v>73</v>
      </c>
      <c r="C66" s="430"/>
      <c r="D66" s="114"/>
      <c r="E66" s="114" t="s">
        <v>1920</v>
      </c>
      <c r="F66" s="517"/>
      <c r="G66" s="47">
        <v>1</v>
      </c>
      <c r="H66" s="577"/>
      <c r="I66" s="566">
        <f t="shared" si="0"/>
        <v>0</v>
      </c>
    </row>
    <row r="67" spans="1:9" x14ac:dyDescent="0.25">
      <c r="A67" s="25" t="s">
        <v>1235</v>
      </c>
      <c r="B67" s="114" t="s">
        <v>78</v>
      </c>
      <c r="C67" s="430"/>
      <c r="D67" s="114"/>
      <c r="E67" s="114" t="s">
        <v>1920</v>
      </c>
      <c r="F67" s="517"/>
      <c r="G67" s="47">
        <v>1</v>
      </c>
      <c r="H67" s="577"/>
      <c r="I67" s="566">
        <f t="shared" ref="I67:I124" si="1">+G67*H67</f>
        <v>0</v>
      </c>
    </row>
    <row r="68" spans="1:9" x14ac:dyDescent="0.25">
      <c r="A68" s="25" t="s">
        <v>1236</v>
      </c>
      <c r="B68" s="114" t="s">
        <v>77</v>
      </c>
      <c r="C68" s="430"/>
      <c r="D68" s="114"/>
      <c r="E68" s="114" t="s">
        <v>1920</v>
      </c>
      <c r="F68" s="517"/>
      <c r="G68" s="47">
        <v>1</v>
      </c>
      <c r="H68" s="577"/>
      <c r="I68" s="566">
        <f t="shared" si="1"/>
        <v>0</v>
      </c>
    </row>
    <row r="69" spans="1:9" x14ac:dyDescent="0.25">
      <c r="A69" s="25" t="s">
        <v>1170</v>
      </c>
      <c r="B69" s="114" t="s">
        <v>677</v>
      </c>
      <c r="C69" s="430"/>
      <c r="D69" s="114"/>
      <c r="E69" s="114" t="s">
        <v>1920</v>
      </c>
      <c r="F69" s="517"/>
      <c r="G69" s="47">
        <v>1</v>
      </c>
      <c r="H69" s="577"/>
      <c r="I69" s="566">
        <f t="shared" si="1"/>
        <v>0</v>
      </c>
    </row>
    <row r="70" spans="1:9" x14ac:dyDescent="0.25">
      <c r="A70" s="25" t="s">
        <v>2295</v>
      </c>
      <c r="B70" s="114" t="s">
        <v>2296</v>
      </c>
      <c r="C70" s="430"/>
      <c r="D70" s="114"/>
      <c r="E70" s="114" t="s">
        <v>1920</v>
      </c>
      <c r="F70" s="517"/>
      <c r="G70" s="47">
        <v>1</v>
      </c>
      <c r="H70" s="577"/>
      <c r="I70" s="566">
        <f t="shared" si="1"/>
        <v>0</v>
      </c>
    </row>
    <row r="71" spans="1:9" x14ac:dyDescent="0.25">
      <c r="A71" s="25" t="s">
        <v>1237</v>
      </c>
      <c r="B71" s="114" t="s">
        <v>306</v>
      </c>
      <c r="C71" s="430"/>
      <c r="D71" s="114"/>
      <c r="E71" s="114" t="s">
        <v>1920</v>
      </c>
      <c r="F71" s="517"/>
      <c r="G71" s="47">
        <v>1</v>
      </c>
      <c r="H71" s="577"/>
      <c r="I71" s="566">
        <f t="shared" si="1"/>
        <v>0</v>
      </c>
    </row>
    <row r="72" spans="1:9" x14ac:dyDescent="0.25">
      <c r="A72" s="25" t="s">
        <v>1238</v>
      </c>
      <c r="B72" s="114" t="s">
        <v>75</v>
      </c>
      <c r="C72" s="430"/>
      <c r="D72" s="114"/>
      <c r="E72" s="114" t="s">
        <v>1920</v>
      </c>
      <c r="F72" s="517"/>
      <c r="G72" s="47">
        <v>1</v>
      </c>
      <c r="H72" s="577"/>
      <c r="I72" s="566">
        <f t="shared" si="1"/>
        <v>0</v>
      </c>
    </row>
    <row r="73" spans="1:9" x14ac:dyDescent="0.25">
      <c r="A73" s="25" t="s">
        <v>1345</v>
      </c>
      <c r="B73" s="114" t="s">
        <v>79</v>
      </c>
      <c r="C73" s="430"/>
      <c r="D73" s="114"/>
      <c r="E73" s="114" t="s">
        <v>1920</v>
      </c>
      <c r="F73" s="517"/>
      <c r="G73" s="47">
        <v>1</v>
      </c>
      <c r="H73" s="577"/>
      <c r="I73" s="566">
        <f t="shared" si="1"/>
        <v>0</v>
      </c>
    </row>
    <row r="74" spans="1:9" x14ac:dyDescent="0.25">
      <c r="A74" s="25" t="s">
        <v>3154</v>
      </c>
      <c r="B74" s="114" t="s">
        <v>2287</v>
      </c>
      <c r="C74" s="430"/>
      <c r="D74" s="114"/>
      <c r="E74" s="114" t="s">
        <v>1920</v>
      </c>
      <c r="F74" s="517"/>
      <c r="G74" s="47">
        <v>1</v>
      </c>
      <c r="H74" s="577"/>
      <c r="I74" s="566">
        <f t="shared" si="1"/>
        <v>0</v>
      </c>
    </row>
    <row r="75" spans="1:9" x14ac:dyDescent="0.25">
      <c r="A75" s="25" t="s">
        <v>1240</v>
      </c>
      <c r="B75" s="114" t="s">
        <v>304</v>
      </c>
      <c r="C75" s="430"/>
      <c r="D75" s="114"/>
      <c r="E75" s="114" t="s">
        <v>1920</v>
      </c>
      <c r="F75" s="517"/>
      <c r="G75" s="47">
        <v>1</v>
      </c>
      <c r="H75" s="577"/>
      <c r="I75" s="566">
        <f t="shared" si="1"/>
        <v>0</v>
      </c>
    </row>
    <row r="76" spans="1:9" x14ac:dyDescent="0.25">
      <c r="A76" s="25" t="s">
        <v>1241</v>
      </c>
      <c r="B76" s="114" t="s">
        <v>74</v>
      </c>
      <c r="C76" s="430"/>
      <c r="D76" s="114"/>
      <c r="E76" s="114" t="s">
        <v>1920</v>
      </c>
      <c r="F76" s="517"/>
      <c r="G76" s="47">
        <v>1</v>
      </c>
      <c r="H76" s="577"/>
      <c r="I76" s="566">
        <f t="shared" si="1"/>
        <v>0</v>
      </c>
    </row>
    <row r="77" spans="1:9" x14ac:dyDescent="0.25">
      <c r="A77" s="25" t="s">
        <v>1171</v>
      </c>
      <c r="B77" s="114" t="s">
        <v>441</v>
      </c>
      <c r="C77" s="430"/>
      <c r="D77" s="114"/>
      <c r="E77" s="114" t="s">
        <v>1920</v>
      </c>
      <c r="F77" s="517"/>
      <c r="G77" s="47">
        <v>1</v>
      </c>
      <c r="H77" s="577"/>
      <c r="I77" s="566">
        <f t="shared" si="1"/>
        <v>0</v>
      </c>
    </row>
    <row r="78" spans="1:9" x14ac:dyDescent="0.25">
      <c r="A78" s="25" t="s">
        <v>1242</v>
      </c>
      <c r="B78" s="114" t="s">
        <v>305</v>
      </c>
      <c r="C78" s="430"/>
      <c r="D78" s="114"/>
      <c r="E78" s="114" t="s">
        <v>1920</v>
      </c>
      <c r="F78" s="517"/>
      <c r="G78" s="47">
        <v>1</v>
      </c>
      <c r="H78" s="577"/>
      <c r="I78" s="566">
        <f t="shared" si="1"/>
        <v>0</v>
      </c>
    </row>
    <row r="79" spans="1:9" x14ac:dyDescent="0.25">
      <c r="A79" s="25" t="s">
        <v>1172</v>
      </c>
      <c r="B79" s="114" t="s">
        <v>340</v>
      </c>
      <c r="C79" s="430"/>
      <c r="D79" s="114"/>
      <c r="E79" s="114" t="s">
        <v>1920</v>
      </c>
      <c r="F79" s="517"/>
      <c r="G79" s="47">
        <v>1</v>
      </c>
      <c r="H79" s="577"/>
      <c r="I79" s="566">
        <f t="shared" si="1"/>
        <v>0</v>
      </c>
    </row>
    <row r="80" spans="1:9" x14ac:dyDescent="0.25">
      <c r="A80" s="25" t="s">
        <v>1051</v>
      </c>
      <c r="B80" s="114" t="s">
        <v>317</v>
      </c>
      <c r="C80" s="430"/>
      <c r="D80" s="114"/>
      <c r="E80" s="114" t="s">
        <v>1920</v>
      </c>
      <c r="F80" s="517"/>
      <c r="G80" s="47">
        <v>1</v>
      </c>
      <c r="H80" s="577"/>
      <c r="I80" s="566">
        <f t="shared" si="1"/>
        <v>0</v>
      </c>
    </row>
    <row r="81" spans="1:9" x14ac:dyDescent="0.25">
      <c r="A81" s="25" t="s">
        <v>1198</v>
      </c>
      <c r="B81" s="114" t="s">
        <v>257</v>
      </c>
      <c r="C81" s="430"/>
      <c r="D81" s="114"/>
      <c r="E81" s="114" t="s">
        <v>1920</v>
      </c>
      <c r="F81" s="517"/>
      <c r="G81" s="47">
        <v>1</v>
      </c>
      <c r="H81" s="577"/>
      <c r="I81" s="566">
        <f t="shared" si="1"/>
        <v>0</v>
      </c>
    </row>
    <row r="82" spans="1:9" x14ac:dyDescent="0.25">
      <c r="A82" s="25" t="s">
        <v>3243</v>
      </c>
      <c r="B82" s="114" t="s">
        <v>82</v>
      </c>
      <c r="C82" s="430"/>
      <c r="D82" s="114"/>
      <c r="E82" s="114" t="s">
        <v>1920</v>
      </c>
      <c r="F82" s="517"/>
      <c r="G82" s="47">
        <v>1</v>
      </c>
      <c r="H82" s="577"/>
      <c r="I82" s="566">
        <f t="shared" si="1"/>
        <v>0</v>
      </c>
    </row>
    <row r="83" spans="1:9" x14ac:dyDescent="0.25">
      <c r="A83" s="25" t="s">
        <v>1052</v>
      </c>
      <c r="B83" s="114" t="s">
        <v>312</v>
      </c>
      <c r="C83" s="430"/>
      <c r="D83" s="114"/>
      <c r="E83" s="114" t="s">
        <v>1920</v>
      </c>
      <c r="F83" s="517"/>
      <c r="G83" s="47">
        <v>1</v>
      </c>
      <c r="H83" s="577"/>
      <c r="I83" s="566">
        <f t="shared" si="1"/>
        <v>0</v>
      </c>
    </row>
    <row r="84" spans="1:9" x14ac:dyDescent="0.25">
      <c r="A84" s="25" t="s">
        <v>392</v>
      </c>
      <c r="B84" s="114" t="s">
        <v>2294</v>
      </c>
      <c r="C84" s="430"/>
      <c r="D84" s="114"/>
      <c r="E84" s="114" t="s">
        <v>1920</v>
      </c>
      <c r="F84" s="517"/>
      <c r="G84" s="47">
        <v>1</v>
      </c>
      <c r="H84" s="577"/>
      <c r="I84" s="566">
        <f t="shared" si="1"/>
        <v>0</v>
      </c>
    </row>
    <row r="85" spans="1:9" x14ac:dyDescent="0.25">
      <c r="A85" s="25" t="s">
        <v>2288</v>
      </c>
      <c r="B85" s="114" t="s">
        <v>2290</v>
      </c>
      <c r="C85" s="430"/>
      <c r="D85" s="114"/>
      <c r="E85" s="114" t="s">
        <v>1920</v>
      </c>
      <c r="F85" s="517"/>
      <c r="G85" s="47">
        <v>1</v>
      </c>
      <c r="H85" s="577"/>
      <c r="I85" s="566">
        <f t="shared" si="1"/>
        <v>0</v>
      </c>
    </row>
    <row r="86" spans="1:9" x14ac:dyDescent="0.25">
      <c r="A86" s="25" t="s">
        <v>1254</v>
      </c>
      <c r="B86" s="114" t="s">
        <v>563</v>
      </c>
      <c r="C86" s="430"/>
      <c r="D86" s="114"/>
      <c r="E86" s="114" t="s">
        <v>1920</v>
      </c>
      <c r="F86" s="517"/>
      <c r="G86" s="47">
        <v>1</v>
      </c>
      <c r="H86" s="577"/>
      <c r="I86" s="566">
        <f t="shared" si="1"/>
        <v>0</v>
      </c>
    </row>
    <row r="87" spans="1:9" x14ac:dyDescent="0.25">
      <c r="A87" s="25" t="s">
        <v>2289</v>
      </c>
      <c r="B87" s="114" t="s">
        <v>2291</v>
      </c>
      <c r="C87" s="430"/>
      <c r="D87" s="114"/>
      <c r="E87" s="114" t="s">
        <v>1920</v>
      </c>
      <c r="F87" s="517"/>
      <c r="G87" s="47">
        <v>1</v>
      </c>
      <c r="H87" s="577"/>
      <c r="I87" s="566">
        <f t="shared" si="1"/>
        <v>0</v>
      </c>
    </row>
    <row r="88" spans="1:9" x14ac:dyDescent="0.25">
      <c r="A88" s="25" t="s">
        <v>37</v>
      </c>
      <c r="B88" s="114" t="s">
        <v>38</v>
      </c>
      <c r="C88" s="430"/>
      <c r="D88" s="114"/>
      <c r="E88" s="114" t="s">
        <v>1920</v>
      </c>
      <c r="F88" s="517"/>
      <c r="G88" s="47">
        <v>1</v>
      </c>
      <c r="H88" s="577"/>
      <c r="I88" s="566">
        <f t="shared" si="1"/>
        <v>0</v>
      </c>
    </row>
    <row r="89" spans="1:9" x14ac:dyDescent="0.25">
      <c r="A89" s="25" t="s">
        <v>39</v>
      </c>
      <c r="B89" s="114" t="s">
        <v>245</v>
      </c>
      <c r="C89" s="430"/>
      <c r="D89" s="114"/>
      <c r="E89" s="114" t="s">
        <v>1920</v>
      </c>
      <c r="F89" s="517"/>
      <c r="G89" s="47">
        <v>1</v>
      </c>
      <c r="H89" s="577"/>
      <c r="I89" s="566">
        <f t="shared" si="1"/>
        <v>0</v>
      </c>
    </row>
    <row r="90" spans="1:9" x14ac:dyDescent="0.25">
      <c r="A90" s="25" t="s">
        <v>1179</v>
      </c>
      <c r="B90" s="114" t="s">
        <v>117</v>
      </c>
      <c r="C90" s="430"/>
      <c r="D90" s="114"/>
      <c r="E90" s="114" t="s">
        <v>1920</v>
      </c>
      <c r="F90" s="517"/>
      <c r="G90" s="47">
        <v>1</v>
      </c>
      <c r="H90" s="577"/>
      <c r="I90" s="566">
        <f t="shared" si="1"/>
        <v>0</v>
      </c>
    </row>
    <row r="91" spans="1:9" x14ac:dyDescent="0.25">
      <c r="A91" s="25" t="s">
        <v>2897</v>
      </c>
      <c r="B91" s="114" t="s">
        <v>324</v>
      </c>
      <c r="C91" s="430"/>
      <c r="D91" s="114"/>
      <c r="E91" s="114" t="s">
        <v>1920</v>
      </c>
      <c r="F91" s="517"/>
      <c r="G91" s="47">
        <v>1</v>
      </c>
      <c r="H91" s="577"/>
      <c r="I91" s="566">
        <f t="shared" si="1"/>
        <v>0</v>
      </c>
    </row>
    <row r="92" spans="1:9" x14ac:dyDescent="0.25">
      <c r="A92" s="25" t="s">
        <v>2231</v>
      </c>
      <c r="B92" s="114" t="s">
        <v>357</v>
      </c>
      <c r="C92" s="430"/>
      <c r="D92" s="114"/>
      <c r="E92" s="114" t="s">
        <v>1920</v>
      </c>
      <c r="F92" s="517"/>
      <c r="G92" s="47">
        <v>1</v>
      </c>
      <c r="H92" s="577"/>
      <c r="I92" s="566">
        <f t="shared" si="1"/>
        <v>0</v>
      </c>
    </row>
    <row r="93" spans="1:9" x14ac:dyDescent="0.25">
      <c r="A93" s="25" t="s">
        <v>2558</v>
      </c>
      <c r="B93" s="114" t="s">
        <v>2293</v>
      </c>
      <c r="C93" s="430"/>
      <c r="D93" s="114"/>
      <c r="E93" s="114" t="s">
        <v>1920</v>
      </c>
      <c r="F93" s="517"/>
      <c r="G93" s="47">
        <v>1</v>
      </c>
      <c r="H93" s="577"/>
      <c r="I93" s="566">
        <f t="shared" si="1"/>
        <v>0</v>
      </c>
    </row>
    <row r="94" spans="1:9" x14ac:dyDescent="0.25">
      <c r="A94" s="25" t="s">
        <v>1055</v>
      </c>
      <c r="B94" s="114" t="s">
        <v>347</v>
      </c>
      <c r="C94" s="430"/>
      <c r="D94" s="114"/>
      <c r="E94" s="114" t="s">
        <v>1920</v>
      </c>
      <c r="F94" s="517"/>
      <c r="G94" s="47">
        <v>1</v>
      </c>
      <c r="H94" s="577"/>
      <c r="I94" s="566">
        <f t="shared" si="1"/>
        <v>0</v>
      </c>
    </row>
    <row r="95" spans="1:9" x14ac:dyDescent="0.25">
      <c r="A95" s="25" t="s">
        <v>1188</v>
      </c>
      <c r="B95" s="114" t="s">
        <v>342</v>
      </c>
      <c r="C95" s="430"/>
      <c r="D95" s="114"/>
      <c r="E95" s="114" t="s">
        <v>1920</v>
      </c>
      <c r="F95" s="517"/>
      <c r="G95" s="47">
        <v>1</v>
      </c>
      <c r="H95" s="577"/>
      <c r="I95" s="566">
        <f t="shared" si="1"/>
        <v>0</v>
      </c>
    </row>
    <row r="96" spans="1:9" x14ac:dyDescent="0.25">
      <c r="A96" s="25" t="s">
        <v>1077</v>
      </c>
      <c r="B96" s="114" t="s">
        <v>348</v>
      </c>
      <c r="C96" s="430"/>
      <c r="D96" s="114"/>
      <c r="E96" s="114" t="s">
        <v>1920</v>
      </c>
      <c r="F96" s="517"/>
      <c r="G96" s="47">
        <v>1</v>
      </c>
      <c r="H96" s="577"/>
      <c r="I96" s="566">
        <f t="shared" si="1"/>
        <v>0</v>
      </c>
    </row>
    <row r="97" spans="1:11" x14ac:dyDescent="0.25">
      <c r="A97" s="25" t="s">
        <v>2879</v>
      </c>
      <c r="B97" s="114" t="s">
        <v>329</v>
      </c>
      <c r="C97" s="430"/>
      <c r="D97" s="114"/>
      <c r="E97" s="114" t="s">
        <v>1920</v>
      </c>
      <c r="F97" s="517"/>
      <c r="G97" s="47">
        <v>1</v>
      </c>
      <c r="H97" s="577"/>
      <c r="I97" s="566">
        <f t="shared" si="1"/>
        <v>0</v>
      </c>
    </row>
    <row r="98" spans="1:11" x14ac:dyDescent="0.25">
      <c r="A98" s="25" t="s">
        <v>2234</v>
      </c>
      <c r="B98" s="114" t="s">
        <v>119</v>
      </c>
      <c r="C98" s="430"/>
      <c r="D98" s="114"/>
      <c r="E98" s="114" t="s">
        <v>1920</v>
      </c>
      <c r="F98" s="517"/>
      <c r="G98" s="47">
        <v>1</v>
      </c>
      <c r="H98" s="577"/>
      <c r="I98" s="566">
        <f t="shared" si="1"/>
        <v>0</v>
      </c>
    </row>
    <row r="99" spans="1:11" x14ac:dyDescent="0.25">
      <c r="A99" s="25" t="s">
        <v>1071</v>
      </c>
      <c r="B99" s="114">
        <v>80038</v>
      </c>
      <c r="C99" s="430"/>
      <c r="D99" s="114"/>
      <c r="E99" s="114">
        <v>25795</v>
      </c>
      <c r="F99" s="517"/>
      <c r="G99" s="47">
        <v>1</v>
      </c>
      <c r="H99" s="577"/>
      <c r="I99" s="566">
        <f t="shared" si="1"/>
        <v>0</v>
      </c>
    </row>
    <row r="100" spans="1:11" x14ac:dyDescent="0.25">
      <c r="A100" s="25" t="s">
        <v>1072</v>
      </c>
      <c r="B100" s="114">
        <v>80039</v>
      </c>
      <c r="C100" s="430"/>
      <c r="D100" s="114"/>
      <c r="E100" s="114">
        <v>25795</v>
      </c>
      <c r="F100" s="517"/>
      <c r="G100" s="47">
        <v>1</v>
      </c>
      <c r="H100" s="577"/>
      <c r="I100" s="566">
        <f t="shared" si="1"/>
        <v>0</v>
      </c>
    </row>
    <row r="101" spans="1:11" x14ac:dyDescent="0.25">
      <c r="A101" s="25" t="s">
        <v>1073</v>
      </c>
      <c r="B101" s="114">
        <v>80040</v>
      </c>
      <c r="C101" s="430"/>
      <c r="D101" s="114"/>
      <c r="E101" s="114">
        <v>25795</v>
      </c>
      <c r="F101" s="517"/>
      <c r="G101" s="47">
        <v>1</v>
      </c>
      <c r="H101" s="577"/>
      <c r="I101" s="566">
        <f t="shared" si="1"/>
        <v>0</v>
      </c>
    </row>
    <row r="102" spans="1:11" x14ac:dyDescent="0.25">
      <c r="A102" s="25" t="s">
        <v>1074</v>
      </c>
      <c r="B102" s="114">
        <v>80041</v>
      </c>
      <c r="C102" s="430"/>
      <c r="D102" s="114"/>
      <c r="E102" s="114">
        <v>25795</v>
      </c>
      <c r="F102" s="517"/>
      <c r="G102" s="47">
        <v>1</v>
      </c>
      <c r="H102" s="577"/>
      <c r="I102" s="566">
        <f t="shared" si="1"/>
        <v>0</v>
      </c>
    </row>
    <row r="103" spans="1:11" x14ac:dyDescent="0.25">
      <c r="A103" s="25" t="s">
        <v>1075</v>
      </c>
      <c r="B103" s="114">
        <v>80042</v>
      </c>
      <c r="C103" s="430"/>
      <c r="D103" s="114"/>
      <c r="E103" s="114">
        <v>25795</v>
      </c>
      <c r="F103" s="517"/>
      <c r="G103" s="47">
        <v>1</v>
      </c>
      <c r="H103" s="577"/>
      <c r="I103" s="566">
        <f t="shared" si="1"/>
        <v>0</v>
      </c>
    </row>
    <row r="104" spans="1:11" x14ac:dyDescent="0.25">
      <c r="A104" s="25" t="s">
        <v>1076</v>
      </c>
      <c r="B104" s="114">
        <v>80043</v>
      </c>
      <c r="C104" s="430"/>
      <c r="D104" s="114"/>
      <c r="E104" s="114">
        <v>25795</v>
      </c>
      <c r="F104" s="517"/>
      <c r="G104" s="47">
        <v>1</v>
      </c>
      <c r="H104" s="577"/>
      <c r="I104" s="566">
        <f t="shared" si="1"/>
        <v>0</v>
      </c>
    </row>
    <row r="105" spans="1:11" x14ac:dyDescent="0.25">
      <c r="A105" s="25" t="s">
        <v>2880</v>
      </c>
      <c r="B105" s="114">
        <v>80044</v>
      </c>
      <c r="C105" s="430"/>
      <c r="D105" s="114"/>
      <c r="E105" s="114">
        <v>25795</v>
      </c>
      <c r="F105" s="517"/>
      <c r="G105" s="47">
        <v>1</v>
      </c>
      <c r="H105" s="577"/>
      <c r="I105" s="566">
        <f t="shared" si="1"/>
        <v>0</v>
      </c>
    </row>
    <row r="106" spans="1:11" x14ac:dyDescent="0.25">
      <c r="A106" s="25" t="s">
        <v>121</v>
      </c>
      <c r="B106" s="114" t="s">
        <v>564</v>
      </c>
      <c r="C106" s="430"/>
      <c r="D106" s="114"/>
      <c r="E106" s="114" t="s">
        <v>1920</v>
      </c>
      <c r="F106" s="517"/>
      <c r="G106" s="47">
        <v>1</v>
      </c>
      <c r="H106" s="577"/>
      <c r="I106" s="566">
        <f t="shared" si="1"/>
        <v>0</v>
      </c>
    </row>
    <row r="107" spans="1:11" x14ac:dyDescent="0.25">
      <c r="A107" s="25" t="s">
        <v>124</v>
      </c>
      <c r="B107" s="114" t="s">
        <v>565</v>
      </c>
      <c r="C107" s="430"/>
      <c r="D107" s="114"/>
      <c r="E107" s="114" t="s">
        <v>1920</v>
      </c>
      <c r="F107" s="517"/>
      <c r="G107" s="47">
        <v>1</v>
      </c>
      <c r="H107" s="577"/>
      <c r="I107" s="566">
        <f t="shared" si="1"/>
        <v>0</v>
      </c>
      <c r="J107" s="179"/>
      <c r="K107" s="180"/>
    </row>
    <row r="108" spans="1:11" x14ac:dyDescent="0.25">
      <c r="A108" s="25" t="s">
        <v>222</v>
      </c>
      <c r="B108" s="114" t="s">
        <v>566</v>
      </c>
      <c r="C108" s="430"/>
      <c r="D108" s="114"/>
      <c r="E108" s="114" t="s">
        <v>1920</v>
      </c>
      <c r="F108" s="517"/>
      <c r="G108" s="47">
        <v>1</v>
      </c>
      <c r="H108" s="577"/>
      <c r="I108" s="566">
        <f t="shared" si="1"/>
        <v>0</v>
      </c>
    </row>
    <row r="109" spans="1:11" x14ac:dyDescent="0.25">
      <c r="A109" s="25" t="s">
        <v>126</v>
      </c>
      <c r="B109" s="114" t="s">
        <v>127</v>
      </c>
      <c r="C109" s="430"/>
      <c r="D109" s="114"/>
      <c r="E109" s="114" t="s">
        <v>1920</v>
      </c>
      <c r="F109" s="517"/>
      <c r="G109" s="47">
        <v>1</v>
      </c>
      <c r="H109" s="577"/>
      <c r="I109" s="566">
        <f t="shared" si="1"/>
        <v>0</v>
      </c>
    </row>
    <row r="110" spans="1:11" x14ac:dyDescent="0.25">
      <c r="A110" s="25" t="s">
        <v>61</v>
      </c>
      <c r="B110" s="114" t="s">
        <v>62</v>
      </c>
      <c r="C110" s="430"/>
      <c r="D110" s="114"/>
      <c r="E110" s="114" t="s">
        <v>1920</v>
      </c>
      <c r="F110" s="517"/>
      <c r="G110" s="47">
        <v>1</v>
      </c>
      <c r="H110" s="577"/>
      <c r="I110" s="566">
        <f t="shared" si="1"/>
        <v>0</v>
      </c>
    </row>
    <row r="111" spans="1:11" x14ac:dyDescent="0.25">
      <c r="A111" s="25" t="s">
        <v>128</v>
      </c>
      <c r="B111" s="114" t="s">
        <v>129</v>
      </c>
      <c r="C111" s="430"/>
      <c r="D111" s="114"/>
      <c r="E111" s="114" t="s">
        <v>1920</v>
      </c>
      <c r="F111" s="517"/>
      <c r="G111" s="47">
        <v>1</v>
      </c>
      <c r="H111" s="577"/>
      <c r="I111" s="566">
        <f t="shared" si="1"/>
        <v>0</v>
      </c>
    </row>
    <row r="112" spans="1:11" x14ac:dyDescent="0.25">
      <c r="A112" s="25" t="s">
        <v>130</v>
      </c>
      <c r="B112" s="114" t="s">
        <v>131</v>
      </c>
      <c r="C112" s="430"/>
      <c r="D112" s="114"/>
      <c r="E112" s="114" t="s">
        <v>1920</v>
      </c>
      <c r="F112" s="517"/>
      <c r="G112" s="47">
        <v>1</v>
      </c>
      <c r="H112" s="577"/>
      <c r="I112" s="566">
        <f t="shared" si="1"/>
        <v>0</v>
      </c>
    </row>
    <row r="113" spans="1:9" x14ac:dyDescent="0.25">
      <c r="A113" s="25" t="s">
        <v>132</v>
      </c>
      <c r="B113" s="114" t="s">
        <v>133</v>
      </c>
      <c r="C113" s="430"/>
      <c r="D113" s="114"/>
      <c r="E113" s="114" t="s">
        <v>1920</v>
      </c>
      <c r="F113" s="517"/>
      <c r="G113" s="47">
        <v>1</v>
      </c>
      <c r="H113" s="577"/>
      <c r="I113" s="566">
        <f t="shared" si="1"/>
        <v>0</v>
      </c>
    </row>
    <row r="114" spans="1:9" x14ac:dyDescent="0.25">
      <c r="A114" s="25" t="s">
        <v>134</v>
      </c>
      <c r="B114" s="114" t="s">
        <v>135</v>
      </c>
      <c r="C114" s="430"/>
      <c r="D114" s="114"/>
      <c r="E114" s="114" t="s">
        <v>1920</v>
      </c>
      <c r="F114" s="517"/>
      <c r="G114" s="47">
        <v>1</v>
      </c>
      <c r="H114" s="577"/>
      <c r="I114" s="566">
        <f t="shared" si="1"/>
        <v>0</v>
      </c>
    </row>
    <row r="115" spans="1:9" x14ac:dyDescent="0.25">
      <c r="A115" s="25" t="s">
        <v>136</v>
      </c>
      <c r="B115" s="114" t="s">
        <v>137</v>
      </c>
      <c r="C115" s="430"/>
      <c r="D115" s="114"/>
      <c r="E115" s="114" t="s">
        <v>1920</v>
      </c>
      <c r="F115" s="517"/>
      <c r="G115" s="47">
        <v>1</v>
      </c>
      <c r="H115" s="577"/>
      <c r="I115" s="566">
        <f t="shared" si="1"/>
        <v>0</v>
      </c>
    </row>
    <row r="116" spans="1:9" x14ac:dyDescent="0.25">
      <c r="A116" s="25" t="s">
        <v>138</v>
      </c>
      <c r="B116" s="114" t="s">
        <v>139</v>
      </c>
      <c r="C116" s="430"/>
      <c r="D116" s="114"/>
      <c r="E116" s="114" t="s">
        <v>1920</v>
      </c>
      <c r="F116" s="517"/>
      <c r="G116" s="47">
        <v>1</v>
      </c>
      <c r="H116" s="577"/>
      <c r="I116" s="566">
        <f t="shared" si="1"/>
        <v>0</v>
      </c>
    </row>
    <row r="117" spans="1:9" x14ac:dyDescent="0.25">
      <c r="A117" s="25" t="s">
        <v>1471</v>
      </c>
      <c r="B117" s="114" t="s">
        <v>140</v>
      </c>
      <c r="C117" s="430"/>
      <c r="D117" s="114"/>
      <c r="E117" s="114" t="s">
        <v>1920</v>
      </c>
      <c r="F117" s="517"/>
      <c r="G117" s="47">
        <v>1</v>
      </c>
      <c r="H117" s="577"/>
      <c r="I117" s="566">
        <f t="shared" si="1"/>
        <v>0</v>
      </c>
    </row>
    <row r="118" spans="1:9" x14ac:dyDescent="0.25">
      <c r="A118" s="25" t="s">
        <v>3198</v>
      </c>
      <c r="B118" s="114" t="s">
        <v>255</v>
      </c>
      <c r="C118" s="430"/>
      <c r="D118" s="114"/>
      <c r="E118" s="114" t="s">
        <v>1920</v>
      </c>
      <c r="F118" s="517"/>
      <c r="G118" s="47">
        <v>1</v>
      </c>
      <c r="H118" s="577"/>
      <c r="I118" s="566">
        <f t="shared" si="1"/>
        <v>0</v>
      </c>
    </row>
    <row r="119" spans="1:9" x14ac:dyDescent="0.25">
      <c r="A119" s="25" t="s">
        <v>3199</v>
      </c>
      <c r="B119" s="114" t="s">
        <v>253</v>
      </c>
      <c r="C119" s="430"/>
      <c r="D119" s="114"/>
      <c r="E119" s="114" t="s">
        <v>1920</v>
      </c>
      <c r="F119" s="517"/>
      <c r="G119" s="47">
        <v>1</v>
      </c>
      <c r="H119" s="577"/>
      <c r="I119" s="566">
        <f t="shared" si="1"/>
        <v>0</v>
      </c>
    </row>
    <row r="120" spans="1:9" x14ac:dyDescent="0.25">
      <c r="A120" s="25" t="s">
        <v>3193</v>
      </c>
      <c r="B120" s="114" t="s">
        <v>337</v>
      </c>
      <c r="C120" s="430"/>
      <c r="D120" s="114"/>
      <c r="E120" s="114" t="s">
        <v>1920</v>
      </c>
      <c r="F120" s="517"/>
      <c r="G120" s="47">
        <v>1</v>
      </c>
      <c r="H120" s="577"/>
      <c r="I120" s="566">
        <f t="shared" si="1"/>
        <v>0</v>
      </c>
    </row>
    <row r="121" spans="1:9" x14ac:dyDescent="0.25">
      <c r="A121" s="25" t="s">
        <v>3194</v>
      </c>
      <c r="B121" s="114" t="s">
        <v>40</v>
      </c>
      <c r="C121" s="430"/>
      <c r="D121" s="114"/>
      <c r="E121" s="114" t="s">
        <v>1920</v>
      </c>
      <c r="F121" s="517"/>
      <c r="G121" s="47">
        <v>1</v>
      </c>
      <c r="H121" s="577"/>
      <c r="I121" s="566">
        <f t="shared" si="1"/>
        <v>0</v>
      </c>
    </row>
    <row r="122" spans="1:9" x14ac:dyDescent="0.25">
      <c r="A122" s="25" t="s">
        <v>3195</v>
      </c>
      <c r="B122" s="114" t="s">
        <v>41</v>
      </c>
      <c r="C122" s="430"/>
      <c r="D122" s="114"/>
      <c r="E122" s="114" t="s">
        <v>1920</v>
      </c>
      <c r="F122" s="517"/>
      <c r="G122" s="47">
        <v>1</v>
      </c>
      <c r="H122" s="577"/>
      <c r="I122" s="566">
        <f t="shared" si="1"/>
        <v>0</v>
      </c>
    </row>
    <row r="123" spans="1:9" x14ac:dyDescent="0.25">
      <c r="A123" s="25" t="s">
        <v>3196</v>
      </c>
      <c r="B123" s="114" t="s">
        <v>42</v>
      </c>
      <c r="C123" s="430"/>
      <c r="D123" s="114"/>
      <c r="E123" s="114" t="s">
        <v>1920</v>
      </c>
      <c r="F123" s="517"/>
      <c r="G123" s="47">
        <v>1</v>
      </c>
      <c r="H123" s="577"/>
      <c r="I123" s="566">
        <f t="shared" si="1"/>
        <v>0</v>
      </c>
    </row>
    <row r="124" spans="1:9" x14ac:dyDescent="0.25">
      <c r="A124" s="25" t="s">
        <v>13</v>
      </c>
      <c r="B124" s="114" t="s">
        <v>471</v>
      </c>
      <c r="C124" s="430"/>
      <c r="D124" s="114"/>
      <c r="E124" s="114" t="s">
        <v>1920</v>
      </c>
      <c r="F124" s="517"/>
      <c r="G124" s="47">
        <v>1</v>
      </c>
      <c r="H124" s="577"/>
      <c r="I124" s="566">
        <f t="shared" si="1"/>
        <v>0</v>
      </c>
    </row>
    <row r="125" spans="1:9" x14ac:dyDescent="0.25">
      <c r="I125" s="578">
        <f>SUM(I2:I124)</f>
        <v>0</v>
      </c>
    </row>
    <row r="127" spans="1:9" s="4" customFormat="1" x14ac:dyDescent="0.25">
      <c r="A127" s="422" t="s">
        <v>1766</v>
      </c>
      <c r="B127" s="425"/>
      <c r="C127" s="85"/>
      <c r="D127" s="3"/>
      <c r="E127" s="3"/>
      <c r="F127" s="311"/>
      <c r="G127" s="3"/>
      <c r="H127" s="531"/>
      <c r="I127" s="541"/>
    </row>
    <row r="128" spans="1:9" s="4" customFormat="1" x14ac:dyDescent="0.25">
      <c r="A128" s="422" t="s">
        <v>2940</v>
      </c>
      <c r="B128" s="425"/>
      <c r="C128" s="85"/>
      <c r="D128" s="3"/>
      <c r="E128" s="3"/>
      <c r="F128" s="311"/>
      <c r="G128" s="3"/>
      <c r="H128" s="531"/>
      <c r="I128" s="541"/>
    </row>
    <row r="129" spans="1:2" x14ac:dyDescent="0.25">
      <c r="A129" s="423" t="s">
        <v>3361</v>
      </c>
      <c r="B129" s="518"/>
    </row>
    <row r="130" spans="1:2" x14ac:dyDescent="0.25">
      <c r="A130" s="434" t="s">
        <v>3367</v>
      </c>
      <c r="B130" s="550">
        <f>+I125</f>
        <v>0</v>
      </c>
    </row>
  </sheetData>
  <sortState xmlns:xlrd2="http://schemas.microsoft.com/office/spreadsheetml/2017/richdata2" ref="A3:F123">
    <sortCondition ref="A3:A123"/>
  </sortState>
  <pageMargins left="0.7" right="0.7" top="0.75" bottom="0.75" header="0.3" footer="0.3"/>
  <pageSetup scale="9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48"/>
  <sheetViews>
    <sheetView workbookViewId="0">
      <pane ySplit="1" topLeftCell="A215" activePane="bottomLeft" state="frozen"/>
      <selection activeCell="C26" sqref="C26"/>
      <selection pane="bottomLeft" activeCell="G2" sqref="G2:G243"/>
    </sheetView>
  </sheetViews>
  <sheetFormatPr defaultColWidth="9.140625" defaultRowHeight="15" x14ac:dyDescent="0.2"/>
  <cols>
    <col min="1" max="1" width="70" style="119" customWidth="1"/>
    <col min="2" max="2" width="25.42578125" style="251" customWidth="1"/>
    <col min="3" max="3" width="29.85546875" style="251" customWidth="1"/>
    <col min="4" max="4" width="20.85546875" style="119" customWidth="1"/>
    <col min="5" max="5" width="28.42578125" style="119" customWidth="1"/>
    <col min="6" max="6" width="28.42578125" style="251" customWidth="1"/>
    <col min="7" max="7" width="12.85546875" style="85" customWidth="1"/>
    <col min="8" max="8" width="43.85546875" style="568" customWidth="1"/>
    <col min="9" max="9" width="21.42578125" style="519" bestFit="1" customWidth="1"/>
    <col min="10" max="16384" width="9.140625" style="119"/>
  </cols>
  <sheetData>
    <row r="1" spans="1:9" ht="15.75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13" t="s">
        <v>412</v>
      </c>
      <c r="H1" s="528" t="s">
        <v>3368</v>
      </c>
      <c r="I1" s="539" t="s">
        <v>3369</v>
      </c>
    </row>
    <row r="2" spans="1:9" x14ac:dyDescent="0.2">
      <c r="A2" s="43" t="s">
        <v>834</v>
      </c>
      <c r="B2" s="314">
        <v>2050</v>
      </c>
      <c r="C2" s="430"/>
      <c r="D2" s="71"/>
      <c r="E2" s="71" t="s">
        <v>1920</v>
      </c>
      <c r="F2" s="523"/>
      <c r="G2" s="33">
        <v>1</v>
      </c>
      <c r="H2" s="543"/>
      <c r="I2" s="559">
        <f>+G2*H2</f>
        <v>0</v>
      </c>
    </row>
    <row r="3" spans="1:9" x14ac:dyDescent="0.2">
      <c r="A3" s="242" t="s">
        <v>3256</v>
      </c>
      <c r="B3" s="236">
        <v>75908</v>
      </c>
      <c r="C3" s="430"/>
      <c r="D3" s="236"/>
      <c r="E3" s="236">
        <v>56654</v>
      </c>
      <c r="F3" s="523"/>
      <c r="G3" s="10">
        <v>1</v>
      </c>
      <c r="H3" s="570"/>
      <c r="I3" s="559">
        <f t="shared" ref="I3:I66" si="0">+G3*H3</f>
        <v>0</v>
      </c>
    </row>
    <row r="4" spans="1:9" x14ac:dyDescent="0.2">
      <c r="A4" s="43" t="s">
        <v>1266</v>
      </c>
      <c r="B4" s="314" t="s">
        <v>1987</v>
      </c>
      <c r="C4" s="430"/>
      <c r="D4" s="71"/>
      <c r="E4" s="71" t="s">
        <v>1920</v>
      </c>
      <c r="F4" s="523"/>
      <c r="G4" s="33">
        <v>1</v>
      </c>
      <c r="H4" s="543"/>
      <c r="I4" s="559">
        <f t="shared" si="0"/>
        <v>0</v>
      </c>
    </row>
    <row r="5" spans="1:9" x14ac:dyDescent="0.2">
      <c r="A5" s="43" t="s">
        <v>1626</v>
      </c>
      <c r="B5" s="314" t="s">
        <v>2023</v>
      </c>
      <c r="C5" s="430"/>
      <c r="D5" s="71"/>
      <c r="E5" s="71" t="s">
        <v>1920</v>
      </c>
      <c r="F5" s="523"/>
      <c r="G5" s="33">
        <v>1</v>
      </c>
      <c r="H5" s="543"/>
      <c r="I5" s="559">
        <f t="shared" si="0"/>
        <v>0</v>
      </c>
    </row>
    <row r="6" spans="1:9" s="215" customFormat="1" x14ac:dyDescent="0.2">
      <c r="A6" s="43" t="s">
        <v>18</v>
      </c>
      <c r="B6" s="314" t="s">
        <v>3110</v>
      </c>
      <c r="C6" s="430"/>
      <c r="D6" s="71"/>
      <c r="E6" s="71" t="s">
        <v>1920</v>
      </c>
      <c r="F6" s="523"/>
      <c r="G6" s="33">
        <v>1</v>
      </c>
      <c r="H6" s="543"/>
      <c r="I6" s="559">
        <f t="shared" si="0"/>
        <v>0</v>
      </c>
    </row>
    <row r="7" spans="1:9" x14ac:dyDescent="0.2">
      <c r="A7" s="43" t="s">
        <v>3068</v>
      </c>
      <c r="B7" s="314" t="s">
        <v>3069</v>
      </c>
      <c r="C7" s="430"/>
      <c r="D7" s="71"/>
      <c r="E7" s="71">
        <v>75906</v>
      </c>
      <c r="F7" s="523"/>
      <c r="G7" s="33">
        <v>1</v>
      </c>
      <c r="H7" s="543"/>
      <c r="I7" s="559">
        <f t="shared" si="0"/>
        <v>0</v>
      </c>
    </row>
    <row r="8" spans="1:9" x14ac:dyDescent="0.2">
      <c r="A8" s="43" t="s">
        <v>459</v>
      </c>
      <c r="B8" s="314" t="s">
        <v>1823</v>
      </c>
      <c r="C8" s="430"/>
      <c r="D8" s="71"/>
      <c r="E8" s="71" t="s">
        <v>1920</v>
      </c>
      <c r="F8" s="523"/>
      <c r="G8" s="33">
        <v>1</v>
      </c>
      <c r="H8" s="543"/>
      <c r="I8" s="559">
        <f t="shared" si="0"/>
        <v>0</v>
      </c>
    </row>
    <row r="9" spans="1:9" x14ac:dyDescent="0.2">
      <c r="A9" s="43" t="s">
        <v>1211</v>
      </c>
      <c r="B9" s="314" t="s">
        <v>1990</v>
      </c>
      <c r="C9" s="430"/>
      <c r="D9" s="71"/>
      <c r="E9" s="71" t="s">
        <v>1920</v>
      </c>
      <c r="F9" s="523"/>
      <c r="G9" s="33">
        <v>1</v>
      </c>
      <c r="H9" s="543"/>
      <c r="I9" s="559">
        <f t="shared" si="0"/>
        <v>0</v>
      </c>
    </row>
    <row r="10" spans="1:9" x14ac:dyDescent="0.2">
      <c r="A10" s="253" t="s">
        <v>2947</v>
      </c>
      <c r="B10" s="314" t="s">
        <v>748</v>
      </c>
      <c r="C10" s="430"/>
      <c r="D10" s="71"/>
      <c r="E10" s="71" t="s">
        <v>1920</v>
      </c>
      <c r="F10" s="523"/>
      <c r="G10" s="33">
        <v>1</v>
      </c>
      <c r="H10" s="543"/>
      <c r="I10" s="559">
        <f t="shared" si="0"/>
        <v>0</v>
      </c>
    </row>
    <row r="11" spans="1:9" x14ac:dyDescent="0.2">
      <c r="A11" s="43" t="s">
        <v>1537</v>
      </c>
      <c r="B11" s="314" t="s">
        <v>530</v>
      </c>
      <c r="C11" s="430"/>
      <c r="D11" s="71"/>
      <c r="E11" s="71" t="s">
        <v>1920</v>
      </c>
      <c r="F11" s="523"/>
      <c r="G11" s="33">
        <v>1</v>
      </c>
      <c r="H11" s="543"/>
      <c r="I11" s="559">
        <f t="shared" si="0"/>
        <v>0</v>
      </c>
    </row>
    <row r="12" spans="1:9" x14ac:dyDescent="0.2">
      <c r="A12" s="43" t="s">
        <v>1639</v>
      </c>
      <c r="B12" s="314" t="s">
        <v>730</v>
      </c>
      <c r="C12" s="430"/>
      <c r="D12" s="71"/>
      <c r="E12" s="71" t="s">
        <v>1920</v>
      </c>
      <c r="F12" s="523"/>
      <c r="G12" s="33">
        <v>1</v>
      </c>
      <c r="H12" s="543"/>
      <c r="I12" s="559">
        <f t="shared" si="0"/>
        <v>0</v>
      </c>
    </row>
    <row r="13" spans="1:9" x14ac:dyDescent="0.2">
      <c r="A13" s="43" t="s">
        <v>1640</v>
      </c>
      <c r="B13" s="314" t="s">
        <v>683</v>
      </c>
      <c r="C13" s="430"/>
      <c r="D13" s="71"/>
      <c r="E13" s="71" t="s">
        <v>1920</v>
      </c>
      <c r="F13" s="523"/>
      <c r="G13" s="33">
        <v>1</v>
      </c>
      <c r="H13" s="543"/>
      <c r="I13" s="559">
        <f t="shared" si="0"/>
        <v>0</v>
      </c>
    </row>
    <row r="14" spans="1:9" x14ac:dyDescent="0.2">
      <c r="A14" s="43" t="s">
        <v>2192</v>
      </c>
      <c r="B14" s="314" t="s">
        <v>2193</v>
      </c>
      <c r="C14" s="430"/>
      <c r="D14" s="71"/>
      <c r="E14" s="71" t="s">
        <v>1920</v>
      </c>
      <c r="F14" s="523"/>
      <c r="G14" s="33">
        <v>1</v>
      </c>
      <c r="H14" s="543"/>
      <c r="I14" s="559">
        <f t="shared" si="0"/>
        <v>0</v>
      </c>
    </row>
    <row r="15" spans="1:9" x14ac:dyDescent="0.2">
      <c r="A15" s="43" t="s">
        <v>1641</v>
      </c>
      <c r="B15" s="314" t="s">
        <v>712</v>
      </c>
      <c r="C15" s="430"/>
      <c r="D15" s="71"/>
      <c r="E15" s="71" t="s">
        <v>1920</v>
      </c>
      <c r="F15" s="523"/>
      <c r="G15" s="33">
        <v>1</v>
      </c>
      <c r="H15" s="543"/>
      <c r="I15" s="559">
        <f t="shared" si="0"/>
        <v>0</v>
      </c>
    </row>
    <row r="16" spans="1:9" x14ac:dyDescent="0.2">
      <c r="A16" s="43" t="s">
        <v>1657</v>
      </c>
      <c r="B16" s="314" t="s">
        <v>854</v>
      </c>
      <c r="C16" s="430"/>
      <c r="D16" s="71"/>
      <c r="E16" s="71" t="s">
        <v>1920</v>
      </c>
      <c r="F16" s="523"/>
      <c r="G16" s="33">
        <v>1</v>
      </c>
      <c r="H16" s="543"/>
      <c r="I16" s="559">
        <f t="shared" si="0"/>
        <v>0</v>
      </c>
    </row>
    <row r="17" spans="1:9" x14ac:dyDescent="0.2">
      <c r="A17" s="43" t="s">
        <v>1660</v>
      </c>
      <c r="B17" s="314" t="s">
        <v>51</v>
      </c>
      <c r="C17" s="430"/>
      <c r="D17" s="71"/>
      <c r="E17" s="71" t="s">
        <v>1920</v>
      </c>
      <c r="F17" s="523"/>
      <c r="G17" s="33">
        <v>1</v>
      </c>
      <c r="H17" s="543"/>
      <c r="I17" s="559">
        <f t="shared" si="0"/>
        <v>0</v>
      </c>
    </row>
    <row r="18" spans="1:9" x14ac:dyDescent="0.2">
      <c r="A18" s="43" t="s">
        <v>1661</v>
      </c>
      <c r="B18" s="314" t="s">
        <v>533</v>
      </c>
      <c r="C18" s="430"/>
      <c r="D18" s="71"/>
      <c r="E18" s="71" t="s">
        <v>1920</v>
      </c>
      <c r="F18" s="523"/>
      <c r="G18" s="33">
        <v>1</v>
      </c>
      <c r="H18" s="543"/>
      <c r="I18" s="559">
        <f t="shared" si="0"/>
        <v>0</v>
      </c>
    </row>
    <row r="19" spans="1:9" x14ac:dyDescent="0.2">
      <c r="A19" s="43" t="s">
        <v>1703</v>
      </c>
      <c r="B19" s="314" t="s">
        <v>2011</v>
      </c>
      <c r="C19" s="430"/>
      <c r="D19" s="71"/>
      <c r="E19" s="71">
        <v>89750</v>
      </c>
      <c r="F19" s="523"/>
      <c r="G19" s="33">
        <v>1</v>
      </c>
      <c r="H19" s="543"/>
      <c r="I19" s="559">
        <f t="shared" si="0"/>
        <v>0</v>
      </c>
    </row>
    <row r="20" spans="1:9" x14ac:dyDescent="0.2">
      <c r="A20" s="43" t="s">
        <v>1700</v>
      </c>
      <c r="B20" s="314" t="s">
        <v>2012</v>
      </c>
      <c r="C20" s="430"/>
      <c r="D20" s="71"/>
      <c r="E20" s="71" t="s">
        <v>1933</v>
      </c>
      <c r="F20" s="523"/>
      <c r="G20" s="33">
        <v>1</v>
      </c>
      <c r="H20" s="543"/>
      <c r="I20" s="559">
        <f t="shared" si="0"/>
        <v>0</v>
      </c>
    </row>
    <row r="21" spans="1:9" x14ac:dyDescent="0.2">
      <c r="A21" s="43" t="s">
        <v>1701</v>
      </c>
      <c r="B21" s="314" t="s">
        <v>2013</v>
      </c>
      <c r="C21" s="430"/>
      <c r="D21" s="71"/>
      <c r="E21" s="71" t="s">
        <v>1933</v>
      </c>
      <c r="F21" s="523"/>
      <c r="G21" s="33">
        <v>1</v>
      </c>
      <c r="H21" s="543"/>
      <c r="I21" s="559">
        <f t="shared" si="0"/>
        <v>0</v>
      </c>
    </row>
    <row r="22" spans="1:9" x14ac:dyDescent="0.2">
      <c r="A22" s="43" t="s">
        <v>1702</v>
      </c>
      <c r="B22" s="314" t="s">
        <v>2014</v>
      </c>
      <c r="C22" s="430"/>
      <c r="D22" s="71"/>
      <c r="E22" s="71" t="s">
        <v>1933</v>
      </c>
      <c r="F22" s="523"/>
      <c r="G22" s="33">
        <v>1</v>
      </c>
      <c r="H22" s="543"/>
      <c r="I22" s="559">
        <f t="shared" si="0"/>
        <v>0</v>
      </c>
    </row>
    <row r="23" spans="1:9" x14ac:dyDescent="0.2">
      <c r="A23" s="43" t="s">
        <v>1664</v>
      </c>
      <c r="B23" s="314" t="s">
        <v>714</v>
      </c>
      <c r="C23" s="430"/>
      <c r="D23" s="71"/>
      <c r="E23" s="71" t="s">
        <v>1920</v>
      </c>
      <c r="F23" s="523"/>
      <c r="G23" s="33">
        <v>1</v>
      </c>
      <c r="H23" s="543"/>
      <c r="I23" s="559">
        <f t="shared" si="0"/>
        <v>0</v>
      </c>
    </row>
    <row r="24" spans="1:9" x14ac:dyDescent="0.2">
      <c r="A24" s="43" t="s">
        <v>1673</v>
      </c>
      <c r="B24" s="314" t="s">
        <v>709</v>
      </c>
      <c r="C24" s="430"/>
      <c r="D24" s="71"/>
      <c r="E24" s="71" t="s">
        <v>1920</v>
      </c>
      <c r="F24" s="523"/>
      <c r="G24" s="33">
        <v>1</v>
      </c>
      <c r="H24" s="543"/>
      <c r="I24" s="559">
        <f t="shared" si="0"/>
        <v>0</v>
      </c>
    </row>
    <row r="25" spans="1:9" x14ac:dyDescent="0.2">
      <c r="A25" s="43" t="s">
        <v>1870</v>
      </c>
      <c r="B25" s="314" t="s">
        <v>629</v>
      </c>
      <c r="C25" s="430"/>
      <c r="D25" s="71"/>
      <c r="E25" s="71" t="s">
        <v>1920</v>
      </c>
      <c r="F25" s="523"/>
      <c r="G25" s="33">
        <v>1</v>
      </c>
      <c r="H25" s="543"/>
      <c r="I25" s="559">
        <f t="shared" si="0"/>
        <v>0</v>
      </c>
    </row>
    <row r="26" spans="1:9" x14ac:dyDescent="0.2">
      <c r="A26" s="43" t="s">
        <v>1047</v>
      </c>
      <c r="B26" s="314" t="s">
        <v>492</v>
      </c>
      <c r="C26" s="430"/>
      <c r="D26" s="71"/>
      <c r="E26" s="71" t="s">
        <v>1920</v>
      </c>
      <c r="F26" s="523"/>
      <c r="G26" s="33">
        <v>1</v>
      </c>
      <c r="H26" s="543"/>
      <c r="I26" s="559">
        <f t="shared" si="0"/>
        <v>0</v>
      </c>
    </row>
    <row r="27" spans="1:9" x14ac:dyDescent="0.2">
      <c r="A27" s="43" t="s">
        <v>1049</v>
      </c>
      <c r="B27" s="314" t="s">
        <v>493</v>
      </c>
      <c r="C27" s="430"/>
      <c r="D27" s="71"/>
      <c r="E27" s="71" t="s">
        <v>1920</v>
      </c>
      <c r="F27" s="523"/>
      <c r="G27" s="33">
        <v>1</v>
      </c>
      <c r="H27" s="543"/>
      <c r="I27" s="559">
        <f t="shared" si="0"/>
        <v>0</v>
      </c>
    </row>
    <row r="28" spans="1:9" x14ac:dyDescent="0.2">
      <c r="A28" s="43" t="s">
        <v>1048</v>
      </c>
      <c r="B28" s="314" t="s">
        <v>170</v>
      </c>
      <c r="C28" s="430"/>
      <c r="D28" s="71"/>
      <c r="E28" s="71" t="s">
        <v>1920</v>
      </c>
      <c r="F28" s="523"/>
      <c r="G28" s="33">
        <v>1</v>
      </c>
      <c r="H28" s="543"/>
      <c r="I28" s="559">
        <f t="shared" si="0"/>
        <v>0</v>
      </c>
    </row>
    <row r="29" spans="1:9" x14ac:dyDescent="0.2">
      <c r="A29" s="43" t="s">
        <v>1050</v>
      </c>
      <c r="B29" s="314" t="s">
        <v>404</v>
      </c>
      <c r="C29" s="430"/>
      <c r="D29" s="71"/>
      <c r="E29" s="71" t="s">
        <v>1920</v>
      </c>
      <c r="F29" s="523"/>
      <c r="G29" s="33">
        <v>1</v>
      </c>
      <c r="H29" s="543"/>
      <c r="I29" s="559">
        <f t="shared" si="0"/>
        <v>0</v>
      </c>
    </row>
    <row r="30" spans="1:9" x14ac:dyDescent="0.2">
      <c r="A30" s="43" t="s">
        <v>1193</v>
      </c>
      <c r="B30" s="314" t="s">
        <v>316</v>
      </c>
      <c r="C30" s="430"/>
      <c r="D30" s="71"/>
      <c r="E30" s="71" t="s">
        <v>1920</v>
      </c>
      <c r="F30" s="523"/>
      <c r="G30" s="33">
        <v>1</v>
      </c>
      <c r="H30" s="543"/>
      <c r="I30" s="559">
        <f t="shared" si="0"/>
        <v>0</v>
      </c>
    </row>
    <row r="31" spans="1:9" x14ac:dyDescent="0.2">
      <c r="A31" s="43" t="s">
        <v>1195</v>
      </c>
      <c r="B31" s="314" t="s">
        <v>314</v>
      </c>
      <c r="C31" s="430"/>
      <c r="D31" s="71"/>
      <c r="E31" s="71" t="s">
        <v>1920</v>
      </c>
      <c r="F31" s="523"/>
      <c r="G31" s="33">
        <v>1</v>
      </c>
      <c r="H31" s="543"/>
      <c r="I31" s="559">
        <f t="shared" si="0"/>
        <v>0</v>
      </c>
    </row>
    <row r="32" spans="1:9" x14ac:dyDescent="0.2">
      <c r="A32" s="43" t="s">
        <v>1196</v>
      </c>
      <c r="B32" s="314" t="s">
        <v>80</v>
      </c>
      <c r="C32" s="430"/>
      <c r="D32" s="71"/>
      <c r="E32" s="71" t="s">
        <v>1920</v>
      </c>
      <c r="F32" s="523"/>
      <c r="G32" s="33">
        <v>1</v>
      </c>
      <c r="H32" s="543"/>
      <c r="I32" s="559">
        <f t="shared" si="0"/>
        <v>0</v>
      </c>
    </row>
    <row r="33" spans="1:9" x14ac:dyDescent="0.2">
      <c r="A33" s="43" t="s">
        <v>1051</v>
      </c>
      <c r="B33" s="314" t="s">
        <v>317</v>
      </c>
      <c r="C33" s="430"/>
      <c r="D33" s="71"/>
      <c r="E33" s="71" t="s">
        <v>1920</v>
      </c>
      <c r="F33" s="523"/>
      <c r="G33" s="33">
        <v>1</v>
      </c>
      <c r="H33" s="543"/>
      <c r="I33" s="559">
        <f t="shared" si="0"/>
        <v>0</v>
      </c>
    </row>
    <row r="34" spans="1:9" x14ac:dyDescent="0.2">
      <c r="A34" s="43" t="s">
        <v>3243</v>
      </c>
      <c r="B34" s="314" t="s">
        <v>82</v>
      </c>
      <c r="C34" s="430"/>
      <c r="D34" s="71"/>
      <c r="E34" s="71" t="s">
        <v>1920</v>
      </c>
      <c r="F34" s="523"/>
      <c r="G34" s="33">
        <v>1</v>
      </c>
      <c r="H34" s="543"/>
      <c r="I34" s="559">
        <f t="shared" si="0"/>
        <v>0</v>
      </c>
    </row>
    <row r="35" spans="1:9" x14ac:dyDescent="0.2">
      <c r="A35" s="43" t="s">
        <v>1052</v>
      </c>
      <c r="B35" s="314" t="s">
        <v>312</v>
      </c>
      <c r="C35" s="430"/>
      <c r="D35" s="71"/>
      <c r="E35" s="71" t="s">
        <v>1920</v>
      </c>
      <c r="F35" s="523"/>
      <c r="G35" s="33">
        <v>1</v>
      </c>
      <c r="H35" s="543"/>
      <c r="I35" s="559">
        <f t="shared" si="0"/>
        <v>0</v>
      </c>
    </row>
    <row r="36" spans="1:9" x14ac:dyDescent="0.2">
      <c r="A36" s="43" t="s">
        <v>16</v>
      </c>
      <c r="B36" s="314" t="s">
        <v>476</v>
      </c>
      <c r="C36" s="430"/>
      <c r="D36" s="71"/>
      <c r="E36" s="71" t="s">
        <v>1920</v>
      </c>
      <c r="F36" s="523"/>
      <c r="G36" s="33">
        <v>1</v>
      </c>
      <c r="H36" s="543"/>
      <c r="I36" s="559">
        <f t="shared" si="0"/>
        <v>0</v>
      </c>
    </row>
    <row r="37" spans="1:9" x14ac:dyDescent="0.2">
      <c r="A37" s="43" t="s">
        <v>1192</v>
      </c>
      <c r="B37" s="314" t="s">
        <v>94</v>
      </c>
      <c r="C37" s="430"/>
      <c r="D37" s="71"/>
      <c r="E37" s="71" t="s">
        <v>1920</v>
      </c>
      <c r="F37" s="523"/>
      <c r="G37" s="33">
        <v>1</v>
      </c>
      <c r="H37" s="543"/>
      <c r="I37" s="559">
        <f t="shared" si="0"/>
        <v>0</v>
      </c>
    </row>
    <row r="38" spans="1:9" x14ac:dyDescent="0.2">
      <c r="A38" s="43" t="s">
        <v>1297</v>
      </c>
      <c r="B38" s="314" t="s">
        <v>89</v>
      </c>
      <c r="C38" s="430"/>
      <c r="D38" s="71"/>
      <c r="E38" s="71" t="s">
        <v>1920</v>
      </c>
      <c r="F38" s="523"/>
      <c r="G38" s="33">
        <v>1</v>
      </c>
      <c r="H38" s="543"/>
      <c r="I38" s="559">
        <f t="shared" si="0"/>
        <v>0</v>
      </c>
    </row>
    <row r="39" spans="1:9" x14ac:dyDescent="0.2">
      <c r="A39" s="43" t="s">
        <v>1299</v>
      </c>
      <c r="B39" s="314" t="s">
        <v>827</v>
      </c>
      <c r="C39" s="430"/>
      <c r="D39" s="71"/>
      <c r="E39" s="71" t="s">
        <v>1920</v>
      </c>
      <c r="F39" s="523"/>
      <c r="G39" s="33">
        <v>1</v>
      </c>
      <c r="H39" s="543"/>
      <c r="I39" s="559">
        <f t="shared" si="0"/>
        <v>0</v>
      </c>
    </row>
    <row r="40" spans="1:9" x14ac:dyDescent="0.2">
      <c r="A40" s="43" t="s">
        <v>1300</v>
      </c>
      <c r="B40" s="314" t="s">
        <v>609</v>
      </c>
      <c r="C40" s="430"/>
      <c r="D40" s="71"/>
      <c r="E40" s="71" t="s">
        <v>1920</v>
      </c>
      <c r="F40" s="523"/>
      <c r="G40" s="33">
        <v>1</v>
      </c>
      <c r="H40" s="543"/>
      <c r="I40" s="559">
        <f t="shared" si="0"/>
        <v>0</v>
      </c>
    </row>
    <row r="41" spans="1:9" x14ac:dyDescent="0.2">
      <c r="A41" s="43" t="s">
        <v>1301</v>
      </c>
      <c r="B41" s="314" t="s">
        <v>829</v>
      </c>
      <c r="C41" s="430"/>
      <c r="D41" s="71"/>
      <c r="E41" s="71" t="s">
        <v>1920</v>
      </c>
      <c r="F41" s="523"/>
      <c r="G41" s="33">
        <v>1</v>
      </c>
      <c r="H41" s="543"/>
      <c r="I41" s="559">
        <f t="shared" si="0"/>
        <v>0</v>
      </c>
    </row>
    <row r="42" spans="1:9" x14ac:dyDescent="0.2">
      <c r="A42" s="43" t="s">
        <v>1302</v>
      </c>
      <c r="B42" s="314" t="s">
        <v>828</v>
      </c>
      <c r="C42" s="430"/>
      <c r="D42" s="71"/>
      <c r="E42" s="71" t="s">
        <v>1920</v>
      </c>
      <c r="F42" s="523"/>
      <c r="G42" s="33">
        <v>1</v>
      </c>
      <c r="H42" s="543"/>
      <c r="I42" s="559">
        <f t="shared" si="0"/>
        <v>0</v>
      </c>
    </row>
    <row r="43" spans="1:9" x14ac:dyDescent="0.2">
      <c r="A43" s="43" t="s">
        <v>1058</v>
      </c>
      <c r="B43" s="314" t="s">
        <v>747</v>
      </c>
      <c r="C43" s="430"/>
      <c r="D43" s="71"/>
      <c r="E43" s="71" t="s">
        <v>1920</v>
      </c>
      <c r="F43" s="523"/>
      <c r="G43" s="33">
        <v>1</v>
      </c>
      <c r="H43" s="543"/>
      <c r="I43" s="559">
        <f t="shared" si="0"/>
        <v>0</v>
      </c>
    </row>
    <row r="44" spans="1:9" x14ac:dyDescent="0.2">
      <c r="A44" s="43" t="s">
        <v>1304</v>
      </c>
      <c r="B44" s="314" t="s">
        <v>608</v>
      </c>
      <c r="C44" s="430"/>
      <c r="D44" s="71"/>
      <c r="E44" s="71" t="s">
        <v>1920</v>
      </c>
      <c r="F44" s="523"/>
      <c r="G44" s="33">
        <v>1</v>
      </c>
      <c r="H44" s="543"/>
      <c r="I44" s="559">
        <f t="shared" si="0"/>
        <v>0</v>
      </c>
    </row>
    <row r="45" spans="1:9" x14ac:dyDescent="0.2">
      <c r="A45" s="43" t="s">
        <v>1059</v>
      </c>
      <c r="B45" s="314" t="s">
        <v>607</v>
      </c>
      <c r="C45" s="430"/>
      <c r="D45" s="71"/>
      <c r="E45" s="71" t="s">
        <v>1920</v>
      </c>
      <c r="F45" s="523"/>
      <c r="G45" s="33">
        <v>1</v>
      </c>
      <c r="H45" s="543"/>
      <c r="I45" s="559">
        <f t="shared" si="0"/>
        <v>0</v>
      </c>
    </row>
    <row r="46" spans="1:9" x14ac:dyDescent="0.2">
      <c r="A46" s="43" t="s">
        <v>1306</v>
      </c>
      <c r="B46" s="314" t="s">
        <v>53</v>
      </c>
      <c r="C46" s="430"/>
      <c r="D46" s="71"/>
      <c r="E46" s="71" t="s">
        <v>1920</v>
      </c>
      <c r="F46" s="523"/>
      <c r="G46" s="33">
        <v>1</v>
      </c>
      <c r="H46" s="543"/>
      <c r="I46" s="559">
        <f t="shared" si="0"/>
        <v>0</v>
      </c>
    </row>
    <row r="47" spans="1:9" x14ac:dyDescent="0.2">
      <c r="A47" s="43" t="s">
        <v>3142</v>
      </c>
      <c r="B47" s="314" t="s">
        <v>817</v>
      </c>
      <c r="C47" s="430"/>
      <c r="D47" s="71"/>
      <c r="E47" s="71" t="s">
        <v>1920</v>
      </c>
      <c r="F47" s="523"/>
      <c r="G47" s="33">
        <v>1</v>
      </c>
      <c r="H47" s="543"/>
      <c r="I47" s="559">
        <f t="shared" si="0"/>
        <v>0</v>
      </c>
    </row>
    <row r="48" spans="1:9" x14ac:dyDescent="0.2">
      <c r="A48" s="43" t="s">
        <v>3143</v>
      </c>
      <c r="B48" s="314" t="s">
        <v>825</v>
      </c>
      <c r="C48" s="430"/>
      <c r="D48" s="71"/>
      <c r="E48" s="71" t="s">
        <v>1920</v>
      </c>
      <c r="F48" s="523"/>
      <c r="G48" s="33">
        <v>1</v>
      </c>
      <c r="H48" s="543"/>
      <c r="I48" s="559">
        <f t="shared" si="0"/>
        <v>0</v>
      </c>
    </row>
    <row r="49" spans="1:9" x14ac:dyDescent="0.2">
      <c r="A49" s="43" t="s">
        <v>3144</v>
      </c>
      <c r="B49" s="314" t="s">
        <v>826</v>
      </c>
      <c r="C49" s="430"/>
      <c r="D49" s="71"/>
      <c r="E49" s="71" t="s">
        <v>1920</v>
      </c>
      <c r="F49" s="523"/>
      <c r="G49" s="33">
        <v>1</v>
      </c>
      <c r="H49" s="543"/>
      <c r="I49" s="559">
        <f t="shared" si="0"/>
        <v>0</v>
      </c>
    </row>
    <row r="50" spans="1:9" x14ac:dyDescent="0.2">
      <c r="A50" s="43" t="s">
        <v>3145</v>
      </c>
      <c r="B50" s="314" t="s">
        <v>824</v>
      </c>
      <c r="C50" s="430"/>
      <c r="D50" s="71"/>
      <c r="E50" s="71" t="s">
        <v>1920</v>
      </c>
      <c r="F50" s="523"/>
      <c r="G50" s="33">
        <v>1</v>
      </c>
      <c r="H50" s="543"/>
      <c r="I50" s="559">
        <f t="shared" si="0"/>
        <v>0</v>
      </c>
    </row>
    <row r="51" spans="1:9" x14ac:dyDescent="0.2">
      <c r="A51" s="43" t="s">
        <v>3146</v>
      </c>
      <c r="B51" s="314" t="s">
        <v>823</v>
      </c>
      <c r="C51" s="430"/>
      <c r="D51" s="71"/>
      <c r="E51" s="71" t="s">
        <v>1920</v>
      </c>
      <c r="F51" s="523"/>
      <c r="G51" s="33">
        <v>1</v>
      </c>
      <c r="H51" s="543"/>
      <c r="I51" s="559">
        <f t="shared" si="0"/>
        <v>0</v>
      </c>
    </row>
    <row r="52" spans="1:9" x14ac:dyDescent="0.2">
      <c r="A52" s="43" t="s">
        <v>3147</v>
      </c>
      <c r="B52" s="314" t="s">
        <v>822</v>
      </c>
      <c r="C52" s="430"/>
      <c r="D52" s="71"/>
      <c r="E52" s="71" t="s">
        <v>1920</v>
      </c>
      <c r="F52" s="523"/>
      <c r="G52" s="33">
        <v>1</v>
      </c>
      <c r="H52" s="543"/>
      <c r="I52" s="559">
        <f t="shared" si="0"/>
        <v>0</v>
      </c>
    </row>
    <row r="53" spans="1:9" x14ac:dyDescent="0.2">
      <c r="A53" s="43" t="s">
        <v>3148</v>
      </c>
      <c r="B53" s="314" t="s">
        <v>821</v>
      </c>
      <c r="C53" s="430"/>
      <c r="D53" s="71"/>
      <c r="E53" s="71" t="s">
        <v>1920</v>
      </c>
      <c r="F53" s="523"/>
      <c r="G53" s="33">
        <v>1</v>
      </c>
      <c r="H53" s="543"/>
      <c r="I53" s="559">
        <f t="shared" si="0"/>
        <v>0</v>
      </c>
    </row>
    <row r="54" spans="1:9" x14ac:dyDescent="0.2">
      <c r="A54" s="43" t="s">
        <v>3149</v>
      </c>
      <c r="B54" s="314" t="s">
        <v>820</v>
      </c>
      <c r="C54" s="430"/>
      <c r="D54" s="71"/>
      <c r="E54" s="71" t="s">
        <v>1920</v>
      </c>
      <c r="F54" s="523"/>
      <c r="G54" s="33">
        <v>1</v>
      </c>
      <c r="H54" s="543"/>
      <c r="I54" s="559">
        <f t="shared" si="0"/>
        <v>0</v>
      </c>
    </row>
    <row r="55" spans="1:9" x14ac:dyDescent="0.2">
      <c r="A55" s="43" t="s">
        <v>3150</v>
      </c>
      <c r="B55" s="314" t="s">
        <v>819</v>
      </c>
      <c r="C55" s="430"/>
      <c r="D55" s="71"/>
      <c r="E55" s="71" t="s">
        <v>1920</v>
      </c>
      <c r="F55" s="430"/>
      <c r="G55" s="33">
        <v>1</v>
      </c>
      <c r="H55" s="543"/>
      <c r="I55" s="559">
        <f t="shared" si="0"/>
        <v>0</v>
      </c>
    </row>
    <row r="56" spans="1:9" x14ac:dyDescent="0.2">
      <c r="A56" s="43" t="s">
        <v>3151</v>
      </c>
      <c r="B56" s="314" t="s">
        <v>818</v>
      </c>
      <c r="C56" s="430"/>
      <c r="D56" s="71"/>
      <c r="E56" s="71" t="s">
        <v>1920</v>
      </c>
      <c r="F56" s="457"/>
      <c r="G56" s="33">
        <v>1</v>
      </c>
      <c r="H56" s="543"/>
      <c r="I56" s="559">
        <f t="shared" si="0"/>
        <v>0</v>
      </c>
    </row>
    <row r="57" spans="1:9" x14ac:dyDescent="0.2">
      <c r="A57" s="43" t="s">
        <v>1520</v>
      </c>
      <c r="B57" s="314" t="s">
        <v>661</v>
      </c>
      <c r="C57" s="430"/>
      <c r="D57" s="71"/>
      <c r="E57" s="71" t="s">
        <v>1920</v>
      </c>
      <c r="F57" s="523"/>
      <c r="G57" s="33">
        <v>1</v>
      </c>
      <c r="H57" s="543"/>
      <c r="I57" s="559">
        <f t="shared" si="0"/>
        <v>0</v>
      </c>
    </row>
    <row r="58" spans="1:9" x14ac:dyDescent="0.2">
      <c r="A58" s="43" t="s">
        <v>1032</v>
      </c>
      <c r="B58" s="314" t="s">
        <v>413</v>
      </c>
      <c r="C58" s="430"/>
      <c r="D58" s="71"/>
      <c r="E58" s="71" t="s">
        <v>1920</v>
      </c>
      <c r="F58" s="523"/>
      <c r="G58" s="33">
        <v>1</v>
      </c>
      <c r="H58" s="543"/>
      <c r="I58" s="559">
        <f t="shared" si="0"/>
        <v>0</v>
      </c>
    </row>
    <row r="59" spans="1:9" x14ac:dyDescent="0.2">
      <c r="A59" s="43" t="s">
        <v>1035</v>
      </c>
      <c r="B59" s="314" t="s">
        <v>414</v>
      </c>
      <c r="C59" s="430"/>
      <c r="D59" s="71"/>
      <c r="E59" s="71" t="s">
        <v>1920</v>
      </c>
      <c r="F59" s="523"/>
      <c r="G59" s="33">
        <v>1</v>
      </c>
      <c r="H59" s="543"/>
      <c r="I59" s="559">
        <f t="shared" si="0"/>
        <v>0</v>
      </c>
    </row>
    <row r="60" spans="1:9" x14ac:dyDescent="0.2">
      <c r="A60" s="43" t="s">
        <v>1026</v>
      </c>
      <c r="B60" s="314" t="s">
        <v>99</v>
      </c>
      <c r="C60" s="430"/>
      <c r="D60" s="71"/>
      <c r="E60" s="71" t="s">
        <v>1920</v>
      </c>
      <c r="F60" s="523"/>
      <c r="G60" s="33">
        <v>1</v>
      </c>
      <c r="H60" s="543"/>
      <c r="I60" s="559">
        <f t="shared" si="0"/>
        <v>0</v>
      </c>
    </row>
    <row r="61" spans="1:9" x14ac:dyDescent="0.2">
      <c r="A61" s="43" t="s">
        <v>71</v>
      </c>
      <c r="B61" s="314" t="s">
        <v>249</v>
      </c>
      <c r="C61" s="430"/>
      <c r="D61" s="71"/>
      <c r="E61" s="71" t="s">
        <v>1920</v>
      </c>
      <c r="F61" s="523"/>
      <c r="G61" s="33">
        <v>1</v>
      </c>
      <c r="H61" s="543"/>
      <c r="I61" s="559">
        <f t="shared" si="0"/>
        <v>0</v>
      </c>
    </row>
    <row r="62" spans="1:9" x14ac:dyDescent="0.2">
      <c r="A62" s="43" t="s">
        <v>3155</v>
      </c>
      <c r="B62" s="314" t="s">
        <v>802</v>
      </c>
      <c r="C62" s="430"/>
      <c r="D62" s="71"/>
      <c r="E62" s="71" t="s">
        <v>1920</v>
      </c>
      <c r="F62" s="523"/>
      <c r="G62" s="33">
        <v>1</v>
      </c>
      <c r="H62" s="543"/>
      <c r="I62" s="559">
        <f t="shared" si="0"/>
        <v>0</v>
      </c>
    </row>
    <row r="63" spans="1:9" x14ac:dyDescent="0.2">
      <c r="A63" s="43" t="s">
        <v>3156</v>
      </c>
      <c r="B63" s="314" t="s">
        <v>801</v>
      </c>
      <c r="C63" s="430"/>
      <c r="D63" s="71"/>
      <c r="E63" s="71" t="s">
        <v>1920</v>
      </c>
      <c r="F63" s="523"/>
      <c r="G63" s="33">
        <v>1</v>
      </c>
      <c r="H63" s="543"/>
      <c r="I63" s="559">
        <f t="shared" si="0"/>
        <v>0</v>
      </c>
    </row>
    <row r="64" spans="1:9" x14ac:dyDescent="0.2">
      <c r="A64" s="43" t="s">
        <v>3157</v>
      </c>
      <c r="B64" s="314" t="s">
        <v>800</v>
      </c>
      <c r="C64" s="430"/>
      <c r="D64" s="71"/>
      <c r="E64" s="71" t="s">
        <v>1920</v>
      </c>
      <c r="F64" s="523"/>
      <c r="G64" s="33">
        <v>1</v>
      </c>
      <c r="H64" s="543"/>
      <c r="I64" s="559">
        <f t="shared" si="0"/>
        <v>0</v>
      </c>
    </row>
    <row r="65" spans="1:9" x14ac:dyDescent="0.2">
      <c r="A65" s="43" t="s">
        <v>72</v>
      </c>
      <c r="B65" s="314" t="s">
        <v>250</v>
      </c>
      <c r="C65" s="430"/>
      <c r="D65" s="71"/>
      <c r="E65" s="71" t="s">
        <v>1920</v>
      </c>
      <c r="F65" s="523"/>
      <c r="G65" s="33">
        <v>1</v>
      </c>
      <c r="H65" s="543"/>
      <c r="I65" s="559">
        <f t="shared" si="0"/>
        <v>0</v>
      </c>
    </row>
    <row r="66" spans="1:9" x14ac:dyDescent="0.2">
      <c r="A66" s="43" t="s">
        <v>3158</v>
      </c>
      <c r="B66" s="314" t="s">
        <v>799</v>
      </c>
      <c r="C66" s="430"/>
      <c r="D66" s="71"/>
      <c r="E66" s="71" t="s">
        <v>1920</v>
      </c>
      <c r="F66" s="523"/>
      <c r="G66" s="33">
        <v>1</v>
      </c>
      <c r="H66" s="543"/>
      <c r="I66" s="559">
        <f t="shared" si="0"/>
        <v>0</v>
      </c>
    </row>
    <row r="67" spans="1:9" x14ac:dyDescent="0.2">
      <c r="A67" s="43" t="s">
        <v>3159</v>
      </c>
      <c r="B67" s="314" t="s">
        <v>798</v>
      </c>
      <c r="C67" s="430"/>
      <c r="D67" s="71"/>
      <c r="E67" s="71" t="s">
        <v>1920</v>
      </c>
      <c r="F67" s="523"/>
      <c r="G67" s="33">
        <v>1</v>
      </c>
      <c r="H67" s="543"/>
      <c r="I67" s="559">
        <f t="shared" ref="I67:I129" si="1">+G67*H67</f>
        <v>0</v>
      </c>
    </row>
    <row r="68" spans="1:9" x14ac:dyDescent="0.2">
      <c r="A68" s="43" t="s">
        <v>3160</v>
      </c>
      <c r="B68" s="314" t="s">
        <v>797</v>
      </c>
      <c r="C68" s="430"/>
      <c r="D68" s="71"/>
      <c r="E68" s="71" t="s">
        <v>1920</v>
      </c>
      <c r="F68" s="523"/>
      <c r="G68" s="33">
        <v>1</v>
      </c>
      <c r="H68" s="543"/>
      <c r="I68" s="559">
        <f t="shared" si="1"/>
        <v>0</v>
      </c>
    </row>
    <row r="69" spans="1:9" x14ac:dyDescent="0.2">
      <c r="A69" s="43" t="s">
        <v>3161</v>
      </c>
      <c r="B69" s="314" t="s">
        <v>796</v>
      </c>
      <c r="C69" s="430"/>
      <c r="D69" s="71"/>
      <c r="E69" s="71" t="s">
        <v>1920</v>
      </c>
      <c r="F69" s="523"/>
      <c r="G69" s="33">
        <v>1</v>
      </c>
      <c r="H69" s="543"/>
      <c r="I69" s="559">
        <f t="shared" si="1"/>
        <v>0</v>
      </c>
    </row>
    <row r="70" spans="1:9" x14ac:dyDescent="0.2">
      <c r="A70" s="43" t="s">
        <v>3162</v>
      </c>
      <c r="B70" s="314" t="s">
        <v>795</v>
      </c>
      <c r="C70" s="430"/>
      <c r="D70" s="71"/>
      <c r="E70" s="71" t="s">
        <v>1920</v>
      </c>
      <c r="F70" s="523"/>
      <c r="G70" s="33">
        <v>1</v>
      </c>
      <c r="H70" s="543"/>
      <c r="I70" s="559">
        <f t="shared" si="1"/>
        <v>0</v>
      </c>
    </row>
    <row r="71" spans="1:9" x14ac:dyDescent="0.2">
      <c r="A71" s="43" t="s">
        <v>3163</v>
      </c>
      <c r="B71" s="314" t="s">
        <v>890</v>
      </c>
      <c r="C71" s="430"/>
      <c r="D71" s="71"/>
      <c r="E71" s="71" t="s">
        <v>1920</v>
      </c>
      <c r="F71" s="523"/>
      <c r="G71" s="33">
        <v>1</v>
      </c>
      <c r="H71" s="543"/>
      <c r="I71" s="559">
        <f t="shared" si="1"/>
        <v>0</v>
      </c>
    </row>
    <row r="72" spans="1:9" x14ac:dyDescent="0.2">
      <c r="A72" s="43" t="s">
        <v>3164</v>
      </c>
      <c r="B72" s="314" t="s">
        <v>804</v>
      </c>
      <c r="C72" s="430"/>
      <c r="D72" s="71"/>
      <c r="E72" s="71" t="s">
        <v>1920</v>
      </c>
      <c r="F72" s="523"/>
      <c r="G72" s="33">
        <v>1</v>
      </c>
      <c r="H72" s="543"/>
      <c r="I72" s="559">
        <f t="shared" si="1"/>
        <v>0</v>
      </c>
    </row>
    <row r="73" spans="1:9" x14ac:dyDescent="0.2">
      <c r="A73" s="43" t="s">
        <v>3165</v>
      </c>
      <c r="B73" s="314" t="s">
        <v>803</v>
      </c>
      <c r="C73" s="430"/>
      <c r="D73" s="71"/>
      <c r="E73" s="71" t="s">
        <v>1920</v>
      </c>
      <c r="F73" s="523"/>
      <c r="G73" s="33">
        <v>1</v>
      </c>
      <c r="H73" s="543"/>
      <c r="I73" s="559">
        <f t="shared" si="1"/>
        <v>0</v>
      </c>
    </row>
    <row r="74" spans="1:9" x14ac:dyDescent="0.2">
      <c r="A74" s="43" t="s">
        <v>39</v>
      </c>
      <c r="B74" s="314" t="s">
        <v>245</v>
      </c>
      <c r="C74" s="430"/>
      <c r="D74" s="71"/>
      <c r="E74" s="71" t="s">
        <v>1920</v>
      </c>
      <c r="F74" s="523"/>
      <c r="G74" s="33">
        <v>1</v>
      </c>
      <c r="H74" s="543"/>
      <c r="I74" s="559">
        <f t="shared" si="1"/>
        <v>0</v>
      </c>
    </row>
    <row r="75" spans="1:9" x14ac:dyDescent="0.2">
      <c r="A75" s="43" t="s">
        <v>1037</v>
      </c>
      <c r="B75" s="314" t="s">
        <v>470</v>
      </c>
      <c r="C75" s="430"/>
      <c r="D75" s="71"/>
      <c r="E75" s="71" t="s">
        <v>1920</v>
      </c>
      <c r="F75" s="523"/>
      <c r="G75" s="33">
        <v>1</v>
      </c>
      <c r="H75" s="543"/>
      <c r="I75" s="559">
        <f t="shared" si="1"/>
        <v>0</v>
      </c>
    </row>
    <row r="76" spans="1:9" x14ac:dyDescent="0.2">
      <c r="A76" s="43" t="s">
        <v>111</v>
      </c>
      <c r="B76" s="314" t="s">
        <v>560</v>
      </c>
      <c r="C76" s="430"/>
      <c r="D76" s="71"/>
      <c r="E76" s="71" t="s">
        <v>1920</v>
      </c>
      <c r="F76" s="523"/>
      <c r="G76" s="33">
        <v>1</v>
      </c>
      <c r="H76" s="543"/>
      <c r="I76" s="559">
        <f t="shared" si="1"/>
        <v>0</v>
      </c>
    </row>
    <row r="77" spans="1:9" x14ac:dyDescent="0.2">
      <c r="A77" s="43" t="s">
        <v>1371</v>
      </c>
      <c r="B77" s="314" t="s">
        <v>457</v>
      </c>
      <c r="C77" s="430"/>
      <c r="D77" s="71"/>
      <c r="E77" s="71" t="s">
        <v>1920</v>
      </c>
      <c r="F77" s="523"/>
      <c r="G77" s="33">
        <v>1</v>
      </c>
      <c r="H77" s="543"/>
      <c r="I77" s="559">
        <f t="shared" si="1"/>
        <v>0</v>
      </c>
    </row>
    <row r="78" spans="1:9" x14ac:dyDescent="0.2">
      <c r="A78" s="43" t="s">
        <v>6</v>
      </c>
      <c r="B78" s="314" t="s">
        <v>91</v>
      </c>
      <c r="C78" s="430"/>
      <c r="D78" s="71"/>
      <c r="E78" s="71" t="s">
        <v>1920</v>
      </c>
      <c r="F78" s="430"/>
      <c r="G78" s="33">
        <v>1</v>
      </c>
      <c r="H78" s="543"/>
      <c r="I78" s="559">
        <f t="shared" si="1"/>
        <v>0</v>
      </c>
    </row>
    <row r="79" spans="1:9" x14ac:dyDescent="0.2">
      <c r="A79" s="43" t="s">
        <v>202</v>
      </c>
      <c r="B79" s="314" t="s">
        <v>260</v>
      </c>
      <c r="C79" s="430"/>
      <c r="D79" s="71"/>
      <c r="E79" s="71" t="s">
        <v>1920</v>
      </c>
      <c r="F79" s="457"/>
      <c r="G79" s="33">
        <v>1</v>
      </c>
      <c r="H79" s="543"/>
      <c r="I79" s="559">
        <f t="shared" si="1"/>
        <v>0</v>
      </c>
    </row>
    <row r="80" spans="1:9" x14ac:dyDescent="0.2">
      <c r="A80" s="43" t="s">
        <v>338</v>
      </c>
      <c r="B80" s="314" t="s">
        <v>43</v>
      </c>
      <c r="C80" s="430"/>
      <c r="D80" s="71"/>
      <c r="E80" s="71" t="s">
        <v>1920</v>
      </c>
      <c r="F80" s="523"/>
      <c r="G80" s="33">
        <v>1</v>
      </c>
      <c r="H80" s="543"/>
      <c r="I80" s="559">
        <f t="shared" si="1"/>
        <v>0</v>
      </c>
    </row>
    <row r="81" spans="1:9" x14ac:dyDescent="0.2">
      <c r="A81" s="43" t="s">
        <v>1259</v>
      </c>
      <c r="B81" s="314" t="s">
        <v>615</v>
      </c>
      <c r="C81" s="430"/>
      <c r="D81" s="71"/>
      <c r="E81" s="71" t="s">
        <v>1920</v>
      </c>
      <c r="F81" s="523"/>
      <c r="G81" s="33">
        <v>1</v>
      </c>
      <c r="H81" s="543"/>
      <c r="I81" s="559">
        <f t="shared" si="1"/>
        <v>0</v>
      </c>
    </row>
    <row r="82" spans="1:9" x14ac:dyDescent="0.2">
      <c r="A82" s="43" t="s">
        <v>1208</v>
      </c>
      <c r="B82" s="314" t="s">
        <v>942</v>
      </c>
      <c r="C82" s="430"/>
      <c r="D82" s="71"/>
      <c r="E82" s="71" t="s">
        <v>1920</v>
      </c>
      <c r="F82" s="523"/>
      <c r="G82" s="33">
        <v>1</v>
      </c>
      <c r="H82" s="543"/>
      <c r="I82" s="559">
        <f t="shared" si="1"/>
        <v>0</v>
      </c>
    </row>
    <row r="83" spans="1:9" x14ac:dyDescent="0.2">
      <c r="A83" s="43" t="s">
        <v>1209</v>
      </c>
      <c r="B83" s="314" t="s">
        <v>473</v>
      </c>
      <c r="C83" s="430"/>
      <c r="D83" s="71"/>
      <c r="E83" s="71" t="s">
        <v>1920</v>
      </c>
      <c r="F83" s="523"/>
      <c r="G83" s="33">
        <v>1</v>
      </c>
      <c r="H83" s="543"/>
      <c r="I83" s="559">
        <f t="shared" si="1"/>
        <v>0</v>
      </c>
    </row>
    <row r="84" spans="1:9" x14ac:dyDescent="0.2">
      <c r="A84" s="43" t="s">
        <v>1386</v>
      </c>
      <c r="B84" s="314" t="s">
        <v>711</v>
      </c>
      <c r="C84" s="430"/>
      <c r="D84" s="71"/>
      <c r="E84" s="71" t="s">
        <v>1920</v>
      </c>
      <c r="F84" s="523"/>
      <c r="G84" s="33">
        <v>1</v>
      </c>
      <c r="H84" s="543"/>
      <c r="I84" s="559">
        <f t="shared" si="1"/>
        <v>0</v>
      </c>
    </row>
    <row r="85" spans="1:9" x14ac:dyDescent="0.2">
      <c r="A85" s="43" t="s">
        <v>839</v>
      </c>
      <c r="B85" s="314" t="s">
        <v>1995</v>
      </c>
      <c r="C85" s="430"/>
      <c r="D85" s="71"/>
      <c r="E85" s="71" t="s">
        <v>1920</v>
      </c>
      <c r="F85" s="523"/>
      <c r="G85" s="33">
        <v>1</v>
      </c>
      <c r="H85" s="543"/>
      <c r="I85" s="559">
        <f t="shared" si="1"/>
        <v>0</v>
      </c>
    </row>
    <row r="86" spans="1:9" x14ac:dyDescent="0.2">
      <c r="A86" s="43" t="s">
        <v>3117</v>
      </c>
      <c r="B86" s="314" t="s">
        <v>3118</v>
      </c>
      <c r="C86" s="430"/>
      <c r="D86" s="71"/>
      <c r="E86" s="71">
        <v>55719</v>
      </c>
      <c r="F86" s="523"/>
      <c r="G86" s="33">
        <v>1</v>
      </c>
      <c r="H86" s="543"/>
      <c r="I86" s="559">
        <f t="shared" si="1"/>
        <v>0</v>
      </c>
    </row>
    <row r="87" spans="1:9" x14ac:dyDescent="0.2">
      <c r="A87" s="43" t="s">
        <v>3257</v>
      </c>
      <c r="B87" s="314" t="s">
        <v>888</v>
      </c>
      <c r="C87" s="430"/>
      <c r="D87" s="71"/>
      <c r="E87" s="71" t="s">
        <v>1920</v>
      </c>
      <c r="F87" s="523"/>
      <c r="G87" s="33">
        <v>1</v>
      </c>
      <c r="H87" s="543"/>
      <c r="I87" s="559">
        <f t="shared" si="1"/>
        <v>0</v>
      </c>
    </row>
    <row r="88" spans="1:9" x14ac:dyDescent="0.2">
      <c r="A88" s="245" t="s">
        <v>1707</v>
      </c>
      <c r="B88" s="314" t="s">
        <v>2129</v>
      </c>
      <c r="C88" s="430"/>
      <c r="D88" s="71">
        <v>690</v>
      </c>
      <c r="E88" s="71" t="s">
        <v>1920</v>
      </c>
      <c r="F88" s="523"/>
      <c r="G88" s="33">
        <v>1</v>
      </c>
      <c r="H88" s="543"/>
      <c r="I88" s="559">
        <f t="shared" si="1"/>
        <v>0</v>
      </c>
    </row>
    <row r="89" spans="1:9" x14ac:dyDescent="0.2">
      <c r="A89" s="43" t="s">
        <v>2857</v>
      </c>
      <c r="B89" s="314" t="s">
        <v>2850</v>
      </c>
      <c r="C89" s="430"/>
      <c r="D89" s="71"/>
      <c r="E89" s="71" t="s">
        <v>1928</v>
      </c>
      <c r="F89" s="523"/>
      <c r="G89" s="33">
        <v>1</v>
      </c>
      <c r="H89" s="543"/>
      <c r="I89" s="559">
        <f t="shared" si="1"/>
        <v>0</v>
      </c>
    </row>
    <row r="90" spans="1:9" x14ac:dyDescent="0.2">
      <c r="A90" s="43" t="s">
        <v>1514</v>
      </c>
      <c r="B90" s="314" t="s">
        <v>731</v>
      </c>
      <c r="C90" s="430"/>
      <c r="D90" s="71"/>
      <c r="E90" s="71" t="s">
        <v>1968</v>
      </c>
      <c r="F90" s="523"/>
      <c r="G90" s="33">
        <v>1</v>
      </c>
      <c r="H90" s="543"/>
      <c r="I90" s="559">
        <f t="shared" si="1"/>
        <v>0</v>
      </c>
    </row>
    <row r="91" spans="1:9" x14ac:dyDescent="0.2">
      <c r="A91" s="43" t="s">
        <v>1257</v>
      </c>
      <c r="B91" s="314" t="s">
        <v>319</v>
      </c>
      <c r="C91" s="430"/>
      <c r="D91" s="71"/>
      <c r="E91" s="71" t="s">
        <v>1920</v>
      </c>
      <c r="F91" s="523"/>
      <c r="G91" s="33">
        <v>1</v>
      </c>
      <c r="H91" s="543"/>
      <c r="I91" s="559">
        <f t="shared" si="1"/>
        <v>0</v>
      </c>
    </row>
    <row r="92" spans="1:9" x14ac:dyDescent="0.2">
      <c r="A92" s="43" t="s">
        <v>1256</v>
      </c>
      <c r="B92" s="314" t="s">
        <v>321</v>
      </c>
      <c r="C92" s="430"/>
      <c r="D92" s="71"/>
      <c r="E92" s="71" t="s">
        <v>1920</v>
      </c>
      <c r="F92" s="523"/>
      <c r="G92" s="33">
        <v>1</v>
      </c>
      <c r="H92" s="543"/>
      <c r="I92" s="559">
        <f t="shared" si="1"/>
        <v>0</v>
      </c>
    </row>
    <row r="93" spans="1:9" x14ac:dyDescent="0.2">
      <c r="A93" s="43" t="s">
        <v>1067</v>
      </c>
      <c r="B93" s="314" t="s">
        <v>497</v>
      </c>
      <c r="C93" s="430"/>
      <c r="D93" s="71"/>
      <c r="E93" s="71" t="s">
        <v>1920</v>
      </c>
      <c r="F93" s="523"/>
      <c r="G93" s="33">
        <v>1</v>
      </c>
      <c r="H93" s="543"/>
      <c r="I93" s="559">
        <f t="shared" si="1"/>
        <v>0</v>
      </c>
    </row>
    <row r="94" spans="1:9" x14ac:dyDescent="0.2">
      <c r="A94" s="43" t="s">
        <v>1191</v>
      </c>
      <c r="B94" s="314" t="s">
        <v>546</v>
      </c>
      <c r="C94" s="430"/>
      <c r="D94" s="71"/>
      <c r="E94" s="71" t="s">
        <v>1920</v>
      </c>
      <c r="F94" s="523"/>
      <c r="G94" s="33">
        <v>2</v>
      </c>
      <c r="H94" s="543"/>
      <c r="I94" s="559">
        <f t="shared" si="1"/>
        <v>0</v>
      </c>
    </row>
    <row r="95" spans="1:9" x14ac:dyDescent="0.2">
      <c r="A95" s="43" t="s">
        <v>3250</v>
      </c>
      <c r="B95" s="314" t="s">
        <v>318</v>
      </c>
      <c r="C95" s="430"/>
      <c r="D95" s="71"/>
      <c r="E95" s="71" t="s">
        <v>1920</v>
      </c>
      <c r="F95" s="523"/>
      <c r="G95" s="33">
        <v>1</v>
      </c>
      <c r="H95" s="543"/>
      <c r="I95" s="559">
        <f t="shared" si="1"/>
        <v>0</v>
      </c>
    </row>
    <row r="96" spans="1:9" x14ac:dyDescent="0.2">
      <c r="A96" s="43" t="s">
        <v>1180</v>
      </c>
      <c r="B96" s="314" t="s">
        <v>359</v>
      </c>
      <c r="C96" s="430"/>
      <c r="D96" s="71"/>
      <c r="E96" s="71" t="s">
        <v>1920</v>
      </c>
      <c r="F96" s="523"/>
      <c r="G96" s="33">
        <v>1</v>
      </c>
      <c r="H96" s="543"/>
      <c r="I96" s="559">
        <f t="shared" si="1"/>
        <v>0</v>
      </c>
    </row>
    <row r="97" spans="1:9" x14ac:dyDescent="0.2">
      <c r="A97" s="43" t="s">
        <v>3251</v>
      </c>
      <c r="B97" s="314" t="s">
        <v>680</v>
      </c>
      <c r="C97" s="430"/>
      <c r="D97" s="71"/>
      <c r="E97" s="71" t="s">
        <v>1920</v>
      </c>
      <c r="F97" s="523"/>
      <c r="G97" s="33">
        <v>1</v>
      </c>
      <c r="H97" s="543"/>
      <c r="I97" s="559">
        <f t="shared" si="1"/>
        <v>0</v>
      </c>
    </row>
    <row r="98" spans="1:9" x14ac:dyDescent="0.2">
      <c r="A98" s="43" t="s">
        <v>1258</v>
      </c>
      <c r="B98" s="314" t="s">
        <v>544</v>
      </c>
      <c r="C98" s="430"/>
      <c r="D98" s="71"/>
      <c r="E98" s="71" t="s">
        <v>1920</v>
      </c>
      <c r="F98" s="523"/>
      <c r="G98" s="33">
        <v>1</v>
      </c>
      <c r="H98" s="543"/>
      <c r="I98" s="559">
        <f t="shared" si="1"/>
        <v>0</v>
      </c>
    </row>
    <row r="99" spans="1:9" x14ac:dyDescent="0.2">
      <c r="A99" s="43" t="s">
        <v>1181</v>
      </c>
      <c r="B99" s="314" t="s">
        <v>199</v>
      </c>
      <c r="C99" s="430"/>
      <c r="D99" s="71"/>
      <c r="E99" s="71" t="s">
        <v>1920</v>
      </c>
      <c r="F99" s="523"/>
      <c r="G99" s="33">
        <v>1</v>
      </c>
      <c r="H99" s="543"/>
      <c r="I99" s="559">
        <f t="shared" si="1"/>
        <v>0</v>
      </c>
    </row>
    <row r="100" spans="1:9" x14ac:dyDescent="0.2">
      <c r="A100" s="43" t="s">
        <v>1054</v>
      </c>
      <c r="B100" s="314" t="s">
        <v>326</v>
      </c>
      <c r="C100" s="430"/>
      <c r="D100" s="71"/>
      <c r="E100" s="71" t="s">
        <v>1920</v>
      </c>
      <c r="F100" s="523"/>
      <c r="G100" s="33">
        <v>1</v>
      </c>
      <c r="H100" s="543"/>
      <c r="I100" s="559">
        <f t="shared" si="1"/>
        <v>0</v>
      </c>
    </row>
    <row r="101" spans="1:9" x14ac:dyDescent="0.2">
      <c r="A101" s="43" t="s">
        <v>2230</v>
      </c>
      <c r="B101" s="314" t="s">
        <v>325</v>
      </c>
      <c r="C101" s="430"/>
      <c r="D101" s="71"/>
      <c r="E101" s="71" t="s">
        <v>1920</v>
      </c>
      <c r="F101" s="430"/>
      <c r="G101" s="33">
        <v>1</v>
      </c>
      <c r="H101" s="543"/>
      <c r="I101" s="559">
        <f t="shared" si="1"/>
        <v>0</v>
      </c>
    </row>
    <row r="102" spans="1:9" x14ac:dyDescent="0.2">
      <c r="A102" s="43" t="s">
        <v>2879</v>
      </c>
      <c r="B102" s="314" t="s">
        <v>329</v>
      </c>
      <c r="C102" s="430"/>
      <c r="D102" s="71"/>
      <c r="E102" s="71" t="s">
        <v>1920</v>
      </c>
      <c r="F102" s="457"/>
      <c r="G102" s="33">
        <v>1</v>
      </c>
      <c r="H102" s="543"/>
      <c r="I102" s="559">
        <f t="shared" si="1"/>
        <v>0</v>
      </c>
    </row>
    <row r="103" spans="1:9" x14ac:dyDescent="0.2">
      <c r="A103" s="43" t="s">
        <v>1315</v>
      </c>
      <c r="B103" s="314" t="s">
        <v>616</v>
      </c>
      <c r="C103" s="430"/>
      <c r="D103" s="71"/>
      <c r="E103" s="71" t="s">
        <v>1920</v>
      </c>
      <c r="F103" s="523"/>
      <c r="G103" s="33">
        <v>1</v>
      </c>
      <c r="H103" s="543"/>
      <c r="I103" s="559">
        <f t="shared" si="1"/>
        <v>0</v>
      </c>
    </row>
    <row r="104" spans="1:9" x14ac:dyDescent="0.2">
      <c r="A104" s="43" t="s">
        <v>1053</v>
      </c>
      <c r="B104" s="314" t="s">
        <v>322</v>
      </c>
      <c r="C104" s="430"/>
      <c r="D104" s="71"/>
      <c r="E104" s="71" t="s">
        <v>1920</v>
      </c>
      <c r="F104" s="523"/>
      <c r="G104" s="33">
        <v>1</v>
      </c>
      <c r="H104" s="543"/>
      <c r="I104" s="559">
        <f t="shared" si="1"/>
        <v>0</v>
      </c>
    </row>
    <row r="105" spans="1:9" x14ac:dyDescent="0.2">
      <c r="A105" s="43" t="s">
        <v>167</v>
      </c>
      <c r="B105" s="314" t="s">
        <v>323</v>
      </c>
      <c r="C105" s="430"/>
      <c r="D105" s="71"/>
      <c r="E105" s="71" t="s">
        <v>1920</v>
      </c>
      <c r="F105" s="523"/>
      <c r="G105" s="33">
        <v>1</v>
      </c>
      <c r="H105" s="543"/>
      <c r="I105" s="559">
        <f t="shared" si="1"/>
        <v>0</v>
      </c>
    </row>
    <row r="106" spans="1:9" x14ac:dyDescent="0.2">
      <c r="A106" s="43" t="s">
        <v>2897</v>
      </c>
      <c r="B106" s="314" t="s">
        <v>324</v>
      </c>
      <c r="C106" s="430"/>
      <c r="D106" s="71"/>
      <c r="E106" s="71" t="s">
        <v>1920</v>
      </c>
      <c r="F106" s="523"/>
      <c r="G106" s="33">
        <v>1</v>
      </c>
      <c r="H106" s="543"/>
      <c r="I106" s="559">
        <f t="shared" si="1"/>
        <v>0</v>
      </c>
    </row>
    <row r="107" spans="1:9" x14ac:dyDescent="0.2">
      <c r="A107" s="43" t="s">
        <v>1069</v>
      </c>
      <c r="B107" s="314" t="s">
        <v>496</v>
      </c>
      <c r="C107" s="430"/>
      <c r="D107" s="71"/>
      <c r="E107" s="71" t="s">
        <v>1920</v>
      </c>
      <c r="F107" s="523"/>
      <c r="G107" s="33">
        <v>1</v>
      </c>
      <c r="H107" s="543"/>
      <c r="I107" s="559">
        <f t="shared" si="1"/>
        <v>0</v>
      </c>
    </row>
    <row r="108" spans="1:9" x14ac:dyDescent="0.2">
      <c r="A108" s="43" t="s">
        <v>3180</v>
      </c>
      <c r="B108" s="314" t="s">
        <v>851</v>
      </c>
      <c r="C108" s="430"/>
      <c r="D108" s="71"/>
      <c r="E108" s="71" t="s">
        <v>1920</v>
      </c>
      <c r="F108" s="523"/>
      <c r="G108" s="33">
        <v>1</v>
      </c>
      <c r="H108" s="543"/>
      <c r="I108" s="559">
        <f t="shared" si="1"/>
        <v>0</v>
      </c>
    </row>
    <row r="109" spans="1:9" x14ac:dyDescent="0.2">
      <c r="A109" s="43" t="s">
        <v>3181</v>
      </c>
      <c r="B109" s="314" t="s">
        <v>849</v>
      </c>
      <c r="C109" s="430"/>
      <c r="D109" s="71"/>
      <c r="E109" s="71" t="s">
        <v>1920</v>
      </c>
      <c r="F109" s="523"/>
      <c r="G109" s="33">
        <v>1</v>
      </c>
      <c r="H109" s="543"/>
      <c r="I109" s="559">
        <f t="shared" si="1"/>
        <v>0</v>
      </c>
    </row>
    <row r="110" spans="1:9" x14ac:dyDescent="0.2">
      <c r="A110" s="43" t="s">
        <v>3182</v>
      </c>
      <c r="B110" s="314" t="s">
        <v>850</v>
      </c>
      <c r="C110" s="430"/>
      <c r="D110" s="71"/>
      <c r="E110" s="71" t="s">
        <v>1920</v>
      </c>
      <c r="F110" s="523"/>
      <c r="G110" s="33">
        <v>1</v>
      </c>
      <c r="H110" s="543"/>
      <c r="I110" s="559">
        <f t="shared" si="1"/>
        <v>0</v>
      </c>
    </row>
    <row r="111" spans="1:9" x14ac:dyDescent="0.2">
      <c r="A111" s="43" t="s">
        <v>3183</v>
      </c>
      <c r="B111" s="314" t="s">
        <v>841</v>
      </c>
      <c r="C111" s="430"/>
      <c r="D111" s="71"/>
      <c r="E111" s="71" t="s">
        <v>1920</v>
      </c>
      <c r="F111" s="523"/>
      <c r="G111" s="33">
        <v>1</v>
      </c>
      <c r="H111" s="543"/>
      <c r="I111" s="559">
        <f t="shared" si="1"/>
        <v>0</v>
      </c>
    </row>
    <row r="112" spans="1:9" x14ac:dyDescent="0.2">
      <c r="A112" s="43" t="s">
        <v>3184</v>
      </c>
      <c r="B112" s="314" t="s">
        <v>842</v>
      </c>
      <c r="C112" s="430"/>
      <c r="D112" s="71"/>
      <c r="E112" s="71" t="s">
        <v>1920</v>
      </c>
      <c r="F112" s="523"/>
      <c r="G112" s="33">
        <v>1</v>
      </c>
      <c r="H112" s="543"/>
      <c r="I112" s="559">
        <f t="shared" si="1"/>
        <v>0</v>
      </c>
    </row>
    <row r="113" spans="1:9" x14ac:dyDescent="0.2">
      <c r="A113" s="43" t="s">
        <v>3185</v>
      </c>
      <c r="B113" s="314" t="s">
        <v>843</v>
      </c>
      <c r="C113" s="430"/>
      <c r="D113" s="71"/>
      <c r="E113" s="71" t="s">
        <v>1920</v>
      </c>
      <c r="F113" s="523"/>
      <c r="G113" s="33">
        <v>1</v>
      </c>
      <c r="H113" s="543"/>
      <c r="I113" s="559">
        <f t="shared" si="1"/>
        <v>0</v>
      </c>
    </row>
    <row r="114" spans="1:9" x14ac:dyDescent="0.2">
      <c r="A114" s="43" t="s">
        <v>3186</v>
      </c>
      <c r="B114" s="314" t="s">
        <v>844</v>
      </c>
      <c r="C114" s="430"/>
      <c r="D114" s="71"/>
      <c r="E114" s="71" t="s">
        <v>1920</v>
      </c>
      <c r="F114" s="523"/>
      <c r="G114" s="33">
        <v>1</v>
      </c>
      <c r="H114" s="543"/>
      <c r="I114" s="559">
        <f t="shared" si="1"/>
        <v>0</v>
      </c>
    </row>
    <row r="115" spans="1:9" x14ac:dyDescent="0.2">
      <c r="A115" s="43" t="s">
        <v>3187</v>
      </c>
      <c r="B115" s="314" t="s">
        <v>845</v>
      </c>
      <c r="C115" s="430"/>
      <c r="D115" s="71"/>
      <c r="E115" s="71" t="s">
        <v>1920</v>
      </c>
      <c r="F115" s="523"/>
      <c r="G115" s="33">
        <v>1</v>
      </c>
      <c r="H115" s="543"/>
      <c r="I115" s="559">
        <f t="shared" si="1"/>
        <v>0</v>
      </c>
    </row>
    <row r="116" spans="1:9" x14ac:dyDescent="0.2">
      <c r="A116" s="43" t="s">
        <v>3188</v>
      </c>
      <c r="B116" s="314" t="s">
        <v>846</v>
      </c>
      <c r="C116" s="430"/>
      <c r="D116" s="71"/>
      <c r="E116" s="71" t="s">
        <v>1920</v>
      </c>
      <c r="F116" s="523"/>
      <c r="G116" s="33">
        <v>1</v>
      </c>
      <c r="H116" s="543"/>
      <c r="I116" s="559">
        <f t="shared" si="1"/>
        <v>0</v>
      </c>
    </row>
    <row r="117" spans="1:9" x14ac:dyDescent="0.2">
      <c r="A117" s="43" t="s">
        <v>3189</v>
      </c>
      <c r="B117" s="314" t="s">
        <v>847</v>
      </c>
      <c r="C117" s="430"/>
      <c r="D117" s="71"/>
      <c r="E117" s="71" t="s">
        <v>1920</v>
      </c>
      <c r="F117" s="523"/>
      <c r="G117" s="33">
        <v>1</v>
      </c>
      <c r="H117" s="543"/>
      <c r="I117" s="559">
        <f t="shared" si="1"/>
        <v>0</v>
      </c>
    </row>
    <row r="118" spans="1:9" x14ac:dyDescent="0.2">
      <c r="A118" s="43" t="s">
        <v>3179</v>
      </c>
      <c r="B118" s="314" t="s">
        <v>848</v>
      </c>
      <c r="C118" s="430"/>
      <c r="D118" s="71"/>
      <c r="E118" s="71" t="s">
        <v>1920</v>
      </c>
      <c r="F118" s="523"/>
      <c r="G118" s="33">
        <v>1</v>
      </c>
      <c r="H118" s="543"/>
      <c r="I118" s="559">
        <f t="shared" si="1"/>
        <v>0</v>
      </c>
    </row>
    <row r="119" spans="1:9" x14ac:dyDescent="0.2">
      <c r="A119" s="43" t="s">
        <v>852</v>
      </c>
      <c r="B119" s="314" t="s">
        <v>545</v>
      </c>
      <c r="C119" s="430"/>
      <c r="D119" s="71"/>
      <c r="E119" s="71" t="s">
        <v>1920</v>
      </c>
      <c r="F119" s="523"/>
      <c r="G119" s="33">
        <v>1</v>
      </c>
      <c r="H119" s="543"/>
      <c r="I119" s="559">
        <f t="shared" si="1"/>
        <v>0</v>
      </c>
    </row>
    <row r="120" spans="1:9" x14ac:dyDescent="0.2">
      <c r="A120" s="43" t="s">
        <v>2888</v>
      </c>
      <c r="B120" s="314" t="s">
        <v>3066</v>
      </c>
      <c r="C120" s="430"/>
      <c r="D120" s="71"/>
      <c r="E120" s="71" t="s">
        <v>3067</v>
      </c>
      <c r="F120" s="523"/>
      <c r="G120" s="33">
        <v>1</v>
      </c>
      <c r="H120" s="543"/>
      <c r="I120" s="559">
        <f t="shared" si="1"/>
        <v>0</v>
      </c>
    </row>
    <row r="121" spans="1:9" x14ac:dyDescent="0.2">
      <c r="A121" s="43" t="s">
        <v>1055</v>
      </c>
      <c r="B121" s="314" t="s">
        <v>347</v>
      </c>
      <c r="C121" s="430"/>
      <c r="D121" s="71"/>
      <c r="E121" s="71" t="s">
        <v>1920</v>
      </c>
      <c r="F121" s="523"/>
      <c r="G121" s="33">
        <v>1</v>
      </c>
      <c r="H121" s="543"/>
      <c r="I121" s="559">
        <f t="shared" si="1"/>
        <v>0</v>
      </c>
    </row>
    <row r="122" spans="1:9" x14ac:dyDescent="0.2">
      <c r="A122" s="43" t="s">
        <v>1516</v>
      </c>
      <c r="B122" s="314" t="s">
        <v>1848</v>
      </c>
      <c r="C122" s="430"/>
      <c r="D122" s="71"/>
      <c r="E122" s="71" t="s">
        <v>1920</v>
      </c>
      <c r="F122" s="523"/>
      <c r="G122" s="33">
        <v>1</v>
      </c>
      <c r="H122" s="543"/>
      <c r="I122" s="559">
        <f t="shared" si="1"/>
        <v>0</v>
      </c>
    </row>
    <row r="123" spans="1:9" x14ac:dyDescent="0.2">
      <c r="A123" s="43" t="s">
        <v>2930</v>
      </c>
      <c r="B123" s="314" t="s">
        <v>710</v>
      </c>
      <c r="C123" s="430"/>
      <c r="D123" s="71"/>
      <c r="E123" s="71" t="s">
        <v>1920</v>
      </c>
      <c r="F123" s="523"/>
      <c r="G123" s="33">
        <v>1</v>
      </c>
      <c r="H123" s="543"/>
      <c r="I123" s="559">
        <f t="shared" si="1"/>
        <v>0</v>
      </c>
    </row>
    <row r="124" spans="1:9" x14ac:dyDescent="0.2">
      <c r="A124" s="43" t="s">
        <v>1560</v>
      </c>
      <c r="B124" s="314" t="s">
        <v>590</v>
      </c>
      <c r="C124" s="430"/>
      <c r="D124" s="71"/>
      <c r="E124" s="71" t="s">
        <v>1920</v>
      </c>
      <c r="F124" s="457"/>
      <c r="G124" s="33">
        <v>1</v>
      </c>
      <c r="H124" s="543"/>
      <c r="I124" s="559">
        <f t="shared" si="1"/>
        <v>0</v>
      </c>
    </row>
    <row r="125" spans="1:9" x14ac:dyDescent="0.2">
      <c r="A125" s="43" t="s">
        <v>1581</v>
      </c>
      <c r="B125" s="314" t="s">
        <v>713</v>
      </c>
      <c r="C125" s="430"/>
      <c r="D125" s="71"/>
      <c r="E125" s="71" t="s">
        <v>1920</v>
      </c>
      <c r="F125" s="523"/>
      <c r="G125" s="33">
        <v>1</v>
      </c>
      <c r="H125" s="543"/>
      <c r="I125" s="559">
        <f t="shared" si="1"/>
        <v>0</v>
      </c>
    </row>
    <row r="126" spans="1:9" x14ac:dyDescent="0.2">
      <c r="A126" s="43" t="s">
        <v>1582</v>
      </c>
      <c r="B126" s="314" t="s">
        <v>569</v>
      </c>
      <c r="C126" s="430"/>
      <c r="D126" s="71"/>
      <c r="E126" s="71" t="s">
        <v>1920</v>
      </c>
      <c r="F126" s="523"/>
      <c r="G126" s="33">
        <v>1</v>
      </c>
      <c r="H126" s="543"/>
      <c r="I126" s="559">
        <f t="shared" si="1"/>
        <v>0</v>
      </c>
    </row>
    <row r="127" spans="1:9" x14ac:dyDescent="0.2">
      <c r="A127" s="43" t="s">
        <v>1571</v>
      </c>
      <c r="B127" s="314" t="s">
        <v>891</v>
      </c>
      <c r="C127" s="430"/>
      <c r="D127" s="71"/>
      <c r="E127" s="71" t="s">
        <v>1920</v>
      </c>
      <c r="F127" s="523"/>
      <c r="G127" s="33">
        <v>1</v>
      </c>
      <c r="H127" s="543"/>
      <c r="I127" s="559">
        <f t="shared" si="1"/>
        <v>0</v>
      </c>
    </row>
    <row r="128" spans="1:9" x14ac:dyDescent="0.2">
      <c r="A128" s="43" t="s">
        <v>1621</v>
      </c>
      <c r="B128" s="314" t="s">
        <v>288</v>
      </c>
      <c r="C128" s="430"/>
      <c r="D128" s="71"/>
      <c r="E128" s="71" t="s">
        <v>1920</v>
      </c>
      <c r="F128" s="523"/>
      <c r="G128" s="33">
        <v>1</v>
      </c>
      <c r="H128" s="543"/>
      <c r="I128" s="559">
        <f t="shared" si="1"/>
        <v>0</v>
      </c>
    </row>
    <row r="129" spans="1:9" x14ac:dyDescent="0.2">
      <c r="A129" s="43" t="s">
        <v>1680</v>
      </c>
      <c r="B129" s="314" t="s">
        <v>838</v>
      </c>
      <c r="C129" s="430"/>
      <c r="D129" s="71"/>
      <c r="E129" s="71" t="s">
        <v>1920</v>
      </c>
      <c r="F129" s="523"/>
      <c r="G129" s="33">
        <v>1</v>
      </c>
      <c r="H129" s="543"/>
      <c r="I129" s="559">
        <f t="shared" si="1"/>
        <v>0</v>
      </c>
    </row>
    <row r="130" spans="1:9" x14ac:dyDescent="0.2">
      <c r="A130" s="43" t="s">
        <v>1681</v>
      </c>
      <c r="B130" s="314" t="s">
        <v>840</v>
      </c>
      <c r="C130" s="430"/>
      <c r="D130" s="71"/>
      <c r="E130" s="71" t="s">
        <v>1920</v>
      </c>
      <c r="F130" s="523"/>
      <c r="G130" s="33">
        <v>1</v>
      </c>
      <c r="H130" s="543"/>
      <c r="I130" s="559">
        <f t="shared" ref="I130:I193" si="2">+G130*H130</f>
        <v>0</v>
      </c>
    </row>
    <row r="131" spans="1:9" x14ac:dyDescent="0.2">
      <c r="A131" s="43" t="s">
        <v>1040</v>
      </c>
      <c r="B131" s="314" t="s">
        <v>274</v>
      </c>
      <c r="C131" s="430"/>
      <c r="D131" s="71"/>
      <c r="E131" s="71" t="s">
        <v>1920</v>
      </c>
      <c r="F131" s="523"/>
      <c r="G131" s="33">
        <v>1</v>
      </c>
      <c r="H131" s="543"/>
      <c r="I131" s="559">
        <f t="shared" si="2"/>
        <v>0</v>
      </c>
    </row>
    <row r="132" spans="1:9" x14ac:dyDescent="0.2">
      <c r="A132" s="213" t="s">
        <v>2092</v>
      </c>
      <c r="B132" s="314" t="s">
        <v>2093</v>
      </c>
      <c r="C132" s="430"/>
      <c r="D132" s="71"/>
      <c r="E132" s="71">
        <v>55719</v>
      </c>
      <c r="F132" s="523"/>
      <c r="G132" s="62">
        <v>1</v>
      </c>
      <c r="H132" s="543"/>
      <c r="I132" s="559">
        <f t="shared" si="2"/>
        <v>0</v>
      </c>
    </row>
    <row r="133" spans="1:9" x14ac:dyDescent="0.2">
      <c r="A133" s="43" t="s">
        <v>1402</v>
      </c>
      <c r="B133" s="314" t="s">
        <v>718</v>
      </c>
      <c r="C133" s="430"/>
      <c r="D133" s="71"/>
      <c r="E133" s="71" t="s">
        <v>1920</v>
      </c>
      <c r="F133" s="523"/>
      <c r="G133" s="33">
        <v>1</v>
      </c>
      <c r="H133" s="543"/>
      <c r="I133" s="559">
        <f t="shared" si="2"/>
        <v>0</v>
      </c>
    </row>
    <row r="134" spans="1:9" x14ac:dyDescent="0.2">
      <c r="A134" s="43" t="s">
        <v>1403</v>
      </c>
      <c r="B134" s="314" t="s">
        <v>446</v>
      </c>
      <c r="C134" s="430"/>
      <c r="D134" s="71"/>
      <c r="E134" s="71" t="s">
        <v>1920</v>
      </c>
      <c r="F134" s="523"/>
      <c r="G134" s="33">
        <v>1</v>
      </c>
      <c r="H134" s="543"/>
      <c r="I134" s="559">
        <f t="shared" si="2"/>
        <v>0</v>
      </c>
    </row>
    <row r="135" spans="1:9" x14ac:dyDescent="0.2">
      <c r="A135" s="43" t="s">
        <v>1078</v>
      </c>
      <c r="B135" s="314" t="s">
        <v>447</v>
      </c>
      <c r="C135" s="430"/>
      <c r="D135" s="71"/>
      <c r="E135" s="71" t="s">
        <v>1920</v>
      </c>
      <c r="F135" s="523"/>
      <c r="G135" s="33">
        <v>1</v>
      </c>
      <c r="H135" s="543"/>
      <c r="I135" s="559">
        <f t="shared" si="2"/>
        <v>0</v>
      </c>
    </row>
    <row r="136" spans="1:9" x14ac:dyDescent="0.2">
      <c r="A136" s="43" t="s">
        <v>1079</v>
      </c>
      <c r="B136" s="314" t="s">
        <v>487</v>
      </c>
      <c r="C136" s="430"/>
      <c r="D136" s="71"/>
      <c r="E136" s="71" t="s">
        <v>1920</v>
      </c>
      <c r="F136" s="523"/>
      <c r="G136" s="33">
        <v>1</v>
      </c>
      <c r="H136" s="543"/>
      <c r="I136" s="559">
        <f t="shared" si="2"/>
        <v>0</v>
      </c>
    </row>
    <row r="137" spans="1:9" x14ac:dyDescent="0.2">
      <c r="A137" s="43" t="s">
        <v>1210</v>
      </c>
      <c r="B137" s="314" t="s">
        <v>475</v>
      </c>
      <c r="C137" s="430"/>
      <c r="D137" s="71"/>
      <c r="E137" s="71" t="s">
        <v>1920</v>
      </c>
      <c r="F137" s="523"/>
      <c r="G137" s="33">
        <v>1</v>
      </c>
      <c r="H137" s="543"/>
      <c r="I137" s="559">
        <f t="shared" si="2"/>
        <v>0</v>
      </c>
    </row>
    <row r="138" spans="1:9" x14ac:dyDescent="0.2">
      <c r="A138" s="43" t="s">
        <v>2887</v>
      </c>
      <c r="B138" s="314" t="s">
        <v>2917</v>
      </c>
      <c r="C138" s="430"/>
      <c r="D138" s="71"/>
      <c r="E138" s="71">
        <v>55719</v>
      </c>
      <c r="F138" s="523"/>
      <c r="G138" s="33">
        <v>1</v>
      </c>
      <c r="H138" s="543"/>
      <c r="I138" s="559">
        <f t="shared" si="2"/>
        <v>0</v>
      </c>
    </row>
    <row r="139" spans="1:9" x14ac:dyDescent="0.2">
      <c r="A139" s="43" t="s">
        <v>1408</v>
      </c>
      <c r="B139" s="314" t="s">
        <v>725</v>
      </c>
      <c r="C139" s="430"/>
      <c r="D139" s="71"/>
      <c r="E139" s="71" t="s">
        <v>1920</v>
      </c>
      <c r="F139" s="523"/>
      <c r="G139" s="33">
        <v>1</v>
      </c>
      <c r="H139" s="543"/>
      <c r="I139" s="559">
        <f t="shared" si="2"/>
        <v>0</v>
      </c>
    </row>
    <row r="140" spans="1:9" x14ac:dyDescent="0.2">
      <c r="A140" s="43" t="s">
        <v>1409</v>
      </c>
      <c r="B140" s="314" t="s">
        <v>726</v>
      </c>
      <c r="C140" s="430"/>
      <c r="D140" s="71"/>
      <c r="E140" s="71" t="s">
        <v>1920</v>
      </c>
      <c r="F140" s="523"/>
      <c r="G140" s="33">
        <v>1</v>
      </c>
      <c r="H140" s="543"/>
      <c r="I140" s="559">
        <f t="shared" si="2"/>
        <v>0</v>
      </c>
    </row>
    <row r="141" spans="1:9" x14ac:dyDescent="0.2">
      <c r="A141" s="43" t="s">
        <v>1410</v>
      </c>
      <c r="B141" s="314" t="s">
        <v>727</v>
      </c>
      <c r="C141" s="430"/>
      <c r="D141" s="71"/>
      <c r="E141" s="71" t="s">
        <v>1920</v>
      </c>
      <c r="F141" s="523"/>
      <c r="G141" s="33">
        <v>1</v>
      </c>
      <c r="H141" s="543"/>
      <c r="I141" s="559">
        <f t="shared" si="2"/>
        <v>0</v>
      </c>
    </row>
    <row r="142" spans="1:9" x14ac:dyDescent="0.2">
      <c r="A142" s="43" t="s">
        <v>1411</v>
      </c>
      <c r="B142" s="314" t="s">
        <v>728</v>
      </c>
      <c r="C142" s="430"/>
      <c r="D142" s="71"/>
      <c r="E142" s="71" t="s">
        <v>1920</v>
      </c>
      <c r="F142" s="523"/>
      <c r="G142" s="33">
        <v>1</v>
      </c>
      <c r="H142" s="543"/>
      <c r="I142" s="559">
        <f t="shared" si="2"/>
        <v>0</v>
      </c>
    </row>
    <row r="143" spans="1:9" x14ac:dyDescent="0.2">
      <c r="A143" s="43" t="s">
        <v>1412</v>
      </c>
      <c r="B143" s="314" t="s">
        <v>729</v>
      </c>
      <c r="C143" s="430"/>
      <c r="D143" s="71"/>
      <c r="E143" s="71" t="s">
        <v>1920</v>
      </c>
      <c r="F143" s="523"/>
      <c r="G143" s="33">
        <v>1</v>
      </c>
      <c r="H143" s="543"/>
      <c r="I143" s="559">
        <f t="shared" si="2"/>
        <v>0</v>
      </c>
    </row>
    <row r="144" spans="1:9" x14ac:dyDescent="0.2">
      <c r="A144" s="43" t="s">
        <v>3137</v>
      </c>
      <c r="B144" s="314" t="s">
        <v>720</v>
      </c>
      <c r="C144" s="430"/>
      <c r="D144" s="71"/>
      <c r="E144" s="71" t="s">
        <v>1920</v>
      </c>
      <c r="F144" s="523"/>
      <c r="G144" s="33">
        <v>1</v>
      </c>
      <c r="H144" s="543"/>
      <c r="I144" s="559">
        <f t="shared" si="2"/>
        <v>0</v>
      </c>
    </row>
    <row r="145" spans="1:9" x14ac:dyDescent="0.2">
      <c r="A145" s="43" t="s">
        <v>3138</v>
      </c>
      <c r="B145" s="314" t="s">
        <v>721</v>
      </c>
      <c r="C145" s="430"/>
      <c r="D145" s="71"/>
      <c r="E145" s="71" t="s">
        <v>1920</v>
      </c>
      <c r="F145" s="523"/>
      <c r="G145" s="33">
        <v>1</v>
      </c>
      <c r="H145" s="543"/>
      <c r="I145" s="559">
        <f t="shared" si="2"/>
        <v>0</v>
      </c>
    </row>
    <row r="146" spans="1:9" x14ac:dyDescent="0.2">
      <c r="A146" s="43" t="s">
        <v>3139</v>
      </c>
      <c r="B146" s="314" t="s">
        <v>722</v>
      </c>
      <c r="C146" s="430"/>
      <c r="D146" s="71"/>
      <c r="E146" s="71" t="s">
        <v>1920</v>
      </c>
      <c r="F146" s="430"/>
      <c r="G146" s="33">
        <v>1</v>
      </c>
      <c r="H146" s="543"/>
      <c r="I146" s="559">
        <f t="shared" si="2"/>
        <v>0</v>
      </c>
    </row>
    <row r="147" spans="1:9" x14ac:dyDescent="0.2">
      <c r="A147" s="43" t="s">
        <v>3140</v>
      </c>
      <c r="B147" s="314" t="s">
        <v>723</v>
      </c>
      <c r="C147" s="430"/>
      <c r="D147" s="71"/>
      <c r="E147" s="71" t="s">
        <v>1920</v>
      </c>
      <c r="F147" s="457"/>
      <c r="G147" s="33">
        <v>1</v>
      </c>
      <c r="H147" s="543"/>
      <c r="I147" s="559">
        <f t="shared" si="2"/>
        <v>0</v>
      </c>
    </row>
    <row r="148" spans="1:9" x14ac:dyDescent="0.2">
      <c r="A148" s="43" t="s">
        <v>3141</v>
      </c>
      <c r="B148" s="314" t="s">
        <v>724</v>
      </c>
      <c r="C148" s="430"/>
      <c r="D148" s="71"/>
      <c r="E148" s="71" t="s">
        <v>1920</v>
      </c>
      <c r="F148" s="523"/>
      <c r="G148" s="33">
        <v>1</v>
      </c>
      <c r="H148" s="543"/>
      <c r="I148" s="559">
        <f t="shared" si="2"/>
        <v>0</v>
      </c>
    </row>
    <row r="149" spans="1:9" x14ac:dyDescent="0.2">
      <c r="A149" s="43" t="s">
        <v>1275</v>
      </c>
      <c r="B149" s="314" t="s">
        <v>478</v>
      </c>
      <c r="C149" s="430"/>
      <c r="D149" s="71"/>
      <c r="E149" s="71" t="s">
        <v>1920</v>
      </c>
      <c r="F149" s="523"/>
      <c r="G149" s="33">
        <v>1</v>
      </c>
      <c r="H149" s="543"/>
      <c r="I149" s="559">
        <f t="shared" si="2"/>
        <v>0</v>
      </c>
    </row>
    <row r="150" spans="1:9" x14ac:dyDescent="0.2">
      <c r="A150" s="43" t="s">
        <v>1250</v>
      </c>
      <c r="B150" s="314" t="s">
        <v>462</v>
      </c>
      <c r="C150" s="430"/>
      <c r="D150" s="71"/>
      <c r="E150" s="71" t="s">
        <v>1920</v>
      </c>
      <c r="F150" s="523"/>
      <c r="G150" s="33">
        <v>1</v>
      </c>
      <c r="H150" s="543"/>
      <c r="I150" s="559">
        <f t="shared" si="2"/>
        <v>0</v>
      </c>
    </row>
    <row r="151" spans="1:9" x14ac:dyDescent="0.2">
      <c r="A151" s="43" t="s">
        <v>1252</v>
      </c>
      <c r="B151" s="314" t="s">
        <v>311</v>
      </c>
      <c r="C151" s="430"/>
      <c r="D151" s="71"/>
      <c r="E151" s="71" t="s">
        <v>1920</v>
      </c>
      <c r="F151" s="523"/>
      <c r="G151" s="33">
        <v>1</v>
      </c>
      <c r="H151" s="543"/>
      <c r="I151" s="559">
        <f t="shared" si="2"/>
        <v>0</v>
      </c>
    </row>
    <row r="152" spans="1:9" x14ac:dyDescent="0.2">
      <c r="A152" s="43" t="s">
        <v>1245</v>
      </c>
      <c r="B152" s="314" t="s">
        <v>662</v>
      </c>
      <c r="C152" s="430"/>
      <c r="D152" s="71"/>
      <c r="E152" s="71" t="s">
        <v>1920</v>
      </c>
      <c r="F152" s="523"/>
      <c r="G152" s="33">
        <v>1</v>
      </c>
      <c r="H152" s="543"/>
      <c r="I152" s="559">
        <f t="shared" si="2"/>
        <v>0</v>
      </c>
    </row>
    <row r="153" spans="1:9" x14ac:dyDescent="0.2">
      <c r="A153" s="43" t="s">
        <v>1253</v>
      </c>
      <c r="B153" s="314" t="s">
        <v>315</v>
      </c>
      <c r="C153" s="430"/>
      <c r="D153" s="71"/>
      <c r="E153" s="71" t="s">
        <v>1920</v>
      </c>
      <c r="F153" s="523"/>
      <c r="G153" s="33">
        <v>1</v>
      </c>
      <c r="H153" s="543"/>
      <c r="I153" s="559">
        <f t="shared" si="2"/>
        <v>0</v>
      </c>
    </row>
    <row r="154" spans="1:9" x14ac:dyDescent="0.2">
      <c r="A154" s="43" t="s">
        <v>1251</v>
      </c>
      <c r="B154" s="314" t="s">
        <v>81</v>
      </c>
      <c r="C154" s="430"/>
      <c r="D154" s="71"/>
      <c r="E154" s="71" t="s">
        <v>1920</v>
      </c>
      <c r="F154" s="523"/>
      <c r="G154" s="33">
        <v>1</v>
      </c>
      <c r="H154" s="543"/>
      <c r="I154" s="559">
        <f t="shared" si="2"/>
        <v>0</v>
      </c>
    </row>
    <row r="155" spans="1:9" x14ac:dyDescent="0.2">
      <c r="A155" s="43" t="s">
        <v>1247</v>
      </c>
      <c r="B155" s="314" t="s">
        <v>443</v>
      </c>
      <c r="C155" s="430"/>
      <c r="D155" s="71"/>
      <c r="E155" s="71" t="s">
        <v>1920</v>
      </c>
      <c r="F155" s="523"/>
      <c r="G155" s="33">
        <v>1</v>
      </c>
      <c r="H155" s="543"/>
      <c r="I155" s="559">
        <f t="shared" si="2"/>
        <v>0</v>
      </c>
    </row>
    <row r="156" spans="1:9" x14ac:dyDescent="0.2">
      <c r="A156" s="43" t="s">
        <v>1175</v>
      </c>
      <c r="B156" s="314" t="s">
        <v>310</v>
      </c>
      <c r="C156" s="430"/>
      <c r="D156" s="71"/>
      <c r="E156" s="71" t="s">
        <v>1920</v>
      </c>
      <c r="F156" s="523"/>
      <c r="G156" s="33">
        <v>1</v>
      </c>
      <c r="H156" s="543"/>
      <c r="I156" s="559">
        <f t="shared" si="2"/>
        <v>0</v>
      </c>
    </row>
    <row r="157" spans="1:9" x14ac:dyDescent="0.2">
      <c r="A157" s="43" t="s">
        <v>1248</v>
      </c>
      <c r="B157" s="314" t="s">
        <v>444</v>
      </c>
      <c r="C157" s="430"/>
      <c r="D157" s="71"/>
      <c r="E157" s="71" t="s">
        <v>1920</v>
      </c>
      <c r="F157" s="523"/>
      <c r="G157" s="33">
        <v>1</v>
      </c>
      <c r="H157" s="543"/>
      <c r="I157" s="559">
        <f t="shared" si="2"/>
        <v>0</v>
      </c>
    </row>
    <row r="158" spans="1:9" x14ac:dyDescent="0.2">
      <c r="A158" s="43" t="s">
        <v>1173</v>
      </c>
      <c r="B158" s="314" t="s">
        <v>313</v>
      </c>
      <c r="C158" s="430"/>
      <c r="D158" s="71"/>
      <c r="E158" s="71" t="s">
        <v>1920</v>
      </c>
      <c r="F158" s="523"/>
      <c r="G158" s="33">
        <v>1</v>
      </c>
      <c r="H158" s="543"/>
      <c r="I158" s="559">
        <f t="shared" si="2"/>
        <v>0</v>
      </c>
    </row>
    <row r="159" spans="1:9" x14ac:dyDescent="0.2">
      <c r="A159" s="43" t="s">
        <v>1249</v>
      </c>
      <c r="B159" s="314" t="s">
        <v>445</v>
      </c>
      <c r="C159" s="430"/>
      <c r="D159" s="71"/>
      <c r="E159" s="71" t="s">
        <v>1920</v>
      </c>
      <c r="F159" s="523"/>
      <c r="G159" s="33">
        <v>1</v>
      </c>
      <c r="H159" s="543"/>
      <c r="I159" s="559">
        <f t="shared" si="2"/>
        <v>0</v>
      </c>
    </row>
    <row r="160" spans="1:9" x14ac:dyDescent="0.2">
      <c r="A160" s="43" t="s">
        <v>3166</v>
      </c>
      <c r="B160" s="314" t="s">
        <v>814</v>
      </c>
      <c r="C160" s="430"/>
      <c r="D160" s="71"/>
      <c r="E160" s="71" t="s">
        <v>1920</v>
      </c>
      <c r="F160" s="523"/>
      <c r="G160" s="33">
        <v>1</v>
      </c>
      <c r="H160" s="543"/>
      <c r="I160" s="559">
        <f t="shared" si="2"/>
        <v>0</v>
      </c>
    </row>
    <row r="161" spans="1:9" x14ac:dyDescent="0.2">
      <c r="A161" s="43" t="s">
        <v>3167</v>
      </c>
      <c r="B161" s="314" t="s">
        <v>813</v>
      </c>
      <c r="C161" s="430"/>
      <c r="D161" s="71"/>
      <c r="E161" s="71" t="s">
        <v>1920</v>
      </c>
      <c r="F161" s="523"/>
      <c r="G161" s="33">
        <v>1</v>
      </c>
      <c r="H161" s="543"/>
      <c r="I161" s="559">
        <f t="shared" si="2"/>
        <v>0</v>
      </c>
    </row>
    <row r="162" spans="1:9" x14ac:dyDescent="0.2">
      <c r="A162" s="43" t="s">
        <v>3168</v>
      </c>
      <c r="B162" s="314" t="s">
        <v>812</v>
      </c>
      <c r="C162" s="430"/>
      <c r="D162" s="71"/>
      <c r="E162" s="71" t="s">
        <v>1920</v>
      </c>
      <c r="F162" s="523"/>
      <c r="G162" s="33">
        <v>1</v>
      </c>
      <c r="H162" s="543"/>
      <c r="I162" s="559">
        <f t="shared" si="2"/>
        <v>0</v>
      </c>
    </row>
    <row r="163" spans="1:9" x14ac:dyDescent="0.2">
      <c r="A163" s="43" t="s">
        <v>3169</v>
      </c>
      <c r="B163" s="314" t="s">
        <v>811</v>
      </c>
      <c r="C163" s="430"/>
      <c r="D163" s="71"/>
      <c r="E163" s="71" t="s">
        <v>1920</v>
      </c>
      <c r="F163" s="523"/>
      <c r="G163" s="33">
        <v>1</v>
      </c>
      <c r="H163" s="543"/>
      <c r="I163" s="559">
        <f t="shared" si="2"/>
        <v>0</v>
      </c>
    </row>
    <row r="164" spans="1:9" x14ac:dyDescent="0.2">
      <c r="A164" s="43" t="s">
        <v>3170</v>
      </c>
      <c r="B164" s="314" t="s">
        <v>810</v>
      </c>
      <c r="C164" s="430"/>
      <c r="D164" s="71"/>
      <c r="E164" s="71" t="s">
        <v>1920</v>
      </c>
      <c r="F164" s="523"/>
      <c r="G164" s="33">
        <v>1</v>
      </c>
      <c r="H164" s="543"/>
      <c r="I164" s="559">
        <f t="shared" si="2"/>
        <v>0</v>
      </c>
    </row>
    <row r="165" spans="1:9" x14ac:dyDescent="0.2">
      <c r="A165" s="43" t="s">
        <v>3171</v>
      </c>
      <c r="B165" s="314" t="s">
        <v>809</v>
      </c>
      <c r="C165" s="430"/>
      <c r="D165" s="71"/>
      <c r="E165" s="71" t="s">
        <v>1920</v>
      </c>
      <c r="F165" s="523"/>
      <c r="G165" s="33">
        <v>1</v>
      </c>
      <c r="H165" s="543"/>
      <c r="I165" s="559">
        <f t="shared" si="2"/>
        <v>0</v>
      </c>
    </row>
    <row r="166" spans="1:9" x14ac:dyDescent="0.2">
      <c r="A166" s="43" t="s">
        <v>3172</v>
      </c>
      <c r="B166" s="314" t="s">
        <v>808</v>
      </c>
      <c r="C166" s="430"/>
      <c r="D166" s="71"/>
      <c r="E166" s="71" t="s">
        <v>1920</v>
      </c>
      <c r="F166" s="523"/>
      <c r="G166" s="33">
        <v>1</v>
      </c>
      <c r="H166" s="543"/>
      <c r="I166" s="559">
        <f t="shared" si="2"/>
        <v>0</v>
      </c>
    </row>
    <row r="167" spans="1:9" x14ac:dyDescent="0.2">
      <c r="A167" s="43" t="s">
        <v>3173</v>
      </c>
      <c r="B167" s="314" t="s">
        <v>807</v>
      </c>
      <c r="C167" s="430"/>
      <c r="D167" s="71"/>
      <c r="E167" s="71" t="s">
        <v>1920</v>
      </c>
      <c r="F167" s="523"/>
      <c r="G167" s="33">
        <v>1</v>
      </c>
      <c r="H167" s="543"/>
      <c r="I167" s="559">
        <f t="shared" si="2"/>
        <v>0</v>
      </c>
    </row>
    <row r="168" spans="1:9" x14ac:dyDescent="0.2">
      <c r="A168" s="43" t="s">
        <v>3174</v>
      </c>
      <c r="B168" s="314" t="s">
        <v>806</v>
      </c>
      <c r="C168" s="430"/>
      <c r="D168" s="71"/>
      <c r="E168" s="71" t="s">
        <v>1920</v>
      </c>
      <c r="F168" s="523"/>
      <c r="G168" s="33">
        <v>1</v>
      </c>
      <c r="H168" s="543"/>
      <c r="I168" s="559">
        <f t="shared" si="2"/>
        <v>0</v>
      </c>
    </row>
    <row r="169" spans="1:9" x14ac:dyDescent="0.2">
      <c r="A169" s="43" t="s">
        <v>3175</v>
      </c>
      <c r="B169" s="314" t="s">
        <v>805</v>
      </c>
      <c r="C169" s="430"/>
      <c r="D169" s="71"/>
      <c r="E169" s="71" t="s">
        <v>1920</v>
      </c>
      <c r="F169" s="430"/>
      <c r="G169" s="33">
        <v>1</v>
      </c>
      <c r="H169" s="543"/>
      <c r="I169" s="559">
        <f t="shared" si="2"/>
        <v>0</v>
      </c>
    </row>
    <row r="170" spans="1:9" x14ac:dyDescent="0.2">
      <c r="A170" s="43" t="s">
        <v>3176</v>
      </c>
      <c r="B170" s="314" t="s">
        <v>719</v>
      </c>
      <c r="C170" s="430"/>
      <c r="D170" s="71"/>
      <c r="E170" s="71" t="s">
        <v>1920</v>
      </c>
      <c r="F170" s="457"/>
      <c r="G170" s="33">
        <v>1</v>
      </c>
      <c r="H170" s="543"/>
      <c r="I170" s="559">
        <f t="shared" si="2"/>
        <v>0</v>
      </c>
    </row>
    <row r="171" spans="1:9" x14ac:dyDescent="0.2">
      <c r="A171" s="43" t="s">
        <v>3177</v>
      </c>
      <c r="B171" s="314" t="s">
        <v>816</v>
      </c>
      <c r="C171" s="430"/>
      <c r="D171" s="71"/>
      <c r="E171" s="71" t="s">
        <v>1920</v>
      </c>
      <c r="F171" s="523"/>
      <c r="G171" s="33">
        <v>1</v>
      </c>
      <c r="H171" s="543"/>
      <c r="I171" s="559">
        <f t="shared" si="2"/>
        <v>0</v>
      </c>
    </row>
    <row r="172" spans="1:9" x14ac:dyDescent="0.2">
      <c r="A172" s="43" t="s">
        <v>3178</v>
      </c>
      <c r="B172" s="314" t="s">
        <v>815</v>
      </c>
      <c r="C172" s="430"/>
      <c r="D172" s="71"/>
      <c r="E172" s="71" t="s">
        <v>1920</v>
      </c>
      <c r="F172" s="523"/>
      <c r="G172" s="33">
        <v>1</v>
      </c>
      <c r="H172" s="543"/>
      <c r="I172" s="559">
        <f t="shared" si="2"/>
        <v>0</v>
      </c>
    </row>
    <row r="173" spans="1:9" x14ac:dyDescent="0.2">
      <c r="A173" s="43" t="s">
        <v>1216</v>
      </c>
      <c r="B173" s="314" t="s">
        <v>835</v>
      </c>
      <c r="C173" s="430"/>
      <c r="D173" s="71"/>
      <c r="E173" s="71" t="s">
        <v>1920</v>
      </c>
      <c r="F173" s="523"/>
      <c r="G173" s="33">
        <v>1</v>
      </c>
      <c r="H173" s="543"/>
      <c r="I173" s="559">
        <f t="shared" si="2"/>
        <v>0</v>
      </c>
    </row>
    <row r="174" spans="1:9" x14ac:dyDescent="0.2">
      <c r="A174" s="43" t="s">
        <v>1598</v>
      </c>
      <c r="B174" s="314" t="s">
        <v>716</v>
      </c>
      <c r="C174" s="430"/>
      <c r="D174" s="71"/>
      <c r="E174" s="71" t="s">
        <v>1920</v>
      </c>
      <c r="F174" s="523"/>
      <c r="G174" s="33">
        <v>1</v>
      </c>
      <c r="H174" s="543"/>
      <c r="I174" s="559">
        <f t="shared" si="2"/>
        <v>0</v>
      </c>
    </row>
    <row r="175" spans="1:9" x14ac:dyDescent="0.2">
      <c r="A175" s="43" t="s">
        <v>1286</v>
      </c>
      <c r="B175" s="314" t="s">
        <v>482</v>
      </c>
      <c r="C175" s="430"/>
      <c r="D175" s="71"/>
      <c r="E175" s="71" t="s">
        <v>1920</v>
      </c>
      <c r="F175" s="523"/>
      <c r="G175" s="33">
        <v>1</v>
      </c>
      <c r="H175" s="543"/>
      <c r="I175" s="559">
        <f t="shared" si="2"/>
        <v>0</v>
      </c>
    </row>
    <row r="176" spans="1:9" x14ac:dyDescent="0.2">
      <c r="A176" s="43" t="s">
        <v>410</v>
      </c>
      <c r="B176" s="314" t="s">
        <v>483</v>
      </c>
      <c r="C176" s="430"/>
      <c r="D176" s="71"/>
      <c r="E176" s="71" t="s">
        <v>1920</v>
      </c>
      <c r="F176" s="523"/>
      <c r="G176" s="33">
        <v>1</v>
      </c>
      <c r="H176" s="543"/>
      <c r="I176" s="559">
        <f t="shared" si="2"/>
        <v>0</v>
      </c>
    </row>
    <row r="177" spans="1:9" x14ac:dyDescent="0.2">
      <c r="A177" s="43" t="s">
        <v>1618</v>
      </c>
      <c r="B177" s="314" t="s">
        <v>833</v>
      </c>
      <c r="C177" s="430"/>
      <c r="D177" s="71"/>
      <c r="E177" s="71" t="s">
        <v>1920</v>
      </c>
      <c r="F177" s="523"/>
      <c r="G177" s="33">
        <v>1</v>
      </c>
      <c r="H177" s="543"/>
      <c r="I177" s="559">
        <f t="shared" si="2"/>
        <v>0</v>
      </c>
    </row>
    <row r="178" spans="1:9" x14ac:dyDescent="0.2">
      <c r="A178" s="43" t="s">
        <v>1426</v>
      </c>
      <c r="B178" s="314" t="s">
        <v>534</v>
      </c>
      <c r="C178" s="430"/>
      <c r="D178" s="71"/>
      <c r="E178" s="71" t="s">
        <v>1920</v>
      </c>
      <c r="F178" s="523"/>
      <c r="G178" s="33">
        <v>1</v>
      </c>
      <c r="H178" s="543"/>
      <c r="I178" s="559">
        <f t="shared" si="2"/>
        <v>0</v>
      </c>
    </row>
    <row r="179" spans="1:9" x14ac:dyDescent="0.2">
      <c r="A179" s="43" t="s">
        <v>2133</v>
      </c>
      <c r="B179" s="314" t="s">
        <v>2909</v>
      </c>
      <c r="C179" s="430"/>
      <c r="D179" s="71"/>
      <c r="E179" s="71">
        <v>56654</v>
      </c>
      <c r="F179" s="523"/>
      <c r="G179" s="33">
        <v>1</v>
      </c>
      <c r="H179" s="543"/>
      <c r="I179" s="559">
        <f t="shared" si="2"/>
        <v>0</v>
      </c>
    </row>
    <row r="180" spans="1:9" x14ac:dyDescent="0.2">
      <c r="A180" s="43" t="s">
        <v>1242</v>
      </c>
      <c r="B180" s="314" t="s">
        <v>305</v>
      </c>
      <c r="C180" s="430"/>
      <c r="D180" s="71"/>
      <c r="E180" s="71" t="s">
        <v>1920</v>
      </c>
      <c r="F180" s="523"/>
      <c r="G180" s="33">
        <v>1</v>
      </c>
      <c r="H180" s="543"/>
      <c r="I180" s="559">
        <f t="shared" si="2"/>
        <v>0</v>
      </c>
    </row>
    <row r="181" spans="1:9" x14ac:dyDescent="0.2">
      <c r="A181" s="43" t="s">
        <v>1429</v>
      </c>
      <c r="B181" s="314" t="s">
        <v>440</v>
      </c>
      <c r="C181" s="430"/>
      <c r="D181" s="71"/>
      <c r="E181" s="71" t="s">
        <v>1920</v>
      </c>
      <c r="F181" s="523"/>
      <c r="G181" s="33">
        <v>1</v>
      </c>
      <c r="H181" s="543"/>
      <c r="I181" s="559">
        <f t="shared" si="2"/>
        <v>0</v>
      </c>
    </row>
    <row r="182" spans="1:9" x14ac:dyDescent="0.2">
      <c r="A182" s="43" t="s">
        <v>1171</v>
      </c>
      <c r="B182" s="314" t="s">
        <v>441</v>
      </c>
      <c r="C182" s="430"/>
      <c r="D182" s="71"/>
      <c r="E182" s="71" t="s">
        <v>1920</v>
      </c>
      <c r="F182" s="523"/>
      <c r="G182" s="33">
        <v>1</v>
      </c>
      <c r="H182" s="543"/>
      <c r="I182" s="559">
        <f t="shared" si="2"/>
        <v>0</v>
      </c>
    </row>
    <row r="183" spans="1:9" x14ac:dyDescent="0.2">
      <c r="A183" s="43" t="s">
        <v>1172</v>
      </c>
      <c r="B183" s="314" t="s">
        <v>340</v>
      </c>
      <c r="C183" s="430"/>
      <c r="D183" s="71"/>
      <c r="E183" s="71" t="s">
        <v>1920</v>
      </c>
      <c r="F183" s="523"/>
      <c r="G183" s="33">
        <v>1</v>
      </c>
      <c r="H183" s="543"/>
      <c r="I183" s="559">
        <f t="shared" si="2"/>
        <v>0</v>
      </c>
    </row>
    <row r="184" spans="1:9" x14ac:dyDescent="0.2">
      <c r="A184" s="43" t="s">
        <v>1430</v>
      </c>
      <c r="B184" s="314" t="s">
        <v>438</v>
      </c>
      <c r="C184" s="430"/>
      <c r="D184" s="71"/>
      <c r="E184" s="71" t="s">
        <v>1920</v>
      </c>
      <c r="F184" s="523"/>
      <c r="G184" s="33">
        <v>1</v>
      </c>
      <c r="H184" s="543"/>
      <c r="I184" s="559">
        <f t="shared" si="2"/>
        <v>0</v>
      </c>
    </row>
    <row r="185" spans="1:9" x14ac:dyDescent="0.2">
      <c r="A185" s="43" t="s">
        <v>1240</v>
      </c>
      <c r="B185" s="314" t="s">
        <v>304</v>
      </c>
      <c r="C185" s="430"/>
      <c r="D185" s="71"/>
      <c r="E185" s="71" t="s">
        <v>1920</v>
      </c>
      <c r="F185" s="523"/>
      <c r="G185" s="33">
        <v>1</v>
      </c>
      <c r="H185" s="543"/>
      <c r="I185" s="559">
        <f t="shared" si="2"/>
        <v>0</v>
      </c>
    </row>
    <row r="186" spans="1:9" x14ac:dyDescent="0.2">
      <c r="A186" s="43" t="s">
        <v>1431</v>
      </c>
      <c r="B186" s="314" t="s">
        <v>439</v>
      </c>
      <c r="C186" s="430"/>
      <c r="D186" s="71"/>
      <c r="E186" s="71" t="s">
        <v>1920</v>
      </c>
      <c r="F186" s="523"/>
      <c r="G186" s="33">
        <v>1</v>
      </c>
      <c r="H186" s="543"/>
      <c r="I186" s="559">
        <f t="shared" si="2"/>
        <v>0</v>
      </c>
    </row>
    <row r="187" spans="1:9" x14ac:dyDescent="0.2">
      <c r="A187" s="43" t="s">
        <v>1229</v>
      </c>
      <c r="B187" s="314" t="s">
        <v>303</v>
      </c>
      <c r="C187" s="430"/>
      <c r="D187" s="71"/>
      <c r="E187" s="71" t="s">
        <v>1920</v>
      </c>
      <c r="F187" s="523"/>
      <c r="G187" s="33">
        <v>1</v>
      </c>
      <c r="H187" s="543"/>
      <c r="I187" s="559">
        <f t="shared" si="2"/>
        <v>0</v>
      </c>
    </row>
    <row r="188" spans="1:9" x14ac:dyDescent="0.2">
      <c r="A188" s="43" t="s">
        <v>1223</v>
      </c>
      <c r="B188" s="314" t="s">
        <v>295</v>
      </c>
      <c r="C188" s="430"/>
      <c r="D188" s="71"/>
      <c r="E188" s="71" t="s">
        <v>1920</v>
      </c>
      <c r="F188" s="523"/>
      <c r="G188" s="33">
        <v>1</v>
      </c>
      <c r="H188" s="543"/>
      <c r="I188" s="559">
        <f t="shared" si="2"/>
        <v>0</v>
      </c>
    </row>
    <row r="189" spans="1:9" x14ac:dyDescent="0.2">
      <c r="A189" s="43" t="s">
        <v>1228</v>
      </c>
      <c r="B189" s="314" t="s">
        <v>489</v>
      </c>
      <c r="C189" s="430"/>
      <c r="D189" s="71"/>
      <c r="E189" s="71" t="s">
        <v>1920</v>
      </c>
      <c r="F189" s="523"/>
      <c r="G189" s="33">
        <v>1</v>
      </c>
      <c r="H189" s="543"/>
      <c r="I189" s="559">
        <f t="shared" si="2"/>
        <v>0</v>
      </c>
    </row>
    <row r="190" spans="1:9" x14ac:dyDescent="0.2">
      <c r="A190" s="43" t="s">
        <v>1225</v>
      </c>
      <c r="B190" s="314" t="s">
        <v>523</v>
      </c>
      <c r="C190" s="430"/>
      <c r="D190" s="71"/>
      <c r="E190" s="71" t="s">
        <v>1920</v>
      </c>
      <c r="F190" s="523"/>
      <c r="G190" s="33">
        <v>1</v>
      </c>
      <c r="H190" s="543"/>
      <c r="I190" s="559">
        <f t="shared" si="2"/>
        <v>0</v>
      </c>
    </row>
    <row r="191" spans="1:9" x14ac:dyDescent="0.2">
      <c r="A191" s="43" t="s">
        <v>83</v>
      </c>
      <c r="B191" s="314" t="s">
        <v>292</v>
      </c>
      <c r="C191" s="430"/>
      <c r="D191" s="71"/>
      <c r="E191" s="71" t="s">
        <v>1920</v>
      </c>
      <c r="F191" s="523"/>
      <c r="G191" s="33">
        <v>1</v>
      </c>
      <c r="H191" s="543"/>
      <c r="I191" s="559">
        <f t="shared" si="2"/>
        <v>0</v>
      </c>
    </row>
    <row r="192" spans="1:9" x14ac:dyDescent="0.2">
      <c r="A192" s="43" t="s">
        <v>1221</v>
      </c>
      <c r="B192" s="314" t="s">
        <v>248</v>
      </c>
      <c r="C192" s="430"/>
      <c r="D192" s="71"/>
      <c r="E192" s="71" t="s">
        <v>1920</v>
      </c>
      <c r="F192" s="430"/>
      <c r="G192" s="33">
        <v>1</v>
      </c>
      <c r="H192" s="543"/>
      <c r="I192" s="559">
        <f t="shared" si="2"/>
        <v>0</v>
      </c>
    </row>
    <row r="193" spans="1:9" x14ac:dyDescent="0.2">
      <c r="A193" s="43" t="s">
        <v>1165</v>
      </c>
      <c r="B193" s="314" t="s">
        <v>294</v>
      </c>
      <c r="C193" s="430"/>
      <c r="D193" s="71"/>
      <c r="E193" s="71" t="s">
        <v>1920</v>
      </c>
      <c r="F193" s="457"/>
      <c r="G193" s="33">
        <v>1</v>
      </c>
      <c r="H193" s="543"/>
      <c r="I193" s="559">
        <f t="shared" si="2"/>
        <v>0</v>
      </c>
    </row>
    <row r="194" spans="1:9" x14ac:dyDescent="0.2">
      <c r="A194" s="43" t="s">
        <v>85</v>
      </c>
      <c r="B194" s="314" t="s">
        <v>113</v>
      </c>
      <c r="C194" s="430"/>
      <c r="D194" s="71"/>
      <c r="E194" s="71" t="s">
        <v>1920</v>
      </c>
      <c r="F194" s="523"/>
      <c r="G194" s="33">
        <v>1</v>
      </c>
      <c r="H194" s="543"/>
      <c r="I194" s="559">
        <f t="shared" ref="I194:I243" si="3">+G194*H194</f>
        <v>0</v>
      </c>
    </row>
    <row r="195" spans="1:9" x14ac:dyDescent="0.2">
      <c r="A195" s="43" t="s">
        <v>9</v>
      </c>
      <c r="B195" s="314" t="s">
        <v>375</v>
      </c>
      <c r="C195" s="430"/>
      <c r="D195" s="71"/>
      <c r="E195" s="71" t="s">
        <v>1920</v>
      </c>
      <c r="F195" s="523"/>
      <c r="G195" s="33">
        <v>1</v>
      </c>
      <c r="H195" s="543"/>
      <c r="I195" s="559">
        <f t="shared" si="3"/>
        <v>0</v>
      </c>
    </row>
    <row r="196" spans="1:9" x14ac:dyDescent="0.2">
      <c r="A196" s="43" t="s">
        <v>195</v>
      </c>
      <c r="B196" s="314" t="s">
        <v>1984</v>
      </c>
      <c r="C196" s="430"/>
      <c r="D196" s="71"/>
      <c r="E196" s="71" t="s">
        <v>1920</v>
      </c>
      <c r="F196" s="523"/>
      <c r="G196" s="33">
        <v>1</v>
      </c>
      <c r="H196" s="543"/>
      <c r="I196" s="559">
        <f t="shared" si="3"/>
        <v>0</v>
      </c>
    </row>
    <row r="197" spans="1:9" x14ac:dyDescent="0.2">
      <c r="A197" s="43" t="s">
        <v>1391</v>
      </c>
      <c r="B197" s="314" t="s">
        <v>2020</v>
      </c>
      <c r="C197" s="430"/>
      <c r="D197" s="71"/>
      <c r="E197" s="71" t="s">
        <v>1920</v>
      </c>
      <c r="F197" s="523"/>
      <c r="G197" s="33">
        <v>1</v>
      </c>
      <c r="H197" s="543"/>
      <c r="I197" s="559">
        <f t="shared" si="3"/>
        <v>0</v>
      </c>
    </row>
    <row r="198" spans="1:9" x14ac:dyDescent="0.2">
      <c r="A198" s="43" t="s">
        <v>1085</v>
      </c>
      <c r="B198" s="314" t="s">
        <v>92</v>
      </c>
      <c r="C198" s="430"/>
      <c r="D198" s="71"/>
      <c r="E198" s="71" t="s">
        <v>1920</v>
      </c>
      <c r="F198" s="523"/>
      <c r="G198" s="33">
        <v>1</v>
      </c>
      <c r="H198" s="543"/>
      <c r="I198" s="559">
        <f t="shared" si="3"/>
        <v>0</v>
      </c>
    </row>
    <row r="199" spans="1:9" x14ac:dyDescent="0.2">
      <c r="A199" s="43" t="s">
        <v>3132</v>
      </c>
      <c r="B199" s="314" t="s">
        <v>2732</v>
      </c>
      <c r="C199" s="430"/>
      <c r="D199" s="71"/>
      <c r="E199" s="71" t="s">
        <v>1920</v>
      </c>
      <c r="F199" s="523"/>
      <c r="G199" s="33">
        <v>1</v>
      </c>
      <c r="H199" s="543"/>
      <c r="I199" s="559">
        <f t="shared" si="3"/>
        <v>0</v>
      </c>
    </row>
    <row r="200" spans="1:9" x14ac:dyDescent="0.2">
      <c r="A200" s="43" t="s">
        <v>1443</v>
      </c>
      <c r="B200" s="314" t="s">
        <v>2021</v>
      </c>
      <c r="C200" s="430"/>
      <c r="D200" s="71"/>
      <c r="E200" s="71" t="s">
        <v>1920</v>
      </c>
      <c r="F200" s="523"/>
      <c r="G200" s="33">
        <v>1</v>
      </c>
      <c r="H200" s="543"/>
      <c r="I200" s="559">
        <f t="shared" si="3"/>
        <v>0</v>
      </c>
    </row>
    <row r="201" spans="1:9" x14ac:dyDescent="0.2">
      <c r="A201" s="43" t="s">
        <v>1440</v>
      </c>
      <c r="B201" s="314" t="s">
        <v>853</v>
      </c>
      <c r="C201" s="430"/>
      <c r="D201" s="71"/>
      <c r="E201" s="71" t="s">
        <v>1976</v>
      </c>
      <c r="F201" s="523"/>
      <c r="G201" s="33">
        <v>1</v>
      </c>
      <c r="H201" s="543"/>
      <c r="I201" s="559">
        <f t="shared" si="3"/>
        <v>0</v>
      </c>
    </row>
    <row r="202" spans="1:9" x14ac:dyDescent="0.2">
      <c r="A202" s="43" t="s">
        <v>1335</v>
      </c>
      <c r="B202" s="314" t="s">
        <v>540</v>
      </c>
      <c r="C202" s="430"/>
      <c r="D202" s="71"/>
      <c r="E202" s="71" t="s">
        <v>1920</v>
      </c>
      <c r="F202" s="523"/>
      <c r="G202" s="33">
        <v>1</v>
      </c>
      <c r="H202" s="543"/>
      <c r="I202" s="559">
        <f t="shared" si="3"/>
        <v>0</v>
      </c>
    </row>
    <row r="203" spans="1:9" x14ac:dyDescent="0.2">
      <c r="A203" s="43" t="s">
        <v>1336</v>
      </c>
      <c r="B203" s="314" t="s">
        <v>537</v>
      </c>
      <c r="C203" s="430"/>
      <c r="D203" s="71"/>
      <c r="E203" s="71" t="s">
        <v>1920</v>
      </c>
      <c r="F203" s="523"/>
      <c r="G203" s="33">
        <v>1</v>
      </c>
      <c r="H203" s="543"/>
      <c r="I203" s="559">
        <f t="shared" si="3"/>
        <v>0</v>
      </c>
    </row>
    <row r="204" spans="1:9" x14ac:dyDescent="0.2">
      <c r="A204" s="43" t="s">
        <v>1086</v>
      </c>
      <c r="B204" s="314" t="s">
        <v>70</v>
      </c>
      <c r="C204" s="430"/>
      <c r="D204" s="71"/>
      <c r="E204" s="71" t="s">
        <v>1920</v>
      </c>
      <c r="F204" s="523"/>
      <c r="G204" s="33">
        <v>1</v>
      </c>
      <c r="H204" s="543"/>
      <c r="I204" s="559">
        <f t="shared" si="3"/>
        <v>0</v>
      </c>
    </row>
    <row r="205" spans="1:9" x14ac:dyDescent="0.2">
      <c r="A205" s="43" t="s">
        <v>1087</v>
      </c>
      <c r="B205" s="314" t="s">
        <v>484</v>
      </c>
      <c r="C205" s="430"/>
      <c r="D205" s="71"/>
      <c r="E205" s="71" t="s">
        <v>1920</v>
      </c>
      <c r="F205" s="523"/>
      <c r="G205" s="33">
        <v>1</v>
      </c>
      <c r="H205" s="543"/>
      <c r="I205" s="559">
        <f t="shared" si="3"/>
        <v>0</v>
      </c>
    </row>
    <row r="206" spans="1:9" x14ac:dyDescent="0.2">
      <c r="A206" s="43" t="s">
        <v>1337</v>
      </c>
      <c r="B206" s="314" t="s">
        <v>519</v>
      </c>
      <c r="C206" s="430"/>
      <c r="D206" s="71"/>
      <c r="E206" s="71" t="s">
        <v>1920</v>
      </c>
      <c r="F206" s="523"/>
      <c r="G206" s="33">
        <v>1</v>
      </c>
      <c r="H206" s="543"/>
      <c r="I206" s="559">
        <f t="shared" si="3"/>
        <v>0</v>
      </c>
    </row>
    <row r="207" spans="1:9" x14ac:dyDescent="0.2">
      <c r="A207" s="43" t="s">
        <v>1338</v>
      </c>
      <c r="B207" s="314" t="s">
        <v>717</v>
      </c>
      <c r="C207" s="430"/>
      <c r="D207" s="71"/>
      <c r="E207" s="71" t="s">
        <v>1920</v>
      </c>
      <c r="F207" s="523"/>
      <c r="G207" s="33">
        <v>1</v>
      </c>
      <c r="H207" s="543"/>
      <c r="I207" s="559">
        <f t="shared" si="3"/>
        <v>0</v>
      </c>
    </row>
    <row r="208" spans="1:9" x14ac:dyDescent="0.2">
      <c r="A208" s="43" t="s">
        <v>1089</v>
      </c>
      <c r="B208" s="314" t="s">
        <v>486</v>
      </c>
      <c r="C208" s="430"/>
      <c r="D208" s="71"/>
      <c r="E208" s="71" t="s">
        <v>1920</v>
      </c>
      <c r="F208" s="523"/>
      <c r="G208" s="33">
        <v>1</v>
      </c>
      <c r="H208" s="543"/>
      <c r="I208" s="559">
        <f t="shared" si="3"/>
        <v>0</v>
      </c>
    </row>
    <row r="209" spans="1:9" x14ac:dyDescent="0.2">
      <c r="A209" s="43" t="s">
        <v>1340</v>
      </c>
      <c r="B209" s="314" t="s">
        <v>87</v>
      </c>
      <c r="C209" s="430"/>
      <c r="D209" s="71"/>
      <c r="E209" s="71" t="s">
        <v>1920</v>
      </c>
      <c r="F209" s="523"/>
      <c r="G209" s="33">
        <v>1</v>
      </c>
      <c r="H209" s="543"/>
      <c r="I209" s="559">
        <f t="shared" si="3"/>
        <v>0</v>
      </c>
    </row>
    <row r="210" spans="1:9" x14ac:dyDescent="0.2">
      <c r="A210" s="43" t="s">
        <v>1342</v>
      </c>
      <c r="B210" s="314" t="s">
        <v>531</v>
      </c>
      <c r="C210" s="430"/>
      <c r="D210" s="71"/>
      <c r="E210" s="71" t="s">
        <v>1920</v>
      </c>
      <c r="F210" s="523"/>
      <c r="G210" s="33">
        <v>1</v>
      </c>
      <c r="H210" s="543"/>
      <c r="I210" s="559">
        <f t="shared" si="3"/>
        <v>0</v>
      </c>
    </row>
    <row r="211" spans="1:9" x14ac:dyDescent="0.2">
      <c r="A211" s="43" t="s">
        <v>1343</v>
      </c>
      <c r="B211" s="314" t="s">
        <v>538</v>
      </c>
      <c r="C211" s="430"/>
      <c r="D211" s="71"/>
      <c r="E211" s="71" t="s">
        <v>1920</v>
      </c>
      <c r="F211" s="523"/>
      <c r="G211" s="33">
        <v>1</v>
      </c>
      <c r="H211" s="543"/>
      <c r="I211" s="559">
        <f t="shared" si="3"/>
        <v>0</v>
      </c>
    </row>
    <row r="212" spans="1:9" x14ac:dyDescent="0.2">
      <c r="A212" s="43" t="s">
        <v>1291</v>
      </c>
      <c r="B212" s="314" t="s">
        <v>95</v>
      </c>
      <c r="C212" s="430"/>
      <c r="D212" s="71"/>
      <c r="E212" s="71" t="s">
        <v>1920</v>
      </c>
      <c r="F212" s="523"/>
      <c r="G212" s="33">
        <v>1</v>
      </c>
      <c r="H212" s="543"/>
      <c r="I212" s="559">
        <f t="shared" si="3"/>
        <v>0</v>
      </c>
    </row>
    <row r="213" spans="1:9" x14ac:dyDescent="0.2">
      <c r="A213" s="43" t="s">
        <v>1236</v>
      </c>
      <c r="B213" s="314" t="s">
        <v>77</v>
      </c>
      <c r="C213" s="430"/>
      <c r="D213" s="71"/>
      <c r="E213" s="71" t="s">
        <v>1920</v>
      </c>
      <c r="F213" s="523"/>
      <c r="G213" s="33">
        <v>1</v>
      </c>
      <c r="H213" s="543"/>
      <c r="I213" s="559">
        <f t="shared" si="3"/>
        <v>0</v>
      </c>
    </row>
    <row r="214" spans="1:9" x14ac:dyDescent="0.2">
      <c r="A214" s="43" t="s">
        <v>1235</v>
      </c>
      <c r="B214" s="314" t="s">
        <v>78</v>
      </c>
      <c r="C214" s="430"/>
      <c r="D214" s="71"/>
      <c r="E214" s="71" t="s">
        <v>1920</v>
      </c>
      <c r="F214" s="523"/>
      <c r="G214" s="33">
        <v>1</v>
      </c>
      <c r="H214" s="543"/>
      <c r="I214" s="559">
        <f t="shared" si="3"/>
        <v>0</v>
      </c>
    </row>
    <row r="215" spans="1:9" x14ac:dyDescent="0.2">
      <c r="A215" s="43" t="s">
        <v>1237</v>
      </c>
      <c r="B215" s="314" t="s">
        <v>306</v>
      </c>
      <c r="C215" s="430"/>
      <c r="D215" s="71"/>
      <c r="E215" s="71" t="s">
        <v>1920</v>
      </c>
      <c r="F215" s="523"/>
      <c r="G215" s="33">
        <v>1</v>
      </c>
      <c r="H215" s="543"/>
      <c r="I215" s="559">
        <f t="shared" si="3"/>
        <v>0</v>
      </c>
    </row>
    <row r="216" spans="1:9" x14ac:dyDescent="0.2">
      <c r="A216" s="43" t="s">
        <v>1169</v>
      </c>
      <c r="B216" s="314" t="s">
        <v>436</v>
      </c>
      <c r="C216" s="430"/>
      <c r="D216" s="71"/>
      <c r="E216" s="71" t="s">
        <v>1920</v>
      </c>
      <c r="F216" s="430"/>
      <c r="G216" s="33">
        <v>2</v>
      </c>
      <c r="H216" s="543"/>
      <c r="I216" s="559">
        <f t="shared" si="3"/>
        <v>0</v>
      </c>
    </row>
    <row r="217" spans="1:9" x14ac:dyDescent="0.2">
      <c r="A217" s="43" t="s">
        <v>1345</v>
      </c>
      <c r="B217" s="314" t="s">
        <v>79</v>
      </c>
      <c r="C217" s="430"/>
      <c r="D217" s="71"/>
      <c r="E217" s="71" t="s">
        <v>1920</v>
      </c>
      <c r="F217" s="457"/>
      <c r="G217" s="33">
        <v>1</v>
      </c>
      <c r="H217" s="543"/>
      <c r="I217" s="559">
        <f t="shared" si="3"/>
        <v>0</v>
      </c>
    </row>
    <row r="218" spans="1:9" x14ac:dyDescent="0.2">
      <c r="A218" s="43" t="s">
        <v>1232</v>
      </c>
      <c r="B218" s="314" t="s">
        <v>76</v>
      </c>
      <c r="C218" s="430"/>
      <c r="D218" s="71"/>
      <c r="E218" s="71" t="s">
        <v>1920</v>
      </c>
      <c r="F218" s="523"/>
      <c r="G218" s="33">
        <v>1</v>
      </c>
      <c r="H218" s="543"/>
      <c r="I218" s="559">
        <f t="shared" si="3"/>
        <v>0</v>
      </c>
    </row>
    <row r="219" spans="1:9" x14ac:dyDescent="0.2">
      <c r="A219" s="43" t="s">
        <v>15</v>
      </c>
      <c r="B219" s="314" t="s">
        <v>380</v>
      </c>
      <c r="C219" s="430"/>
      <c r="D219" s="71"/>
      <c r="E219" s="71" t="s">
        <v>1920</v>
      </c>
      <c r="F219" s="523"/>
      <c r="G219" s="33">
        <v>1</v>
      </c>
      <c r="H219" s="543"/>
      <c r="I219" s="559">
        <f t="shared" si="3"/>
        <v>0</v>
      </c>
    </row>
    <row r="220" spans="1:9" x14ac:dyDescent="0.2">
      <c r="A220" s="43" t="s">
        <v>1036</v>
      </c>
      <c r="B220" s="314" t="s">
        <v>468</v>
      </c>
      <c r="C220" s="430"/>
      <c r="D220" s="71"/>
      <c r="E220" s="71" t="s">
        <v>1920</v>
      </c>
      <c r="F220" s="523"/>
      <c r="G220" s="33">
        <v>1</v>
      </c>
      <c r="H220" s="543"/>
      <c r="I220" s="559">
        <f t="shared" si="3"/>
        <v>0</v>
      </c>
    </row>
    <row r="221" spans="1:9" x14ac:dyDescent="0.2">
      <c r="A221" s="43" t="s">
        <v>1444</v>
      </c>
      <c r="B221" s="314" t="s">
        <v>874</v>
      </c>
      <c r="C221" s="430"/>
      <c r="D221" s="71"/>
      <c r="E221" s="71" t="s">
        <v>1920</v>
      </c>
      <c r="F221" s="523"/>
      <c r="G221" s="33">
        <v>1</v>
      </c>
      <c r="H221" s="543"/>
      <c r="I221" s="559">
        <f t="shared" si="3"/>
        <v>0</v>
      </c>
    </row>
    <row r="222" spans="1:9" x14ac:dyDescent="0.2">
      <c r="A222" s="43" t="s">
        <v>3153</v>
      </c>
      <c r="B222" s="314" t="s">
        <v>2124</v>
      </c>
      <c r="C222" s="430"/>
      <c r="D222" s="71"/>
      <c r="E222" s="71">
        <v>55719</v>
      </c>
      <c r="F222" s="523"/>
      <c r="G222" s="33">
        <v>1</v>
      </c>
      <c r="H222" s="543"/>
      <c r="I222" s="559">
        <f t="shared" si="3"/>
        <v>0</v>
      </c>
    </row>
    <row r="223" spans="1:9" x14ac:dyDescent="0.2">
      <c r="A223" s="43" t="s">
        <v>1090</v>
      </c>
      <c r="B223" s="314">
        <v>56707</v>
      </c>
      <c r="C223" s="430"/>
      <c r="D223" s="71"/>
      <c r="E223" s="71">
        <v>25795</v>
      </c>
      <c r="F223" s="523"/>
      <c r="G223" s="33">
        <v>1</v>
      </c>
      <c r="H223" s="543"/>
      <c r="I223" s="559">
        <f t="shared" si="3"/>
        <v>0</v>
      </c>
    </row>
    <row r="224" spans="1:9" x14ac:dyDescent="0.2">
      <c r="A224" s="43" t="s">
        <v>3131</v>
      </c>
      <c r="B224" s="314" t="s">
        <v>2126</v>
      </c>
      <c r="C224" s="430"/>
      <c r="D224" s="71"/>
      <c r="E224" s="71" t="s">
        <v>1942</v>
      </c>
      <c r="F224" s="523"/>
      <c r="G224" s="33">
        <v>1</v>
      </c>
      <c r="H224" s="543"/>
      <c r="I224" s="559">
        <f t="shared" si="3"/>
        <v>0</v>
      </c>
    </row>
    <row r="225" spans="1:9" x14ac:dyDescent="0.2">
      <c r="A225" s="43" t="s">
        <v>20</v>
      </c>
      <c r="B225" s="314" t="s">
        <v>287</v>
      </c>
      <c r="C225" s="430"/>
      <c r="D225" s="71"/>
      <c r="E225" s="71" t="s">
        <v>1920</v>
      </c>
      <c r="F225" s="523"/>
      <c r="G225" s="33">
        <v>1</v>
      </c>
      <c r="H225" s="543"/>
      <c r="I225" s="559">
        <f t="shared" si="3"/>
        <v>0</v>
      </c>
    </row>
    <row r="226" spans="1:9" x14ac:dyDescent="0.2">
      <c r="A226" s="43" t="s">
        <v>13</v>
      </c>
      <c r="B226" s="314" t="s">
        <v>471</v>
      </c>
      <c r="C226" s="430"/>
      <c r="D226" s="71"/>
      <c r="E226" s="71" t="s">
        <v>1920</v>
      </c>
      <c r="F226" s="523"/>
      <c r="G226" s="33">
        <v>1</v>
      </c>
      <c r="H226" s="543"/>
      <c r="I226" s="559">
        <f t="shared" si="3"/>
        <v>0</v>
      </c>
    </row>
    <row r="227" spans="1:9" x14ac:dyDescent="0.2">
      <c r="A227" s="43" t="s">
        <v>5</v>
      </c>
      <c r="B227" s="314" t="s">
        <v>466</v>
      </c>
      <c r="C227" s="430"/>
      <c r="D227" s="71"/>
      <c r="E227" s="71" t="s">
        <v>1920</v>
      </c>
      <c r="F227" s="523"/>
      <c r="G227" s="33">
        <v>1</v>
      </c>
      <c r="H227" s="543"/>
      <c r="I227" s="559">
        <f t="shared" si="3"/>
        <v>0</v>
      </c>
    </row>
    <row r="228" spans="1:9" x14ac:dyDescent="0.2">
      <c r="A228" s="43" t="s">
        <v>11</v>
      </c>
      <c r="B228" s="314" t="s">
        <v>278</v>
      </c>
      <c r="C228" s="430"/>
      <c r="D228" s="71"/>
      <c r="E228" s="71" t="s">
        <v>1920</v>
      </c>
      <c r="F228" s="523"/>
      <c r="G228" s="33">
        <v>1</v>
      </c>
      <c r="H228" s="543"/>
      <c r="I228" s="559">
        <f t="shared" si="3"/>
        <v>0</v>
      </c>
    </row>
    <row r="229" spans="1:9" s="134" customFormat="1" x14ac:dyDescent="0.2">
      <c r="A229" s="43" t="s">
        <v>12</v>
      </c>
      <c r="B229" s="314" t="s">
        <v>171</v>
      </c>
      <c r="C229" s="430"/>
      <c r="D229" s="71"/>
      <c r="E229" s="71" t="s">
        <v>1920</v>
      </c>
      <c r="F229" s="523"/>
      <c r="G229" s="33">
        <v>1</v>
      </c>
      <c r="H229" s="543"/>
      <c r="I229" s="559">
        <f t="shared" si="3"/>
        <v>0</v>
      </c>
    </row>
    <row r="230" spans="1:9" x14ac:dyDescent="0.2">
      <c r="A230" s="43" t="s">
        <v>2116</v>
      </c>
      <c r="B230" s="314" t="s">
        <v>2912</v>
      </c>
      <c r="C230" s="430"/>
      <c r="D230" s="71"/>
      <c r="E230" s="71" t="s">
        <v>1920</v>
      </c>
      <c r="F230" s="523"/>
      <c r="G230" s="33">
        <v>1</v>
      </c>
      <c r="H230" s="543"/>
      <c r="I230" s="559">
        <f t="shared" si="3"/>
        <v>0</v>
      </c>
    </row>
    <row r="231" spans="1:9" x14ac:dyDescent="0.2">
      <c r="A231" s="43" t="s">
        <v>2116</v>
      </c>
      <c r="B231" s="314" t="s">
        <v>2735</v>
      </c>
      <c r="C231" s="430"/>
      <c r="D231" s="71"/>
      <c r="E231" s="71" t="s">
        <v>1920</v>
      </c>
      <c r="F231" s="523"/>
      <c r="G231" s="33">
        <v>1</v>
      </c>
      <c r="H231" s="543"/>
      <c r="I231" s="559">
        <f t="shared" si="3"/>
        <v>0</v>
      </c>
    </row>
    <row r="232" spans="1:9" x14ac:dyDescent="0.2">
      <c r="A232" s="43" t="s">
        <v>1678</v>
      </c>
      <c r="B232" s="314" t="s">
        <v>494</v>
      </c>
      <c r="C232" s="430"/>
      <c r="D232" s="71"/>
      <c r="E232" s="71" t="s">
        <v>1920</v>
      </c>
      <c r="F232" s="523"/>
      <c r="G232" s="33">
        <v>1</v>
      </c>
      <c r="H232" s="543" t="s">
        <v>3366</v>
      </c>
      <c r="I232" s="559"/>
    </row>
    <row r="233" spans="1:9" x14ac:dyDescent="0.2">
      <c r="A233" s="43" t="s">
        <v>1427</v>
      </c>
      <c r="B233" s="314" t="s">
        <v>836</v>
      </c>
      <c r="C233" s="430"/>
      <c r="D233" s="71"/>
      <c r="E233" s="71" t="s">
        <v>1920</v>
      </c>
      <c r="F233" s="523"/>
      <c r="G233" s="33">
        <v>1</v>
      </c>
      <c r="H233" s="543"/>
      <c r="I233" s="559">
        <f t="shared" si="3"/>
        <v>0</v>
      </c>
    </row>
    <row r="234" spans="1:9" x14ac:dyDescent="0.2">
      <c r="A234" s="43" t="s">
        <v>1591</v>
      </c>
      <c r="B234" s="314" t="s">
        <v>516</v>
      </c>
      <c r="C234" s="430"/>
      <c r="D234" s="71"/>
      <c r="E234" s="71" t="s">
        <v>1920</v>
      </c>
      <c r="F234" s="523"/>
      <c r="G234" s="33">
        <v>1</v>
      </c>
      <c r="H234" s="543"/>
      <c r="I234" s="559">
        <f t="shared" si="3"/>
        <v>0</v>
      </c>
    </row>
    <row r="235" spans="1:9" x14ac:dyDescent="0.2">
      <c r="A235" s="43" t="s">
        <v>1164</v>
      </c>
      <c r="B235" s="314" t="s">
        <v>830</v>
      </c>
      <c r="C235" s="430"/>
      <c r="D235" s="71"/>
      <c r="E235" s="71" t="s">
        <v>1920</v>
      </c>
      <c r="F235" s="523"/>
      <c r="G235" s="33">
        <v>1</v>
      </c>
      <c r="H235" s="543"/>
      <c r="I235" s="559">
        <f t="shared" si="3"/>
        <v>0</v>
      </c>
    </row>
    <row r="236" spans="1:9" s="134" customFormat="1" x14ac:dyDescent="0.2">
      <c r="A236" s="43" t="s">
        <v>1593</v>
      </c>
      <c r="B236" s="314" t="s">
        <v>837</v>
      </c>
      <c r="C236" s="430"/>
      <c r="D236" s="71"/>
      <c r="E236" s="71" t="s">
        <v>1920</v>
      </c>
      <c r="F236" s="523"/>
      <c r="G236" s="33">
        <v>1</v>
      </c>
      <c r="H236" s="543"/>
      <c r="I236" s="559">
        <f t="shared" si="3"/>
        <v>0</v>
      </c>
    </row>
    <row r="237" spans="1:9" s="134" customFormat="1" x14ac:dyDescent="0.2">
      <c r="A237" s="43" t="s">
        <v>1594</v>
      </c>
      <c r="B237" s="314" t="s">
        <v>831</v>
      </c>
      <c r="C237" s="430"/>
      <c r="D237" s="71"/>
      <c r="E237" s="71" t="s">
        <v>1920</v>
      </c>
      <c r="F237" s="523"/>
      <c r="G237" s="33">
        <v>1</v>
      </c>
      <c r="H237" s="543"/>
      <c r="I237" s="559">
        <f t="shared" si="3"/>
        <v>0</v>
      </c>
    </row>
    <row r="238" spans="1:9" s="134" customFormat="1" x14ac:dyDescent="0.2">
      <c r="A238" s="43" t="s">
        <v>68</v>
      </c>
      <c r="B238" s="314" t="s">
        <v>832</v>
      </c>
      <c r="C238" s="430"/>
      <c r="D238" s="71"/>
      <c r="E238" s="71" t="s">
        <v>1920</v>
      </c>
      <c r="F238" s="523"/>
      <c r="G238" s="33">
        <v>1</v>
      </c>
      <c r="H238" s="543"/>
      <c r="I238" s="559">
        <f t="shared" si="3"/>
        <v>0</v>
      </c>
    </row>
    <row r="239" spans="1:9" s="134" customFormat="1" x14ac:dyDescent="0.2">
      <c r="A239" s="43" t="s">
        <v>3152</v>
      </c>
      <c r="B239" s="314" t="s">
        <v>1708</v>
      </c>
      <c r="C239" s="430"/>
      <c r="D239" s="71"/>
      <c r="E239" s="71">
        <v>55719</v>
      </c>
      <c r="F239" s="430"/>
      <c r="G239" s="33">
        <v>1</v>
      </c>
      <c r="H239" s="543"/>
      <c r="I239" s="559">
        <f t="shared" si="3"/>
        <v>0</v>
      </c>
    </row>
    <row r="240" spans="1:9" x14ac:dyDescent="0.2">
      <c r="A240" s="43" t="s">
        <v>4</v>
      </c>
      <c r="B240" s="314" t="s">
        <v>90</v>
      </c>
      <c r="C240" s="430"/>
      <c r="D240" s="71"/>
      <c r="E240" s="71" t="s">
        <v>1920</v>
      </c>
      <c r="F240" s="457"/>
      <c r="G240" s="33">
        <v>1</v>
      </c>
      <c r="H240" s="543"/>
      <c r="I240" s="580">
        <f>+G240*H240</f>
        <v>0</v>
      </c>
    </row>
    <row r="241" spans="1:9" s="251" customFormat="1" x14ac:dyDescent="0.2">
      <c r="A241" s="245" t="s">
        <v>101</v>
      </c>
      <c r="B241" s="314" t="s">
        <v>509</v>
      </c>
      <c r="C241" s="430"/>
      <c r="D241" s="248"/>
      <c r="E241" s="248" t="s">
        <v>1920</v>
      </c>
      <c r="F241" s="523"/>
      <c r="G241" s="244">
        <v>1</v>
      </c>
      <c r="H241" s="543"/>
      <c r="I241" s="559">
        <f t="shared" si="3"/>
        <v>0</v>
      </c>
    </row>
    <row r="242" spans="1:9" x14ac:dyDescent="0.2">
      <c r="A242" s="245" t="s">
        <v>2115</v>
      </c>
      <c r="B242" s="314" t="s">
        <v>2724</v>
      </c>
      <c r="C242" s="430"/>
      <c r="D242" s="314"/>
      <c r="E242" s="314" t="s">
        <v>1920</v>
      </c>
      <c r="F242" s="523"/>
      <c r="G242" s="244">
        <v>1</v>
      </c>
      <c r="H242" s="543"/>
      <c r="I242" s="559">
        <f t="shared" si="3"/>
        <v>0</v>
      </c>
    </row>
    <row r="243" spans="1:9" x14ac:dyDescent="0.2">
      <c r="A243" s="245" t="s">
        <v>2115</v>
      </c>
      <c r="B243" s="314" t="s">
        <v>2725</v>
      </c>
      <c r="C243" s="430"/>
      <c r="D243" s="314"/>
      <c r="E243" s="314" t="s">
        <v>1920</v>
      </c>
      <c r="F243" s="523"/>
      <c r="G243" s="244">
        <v>1</v>
      </c>
      <c r="H243" s="543"/>
      <c r="I243" s="559">
        <f t="shared" si="3"/>
        <v>0</v>
      </c>
    </row>
    <row r="244" spans="1:9" x14ac:dyDescent="0.2">
      <c r="A244" s="81"/>
      <c r="I244" s="519">
        <f>SUM(I2:I243)</f>
        <v>0</v>
      </c>
    </row>
    <row r="245" spans="1:9" s="4" customFormat="1" ht="18" x14ac:dyDescent="0.25">
      <c r="A245" s="422" t="s">
        <v>1787</v>
      </c>
      <c r="B245" s="425"/>
      <c r="C245" s="309"/>
      <c r="D245" s="3"/>
      <c r="E245" s="3"/>
      <c r="F245" s="309"/>
      <c r="G245" s="3"/>
      <c r="H245" s="531"/>
      <c r="I245" s="541"/>
    </row>
    <row r="246" spans="1:9" s="4" customFormat="1" ht="18" x14ac:dyDescent="0.25">
      <c r="A246" s="422" t="s">
        <v>2941</v>
      </c>
      <c r="B246" s="425"/>
      <c r="C246" s="309"/>
      <c r="D246" s="3"/>
      <c r="E246" s="3"/>
      <c r="F246" s="309"/>
      <c r="G246" s="3"/>
      <c r="H246" s="531"/>
      <c r="I246" s="541"/>
    </row>
    <row r="247" spans="1:9" ht="18" x14ac:dyDescent="0.25">
      <c r="A247" s="423" t="s">
        <v>3360</v>
      </c>
      <c r="B247" s="245"/>
    </row>
    <row r="248" spans="1:9" ht="18" x14ac:dyDescent="0.25">
      <c r="A248" s="434" t="s">
        <v>3367</v>
      </c>
      <c r="B248" s="550">
        <f>+I244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workbookViewId="0">
      <pane ySplit="1" topLeftCell="A2" activePane="bottomLeft" state="frozen"/>
      <selection activeCell="C26" sqref="C26"/>
      <selection pane="bottomLeft" activeCell="G11" sqref="G2:G11"/>
    </sheetView>
  </sheetViews>
  <sheetFormatPr defaultColWidth="9.140625" defaultRowHeight="15" x14ac:dyDescent="0.2"/>
  <cols>
    <col min="1" max="1" width="60.5703125" style="17" bestFit="1" customWidth="1"/>
    <col min="2" max="2" width="15.85546875" style="17" bestFit="1" customWidth="1"/>
    <col min="3" max="3" width="20.42578125" style="17" bestFit="1" customWidth="1"/>
    <col min="4" max="4" width="20.140625" style="17" bestFit="1" customWidth="1"/>
    <col min="5" max="5" width="26.42578125" style="17" bestFit="1" customWidth="1"/>
    <col min="6" max="6" width="26.42578125" style="17" customWidth="1"/>
    <col min="7" max="7" width="11" style="17" customWidth="1"/>
    <col min="8" max="8" width="11.42578125" style="16" bestFit="1" customWidth="1"/>
    <col min="9" max="9" width="16.85546875" style="16" bestFit="1" customWidth="1"/>
    <col min="10" max="16384" width="9.140625" style="16"/>
  </cols>
  <sheetData>
    <row r="1" spans="1:9" ht="15.75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13" t="s">
        <v>412</v>
      </c>
      <c r="H1" s="441" t="s">
        <v>3368</v>
      </c>
      <c r="I1" s="418" t="s">
        <v>3369</v>
      </c>
    </row>
    <row r="2" spans="1:9" ht="15" customHeight="1" x14ac:dyDescent="0.2">
      <c r="A2" s="155" t="s">
        <v>1551</v>
      </c>
      <c r="B2" s="9" t="s">
        <v>739</v>
      </c>
      <c r="C2" s="430"/>
      <c r="D2" s="9"/>
      <c r="E2" s="9" t="s">
        <v>1920</v>
      </c>
      <c r="F2" s="523"/>
      <c r="G2" s="15">
        <v>5</v>
      </c>
      <c r="H2" s="546"/>
      <c r="I2" s="547">
        <f>+G2*H2</f>
        <v>0</v>
      </c>
    </row>
    <row r="3" spans="1:9" x14ac:dyDescent="0.2">
      <c r="A3" s="155" t="s">
        <v>1549</v>
      </c>
      <c r="B3" s="9" t="s">
        <v>741</v>
      </c>
      <c r="C3" s="430"/>
      <c r="D3" s="9"/>
      <c r="E3" s="9" t="s">
        <v>1920</v>
      </c>
      <c r="F3" s="523"/>
      <c r="G3" s="15">
        <v>5</v>
      </c>
      <c r="H3" s="546"/>
      <c r="I3" s="547">
        <f t="shared" ref="I3:I11" si="0">+G3*H3</f>
        <v>0</v>
      </c>
    </row>
    <row r="4" spans="1:9" x14ac:dyDescent="0.2">
      <c r="A4" s="155" t="s">
        <v>1550</v>
      </c>
      <c r="B4" s="9" t="s">
        <v>740</v>
      </c>
      <c r="C4" s="430"/>
      <c r="D4" s="9"/>
      <c r="E4" s="9" t="s">
        <v>1920</v>
      </c>
      <c r="F4" s="523"/>
      <c r="G4" s="15">
        <v>5</v>
      </c>
      <c r="H4" s="546"/>
      <c r="I4" s="547">
        <f t="shared" si="0"/>
        <v>0</v>
      </c>
    </row>
    <row r="5" spans="1:9" ht="15" customHeight="1" x14ac:dyDescent="0.2">
      <c r="A5" s="155" t="s">
        <v>1554</v>
      </c>
      <c r="B5" s="9" t="s">
        <v>743</v>
      </c>
      <c r="C5" s="430"/>
      <c r="D5" s="9"/>
      <c r="E5" s="9" t="s">
        <v>1920</v>
      </c>
      <c r="F5" s="523"/>
      <c r="G5" s="15">
        <v>5</v>
      </c>
      <c r="H5" s="546"/>
      <c r="I5" s="547">
        <f t="shared" si="0"/>
        <v>0</v>
      </c>
    </row>
    <row r="6" spans="1:9" x14ac:dyDescent="0.2">
      <c r="A6" s="155" t="s">
        <v>1552</v>
      </c>
      <c r="B6" s="9" t="s">
        <v>742</v>
      </c>
      <c r="C6" s="430"/>
      <c r="D6" s="9"/>
      <c r="E6" s="9" t="s">
        <v>1920</v>
      </c>
      <c r="F6" s="523"/>
      <c r="G6" s="15">
        <v>5</v>
      </c>
      <c r="H6" s="546"/>
      <c r="I6" s="547">
        <f t="shared" si="0"/>
        <v>0</v>
      </c>
    </row>
    <row r="7" spans="1:9" x14ac:dyDescent="0.2">
      <c r="A7" s="155" t="s">
        <v>1547</v>
      </c>
      <c r="B7" s="9" t="s">
        <v>745</v>
      </c>
      <c r="C7" s="430"/>
      <c r="D7" s="9"/>
      <c r="E7" s="9" t="s">
        <v>1920</v>
      </c>
      <c r="F7" s="523"/>
      <c r="G7" s="15">
        <v>5</v>
      </c>
      <c r="H7" s="546"/>
      <c r="I7" s="547">
        <f t="shared" si="0"/>
        <v>0</v>
      </c>
    </row>
    <row r="8" spans="1:9" x14ac:dyDescent="0.2">
      <c r="A8" s="155" t="s">
        <v>1553</v>
      </c>
      <c r="B8" s="9" t="s">
        <v>1120</v>
      </c>
      <c r="C8" s="430"/>
      <c r="D8" s="9"/>
      <c r="E8" s="9" t="s">
        <v>1920</v>
      </c>
      <c r="F8" s="523"/>
      <c r="G8" s="15">
        <v>5</v>
      </c>
      <c r="H8" s="546"/>
      <c r="I8" s="547">
        <f t="shared" si="0"/>
        <v>0</v>
      </c>
    </row>
    <row r="9" spans="1:9" x14ac:dyDescent="0.2">
      <c r="A9" s="155" t="s">
        <v>1548</v>
      </c>
      <c r="B9" s="9" t="s">
        <v>744</v>
      </c>
      <c r="C9" s="430"/>
      <c r="D9" s="9"/>
      <c r="E9" s="9" t="s">
        <v>1920</v>
      </c>
      <c r="F9" s="523"/>
      <c r="G9" s="15">
        <v>5</v>
      </c>
      <c r="H9" s="546"/>
      <c r="I9" s="547">
        <f t="shared" si="0"/>
        <v>0</v>
      </c>
    </row>
    <row r="10" spans="1:9" x14ac:dyDescent="0.2">
      <c r="A10" s="313" t="s">
        <v>3018</v>
      </c>
      <c r="B10" s="9" t="s">
        <v>3019</v>
      </c>
      <c r="C10" s="430"/>
      <c r="D10" s="9"/>
      <c r="E10" s="9" t="s">
        <v>3020</v>
      </c>
      <c r="F10" s="523"/>
      <c r="G10" s="15">
        <v>1</v>
      </c>
      <c r="H10" s="546"/>
      <c r="I10" s="547">
        <f t="shared" si="0"/>
        <v>0</v>
      </c>
    </row>
    <row r="11" spans="1:9" x14ac:dyDescent="0.2">
      <c r="A11" s="155" t="s">
        <v>195</v>
      </c>
      <c r="B11" s="9" t="s">
        <v>1984</v>
      </c>
      <c r="C11" s="430"/>
      <c r="D11" s="9"/>
      <c r="E11" s="9" t="s">
        <v>1920</v>
      </c>
      <c r="F11" s="523"/>
      <c r="G11" s="15">
        <v>2</v>
      </c>
      <c r="H11" s="546"/>
      <c r="I11" s="547">
        <f t="shared" si="0"/>
        <v>0</v>
      </c>
    </row>
    <row r="12" spans="1:9" x14ac:dyDescent="0.2">
      <c r="H12" s="549"/>
      <c r="I12" s="549">
        <f>SUM(I2:I11)</f>
        <v>0</v>
      </c>
    </row>
    <row r="14" spans="1:9" s="4" customFormat="1" ht="18" x14ac:dyDescent="0.25">
      <c r="A14" s="422" t="s">
        <v>2183</v>
      </c>
      <c r="B14" s="425"/>
      <c r="C14" s="309"/>
      <c r="D14" s="3"/>
      <c r="E14" s="3"/>
      <c r="F14" s="309"/>
      <c r="G14" s="3"/>
      <c r="H14" s="39"/>
    </row>
    <row r="15" spans="1:9" s="4" customFormat="1" ht="18" x14ac:dyDescent="0.25">
      <c r="A15" s="422" t="s">
        <v>2935</v>
      </c>
      <c r="B15" s="425"/>
      <c r="C15" s="309"/>
      <c r="D15" s="3"/>
      <c r="E15" s="3"/>
      <c r="F15" s="309"/>
      <c r="G15" s="3"/>
      <c r="H15" s="39"/>
    </row>
    <row r="16" spans="1:9" ht="18" x14ac:dyDescent="0.25">
      <c r="A16" s="423" t="s">
        <v>3359</v>
      </c>
      <c r="B16" s="312"/>
    </row>
    <row r="17" spans="1:2" ht="18" x14ac:dyDescent="0.25">
      <c r="A17" s="434" t="s">
        <v>3367</v>
      </c>
      <c r="B17" s="550">
        <f>+I12</f>
        <v>0</v>
      </c>
    </row>
  </sheetData>
  <pageMargins left="0.5" right="0.5" top="0.5" bottom="0.5" header="0.3" footer="0.3"/>
  <pageSetup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40"/>
  <sheetViews>
    <sheetView workbookViewId="0">
      <pane ySplit="1" topLeftCell="A2" activePane="bottomLeft" state="frozen"/>
      <selection activeCell="C26" sqref="C26"/>
      <selection pane="bottomLeft" activeCell="G31" sqref="G2:G31"/>
    </sheetView>
  </sheetViews>
  <sheetFormatPr defaultColWidth="9.140625" defaultRowHeight="15" x14ac:dyDescent="0.2"/>
  <cols>
    <col min="1" max="1" width="63.85546875" style="45" bestFit="1" customWidth="1"/>
    <col min="2" max="2" width="15.85546875" style="45" bestFit="1" customWidth="1"/>
    <col min="3" max="3" width="20.42578125" style="45" bestFit="1" customWidth="1"/>
    <col min="4" max="4" width="20.140625" style="45" bestFit="1" customWidth="1"/>
    <col min="5" max="5" width="12.42578125" style="45" bestFit="1" customWidth="1"/>
    <col min="6" max="6" width="15.5703125" style="45" bestFit="1" customWidth="1"/>
    <col min="7" max="7" width="11.85546875" style="45" customWidth="1"/>
    <col min="8" max="8" width="11.42578125" style="542" bestFit="1" customWidth="1"/>
    <col min="9" max="9" width="16.85546875" style="542" bestFit="1" customWidth="1"/>
    <col min="10" max="16384" width="9.140625" style="45"/>
  </cols>
  <sheetData>
    <row r="1" spans="1:9" ht="15.75" x14ac:dyDescent="0.25">
      <c r="A1" s="2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24" t="s">
        <v>412</v>
      </c>
      <c r="H1" s="528" t="s">
        <v>3368</v>
      </c>
      <c r="I1" s="539" t="s">
        <v>3369</v>
      </c>
    </row>
    <row r="2" spans="1:9" x14ac:dyDescent="0.2">
      <c r="A2" s="25" t="s">
        <v>1125</v>
      </c>
      <c r="B2" s="82">
        <v>8130020</v>
      </c>
      <c r="C2" s="523"/>
      <c r="D2" s="82"/>
      <c r="E2" s="82">
        <v>8130020</v>
      </c>
      <c r="F2" s="523"/>
      <c r="G2" s="47">
        <v>1</v>
      </c>
      <c r="H2" s="529"/>
      <c r="I2" s="540">
        <f>+G2*H2</f>
        <v>0</v>
      </c>
    </row>
    <row r="3" spans="1:9" x14ac:dyDescent="0.2">
      <c r="A3" s="25" t="s">
        <v>1266</v>
      </c>
      <c r="B3" s="82" t="s">
        <v>1987</v>
      </c>
      <c r="C3" s="523"/>
      <c r="D3" s="82"/>
      <c r="E3" s="82">
        <v>55719</v>
      </c>
      <c r="F3" s="523"/>
      <c r="G3" s="47">
        <v>1</v>
      </c>
      <c r="H3" s="529"/>
      <c r="I3" s="540">
        <f t="shared" ref="I3:I31" si="0">+G3*H3</f>
        <v>0</v>
      </c>
    </row>
    <row r="4" spans="1:9" x14ac:dyDescent="0.2">
      <c r="A4" s="25" t="s">
        <v>1158</v>
      </c>
      <c r="B4" s="82" t="s">
        <v>512</v>
      </c>
      <c r="C4" s="523"/>
      <c r="D4" s="82"/>
      <c r="E4" s="82">
        <v>55719</v>
      </c>
      <c r="F4" s="523"/>
      <c r="G4" s="47">
        <v>1</v>
      </c>
      <c r="H4" s="529"/>
      <c r="I4" s="540">
        <f t="shared" si="0"/>
        <v>0</v>
      </c>
    </row>
    <row r="5" spans="1:9" x14ac:dyDescent="0.2">
      <c r="A5" s="25" t="s">
        <v>1154</v>
      </c>
      <c r="B5" s="82" t="s">
        <v>258</v>
      </c>
      <c r="C5" s="523"/>
      <c r="D5" s="82"/>
      <c r="E5" s="82">
        <v>55719</v>
      </c>
      <c r="F5" s="523"/>
      <c r="G5" s="47">
        <v>1</v>
      </c>
      <c r="H5" s="529"/>
      <c r="I5" s="540">
        <f t="shared" si="0"/>
        <v>0</v>
      </c>
    </row>
    <row r="6" spans="1:9" x14ac:dyDescent="0.2">
      <c r="A6" s="25" t="s">
        <v>1192</v>
      </c>
      <c r="B6" s="82" t="s">
        <v>94</v>
      </c>
      <c r="C6" s="523"/>
      <c r="D6" s="82"/>
      <c r="E6" s="82">
        <v>55719</v>
      </c>
      <c r="F6" s="523"/>
      <c r="G6" s="47">
        <v>1</v>
      </c>
      <c r="H6" s="529"/>
      <c r="I6" s="540">
        <f t="shared" si="0"/>
        <v>0</v>
      </c>
    </row>
    <row r="7" spans="1:9" x14ac:dyDescent="0.2">
      <c r="A7" s="25" t="s">
        <v>1038</v>
      </c>
      <c r="B7" s="82" t="s">
        <v>280</v>
      </c>
      <c r="C7" s="523"/>
      <c r="D7" s="82"/>
      <c r="E7" s="82">
        <v>55719</v>
      </c>
      <c r="F7" s="523"/>
      <c r="G7" s="47">
        <v>1</v>
      </c>
      <c r="H7" s="529"/>
      <c r="I7" s="540">
        <f t="shared" si="0"/>
        <v>0</v>
      </c>
    </row>
    <row r="8" spans="1:9" x14ac:dyDescent="0.2">
      <c r="A8" s="25" t="s">
        <v>111</v>
      </c>
      <c r="B8" s="82" t="s">
        <v>560</v>
      </c>
      <c r="C8" s="523"/>
      <c r="D8" s="82"/>
      <c r="E8" s="82">
        <v>55719</v>
      </c>
      <c r="F8" s="523"/>
      <c r="G8" s="47">
        <v>1</v>
      </c>
      <c r="H8" s="529"/>
      <c r="I8" s="540">
        <f t="shared" si="0"/>
        <v>0</v>
      </c>
    </row>
    <row r="9" spans="1:9" x14ac:dyDescent="0.2">
      <c r="A9" s="25" t="s">
        <v>6</v>
      </c>
      <c r="B9" s="82" t="s">
        <v>91</v>
      </c>
      <c r="C9" s="523"/>
      <c r="D9" s="82"/>
      <c r="E9" s="82">
        <v>55719</v>
      </c>
      <c r="F9" s="523"/>
      <c r="G9" s="47">
        <v>1</v>
      </c>
      <c r="H9" s="529"/>
      <c r="I9" s="540">
        <f t="shared" si="0"/>
        <v>0</v>
      </c>
    </row>
    <row r="10" spans="1:9" x14ac:dyDescent="0.2">
      <c r="A10" s="25" t="s">
        <v>1483</v>
      </c>
      <c r="B10" s="82" t="s">
        <v>2024</v>
      </c>
      <c r="C10" s="523"/>
      <c r="D10" s="82"/>
      <c r="E10" s="82">
        <v>55719</v>
      </c>
      <c r="F10" s="523"/>
      <c r="G10" s="47">
        <v>1</v>
      </c>
      <c r="H10" s="529"/>
      <c r="I10" s="540">
        <f t="shared" si="0"/>
        <v>0</v>
      </c>
    </row>
    <row r="11" spans="1:9" x14ac:dyDescent="0.2">
      <c r="A11" s="25" t="s">
        <v>1530</v>
      </c>
      <c r="B11" s="82" t="s">
        <v>568</v>
      </c>
      <c r="C11" s="523"/>
      <c r="D11" s="82"/>
      <c r="E11" s="82">
        <v>55719</v>
      </c>
      <c r="F11" s="523"/>
      <c r="G11" s="47">
        <v>1</v>
      </c>
      <c r="H11" s="529"/>
      <c r="I11" s="540">
        <f t="shared" si="0"/>
        <v>0</v>
      </c>
    </row>
    <row r="12" spans="1:9" x14ac:dyDescent="0.2">
      <c r="A12" s="25" t="s">
        <v>1494</v>
      </c>
      <c r="B12" s="82" t="s">
        <v>866</v>
      </c>
      <c r="C12" s="523"/>
      <c r="D12" s="252" t="s">
        <v>1889</v>
      </c>
      <c r="E12" s="252" t="s">
        <v>1951</v>
      </c>
      <c r="F12" s="523"/>
      <c r="G12" s="47">
        <v>1</v>
      </c>
      <c r="H12" s="529"/>
      <c r="I12" s="540">
        <f t="shared" si="0"/>
        <v>0</v>
      </c>
    </row>
    <row r="13" spans="1:9" x14ac:dyDescent="0.2">
      <c r="A13" s="25" t="s">
        <v>917</v>
      </c>
      <c r="B13" s="82" t="s">
        <v>916</v>
      </c>
      <c r="C13" s="523"/>
      <c r="D13" s="82" t="s">
        <v>1898</v>
      </c>
      <c r="E13" s="82">
        <v>55719</v>
      </c>
      <c r="F13" s="523"/>
      <c r="G13" s="47">
        <v>1</v>
      </c>
      <c r="H13" s="529"/>
      <c r="I13" s="540">
        <f t="shared" si="0"/>
        <v>0</v>
      </c>
    </row>
    <row r="14" spans="1:9" ht="30" x14ac:dyDescent="0.2">
      <c r="A14" s="25" t="s">
        <v>1275</v>
      </c>
      <c r="B14" s="82" t="s">
        <v>478</v>
      </c>
      <c r="C14" s="523"/>
      <c r="D14" s="82"/>
      <c r="E14" s="82" t="s">
        <v>1951</v>
      </c>
      <c r="F14" s="523"/>
      <c r="G14" s="47">
        <v>1</v>
      </c>
      <c r="H14" s="529"/>
      <c r="I14" s="540">
        <f t="shared" si="0"/>
        <v>0</v>
      </c>
    </row>
    <row r="15" spans="1:9" x14ac:dyDescent="0.2">
      <c r="A15" s="25" t="s">
        <v>1250</v>
      </c>
      <c r="B15" s="82" t="s">
        <v>462</v>
      </c>
      <c r="C15" s="523"/>
      <c r="D15" s="82"/>
      <c r="E15" s="82">
        <v>55719</v>
      </c>
      <c r="F15" s="523"/>
      <c r="G15" s="47">
        <v>1</v>
      </c>
      <c r="H15" s="529"/>
      <c r="I15" s="540">
        <f t="shared" si="0"/>
        <v>0</v>
      </c>
    </row>
    <row r="16" spans="1:9" x14ac:dyDescent="0.2">
      <c r="A16" s="25" t="s">
        <v>1252</v>
      </c>
      <c r="B16" s="82" t="s">
        <v>311</v>
      </c>
      <c r="C16" s="523"/>
      <c r="D16" s="82"/>
      <c r="E16" s="82">
        <v>55719</v>
      </c>
      <c r="F16" s="523"/>
      <c r="G16" s="47">
        <v>1</v>
      </c>
      <c r="H16" s="529"/>
      <c r="I16" s="540">
        <f t="shared" si="0"/>
        <v>0</v>
      </c>
    </row>
    <row r="17" spans="1:9" x14ac:dyDescent="0.2">
      <c r="A17" s="25" t="s">
        <v>1245</v>
      </c>
      <c r="B17" s="82" t="s">
        <v>662</v>
      </c>
      <c r="C17" s="523"/>
      <c r="D17" s="82"/>
      <c r="E17" s="82">
        <v>55719</v>
      </c>
      <c r="F17" s="523"/>
      <c r="G17" s="47">
        <v>1</v>
      </c>
      <c r="H17" s="529"/>
      <c r="I17" s="540">
        <f t="shared" si="0"/>
        <v>0</v>
      </c>
    </row>
    <row r="18" spans="1:9" x14ac:dyDescent="0.2">
      <c r="A18" s="25" t="s">
        <v>1253</v>
      </c>
      <c r="B18" s="82" t="s">
        <v>315</v>
      </c>
      <c r="C18" s="523"/>
      <c r="D18" s="82"/>
      <c r="E18" s="82">
        <v>55719</v>
      </c>
      <c r="F18" s="523"/>
      <c r="G18" s="47">
        <v>1</v>
      </c>
      <c r="H18" s="529"/>
      <c r="I18" s="540">
        <f t="shared" si="0"/>
        <v>0</v>
      </c>
    </row>
    <row r="19" spans="1:9" x14ac:dyDescent="0.2">
      <c r="A19" s="25" t="s">
        <v>1251</v>
      </c>
      <c r="B19" s="82" t="s">
        <v>81</v>
      </c>
      <c r="C19" s="523"/>
      <c r="D19" s="82"/>
      <c r="E19" s="82">
        <v>55719</v>
      </c>
      <c r="F19" s="523"/>
      <c r="G19" s="47">
        <v>1</v>
      </c>
      <c r="H19" s="529"/>
      <c r="I19" s="540">
        <f t="shared" si="0"/>
        <v>0</v>
      </c>
    </row>
    <row r="20" spans="1:9" x14ac:dyDescent="0.2">
      <c r="A20" s="25" t="s">
        <v>1247</v>
      </c>
      <c r="B20" s="82" t="s">
        <v>443</v>
      </c>
      <c r="C20" s="523"/>
      <c r="D20" s="82"/>
      <c r="E20" s="82">
        <v>55719</v>
      </c>
      <c r="F20" s="523"/>
      <c r="G20" s="47">
        <v>1</v>
      </c>
      <c r="H20" s="529"/>
      <c r="I20" s="540">
        <f t="shared" si="0"/>
        <v>0</v>
      </c>
    </row>
    <row r="21" spans="1:9" x14ac:dyDescent="0.2">
      <c r="A21" s="25" t="s">
        <v>1175</v>
      </c>
      <c r="B21" s="82" t="s">
        <v>310</v>
      </c>
      <c r="C21" s="523"/>
      <c r="D21" s="82"/>
      <c r="E21" s="82">
        <v>55719</v>
      </c>
      <c r="F21" s="523"/>
      <c r="G21" s="47">
        <v>1</v>
      </c>
      <c r="H21" s="529"/>
      <c r="I21" s="540">
        <f t="shared" si="0"/>
        <v>0</v>
      </c>
    </row>
    <row r="22" spans="1:9" x14ac:dyDescent="0.2">
      <c r="A22" s="25" t="s">
        <v>1248</v>
      </c>
      <c r="B22" s="82" t="s">
        <v>444</v>
      </c>
      <c r="C22" s="523"/>
      <c r="D22" s="82"/>
      <c r="E22" s="82">
        <v>55719</v>
      </c>
      <c r="F22" s="523"/>
      <c r="G22" s="47">
        <v>1</v>
      </c>
      <c r="H22" s="529"/>
      <c r="I22" s="540">
        <f t="shared" si="0"/>
        <v>0</v>
      </c>
    </row>
    <row r="23" spans="1:9" x14ac:dyDescent="0.2">
      <c r="A23" s="25" t="s">
        <v>1173</v>
      </c>
      <c r="B23" s="82" t="s">
        <v>313</v>
      </c>
      <c r="C23" s="523"/>
      <c r="D23" s="82"/>
      <c r="E23" s="82">
        <v>55719</v>
      </c>
      <c r="F23" s="523"/>
      <c r="G23" s="47">
        <v>1</v>
      </c>
      <c r="H23" s="529"/>
      <c r="I23" s="540">
        <f t="shared" si="0"/>
        <v>0</v>
      </c>
    </row>
    <row r="24" spans="1:9" x14ac:dyDescent="0.2">
      <c r="A24" s="25" t="s">
        <v>1427</v>
      </c>
      <c r="B24" s="82" t="s">
        <v>581</v>
      </c>
      <c r="C24" s="523"/>
      <c r="D24" s="82"/>
      <c r="E24" s="82">
        <v>55719</v>
      </c>
      <c r="F24" s="523"/>
      <c r="G24" s="47">
        <v>1</v>
      </c>
      <c r="H24" s="529"/>
      <c r="I24" s="540">
        <f t="shared" si="0"/>
        <v>0</v>
      </c>
    </row>
    <row r="25" spans="1:9" x14ac:dyDescent="0.2">
      <c r="A25" s="25" t="s">
        <v>1163</v>
      </c>
      <c r="B25" s="82" t="s">
        <v>239</v>
      </c>
      <c r="C25" s="523"/>
      <c r="D25" s="82"/>
      <c r="E25" s="82">
        <v>55719</v>
      </c>
      <c r="F25" s="523"/>
      <c r="G25" s="47">
        <v>1</v>
      </c>
      <c r="H25" s="529"/>
      <c r="I25" s="540">
        <f t="shared" si="0"/>
        <v>0</v>
      </c>
    </row>
    <row r="26" spans="1:9" x14ac:dyDescent="0.2">
      <c r="A26" s="25" t="s">
        <v>1164</v>
      </c>
      <c r="B26" s="82" t="s">
        <v>580</v>
      </c>
      <c r="C26" s="523"/>
      <c r="D26" s="82"/>
      <c r="E26" s="82">
        <v>55719</v>
      </c>
      <c r="F26" s="523"/>
      <c r="G26" s="47">
        <v>1</v>
      </c>
      <c r="H26" s="529"/>
      <c r="I26" s="540">
        <f t="shared" si="0"/>
        <v>0</v>
      </c>
    </row>
    <row r="27" spans="1:9" x14ac:dyDescent="0.2">
      <c r="A27" s="25" t="s">
        <v>1426</v>
      </c>
      <c r="B27" s="82" t="s">
        <v>534</v>
      </c>
      <c r="C27" s="523"/>
      <c r="D27" s="82"/>
      <c r="E27" s="82">
        <v>55719</v>
      </c>
      <c r="F27" s="523"/>
      <c r="G27" s="47">
        <v>1</v>
      </c>
      <c r="H27" s="529"/>
      <c r="I27" s="540">
        <f t="shared" si="0"/>
        <v>0</v>
      </c>
    </row>
    <row r="28" spans="1:9" x14ac:dyDescent="0.2">
      <c r="A28" s="25" t="s">
        <v>2133</v>
      </c>
      <c r="B28" s="82" t="s">
        <v>2909</v>
      </c>
      <c r="C28" s="523"/>
      <c r="D28" s="82"/>
      <c r="E28" s="82" t="s">
        <v>1957</v>
      </c>
      <c r="F28" s="523"/>
      <c r="G28" s="47">
        <v>1</v>
      </c>
      <c r="H28" s="529"/>
      <c r="I28" s="540">
        <f t="shared" si="0"/>
        <v>0</v>
      </c>
    </row>
    <row r="29" spans="1:9" x14ac:dyDescent="0.2">
      <c r="A29" s="25" t="s">
        <v>1156</v>
      </c>
      <c r="B29" s="82" t="s">
        <v>2117</v>
      </c>
      <c r="C29" s="523"/>
      <c r="D29" s="82"/>
      <c r="E29" s="82">
        <v>56654</v>
      </c>
      <c r="F29" s="523"/>
      <c r="G29" s="47">
        <v>1</v>
      </c>
      <c r="H29" s="529"/>
      <c r="I29" s="540">
        <f t="shared" si="0"/>
        <v>0</v>
      </c>
    </row>
    <row r="30" spans="1:9" x14ac:dyDescent="0.2">
      <c r="A30" s="25" t="s">
        <v>1170</v>
      </c>
      <c r="B30" s="82" t="s">
        <v>677</v>
      </c>
      <c r="C30" s="523"/>
      <c r="D30" s="82"/>
      <c r="E30" s="82">
        <v>55719</v>
      </c>
      <c r="F30" s="523"/>
      <c r="G30" s="47">
        <v>1</v>
      </c>
      <c r="H30" s="529"/>
      <c r="I30" s="540">
        <f t="shared" si="0"/>
        <v>0</v>
      </c>
    </row>
    <row r="31" spans="1:9" x14ac:dyDescent="0.2">
      <c r="A31" s="245" t="s">
        <v>3267</v>
      </c>
      <c r="B31" s="252" t="s">
        <v>3268</v>
      </c>
      <c r="C31" s="523"/>
      <c r="D31" s="252"/>
      <c r="E31" s="252">
        <v>55719</v>
      </c>
      <c r="F31" s="523"/>
      <c r="G31" s="244">
        <v>1</v>
      </c>
      <c r="H31" s="543"/>
      <c r="I31" s="540">
        <f t="shared" si="0"/>
        <v>0</v>
      </c>
    </row>
    <row r="32" spans="1:9" x14ac:dyDescent="0.2">
      <c r="I32" s="542">
        <f>SUM(I2:I31)</f>
        <v>0</v>
      </c>
    </row>
    <row r="37" spans="1:9" s="4" customFormat="1" ht="18" x14ac:dyDescent="0.25">
      <c r="A37" s="422" t="s">
        <v>2228</v>
      </c>
      <c r="B37" s="425"/>
      <c r="C37" s="309"/>
      <c r="D37" s="3"/>
      <c r="E37" s="3"/>
      <c r="F37" s="309"/>
      <c r="G37" s="3"/>
      <c r="H37" s="531"/>
      <c r="I37" s="541"/>
    </row>
    <row r="38" spans="1:9" s="4" customFormat="1" ht="18" x14ac:dyDescent="0.25">
      <c r="A38" s="422" t="s">
        <v>2959</v>
      </c>
      <c r="B38" s="425"/>
      <c r="C38" s="309"/>
      <c r="D38" s="3"/>
      <c r="E38" s="3"/>
      <c r="F38" s="309"/>
      <c r="G38" s="3"/>
      <c r="H38" s="531"/>
      <c r="I38" s="541"/>
    </row>
    <row r="39" spans="1:9" ht="18" x14ac:dyDescent="0.25">
      <c r="A39" s="423" t="s">
        <v>3358</v>
      </c>
      <c r="B39" s="46"/>
    </row>
    <row r="40" spans="1:9" ht="18" x14ac:dyDescent="0.25">
      <c r="A40" s="434" t="s">
        <v>3367</v>
      </c>
      <c r="B40" s="550">
        <f>+I32</f>
        <v>0</v>
      </c>
    </row>
  </sheetData>
  <sortState xmlns:xlrd2="http://schemas.microsoft.com/office/spreadsheetml/2017/richdata2" ref="A2:H30">
    <sortCondition ref="B2:B30"/>
  </sortState>
  <pageMargins left="0.7" right="0.7" top="0.75" bottom="0.75" header="0.3" footer="0.3"/>
  <pageSetup scale="5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2"/>
  <sheetViews>
    <sheetView workbookViewId="0">
      <pane ySplit="1" topLeftCell="A2" activePane="bottomLeft" state="frozen"/>
      <selection activeCell="C26" sqref="C26"/>
      <selection pane="bottomLeft" activeCell="G16" sqref="G2:G16"/>
    </sheetView>
  </sheetViews>
  <sheetFormatPr defaultColWidth="9.140625" defaultRowHeight="15" x14ac:dyDescent="0.2"/>
  <cols>
    <col min="1" max="1" width="61.42578125" style="57" bestFit="1" customWidth="1"/>
    <col min="2" max="2" width="16.42578125" style="58" bestFit="1" customWidth="1"/>
    <col min="3" max="3" width="20.42578125" style="264" bestFit="1" customWidth="1"/>
    <col min="4" max="4" width="20.140625" style="58" bestFit="1" customWidth="1"/>
    <col min="5" max="5" width="12.42578125" style="58" bestFit="1" customWidth="1"/>
    <col min="6" max="6" width="15.5703125" style="264" bestFit="1" customWidth="1"/>
    <col min="7" max="7" width="11" style="264" customWidth="1"/>
    <col min="8" max="8" width="16.42578125" style="584" customWidth="1"/>
    <col min="9" max="9" width="16.85546875" style="585" bestFit="1" customWidth="1"/>
    <col min="10" max="10" width="17" style="57" bestFit="1" customWidth="1"/>
    <col min="11" max="16384" width="9.140625" style="57"/>
  </cols>
  <sheetData>
    <row r="1" spans="1:9" ht="15.75" x14ac:dyDescent="0.25">
      <c r="A1" s="257" t="s">
        <v>0</v>
      </c>
      <c r="B1" s="285" t="s">
        <v>1</v>
      </c>
      <c r="C1" s="367" t="s">
        <v>3373</v>
      </c>
      <c r="D1" s="285" t="s">
        <v>1872</v>
      </c>
      <c r="E1" s="285" t="s">
        <v>1873</v>
      </c>
      <c r="F1" s="323" t="s">
        <v>3372</v>
      </c>
      <c r="G1" s="257" t="s">
        <v>412</v>
      </c>
      <c r="H1" s="581" t="s">
        <v>3368</v>
      </c>
      <c r="I1" s="581" t="s">
        <v>3369</v>
      </c>
    </row>
    <row r="2" spans="1:9" x14ac:dyDescent="0.2">
      <c r="A2" s="151" t="s">
        <v>2948</v>
      </c>
      <c r="B2" s="15" t="s">
        <v>931</v>
      </c>
      <c r="C2" s="457"/>
      <c r="D2" s="71"/>
      <c r="E2" s="71" t="s">
        <v>1920</v>
      </c>
      <c r="F2" s="523"/>
      <c r="G2" s="268">
        <v>1</v>
      </c>
      <c r="H2" s="582"/>
      <c r="I2" s="585">
        <f>+Table14[[#This Row],[Quantity]]*Table14[[#This Row],[Unit Price]]</f>
        <v>0</v>
      </c>
    </row>
    <row r="3" spans="1:9" x14ac:dyDescent="0.2">
      <c r="A3" s="151" t="s">
        <v>144</v>
      </c>
      <c r="B3" s="15" t="s">
        <v>587</v>
      </c>
      <c r="C3" s="457"/>
      <c r="D3" s="71"/>
      <c r="E3" s="71"/>
      <c r="F3" s="523"/>
      <c r="G3" s="268">
        <v>1</v>
      </c>
      <c r="H3" s="582"/>
      <c r="I3" s="585">
        <f>+Table14[[#This Row],[Quantity]]*Table14[[#This Row],[Unit Price]]</f>
        <v>0</v>
      </c>
    </row>
    <row r="4" spans="1:9" x14ac:dyDescent="0.2">
      <c r="A4" s="151" t="s">
        <v>145</v>
      </c>
      <c r="B4" s="15" t="s">
        <v>588</v>
      </c>
      <c r="C4" s="457"/>
      <c r="D4" s="71"/>
      <c r="E4" s="71"/>
      <c r="F4" s="523"/>
      <c r="G4" s="268">
        <v>1</v>
      </c>
      <c r="H4" s="582"/>
      <c r="I4" s="585">
        <f>+Table14[[#This Row],[Quantity]]*Table14[[#This Row],[Unit Price]]</f>
        <v>0</v>
      </c>
    </row>
    <row r="5" spans="1:9" x14ac:dyDescent="0.2">
      <c r="A5" s="151" t="s">
        <v>148</v>
      </c>
      <c r="B5" s="15" t="s">
        <v>589</v>
      </c>
      <c r="C5" s="457"/>
      <c r="D5" s="71"/>
      <c r="E5" s="71"/>
      <c r="F5" s="523"/>
      <c r="G5" s="268">
        <v>1</v>
      </c>
      <c r="H5" s="582"/>
      <c r="I5" s="585">
        <f>+Table14[[#This Row],[Quantity]]*Table14[[#This Row],[Unit Price]]</f>
        <v>0</v>
      </c>
    </row>
    <row r="6" spans="1:9" x14ac:dyDescent="0.2">
      <c r="A6" s="151" t="s">
        <v>1588</v>
      </c>
      <c r="B6" s="15" t="s">
        <v>585</v>
      </c>
      <c r="C6" s="457"/>
      <c r="D6" s="71"/>
      <c r="E6" s="71"/>
      <c r="F6" s="523"/>
      <c r="G6" s="268">
        <v>1</v>
      </c>
      <c r="H6" s="582"/>
      <c r="I6" s="585">
        <f>+Table14[[#This Row],[Quantity]]*Table14[[#This Row],[Unit Price]]</f>
        <v>0</v>
      </c>
    </row>
    <row r="7" spans="1:9" x14ac:dyDescent="0.2">
      <c r="A7" s="151" t="s">
        <v>1659</v>
      </c>
      <c r="B7" s="15" t="s">
        <v>149</v>
      </c>
      <c r="C7" s="457"/>
      <c r="D7" s="71"/>
      <c r="E7" s="71" t="s">
        <v>1920</v>
      </c>
      <c r="F7" s="523"/>
      <c r="G7" s="268">
        <v>1</v>
      </c>
      <c r="H7" s="582"/>
      <c r="I7" s="585">
        <f>+Table14[[#This Row],[Quantity]]*Table14[[#This Row],[Unit Price]]</f>
        <v>0</v>
      </c>
    </row>
    <row r="8" spans="1:9" x14ac:dyDescent="0.2">
      <c r="A8" s="151" t="s">
        <v>50</v>
      </c>
      <c r="B8" s="15" t="s">
        <v>381</v>
      </c>
      <c r="C8" s="457"/>
      <c r="D8" s="71"/>
      <c r="E8" s="71" t="s">
        <v>1920</v>
      </c>
      <c r="F8" s="523"/>
      <c r="G8" s="268">
        <v>1</v>
      </c>
      <c r="H8" s="582"/>
      <c r="I8" s="585">
        <f>+Table14[[#This Row],[Quantity]]*Table14[[#This Row],[Unit Price]]</f>
        <v>0</v>
      </c>
    </row>
    <row r="9" spans="1:9" x14ac:dyDescent="0.2">
      <c r="A9" s="151" t="s">
        <v>1287</v>
      </c>
      <c r="B9" s="15" t="s">
        <v>474</v>
      </c>
      <c r="C9" s="457"/>
      <c r="D9" s="71"/>
      <c r="E9" s="71" t="s">
        <v>1920</v>
      </c>
      <c r="F9" s="523"/>
      <c r="G9" s="268">
        <v>1</v>
      </c>
      <c r="H9" s="582"/>
      <c r="I9" s="585">
        <f>+Table14[[#This Row],[Quantity]]*Table14[[#This Row],[Unit Price]]</f>
        <v>0</v>
      </c>
    </row>
    <row r="10" spans="1:9" x14ac:dyDescent="0.2">
      <c r="A10" s="151" t="s">
        <v>2133</v>
      </c>
      <c r="B10" s="15" t="s">
        <v>2909</v>
      </c>
      <c r="C10" s="457"/>
      <c r="D10" s="71"/>
      <c r="E10" s="71" t="s">
        <v>1971</v>
      </c>
      <c r="F10" s="523"/>
      <c r="G10" s="268">
        <v>3</v>
      </c>
      <c r="H10" s="582"/>
      <c r="I10" s="585">
        <f>+Table14[[#This Row],[Quantity]]*Table14[[#This Row],[Unit Price]]</f>
        <v>0</v>
      </c>
    </row>
    <row r="11" spans="1:9" x14ac:dyDescent="0.2">
      <c r="A11" s="151" t="s">
        <v>1223</v>
      </c>
      <c r="B11" s="15" t="s">
        <v>295</v>
      </c>
      <c r="C11" s="457"/>
      <c r="D11" s="71"/>
      <c r="E11" s="71" t="s">
        <v>1920</v>
      </c>
      <c r="F11" s="523"/>
      <c r="G11" s="268">
        <v>1</v>
      </c>
      <c r="H11" s="582"/>
      <c r="I11" s="585">
        <f>+Table14[[#This Row],[Quantity]]*Table14[[#This Row],[Unit Price]]</f>
        <v>0</v>
      </c>
    </row>
    <row r="12" spans="1:9" x14ac:dyDescent="0.2">
      <c r="A12" s="151" t="s">
        <v>1167</v>
      </c>
      <c r="B12" s="15" t="s">
        <v>296</v>
      </c>
      <c r="C12" s="457"/>
      <c r="D12" s="71"/>
      <c r="E12" s="71" t="s">
        <v>1920</v>
      </c>
      <c r="F12" s="523"/>
      <c r="G12" s="268">
        <v>1</v>
      </c>
      <c r="H12" s="582"/>
      <c r="I12" s="585">
        <f>+Table14[[#This Row],[Quantity]]*Table14[[#This Row],[Unit Price]]</f>
        <v>0</v>
      </c>
    </row>
    <row r="13" spans="1:9" x14ac:dyDescent="0.2">
      <c r="A13" s="151" t="s">
        <v>61</v>
      </c>
      <c r="B13" s="15" t="s">
        <v>62</v>
      </c>
      <c r="C13" s="457"/>
      <c r="D13" s="71"/>
      <c r="E13" s="71" t="s">
        <v>1920</v>
      </c>
      <c r="F13" s="523"/>
      <c r="G13" s="268">
        <v>1</v>
      </c>
      <c r="H13" s="582"/>
      <c r="I13" s="585">
        <f>+Table14[[#This Row],[Quantity]]*Table14[[#This Row],[Unit Price]]</f>
        <v>0</v>
      </c>
    </row>
    <row r="14" spans="1:9" x14ac:dyDescent="0.2">
      <c r="A14" s="151" t="s">
        <v>1178</v>
      </c>
      <c r="B14" s="15" t="s">
        <v>678</v>
      </c>
      <c r="C14" s="457"/>
      <c r="D14" s="71"/>
      <c r="E14" s="71" t="s">
        <v>1920</v>
      </c>
      <c r="F14" s="523"/>
      <c r="G14" s="268">
        <v>1</v>
      </c>
      <c r="H14" s="582"/>
      <c r="I14" s="585">
        <f>+Table14[[#This Row],[Quantity]]*Table14[[#This Row],[Unit Price]]</f>
        <v>0</v>
      </c>
    </row>
    <row r="15" spans="1:9" x14ac:dyDescent="0.2">
      <c r="A15" s="151" t="s">
        <v>13</v>
      </c>
      <c r="B15" s="15" t="s">
        <v>471</v>
      </c>
      <c r="C15" s="457"/>
      <c r="D15" s="71"/>
      <c r="E15" s="71" t="s">
        <v>1920</v>
      </c>
      <c r="F15" s="523"/>
      <c r="G15" s="268">
        <v>1</v>
      </c>
      <c r="H15" s="582"/>
      <c r="I15" s="585">
        <f>+Table14[[#This Row],[Quantity]]*Table14[[#This Row],[Unit Price]]</f>
        <v>0</v>
      </c>
    </row>
    <row r="16" spans="1:9" x14ac:dyDescent="0.2">
      <c r="A16" s="291" t="s">
        <v>3107</v>
      </c>
      <c r="B16" s="292" t="s">
        <v>3108</v>
      </c>
      <c r="C16" s="457"/>
      <c r="D16" s="292"/>
      <c r="E16" s="292">
        <v>55719</v>
      </c>
      <c r="F16" s="523"/>
      <c r="G16" s="292">
        <v>1</v>
      </c>
      <c r="H16" s="583"/>
      <c r="I16" s="585">
        <f>+Table14[[#This Row],[Quantity]]*Table14[[#This Row],[Unit Price]]</f>
        <v>0</v>
      </c>
    </row>
    <row r="17" spans="1:9" x14ac:dyDescent="0.2">
      <c r="A17" s="594"/>
      <c r="B17" s="595"/>
      <c r="C17" s="595"/>
      <c r="D17" s="592"/>
      <c r="E17" s="592"/>
      <c r="F17" s="592"/>
      <c r="G17" s="596"/>
      <c r="H17" s="597"/>
      <c r="I17" s="593">
        <f>SUM(I2:I16)</f>
        <v>0</v>
      </c>
    </row>
    <row r="18" spans="1:9" ht="15.75" x14ac:dyDescent="0.25">
      <c r="G18" s="295"/>
    </row>
    <row r="19" spans="1:9" ht="18" x14ac:dyDescent="0.25">
      <c r="A19" s="422" t="s">
        <v>2240</v>
      </c>
      <c r="B19" s="422"/>
      <c r="C19" s="308"/>
      <c r="D19" s="4"/>
      <c r="E19" s="4"/>
      <c r="F19" s="308"/>
      <c r="G19" s="3"/>
      <c r="H19" s="586"/>
    </row>
    <row r="20" spans="1:9" ht="18" x14ac:dyDescent="0.25">
      <c r="A20" s="422" t="s">
        <v>3009</v>
      </c>
      <c r="B20" s="422"/>
      <c r="C20" s="308"/>
      <c r="D20" s="4"/>
      <c r="E20" s="4"/>
      <c r="F20" s="308"/>
      <c r="G20" s="3"/>
      <c r="H20" s="586"/>
    </row>
    <row r="21" spans="1:9" ht="18" x14ac:dyDescent="0.25">
      <c r="A21" s="423" t="s">
        <v>3357</v>
      </c>
      <c r="B21" s="26"/>
    </row>
    <row r="22" spans="1:9" ht="18" x14ac:dyDescent="0.25">
      <c r="A22" s="434" t="s">
        <v>3367</v>
      </c>
      <c r="B22" s="550">
        <f>+Table14[[#Totals],[Extended price]]</f>
        <v>0</v>
      </c>
    </row>
  </sheetData>
  <sortState xmlns:xlrd2="http://schemas.microsoft.com/office/spreadsheetml/2017/richdata2" ref="A3:H19">
    <sortCondition ref="B3:B19"/>
  </sortState>
  <printOptions gridLines="1"/>
  <pageMargins left="0.5" right="0.5" top="0.5" bottom="0.5" header="0.3" footer="0.3"/>
  <pageSetup scale="65" orientation="landscape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FC23"/>
  <sheetViews>
    <sheetView workbookViewId="0">
      <pane ySplit="1" topLeftCell="A2" activePane="bottomLeft" state="frozen"/>
      <selection activeCell="C26" sqref="C26"/>
      <selection pane="bottomLeft" activeCell="G16" sqref="G2:G16"/>
    </sheetView>
  </sheetViews>
  <sheetFormatPr defaultColWidth="9.140625" defaultRowHeight="15" x14ac:dyDescent="0.2"/>
  <cols>
    <col min="1" max="1" width="75.42578125" style="57" bestFit="1" customWidth="1"/>
    <col min="2" max="2" width="15.42578125" style="58" bestFit="1" customWidth="1"/>
    <col min="3" max="3" width="20.42578125" style="264" bestFit="1" customWidth="1"/>
    <col min="4" max="4" width="20.140625" style="58" bestFit="1" customWidth="1"/>
    <col min="5" max="5" width="12.42578125" style="58" bestFit="1" customWidth="1"/>
    <col min="6" max="6" width="12.42578125" style="264" customWidth="1"/>
    <col min="7" max="7" width="10.5703125" style="264" customWidth="1"/>
    <col min="8" max="8" width="11.42578125" style="590" bestFit="1" customWidth="1"/>
    <col min="9" max="9" width="16.85546875" style="587" bestFit="1" customWidth="1"/>
    <col min="10" max="10" width="17" style="57" bestFit="1" customWidth="1"/>
    <col min="11" max="16384" width="9.140625" style="57"/>
  </cols>
  <sheetData>
    <row r="1" spans="1:9" ht="15.75" x14ac:dyDescent="0.25">
      <c r="A1" s="257" t="s">
        <v>0</v>
      </c>
      <c r="B1" s="285" t="s">
        <v>1</v>
      </c>
      <c r="C1" s="367" t="s">
        <v>3373</v>
      </c>
      <c r="D1" s="285" t="s">
        <v>1872</v>
      </c>
      <c r="E1" s="285" t="s">
        <v>1873</v>
      </c>
      <c r="F1" s="323" t="s">
        <v>3372</v>
      </c>
      <c r="G1" s="257" t="s">
        <v>412</v>
      </c>
      <c r="H1" s="528" t="s">
        <v>3368</v>
      </c>
      <c r="I1" s="539" t="s">
        <v>3369</v>
      </c>
    </row>
    <row r="2" spans="1:9" x14ac:dyDescent="0.2">
      <c r="A2" s="46" t="s">
        <v>144</v>
      </c>
      <c r="B2" s="15" t="s">
        <v>587</v>
      </c>
      <c r="C2" s="457"/>
      <c r="D2" s="71"/>
      <c r="E2" s="71"/>
      <c r="F2" s="523"/>
      <c r="G2" s="268">
        <v>1</v>
      </c>
      <c r="H2" s="567"/>
      <c r="I2" s="587">
        <f>+Table15[[#This Row],[Quantity]]*Table15[[#This Row],[Unit Price]]</f>
        <v>0</v>
      </c>
    </row>
    <row r="3" spans="1:9" s="66" customFormat="1" ht="15" customHeight="1" x14ac:dyDescent="0.2">
      <c r="A3" s="46" t="s">
        <v>145</v>
      </c>
      <c r="B3" s="15" t="s">
        <v>588</v>
      </c>
      <c r="C3" s="523"/>
      <c r="D3" s="71"/>
      <c r="E3" s="71"/>
      <c r="F3" s="523"/>
      <c r="G3" s="268">
        <v>1</v>
      </c>
      <c r="H3" s="567"/>
      <c r="I3" s="588">
        <f>+Table15[[#This Row],[Quantity]]*Table15[[#This Row],[Unit Price]]</f>
        <v>0</v>
      </c>
    </row>
    <row r="4" spans="1:9" s="66" customFormat="1" x14ac:dyDescent="0.2">
      <c r="A4" s="46" t="s">
        <v>148</v>
      </c>
      <c r="B4" s="15" t="s">
        <v>589</v>
      </c>
      <c r="C4" s="523"/>
      <c r="D4" s="71"/>
      <c r="E4" s="71"/>
      <c r="F4" s="523"/>
      <c r="G4" s="268">
        <v>1</v>
      </c>
      <c r="H4" s="567"/>
      <c r="I4" s="588">
        <f>+Table15[[#This Row],[Quantity]]*Table15[[#This Row],[Unit Price]]</f>
        <v>0</v>
      </c>
    </row>
    <row r="5" spans="1:9" s="66" customFormat="1" x14ac:dyDescent="0.2">
      <c r="A5" s="46" t="s">
        <v>1588</v>
      </c>
      <c r="B5" s="15" t="s">
        <v>585</v>
      </c>
      <c r="C5" s="523"/>
      <c r="D5" s="71"/>
      <c r="E5" s="71"/>
      <c r="F5" s="523"/>
      <c r="G5" s="268">
        <v>1</v>
      </c>
      <c r="H5" s="567"/>
      <c r="I5" s="588">
        <f>+Table15[[#This Row],[Quantity]]*Table15[[#This Row],[Unit Price]]</f>
        <v>0</v>
      </c>
    </row>
    <row r="6" spans="1:9" x14ac:dyDescent="0.2">
      <c r="A6" s="46" t="s">
        <v>1659</v>
      </c>
      <c r="B6" s="42" t="s">
        <v>149</v>
      </c>
      <c r="C6" s="591"/>
      <c r="D6" s="71"/>
      <c r="E6" s="71" t="s">
        <v>1920</v>
      </c>
      <c r="F6" s="523"/>
      <c r="G6" s="268">
        <v>1</v>
      </c>
      <c r="H6" s="567"/>
      <c r="I6" s="587">
        <f>+Table15[[#This Row],[Quantity]]*Table15[[#This Row],[Unit Price]]</f>
        <v>0</v>
      </c>
    </row>
    <row r="7" spans="1:9" x14ac:dyDescent="0.2">
      <c r="A7" s="46" t="s">
        <v>50</v>
      </c>
      <c r="B7" s="312" t="s">
        <v>381</v>
      </c>
      <c r="C7" s="523"/>
      <c r="D7" s="71"/>
      <c r="E7" s="71" t="s">
        <v>1920</v>
      </c>
      <c r="F7" s="523"/>
      <c r="G7" s="268">
        <v>1</v>
      </c>
      <c r="H7" s="567"/>
      <c r="I7" s="587">
        <f>+Table15[[#This Row],[Quantity]]*Table15[[#This Row],[Unit Price]]</f>
        <v>0</v>
      </c>
    </row>
    <row r="8" spans="1:9" ht="15.75" x14ac:dyDescent="0.2">
      <c r="A8" s="46" t="s">
        <v>1287</v>
      </c>
      <c r="B8" s="400" t="s">
        <v>474</v>
      </c>
      <c r="C8" s="523"/>
      <c r="D8" s="71"/>
      <c r="E8" s="71" t="s">
        <v>1920</v>
      </c>
      <c r="F8" s="523"/>
      <c r="G8" s="268">
        <v>1</v>
      </c>
      <c r="H8" s="567"/>
      <c r="I8" s="587">
        <f>+Table15[[#This Row],[Quantity]]*Table15[[#This Row],[Unit Price]]</f>
        <v>0</v>
      </c>
    </row>
    <row r="9" spans="1:9" x14ac:dyDescent="0.2">
      <c r="A9" s="116" t="s">
        <v>2726</v>
      </c>
      <c r="B9" s="15" t="s">
        <v>2727</v>
      </c>
      <c r="C9" s="523"/>
      <c r="D9" s="71"/>
      <c r="E9" s="71" t="s">
        <v>1971</v>
      </c>
      <c r="F9" s="523"/>
      <c r="G9" s="268">
        <v>16</v>
      </c>
      <c r="H9" s="567"/>
      <c r="I9" s="587">
        <f>+Table15[[#This Row],[Quantity]]*Table15[[#This Row],[Unit Price]]</f>
        <v>0</v>
      </c>
    </row>
    <row r="10" spans="1:9" x14ac:dyDescent="0.2">
      <c r="A10" s="116" t="s">
        <v>2271</v>
      </c>
      <c r="B10" s="15" t="s">
        <v>2272</v>
      </c>
      <c r="C10" s="523"/>
      <c r="D10" s="15"/>
      <c r="E10" s="57"/>
      <c r="F10" s="523"/>
      <c r="G10" s="261">
        <v>8</v>
      </c>
      <c r="H10" s="567"/>
      <c r="I10" s="587">
        <f>+Table15[[#This Row],[Quantity]]*Table15[[#This Row],[Unit Price]]</f>
        <v>0</v>
      </c>
    </row>
    <row r="11" spans="1:9" x14ac:dyDescent="0.2">
      <c r="A11" s="46" t="s">
        <v>1223</v>
      </c>
      <c r="B11" s="15" t="s">
        <v>295</v>
      </c>
      <c r="C11" s="523"/>
      <c r="D11" s="71"/>
      <c r="E11" s="71" t="s">
        <v>1920</v>
      </c>
      <c r="F11" s="523"/>
      <c r="G11" s="268">
        <v>1</v>
      </c>
      <c r="H11" s="567"/>
      <c r="I11" s="587">
        <f>+Table15[[#This Row],[Quantity]]*Table15[[#This Row],[Unit Price]]</f>
        <v>0</v>
      </c>
    </row>
    <row r="12" spans="1:9" x14ac:dyDescent="0.2">
      <c r="A12" s="46" t="s">
        <v>1167</v>
      </c>
      <c r="B12" s="15" t="s">
        <v>296</v>
      </c>
      <c r="C12" s="523"/>
      <c r="D12" s="71"/>
      <c r="E12" s="71" t="s">
        <v>1920</v>
      </c>
      <c r="F12" s="523"/>
      <c r="G12" s="268">
        <v>1</v>
      </c>
      <c r="H12" s="567"/>
      <c r="I12" s="587">
        <f>+Table15[[#This Row],[Quantity]]*Table15[[#This Row],[Unit Price]]</f>
        <v>0</v>
      </c>
    </row>
    <row r="13" spans="1:9" x14ac:dyDescent="0.2">
      <c r="A13" s="46" t="s">
        <v>61</v>
      </c>
      <c r="B13" s="15" t="s">
        <v>62</v>
      </c>
      <c r="C13" s="523"/>
      <c r="D13" s="71"/>
      <c r="E13" s="71" t="s">
        <v>1920</v>
      </c>
      <c r="F13" s="523"/>
      <c r="G13" s="268">
        <v>1</v>
      </c>
      <c r="H13" s="567"/>
      <c r="I13" s="587">
        <f>+Table15[[#This Row],[Quantity]]*Table15[[#This Row],[Unit Price]]</f>
        <v>0</v>
      </c>
    </row>
    <row r="14" spans="1:9" x14ac:dyDescent="0.2">
      <c r="A14" s="46" t="s">
        <v>1178</v>
      </c>
      <c r="B14" s="15" t="s">
        <v>678</v>
      </c>
      <c r="C14" s="523"/>
      <c r="D14" s="71"/>
      <c r="E14" s="71" t="s">
        <v>1920</v>
      </c>
      <c r="F14" s="523"/>
      <c r="G14" s="268">
        <v>1</v>
      </c>
      <c r="H14" s="567"/>
      <c r="I14" s="587">
        <f>+Table15[[#This Row],[Quantity]]*Table15[[#This Row],[Unit Price]]</f>
        <v>0</v>
      </c>
    </row>
    <row r="15" spans="1:9" x14ac:dyDescent="0.2">
      <c r="A15" s="46" t="s">
        <v>13</v>
      </c>
      <c r="B15" s="15" t="s">
        <v>471</v>
      </c>
      <c r="C15" s="523"/>
      <c r="D15" s="71"/>
      <c r="E15" s="71" t="s">
        <v>1920</v>
      </c>
      <c r="F15" s="523"/>
      <c r="G15" s="268">
        <v>1</v>
      </c>
      <c r="H15" s="567"/>
      <c r="I15" s="587">
        <f>+Table15[[#This Row],[Quantity]]*Table15[[#This Row],[Unit Price]]</f>
        <v>0</v>
      </c>
    </row>
    <row r="16" spans="1:9" x14ac:dyDescent="0.2">
      <c r="A16" s="293" t="s">
        <v>3107</v>
      </c>
      <c r="B16" s="294" t="s">
        <v>3108</v>
      </c>
      <c r="C16" s="523"/>
      <c r="D16" s="294"/>
      <c r="E16" s="294">
        <v>55719</v>
      </c>
      <c r="F16" s="523"/>
      <c r="G16" s="294">
        <v>1</v>
      </c>
      <c r="H16" s="589"/>
      <c r="I16" s="587">
        <f>+Table15[[#This Row],[Quantity]]*Table15[[#This Row],[Unit Price]]</f>
        <v>0</v>
      </c>
    </row>
    <row r="17" spans="1:16383" x14ac:dyDescent="0.2">
      <c r="A17" s="598"/>
      <c r="B17" s="595"/>
      <c r="C17" s="595"/>
      <c r="D17" s="592"/>
      <c r="E17" s="592"/>
      <c r="F17" s="592"/>
      <c r="G17" s="596"/>
      <c r="H17" s="599"/>
      <c r="I17" s="600">
        <f>SUM(I2:I16)</f>
        <v>0</v>
      </c>
    </row>
    <row r="18" spans="1:16383" ht="15.75" x14ac:dyDescent="0.25">
      <c r="G18" s="295"/>
    </row>
    <row r="20" spans="1:16383" ht="18" x14ac:dyDescent="0.25">
      <c r="A20" s="422" t="s">
        <v>2239</v>
      </c>
      <c r="B20" s="422"/>
      <c r="C20" s="308"/>
      <c r="D20" s="4"/>
      <c r="E20" s="4"/>
      <c r="F20" s="308"/>
      <c r="G20" s="3"/>
      <c r="H20" s="541"/>
      <c r="I20" s="54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  <c r="BGT20" s="4"/>
      <c r="BGU20" s="4"/>
      <c r="BGV20" s="4"/>
      <c r="BGW20" s="4"/>
      <c r="BGX20" s="4"/>
      <c r="BGY20" s="4"/>
      <c r="BGZ20" s="4"/>
      <c r="BHA20" s="4"/>
      <c r="BHB20" s="4"/>
      <c r="BHC20" s="4"/>
      <c r="BHD20" s="4"/>
      <c r="BHE20" s="4"/>
      <c r="BHF20" s="4"/>
      <c r="BHG20" s="4"/>
      <c r="BHH20" s="4"/>
      <c r="BHI20" s="4"/>
      <c r="BHJ20" s="4"/>
      <c r="BHK20" s="4"/>
      <c r="BHL20" s="4"/>
      <c r="BHM20" s="4"/>
      <c r="BHN20" s="4"/>
      <c r="BHO20" s="4"/>
      <c r="BHP20" s="4"/>
      <c r="BHQ20" s="4"/>
      <c r="BHR20" s="4"/>
      <c r="BHS20" s="4"/>
      <c r="BHT20" s="4"/>
      <c r="BHU20" s="4"/>
      <c r="BHV20" s="4"/>
      <c r="BHW20" s="4"/>
      <c r="BHX20" s="4"/>
      <c r="BHY20" s="4"/>
      <c r="BHZ20" s="4"/>
      <c r="BIA20" s="4"/>
      <c r="BIB20" s="4"/>
      <c r="BIC20" s="4"/>
      <c r="BID20" s="4"/>
      <c r="BIE20" s="4"/>
      <c r="BIF20" s="4"/>
      <c r="BIG20" s="4"/>
      <c r="BIH20" s="4"/>
      <c r="BII20" s="4"/>
      <c r="BIJ20" s="4"/>
      <c r="BIK20" s="4"/>
      <c r="BIL20" s="4"/>
      <c r="BIM20" s="4"/>
      <c r="BIN20" s="4"/>
      <c r="BIO20" s="4"/>
      <c r="BIP20" s="4"/>
      <c r="BIQ20" s="4"/>
      <c r="BIR20" s="4"/>
      <c r="BIS20" s="4"/>
      <c r="BIT20" s="4"/>
      <c r="BIU20" s="4"/>
      <c r="BIV20" s="4"/>
      <c r="BIW20" s="4"/>
      <c r="BIX20" s="4"/>
      <c r="BIY20" s="4"/>
      <c r="BIZ20" s="4"/>
      <c r="BJA20" s="4"/>
      <c r="BJB20" s="4"/>
      <c r="BJC20" s="4"/>
      <c r="BJD20" s="4"/>
      <c r="BJE20" s="4"/>
      <c r="BJF20" s="4"/>
      <c r="BJG20" s="4"/>
      <c r="BJH20" s="4"/>
      <c r="BJI20" s="4"/>
      <c r="BJJ20" s="4"/>
      <c r="BJK20" s="4"/>
      <c r="BJL20" s="4"/>
      <c r="BJM20" s="4"/>
      <c r="BJN20" s="4"/>
      <c r="BJO20" s="4"/>
      <c r="BJP20" s="4"/>
      <c r="BJQ20" s="4"/>
      <c r="BJR20" s="4"/>
      <c r="BJS20" s="4"/>
      <c r="BJT20" s="4"/>
      <c r="BJU20" s="4"/>
      <c r="BJV20" s="4"/>
      <c r="BJW20" s="4"/>
      <c r="BJX20" s="4"/>
      <c r="BJY20" s="4"/>
      <c r="BJZ20" s="4"/>
      <c r="BKA20" s="4"/>
      <c r="BKB20" s="4"/>
      <c r="BKC20" s="4"/>
      <c r="BKD20" s="4"/>
      <c r="BKE20" s="4"/>
      <c r="BKF20" s="4"/>
      <c r="BKG20" s="4"/>
      <c r="BKH20" s="4"/>
      <c r="BKI20" s="4"/>
      <c r="BKJ20" s="4"/>
      <c r="BKK20" s="4"/>
      <c r="BKL20" s="4"/>
      <c r="BKM20" s="4"/>
      <c r="BKN20" s="4"/>
      <c r="BKO20" s="4"/>
      <c r="BKP20" s="4"/>
      <c r="BKQ20" s="4"/>
      <c r="BKR20" s="4"/>
      <c r="BKS20" s="4"/>
      <c r="BKT20" s="4"/>
      <c r="BKU20" s="4"/>
      <c r="BKV20" s="4"/>
      <c r="BKW20" s="4"/>
      <c r="BKX20" s="4"/>
      <c r="BKY20" s="4"/>
      <c r="BKZ20" s="4"/>
      <c r="BLA20" s="4"/>
      <c r="BLB20" s="4"/>
      <c r="BLC20" s="4"/>
      <c r="BLD20" s="4"/>
      <c r="BLE20" s="4"/>
      <c r="BLF20" s="4"/>
      <c r="BLG20" s="4"/>
      <c r="BLH20" s="4"/>
      <c r="BLI20" s="4"/>
      <c r="BLJ20" s="4"/>
      <c r="BLK20" s="4"/>
      <c r="BLL20" s="4"/>
      <c r="BLM20" s="4"/>
      <c r="BLN20" s="4"/>
      <c r="BLO20" s="4"/>
      <c r="BLP20" s="4"/>
      <c r="BLQ20" s="4"/>
      <c r="BLR20" s="4"/>
      <c r="BLS20" s="4"/>
      <c r="BLT20" s="4"/>
      <c r="BLU20" s="4"/>
      <c r="BLV20" s="4"/>
      <c r="BLW20" s="4"/>
      <c r="BLX20" s="4"/>
      <c r="BLY20" s="4"/>
      <c r="BLZ20" s="4"/>
      <c r="BMA20" s="4"/>
      <c r="BMB20" s="4"/>
      <c r="BMC20" s="4"/>
      <c r="BMD20" s="4"/>
      <c r="BME20" s="4"/>
      <c r="BMF20" s="4"/>
      <c r="BMG20" s="4"/>
      <c r="BMH20" s="4"/>
      <c r="BMI20" s="4"/>
      <c r="BMJ20" s="4"/>
      <c r="BMK20" s="4"/>
      <c r="BML20" s="4"/>
      <c r="BMM20" s="4"/>
      <c r="BMN20" s="4"/>
      <c r="BMO20" s="4"/>
      <c r="BMP20" s="4"/>
      <c r="BMQ20" s="4"/>
      <c r="BMR20" s="4"/>
      <c r="BMS20" s="4"/>
      <c r="BMT20" s="4"/>
      <c r="BMU20" s="4"/>
      <c r="BMV20" s="4"/>
      <c r="BMW20" s="4"/>
      <c r="BMX20" s="4"/>
      <c r="BMY20" s="4"/>
      <c r="BMZ20" s="4"/>
      <c r="BNA20" s="4"/>
      <c r="BNB20" s="4"/>
      <c r="BNC20" s="4"/>
      <c r="BND20" s="4"/>
      <c r="BNE20" s="4"/>
      <c r="BNF20" s="4"/>
      <c r="BNG20" s="4"/>
      <c r="BNH20" s="4"/>
      <c r="BNI20" s="4"/>
      <c r="BNJ20" s="4"/>
      <c r="BNK20" s="4"/>
      <c r="BNL20" s="4"/>
      <c r="BNM20" s="4"/>
      <c r="BNN20" s="4"/>
      <c r="BNO20" s="4"/>
      <c r="BNP20" s="4"/>
      <c r="BNQ20" s="4"/>
      <c r="BNR20" s="4"/>
      <c r="BNS20" s="4"/>
      <c r="BNT20" s="4"/>
      <c r="BNU20" s="4"/>
      <c r="BNV20" s="4"/>
      <c r="BNW20" s="4"/>
      <c r="BNX20" s="4"/>
      <c r="BNY20" s="4"/>
      <c r="BNZ20" s="4"/>
      <c r="BOA20" s="4"/>
      <c r="BOB20" s="4"/>
      <c r="BOC20" s="4"/>
      <c r="BOD20" s="4"/>
      <c r="BOE20" s="4"/>
      <c r="BOF20" s="4"/>
      <c r="BOG20" s="4"/>
      <c r="BOH20" s="4"/>
      <c r="BOI20" s="4"/>
      <c r="BOJ20" s="4"/>
      <c r="BOK20" s="4"/>
      <c r="BOL20" s="4"/>
      <c r="BOM20" s="4"/>
      <c r="BON20" s="4"/>
      <c r="BOO20" s="4"/>
      <c r="BOP20" s="4"/>
      <c r="BOQ20" s="4"/>
      <c r="BOR20" s="4"/>
      <c r="BOS20" s="4"/>
      <c r="BOT20" s="4"/>
      <c r="BOU20" s="4"/>
      <c r="BOV20" s="4"/>
      <c r="BOW20" s="4"/>
      <c r="BOX20" s="4"/>
      <c r="BOY20" s="4"/>
      <c r="BOZ20" s="4"/>
      <c r="BPA20" s="4"/>
      <c r="BPB20" s="4"/>
      <c r="BPC20" s="4"/>
      <c r="BPD20" s="4"/>
      <c r="BPE20" s="4"/>
      <c r="BPF20" s="4"/>
      <c r="BPG20" s="4"/>
      <c r="BPH20" s="4"/>
      <c r="BPI20" s="4"/>
      <c r="BPJ20" s="4"/>
      <c r="BPK20" s="4"/>
      <c r="BPL20" s="4"/>
      <c r="BPM20" s="4"/>
      <c r="BPN20" s="4"/>
      <c r="BPO20" s="4"/>
      <c r="BPP20" s="4"/>
      <c r="BPQ20" s="4"/>
      <c r="BPR20" s="4"/>
      <c r="BPS20" s="4"/>
      <c r="BPT20" s="4"/>
      <c r="BPU20" s="4"/>
      <c r="BPV20" s="4"/>
      <c r="BPW20" s="4"/>
      <c r="BPX20" s="4"/>
      <c r="BPY20" s="4"/>
      <c r="BPZ20" s="4"/>
      <c r="BQA20" s="4"/>
      <c r="BQB20" s="4"/>
      <c r="BQC20" s="4"/>
      <c r="BQD20" s="4"/>
      <c r="BQE20" s="4"/>
      <c r="BQF20" s="4"/>
      <c r="BQG20" s="4"/>
      <c r="BQH20" s="4"/>
      <c r="BQI20" s="4"/>
      <c r="BQJ20" s="4"/>
      <c r="BQK20" s="4"/>
      <c r="BQL20" s="4"/>
      <c r="BQM20" s="4"/>
      <c r="BQN20" s="4"/>
      <c r="BQO20" s="4"/>
      <c r="BQP20" s="4"/>
      <c r="BQQ20" s="4"/>
      <c r="BQR20" s="4"/>
      <c r="BQS20" s="4"/>
      <c r="BQT20" s="4"/>
      <c r="BQU20" s="4"/>
      <c r="BQV20" s="4"/>
      <c r="BQW20" s="4"/>
      <c r="BQX20" s="4"/>
      <c r="BQY20" s="4"/>
      <c r="BQZ20" s="4"/>
      <c r="BRA20" s="4"/>
      <c r="BRB20" s="4"/>
      <c r="BRC20" s="4"/>
      <c r="BRD20" s="4"/>
      <c r="BRE20" s="4"/>
      <c r="BRF20" s="4"/>
      <c r="BRG20" s="4"/>
      <c r="BRH20" s="4"/>
      <c r="BRI20" s="4"/>
      <c r="BRJ20" s="4"/>
      <c r="BRK20" s="4"/>
      <c r="BRL20" s="4"/>
      <c r="BRM20" s="4"/>
      <c r="BRN20" s="4"/>
      <c r="BRO20" s="4"/>
      <c r="BRP20" s="4"/>
      <c r="BRQ20" s="4"/>
      <c r="BRR20" s="4"/>
      <c r="BRS20" s="4"/>
      <c r="BRT20" s="4"/>
      <c r="BRU20" s="4"/>
      <c r="BRV20" s="4"/>
      <c r="BRW20" s="4"/>
      <c r="BRX20" s="4"/>
      <c r="BRY20" s="4"/>
      <c r="BRZ20" s="4"/>
      <c r="BSA20" s="4"/>
      <c r="BSB20" s="4"/>
      <c r="BSC20" s="4"/>
      <c r="BSD20" s="4"/>
      <c r="BSE20" s="4"/>
      <c r="BSF20" s="4"/>
      <c r="BSG20" s="4"/>
      <c r="BSH20" s="4"/>
      <c r="BSI20" s="4"/>
      <c r="BSJ20" s="4"/>
      <c r="BSK20" s="4"/>
      <c r="BSL20" s="4"/>
      <c r="BSM20" s="4"/>
      <c r="BSN20" s="4"/>
      <c r="BSO20" s="4"/>
      <c r="BSP20" s="4"/>
      <c r="BSQ20" s="4"/>
      <c r="BSR20" s="4"/>
      <c r="BSS20" s="4"/>
      <c r="BST20" s="4"/>
      <c r="BSU20" s="4"/>
      <c r="BSV20" s="4"/>
      <c r="BSW20" s="4"/>
      <c r="BSX20" s="4"/>
      <c r="BSY20" s="4"/>
      <c r="BSZ20" s="4"/>
      <c r="BTA20" s="4"/>
      <c r="BTB20" s="4"/>
      <c r="BTC20" s="4"/>
      <c r="BTD20" s="4"/>
      <c r="BTE20" s="4"/>
      <c r="BTF20" s="4"/>
      <c r="BTG20" s="4"/>
      <c r="BTH20" s="4"/>
      <c r="BTI20" s="4"/>
      <c r="BTJ20" s="4"/>
      <c r="BTK20" s="4"/>
      <c r="BTL20" s="4"/>
      <c r="BTM20" s="4"/>
      <c r="BTN20" s="4"/>
      <c r="BTO20" s="4"/>
      <c r="BTP20" s="4"/>
      <c r="BTQ20" s="4"/>
      <c r="BTR20" s="4"/>
      <c r="BTS20" s="4"/>
      <c r="BTT20" s="4"/>
      <c r="BTU20" s="4"/>
      <c r="BTV20" s="4"/>
      <c r="BTW20" s="4"/>
      <c r="BTX20" s="4"/>
      <c r="BTY20" s="4"/>
      <c r="BTZ20" s="4"/>
      <c r="BUA20" s="4"/>
      <c r="BUB20" s="4"/>
      <c r="BUC20" s="4"/>
      <c r="BUD20" s="4"/>
      <c r="BUE20" s="4"/>
      <c r="BUF20" s="4"/>
      <c r="BUG20" s="4"/>
      <c r="BUH20" s="4"/>
      <c r="BUI20" s="4"/>
      <c r="BUJ20" s="4"/>
      <c r="BUK20" s="4"/>
      <c r="BUL20" s="4"/>
      <c r="BUM20" s="4"/>
      <c r="BUN20" s="4"/>
      <c r="BUO20" s="4"/>
      <c r="BUP20" s="4"/>
      <c r="BUQ20" s="4"/>
      <c r="BUR20" s="4"/>
      <c r="BUS20" s="4"/>
      <c r="BUT20" s="4"/>
      <c r="BUU20" s="4"/>
      <c r="BUV20" s="4"/>
      <c r="BUW20" s="4"/>
      <c r="BUX20" s="4"/>
      <c r="BUY20" s="4"/>
      <c r="BUZ20" s="4"/>
      <c r="BVA20" s="4"/>
      <c r="BVB20" s="4"/>
      <c r="BVC20" s="4"/>
      <c r="BVD20" s="4"/>
      <c r="BVE20" s="4"/>
      <c r="BVF20" s="4"/>
      <c r="BVG20" s="4"/>
      <c r="BVH20" s="4"/>
      <c r="BVI20" s="4"/>
      <c r="BVJ20" s="4"/>
      <c r="BVK20" s="4"/>
      <c r="BVL20" s="4"/>
      <c r="BVM20" s="4"/>
      <c r="BVN20" s="4"/>
      <c r="BVO20" s="4"/>
      <c r="BVP20" s="4"/>
      <c r="BVQ20" s="4"/>
      <c r="BVR20" s="4"/>
      <c r="BVS20" s="4"/>
      <c r="BVT20" s="4"/>
      <c r="BVU20" s="4"/>
      <c r="BVV20" s="4"/>
      <c r="BVW20" s="4"/>
      <c r="BVX20" s="4"/>
      <c r="BVY20" s="4"/>
      <c r="BVZ20" s="4"/>
      <c r="BWA20" s="4"/>
      <c r="BWB20" s="4"/>
      <c r="BWC20" s="4"/>
      <c r="BWD20" s="4"/>
      <c r="BWE20" s="4"/>
      <c r="BWF20" s="4"/>
      <c r="BWG20" s="4"/>
      <c r="BWH20" s="4"/>
      <c r="BWI20" s="4"/>
      <c r="BWJ20" s="4"/>
      <c r="BWK20" s="4"/>
      <c r="BWL20" s="4"/>
      <c r="BWM20" s="4"/>
      <c r="BWN20" s="4"/>
      <c r="BWO20" s="4"/>
      <c r="BWP20" s="4"/>
      <c r="BWQ20" s="4"/>
      <c r="BWR20" s="4"/>
      <c r="BWS20" s="4"/>
      <c r="BWT20" s="4"/>
      <c r="BWU20" s="4"/>
      <c r="BWV20" s="4"/>
      <c r="BWW20" s="4"/>
      <c r="BWX20" s="4"/>
      <c r="BWY20" s="4"/>
      <c r="BWZ20" s="4"/>
      <c r="BXA20" s="4"/>
      <c r="BXB20" s="4"/>
      <c r="BXC20" s="4"/>
      <c r="BXD20" s="4"/>
      <c r="BXE20" s="4"/>
      <c r="BXF20" s="4"/>
      <c r="BXG20" s="4"/>
      <c r="BXH20" s="4"/>
      <c r="BXI20" s="4"/>
      <c r="BXJ20" s="4"/>
      <c r="BXK20" s="4"/>
      <c r="BXL20" s="4"/>
      <c r="BXM20" s="4"/>
      <c r="BXN20" s="4"/>
      <c r="BXO20" s="4"/>
      <c r="BXP20" s="4"/>
      <c r="BXQ20" s="4"/>
      <c r="BXR20" s="4"/>
      <c r="BXS20" s="4"/>
      <c r="BXT20" s="4"/>
      <c r="BXU20" s="4"/>
      <c r="BXV20" s="4"/>
      <c r="BXW20" s="4"/>
      <c r="BXX20" s="4"/>
      <c r="BXY20" s="4"/>
      <c r="BXZ20" s="4"/>
      <c r="BYA20" s="4"/>
      <c r="BYB20" s="4"/>
      <c r="BYC20" s="4"/>
      <c r="BYD20" s="4"/>
      <c r="BYE20" s="4"/>
      <c r="BYF20" s="4"/>
      <c r="BYG20" s="4"/>
      <c r="BYH20" s="4"/>
      <c r="BYI20" s="4"/>
      <c r="BYJ20" s="4"/>
      <c r="BYK20" s="4"/>
      <c r="BYL20" s="4"/>
      <c r="BYM20" s="4"/>
      <c r="BYN20" s="4"/>
      <c r="BYO20" s="4"/>
      <c r="BYP20" s="4"/>
      <c r="BYQ20" s="4"/>
      <c r="BYR20" s="4"/>
      <c r="BYS20" s="4"/>
      <c r="BYT20" s="4"/>
      <c r="BYU20" s="4"/>
      <c r="BYV20" s="4"/>
      <c r="BYW20" s="4"/>
      <c r="BYX20" s="4"/>
      <c r="BYY20" s="4"/>
      <c r="BYZ20" s="4"/>
      <c r="BZA20" s="4"/>
      <c r="BZB20" s="4"/>
      <c r="BZC20" s="4"/>
      <c r="BZD20" s="4"/>
      <c r="BZE20" s="4"/>
      <c r="BZF20" s="4"/>
      <c r="BZG20" s="4"/>
      <c r="BZH20" s="4"/>
      <c r="BZI20" s="4"/>
      <c r="BZJ20" s="4"/>
      <c r="BZK20" s="4"/>
      <c r="BZL20" s="4"/>
      <c r="BZM20" s="4"/>
      <c r="BZN20" s="4"/>
      <c r="BZO20" s="4"/>
      <c r="BZP20" s="4"/>
      <c r="BZQ20" s="4"/>
      <c r="BZR20" s="4"/>
      <c r="BZS20" s="4"/>
      <c r="BZT20" s="4"/>
      <c r="BZU20" s="4"/>
      <c r="BZV20" s="4"/>
      <c r="BZW20" s="4"/>
      <c r="BZX20" s="4"/>
      <c r="BZY20" s="4"/>
      <c r="BZZ20" s="4"/>
      <c r="CAA20" s="4"/>
      <c r="CAB20" s="4"/>
      <c r="CAC20" s="4"/>
      <c r="CAD20" s="4"/>
      <c r="CAE20" s="4"/>
      <c r="CAF20" s="4"/>
      <c r="CAG20" s="4"/>
      <c r="CAH20" s="4"/>
      <c r="CAI20" s="4"/>
      <c r="CAJ20" s="4"/>
      <c r="CAK20" s="4"/>
      <c r="CAL20" s="4"/>
      <c r="CAM20" s="4"/>
      <c r="CAN20" s="4"/>
      <c r="CAO20" s="4"/>
      <c r="CAP20" s="4"/>
      <c r="CAQ20" s="4"/>
      <c r="CAR20" s="4"/>
      <c r="CAS20" s="4"/>
      <c r="CAT20" s="4"/>
      <c r="CAU20" s="4"/>
      <c r="CAV20" s="4"/>
      <c r="CAW20" s="4"/>
      <c r="CAX20" s="4"/>
      <c r="CAY20" s="4"/>
      <c r="CAZ20" s="4"/>
      <c r="CBA20" s="4"/>
      <c r="CBB20" s="4"/>
      <c r="CBC20" s="4"/>
      <c r="CBD20" s="4"/>
      <c r="CBE20" s="4"/>
      <c r="CBF20" s="4"/>
      <c r="CBG20" s="4"/>
      <c r="CBH20" s="4"/>
      <c r="CBI20" s="4"/>
      <c r="CBJ20" s="4"/>
      <c r="CBK20" s="4"/>
      <c r="CBL20" s="4"/>
      <c r="CBM20" s="4"/>
      <c r="CBN20" s="4"/>
      <c r="CBO20" s="4"/>
      <c r="CBP20" s="4"/>
      <c r="CBQ20" s="4"/>
      <c r="CBR20" s="4"/>
      <c r="CBS20" s="4"/>
      <c r="CBT20" s="4"/>
      <c r="CBU20" s="4"/>
      <c r="CBV20" s="4"/>
      <c r="CBW20" s="4"/>
      <c r="CBX20" s="4"/>
      <c r="CBY20" s="4"/>
      <c r="CBZ20" s="4"/>
      <c r="CCA20" s="4"/>
      <c r="CCB20" s="4"/>
      <c r="CCC20" s="4"/>
      <c r="CCD20" s="4"/>
      <c r="CCE20" s="4"/>
      <c r="CCF20" s="4"/>
      <c r="CCG20" s="4"/>
      <c r="CCH20" s="4"/>
      <c r="CCI20" s="4"/>
      <c r="CCJ20" s="4"/>
      <c r="CCK20" s="4"/>
      <c r="CCL20" s="4"/>
      <c r="CCM20" s="4"/>
      <c r="CCN20" s="4"/>
      <c r="CCO20" s="4"/>
      <c r="CCP20" s="4"/>
      <c r="CCQ20" s="4"/>
      <c r="CCR20" s="4"/>
      <c r="CCS20" s="4"/>
      <c r="CCT20" s="4"/>
      <c r="CCU20" s="4"/>
      <c r="CCV20" s="4"/>
      <c r="CCW20" s="4"/>
      <c r="CCX20" s="4"/>
      <c r="CCY20" s="4"/>
      <c r="CCZ20" s="4"/>
      <c r="CDA20" s="4"/>
      <c r="CDB20" s="4"/>
      <c r="CDC20" s="4"/>
      <c r="CDD20" s="4"/>
      <c r="CDE20" s="4"/>
      <c r="CDF20" s="4"/>
      <c r="CDG20" s="4"/>
      <c r="CDH20" s="4"/>
      <c r="CDI20" s="4"/>
      <c r="CDJ20" s="4"/>
      <c r="CDK20" s="4"/>
      <c r="CDL20" s="4"/>
      <c r="CDM20" s="4"/>
      <c r="CDN20" s="4"/>
      <c r="CDO20" s="4"/>
      <c r="CDP20" s="4"/>
      <c r="CDQ20" s="4"/>
      <c r="CDR20" s="4"/>
      <c r="CDS20" s="4"/>
      <c r="CDT20" s="4"/>
      <c r="CDU20" s="4"/>
      <c r="CDV20" s="4"/>
      <c r="CDW20" s="4"/>
      <c r="CDX20" s="4"/>
      <c r="CDY20" s="4"/>
      <c r="CDZ20" s="4"/>
      <c r="CEA20" s="4"/>
      <c r="CEB20" s="4"/>
      <c r="CEC20" s="4"/>
      <c r="CED20" s="4"/>
      <c r="CEE20" s="4"/>
      <c r="CEF20" s="4"/>
      <c r="CEG20" s="4"/>
      <c r="CEH20" s="4"/>
      <c r="CEI20" s="4"/>
      <c r="CEJ20" s="4"/>
      <c r="CEK20" s="4"/>
      <c r="CEL20" s="4"/>
      <c r="CEM20" s="4"/>
      <c r="CEN20" s="4"/>
      <c r="CEO20" s="4"/>
      <c r="CEP20" s="4"/>
      <c r="CEQ20" s="4"/>
      <c r="CER20" s="4"/>
      <c r="CES20" s="4"/>
      <c r="CET20" s="4"/>
      <c r="CEU20" s="4"/>
      <c r="CEV20" s="4"/>
      <c r="CEW20" s="4"/>
      <c r="CEX20" s="4"/>
      <c r="CEY20" s="4"/>
      <c r="CEZ20" s="4"/>
      <c r="CFA20" s="4"/>
      <c r="CFB20" s="4"/>
      <c r="CFC20" s="4"/>
      <c r="CFD20" s="4"/>
      <c r="CFE20" s="4"/>
      <c r="CFF20" s="4"/>
      <c r="CFG20" s="4"/>
      <c r="CFH20" s="4"/>
      <c r="CFI20" s="4"/>
      <c r="CFJ20" s="4"/>
      <c r="CFK20" s="4"/>
      <c r="CFL20" s="4"/>
      <c r="CFM20" s="4"/>
      <c r="CFN20" s="4"/>
      <c r="CFO20" s="4"/>
      <c r="CFP20" s="4"/>
      <c r="CFQ20" s="4"/>
      <c r="CFR20" s="4"/>
      <c r="CFS20" s="4"/>
      <c r="CFT20" s="4"/>
      <c r="CFU20" s="4"/>
      <c r="CFV20" s="4"/>
      <c r="CFW20" s="4"/>
      <c r="CFX20" s="4"/>
      <c r="CFY20" s="4"/>
      <c r="CFZ20" s="4"/>
      <c r="CGA20" s="4"/>
      <c r="CGB20" s="4"/>
      <c r="CGC20" s="4"/>
      <c r="CGD20" s="4"/>
      <c r="CGE20" s="4"/>
      <c r="CGF20" s="4"/>
      <c r="CGG20" s="4"/>
      <c r="CGH20" s="4"/>
      <c r="CGI20" s="4"/>
      <c r="CGJ20" s="4"/>
      <c r="CGK20" s="4"/>
      <c r="CGL20" s="4"/>
      <c r="CGM20" s="4"/>
      <c r="CGN20" s="4"/>
      <c r="CGO20" s="4"/>
      <c r="CGP20" s="4"/>
      <c r="CGQ20" s="4"/>
      <c r="CGR20" s="4"/>
      <c r="CGS20" s="4"/>
      <c r="CGT20" s="4"/>
      <c r="CGU20" s="4"/>
      <c r="CGV20" s="4"/>
      <c r="CGW20" s="4"/>
      <c r="CGX20" s="4"/>
      <c r="CGY20" s="4"/>
      <c r="CGZ20" s="4"/>
      <c r="CHA20" s="4"/>
      <c r="CHB20" s="4"/>
      <c r="CHC20" s="4"/>
      <c r="CHD20" s="4"/>
      <c r="CHE20" s="4"/>
      <c r="CHF20" s="4"/>
      <c r="CHG20" s="4"/>
      <c r="CHH20" s="4"/>
      <c r="CHI20" s="4"/>
      <c r="CHJ20" s="4"/>
      <c r="CHK20" s="4"/>
      <c r="CHL20" s="4"/>
      <c r="CHM20" s="4"/>
      <c r="CHN20" s="4"/>
      <c r="CHO20" s="4"/>
      <c r="CHP20" s="4"/>
      <c r="CHQ20" s="4"/>
      <c r="CHR20" s="4"/>
      <c r="CHS20" s="4"/>
      <c r="CHT20" s="4"/>
      <c r="CHU20" s="4"/>
      <c r="CHV20" s="4"/>
      <c r="CHW20" s="4"/>
      <c r="CHX20" s="4"/>
      <c r="CHY20" s="4"/>
      <c r="CHZ20" s="4"/>
      <c r="CIA20" s="4"/>
      <c r="CIB20" s="4"/>
      <c r="CIC20" s="4"/>
      <c r="CID20" s="4"/>
      <c r="CIE20" s="4"/>
      <c r="CIF20" s="4"/>
      <c r="CIG20" s="4"/>
      <c r="CIH20" s="4"/>
      <c r="CII20" s="4"/>
      <c r="CIJ20" s="4"/>
      <c r="CIK20" s="4"/>
      <c r="CIL20" s="4"/>
      <c r="CIM20" s="4"/>
      <c r="CIN20" s="4"/>
      <c r="CIO20" s="4"/>
      <c r="CIP20" s="4"/>
      <c r="CIQ20" s="4"/>
      <c r="CIR20" s="4"/>
      <c r="CIS20" s="4"/>
      <c r="CIT20" s="4"/>
      <c r="CIU20" s="4"/>
      <c r="CIV20" s="4"/>
      <c r="CIW20" s="4"/>
      <c r="CIX20" s="4"/>
      <c r="CIY20" s="4"/>
      <c r="CIZ20" s="4"/>
      <c r="CJA20" s="4"/>
      <c r="CJB20" s="4"/>
      <c r="CJC20" s="4"/>
      <c r="CJD20" s="4"/>
      <c r="CJE20" s="4"/>
      <c r="CJF20" s="4"/>
      <c r="CJG20" s="4"/>
      <c r="CJH20" s="4"/>
      <c r="CJI20" s="4"/>
      <c r="CJJ20" s="4"/>
      <c r="CJK20" s="4"/>
      <c r="CJL20" s="4"/>
      <c r="CJM20" s="4"/>
      <c r="CJN20" s="4"/>
      <c r="CJO20" s="4"/>
      <c r="CJP20" s="4"/>
      <c r="CJQ20" s="4"/>
      <c r="CJR20" s="4"/>
      <c r="CJS20" s="4"/>
      <c r="CJT20" s="4"/>
      <c r="CJU20" s="4"/>
      <c r="CJV20" s="4"/>
      <c r="CJW20" s="4"/>
      <c r="CJX20" s="4"/>
      <c r="CJY20" s="4"/>
      <c r="CJZ20" s="4"/>
      <c r="CKA20" s="4"/>
      <c r="CKB20" s="4"/>
      <c r="CKC20" s="4"/>
      <c r="CKD20" s="4"/>
      <c r="CKE20" s="4"/>
      <c r="CKF20" s="4"/>
      <c r="CKG20" s="4"/>
      <c r="CKH20" s="4"/>
      <c r="CKI20" s="4"/>
      <c r="CKJ20" s="4"/>
      <c r="CKK20" s="4"/>
      <c r="CKL20" s="4"/>
      <c r="CKM20" s="4"/>
      <c r="CKN20" s="4"/>
      <c r="CKO20" s="4"/>
      <c r="CKP20" s="4"/>
      <c r="CKQ20" s="4"/>
      <c r="CKR20" s="4"/>
      <c r="CKS20" s="4"/>
      <c r="CKT20" s="4"/>
      <c r="CKU20" s="4"/>
      <c r="CKV20" s="4"/>
      <c r="CKW20" s="4"/>
      <c r="CKX20" s="4"/>
      <c r="CKY20" s="4"/>
      <c r="CKZ20" s="4"/>
      <c r="CLA20" s="4"/>
      <c r="CLB20" s="4"/>
      <c r="CLC20" s="4"/>
      <c r="CLD20" s="4"/>
      <c r="CLE20" s="4"/>
      <c r="CLF20" s="4"/>
      <c r="CLG20" s="4"/>
      <c r="CLH20" s="4"/>
      <c r="CLI20" s="4"/>
      <c r="CLJ20" s="4"/>
      <c r="CLK20" s="4"/>
      <c r="CLL20" s="4"/>
      <c r="CLM20" s="4"/>
      <c r="CLN20" s="4"/>
      <c r="CLO20" s="4"/>
      <c r="CLP20" s="4"/>
      <c r="CLQ20" s="4"/>
      <c r="CLR20" s="4"/>
      <c r="CLS20" s="4"/>
      <c r="CLT20" s="4"/>
      <c r="CLU20" s="4"/>
      <c r="CLV20" s="4"/>
      <c r="CLW20" s="4"/>
      <c r="CLX20" s="4"/>
      <c r="CLY20" s="4"/>
      <c r="CLZ20" s="4"/>
      <c r="CMA20" s="4"/>
      <c r="CMB20" s="4"/>
      <c r="CMC20" s="4"/>
      <c r="CMD20" s="4"/>
      <c r="CME20" s="4"/>
      <c r="CMF20" s="4"/>
      <c r="CMG20" s="4"/>
      <c r="CMH20" s="4"/>
      <c r="CMI20" s="4"/>
      <c r="CMJ20" s="4"/>
      <c r="CMK20" s="4"/>
      <c r="CML20" s="4"/>
      <c r="CMM20" s="4"/>
      <c r="CMN20" s="4"/>
      <c r="CMO20" s="4"/>
      <c r="CMP20" s="4"/>
      <c r="CMQ20" s="4"/>
      <c r="CMR20" s="4"/>
      <c r="CMS20" s="4"/>
      <c r="CMT20" s="4"/>
      <c r="CMU20" s="4"/>
      <c r="CMV20" s="4"/>
      <c r="CMW20" s="4"/>
      <c r="CMX20" s="4"/>
      <c r="CMY20" s="4"/>
      <c r="CMZ20" s="4"/>
      <c r="CNA20" s="4"/>
      <c r="CNB20" s="4"/>
      <c r="CNC20" s="4"/>
      <c r="CND20" s="4"/>
      <c r="CNE20" s="4"/>
      <c r="CNF20" s="4"/>
      <c r="CNG20" s="4"/>
      <c r="CNH20" s="4"/>
      <c r="CNI20" s="4"/>
      <c r="CNJ20" s="4"/>
      <c r="CNK20" s="4"/>
      <c r="CNL20" s="4"/>
      <c r="CNM20" s="4"/>
      <c r="CNN20" s="4"/>
      <c r="CNO20" s="4"/>
      <c r="CNP20" s="4"/>
      <c r="CNQ20" s="4"/>
      <c r="CNR20" s="4"/>
      <c r="CNS20" s="4"/>
      <c r="CNT20" s="4"/>
      <c r="CNU20" s="4"/>
      <c r="CNV20" s="4"/>
      <c r="CNW20" s="4"/>
      <c r="CNX20" s="4"/>
      <c r="CNY20" s="4"/>
      <c r="CNZ20" s="4"/>
      <c r="COA20" s="4"/>
      <c r="COB20" s="4"/>
      <c r="COC20" s="4"/>
      <c r="COD20" s="4"/>
      <c r="COE20" s="4"/>
      <c r="COF20" s="4"/>
      <c r="COG20" s="4"/>
      <c r="COH20" s="4"/>
      <c r="COI20" s="4"/>
      <c r="COJ20" s="4"/>
      <c r="COK20" s="4"/>
      <c r="COL20" s="4"/>
      <c r="COM20" s="4"/>
      <c r="CON20" s="4"/>
      <c r="COO20" s="4"/>
      <c r="COP20" s="4"/>
      <c r="COQ20" s="4"/>
      <c r="COR20" s="4"/>
      <c r="COS20" s="4"/>
      <c r="COT20" s="4"/>
      <c r="COU20" s="4"/>
      <c r="COV20" s="4"/>
      <c r="COW20" s="4"/>
      <c r="COX20" s="4"/>
      <c r="COY20" s="4"/>
      <c r="COZ20" s="4"/>
      <c r="CPA20" s="4"/>
      <c r="CPB20" s="4"/>
      <c r="CPC20" s="4"/>
      <c r="CPD20" s="4"/>
      <c r="CPE20" s="4"/>
      <c r="CPF20" s="4"/>
      <c r="CPG20" s="4"/>
      <c r="CPH20" s="4"/>
      <c r="CPI20" s="4"/>
      <c r="CPJ20" s="4"/>
      <c r="CPK20" s="4"/>
      <c r="CPL20" s="4"/>
      <c r="CPM20" s="4"/>
      <c r="CPN20" s="4"/>
      <c r="CPO20" s="4"/>
      <c r="CPP20" s="4"/>
      <c r="CPQ20" s="4"/>
      <c r="CPR20" s="4"/>
      <c r="CPS20" s="4"/>
      <c r="CPT20" s="4"/>
      <c r="CPU20" s="4"/>
      <c r="CPV20" s="4"/>
      <c r="CPW20" s="4"/>
      <c r="CPX20" s="4"/>
      <c r="CPY20" s="4"/>
      <c r="CPZ20" s="4"/>
      <c r="CQA20" s="4"/>
      <c r="CQB20" s="4"/>
      <c r="CQC20" s="4"/>
      <c r="CQD20" s="4"/>
      <c r="CQE20" s="4"/>
      <c r="CQF20" s="4"/>
      <c r="CQG20" s="4"/>
      <c r="CQH20" s="4"/>
      <c r="CQI20" s="4"/>
      <c r="CQJ20" s="4"/>
      <c r="CQK20" s="4"/>
      <c r="CQL20" s="4"/>
      <c r="CQM20" s="4"/>
      <c r="CQN20" s="4"/>
      <c r="CQO20" s="4"/>
      <c r="CQP20" s="4"/>
      <c r="CQQ20" s="4"/>
      <c r="CQR20" s="4"/>
      <c r="CQS20" s="4"/>
      <c r="CQT20" s="4"/>
      <c r="CQU20" s="4"/>
      <c r="CQV20" s="4"/>
      <c r="CQW20" s="4"/>
      <c r="CQX20" s="4"/>
      <c r="CQY20" s="4"/>
      <c r="CQZ20" s="4"/>
      <c r="CRA20" s="4"/>
      <c r="CRB20" s="4"/>
      <c r="CRC20" s="4"/>
      <c r="CRD20" s="4"/>
      <c r="CRE20" s="4"/>
      <c r="CRF20" s="4"/>
      <c r="CRG20" s="4"/>
      <c r="CRH20" s="4"/>
      <c r="CRI20" s="4"/>
      <c r="CRJ20" s="4"/>
      <c r="CRK20" s="4"/>
      <c r="CRL20" s="4"/>
      <c r="CRM20" s="4"/>
      <c r="CRN20" s="4"/>
      <c r="CRO20" s="4"/>
      <c r="CRP20" s="4"/>
      <c r="CRQ20" s="4"/>
      <c r="CRR20" s="4"/>
      <c r="CRS20" s="4"/>
      <c r="CRT20" s="4"/>
      <c r="CRU20" s="4"/>
      <c r="CRV20" s="4"/>
      <c r="CRW20" s="4"/>
      <c r="CRX20" s="4"/>
      <c r="CRY20" s="4"/>
      <c r="CRZ20" s="4"/>
      <c r="CSA20" s="4"/>
      <c r="CSB20" s="4"/>
      <c r="CSC20" s="4"/>
      <c r="CSD20" s="4"/>
      <c r="CSE20" s="4"/>
      <c r="CSF20" s="4"/>
      <c r="CSG20" s="4"/>
      <c r="CSH20" s="4"/>
      <c r="CSI20" s="4"/>
      <c r="CSJ20" s="4"/>
      <c r="CSK20" s="4"/>
      <c r="CSL20" s="4"/>
      <c r="CSM20" s="4"/>
      <c r="CSN20" s="4"/>
      <c r="CSO20" s="4"/>
      <c r="CSP20" s="4"/>
      <c r="CSQ20" s="4"/>
      <c r="CSR20" s="4"/>
      <c r="CSS20" s="4"/>
      <c r="CST20" s="4"/>
      <c r="CSU20" s="4"/>
      <c r="CSV20" s="4"/>
      <c r="CSW20" s="4"/>
      <c r="CSX20" s="4"/>
      <c r="CSY20" s="4"/>
      <c r="CSZ20" s="4"/>
      <c r="CTA20" s="4"/>
      <c r="CTB20" s="4"/>
      <c r="CTC20" s="4"/>
      <c r="CTD20" s="4"/>
      <c r="CTE20" s="4"/>
      <c r="CTF20" s="4"/>
      <c r="CTG20" s="4"/>
      <c r="CTH20" s="4"/>
      <c r="CTI20" s="4"/>
      <c r="CTJ20" s="4"/>
      <c r="CTK20" s="4"/>
      <c r="CTL20" s="4"/>
      <c r="CTM20" s="4"/>
      <c r="CTN20" s="4"/>
      <c r="CTO20" s="4"/>
      <c r="CTP20" s="4"/>
      <c r="CTQ20" s="4"/>
      <c r="CTR20" s="4"/>
      <c r="CTS20" s="4"/>
      <c r="CTT20" s="4"/>
      <c r="CTU20" s="4"/>
      <c r="CTV20" s="4"/>
      <c r="CTW20" s="4"/>
      <c r="CTX20" s="4"/>
      <c r="CTY20" s="4"/>
      <c r="CTZ20" s="4"/>
      <c r="CUA20" s="4"/>
      <c r="CUB20" s="4"/>
      <c r="CUC20" s="4"/>
      <c r="CUD20" s="4"/>
      <c r="CUE20" s="4"/>
      <c r="CUF20" s="4"/>
      <c r="CUG20" s="4"/>
      <c r="CUH20" s="4"/>
      <c r="CUI20" s="4"/>
      <c r="CUJ20" s="4"/>
      <c r="CUK20" s="4"/>
      <c r="CUL20" s="4"/>
      <c r="CUM20" s="4"/>
      <c r="CUN20" s="4"/>
      <c r="CUO20" s="4"/>
      <c r="CUP20" s="4"/>
      <c r="CUQ20" s="4"/>
      <c r="CUR20" s="4"/>
      <c r="CUS20" s="4"/>
      <c r="CUT20" s="4"/>
      <c r="CUU20" s="4"/>
      <c r="CUV20" s="4"/>
      <c r="CUW20" s="4"/>
      <c r="CUX20" s="4"/>
      <c r="CUY20" s="4"/>
      <c r="CUZ20" s="4"/>
      <c r="CVA20" s="4"/>
      <c r="CVB20" s="4"/>
      <c r="CVC20" s="4"/>
      <c r="CVD20" s="4"/>
      <c r="CVE20" s="4"/>
      <c r="CVF20" s="4"/>
      <c r="CVG20" s="4"/>
      <c r="CVH20" s="4"/>
      <c r="CVI20" s="4"/>
      <c r="CVJ20" s="4"/>
      <c r="CVK20" s="4"/>
      <c r="CVL20" s="4"/>
      <c r="CVM20" s="4"/>
      <c r="CVN20" s="4"/>
      <c r="CVO20" s="4"/>
      <c r="CVP20" s="4"/>
      <c r="CVQ20" s="4"/>
      <c r="CVR20" s="4"/>
      <c r="CVS20" s="4"/>
      <c r="CVT20" s="4"/>
      <c r="CVU20" s="4"/>
      <c r="CVV20" s="4"/>
      <c r="CVW20" s="4"/>
      <c r="CVX20" s="4"/>
      <c r="CVY20" s="4"/>
      <c r="CVZ20" s="4"/>
      <c r="CWA20" s="4"/>
      <c r="CWB20" s="4"/>
      <c r="CWC20" s="4"/>
      <c r="CWD20" s="4"/>
      <c r="CWE20" s="4"/>
      <c r="CWF20" s="4"/>
      <c r="CWG20" s="4"/>
      <c r="CWH20" s="4"/>
      <c r="CWI20" s="4"/>
      <c r="CWJ20" s="4"/>
      <c r="CWK20" s="4"/>
      <c r="CWL20" s="4"/>
      <c r="CWM20" s="4"/>
      <c r="CWN20" s="4"/>
      <c r="CWO20" s="4"/>
      <c r="CWP20" s="4"/>
      <c r="CWQ20" s="4"/>
      <c r="CWR20" s="4"/>
      <c r="CWS20" s="4"/>
      <c r="CWT20" s="4"/>
      <c r="CWU20" s="4"/>
      <c r="CWV20" s="4"/>
      <c r="CWW20" s="4"/>
      <c r="CWX20" s="4"/>
      <c r="CWY20" s="4"/>
      <c r="CWZ20" s="4"/>
      <c r="CXA20" s="4"/>
      <c r="CXB20" s="4"/>
      <c r="CXC20" s="4"/>
      <c r="CXD20" s="4"/>
      <c r="CXE20" s="4"/>
      <c r="CXF20" s="4"/>
      <c r="CXG20" s="4"/>
      <c r="CXH20" s="4"/>
      <c r="CXI20" s="4"/>
      <c r="CXJ20" s="4"/>
      <c r="CXK20" s="4"/>
      <c r="CXL20" s="4"/>
      <c r="CXM20" s="4"/>
      <c r="CXN20" s="4"/>
      <c r="CXO20" s="4"/>
      <c r="CXP20" s="4"/>
      <c r="CXQ20" s="4"/>
      <c r="CXR20" s="4"/>
      <c r="CXS20" s="4"/>
      <c r="CXT20" s="4"/>
      <c r="CXU20" s="4"/>
      <c r="CXV20" s="4"/>
      <c r="CXW20" s="4"/>
      <c r="CXX20" s="4"/>
      <c r="CXY20" s="4"/>
      <c r="CXZ20" s="4"/>
      <c r="CYA20" s="4"/>
      <c r="CYB20" s="4"/>
      <c r="CYC20" s="4"/>
      <c r="CYD20" s="4"/>
      <c r="CYE20" s="4"/>
      <c r="CYF20" s="4"/>
      <c r="CYG20" s="4"/>
      <c r="CYH20" s="4"/>
      <c r="CYI20" s="4"/>
      <c r="CYJ20" s="4"/>
      <c r="CYK20" s="4"/>
      <c r="CYL20" s="4"/>
      <c r="CYM20" s="4"/>
      <c r="CYN20" s="4"/>
      <c r="CYO20" s="4"/>
      <c r="CYP20" s="4"/>
      <c r="CYQ20" s="4"/>
      <c r="CYR20" s="4"/>
      <c r="CYS20" s="4"/>
      <c r="CYT20" s="4"/>
      <c r="CYU20" s="4"/>
      <c r="CYV20" s="4"/>
      <c r="CYW20" s="4"/>
      <c r="CYX20" s="4"/>
      <c r="CYY20" s="4"/>
      <c r="CYZ20" s="4"/>
      <c r="CZA20" s="4"/>
      <c r="CZB20" s="4"/>
      <c r="CZC20" s="4"/>
      <c r="CZD20" s="4"/>
      <c r="CZE20" s="4"/>
      <c r="CZF20" s="4"/>
      <c r="CZG20" s="4"/>
      <c r="CZH20" s="4"/>
      <c r="CZI20" s="4"/>
      <c r="CZJ20" s="4"/>
      <c r="CZK20" s="4"/>
      <c r="CZL20" s="4"/>
      <c r="CZM20" s="4"/>
      <c r="CZN20" s="4"/>
      <c r="CZO20" s="4"/>
      <c r="CZP20" s="4"/>
      <c r="CZQ20" s="4"/>
      <c r="CZR20" s="4"/>
      <c r="CZS20" s="4"/>
      <c r="CZT20" s="4"/>
      <c r="CZU20" s="4"/>
      <c r="CZV20" s="4"/>
      <c r="CZW20" s="4"/>
      <c r="CZX20" s="4"/>
      <c r="CZY20" s="4"/>
      <c r="CZZ20" s="4"/>
      <c r="DAA20" s="4"/>
      <c r="DAB20" s="4"/>
      <c r="DAC20" s="4"/>
      <c r="DAD20" s="4"/>
      <c r="DAE20" s="4"/>
      <c r="DAF20" s="4"/>
      <c r="DAG20" s="4"/>
      <c r="DAH20" s="4"/>
      <c r="DAI20" s="4"/>
      <c r="DAJ20" s="4"/>
      <c r="DAK20" s="4"/>
      <c r="DAL20" s="4"/>
      <c r="DAM20" s="4"/>
      <c r="DAN20" s="4"/>
      <c r="DAO20" s="4"/>
      <c r="DAP20" s="4"/>
      <c r="DAQ20" s="4"/>
      <c r="DAR20" s="4"/>
      <c r="DAS20" s="4"/>
      <c r="DAT20" s="4"/>
      <c r="DAU20" s="4"/>
      <c r="DAV20" s="4"/>
      <c r="DAW20" s="4"/>
      <c r="DAX20" s="4"/>
      <c r="DAY20" s="4"/>
      <c r="DAZ20" s="4"/>
      <c r="DBA20" s="4"/>
      <c r="DBB20" s="4"/>
      <c r="DBC20" s="4"/>
      <c r="DBD20" s="4"/>
      <c r="DBE20" s="4"/>
      <c r="DBF20" s="4"/>
      <c r="DBG20" s="4"/>
      <c r="DBH20" s="4"/>
      <c r="DBI20" s="4"/>
      <c r="DBJ20" s="4"/>
      <c r="DBK20" s="4"/>
      <c r="DBL20" s="4"/>
      <c r="DBM20" s="4"/>
      <c r="DBN20" s="4"/>
      <c r="DBO20" s="4"/>
      <c r="DBP20" s="4"/>
      <c r="DBQ20" s="4"/>
      <c r="DBR20" s="4"/>
      <c r="DBS20" s="4"/>
      <c r="DBT20" s="4"/>
      <c r="DBU20" s="4"/>
      <c r="DBV20" s="4"/>
      <c r="DBW20" s="4"/>
      <c r="DBX20" s="4"/>
      <c r="DBY20" s="4"/>
      <c r="DBZ20" s="4"/>
      <c r="DCA20" s="4"/>
      <c r="DCB20" s="4"/>
      <c r="DCC20" s="4"/>
      <c r="DCD20" s="4"/>
      <c r="DCE20" s="4"/>
      <c r="DCF20" s="4"/>
      <c r="DCG20" s="4"/>
      <c r="DCH20" s="4"/>
      <c r="DCI20" s="4"/>
      <c r="DCJ20" s="4"/>
      <c r="DCK20" s="4"/>
      <c r="DCL20" s="4"/>
      <c r="DCM20" s="4"/>
      <c r="DCN20" s="4"/>
      <c r="DCO20" s="4"/>
      <c r="DCP20" s="4"/>
      <c r="DCQ20" s="4"/>
      <c r="DCR20" s="4"/>
      <c r="DCS20" s="4"/>
      <c r="DCT20" s="4"/>
      <c r="DCU20" s="4"/>
      <c r="DCV20" s="4"/>
      <c r="DCW20" s="4"/>
      <c r="DCX20" s="4"/>
      <c r="DCY20" s="4"/>
      <c r="DCZ20" s="4"/>
      <c r="DDA20" s="4"/>
      <c r="DDB20" s="4"/>
      <c r="DDC20" s="4"/>
      <c r="DDD20" s="4"/>
      <c r="DDE20" s="4"/>
      <c r="DDF20" s="4"/>
      <c r="DDG20" s="4"/>
      <c r="DDH20" s="4"/>
      <c r="DDI20" s="4"/>
      <c r="DDJ20" s="4"/>
      <c r="DDK20" s="4"/>
      <c r="DDL20" s="4"/>
      <c r="DDM20" s="4"/>
      <c r="DDN20" s="4"/>
      <c r="DDO20" s="4"/>
      <c r="DDP20" s="4"/>
      <c r="DDQ20" s="4"/>
      <c r="DDR20" s="4"/>
      <c r="DDS20" s="4"/>
      <c r="DDT20" s="4"/>
      <c r="DDU20" s="4"/>
      <c r="DDV20" s="4"/>
      <c r="DDW20" s="4"/>
      <c r="DDX20" s="4"/>
      <c r="DDY20" s="4"/>
      <c r="DDZ20" s="4"/>
      <c r="DEA20" s="4"/>
      <c r="DEB20" s="4"/>
      <c r="DEC20" s="4"/>
      <c r="DED20" s="4"/>
      <c r="DEE20" s="4"/>
      <c r="DEF20" s="4"/>
      <c r="DEG20" s="4"/>
      <c r="DEH20" s="4"/>
      <c r="DEI20" s="4"/>
      <c r="DEJ20" s="4"/>
      <c r="DEK20" s="4"/>
      <c r="DEL20" s="4"/>
      <c r="DEM20" s="4"/>
      <c r="DEN20" s="4"/>
      <c r="DEO20" s="4"/>
      <c r="DEP20" s="4"/>
      <c r="DEQ20" s="4"/>
      <c r="DER20" s="4"/>
      <c r="DES20" s="4"/>
      <c r="DET20" s="4"/>
      <c r="DEU20" s="4"/>
      <c r="DEV20" s="4"/>
      <c r="DEW20" s="4"/>
      <c r="DEX20" s="4"/>
      <c r="DEY20" s="4"/>
      <c r="DEZ20" s="4"/>
      <c r="DFA20" s="4"/>
      <c r="DFB20" s="4"/>
      <c r="DFC20" s="4"/>
      <c r="DFD20" s="4"/>
      <c r="DFE20" s="4"/>
      <c r="DFF20" s="4"/>
      <c r="DFG20" s="4"/>
      <c r="DFH20" s="4"/>
      <c r="DFI20" s="4"/>
      <c r="DFJ20" s="4"/>
      <c r="DFK20" s="4"/>
      <c r="DFL20" s="4"/>
      <c r="DFM20" s="4"/>
      <c r="DFN20" s="4"/>
      <c r="DFO20" s="4"/>
      <c r="DFP20" s="4"/>
      <c r="DFQ20" s="4"/>
      <c r="DFR20" s="4"/>
      <c r="DFS20" s="4"/>
      <c r="DFT20" s="4"/>
      <c r="DFU20" s="4"/>
      <c r="DFV20" s="4"/>
      <c r="DFW20" s="4"/>
      <c r="DFX20" s="4"/>
      <c r="DFY20" s="4"/>
      <c r="DFZ20" s="4"/>
      <c r="DGA20" s="4"/>
      <c r="DGB20" s="4"/>
      <c r="DGC20" s="4"/>
      <c r="DGD20" s="4"/>
      <c r="DGE20" s="4"/>
      <c r="DGF20" s="4"/>
      <c r="DGG20" s="4"/>
      <c r="DGH20" s="4"/>
      <c r="DGI20" s="4"/>
      <c r="DGJ20" s="4"/>
      <c r="DGK20" s="4"/>
      <c r="DGL20" s="4"/>
      <c r="DGM20" s="4"/>
      <c r="DGN20" s="4"/>
      <c r="DGO20" s="4"/>
      <c r="DGP20" s="4"/>
      <c r="DGQ20" s="4"/>
      <c r="DGR20" s="4"/>
      <c r="DGS20" s="4"/>
      <c r="DGT20" s="4"/>
      <c r="DGU20" s="4"/>
      <c r="DGV20" s="4"/>
      <c r="DGW20" s="4"/>
      <c r="DGX20" s="4"/>
      <c r="DGY20" s="4"/>
      <c r="DGZ20" s="4"/>
      <c r="DHA20" s="4"/>
      <c r="DHB20" s="4"/>
      <c r="DHC20" s="4"/>
      <c r="DHD20" s="4"/>
      <c r="DHE20" s="4"/>
      <c r="DHF20" s="4"/>
      <c r="DHG20" s="4"/>
      <c r="DHH20" s="4"/>
      <c r="DHI20" s="4"/>
      <c r="DHJ20" s="4"/>
      <c r="DHK20" s="4"/>
      <c r="DHL20" s="4"/>
      <c r="DHM20" s="4"/>
      <c r="DHN20" s="4"/>
      <c r="DHO20" s="4"/>
      <c r="DHP20" s="4"/>
      <c r="DHQ20" s="4"/>
      <c r="DHR20" s="4"/>
      <c r="DHS20" s="4"/>
      <c r="DHT20" s="4"/>
      <c r="DHU20" s="4"/>
      <c r="DHV20" s="4"/>
      <c r="DHW20" s="4"/>
      <c r="DHX20" s="4"/>
      <c r="DHY20" s="4"/>
      <c r="DHZ20" s="4"/>
      <c r="DIA20" s="4"/>
      <c r="DIB20" s="4"/>
      <c r="DIC20" s="4"/>
      <c r="DID20" s="4"/>
      <c r="DIE20" s="4"/>
      <c r="DIF20" s="4"/>
      <c r="DIG20" s="4"/>
      <c r="DIH20" s="4"/>
      <c r="DII20" s="4"/>
      <c r="DIJ20" s="4"/>
      <c r="DIK20" s="4"/>
      <c r="DIL20" s="4"/>
      <c r="DIM20" s="4"/>
      <c r="DIN20" s="4"/>
      <c r="DIO20" s="4"/>
      <c r="DIP20" s="4"/>
      <c r="DIQ20" s="4"/>
      <c r="DIR20" s="4"/>
      <c r="DIS20" s="4"/>
      <c r="DIT20" s="4"/>
      <c r="DIU20" s="4"/>
      <c r="DIV20" s="4"/>
      <c r="DIW20" s="4"/>
      <c r="DIX20" s="4"/>
      <c r="DIY20" s="4"/>
      <c r="DIZ20" s="4"/>
      <c r="DJA20" s="4"/>
      <c r="DJB20" s="4"/>
      <c r="DJC20" s="4"/>
      <c r="DJD20" s="4"/>
      <c r="DJE20" s="4"/>
      <c r="DJF20" s="4"/>
      <c r="DJG20" s="4"/>
      <c r="DJH20" s="4"/>
      <c r="DJI20" s="4"/>
      <c r="DJJ20" s="4"/>
      <c r="DJK20" s="4"/>
      <c r="DJL20" s="4"/>
      <c r="DJM20" s="4"/>
      <c r="DJN20" s="4"/>
      <c r="DJO20" s="4"/>
      <c r="DJP20" s="4"/>
      <c r="DJQ20" s="4"/>
      <c r="DJR20" s="4"/>
      <c r="DJS20" s="4"/>
      <c r="DJT20" s="4"/>
      <c r="DJU20" s="4"/>
      <c r="DJV20" s="4"/>
      <c r="DJW20" s="4"/>
      <c r="DJX20" s="4"/>
      <c r="DJY20" s="4"/>
      <c r="DJZ20" s="4"/>
      <c r="DKA20" s="4"/>
      <c r="DKB20" s="4"/>
      <c r="DKC20" s="4"/>
      <c r="DKD20" s="4"/>
      <c r="DKE20" s="4"/>
      <c r="DKF20" s="4"/>
      <c r="DKG20" s="4"/>
      <c r="DKH20" s="4"/>
      <c r="DKI20" s="4"/>
      <c r="DKJ20" s="4"/>
      <c r="DKK20" s="4"/>
      <c r="DKL20" s="4"/>
      <c r="DKM20" s="4"/>
      <c r="DKN20" s="4"/>
      <c r="DKO20" s="4"/>
      <c r="DKP20" s="4"/>
      <c r="DKQ20" s="4"/>
      <c r="DKR20" s="4"/>
      <c r="DKS20" s="4"/>
      <c r="DKT20" s="4"/>
      <c r="DKU20" s="4"/>
      <c r="DKV20" s="4"/>
      <c r="DKW20" s="4"/>
      <c r="DKX20" s="4"/>
      <c r="DKY20" s="4"/>
      <c r="DKZ20" s="4"/>
      <c r="DLA20" s="4"/>
      <c r="DLB20" s="4"/>
      <c r="DLC20" s="4"/>
      <c r="DLD20" s="4"/>
      <c r="DLE20" s="4"/>
      <c r="DLF20" s="4"/>
      <c r="DLG20" s="4"/>
      <c r="DLH20" s="4"/>
      <c r="DLI20" s="4"/>
      <c r="DLJ20" s="4"/>
      <c r="DLK20" s="4"/>
      <c r="DLL20" s="4"/>
      <c r="DLM20" s="4"/>
      <c r="DLN20" s="4"/>
      <c r="DLO20" s="4"/>
      <c r="DLP20" s="4"/>
      <c r="DLQ20" s="4"/>
      <c r="DLR20" s="4"/>
      <c r="DLS20" s="4"/>
      <c r="DLT20" s="4"/>
      <c r="DLU20" s="4"/>
      <c r="DLV20" s="4"/>
      <c r="DLW20" s="4"/>
      <c r="DLX20" s="4"/>
      <c r="DLY20" s="4"/>
      <c r="DLZ20" s="4"/>
      <c r="DMA20" s="4"/>
      <c r="DMB20" s="4"/>
      <c r="DMC20" s="4"/>
      <c r="DMD20" s="4"/>
      <c r="DME20" s="4"/>
      <c r="DMF20" s="4"/>
      <c r="DMG20" s="4"/>
      <c r="DMH20" s="4"/>
      <c r="DMI20" s="4"/>
      <c r="DMJ20" s="4"/>
      <c r="DMK20" s="4"/>
      <c r="DML20" s="4"/>
      <c r="DMM20" s="4"/>
      <c r="DMN20" s="4"/>
      <c r="DMO20" s="4"/>
      <c r="DMP20" s="4"/>
      <c r="DMQ20" s="4"/>
      <c r="DMR20" s="4"/>
      <c r="DMS20" s="4"/>
      <c r="DMT20" s="4"/>
      <c r="DMU20" s="4"/>
      <c r="DMV20" s="4"/>
      <c r="DMW20" s="4"/>
      <c r="DMX20" s="4"/>
      <c r="DMY20" s="4"/>
      <c r="DMZ20" s="4"/>
      <c r="DNA20" s="4"/>
      <c r="DNB20" s="4"/>
      <c r="DNC20" s="4"/>
      <c r="DND20" s="4"/>
      <c r="DNE20" s="4"/>
      <c r="DNF20" s="4"/>
      <c r="DNG20" s="4"/>
      <c r="DNH20" s="4"/>
      <c r="DNI20" s="4"/>
      <c r="DNJ20" s="4"/>
      <c r="DNK20" s="4"/>
      <c r="DNL20" s="4"/>
      <c r="DNM20" s="4"/>
      <c r="DNN20" s="4"/>
      <c r="DNO20" s="4"/>
      <c r="DNP20" s="4"/>
      <c r="DNQ20" s="4"/>
      <c r="DNR20" s="4"/>
      <c r="DNS20" s="4"/>
      <c r="DNT20" s="4"/>
      <c r="DNU20" s="4"/>
      <c r="DNV20" s="4"/>
      <c r="DNW20" s="4"/>
      <c r="DNX20" s="4"/>
      <c r="DNY20" s="4"/>
      <c r="DNZ20" s="4"/>
      <c r="DOA20" s="4"/>
      <c r="DOB20" s="4"/>
      <c r="DOC20" s="4"/>
      <c r="DOD20" s="4"/>
      <c r="DOE20" s="4"/>
      <c r="DOF20" s="4"/>
      <c r="DOG20" s="4"/>
      <c r="DOH20" s="4"/>
      <c r="DOI20" s="4"/>
      <c r="DOJ20" s="4"/>
      <c r="DOK20" s="4"/>
      <c r="DOL20" s="4"/>
      <c r="DOM20" s="4"/>
      <c r="DON20" s="4"/>
      <c r="DOO20" s="4"/>
      <c r="DOP20" s="4"/>
      <c r="DOQ20" s="4"/>
      <c r="DOR20" s="4"/>
      <c r="DOS20" s="4"/>
      <c r="DOT20" s="4"/>
      <c r="DOU20" s="4"/>
      <c r="DOV20" s="4"/>
      <c r="DOW20" s="4"/>
      <c r="DOX20" s="4"/>
      <c r="DOY20" s="4"/>
      <c r="DOZ20" s="4"/>
      <c r="DPA20" s="4"/>
      <c r="DPB20" s="4"/>
      <c r="DPC20" s="4"/>
      <c r="DPD20" s="4"/>
      <c r="DPE20" s="4"/>
      <c r="DPF20" s="4"/>
      <c r="DPG20" s="4"/>
      <c r="DPH20" s="4"/>
      <c r="DPI20" s="4"/>
      <c r="DPJ20" s="4"/>
      <c r="DPK20" s="4"/>
      <c r="DPL20" s="4"/>
      <c r="DPM20" s="4"/>
      <c r="DPN20" s="4"/>
      <c r="DPO20" s="4"/>
      <c r="DPP20" s="4"/>
      <c r="DPQ20" s="4"/>
      <c r="DPR20" s="4"/>
      <c r="DPS20" s="4"/>
      <c r="DPT20" s="4"/>
      <c r="DPU20" s="4"/>
      <c r="DPV20" s="4"/>
      <c r="DPW20" s="4"/>
      <c r="DPX20" s="4"/>
      <c r="DPY20" s="4"/>
      <c r="DPZ20" s="4"/>
      <c r="DQA20" s="4"/>
      <c r="DQB20" s="4"/>
      <c r="DQC20" s="4"/>
      <c r="DQD20" s="4"/>
      <c r="DQE20" s="4"/>
      <c r="DQF20" s="4"/>
      <c r="DQG20" s="4"/>
      <c r="DQH20" s="4"/>
      <c r="DQI20" s="4"/>
      <c r="DQJ20" s="4"/>
      <c r="DQK20" s="4"/>
      <c r="DQL20" s="4"/>
      <c r="DQM20" s="4"/>
      <c r="DQN20" s="4"/>
      <c r="DQO20" s="4"/>
      <c r="DQP20" s="4"/>
      <c r="DQQ20" s="4"/>
      <c r="DQR20" s="4"/>
      <c r="DQS20" s="4"/>
      <c r="DQT20" s="4"/>
      <c r="DQU20" s="4"/>
      <c r="DQV20" s="4"/>
      <c r="DQW20" s="4"/>
      <c r="DQX20" s="4"/>
      <c r="DQY20" s="4"/>
      <c r="DQZ20" s="4"/>
      <c r="DRA20" s="4"/>
      <c r="DRB20" s="4"/>
      <c r="DRC20" s="4"/>
      <c r="DRD20" s="4"/>
      <c r="DRE20" s="4"/>
      <c r="DRF20" s="4"/>
      <c r="DRG20" s="4"/>
      <c r="DRH20" s="4"/>
      <c r="DRI20" s="4"/>
      <c r="DRJ20" s="4"/>
      <c r="DRK20" s="4"/>
      <c r="DRL20" s="4"/>
      <c r="DRM20" s="4"/>
      <c r="DRN20" s="4"/>
      <c r="DRO20" s="4"/>
      <c r="DRP20" s="4"/>
      <c r="DRQ20" s="4"/>
      <c r="DRR20" s="4"/>
      <c r="DRS20" s="4"/>
      <c r="DRT20" s="4"/>
      <c r="DRU20" s="4"/>
      <c r="DRV20" s="4"/>
      <c r="DRW20" s="4"/>
      <c r="DRX20" s="4"/>
      <c r="DRY20" s="4"/>
      <c r="DRZ20" s="4"/>
      <c r="DSA20" s="4"/>
      <c r="DSB20" s="4"/>
      <c r="DSC20" s="4"/>
      <c r="DSD20" s="4"/>
      <c r="DSE20" s="4"/>
      <c r="DSF20" s="4"/>
      <c r="DSG20" s="4"/>
      <c r="DSH20" s="4"/>
      <c r="DSI20" s="4"/>
      <c r="DSJ20" s="4"/>
      <c r="DSK20" s="4"/>
      <c r="DSL20" s="4"/>
      <c r="DSM20" s="4"/>
      <c r="DSN20" s="4"/>
      <c r="DSO20" s="4"/>
      <c r="DSP20" s="4"/>
      <c r="DSQ20" s="4"/>
      <c r="DSR20" s="4"/>
      <c r="DSS20" s="4"/>
      <c r="DST20" s="4"/>
      <c r="DSU20" s="4"/>
      <c r="DSV20" s="4"/>
      <c r="DSW20" s="4"/>
      <c r="DSX20" s="4"/>
      <c r="DSY20" s="4"/>
      <c r="DSZ20" s="4"/>
      <c r="DTA20" s="4"/>
      <c r="DTB20" s="4"/>
      <c r="DTC20" s="4"/>
      <c r="DTD20" s="4"/>
      <c r="DTE20" s="4"/>
      <c r="DTF20" s="4"/>
      <c r="DTG20" s="4"/>
      <c r="DTH20" s="4"/>
      <c r="DTI20" s="4"/>
      <c r="DTJ20" s="4"/>
      <c r="DTK20" s="4"/>
      <c r="DTL20" s="4"/>
      <c r="DTM20" s="4"/>
      <c r="DTN20" s="4"/>
      <c r="DTO20" s="4"/>
      <c r="DTP20" s="4"/>
      <c r="DTQ20" s="4"/>
      <c r="DTR20" s="4"/>
      <c r="DTS20" s="4"/>
      <c r="DTT20" s="4"/>
      <c r="DTU20" s="4"/>
      <c r="DTV20" s="4"/>
      <c r="DTW20" s="4"/>
      <c r="DTX20" s="4"/>
      <c r="DTY20" s="4"/>
      <c r="DTZ20" s="4"/>
      <c r="DUA20" s="4"/>
      <c r="DUB20" s="4"/>
      <c r="DUC20" s="4"/>
      <c r="DUD20" s="4"/>
      <c r="DUE20" s="4"/>
      <c r="DUF20" s="4"/>
      <c r="DUG20" s="4"/>
      <c r="DUH20" s="4"/>
      <c r="DUI20" s="4"/>
      <c r="DUJ20" s="4"/>
      <c r="DUK20" s="4"/>
      <c r="DUL20" s="4"/>
      <c r="DUM20" s="4"/>
      <c r="DUN20" s="4"/>
      <c r="DUO20" s="4"/>
      <c r="DUP20" s="4"/>
      <c r="DUQ20" s="4"/>
      <c r="DUR20" s="4"/>
      <c r="DUS20" s="4"/>
      <c r="DUT20" s="4"/>
      <c r="DUU20" s="4"/>
      <c r="DUV20" s="4"/>
      <c r="DUW20" s="4"/>
      <c r="DUX20" s="4"/>
      <c r="DUY20" s="4"/>
      <c r="DUZ20" s="4"/>
      <c r="DVA20" s="4"/>
      <c r="DVB20" s="4"/>
      <c r="DVC20" s="4"/>
      <c r="DVD20" s="4"/>
      <c r="DVE20" s="4"/>
      <c r="DVF20" s="4"/>
      <c r="DVG20" s="4"/>
      <c r="DVH20" s="4"/>
      <c r="DVI20" s="4"/>
      <c r="DVJ20" s="4"/>
      <c r="DVK20" s="4"/>
      <c r="DVL20" s="4"/>
      <c r="DVM20" s="4"/>
      <c r="DVN20" s="4"/>
      <c r="DVO20" s="4"/>
      <c r="DVP20" s="4"/>
      <c r="DVQ20" s="4"/>
      <c r="DVR20" s="4"/>
      <c r="DVS20" s="4"/>
      <c r="DVT20" s="4"/>
      <c r="DVU20" s="4"/>
      <c r="DVV20" s="4"/>
      <c r="DVW20" s="4"/>
      <c r="DVX20" s="4"/>
      <c r="DVY20" s="4"/>
      <c r="DVZ20" s="4"/>
      <c r="DWA20" s="4"/>
      <c r="DWB20" s="4"/>
      <c r="DWC20" s="4"/>
      <c r="DWD20" s="4"/>
      <c r="DWE20" s="4"/>
      <c r="DWF20" s="4"/>
      <c r="DWG20" s="4"/>
      <c r="DWH20" s="4"/>
      <c r="DWI20" s="4"/>
      <c r="DWJ20" s="4"/>
      <c r="DWK20" s="4"/>
      <c r="DWL20" s="4"/>
      <c r="DWM20" s="4"/>
      <c r="DWN20" s="4"/>
      <c r="DWO20" s="4"/>
      <c r="DWP20" s="4"/>
      <c r="DWQ20" s="4"/>
      <c r="DWR20" s="4"/>
      <c r="DWS20" s="4"/>
      <c r="DWT20" s="4"/>
      <c r="DWU20" s="4"/>
      <c r="DWV20" s="4"/>
      <c r="DWW20" s="4"/>
      <c r="DWX20" s="4"/>
      <c r="DWY20" s="4"/>
      <c r="DWZ20" s="4"/>
      <c r="DXA20" s="4"/>
      <c r="DXB20" s="4"/>
      <c r="DXC20" s="4"/>
      <c r="DXD20" s="4"/>
      <c r="DXE20" s="4"/>
      <c r="DXF20" s="4"/>
      <c r="DXG20" s="4"/>
      <c r="DXH20" s="4"/>
      <c r="DXI20" s="4"/>
      <c r="DXJ20" s="4"/>
      <c r="DXK20" s="4"/>
      <c r="DXL20" s="4"/>
      <c r="DXM20" s="4"/>
      <c r="DXN20" s="4"/>
      <c r="DXO20" s="4"/>
      <c r="DXP20" s="4"/>
      <c r="DXQ20" s="4"/>
      <c r="DXR20" s="4"/>
      <c r="DXS20" s="4"/>
      <c r="DXT20" s="4"/>
      <c r="DXU20" s="4"/>
      <c r="DXV20" s="4"/>
      <c r="DXW20" s="4"/>
      <c r="DXX20" s="4"/>
      <c r="DXY20" s="4"/>
      <c r="DXZ20" s="4"/>
      <c r="DYA20" s="4"/>
      <c r="DYB20" s="4"/>
      <c r="DYC20" s="4"/>
      <c r="DYD20" s="4"/>
      <c r="DYE20" s="4"/>
      <c r="DYF20" s="4"/>
      <c r="DYG20" s="4"/>
      <c r="DYH20" s="4"/>
      <c r="DYI20" s="4"/>
      <c r="DYJ20" s="4"/>
      <c r="DYK20" s="4"/>
      <c r="DYL20" s="4"/>
      <c r="DYM20" s="4"/>
      <c r="DYN20" s="4"/>
      <c r="DYO20" s="4"/>
      <c r="DYP20" s="4"/>
      <c r="DYQ20" s="4"/>
      <c r="DYR20" s="4"/>
      <c r="DYS20" s="4"/>
      <c r="DYT20" s="4"/>
      <c r="DYU20" s="4"/>
      <c r="DYV20" s="4"/>
      <c r="DYW20" s="4"/>
      <c r="DYX20" s="4"/>
      <c r="DYY20" s="4"/>
      <c r="DYZ20" s="4"/>
      <c r="DZA20" s="4"/>
      <c r="DZB20" s="4"/>
      <c r="DZC20" s="4"/>
      <c r="DZD20" s="4"/>
      <c r="DZE20" s="4"/>
      <c r="DZF20" s="4"/>
      <c r="DZG20" s="4"/>
      <c r="DZH20" s="4"/>
      <c r="DZI20" s="4"/>
      <c r="DZJ20" s="4"/>
      <c r="DZK20" s="4"/>
      <c r="DZL20" s="4"/>
      <c r="DZM20" s="4"/>
      <c r="DZN20" s="4"/>
      <c r="DZO20" s="4"/>
      <c r="DZP20" s="4"/>
      <c r="DZQ20" s="4"/>
      <c r="DZR20" s="4"/>
      <c r="DZS20" s="4"/>
      <c r="DZT20" s="4"/>
      <c r="DZU20" s="4"/>
      <c r="DZV20" s="4"/>
      <c r="DZW20" s="4"/>
      <c r="DZX20" s="4"/>
      <c r="DZY20" s="4"/>
      <c r="DZZ20" s="4"/>
      <c r="EAA20" s="4"/>
      <c r="EAB20" s="4"/>
      <c r="EAC20" s="4"/>
      <c r="EAD20" s="4"/>
      <c r="EAE20" s="4"/>
      <c r="EAF20" s="4"/>
      <c r="EAG20" s="4"/>
      <c r="EAH20" s="4"/>
      <c r="EAI20" s="4"/>
      <c r="EAJ20" s="4"/>
      <c r="EAK20" s="4"/>
      <c r="EAL20" s="4"/>
      <c r="EAM20" s="4"/>
      <c r="EAN20" s="4"/>
      <c r="EAO20" s="4"/>
      <c r="EAP20" s="4"/>
      <c r="EAQ20" s="4"/>
      <c r="EAR20" s="4"/>
      <c r="EAS20" s="4"/>
      <c r="EAT20" s="4"/>
      <c r="EAU20" s="4"/>
      <c r="EAV20" s="4"/>
      <c r="EAW20" s="4"/>
      <c r="EAX20" s="4"/>
      <c r="EAY20" s="4"/>
      <c r="EAZ20" s="4"/>
      <c r="EBA20" s="4"/>
      <c r="EBB20" s="4"/>
      <c r="EBC20" s="4"/>
      <c r="EBD20" s="4"/>
      <c r="EBE20" s="4"/>
      <c r="EBF20" s="4"/>
      <c r="EBG20" s="4"/>
      <c r="EBH20" s="4"/>
      <c r="EBI20" s="4"/>
      <c r="EBJ20" s="4"/>
      <c r="EBK20" s="4"/>
      <c r="EBL20" s="4"/>
      <c r="EBM20" s="4"/>
      <c r="EBN20" s="4"/>
      <c r="EBO20" s="4"/>
      <c r="EBP20" s="4"/>
      <c r="EBQ20" s="4"/>
      <c r="EBR20" s="4"/>
      <c r="EBS20" s="4"/>
      <c r="EBT20" s="4"/>
      <c r="EBU20" s="4"/>
      <c r="EBV20" s="4"/>
      <c r="EBW20" s="4"/>
      <c r="EBX20" s="4"/>
      <c r="EBY20" s="4"/>
      <c r="EBZ20" s="4"/>
      <c r="ECA20" s="4"/>
      <c r="ECB20" s="4"/>
      <c r="ECC20" s="4"/>
      <c r="ECD20" s="4"/>
      <c r="ECE20" s="4"/>
      <c r="ECF20" s="4"/>
      <c r="ECG20" s="4"/>
      <c r="ECH20" s="4"/>
      <c r="ECI20" s="4"/>
      <c r="ECJ20" s="4"/>
      <c r="ECK20" s="4"/>
      <c r="ECL20" s="4"/>
      <c r="ECM20" s="4"/>
      <c r="ECN20" s="4"/>
      <c r="ECO20" s="4"/>
      <c r="ECP20" s="4"/>
      <c r="ECQ20" s="4"/>
      <c r="ECR20" s="4"/>
      <c r="ECS20" s="4"/>
      <c r="ECT20" s="4"/>
      <c r="ECU20" s="4"/>
      <c r="ECV20" s="4"/>
      <c r="ECW20" s="4"/>
      <c r="ECX20" s="4"/>
      <c r="ECY20" s="4"/>
      <c r="ECZ20" s="4"/>
      <c r="EDA20" s="4"/>
      <c r="EDB20" s="4"/>
      <c r="EDC20" s="4"/>
      <c r="EDD20" s="4"/>
      <c r="EDE20" s="4"/>
      <c r="EDF20" s="4"/>
      <c r="EDG20" s="4"/>
      <c r="EDH20" s="4"/>
      <c r="EDI20" s="4"/>
      <c r="EDJ20" s="4"/>
      <c r="EDK20" s="4"/>
      <c r="EDL20" s="4"/>
      <c r="EDM20" s="4"/>
      <c r="EDN20" s="4"/>
      <c r="EDO20" s="4"/>
      <c r="EDP20" s="4"/>
      <c r="EDQ20" s="4"/>
      <c r="EDR20" s="4"/>
      <c r="EDS20" s="4"/>
      <c r="EDT20" s="4"/>
      <c r="EDU20" s="4"/>
      <c r="EDV20" s="4"/>
      <c r="EDW20" s="4"/>
      <c r="EDX20" s="4"/>
      <c r="EDY20" s="4"/>
      <c r="EDZ20" s="4"/>
      <c r="EEA20" s="4"/>
      <c r="EEB20" s="4"/>
      <c r="EEC20" s="4"/>
      <c r="EED20" s="4"/>
      <c r="EEE20" s="4"/>
      <c r="EEF20" s="4"/>
      <c r="EEG20" s="4"/>
      <c r="EEH20" s="4"/>
      <c r="EEI20" s="4"/>
      <c r="EEJ20" s="4"/>
      <c r="EEK20" s="4"/>
      <c r="EEL20" s="4"/>
      <c r="EEM20" s="4"/>
      <c r="EEN20" s="4"/>
      <c r="EEO20" s="4"/>
      <c r="EEP20" s="4"/>
      <c r="EEQ20" s="4"/>
      <c r="EER20" s="4"/>
      <c r="EES20" s="4"/>
      <c r="EET20" s="4"/>
      <c r="EEU20" s="4"/>
      <c r="EEV20" s="4"/>
      <c r="EEW20" s="4"/>
      <c r="EEX20" s="4"/>
      <c r="EEY20" s="4"/>
      <c r="EEZ20" s="4"/>
      <c r="EFA20" s="4"/>
      <c r="EFB20" s="4"/>
      <c r="EFC20" s="4"/>
      <c r="EFD20" s="4"/>
      <c r="EFE20" s="4"/>
      <c r="EFF20" s="4"/>
      <c r="EFG20" s="4"/>
      <c r="EFH20" s="4"/>
      <c r="EFI20" s="4"/>
      <c r="EFJ20" s="4"/>
      <c r="EFK20" s="4"/>
      <c r="EFL20" s="4"/>
      <c r="EFM20" s="4"/>
      <c r="EFN20" s="4"/>
      <c r="EFO20" s="4"/>
      <c r="EFP20" s="4"/>
      <c r="EFQ20" s="4"/>
      <c r="EFR20" s="4"/>
      <c r="EFS20" s="4"/>
      <c r="EFT20" s="4"/>
      <c r="EFU20" s="4"/>
      <c r="EFV20" s="4"/>
      <c r="EFW20" s="4"/>
      <c r="EFX20" s="4"/>
      <c r="EFY20" s="4"/>
      <c r="EFZ20" s="4"/>
      <c r="EGA20" s="4"/>
      <c r="EGB20" s="4"/>
      <c r="EGC20" s="4"/>
      <c r="EGD20" s="4"/>
      <c r="EGE20" s="4"/>
      <c r="EGF20" s="4"/>
      <c r="EGG20" s="4"/>
      <c r="EGH20" s="4"/>
      <c r="EGI20" s="4"/>
      <c r="EGJ20" s="4"/>
      <c r="EGK20" s="4"/>
      <c r="EGL20" s="4"/>
      <c r="EGM20" s="4"/>
      <c r="EGN20" s="4"/>
      <c r="EGO20" s="4"/>
      <c r="EGP20" s="4"/>
      <c r="EGQ20" s="4"/>
      <c r="EGR20" s="4"/>
      <c r="EGS20" s="4"/>
      <c r="EGT20" s="4"/>
      <c r="EGU20" s="4"/>
      <c r="EGV20" s="4"/>
      <c r="EGW20" s="4"/>
      <c r="EGX20" s="4"/>
      <c r="EGY20" s="4"/>
      <c r="EGZ20" s="4"/>
      <c r="EHA20" s="4"/>
      <c r="EHB20" s="4"/>
      <c r="EHC20" s="4"/>
      <c r="EHD20" s="4"/>
      <c r="EHE20" s="4"/>
      <c r="EHF20" s="4"/>
      <c r="EHG20" s="4"/>
      <c r="EHH20" s="4"/>
      <c r="EHI20" s="4"/>
      <c r="EHJ20" s="4"/>
      <c r="EHK20" s="4"/>
      <c r="EHL20" s="4"/>
      <c r="EHM20" s="4"/>
      <c r="EHN20" s="4"/>
      <c r="EHO20" s="4"/>
      <c r="EHP20" s="4"/>
      <c r="EHQ20" s="4"/>
      <c r="EHR20" s="4"/>
      <c r="EHS20" s="4"/>
      <c r="EHT20" s="4"/>
      <c r="EHU20" s="4"/>
      <c r="EHV20" s="4"/>
      <c r="EHW20" s="4"/>
      <c r="EHX20" s="4"/>
      <c r="EHY20" s="4"/>
      <c r="EHZ20" s="4"/>
      <c r="EIA20" s="4"/>
      <c r="EIB20" s="4"/>
      <c r="EIC20" s="4"/>
      <c r="EID20" s="4"/>
      <c r="EIE20" s="4"/>
      <c r="EIF20" s="4"/>
      <c r="EIG20" s="4"/>
      <c r="EIH20" s="4"/>
      <c r="EII20" s="4"/>
      <c r="EIJ20" s="4"/>
      <c r="EIK20" s="4"/>
      <c r="EIL20" s="4"/>
      <c r="EIM20" s="4"/>
      <c r="EIN20" s="4"/>
      <c r="EIO20" s="4"/>
      <c r="EIP20" s="4"/>
      <c r="EIQ20" s="4"/>
      <c r="EIR20" s="4"/>
      <c r="EIS20" s="4"/>
      <c r="EIT20" s="4"/>
      <c r="EIU20" s="4"/>
      <c r="EIV20" s="4"/>
      <c r="EIW20" s="4"/>
      <c r="EIX20" s="4"/>
      <c r="EIY20" s="4"/>
      <c r="EIZ20" s="4"/>
      <c r="EJA20" s="4"/>
      <c r="EJB20" s="4"/>
      <c r="EJC20" s="4"/>
      <c r="EJD20" s="4"/>
      <c r="EJE20" s="4"/>
      <c r="EJF20" s="4"/>
      <c r="EJG20" s="4"/>
      <c r="EJH20" s="4"/>
      <c r="EJI20" s="4"/>
      <c r="EJJ20" s="4"/>
      <c r="EJK20" s="4"/>
      <c r="EJL20" s="4"/>
      <c r="EJM20" s="4"/>
      <c r="EJN20" s="4"/>
      <c r="EJO20" s="4"/>
      <c r="EJP20" s="4"/>
      <c r="EJQ20" s="4"/>
      <c r="EJR20" s="4"/>
      <c r="EJS20" s="4"/>
      <c r="EJT20" s="4"/>
      <c r="EJU20" s="4"/>
      <c r="EJV20" s="4"/>
      <c r="EJW20" s="4"/>
      <c r="EJX20" s="4"/>
      <c r="EJY20" s="4"/>
      <c r="EJZ20" s="4"/>
      <c r="EKA20" s="4"/>
      <c r="EKB20" s="4"/>
      <c r="EKC20" s="4"/>
      <c r="EKD20" s="4"/>
      <c r="EKE20" s="4"/>
      <c r="EKF20" s="4"/>
      <c r="EKG20" s="4"/>
      <c r="EKH20" s="4"/>
      <c r="EKI20" s="4"/>
      <c r="EKJ20" s="4"/>
      <c r="EKK20" s="4"/>
      <c r="EKL20" s="4"/>
      <c r="EKM20" s="4"/>
      <c r="EKN20" s="4"/>
      <c r="EKO20" s="4"/>
      <c r="EKP20" s="4"/>
      <c r="EKQ20" s="4"/>
      <c r="EKR20" s="4"/>
      <c r="EKS20" s="4"/>
      <c r="EKT20" s="4"/>
      <c r="EKU20" s="4"/>
      <c r="EKV20" s="4"/>
      <c r="EKW20" s="4"/>
      <c r="EKX20" s="4"/>
      <c r="EKY20" s="4"/>
      <c r="EKZ20" s="4"/>
      <c r="ELA20" s="4"/>
      <c r="ELB20" s="4"/>
      <c r="ELC20" s="4"/>
      <c r="ELD20" s="4"/>
      <c r="ELE20" s="4"/>
      <c r="ELF20" s="4"/>
      <c r="ELG20" s="4"/>
      <c r="ELH20" s="4"/>
      <c r="ELI20" s="4"/>
      <c r="ELJ20" s="4"/>
      <c r="ELK20" s="4"/>
      <c r="ELL20" s="4"/>
      <c r="ELM20" s="4"/>
      <c r="ELN20" s="4"/>
      <c r="ELO20" s="4"/>
      <c r="ELP20" s="4"/>
      <c r="ELQ20" s="4"/>
      <c r="ELR20" s="4"/>
      <c r="ELS20" s="4"/>
      <c r="ELT20" s="4"/>
      <c r="ELU20" s="4"/>
      <c r="ELV20" s="4"/>
      <c r="ELW20" s="4"/>
      <c r="ELX20" s="4"/>
      <c r="ELY20" s="4"/>
      <c r="ELZ20" s="4"/>
      <c r="EMA20" s="4"/>
      <c r="EMB20" s="4"/>
      <c r="EMC20" s="4"/>
      <c r="EMD20" s="4"/>
      <c r="EME20" s="4"/>
      <c r="EMF20" s="4"/>
      <c r="EMG20" s="4"/>
      <c r="EMH20" s="4"/>
      <c r="EMI20" s="4"/>
      <c r="EMJ20" s="4"/>
      <c r="EMK20" s="4"/>
      <c r="EML20" s="4"/>
      <c r="EMM20" s="4"/>
      <c r="EMN20" s="4"/>
      <c r="EMO20" s="4"/>
      <c r="EMP20" s="4"/>
      <c r="EMQ20" s="4"/>
      <c r="EMR20" s="4"/>
      <c r="EMS20" s="4"/>
      <c r="EMT20" s="4"/>
      <c r="EMU20" s="4"/>
      <c r="EMV20" s="4"/>
      <c r="EMW20" s="4"/>
      <c r="EMX20" s="4"/>
      <c r="EMY20" s="4"/>
      <c r="EMZ20" s="4"/>
      <c r="ENA20" s="4"/>
      <c r="ENB20" s="4"/>
      <c r="ENC20" s="4"/>
      <c r="END20" s="4"/>
      <c r="ENE20" s="4"/>
      <c r="ENF20" s="4"/>
      <c r="ENG20" s="4"/>
      <c r="ENH20" s="4"/>
      <c r="ENI20" s="4"/>
      <c r="ENJ20" s="4"/>
      <c r="ENK20" s="4"/>
      <c r="ENL20" s="4"/>
      <c r="ENM20" s="4"/>
      <c r="ENN20" s="4"/>
      <c r="ENO20" s="4"/>
      <c r="ENP20" s="4"/>
      <c r="ENQ20" s="4"/>
      <c r="ENR20" s="4"/>
      <c r="ENS20" s="4"/>
      <c r="ENT20" s="4"/>
      <c r="ENU20" s="4"/>
      <c r="ENV20" s="4"/>
      <c r="ENW20" s="4"/>
      <c r="ENX20" s="4"/>
      <c r="ENY20" s="4"/>
      <c r="ENZ20" s="4"/>
      <c r="EOA20" s="4"/>
      <c r="EOB20" s="4"/>
      <c r="EOC20" s="4"/>
      <c r="EOD20" s="4"/>
      <c r="EOE20" s="4"/>
      <c r="EOF20" s="4"/>
      <c r="EOG20" s="4"/>
      <c r="EOH20" s="4"/>
      <c r="EOI20" s="4"/>
      <c r="EOJ20" s="4"/>
      <c r="EOK20" s="4"/>
      <c r="EOL20" s="4"/>
      <c r="EOM20" s="4"/>
      <c r="EON20" s="4"/>
      <c r="EOO20" s="4"/>
      <c r="EOP20" s="4"/>
      <c r="EOQ20" s="4"/>
      <c r="EOR20" s="4"/>
      <c r="EOS20" s="4"/>
      <c r="EOT20" s="4"/>
      <c r="EOU20" s="4"/>
      <c r="EOV20" s="4"/>
      <c r="EOW20" s="4"/>
      <c r="EOX20" s="4"/>
      <c r="EOY20" s="4"/>
      <c r="EOZ20" s="4"/>
      <c r="EPA20" s="4"/>
      <c r="EPB20" s="4"/>
      <c r="EPC20" s="4"/>
      <c r="EPD20" s="4"/>
      <c r="EPE20" s="4"/>
      <c r="EPF20" s="4"/>
      <c r="EPG20" s="4"/>
      <c r="EPH20" s="4"/>
      <c r="EPI20" s="4"/>
      <c r="EPJ20" s="4"/>
      <c r="EPK20" s="4"/>
      <c r="EPL20" s="4"/>
      <c r="EPM20" s="4"/>
      <c r="EPN20" s="4"/>
      <c r="EPO20" s="4"/>
      <c r="EPP20" s="4"/>
      <c r="EPQ20" s="4"/>
      <c r="EPR20" s="4"/>
      <c r="EPS20" s="4"/>
      <c r="EPT20" s="4"/>
      <c r="EPU20" s="4"/>
      <c r="EPV20" s="4"/>
      <c r="EPW20" s="4"/>
      <c r="EPX20" s="4"/>
      <c r="EPY20" s="4"/>
      <c r="EPZ20" s="4"/>
      <c r="EQA20" s="4"/>
      <c r="EQB20" s="4"/>
      <c r="EQC20" s="4"/>
      <c r="EQD20" s="4"/>
      <c r="EQE20" s="4"/>
      <c r="EQF20" s="4"/>
      <c r="EQG20" s="4"/>
      <c r="EQH20" s="4"/>
      <c r="EQI20" s="4"/>
      <c r="EQJ20" s="4"/>
      <c r="EQK20" s="4"/>
      <c r="EQL20" s="4"/>
      <c r="EQM20" s="4"/>
      <c r="EQN20" s="4"/>
      <c r="EQO20" s="4"/>
      <c r="EQP20" s="4"/>
      <c r="EQQ20" s="4"/>
      <c r="EQR20" s="4"/>
      <c r="EQS20" s="4"/>
      <c r="EQT20" s="4"/>
      <c r="EQU20" s="4"/>
      <c r="EQV20" s="4"/>
      <c r="EQW20" s="4"/>
      <c r="EQX20" s="4"/>
      <c r="EQY20" s="4"/>
      <c r="EQZ20" s="4"/>
      <c r="ERA20" s="4"/>
      <c r="ERB20" s="4"/>
      <c r="ERC20" s="4"/>
      <c r="ERD20" s="4"/>
      <c r="ERE20" s="4"/>
      <c r="ERF20" s="4"/>
      <c r="ERG20" s="4"/>
      <c r="ERH20" s="4"/>
      <c r="ERI20" s="4"/>
      <c r="ERJ20" s="4"/>
      <c r="ERK20" s="4"/>
      <c r="ERL20" s="4"/>
      <c r="ERM20" s="4"/>
      <c r="ERN20" s="4"/>
      <c r="ERO20" s="4"/>
      <c r="ERP20" s="4"/>
      <c r="ERQ20" s="4"/>
      <c r="ERR20" s="4"/>
      <c r="ERS20" s="4"/>
      <c r="ERT20" s="4"/>
      <c r="ERU20" s="4"/>
      <c r="ERV20" s="4"/>
      <c r="ERW20" s="4"/>
      <c r="ERX20" s="4"/>
      <c r="ERY20" s="4"/>
      <c r="ERZ20" s="4"/>
      <c r="ESA20" s="4"/>
      <c r="ESB20" s="4"/>
      <c r="ESC20" s="4"/>
      <c r="ESD20" s="4"/>
      <c r="ESE20" s="4"/>
      <c r="ESF20" s="4"/>
      <c r="ESG20" s="4"/>
      <c r="ESH20" s="4"/>
      <c r="ESI20" s="4"/>
      <c r="ESJ20" s="4"/>
      <c r="ESK20" s="4"/>
      <c r="ESL20" s="4"/>
      <c r="ESM20" s="4"/>
      <c r="ESN20" s="4"/>
      <c r="ESO20" s="4"/>
      <c r="ESP20" s="4"/>
      <c r="ESQ20" s="4"/>
      <c r="ESR20" s="4"/>
      <c r="ESS20" s="4"/>
      <c r="EST20" s="4"/>
      <c r="ESU20" s="4"/>
      <c r="ESV20" s="4"/>
      <c r="ESW20" s="4"/>
      <c r="ESX20" s="4"/>
      <c r="ESY20" s="4"/>
      <c r="ESZ20" s="4"/>
      <c r="ETA20" s="4"/>
      <c r="ETB20" s="4"/>
      <c r="ETC20" s="4"/>
      <c r="ETD20" s="4"/>
      <c r="ETE20" s="4"/>
      <c r="ETF20" s="4"/>
      <c r="ETG20" s="4"/>
      <c r="ETH20" s="4"/>
      <c r="ETI20" s="4"/>
      <c r="ETJ20" s="4"/>
      <c r="ETK20" s="4"/>
      <c r="ETL20" s="4"/>
      <c r="ETM20" s="4"/>
      <c r="ETN20" s="4"/>
      <c r="ETO20" s="4"/>
      <c r="ETP20" s="4"/>
      <c r="ETQ20" s="4"/>
      <c r="ETR20" s="4"/>
      <c r="ETS20" s="4"/>
      <c r="ETT20" s="4"/>
      <c r="ETU20" s="4"/>
      <c r="ETV20" s="4"/>
      <c r="ETW20" s="4"/>
      <c r="ETX20" s="4"/>
      <c r="ETY20" s="4"/>
      <c r="ETZ20" s="4"/>
      <c r="EUA20" s="4"/>
      <c r="EUB20" s="4"/>
      <c r="EUC20" s="4"/>
      <c r="EUD20" s="4"/>
      <c r="EUE20" s="4"/>
      <c r="EUF20" s="4"/>
      <c r="EUG20" s="4"/>
      <c r="EUH20" s="4"/>
      <c r="EUI20" s="4"/>
      <c r="EUJ20" s="4"/>
      <c r="EUK20" s="4"/>
      <c r="EUL20" s="4"/>
      <c r="EUM20" s="4"/>
      <c r="EUN20" s="4"/>
      <c r="EUO20" s="4"/>
      <c r="EUP20" s="4"/>
      <c r="EUQ20" s="4"/>
      <c r="EUR20" s="4"/>
      <c r="EUS20" s="4"/>
      <c r="EUT20" s="4"/>
      <c r="EUU20" s="4"/>
      <c r="EUV20" s="4"/>
      <c r="EUW20" s="4"/>
      <c r="EUX20" s="4"/>
      <c r="EUY20" s="4"/>
      <c r="EUZ20" s="4"/>
      <c r="EVA20" s="4"/>
      <c r="EVB20" s="4"/>
      <c r="EVC20" s="4"/>
      <c r="EVD20" s="4"/>
      <c r="EVE20" s="4"/>
      <c r="EVF20" s="4"/>
      <c r="EVG20" s="4"/>
      <c r="EVH20" s="4"/>
      <c r="EVI20" s="4"/>
      <c r="EVJ20" s="4"/>
      <c r="EVK20" s="4"/>
      <c r="EVL20" s="4"/>
      <c r="EVM20" s="4"/>
      <c r="EVN20" s="4"/>
      <c r="EVO20" s="4"/>
      <c r="EVP20" s="4"/>
      <c r="EVQ20" s="4"/>
      <c r="EVR20" s="4"/>
      <c r="EVS20" s="4"/>
      <c r="EVT20" s="4"/>
      <c r="EVU20" s="4"/>
      <c r="EVV20" s="4"/>
      <c r="EVW20" s="4"/>
      <c r="EVX20" s="4"/>
      <c r="EVY20" s="4"/>
      <c r="EVZ20" s="4"/>
      <c r="EWA20" s="4"/>
      <c r="EWB20" s="4"/>
      <c r="EWC20" s="4"/>
      <c r="EWD20" s="4"/>
      <c r="EWE20" s="4"/>
      <c r="EWF20" s="4"/>
      <c r="EWG20" s="4"/>
      <c r="EWH20" s="4"/>
      <c r="EWI20" s="4"/>
      <c r="EWJ20" s="4"/>
      <c r="EWK20" s="4"/>
      <c r="EWL20" s="4"/>
      <c r="EWM20" s="4"/>
      <c r="EWN20" s="4"/>
      <c r="EWO20" s="4"/>
      <c r="EWP20" s="4"/>
      <c r="EWQ20" s="4"/>
      <c r="EWR20" s="4"/>
      <c r="EWS20" s="4"/>
      <c r="EWT20" s="4"/>
      <c r="EWU20" s="4"/>
      <c r="EWV20" s="4"/>
      <c r="EWW20" s="4"/>
      <c r="EWX20" s="4"/>
      <c r="EWY20" s="4"/>
      <c r="EWZ20" s="4"/>
      <c r="EXA20" s="4"/>
      <c r="EXB20" s="4"/>
      <c r="EXC20" s="4"/>
      <c r="EXD20" s="4"/>
      <c r="EXE20" s="4"/>
      <c r="EXF20" s="4"/>
      <c r="EXG20" s="4"/>
      <c r="EXH20" s="4"/>
      <c r="EXI20" s="4"/>
      <c r="EXJ20" s="4"/>
      <c r="EXK20" s="4"/>
      <c r="EXL20" s="4"/>
      <c r="EXM20" s="4"/>
      <c r="EXN20" s="4"/>
      <c r="EXO20" s="4"/>
      <c r="EXP20" s="4"/>
      <c r="EXQ20" s="4"/>
      <c r="EXR20" s="4"/>
      <c r="EXS20" s="4"/>
      <c r="EXT20" s="4"/>
      <c r="EXU20" s="4"/>
      <c r="EXV20" s="4"/>
      <c r="EXW20" s="4"/>
      <c r="EXX20" s="4"/>
      <c r="EXY20" s="4"/>
      <c r="EXZ20" s="4"/>
      <c r="EYA20" s="4"/>
      <c r="EYB20" s="4"/>
      <c r="EYC20" s="4"/>
      <c r="EYD20" s="4"/>
      <c r="EYE20" s="4"/>
      <c r="EYF20" s="4"/>
      <c r="EYG20" s="4"/>
      <c r="EYH20" s="4"/>
      <c r="EYI20" s="4"/>
      <c r="EYJ20" s="4"/>
      <c r="EYK20" s="4"/>
      <c r="EYL20" s="4"/>
      <c r="EYM20" s="4"/>
      <c r="EYN20" s="4"/>
      <c r="EYO20" s="4"/>
      <c r="EYP20" s="4"/>
      <c r="EYQ20" s="4"/>
      <c r="EYR20" s="4"/>
      <c r="EYS20" s="4"/>
      <c r="EYT20" s="4"/>
      <c r="EYU20" s="4"/>
      <c r="EYV20" s="4"/>
      <c r="EYW20" s="4"/>
      <c r="EYX20" s="4"/>
      <c r="EYY20" s="4"/>
      <c r="EYZ20" s="4"/>
      <c r="EZA20" s="4"/>
      <c r="EZB20" s="4"/>
      <c r="EZC20" s="4"/>
      <c r="EZD20" s="4"/>
      <c r="EZE20" s="4"/>
      <c r="EZF20" s="4"/>
      <c r="EZG20" s="4"/>
      <c r="EZH20" s="4"/>
      <c r="EZI20" s="4"/>
      <c r="EZJ20" s="4"/>
      <c r="EZK20" s="4"/>
      <c r="EZL20" s="4"/>
      <c r="EZM20" s="4"/>
      <c r="EZN20" s="4"/>
      <c r="EZO20" s="4"/>
      <c r="EZP20" s="4"/>
      <c r="EZQ20" s="4"/>
      <c r="EZR20" s="4"/>
      <c r="EZS20" s="4"/>
      <c r="EZT20" s="4"/>
      <c r="EZU20" s="4"/>
      <c r="EZV20" s="4"/>
      <c r="EZW20" s="4"/>
      <c r="EZX20" s="4"/>
      <c r="EZY20" s="4"/>
      <c r="EZZ20" s="4"/>
      <c r="FAA20" s="4"/>
      <c r="FAB20" s="4"/>
      <c r="FAC20" s="4"/>
      <c r="FAD20" s="4"/>
      <c r="FAE20" s="4"/>
      <c r="FAF20" s="4"/>
      <c r="FAG20" s="4"/>
      <c r="FAH20" s="4"/>
      <c r="FAI20" s="4"/>
      <c r="FAJ20" s="4"/>
      <c r="FAK20" s="4"/>
      <c r="FAL20" s="4"/>
      <c r="FAM20" s="4"/>
      <c r="FAN20" s="4"/>
      <c r="FAO20" s="4"/>
      <c r="FAP20" s="4"/>
      <c r="FAQ20" s="4"/>
      <c r="FAR20" s="4"/>
      <c r="FAS20" s="4"/>
      <c r="FAT20" s="4"/>
      <c r="FAU20" s="4"/>
      <c r="FAV20" s="4"/>
      <c r="FAW20" s="4"/>
      <c r="FAX20" s="4"/>
      <c r="FAY20" s="4"/>
      <c r="FAZ20" s="4"/>
      <c r="FBA20" s="4"/>
      <c r="FBB20" s="4"/>
      <c r="FBC20" s="4"/>
      <c r="FBD20" s="4"/>
      <c r="FBE20" s="4"/>
      <c r="FBF20" s="4"/>
      <c r="FBG20" s="4"/>
      <c r="FBH20" s="4"/>
      <c r="FBI20" s="4"/>
      <c r="FBJ20" s="4"/>
      <c r="FBK20" s="4"/>
      <c r="FBL20" s="4"/>
      <c r="FBM20" s="4"/>
      <c r="FBN20" s="4"/>
      <c r="FBO20" s="4"/>
      <c r="FBP20" s="4"/>
      <c r="FBQ20" s="4"/>
      <c r="FBR20" s="4"/>
      <c r="FBS20" s="4"/>
      <c r="FBT20" s="4"/>
      <c r="FBU20" s="4"/>
      <c r="FBV20" s="4"/>
      <c r="FBW20" s="4"/>
      <c r="FBX20" s="4"/>
      <c r="FBY20" s="4"/>
      <c r="FBZ20" s="4"/>
      <c r="FCA20" s="4"/>
      <c r="FCB20" s="4"/>
      <c r="FCC20" s="4"/>
      <c r="FCD20" s="4"/>
      <c r="FCE20" s="4"/>
      <c r="FCF20" s="4"/>
      <c r="FCG20" s="4"/>
      <c r="FCH20" s="4"/>
      <c r="FCI20" s="4"/>
      <c r="FCJ20" s="4"/>
      <c r="FCK20" s="4"/>
      <c r="FCL20" s="4"/>
      <c r="FCM20" s="4"/>
      <c r="FCN20" s="4"/>
      <c r="FCO20" s="4"/>
      <c r="FCP20" s="4"/>
      <c r="FCQ20" s="4"/>
      <c r="FCR20" s="4"/>
      <c r="FCS20" s="4"/>
      <c r="FCT20" s="4"/>
      <c r="FCU20" s="4"/>
      <c r="FCV20" s="4"/>
      <c r="FCW20" s="4"/>
      <c r="FCX20" s="4"/>
      <c r="FCY20" s="4"/>
      <c r="FCZ20" s="4"/>
      <c r="FDA20" s="4"/>
      <c r="FDB20" s="4"/>
      <c r="FDC20" s="4"/>
      <c r="FDD20" s="4"/>
      <c r="FDE20" s="4"/>
      <c r="FDF20" s="4"/>
      <c r="FDG20" s="4"/>
      <c r="FDH20" s="4"/>
      <c r="FDI20" s="4"/>
      <c r="FDJ20" s="4"/>
      <c r="FDK20" s="4"/>
      <c r="FDL20" s="4"/>
      <c r="FDM20" s="4"/>
      <c r="FDN20" s="4"/>
      <c r="FDO20" s="4"/>
      <c r="FDP20" s="4"/>
      <c r="FDQ20" s="4"/>
      <c r="FDR20" s="4"/>
      <c r="FDS20" s="4"/>
      <c r="FDT20" s="4"/>
      <c r="FDU20" s="4"/>
      <c r="FDV20" s="4"/>
      <c r="FDW20" s="4"/>
      <c r="FDX20" s="4"/>
      <c r="FDY20" s="4"/>
      <c r="FDZ20" s="4"/>
      <c r="FEA20" s="4"/>
      <c r="FEB20" s="4"/>
      <c r="FEC20" s="4"/>
      <c r="FED20" s="4"/>
      <c r="FEE20" s="4"/>
      <c r="FEF20" s="4"/>
      <c r="FEG20" s="4"/>
      <c r="FEH20" s="4"/>
      <c r="FEI20" s="4"/>
      <c r="FEJ20" s="4"/>
      <c r="FEK20" s="4"/>
      <c r="FEL20" s="4"/>
      <c r="FEM20" s="4"/>
      <c r="FEN20" s="4"/>
      <c r="FEO20" s="4"/>
      <c r="FEP20" s="4"/>
      <c r="FEQ20" s="4"/>
      <c r="FER20" s="4"/>
      <c r="FES20" s="4"/>
      <c r="FET20" s="4"/>
      <c r="FEU20" s="4"/>
      <c r="FEV20" s="4"/>
      <c r="FEW20" s="4"/>
      <c r="FEX20" s="4"/>
      <c r="FEY20" s="4"/>
      <c r="FEZ20" s="4"/>
      <c r="FFA20" s="4"/>
      <c r="FFB20" s="4"/>
      <c r="FFC20" s="4"/>
      <c r="FFD20" s="4"/>
      <c r="FFE20" s="4"/>
      <c r="FFF20" s="4"/>
      <c r="FFG20" s="4"/>
      <c r="FFH20" s="4"/>
      <c r="FFI20" s="4"/>
      <c r="FFJ20" s="4"/>
      <c r="FFK20" s="4"/>
      <c r="FFL20" s="4"/>
      <c r="FFM20" s="4"/>
      <c r="FFN20" s="4"/>
      <c r="FFO20" s="4"/>
      <c r="FFP20" s="4"/>
      <c r="FFQ20" s="4"/>
      <c r="FFR20" s="4"/>
      <c r="FFS20" s="4"/>
      <c r="FFT20" s="4"/>
      <c r="FFU20" s="4"/>
      <c r="FFV20" s="4"/>
      <c r="FFW20" s="4"/>
      <c r="FFX20" s="4"/>
      <c r="FFY20" s="4"/>
      <c r="FFZ20" s="4"/>
      <c r="FGA20" s="4"/>
      <c r="FGB20" s="4"/>
      <c r="FGC20" s="4"/>
      <c r="FGD20" s="4"/>
      <c r="FGE20" s="4"/>
      <c r="FGF20" s="4"/>
      <c r="FGG20" s="4"/>
      <c r="FGH20" s="4"/>
      <c r="FGI20" s="4"/>
      <c r="FGJ20" s="4"/>
      <c r="FGK20" s="4"/>
      <c r="FGL20" s="4"/>
      <c r="FGM20" s="4"/>
      <c r="FGN20" s="4"/>
      <c r="FGO20" s="4"/>
      <c r="FGP20" s="4"/>
      <c r="FGQ20" s="4"/>
      <c r="FGR20" s="4"/>
      <c r="FGS20" s="4"/>
      <c r="FGT20" s="4"/>
      <c r="FGU20" s="4"/>
      <c r="FGV20" s="4"/>
      <c r="FGW20" s="4"/>
      <c r="FGX20" s="4"/>
      <c r="FGY20" s="4"/>
      <c r="FGZ20" s="4"/>
      <c r="FHA20" s="4"/>
      <c r="FHB20" s="4"/>
      <c r="FHC20" s="4"/>
      <c r="FHD20" s="4"/>
      <c r="FHE20" s="4"/>
      <c r="FHF20" s="4"/>
      <c r="FHG20" s="4"/>
      <c r="FHH20" s="4"/>
      <c r="FHI20" s="4"/>
      <c r="FHJ20" s="4"/>
      <c r="FHK20" s="4"/>
      <c r="FHL20" s="4"/>
      <c r="FHM20" s="4"/>
      <c r="FHN20" s="4"/>
      <c r="FHO20" s="4"/>
      <c r="FHP20" s="4"/>
      <c r="FHQ20" s="4"/>
      <c r="FHR20" s="4"/>
      <c r="FHS20" s="4"/>
      <c r="FHT20" s="4"/>
      <c r="FHU20" s="4"/>
      <c r="FHV20" s="4"/>
      <c r="FHW20" s="4"/>
      <c r="FHX20" s="4"/>
      <c r="FHY20" s="4"/>
      <c r="FHZ20" s="4"/>
      <c r="FIA20" s="4"/>
      <c r="FIB20" s="4"/>
      <c r="FIC20" s="4"/>
      <c r="FID20" s="4"/>
      <c r="FIE20" s="4"/>
      <c r="FIF20" s="4"/>
      <c r="FIG20" s="4"/>
      <c r="FIH20" s="4"/>
      <c r="FII20" s="4"/>
      <c r="FIJ20" s="4"/>
      <c r="FIK20" s="4"/>
      <c r="FIL20" s="4"/>
      <c r="FIM20" s="4"/>
      <c r="FIN20" s="4"/>
      <c r="FIO20" s="4"/>
      <c r="FIP20" s="4"/>
      <c r="FIQ20" s="4"/>
      <c r="FIR20" s="4"/>
      <c r="FIS20" s="4"/>
      <c r="FIT20" s="4"/>
      <c r="FIU20" s="4"/>
      <c r="FIV20" s="4"/>
      <c r="FIW20" s="4"/>
      <c r="FIX20" s="4"/>
      <c r="FIY20" s="4"/>
      <c r="FIZ20" s="4"/>
      <c r="FJA20" s="4"/>
      <c r="FJB20" s="4"/>
      <c r="FJC20" s="4"/>
      <c r="FJD20" s="4"/>
      <c r="FJE20" s="4"/>
      <c r="FJF20" s="4"/>
      <c r="FJG20" s="4"/>
      <c r="FJH20" s="4"/>
      <c r="FJI20" s="4"/>
      <c r="FJJ20" s="4"/>
      <c r="FJK20" s="4"/>
      <c r="FJL20" s="4"/>
      <c r="FJM20" s="4"/>
      <c r="FJN20" s="4"/>
      <c r="FJO20" s="4"/>
      <c r="FJP20" s="4"/>
      <c r="FJQ20" s="4"/>
      <c r="FJR20" s="4"/>
      <c r="FJS20" s="4"/>
      <c r="FJT20" s="4"/>
      <c r="FJU20" s="4"/>
      <c r="FJV20" s="4"/>
      <c r="FJW20" s="4"/>
      <c r="FJX20" s="4"/>
      <c r="FJY20" s="4"/>
      <c r="FJZ20" s="4"/>
      <c r="FKA20" s="4"/>
      <c r="FKB20" s="4"/>
      <c r="FKC20" s="4"/>
      <c r="FKD20" s="4"/>
      <c r="FKE20" s="4"/>
      <c r="FKF20" s="4"/>
      <c r="FKG20" s="4"/>
      <c r="FKH20" s="4"/>
      <c r="FKI20" s="4"/>
      <c r="FKJ20" s="4"/>
      <c r="FKK20" s="4"/>
      <c r="FKL20" s="4"/>
      <c r="FKM20" s="4"/>
      <c r="FKN20" s="4"/>
      <c r="FKO20" s="4"/>
      <c r="FKP20" s="4"/>
      <c r="FKQ20" s="4"/>
      <c r="FKR20" s="4"/>
      <c r="FKS20" s="4"/>
      <c r="FKT20" s="4"/>
      <c r="FKU20" s="4"/>
      <c r="FKV20" s="4"/>
      <c r="FKW20" s="4"/>
      <c r="FKX20" s="4"/>
      <c r="FKY20" s="4"/>
      <c r="FKZ20" s="4"/>
      <c r="FLA20" s="4"/>
      <c r="FLB20" s="4"/>
      <c r="FLC20" s="4"/>
      <c r="FLD20" s="4"/>
      <c r="FLE20" s="4"/>
      <c r="FLF20" s="4"/>
      <c r="FLG20" s="4"/>
      <c r="FLH20" s="4"/>
      <c r="FLI20" s="4"/>
      <c r="FLJ20" s="4"/>
      <c r="FLK20" s="4"/>
      <c r="FLL20" s="4"/>
      <c r="FLM20" s="4"/>
      <c r="FLN20" s="4"/>
      <c r="FLO20" s="4"/>
      <c r="FLP20" s="4"/>
      <c r="FLQ20" s="4"/>
      <c r="FLR20" s="4"/>
      <c r="FLS20" s="4"/>
      <c r="FLT20" s="4"/>
      <c r="FLU20" s="4"/>
      <c r="FLV20" s="4"/>
      <c r="FLW20" s="4"/>
      <c r="FLX20" s="4"/>
      <c r="FLY20" s="4"/>
      <c r="FLZ20" s="4"/>
      <c r="FMA20" s="4"/>
      <c r="FMB20" s="4"/>
      <c r="FMC20" s="4"/>
      <c r="FMD20" s="4"/>
      <c r="FME20" s="4"/>
      <c r="FMF20" s="4"/>
      <c r="FMG20" s="4"/>
      <c r="FMH20" s="4"/>
      <c r="FMI20" s="4"/>
      <c r="FMJ20" s="4"/>
      <c r="FMK20" s="4"/>
      <c r="FML20" s="4"/>
      <c r="FMM20" s="4"/>
      <c r="FMN20" s="4"/>
      <c r="FMO20" s="4"/>
      <c r="FMP20" s="4"/>
      <c r="FMQ20" s="4"/>
      <c r="FMR20" s="4"/>
      <c r="FMS20" s="4"/>
      <c r="FMT20" s="4"/>
      <c r="FMU20" s="4"/>
      <c r="FMV20" s="4"/>
      <c r="FMW20" s="4"/>
      <c r="FMX20" s="4"/>
      <c r="FMY20" s="4"/>
      <c r="FMZ20" s="4"/>
      <c r="FNA20" s="4"/>
      <c r="FNB20" s="4"/>
      <c r="FNC20" s="4"/>
      <c r="FND20" s="4"/>
      <c r="FNE20" s="4"/>
      <c r="FNF20" s="4"/>
      <c r="FNG20" s="4"/>
      <c r="FNH20" s="4"/>
      <c r="FNI20" s="4"/>
      <c r="FNJ20" s="4"/>
      <c r="FNK20" s="4"/>
      <c r="FNL20" s="4"/>
      <c r="FNM20" s="4"/>
      <c r="FNN20" s="4"/>
      <c r="FNO20" s="4"/>
      <c r="FNP20" s="4"/>
      <c r="FNQ20" s="4"/>
      <c r="FNR20" s="4"/>
      <c r="FNS20" s="4"/>
      <c r="FNT20" s="4"/>
      <c r="FNU20" s="4"/>
      <c r="FNV20" s="4"/>
      <c r="FNW20" s="4"/>
      <c r="FNX20" s="4"/>
      <c r="FNY20" s="4"/>
      <c r="FNZ20" s="4"/>
      <c r="FOA20" s="4"/>
      <c r="FOB20" s="4"/>
      <c r="FOC20" s="4"/>
      <c r="FOD20" s="4"/>
      <c r="FOE20" s="4"/>
      <c r="FOF20" s="4"/>
      <c r="FOG20" s="4"/>
      <c r="FOH20" s="4"/>
      <c r="FOI20" s="4"/>
      <c r="FOJ20" s="4"/>
      <c r="FOK20" s="4"/>
      <c r="FOL20" s="4"/>
      <c r="FOM20" s="4"/>
      <c r="FON20" s="4"/>
      <c r="FOO20" s="4"/>
      <c r="FOP20" s="4"/>
      <c r="FOQ20" s="4"/>
      <c r="FOR20" s="4"/>
      <c r="FOS20" s="4"/>
      <c r="FOT20" s="4"/>
      <c r="FOU20" s="4"/>
      <c r="FOV20" s="4"/>
      <c r="FOW20" s="4"/>
      <c r="FOX20" s="4"/>
      <c r="FOY20" s="4"/>
      <c r="FOZ20" s="4"/>
      <c r="FPA20" s="4"/>
      <c r="FPB20" s="4"/>
      <c r="FPC20" s="4"/>
      <c r="FPD20" s="4"/>
      <c r="FPE20" s="4"/>
      <c r="FPF20" s="4"/>
      <c r="FPG20" s="4"/>
      <c r="FPH20" s="4"/>
      <c r="FPI20" s="4"/>
      <c r="FPJ20" s="4"/>
      <c r="FPK20" s="4"/>
      <c r="FPL20" s="4"/>
      <c r="FPM20" s="4"/>
      <c r="FPN20" s="4"/>
      <c r="FPO20" s="4"/>
      <c r="FPP20" s="4"/>
      <c r="FPQ20" s="4"/>
      <c r="FPR20" s="4"/>
      <c r="FPS20" s="4"/>
      <c r="FPT20" s="4"/>
      <c r="FPU20" s="4"/>
      <c r="FPV20" s="4"/>
      <c r="FPW20" s="4"/>
      <c r="FPX20" s="4"/>
      <c r="FPY20" s="4"/>
      <c r="FPZ20" s="4"/>
      <c r="FQA20" s="4"/>
      <c r="FQB20" s="4"/>
      <c r="FQC20" s="4"/>
      <c r="FQD20" s="4"/>
      <c r="FQE20" s="4"/>
      <c r="FQF20" s="4"/>
      <c r="FQG20" s="4"/>
      <c r="FQH20" s="4"/>
      <c r="FQI20" s="4"/>
      <c r="FQJ20" s="4"/>
      <c r="FQK20" s="4"/>
      <c r="FQL20" s="4"/>
      <c r="FQM20" s="4"/>
      <c r="FQN20" s="4"/>
      <c r="FQO20" s="4"/>
      <c r="FQP20" s="4"/>
      <c r="FQQ20" s="4"/>
      <c r="FQR20" s="4"/>
      <c r="FQS20" s="4"/>
      <c r="FQT20" s="4"/>
      <c r="FQU20" s="4"/>
      <c r="FQV20" s="4"/>
      <c r="FQW20" s="4"/>
      <c r="FQX20" s="4"/>
      <c r="FQY20" s="4"/>
      <c r="FQZ20" s="4"/>
      <c r="FRA20" s="4"/>
      <c r="FRB20" s="4"/>
      <c r="FRC20" s="4"/>
      <c r="FRD20" s="4"/>
      <c r="FRE20" s="4"/>
      <c r="FRF20" s="4"/>
      <c r="FRG20" s="4"/>
      <c r="FRH20" s="4"/>
      <c r="FRI20" s="4"/>
      <c r="FRJ20" s="4"/>
      <c r="FRK20" s="4"/>
      <c r="FRL20" s="4"/>
      <c r="FRM20" s="4"/>
      <c r="FRN20" s="4"/>
      <c r="FRO20" s="4"/>
      <c r="FRP20" s="4"/>
      <c r="FRQ20" s="4"/>
      <c r="FRR20" s="4"/>
      <c r="FRS20" s="4"/>
      <c r="FRT20" s="4"/>
      <c r="FRU20" s="4"/>
      <c r="FRV20" s="4"/>
      <c r="FRW20" s="4"/>
      <c r="FRX20" s="4"/>
      <c r="FRY20" s="4"/>
      <c r="FRZ20" s="4"/>
      <c r="FSA20" s="4"/>
      <c r="FSB20" s="4"/>
      <c r="FSC20" s="4"/>
      <c r="FSD20" s="4"/>
      <c r="FSE20" s="4"/>
      <c r="FSF20" s="4"/>
      <c r="FSG20" s="4"/>
      <c r="FSH20" s="4"/>
      <c r="FSI20" s="4"/>
      <c r="FSJ20" s="4"/>
      <c r="FSK20" s="4"/>
      <c r="FSL20" s="4"/>
      <c r="FSM20" s="4"/>
      <c r="FSN20" s="4"/>
      <c r="FSO20" s="4"/>
      <c r="FSP20" s="4"/>
      <c r="FSQ20" s="4"/>
      <c r="FSR20" s="4"/>
      <c r="FSS20" s="4"/>
      <c r="FST20" s="4"/>
      <c r="FSU20" s="4"/>
      <c r="FSV20" s="4"/>
      <c r="FSW20" s="4"/>
      <c r="FSX20" s="4"/>
      <c r="FSY20" s="4"/>
      <c r="FSZ20" s="4"/>
      <c r="FTA20" s="4"/>
      <c r="FTB20" s="4"/>
      <c r="FTC20" s="4"/>
      <c r="FTD20" s="4"/>
      <c r="FTE20" s="4"/>
      <c r="FTF20" s="4"/>
      <c r="FTG20" s="4"/>
      <c r="FTH20" s="4"/>
      <c r="FTI20" s="4"/>
      <c r="FTJ20" s="4"/>
      <c r="FTK20" s="4"/>
      <c r="FTL20" s="4"/>
      <c r="FTM20" s="4"/>
      <c r="FTN20" s="4"/>
      <c r="FTO20" s="4"/>
      <c r="FTP20" s="4"/>
      <c r="FTQ20" s="4"/>
      <c r="FTR20" s="4"/>
      <c r="FTS20" s="4"/>
      <c r="FTT20" s="4"/>
      <c r="FTU20" s="4"/>
      <c r="FTV20" s="4"/>
      <c r="FTW20" s="4"/>
      <c r="FTX20" s="4"/>
      <c r="FTY20" s="4"/>
      <c r="FTZ20" s="4"/>
      <c r="FUA20" s="4"/>
      <c r="FUB20" s="4"/>
      <c r="FUC20" s="4"/>
      <c r="FUD20" s="4"/>
      <c r="FUE20" s="4"/>
      <c r="FUF20" s="4"/>
      <c r="FUG20" s="4"/>
      <c r="FUH20" s="4"/>
      <c r="FUI20" s="4"/>
      <c r="FUJ20" s="4"/>
      <c r="FUK20" s="4"/>
      <c r="FUL20" s="4"/>
      <c r="FUM20" s="4"/>
      <c r="FUN20" s="4"/>
      <c r="FUO20" s="4"/>
      <c r="FUP20" s="4"/>
      <c r="FUQ20" s="4"/>
      <c r="FUR20" s="4"/>
      <c r="FUS20" s="4"/>
      <c r="FUT20" s="4"/>
      <c r="FUU20" s="4"/>
      <c r="FUV20" s="4"/>
      <c r="FUW20" s="4"/>
      <c r="FUX20" s="4"/>
      <c r="FUY20" s="4"/>
      <c r="FUZ20" s="4"/>
      <c r="FVA20" s="4"/>
      <c r="FVB20" s="4"/>
      <c r="FVC20" s="4"/>
      <c r="FVD20" s="4"/>
      <c r="FVE20" s="4"/>
      <c r="FVF20" s="4"/>
      <c r="FVG20" s="4"/>
      <c r="FVH20" s="4"/>
      <c r="FVI20" s="4"/>
      <c r="FVJ20" s="4"/>
      <c r="FVK20" s="4"/>
      <c r="FVL20" s="4"/>
      <c r="FVM20" s="4"/>
      <c r="FVN20" s="4"/>
      <c r="FVO20" s="4"/>
      <c r="FVP20" s="4"/>
      <c r="FVQ20" s="4"/>
      <c r="FVR20" s="4"/>
      <c r="FVS20" s="4"/>
      <c r="FVT20" s="4"/>
      <c r="FVU20" s="4"/>
      <c r="FVV20" s="4"/>
      <c r="FVW20" s="4"/>
      <c r="FVX20" s="4"/>
      <c r="FVY20" s="4"/>
      <c r="FVZ20" s="4"/>
      <c r="FWA20" s="4"/>
      <c r="FWB20" s="4"/>
      <c r="FWC20" s="4"/>
      <c r="FWD20" s="4"/>
      <c r="FWE20" s="4"/>
      <c r="FWF20" s="4"/>
      <c r="FWG20" s="4"/>
      <c r="FWH20" s="4"/>
      <c r="FWI20" s="4"/>
      <c r="FWJ20" s="4"/>
      <c r="FWK20" s="4"/>
      <c r="FWL20" s="4"/>
      <c r="FWM20" s="4"/>
      <c r="FWN20" s="4"/>
      <c r="FWO20" s="4"/>
      <c r="FWP20" s="4"/>
      <c r="FWQ20" s="4"/>
      <c r="FWR20" s="4"/>
      <c r="FWS20" s="4"/>
      <c r="FWT20" s="4"/>
      <c r="FWU20" s="4"/>
      <c r="FWV20" s="4"/>
      <c r="FWW20" s="4"/>
      <c r="FWX20" s="4"/>
      <c r="FWY20" s="4"/>
      <c r="FWZ20" s="4"/>
      <c r="FXA20" s="4"/>
      <c r="FXB20" s="4"/>
      <c r="FXC20" s="4"/>
      <c r="FXD20" s="4"/>
      <c r="FXE20" s="4"/>
      <c r="FXF20" s="4"/>
      <c r="FXG20" s="4"/>
      <c r="FXH20" s="4"/>
      <c r="FXI20" s="4"/>
      <c r="FXJ20" s="4"/>
      <c r="FXK20" s="4"/>
      <c r="FXL20" s="4"/>
      <c r="FXM20" s="4"/>
      <c r="FXN20" s="4"/>
      <c r="FXO20" s="4"/>
      <c r="FXP20" s="4"/>
      <c r="FXQ20" s="4"/>
      <c r="FXR20" s="4"/>
      <c r="FXS20" s="4"/>
      <c r="FXT20" s="4"/>
      <c r="FXU20" s="4"/>
      <c r="FXV20" s="4"/>
      <c r="FXW20" s="4"/>
      <c r="FXX20" s="4"/>
      <c r="FXY20" s="4"/>
      <c r="FXZ20" s="4"/>
      <c r="FYA20" s="4"/>
      <c r="FYB20" s="4"/>
      <c r="FYC20" s="4"/>
      <c r="FYD20" s="4"/>
      <c r="FYE20" s="4"/>
      <c r="FYF20" s="4"/>
      <c r="FYG20" s="4"/>
      <c r="FYH20" s="4"/>
      <c r="FYI20" s="4"/>
      <c r="FYJ20" s="4"/>
      <c r="FYK20" s="4"/>
      <c r="FYL20" s="4"/>
      <c r="FYM20" s="4"/>
      <c r="FYN20" s="4"/>
      <c r="FYO20" s="4"/>
      <c r="FYP20" s="4"/>
      <c r="FYQ20" s="4"/>
      <c r="FYR20" s="4"/>
      <c r="FYS20" s="4"/>
      <c r="FYT20" s="4"/>
      <c r="FYU20" s="4"/>
      <c r="FYV20" s="4"/>
      <c r="FYW20" s="4"/>
      <c r="FYX20" s="4"/>
      <c r="FYY20" s="4"/>
      <c r="FYZ20" s="4"/>
      <c r="FZA20" s="4"/>
      <c r="FZB20" s="4"/>
      <c r="FZC20" s="4"/>
      <c r="FZD20" s="4"/>
      <c r="FZE20" s="4"/>
      <c r="FZF20" s="4"/>
      <c r="FZG20" s="4"/>
      <c r="FZH20" s="4"/>
      <c r="FZI20" s="4"/>
      <c r="FZJ20" s="4"/>
      <c r="FZK20" s="4"/>
      <c r="FZL20" s="4"/>
      <c r="FZM20" s="4"/>
      <c r="FZN20" s="4"/>
      <c r="FZO20" s="4"/>
      <c r="FZP20" s="4"/>
      <c r="FZQ20" s="4"/>
      <c r="FZR20" s="4"/>
      <c r="FZS20" s="4"/>
      <c r="FZT20" s="4"/>
      <c r="FZU20" s="4"/>
      <c r="FZV20" s="4"/>
      <c r="FZW20" s="4"/>
      <c r="FZX20" s="4"/>
      <c r="FZY20" s="4"/>
      <c r="FZZ20" s="4"/>
      <c r="GAA20" s="4"/>
      <c r="GAB20" s="4"/>
      <c r="GAC20" s="4"/>
      <c r="GAD20" s="4"/>
      <c r="GAE20" s="4"/>
      <c r="GAF20" s="4"/>
      <c r="GAG20" s="4"/>
      <c r="GAH20" s="4"/>
      <c r="GAI20" s="4"/>
      <c r="GAJ20" s="4"/>
      <c r="GAK20" s="4"/>
      <c r="GAL20" s="4"/>
      <c r="GAM20" s="4"/>
      <c r="GAN20" s="4"/>
      <c r="GAO20" s="4"/>
      <c r="GAP20" s="4"/>
      <c r="GAQ20" s="4"/>
      <c r="GAR20" s="4"/>
      <c r="GAS20" s="4"/>
      <c r="GAT20" s="4"/>
      <c r="GAU20" s="4"/>
      <c r="GAV20" s="4"/>
      <c r="GAW20" s="4"/>
      <c r="GAX20" s="4"/>
      <c r="GAY20" s="4"/>
      <c r="GAZ20" s="4"/>
      <c r="GBA20" s="4"/>
      <c r="GBB20" s="4"/>
      <c r="GBC20" s="4"/>
      <c r="GBD20" s="4"/>
      <c r="GBE20" s="4"/>
      <c r="GBF20" s="4"/>
      <c r="GBG20" s="4"/>
      <c r="GBH20" s="4"/>
      <c r="GBI20" s="4"/>
      <c r="GBJ20" s="4"/>
      <c r="GBK20" s="4"/>
      <c r="GBL20" s="4"/>
      <c r="GBM20" s="4"/>
      <c r="GBN20" s="4"/>
      <c r="GBO20" s="4"/>
      <c r="GBP20" s="4"/>
      <c r="GBQ20" s="4"/>
      <c r="GBR20" s="4"/>
      <c r="GBS20" s="4"/>
      <c r="GBT20" s="4"/>
      <c r="GBU20" s="4"/>
      <c r="GBV20" s="4"/>
      <c r="GBW20" s="4"/>
      <c r="GBX20" s="4"/>
      <c r="GBY20" s="4"/>
      <c r="GBZ20" s="4"/>
      <c r="GCA20" s="4"/>
      <c r="GCB20" s="4"/>
      <c r="GCC20" s="4"/>
      <c r="GCD20" s="4"/>
      <c r="GCE20" s="4"/>
      <c r="GCF20" s="4"/>
      <c r="GCG20" s="4"/>
      <c r="GCH20" s="4"/>
      <c r="GCI20" s="4"/>
      <c r="GCJ20" s="4"/>
      <c r="GCK20" s="4"/>
      <c r="GCL20" s="4"/>
      <c r="GCM20" s="4"/>
      <c r="GCN20" s="4"/>
      <c r="GCO20" s="4"/>
      <c r="GCP20" s="4"/>
      <c r="GCQ20" s="4"/>
      <c r="GCR20" s="4"/>
      <c r="GCS20" s="4"/>
      <c r="GCT20" s="4"/>
      <c r="GCU20" s="4"/>
      <c r="GCV20" s="4"/>
      <c r="GCW20" s="4"/>
      <c r="GCX20" s="4"/>
      <c r="GCY20" s="4"/>
      <c r="GCZ20" s="4"/>
      <c r="GDA20" s="4"/>
      <c r="GDB20" s="4"/>
      <c r="GDC20" s="4"/>
      <c r="GDD20" s="4"/>
      <c r="GDE20" s="4"/>
      <c r="GDF20" s="4"/>
      <c r="GDG20" s="4"/>
      <c r="GDH20" s="4"/>
      <c r="GDI20" s="4"/>
      <c r="GDJ20" s="4"/>
      <c r="GDK20" s="4"/>
      <c r="GDL20" s="4"/>
      <c r="GDM20" s="4"/>
      <c r="GDN20" s="4"/>
      <c r="GDO20" s="4"/>
      <c r="GDP20" s="4"/>
      <c r="GDQ20" s="4"/>
      <c r="GDR20" s="4"/>
      <c r="GDS20" s="4"/>
      <c r="GDT20" s="4"/>
      <c r="GDU20" s="4"/>
      <c r="GDV20" s="4"/>
      <c r="GDW20" s="4"/>
      <c r="GDX20" s="4"/>
      <c r="GDY20" s="4"/>
      <c r="GDZ20" s="4"/>
      <c r="GEA20" s="4"/>
      <c r="GEB20" s="4"/>
      <c r="GEC20" s="4"/>
      <c r="GED20" s="4"/>
      <c r="GEE20" s="4"/>
      <c r="GEF20" s="4"/>
      <c r="GEG20" s="4"/>
      <c r="GEH20" s="4"/>
      <c r="GEI20" s="4"/>
      <c r="GEJ20" s="4"/>
      <c r="GEK20" s="4"/>
      <c r="GEL20" s="4"/>
      <c r="GEM20" s="4"/>
      <c r="GEN20" s="4"/>
      <c r="GEO20" s="4"/>
      <c r="GEP20" s="4"/>
      <c r="GEQ20" s="4"/>
      <c r="GER20" s="4"/>
      <c r="GES20" s="4"/>
      <c r="GET20" s="4"/>
      <c r="GEU20" s="4"/>
      <c r="GEV20" s="4"/>
      <c r="GEW20" s="4"/>
      <c r="GEX20" s="4"/>
      <c r="GEY20" s="4"/>
      <c r="GEZ20" s="4"/>
      <c r="GFA20" s="4"/>
      <c r="GFB20" s="4"/>
      <c r="GFC20" s="4"/>
      <c r="GFD20" s="4"/>
      <c r="GFE20" s="4"/>
      <c r="GFF20" s="4"/>
      <c r="GFG20" s="4"/>
      <c r="GFH20" s="4"/>
      <c r="GFI20" s="4"/>
      <c r="GFJ20" s="4"/>
      <c r="GFK20" s="4"/>
      <c r="GFL20" s="4"/>
      <c r="GFM20" s="4"/>
      <c r="GFN20" s="4"/>
      <c r="GFO20" s="4"/>
      <c r="GFP20" s="4"/>
      <c r="GFQ20" s="4"/>
      <c r="GFR20" s="4"/>
      <c r="GFS20" s="4"/>
      <c r="GFT20" s="4"/>
      <c r="GFU20" s="4"/>
      <c r="GFV20" s="4"/>
      <c r="GFW20" s="4"/>
      <c r="GFX20" s="4"/>
      <c r="GFY20" s="4"/>
      <c r="GFZ20" s="4"/>
      <c r="GGA20" s="4"/>
      <c r="GGB20" s="4"/>
      <c r="GGC20" s="4"/>
      <c r="GGD20" s="4"/>
      <c r="GGE20" s="4"/>
      <c r="GGF20" s="4"/>
      <c r="GGG20" s="4"/>
      <c r="GGH20" s="4"/>
      <c r="GGI20" s="4"/>
      <c r="GGJ20" s="4"/>
      <c r="GGK20" s="4"/>
      <c r="GGL20" s="4"/>
      <c r="GGM20" s="4"/>
      <c r="GGN20" s="4"/>
      <c r="GGO20" s="4"/>
      <c r="GGP20" s="4"/>
      <c r="GGQ20" s="4"/>
      <c r="GGR20" s="4"/>
      <c r="GGS20" s="4"/>
      <c r="GGT20" s="4"/>
      <c r="GGU20" s="4"/>
      <c r="GGV20" s="4"/>
      <c r="GGW20" s="4"/>
      <c r="GGX20" s="4"/>
      <c r="GGY20" s="4"/>
      <c r="GGZ20" s="4"/>
      <c r="GHA20" s="4"/>
      <c r="GHB20" s="4"/>
      <c r="GHC20" s="4"/>
      <c r="GHD20" s="4"/>
      <c r="GHE20" s="4"/>
      <c r="GHF20" s="4"/>
      <c r="GHG20" s="4"/>
      <c r="GHH20" s="4"/>
      <c r="GHI20" s="4"/>
      <c r="GHJ20" s="4"/>
      <c r="GHK20" s="4"/>
      <c r="GHL20" s="4"/>
      <c r="GHM20" s="4"/>
      <c r="GHN20" s="4"/>
      <c r="GHO20" s="4"/>
      <c r="GHP20" s="4"/>
      <c r="GHQ20" s="4"/>
      <c r="GHR20" s="4"/>
      <c r="GHS20" s="4"/>
      <c r="GHT20" s="4"/>
      <c r="GHU20" s="4"/>
      <c r="GHV20" s="4"/>
      <c r="GHW20" s="4"/>
      <c r="GHX20" s="4"/>
      <c r="GHY20" s="4"/>
      <c r="GHZ20" s="4"/>
      <c r="GIA20" s="4"/>
      <c r="GIB20" s="4"/>
      <c r="GIC20" s="4"/>
      <c r="GID20" s="4"/>
      <c r="GIE20" s="4"/>
      <c r="GIF20" s="4"/>
      <c r="GIG20" s="4"/>
      <c r="GIH20" s="4"/>
      <c r="GII20" s="4"/>
      <c r="GIJ20" s="4"/>
      <c r="GIK20" s="4"/>
      <c r="GIL20" s="4"/>
      <c r="GIM20" s="4"/>
      <c r="GIN20" s="4"/>
      <c r="GIO20" s="4"/>
      <c r="GIP20" s="4"/>
      <c r="GIQ20" s="4"/>
      <c r="GIR20" s="4"/>
      <c r="GIS20" s="4"/>
      <c r="GIT20" s="4"/>
      <c r="GIU20" s="4"/>
      <c r="GIV20" s="4"/>
      <c r="GIW20" s="4"/>
      <c r="GIX20" s="4"/>
      <c r="GIY20" s="4"/>
      <c r="GIZ20" s="4"/>
      <c r="GJA20" s="4"/>
      <c r="GJB20" s="4"/>
      <c r="GJC20" s="4"/>
      <c r="GJD20" s="4"/>
      <c r="GJE20" s="4"/>
      <c r="GJF20" s="4"/>
      <c r="GJG20" s="4"/>
      <c r="GJH20" s="4"/>
      <c r="GJI20" s="4"/>
      <c r="GJJ20" s="4"/>
      <c r="GJK20" s="4"/>
      <c r="GJL20" s="4"/>
      <c r="GJM20" s="4"/>
      <c r="GJN20" s="4"/>
      <c r="GJO20" s="4"/>
      <c r="GJP20" s="4"/>
      <c r="GJQ20" s="4"/>
      <c r="GJR20" s="4"/>
      <c r="GJS20" s="4"/>
      <c r="GJT20" s="4"/>
      <c r="GJU20" s="4"/>
      <c r="GJV20" s="4"/>
      <c r="GJW20" s="4"/>
      <c r="GJX20" s="4"/>
      <c r="GJY20" s="4"/>
      <c r="GJZ20" s="4"/>
      <c r="GKA20" s="4"/>
      <c r="GKB20" s="4"/>
      <c r="GKC20" s="4"/>
      <c r="GKD20" s="4"/>
      <c r="GKE20" s="4"/>
      <c r="GKF20" s="4"/>
      <c r="GKG20" s="4"/>
      <c r="GKH20" s="4"/>
      <c r="GKI20" s="4"/>
      <c r="GKJ20" s="4"/>
      <c r="GKK20" s="4"/>
      <c r="GKL20" s="4"/>
      <c r="GKM20" s="4"/>
      <c r="GKN20" s="4"/>
      <c r="GKO20" s="4"/>
      <c r="GKP20" s="4"/>
      <c r="GKQ20" s="4"/>
      <c r="GKR20" s="4"/>
      <c r="GKS20" s="4"/>
      <c r="GKT20" s="4"/>
      <c r="GKU20" s="4"/>
      <c r="GKV20" s="4"/>
      <c r="GKW20" s="4"/>
      <c r="GKX20" s="4"/>
      <c r="GKY20" s="4"/>
      <c r="GKZ20" s="4"/>
      <c r="GLA20" s="4"/>
      <c r="GLB20" s="4"/>
      <c r="GLC20" s="4"/>
      <c r="GLD20" s="4"/>
      <c r="GLE20" s="4"/>
      <c r="GLF20" s="4"/>
      <c r="GLG20" s="4"/>
      <c r="GLH20" s="4"/>
      <c r="GLI20" s="4"/>
      <c r="GLJ20" s="4"/>
      <c r="GLK20" s="4"/>
      <c r="GLL20" s="4"/>
      <c r="GLM20" s="4"/>
      <c r="GLN20" s="4"/>
      <c r="GLO20" s="4"/>
      <c r="GLP20" s="4"/>
      <c r="GLQ20" s="4"/>
      <c r="GLR20" s="4"/>
      <c r="GLS20" s="4"/>
      <c r="GLT20" s="4"/>
      <c r="GLU20" s="4"/>
      <c r="GLV20" s="4"/>
      <c r="GLW20" s="4"/>
      <c r="GLX20" s="4"/>
      <c r="GLY20" s="4"/>
      <c r="GLZ20" s="4"/>
      <c r="GMA20" s="4"/>
      <c r="GMB20" s="4"/>
      <c r="GMC20" s="4"/>
      <c r="GMD20" s="4"/>
      <c r="GME20" s="4"/>
      <c r="GMF20" s="4"/>
      <c r="GMG20" s="4"/>
      <c r="GMH20" s="4"/>
      <c r="GMI20" s="4"/>
      <c r="GMJ20" s="4"/>
      <c r="GMK20" s="4"/>
      <c r="GML20" s="4"/>
      <c r="GMM20" s="4"/>
      <c r="GMN20" s="4"/>
      <c r="GMO20" s="4"/>
      <c r="GMP20" s="4"/>
      <c r="GMQ20" s="4"/>
      <c r="GMR20" s="4"/>
      <c r="GMS20" s="4"/>
      <c r="GMT20" s="4"/>
      <c r="GMU20" s="4"/>
      <c r="GMV20" s="4"/>
      <c r="GMW20" s="4"/>
      <c r="GMX20" s="4"/>
      <c r="GMY20" s="4"/>
      <c r="GMZ20" s="4"/>
      <c r="GNA20" s="4"/>
      <c r="GNB20" s="4"/>
      <c r="GNC20" s="4"/>
      <c r="GND20" s="4"/>
      <c r="GNE20" s="4"/>
      <c r="GNF20" s="4"/>
      <c r="GNG20" s="4"/>
      <c r="GNH20" s="4"/>
      <c r="GNI20" s="4"/>
      <c r="GNJ20" s="4"/>
      <c r="GNK20" s="4"/>
      <c r="GNL20" s="4"/>
      <c r="GNM20" s="4"/>
      <c r="GNN20" s="4"/>
      <c r="GNO20" s="4"/>
      <c r="GNP20" s="4"/>
      <c r="GNQ20" s="4"/>
      <c r="GNR20" s="4"/>
      <c r="GNS20" s="4"/>
      <c r="GNT20" s="4"/>
      <c r="GNU20" s="4"/>
      <c r="GNV20" s="4"/>
      <c r="GNW20" s="4"/>
      <c r="GNX20" s="4"/>
      <c r="GNY20" s="4"/>
      <c r="GNZ20" s="4"/>
      <c r="GOA20" s="4"/>
      <c r="GOB20" s="4"/>
      <c r="GOC20" s="4"/>
      <c r="GOD20" s="4"/>
      <c r="GOE20" s="4"/>
      <c r="GOF20" s="4"/>
      <c r="GOG20" s="4"/>
      <c r="GOH20" s="4"/>
      <c r="GOI20" s="4"/>
      <c r="GOJ20" s="4"/>
      <c r="GOK20" s="4"/>
      <c r="GOL20" s="4"/>
      <c r="GOM20" s="4"/>
      <c r="GON20" s="4"/>
      <c r="GOO20" s="4"/>
      <c r="GOP20" s="4"/>
      <c r="GOQ20" s="4"/>
      <c r="GOR20" s="4"/>
      <c r="GOS20" s="4"/>
      <c r="GOT20" s="4"/>
      <c r="GOU20" s="4"/>
      <c r="GOV20" s="4"/>
      <c r="GOW20" s="4"/>
      <c r="GOX20" s="4"/>
      <c r="GOY20" s="4"/>
      <c r="GOZ20" s="4"/>
      <c r="GPA20" s="4"/>
      <c r="GPB20" s="4"/>
      <c r="GPC20" s="4"/>
      <c r="GPD20" s="4"/>
      <c r="GPE20" s="4"/>
      <c r="GPF20" s="4"/>
      <c r="GPG20" s="4"/>
      <c r="GPH20" s="4"/>
      <c r="GPI20" s="4"/>
      <c r="GPJ20" s="4"/>
      <c r="GPK20" s="4"/>
      <c r="GPL20" s="4"/>
      <c r="GPM20" s="4"/>
      <c r="GPN20" s="4"/>
      <c r="GPO20" s="4"/>
      <c r="GPP20" s="4"/>
      <c r="GPQ20" s="4"/>
      <c r="GPR20" s="4"/>
      <c r="GPS20" s="4"/>
      <c r="GPT20" s="4"/>
      <c r="GPU20" s="4"/>
      <c r="GPV20" s="4"/>
      <c r="GPW20" s="4"/>
      <c r="GPX20" s="4"/>
      <c r="GPY20" s="4"/>
      <c r="GPZ20" s="4"/>
      <c r="GQA20" s="4"/>
      <c r="GQB20" s="4"/>
      <c r="GQC20" s="4"/>
      <c r="GQD20" s="4"/>
      <c r="GQE20" s="4"/>
      <c r="GQF20" s="4"/>
      <c r="GQG20" s="4"/>
      <c r="GQH20" s="4"/>
      <c r="GQI20" s="4"/>
      <c r="GQJ20" s="4"/>
      <c r="GQK20" s="4"/>
      <c r="GQL20" s="4"/>
      <c r="GQM20" s="4"/>
      <c r="GQN20" s="4"/>
      <c r="GQO20" s="4"/>
      <c r="GQP20" s="4"/>
      <c r="GQQ20" s="4"/>
      <c r="GQR20" s="4"/>
      <c r="GQS20" s="4"/>
      <c r="GQT20" s="4"/>
      <c r="GQU20" s="4"/>
      <c r="GQV20" s="4"/>
      <c r="GQW20" s="4"/>
      <c r="GQX20" s="4"/>
      <c r="GQY20" s="4"/>
      <c r="GQZ20" s="4"/>
      <c r="GRA20" s="4"/>
      <c r="GRB20" s="4"/>
      <c r="GRC20" s="4"/>
      <c r="GRD20" s="4"/>
      <c r="GRE20" s="4"/>
      <c r="GRF20" s="4"/>
      <c r="GRG20" s="4"/>
      <c r="GRH20" s="4"/>
      <c r="GRI20" s="4"/>
      <c r="GRJ20" s="4"/>
      <c r="GRK20" s="4"/>
      <c r="GRL20" s="4"/>
      <c r="GRM20" s="4"/>
      <c r="GRN20" s="4"/>
      <c r="GRO20" s="4"/>
      <c r="GRP20" s="4"/>
      <c r="GRQ20" s="4"/>
      <c r="GRR20" s="4"/>
      <c r="GRS20" s="4"/>
      <c r="GRT20" s="4"/>
      <c r="GRU20" s="4"/>
      <c r="GRV20" s="4"/>
      <c r="GRW20" s="4"/>
      <c r="GRX20" s="4"/>
      <c r="GRY20" s="4"/>
      <c r="GRZ20" s="4"/>
      <c r="GSA20" s="4"/>
      <c r="GSB20" s="4"/>
      <c r="GSC20" s="4"/>
      <c r="GSD20" s="4"/>
      <c r="GSE20" s="4"/>
      <c r="GSF20" s="4"/>
      <c r="GSG20" s="4"/>
      <c r="GSH20" s="4"/>
      <c r="GSI20" s="4"/>
      <c r="GSJ20" s="4"/>
      <c r="GSK20" s="4"/>
      <c r="GSL20" s="4"/>
      <c r="GSM20" s="4"/>
      <c r="GSN20" s="4"/>
      <c r="GSO20" s="4"/>
      <c r="GSP20" s="4"/>
      <c r="GSQ20" s="4"/>
      <c r="GSR20" s="4"/>
      <c r="GSS20" s="4"/>
      <c r="GST20" s="4"/>
      <c r="GSU20" s="4"/>
      <c r="GSV20" s="4"/>
      <c r="GSW20" s="4"/>
      <c r="GSX20" s="4"/>
      <c r="GSY20" s="4"/>
      <c r="GSZ20" s="4"/>
      <c r="GTA20" s="4"/>
      <c r="GTB20" s="4"/>
      <c r="GTC20" s="4"/>
      <c r="GTD20" s="4"/>
      <c r="GTE20" s="4"/>
      <c r="GTF20" s="4"/>
      <c r="GTG20" s="4"/>
      <c r="GTH20" s="4"/>
      <c r="GTI20" s="4"/>
      <c r="GTJ20" s="4"/>
      <c r="GTK20" s="4"/>
      <c r="GTL20" s="4"/>
      <c r="GTM20" s="4"/>
      <c r="GTN20" s="4"/>
      <c r="GTO20" s="4"/>
      <c r="GTP20" s="4"/>
      <c r="GTQ20" s="4"/>
      <c r="GTR20" s="4"/>
      <c r="GTS20" s="4"/>
      <c r="GTT20" s="4"/>
      <c r="GTU20" s="4"/>
      <c r="GTV20" s="4"/>
      <c r="GTW20" s="4"/>
      <c r="GTX20" s="4"/>
      <c r="GTY20" s="4"/>
      <c r="GTZ20" s="4"/>
      <c r="GUA20" s="4"/>
      <c r="GUB20" s="4"/>
      <c r="GUC20" s="4"/>
      <c r="GUD20" s="4"/>
      <c r="GUE20" s="4"/>
      <c r="GUF20" s="4"/>
      <c r="GUG20" s="4"/>
      <c r="GUH20" s="4"/>
      <c r="GUI20" s="4"/>
      <c r="GUJ20" s="4"/>
      <c r="GUK20" s="4"/>
      <c r="GUL20" s="4"/>
      <c r="GUM20" s="4"/>
      <c r="GUN20" s="4"/>
      <c r="GUO20" s="4"/>
      <c r="GUP20" s="4"/>
      <c r="GUQ20" s="4"/>
      <c r="GUR20" s="4"/>
      <c r="GUS20" s="4"/>
      <c r="GUT20" s="4"/>
      <c r="GUU20" s="4"/>
      <c r="GUV20" s="4"/>
      <c r="GUW20" s="4"/>
      <c r="GUX20" s="4"/>
      <c r="GUY20" s="4"/>
      <c r="GUZ20" s="4"/>
      <c r="GVA20" s="4"/>
      <c r="GVB20" s="4"/>
      <c r="GVC20" s="4"/>
      <c r="GVD20" s="4"/>
      <c r="GVE20" s="4"/>
      <c r="GVF20" s="4"/>
      <c r="GVG20" s="4"/>
      <c r="GVH20" s="4"/>
      <c r="GVI20" s="4"/>
      <c r="GVJ20" s="4"/>
      <c r="GVK20" s="4"/>
      <c r="GVL20" s="4"/>
      <c r="GVM20" s="4"/>
      <c r="GVN20" s="4"/>
      <c r="GVO20" s="4"/>
      <c r="GVP20" s="4"/>
      <c r="GVQ20" s="4"/>
      <c r="GVR20" s="4"/>
      <c r="GVS20" s="4"/>
      <c r="GVT20" s="4"/>
      <c r="GVU20" s="4"/>
      <c r="GVV20" s="4"/>
      <c r="GVW20" s="4"/>
      <c r="GVX20" s="4"/>
      <c r="GVY20" s="4"/>
      <c r="GVZ20" s="4"/>
      <c r="GWA20" s="4"/>
      <c r="GWB20" s="4"/>
      <c r="GWC20" s="4"/>
      <c r="GWD20" s="4"/>
      <c r="GWE20" s="4"/>
      <c r="GWF20" s="4"/>
      <c r="GWG20" s="4"/>
      <c r="GWH20" s="4"/>
      <c r="GWI20" s="4"/>
      <c r="GWJ20" s="4"/>
      <c r="GWK20" s="4"/>
      <c r="GWL20" s="4"/>
      <c r="GWM20" s="4"/>
      <c r="GWN20" s="4"/>
      <c r="GWO20" s="4"/>
      <c r="GWP20" s="4"/>
      <c r="GWQ20" s="4"/>
      <c r="GWR20" s="4"/>
      <c r="GWS20" s="4"/>
      <c r="GWT20" s="4"/>
      <c r="GWU20" s="4"/>
      <c r="GWV20" s="4"/>
      <c r="GWW20" s="4"/>
      <c r="GWX20" s="4"/>
      <c r="GWY20" s="4"/>
      <c r="GWZ20" s="4"/>
      <c r="GXA20" s="4"/>
      <c r="GXB20" s="4"/>
      <c r="GXC20" s="4"/>
      <c r="GXD20" s="4"/>
      <c r="GXE20" s="4"/>
      <c r="GXF20" s="4"/>
      <c r="GXG20" s="4"/>
      <c r="GXH20" s="4"/>
      <c r="GXI20" s="4"/>
      <c r="GXJ20" s="4"/>
      <c r="GXK20" s="4"/>
      <c r="GXL20" s="4"/>
      <c r="GXM20" s="4"/>
      <c r="GXN20" s="4"/>
      <c r="GXO20" s="4"/>
      <c r="GXP20" s="4"/>
      <c r="GXQ20" s="4"/>
      <c r="GXR20" s="4"/>
      <c r="GXS20" s="4"/>
      <c r="GXT20" s="4"/>
      <c r="GXU20" s="4"/>
      <c r="GXV20" s="4"/>
      <c r="GXW20" s="4"/>
      <c r="GXX20" s="4"/>
      <c r="GXY20" s="4"/>
      <c r="GXZ20" s="4"/>
      <c r="GYA20" s="4"/>
      <c r="GYB20" s="4"/>
      <c r="GYC20" s="4"/>
      <c r="GYD20" s="4"/>
      <c r="GYE20" s="4"/>
      <c r="GYF20" s="4"/>
      <c r="GYG20" s="4"/>
      <c r="GYH20" s="4"/>
      <c r="GYI20" s="4"/>
      <c r="GYJ20" s="4"/>
      <c r="GYK20" s="4"/>
      <c r="GYL20" s="4"/>
      <c r="GYM20" s="4"/>
      <c r="GYN20" s="4"/>
      <c r="GYO20" s="4"/>
      <c r="GYP20" s="4"/>
      <c r="GYQ20" s="4"/>
      <c r="GYR20" s="4"/>
      <c r="GYS20" s="4"/>
      <c r="GYT20" s="4"/>
      <c r="GYU20" s="4"/>
      <c r="GYV20" s="4"/>
      <c r="GYW20" s="4"/>
      <c r="GYX20" s="4"/>
      <c r="GYY20" s="4"/>
      <c r="GYZ20" s="4"/>
      <c r="GZA20" s="4"/>
      <c r="GZB20" s="4"/>
      <c r="GZC20" s="4"/>
      <c r="GZD20" s="4"/>
      <c r="GZE20" s="4"/>
      <c r="GZF20" s="4"/>
      <c r="GZG20" s="4"/>
      <c r="GZH20" s="4"/>
      <c r="GZI20" s="4"/>
      <c r="GZJ20" s="4"/>
      <c r="GZK20" s="4"/>
      <c r="GZL20" s="4"/>
      <c r="GZM20" s="4"/>
      <c r="GZN20" s="4"/>
      <c r="GZO20" s="4"/>
      <c r="GZP20" s="4"/>
      <c r="GZQ20" s="4"/>
      <c r="GZR20" s="4"/>
      <c r="GZS20" s="4"/>
      <c r="GZT20" s="4"/>
      <c r="GZU20" s="4"/>
      <c r="GZV20" s="4"/>
      <c r="GZW20" s="4"/>
      <c r="GZX20" s="4"/>
      <c r="GZY20" s="4"/>
      <c r="GZZ20" s="4"/>
      <c r="HAA20" s="4"/>
      <c r="HAB20" s="4"/>
      <c r="HAC20" s="4"/>
      <c r="HAD20" s="4"/>
      <c r="HAE20" s="4"/>
      <c r="HAF20" s="4"/>
      <c r="HAG20" s="4"/>
      <c r="HAH20" s="4"/>
      <c r="HAI20" s="4"/>
      <c r="HAJ20" s="4"/>
      <c r="HAK20" s="4"/>
      <c r="HAL20" s="4"/>
      <c r="HAM20" s="4"/>
      <c r="HAN20" s="4"/>
      <c r="HAO20" s="4"/>
      <c r="HAP20" s="4"/>
      <c r="HAQ20" s="4"/>
      <c r="HAR20" s="4"/>
      <c r="HAS20" s="4"/>
      <c r="HAT20" s="4"/>
      <c r="HAU20" s="4"/>
      <c r="HAV20" s="4"/>
      <c r="HAW20" s="4"/>
      <c r="HAX20" s="4"/>
      <c r="HAY20" s="4"/>
      <c r="HAZ20" s="4"/>
      <c r="HBA20" s="4"/>
      <c r="HBB20" s="4"/>
      <c r="HBC20" s="4"/>
      <c r="HBD20" s="4"/>
      <c r="HBE20" s="4"/>
      <c r="HBF20" s="4"/>
      <c r="HBG20" s="4"/>
      <c r="HBH20" s="4"/>
      <c r="HBI20" s="4"/>
      <c r="HBJ20" s="4"/>
      <c r="HBK20" s="4"/>
      <c r="HBL20" s="4"/>
      <c r="HBM20" s="4"/>
      <c r="HBN20" s="4"/>
      <c r="HBO20" s="4"/>
      <c r="HBP20" s="4"/>
      <c r="HBQ20" s="4"/>
      <c r="HBR20" s="4"/>
      <c r="HBS20" s="4"/>
      <c r="HBT20" s="4"/>
      <c r="HBU20" s="4"/>
      <c r="HBV20" s="4"/>
      <c r="HBW20" s="4"/>
      <c r="HBX20" s="4"/>
      <c r="HBY20" s="4"/>
      <c r="HBZ20" s="4"/>
      <c r="HCA20" s="4"/>
      <c r="HCB20" s="4"/>
      <c r="HCC20" s="4"/>
      <c r="HCD20" s="4"/>
      <c r="HCE20" s="4"/>
      <c r="HCF20" s="4"/>
      <c r="HCG20" s="4"/>
      <c r="HCH20" s="4"/>
      <c r="HCI20" s="4"/>
      <c r="HCJ20" s="4"/>
      <c r="HCK20" s="4"/>
      <c r="HCL20" s="4"/>
      <c r="HCM20" s="4"/>
      <c r="HCN20" s="4"/>
      <c r="HCO20" s="4"/>
      <c r="HCP20" s="4"/>
      <c r="HCQ20" s="4"/>
      <c r="HCR20" s="4"/>
      <c r="HCS20" s="4"/>
      <c r="HCT20" s="4"/>
      <c r="HCU20" s="4"/>
      <c r="HCV20" s="4"/>
      <c r="HCW20" s="4"/>
      <c r="HCX20" s="4"/>
      <c r="HCY20" s="4"/>
      <c r="HCZ20" s="4"/>
      <c r="HDA20" s="4"/>
      <c r="HDB20" s="4"/>
      <c r="HDC20" s="4"/>
      <c r="HDD20" s="4"/>
      <c r="HDE20" s="4"/>
      <c r="HDF20" s="4"/>
      <c r="HDG20" s="4"/>
      <c r="HDH20" s="4"/>
      <c r="HDI20" s="4"/>
      <c r="HDJ20" s="4"/>
      <c r="HDK20" s="4"/>
      <c r="HDL20" s="4"/>
      <c r="HDM20" s="4"/>
      <c r="HDN20" s="4"/>
      <c r="HDO20" s="4"/>
      <c r="HDP20" s="4"/>
      <c r="HDQ20" s="4"/>
      <c r="HDR20" s="4"/>
      <c r="HDS20" s="4"/>
      <c r="HDT20" s="4"/>
      <c r="HDU20" s="4"/>
      <c r="HDV20" s="4"/>
      <c r="HDW20" s="4"/>
      <c r="HDX20" s="4"/>
      <c r="HDY20" s="4"/>
      <c r="HDZ20" s="4"/>
      <c r="HEA20" s="4"/>
      <c r="HEB20" s="4"/>
      <c r="HEC20" s="4"/>
      <c r="HED20" s="4"/>
      <c r="HEE20" s="4"/>
      <c r="HEF20" s="4"/>
      <c r="HEG20" s="4"/>
      <c r="HEH20" s="4"/>
      <c r="HEI20" s="4"/>
      <c r="HEJ20" s="4"/>
      <c r="HEK20" s="4"/>
      <c r="HEL20" s="4"/>
      <c r="HEM20" s="4"/>
      <c r="HEN20" s="4"/>
      <c r="HEO20" s="4"/>
      <c r="HEP20" s="4"/>
      <c r="HEQ20" s="4"/>
      <c r="HER20" s="4"/>
      <c r="HES20" s="4"/>
      <c r="HET20" s="4"/>
      <c r="HEU20" s="4"/>
      <c r="HEV20" s="4"/>
      <c r="HEW20" s="4"/>
      <c r="HEX20" s="4"/>
      <c r="HEY20" s="4"/>
      <c r="HEZ20" s="4"/>
      <c r="HFA20" s="4"/>
      <c r="HFB20" s="4"/>
      <c r="HFC20" s="4"/>
      <c r="HFD20" s="4"/>
      <c r="HFE20" s="4"/>
      <c r="HFF20" s="4"/>
      <c r="HFG20" s="4"/>
      <c r="HFH20" s="4"/>
      <c r="HFI20" s="4"/>
      <c r="HFJ20" s="4"/>
      <c r="HFK20" s="4"/>
      <c r="HFL20" s="4"/>
      <c r="HFM20" s="4"/>
      <c r="HFN20" s="4"/>
      <c r="HFO20" s="4"/>
      <c r="HFP20" s="4"/>
      <c r="HFQ20" s="4"/>
      <c r="HFR20" s="4"/>
      <c r="HFS20" s="4"/>
      <c r="HFT20" s="4"/>
      <c r="HFU20" s="4"/>
      <c r="HFV20" s="4"/>
      <c r="HFW20" s="4"/>
      <c r="HFX20" s="4"/>
      <c r="HFY20" s="4"/>
      <c r="HFZ20" s="4"/>
      <c r="HGA20" s="4"/>
      <c r="HGB20" s="4"/>
      <c r="HGC20" s="4"/>
      <c r="HGD20" s="4"/>
      <c r="HGE20" s="4"/>
      <c r="HGF20" s="4"/>
      <c r="HGG20" s="4"/>
      <c r="HGH20" s="4"/>
      <c r="HGI20" s="4"/>
      <c r="HGJ20" s="4"/>
      <c r="HGK20" s="4"/>
      <c r="HGL20" s="4"/>
      <c r="HGM20" s="4"/>
      <c r="HGN20" s="4"/>
      <c r="HGO20" s="4"/>
      <c r="HGP20" s="4"/>
      <c r="HGQ20" s="4"/>
      <c r="HGR20" s="4"/>
      <c r="HGS20" s="4"/>
      <c r="HGT20" s="4"/>
      <c r="HGU20" s="4"/>
      <c r="HGV20" s="4"/>
      <c r="HGW20" s="4"/>
      <c r="HGX20" s="4"/>
      <c r="HGY20" s="4"/>
      <c r="HGZ20" s="4"/>
      <c r="HHA20" s="4"/>
      <c r="HHB20" s="4"/>
      <c r="HHC20" s="4"/>
      <c r="HHD20" s="4"/>
      <c r="HHE20" s="4"/>
      <c r="HHF20" s="4"/>
      <c r="HHG20" s="4"/>
      <c r="HHH20" s="4"/>
      <c r="HHI20" s="4"/>
      <c r="HHJ20" s="4"/>
      <c r="HHK20" s="4"/>
      <c r="HHL20" s="4"/>
      <c r="HHM20" s="4"/>
      <c r="HHN20" s="4"/>
      <c r="HHO20" s="4"/>
      <c r="HHP20" s="4"/>
      <c r="HHQ20" s="4"/>
      <c r="HHR20" s="4"/>
      <c r="HHS20" s="4"/>
      <c r="HHT20" s="4"/>
      <c r="HHU20" s="4"/>
      <c r="HHV20" s="4"/>
      <c r="HHW20" s="4"/>
      <c r="HHX20" s="4"/>
      <c r="HHY20" s="4"/>
      <c r="HHZ20" s="4"/>
      <c r="HIA20" s="4"/>
      <c r="HIB20" s="4"/>
      <c r="HIC20" s="4"/>
      <c r="HID20" s="4"/>
      <c r="HIE20" s="4"/>
      <c r="HIF20" s="4"/>
      <c r="HIG20" s="4"/>
      <c r="HIH20" s="4"/>
      <c r="HII20" s="4"/>
      <c r="HIJ20" s="4"/>
      <c r="HIK20" s="4"/>
      <c r="HIL20" s="4"/>
      <c r="HIM20" s="4"/>
      <c r="HIN20" s="4"/>
      <c r="HIO20" s="4"/>
      <c r="HIP20" s="4"/>
      <c r="HIQ20" s="4"/>
      <c r="HIR20" s="4"/>
      <c r="HIS20" s="4"/>
      <c r="HIT20" s="4"/>
      <c r="HIU20" s="4"/>
      <c r="HIV20" s="4"/>
      <c r="HIW20" s="4"/>
      <c r="HIX20" s="4"/>
      <c r="HIY20" s="4"/>
      <c r="HIZ20" s="4"/>
      <c r="HJA20" s="4"/>
      <c r="HJB20" s="4"/>
      <c r="HJC20" s="4"/>
      <c r="HJD20" s="4"/>
      <c r="HJE20" s="4"/>
      <c r="HJF20" s="4"/>
      <c r="HJG20" s="4"/>
      <c r="HJH20" s="4"/>
      <c r="HJI20" s="4"/>
      <c r="HJJ20" s="4"/>
      <c r="HJK20" s="4"/>
      <c r="HJL20" s="4"/>
      <c r="HJM20" s="4"/>
      <c r="HJN20" s="4"/>
      <c r="HJO20" s="4"/>
      <c r="HJP20" s="4"/>
      <c r="HJQ20" s="4"/>
      <c r="HJR20" s="4"/>
      <c r="HJS20" s="4"/>
      <c r="HJT20" s="4"/>
      <c r="HJU20" s="4"/>
      <c r="HJV20" s="4"/>
      <c r="HJW20" s="4"/>
      <c r="HJX20" s="4"/>
      <c r="HJY20" s="4"/>
      <c r="HJZ20" s="4"/>
      <c r="HKA20" s="4"/>
      <c r="HKB20" s="4"/>
      <c r="HKC20" s="4"/>
      <c r="HKD20" s="4"/>
      <c r="HKE20" s="4"/>
      <c r="HKF20" s="4"/>
      <c r="HKG20" s="4"/>
      <c r="HKH20" s="4"/>
      <c r="HKI20" s="4"/>
      <c r="HKJ20" s="4"/>
      <c r="HKK20" s="4"/>
      <c r="HKL20" s="4"/>
      <c r="HKM20" s="4"/>
      <c r="HKN20" s="4"/>
      <c r="HKO20" s="4"/>
      <c r="HKP20" s="4"/>
      <c r="HKQ20" s="4"/>
      <c r="HKR20" s="4"/>
      <c r="HKS20" s="4"/>
      <c r="HKT20" s="4"/>
      <c r="HKU20" s="4"/>
      <c r="HKV20" s="4"/>
      <c r="HKW20" s="4"/>
      <c r="HKX20" s="4"/>
      <c r="HKY20" s="4"/>
      <c r="HKZ20" s="4"/>
      <c r="HLA20" s="4"/>
      <c r="HLB20" s="4"/>
      <c r="HLC20" s="4"/>
      <c r="HLD20" s="4"/>
      <c r="HLE20" s="4"/>
      <c r="HLF20" s="4"/>
      <c r="HLG20" s="4"/>
      <c r="HLH20" s="4"/>
      <c r="HLI20" s="4"/>
      <c r="HLJ20" s="4"/>
      <c r="HLK20" s="4"/>
      <c r="HLL20" s="4"/>
      <c r="HLM20" s="4"/>
      <c r="HLN20" s="4"/>
      <c r="HLO20" s="4"/>
      <c r="HLP20" s="4"/>
      <c r="HLQ20" s="4"/>
      <c r="HLR20" s="4"/>
      <c r="HLS20" s="4"/>
      <c r="HLT20" s="4"/>
      <c r="HLU20" s="4"/>
      <c r="HLV20" s="4"/>
      <c r="HLW20" s="4"/>
      <c r="HLX20" s="4"/>
      <c r="HLY20" s="4"/>
      <c r="HLZ20" s="4"/>
      <c r="HMA20" s="4"/>
      <c r="HMB20" s="4"/>
      <c r="HMC20" s="4"/>
      <c r="HMD20" s="4"/>
      <c r="HME20" s="4"/>
      <c r="HMF20" s="4"/>
      <c r="HMG20" s="4"/>
      <c r="HMH20" s="4"/>
      <c r="HMI20" s="4"/>
      <c r="HMJ20" s="4"/>
      <c r="HMK20" s="4"/>
      <c r="HML20" s="4"/>
      <c r="HMM20" s="4"/>
      <c r="HMN20" s="4"/>
      <c r="HMO20" s="4"/>
      <c r="HMP20" s="4"/>
      <c r="HMQ20" s="4"/>
      <c r="HMR20" s="4"/>
      <c r="HMS20" s="4"/>
      <c r="HMT20" s="4"/>
      <c r="HMU20" s="4"/>
      <c r="HMV20" s="4"/>
      <c r="HMW20" s="4"/>
      <c r="HMX20" s="4"/>
      <c r="HMY20" s="4"/>
      <c r="HMZ20" s="4"/>
      <c r="HNA20" s="4"/>
      <c r="HNB20" s="4"/>
      <c r="HNC20" s="4"/>
      <c r="HND20" s="4"/>
      <c r="HNE20" s="4"/>
      <c r="HNF20" s="4"/>
      <c r="HNG20" s="4"/>
      <c r="HNH20" s="4"/>
      <c r="HNI20" s="4"/>
      <c r="HNJ20" s="4"/>
      <c r="HNK20" s="4"/>
      <c r="HNL20" s="4"/>
      <c r="HNM20" s="4"/>
      <c r="HNN20" s="4"/>
      <c r="HNO20" s="4"/>
      <c r="HNP20" s="4"/>
      <c r="HNQ20" s="4"/>
      <c r="HNR20" s="4"/>
      <c r="HNS20" s="4"/>
      <c r="HNT20" s="4"/>
      <c r="HNU20" s="4"/>
      <c r="HNV20" s="4"/>
      <c r="HNW20" s="4"/>
      <c r="HNX20" s="4"/>
      <c r="HNY20" s="4"/>
      <c r="HNZ20" s="4"/>
      <c r="HOA20" s="4"/>
      <c r="HOB20" s="4"/>
      <c r="HOC20" s="4"/>
      <c r="HOD20" s="4"/>
      <c r="HOE20" s="4"/>
      <c r="HOF20" s="4"/>
      <c r="HOG20" s="4"/>
      <c r="HOH20" s="4"/>
      <c r="HOI20" s="4"/>
      <c r="HOJ20" s="4"/>
      <c r="HOK20" s="4"/>
      <c r="HOL20" s="4"/>
      <c r="HOM20" s="4"/>
      <c r="HON20" s="4"/>
      <c r="HOO20" s="4"/>
      <c r="HOP20" s="4"/>
      <c r="HOQ20" s="4"/>
      <c r="HOR20" s="4"/>
      <c r="HOS20" s="4"/>
      <c r="HOT20" s="4"/>
      <c r="HOU20" s="4"/>
      <c r="HOV20" s="4"/>
      <c r="HOW20" s="4"/>
      <c r="HOX20" s="4"/>
      <c r="HOY20" s="4"/>
      <c r="HOZ20" s="4"/>
      <c r="HPA20" s="4"/>
      <c r="HPB20" s="4"/>
      <c r="HPC20" s="4"/>
      <c r="HPD20" s="4"/>
      <c r="HPE20" s="4"/>
      <c r="HPF20" s="4"/>
      <c r="HPG20" s="4"/>
      <c r="HPH20" s="4"/>
      <c r="HPI20" s="4"/>
      <c r="HPJ20" s="4"/>
      <c r="HPK20" s="4"/>
      <c r="HPL20" s="4"/>
      <c r="HPM20" s="4"/>
      <c r="HPN20" s="4"/>
      <c r="HPO20" s="4"/>
      <c r="HPP20" s="4"/>
      <c r="HPQ20" s="4"/>
      <c r="HPR20" s="4"/>
      <c r="HPS20" s="4"/>
      <c r="HPT20" s="4"/>
      <c r="HPU20" s="4"/>
      <c r="HPV20" s="4"/>
      <c r="HPW20" s="4"/>
      <c r="HPX20" s="4"/>
      <c r="HPY20" s="4"/>
      <c r="HPZ20" s="4"/>
      <c r="HQA20" s="4"/>
      <c r="HQB20" s="4"/>
      <c r="HQC20" s="4"/>
      <c r="HQD20" s="4"/>
      <c r="HQE20" s="4"/>
      <c r="HQF20" s="4"/>
      <c r="HQG20" s="4"/>
      <c r="HQH20" s="4"/>
      <c r="HQI20" s="4"/>
      <c r="HQJ20" s="4"/>
      <c r="HQK20" s="4"/>
      <c r="HQL20" s="4"/>
      <c r="HQM20" s="4"/>
      <c r="HQN20" s="4"/>
      <c r="HQO20" s="4"/>
      <c r="HQP20" s="4"/>
      <c r="HQQ20" s="4"/>
      <c r="HQR20" s="4"/>
      <c r="HQS20" s="4"/>
      <c r="HQT20" s="4"/>
      <c r="HQU20" s="4"/>
      <c r="HQV20" s="4"/>
      <c r="HQW20" s="4"/>
      <c r="HQX20" s="4"/>
      <c r="HQY20" s="4"/>
      <c r="HQZ20" s="4"/>
      <c r="HRA20" s="4"/>
      <c r="HRB20" s="4"/>
      <c r="HRC20" s="4"/>
      <c r="HRD20" s="4"/>
      <c r="HRE20" s="4"/>
      <c r="HRF20" s="4"/>
      <c r="HRG20" s="4"/>
      <c r="HRH20" s="4"/>
      <c r="HRI20" s="4"/>
      <c r="HRJ20" s="4"/>
      <c r="HRK20" s="4"/>
      <c r="HRL20" s="4"/>
      <c r="HRM20" s="4"/>
      <c r="HRN20" s="4"/>
      <c r="HRO20" s="4"/>
      <c r="HRP20" s="4"/>
      <c r="HRQ20" s="4"/>
      <c r="HRR20" s="4"/>
      <c r="HRS20" s="4"/>
      <c r="HRT20" s="4"/>
      <c r="HRU20" s="4"/>
      <c r="HRV20" s="4"/>
      <c r="HRW20" s="4"/>
      <c r="HRX20" s="4"/>
      <c r="HRY20" s="4"/>
      <c r="HRZ20" s="4"/>
      <c r="HSA20" s="4"/>
      <c r="HSB20" s="4"/>
      <c r="HSC20" s="4"/>
      <c r="HSD20" s="4"/>
      <c r="HSE20" s="4"/>
      <c r="HSF20" s="4"/>
      <c r="HSG20" s="4"/>
      <c r="HSH20" s="4"/>
      <c r="HSI20" s="4"/>
      <c r="HSJ20" s="4"/>
      <c r="HSK20" s="4"/>
      <c r="HSL20" s="4"/>
      <c r="HSM20" s="4"/>
      <c r="HSN20" s="4"/>
      <c r="HSO20" s="4"/>
      <c r="HSP20" s="4"/>
      <c r="HSQ20" s="4"/>
      <c r="HSR20" s="4"/>
      <c r="HSS20" s="4"/>
      <c r="HST20" s="4"/>
      <c r="HSU20" s="4"/>
      <c r="HSV20" s="4"/>
      <c r="HSW20" s="4"/>
      <c r="HSX20" s="4"/>
      <c r="HSY20" s="4"/>
      <c r="HSZ20" s="4"/>
      <c r="HTA20" s="4"/>
      <c r="HTB20" s="4"/>
      <c r="HTC20" s="4"/>
      <c r="HTD20" s="4"/>
      <c r="HTE20" s="4"/>
      <c r="HTF20" s="4"/>
      <c r="HTG20" s="4"/>
      <c r="HTH20" s="4"/>
      <c r="HTI20" s="4"/>
      <c r="HTJ20" s="4"/>
      <c r="HTK20" s="4"/>
      <c r="HTL20" s="4"/>
      <c r="HTM20" s="4"/>
      <c r="HTN20" s="4"/>
      <c r="HTO20" s="4"/>
      <c r="HTP20" s="4"/>
      <c r="HTQ20" s="4"/>
      <c r="HTR20" s="4"/>
      <c r="HTS20" s="4"/>
      <c r="HTT20" s="4"/>
      <c r="HTU20" s="4"/>
      <c r="HTV20" s="4"/>
      <c r="HTW20" s="4"/>
      <c r="HTX20" s="4"/>
      <c r="HTY20" s="4"/>
      <c r="HTZ20" s="4"/>
      <c r="HUA20" s="4"/>
      <c r="HUB20" s="4"/>
      <c r="HUC20" s="4"/>
      <c r="HUD20" s="4"/>
      <c r="HUE20" s="4"/>
      <c r="HUF20" s="4"/>
      <c r="HUG20" s="4"/>
      <c r="HUH20" s="4"/>
      <c r="HUI20" s="4"/>
      <c r="HUJ20" s="4"/>
      <c r="HUK20" s="4"/>
      <c r="HUL20" s="4"/>
      <c r="HUM20" s="4"/>
      <c r="HUN20" s="4"/>
      <c r="HUO20" s="4"/>
      <c r="HUP20" s="4"/>
      <c r="HUQ20" s="4"/>
      <c r="HUR20" s="4"/>
      <c r="HUS20" s="4"/>
      <c r="HUT20" s="4"/>
      <c r="HUU20" s="4"/>
      <c r="HUV20" s="4"/>
      <c r="HUW20" s="4"/>
      <c r="HUX20" s="4"/>
      <c r="HUY20" s="4"/>
      <c r="HUZ20" s="4"/>
      <c r="HVA20" s="4"/>
      <c r="HVB20" s="4"/>
      <c r="HVC20" s="4"/>
      <c r="HVD20" s="4"/>
      <c r="HVE20" s="4"/>
      <c r="HVF20" s="4"/>
      <c r="HVG20" s="4"/>
      <c r="HVH20" s="4"/>
      <c r="HVI20" s="4"/>
      <c r="HVJ20" s="4"/>
      <c r="HVK20" s="4"/>
      <c r="HVL20" s="4"/>
      <c r="HVM20" s="4"/>
      <c r="HVN20" s="4"/>
      <c r="HVO20" s="4"/>
      <c r="HVP20" s="4"/>
      <c r="HVQ20" s="4"/>
      <c r="HVR20" s="4"/>
      <c r="HVS20" s="4"/>
      <c r="HVT20" s="4"/>
      <c r="HVU20" s="4"/>
      <c r="HVV20" s="4"/>
      <c r="HVW20" s="4"/>
      <c r="HVX20" s="4"/>
      <c r="HVY20" s="4"/>
      <c r="HVZ20" s="4"/>
      <c r="HWA20" s="4"/>
      <c r="HWB20" s="4"/>
      <c r="HWC20" s="4"/>
      <c r="HWD20" s="4"/>
      <c r="HWE20" s="4"/>
      <c r="HWF20" s="4"/>
      <c r="HWG20" s="4"/>
      <c r="HWH20" s="4"/>
      <c r="HWI20" s="4"/>
      <c r="HWJ20" s="4"/>
      <c r="HWK20" s="4"/>
      <c r="HWL20" s="4"/>
      <c r="HWM20" s="4"/>
      <c r="HWN20" s="4"/>
      <c r="HWO20" s="4"/>
      <c r="HWP20" s="4"/>
      <c r="HWQ20" s="4"/>
      <c r="HWR20" s="4"/>
      <c r="HWS20" s="4"/>
      <c r="HWT20" s="4"/>
      <c r="HWU20" s="4"/>
      <c r="HWV20" s="4"/>
      <c r="HWW20" s="4"/>
      <c r="HWX20" s="4"/>
      <c r="HWY20" s="4"/>
      <c r="HWZ20" s="4"/>
      <c r="HXA20" s="4"/>
      <c r="HXB20" s="4"/>
      <c r="HXC20" s="4"/>
      <c r="HXD20" s="4"/>
      <c r="HXE20" s="4"/>
      <c r="HXF20" s="4"/>
      <c r="HXG20" s="4"/>
      <c r="HXH20" s="4"/>
      <c r="HXI20" s="4"/>
      <c r="HXJ20" s="4"/>
      <c r="HXK20" s="4"/>
      <c r="HXL20" s="4"/>
      <c r="HXM20" s="4"/>
      <c r="HXN20" s="4"/>
      <c r="HXO20" s="4"/>
      <c r="HXP20" s="4"/>
      <c r="HXQ20" s="4"/>
      <c r="HXR20" s="4"/>
      <c r="HXS20" s="4"/>
      <c r="HXT20" s="4"/>
      <c r="HXU20" s="4"/>
      <c r="HXV20" s="4"/>
      <c r="HXW20" s="4"/>
      <c r="HXX20" s="4"/>
      <c r="HXY20" s="4"/>
      <c r="HXZ20" s="4"/>
      <c r="HYA20" s="4"/>
      <c r="HYB20" s="4"/>
      <c r="HYC20" s="4"/>
      <c r="HYD20" s="4"/>
      <c r="HYE20" s="4"/>
      <c r="HYF20" s="4"/>
      <c r="HYG20" s="4"/>
      <c r="HYH20" s="4"/>
      <c r="HYI20" s="4"/>
      <c r="HYJ20" s="4"/>
      <c r="HYK20" s="4"/>
      <c r="HYL20" s="4"/>
      <c r="HYM20" s="4"/>
      <c r="HYN20" s="4"/>
      <c r="HYO20" s="4"/>
      <c r="HYP20" s="4"/>
      <c r="HYQ20" s="4"/>
      <c r="HYR20" s="4"/>
      <c r="HYS20" s="4"/>
      <c r="HYT20" s="4"/>
      <c r="HYU20" s="4"/>
      <c r="HYV20" s="4"/>
      <c r="HYW20" s="4"/>
      <c r="HYX20" s="4"/>
      <c r="HYY20" s="4"/>
      <c r="HYZ20" s="4"/>
      <c r="HZA20" s="4"/>
      <c r="HZB20" s="4"/>
      <c r="HZC20" s="4"/>
      <c r="HZD20" s="4"/>
      <c r="HZE20" s="4"/>
      <c r="HZF20" s="4"/>
      <c r="HZG20" s="4"/>
      <c r="HZH20" s="4"/>
      <c r="HZI20" s="4"/>
      <c r="HZJ20" s="4"/>
      <c r="HZK20" s="4"/>
      <c r="HZL20" s="4"/>
      <c r="HZM20" s="4"/>
      <c r="HZN20" s="4"/>
      <c r="HZO20" s="4"/>
      <c r="HZP20" s="4"/>
      <c r="HZQ20" s="4"/>
      <c r="HZR20" s="4"/>
      <c r="HZS20" s="4"/>
      <c r="HZT20" s="4"/>
      <c r="HZU20" s="4"/>
      <c r="HZV20" s="4"/>
      <c r="HZW20" s="4"/>
      <c r="HZX20" s="4"/>
      <c r="HZY20" s="4"/>
      <c r="HZZ20" s="4"/>
      <c r="IAA20" s="4"/>
      <c r="IAB20" s="4"/>
      <c r="IAC20" s="4"/>
      <c r="IAD20" s="4"/>
      <c r="IAE20" s="4"/>
      <c r="IAF20" s="4"/>
      <c r="IAG20" s="4"/>
      <c r="IAH20" s="4"/>
      <c r="IAI20" s="4"/>
      <c r="IAJ20" s="4"/>
      <c r="IAK20" s="4"/>
      <c r="IAL20" s="4"/>
      <c r="IAM20" s="4"/>
      <c r="IAN20" s="4"/>
      <c r="IAO20" s="4"/>
      <c r="IAP20" s="4"/>
      <c r="IAQ20" s="4"/>
      <c r="IAR20" s="4"/>
      <c r="IAS20" s="4"/>
      <c r="IAT20" s="4"/>
      <c r="IAU20" s="4"/>
      <c r="IAV20" s="4"/>
      <c r="IAW20" s="4"/>
      <c r="IAX20" s="4"/>
      <c r="IAY20" s="4"/>
      <c r="IAZ20" s="4"/>
      <c r="IBA20" s="4"/>
      <c r="IBB20" s="4"/>
      <c r="IBC20" s="4"/>
      <c r="IBD20" s="4"/>
      <c r="IBE20" s="4"/>
      <c r="IBF20" s="4"/>
      <c r="IBG20" s="4"/>
      <c r="IBH20" s="4"/>
      <c r="IBI20" s="4"/>
      <c r="IBJ20" s="4"/>
      <c r="IBK20" s="4"/>
      <c r="IBL20" s="4"/>
      <c r="IBM20" s="4"/>
      <c r="IBN20" s="4"/>
      <c r="IBO20" s="4"/>
      <c r="IBP20" s="4"/>
      <c r="IBQ20" s="4"/>
      <c r="IBR20" s="4"/>
      <c r="IBS20" s="4"/>
      <c r="IBT20" s="4"/>
      <c r="IBU20" s="4"/>
      <c r="IBV20" s="4"/>
      <c r="IBW20" s="4"/>
      <c r="IBX20" s="4"/>
      <c r="IBY20" s="4"/>
      <c r="IBZ20" s="4"/>
      <c r="ICA20" s="4"/>
      <c r="ICB20" s="4"/>
      <c r="ICC20" s="4"/>
      <c r="ICD20" s="4"/>
      <c r="ICE20" s="4"/>
      <c r="ICF20" s="4"/>
      <c r="ICG20" s="4"/>
      <c r="ICH20" s="4"/>
      <c r="ICI20" s="4"/>
      <c r="ICJ20" s="4"/>
      <c r="ICK20" s="4"/>
      <c r="ICL20" s="4"/>
      <c r="ICM20" s="4"/>
      <c r="ICN20" s="4"/>
      <c r="ICO20" s="4"/>
      <c r="ICP20" s="4"/>
      <c r="ICQ20" s="4"/>
      <c r="ICR20" s="4"/>
      <c r="ICS20" s="4"/>
      <c r="ICT20" s="4"/>
      <c r="ICU20" s="4"/>
      <c r="ICV20" s="4"/>
      <c r="ICW20" s="4"/>
      <c r="ICX20" s="4"/>
      <c r="ICY20" s="4"/>
      <c r="ICZ20" s="4"/>
      <c r="IDA20" s="4"/>
      <c r="IDB20" s="4"/>
      <c r="IDC20" s="4"/>
      <c r="IDD20" s="4"/>
      <c r="IDE20" s="4"/>
      <c r="IDF20" s="4"/>
      <c r="IDG20" s="4"/>
      <c r="IDH20" s="4"/>
      <c r="IDI20" s="4"/>
      <c r="IDJ20" s="4"/>
      <c r="IDK20" s="4"/>
      <c r="IDL20" s="4"/>
      <c r="IDM20" s="4"/>
      <c r="IDN20" s="4"/>
      <c r="IDO20" s="4"/>
      <c r="IDP20" s="4"/>
      <c r="IDQ20" s="4"/>
      <c r="IDR20" s="4"/>
      <c r="IDS20" s="4"/>
      <c r="IDT20" s="4"/>
      <c r="IDU20" s="4"/>
      <c r="IDV20" s="4"/>
      <c r="IDW20" s="4"/>
      <c r="IDX20" s="4"/>
      <c r="IDY20" s="4"/>
      <c r="IDZ20" s="4"/>
      <c r="IEA20" s="4"/>
      <c r="IEB20" s="4"/>
      <c r="IEC20" s="4"/>
      <c r="IED20" s="4"/>
      <c r="IEE20" s="4"/>
      <c r="IEF20" s="4"/>
      <c r="IEG20" s="4"/>
      <c r="IEH20" s="4"/>
      <c r="IEI20" s="4"/>
      <c r="IEJ20" s="4"/>
      <c r="IEK20" s="4"/>
      <c r="IEL20" s="4"/>
      <c r="IEM20" s="4"/>
      <c r="IEN20" s="4"/>
      <c r="IEO20" s="4"/>
      <c r="IEP20" s="4"/>
      <c r="IEQ20" s="4"/>
      <c r="IER20" s="4"/>
      <c r="IES20" s="4"/>
      <c r="IET20" s="4"/>
      <c r="IEU20" s="4"/>
      <c r="IEV20" s="4"/>
      <c r="IEW20" s="4"/>
      <c r="IEX20" s="4"/>
      <c r="IEY20" s="4"/>
      <c r="IEZ20" s="4"/>
      <c r="IFA20" s="4"/>
      <c r="IFB20" s="4"/>
      <c r="IFC20" s="4"/>
      <c r="IFD20" s="4"/>
      <c r="IFE20" s="4"/>
      <c r="IFF20" s="4"/>
      <c r="IFG20" s="4"/>
      <c r="IFH20" s="4"/>
      <c r="IFI20" s="4"/>
      <c r="IFJ20" s="4"/>
      <c r="IFK20" s="4"/>
      <c r="IFL20" s="4"/>
      <c r="IFM20" s="4"/>
      <c r="IFN20" s="4"/>
      <c r="IFO20" s="4"/>
      <c r="IFP20" s="4"/>
      <c r="IFQ20" s="4"/>
      <c r="IFR20" s="4"/>
      <c r="IFS20" s="4"/>
      <c r="IFT20" s="4"/>
      <c r="IFU20" s="4"/>
      <c r="IFV20" s="4"/>
      <c r="IFW20" s="4"/>
      <c r="IFX20" s="4"/>
      <c r="IFY20" s="4"/>
      <c r="IFZ20" s="4"/>
      <c r="IGA20" s="4"/>
      <c r="IGB20" s="4"/>
      <c r="IGC20" s="4"/>
      <c r="IGD20" s="4"/>
      <c r="IGE20" s="4"/>
      <c r="IGF20" s="4"/>
      <c r="IGG20" s="4"/>
      <c r="IGH20" s="4"/>
      <c r="IGI20" s="4"/>
      <c r="IGJ20" s="4"/>
      <c r="IGK20" s="4"/>
      <c r="IGL20" s="4"/>
      <c r="IGM20" s="4"/>
      <c r="IGN20" s="4"/>
      <c r="IGO20" s="4"/>
      <c r="IGP20" s="4"/>
      <c r="IGQ20" s="4"/>
      <c r="IGR20" s="4"/>
      <c r="IGS20" s="4"/>
      <c r="IGT20" s="4"/>
      <c r="IGU20" s="4"/>
      <c r="IGV20" s="4"/>
      <c r="IGW20" s="4"/>
      <c r="IGX20" s="4"/>
      <c r="IGY20" s="4"/>
      <c r="IGZ20" s="4"/>
      <c r="IHA20" s="4"/>
      <c r="IHB20" s="4"/>
      <c r="IHC20" s="4"/>
      <c r="IHD20" s="4"/>
      <c r="IHE20" s="4"/>
      <c r="IHF20" s="4"/>
      <c r="IHG20" s="4"/>
      <c r="IHH20" s="4"/>
      <c r="IHI20" s="4"/>
      <c r="IHJ20" s="4"/>
      <c r="IHK20" s="4"/>
      <c r="IHL20" s="4"/>
      <c r="IHM20" s="4"/>
      <c r="IHN20" s="4"/>
      <c r="IHO20" s="4"/>
      <c r="IHP20" s="4"/>
      <c r="IHQ20" s="4"/>
      <c r="IHR20" s="4"/>
      <c r="IHS20" s="4"/>
      <c r="IHT20" s="4"/>
      <c r="IHU20" s="4"/>
      <c r="IHV20" s="4"/>
      <c r="IHW20" s="4"/>
      <c r="IHX20" s="4"/>
      <c r="IHY20" s="4"/>
      <c r="IHZ20" s="4"/>
      <c r="IIA20" s="4"/>
      <c r="IIB20" s="4"/>
      <c r="IIC20" s="4"/>
      <c r="IID20" s="4"/>
      <c r="IIE20" s="4"/>
      <c r="IIF20" s="4"/>
      <c r="IIG20" s="4"/>
      <c r="IIH20" s="4"/>
      <c r="III20" s="4"/>
      <c r="IIJ20" s="4"/>
      <c r="IIK20" s="4"/>
      <c r="IIL20" s="4"/>
      <c r="IIM20" s="4"/>
      <c r="IIN20" s="4"/>
      <c r="IIO20" s="4"/>
      <c r="IIP20" s="4"/>
      <c r="IIQ20" s="4"/>
      <c r="IIR20" s="4"/>
      <c r="IIS20" s="4"/>
      <c r="IIT20" s="4"/>
      <c r="IIU20" s="4"/>
      <c r="IIV20" s="4"/>
      <c r="IIW20" s="4"/>
      <c r="IIX20" s="4"/>
      <c r="IIY20" s="4"/>
      <c r="IIZ20" s="4"/>
      <c r="IJA20" s="4"/>
      <c r="IJB20" s="4"/>
      <c r="IJC20" s="4"/>
      <c r="IJD20" s="4"/>
      <c r="IJE20" s="4"/>
      <c r="IJF20" s="4"/>
      <c r="IJG20" s="4"/>
      <c r="IJH20" s="4"/>
      <c r="IJI20" s="4"/>
      <c r="IJJ20" s="4"/>
      <c r="IJK20" s="4"/>
      <c r="IJL20" s="4"/>
      <c r="IJM20" s="4"/>
      <c r="IJN20" s="4"/>
      <c r="IJO20" s="4"/>
      <c r="IJP20" s="4"/>
      <c r="IJQ20" s="4"/>
      <c r="IJR20" s="4"/>
      <c r="IJS20" s="4"/>
      <c r="IJT20" s="4"/>
      <c r="IJU20" s="4"/>
      <c r="IJV20" s="4"/>
      <c r="IJW20" s="4"/>
      <c r="IJX20" s="4"/>
      <c r="IJY20" s="4"/>
      <c r="IJZ20" s="4"/>
      <c r="IKA20" s="4"/>
      <c r="IKB20" s="4"/>
      <c r="IKC20" s="4"/>
      <c r="IKD20" s="4"/>
      <c r="IKE20" s="4"/>
      <c r="IKF20" s="4"/>
      <c r="IKG20" s="4"/>
      <c r="IKH20" s="4"/>
      <c r="IKI20" s="4"/>
      <c r="IKJ20" s="4"/>
      <c r="IKK20" s="4"/>
      <c r="IKL20" s="4"/>
      <c r="IKM20" s="4"/>
      <c r="IKN20" s="4"/>
      <c r="IKO20" s="4"/>
      <c r="IKP20" s="4"/>
      <c r="IKQ20" s="4"/>
      <c r="IKR20" s="4"/>
      <c r="IKS20" s="4"/>
      <c r="IKT20" s="4"/>
      <c r="IKU20" s="4"/>
      <c r="IKV20" s="4"/>
      <c r="IKW20" s="4"/>
      <c r="IKX20" s="4"/>
      <c r="IKY20" s="4"/>
      <c r="IKZ20" s="4"/>
      <c r="ILA20" s="4"/>
      <c r="ILB20" s="4"/>
      <c r="ILC20" s="4"/>
      <c r="ILD20" s="4"/>
      <c r="ILE20" s="4"/>
      <c r="ILF20" s="4"/>
      <c r="ILG20" s="4"/>
      <c r="ILH20" s="4"/>
      <c r="ILI20" s="4"/>
      <c r="ILJ20" s="4"/>
      <c r="ILK20" s="4"/>
      <c r="ILL20" s="4"/>
      <c r="ILM20" s="4"/>
      <c r="ILN20" s="4"/>
      <c r="ILO20" s="4"/>
      <c r="ILP20" s="4"/>
      <c r="ILQ20" s="4"/>
      <c r="ILR20" s="4"/>
      <c r="ILS20" s="4"/>
      <c r="ILT20" s="4"/>
      <c r="ILU20" s="4"/>
      <c r="ILV20" s="4"/>
      <c r="ILW20" s="4"/>
      <c r="ILX20" s="4"/>
      <c r="ILY20" s="4"/>
      <c r="ILZ20" s="4"/>
      <c r="IMA20" s="4"/>
      <c r="IMB20" s="4"/>
      <c r="IMC20" s="4"/>
      <c r="IMD20" s="4"/>
      <c r="IME20" s="4"/>
      <c r="IMF20" s="4"/>
      <c r="IMG20" s="4"/>
      <c r="IMH20" s="4"/>
      <c r="IMI20" s="4"/>
      <c r="IMJ20" s="4"/>
      <c r="IMK20" s="4"/>
      <c r="IML20" s="4"/>
      <c r="IMM20" s="4"/>
      <c r="IMN20" s="4"/>
      <c r="IMO20" s="4"/>
      <c r="IMP20" s="4"/>
      <c r="IMQ20" s="4"/>
      <c r="IMR20" s="4"/>
      <c r="IMS20" s="4"/>
      <c r="IMT20" s="4"/>
      <c r="IMU20" s="4"/>
      <c r="IMV20" s="4"/>
      <c r="IMW20" s="4"/>
      <c r="IMX20" s="4"/>
      <c r="IMY20" s="4"/>
      <c r="IMZ20" s="4"/>
      <c r="INA20" s="4"/>
      <c r="INB20" s="4"/>
      <c r="INC20" s="4"/>
      <c r="IND20" s="4"/>
      <c r="INE20" s="4"/>
      <c r="INF20" s="4"/>
      <c r="ING20" s="4"/>
      <c r="INH20" s="4"/>
      <c r="INI20" s="4"/>
      <c r="INJ20" s="4"/>
      <c r="INK20" s="4"/>
      <c r="INL20" s="4"/>
      <c r="INM20" s="4"/>
      <c r="INN20" s="4"/>
      <c r="INO20" s="4"/>
      <c r="INP20" s="4"/>
      <c r="INQ20" s="4"/>
      <c r="INR20" s="4"/>
      <c r="INS20" s="4"/>
      <c r="INT20" s="4"/>
      <c r="INU20" s="4"/>
      <c r="INV20" s="4"/>
      <c r="INW20" s="4"/>
      <c r="INX20" s="4"/>
      <c r="INY20" s="4"/>
      <c r="INZ20" s="4"/>
      <c r="IOA20" s="4"/>
      <c r="IOB20" s="4"/>
      <c r="IOC20" s="4"/>
      <c r="IOD20" s="4"/>
      <c r="IOE20" s="4"/>
      <c r="IOF20" s="4"/>
      <c r="IOG20" s="4"/>
      <c r="IOH20" s="4"/>
      <c r="IOI20" s="4"/>
      <c r="IOJ20" s="4"/>
      <c r="IOK20" s="4"/>
      <c r="IOL20" s="4"/>
      <c r="IOM20" s="4"/>
      <c r="ION20" s="4"/>
      <c r="IOO20" s="4"/>
      <c r="IOP20" s="4"/>
      <c r="IOQ20" s="4"/>
      <c r="IOR20" s="4"/>
      <c r="IOS20" s="4"/>
      <c r="IOT20" s="4"/>
      <c r="IOU20" s="4"/>
      <c r="IOV20" s="4"/>
      <c r="IOW20" s="4"/>
      <c r="IOX20" s="4"/>
      <c r="IOY20" s="4"/>
      <c r="IOZ20" s="4"/>
      <c r="IPA20" s="4"/>
      <c r="IPB20" s="4"/>
      <c r="IPC20" s="4"/>
      <c r="IPD20" s="4"/>
      <c r="IPE20" s="4"/>
      <c r="IPF20" s="4"/>
      <c r="IPG20" s="4"/>
      <c r="IPH20" s="4"/>
      <c r="IPI20" s="4"/>
      <c r="IPJ20" s="4"/>
      <c r="IPK20" s="4"/>
      <c r="IPL20" s="4"/>
      <c r="IPM20" s="4"/>
      <c r="IPN20" s="4"/>
      <c r="IPO20" s="4"/>
      <c r="IPP20" s="4"/>
      <c r="IPQ20" s="4"/>
      <c r="IPR20" s="4"/>
      <c r="IPS20" s="4"/>
      <c r="IPT20" s="4"/>
      <c r="IPU20" s="4"/>
      <c r="IPV20" s="4"/>
      <c r="IPW20" s="4"/>
      <c r="IPX20" s="4"/>
      <c r="IPY20" s="4"/>
      <c r="IPZ20" s="4"/>
      <c r="IQA20" s="4"/>
      <c r="IQB20" s="4"/>
      <c r="IQC20" s="4"/>
      <c r="IQD20" s="4"/>
      <c r="IQE20" s="4"/>
      <c r="IQF20" s="4"/>
      <c r="IQG20" s="4"/>
      <c r="IQH20" s="4"/>
      <c r="IQI20" s="4"/>
      <c r="IQJ20" s="4"/>
      <c r="IQK20" s="4"/>
      <c r="IQL20" s="4"/>
      <c r="IQM20" s="4"/>
      <c r="IQN20" s="4"/>
      <c r="IQO20" s="4"/>
      <c r="IQP20" s="4"/>
      <c r="IQQ20" s="4"/>
      <c r="IQR20" s="4"/>
      <c r="IQS20" s="4"/>
      <c r="IQT20" s="4"/>
      <c r="IQU20" s="4"/>
      <c r="IQV20" s="4"/>
      <c r="IQW20" s="4"/>
      <c r="IQX20" s="4"/>
      <c r="IQY20" s="4"/>
      <c r="IQZ20" s="4"/>
      <c r="IRA20" s="4"/>
      <c r="IRB20" s="4"/>
      <c r="IRC20" s="4"/>
      <c r="IRD20" s="4"/>
      <c r="IRE20" s="4"/>
      <c r="IRF20" s="4"/>
      <c r="IRG20" s="4"/>
      <c r="IRH20" s="4"/>
      <c r="IRI20" s="4"/>
      <c r="IRJ20" s="4"/>
      <c r="IRK20" s="4"/>
      <c r="IRL20" s="4"/>
      <c r="IRM20" s="4"/>
      <c r="IRN20" s="4"/>
      <c r="IRO20" s="4"/>
      <c r="IRP20" s="4"/>
      <c r="IRQ20" s="4"/>
      <c r="IRR20" s="4"/>
      <c r="IRS20" s="4"/>
      <c r="IRT20" s="4"/>
      <c r="IRU20" s="4"/>
      <c r="IRV20" s="4"/>
      <c r="IRW20" s="4"/>
      <c r="IRX20" s="4"/>
      <c r="IRY20" s="4"/>
      <c r="IRZ20" s="4"/>
      <c r="ISA20" s="4"/>
      <c r="ISB20" s="4"/>
      <c r="ISC20" s="4"/>
      <c r="ISD20" s="4"/>
      <c r="ISE20" s="4"/>
      <c r="ISF20" s="4"/>
      <c r="ISG20" s="4"/>
      <c r="ISH20" s="4"/>
      <c r="ISI20" s="4"/>
      <c r="ISJ20" s="4"/>
      <c r="ISK20" s="4"/>
      <c r="ISL20" s="4"/>
      <c r="ISM20" s="4"/>
      <c r="ISN20" s="4"/>
      <c r="ISO20" s="4"/>
      <c r="ISP20" s="4"/>
      <c r="ISQ20" s="4"/>
      <c r="ISR20" s="4"/>
      <c r="ISS20" s="4"/>
      <c r="IST20" s="4"/>
      <c r="ISU20" s="4"/>
      <c r="ISV20" s="4"/>
      <c r="ISW20" s="4"/>
      <c r="ISX20" s="4"/>
      <c r="ISY20" s="4"/>
      <c r="ISZ20" s="4"/>
      <c r="ITA20" s="4"/>
      <c r="ITB20" s="4"/>
      <c r="ITC20" s="4"/>
      <c r="ITD20" s="4"/>
      <c r="ITE20" s="4"/>
      <c r="ITF20" s="4"/>
      <c r="ITG20" s="4"/>
      <c r="ITH20" s="4"/>
      <c r="ITI20" s="4"/>
      <c r="ITJ20" s="4"/>
      <c r="ITK20" s="4"/>
      <c r="ITL20" s="4"/>
      <c r="ITM20" s="4"/>
      <c r="ITN20" s="4"/>
      <c r="ITO20" s="4"/>
      <c r="ITP20" s="4"/>
      <c r="ITQ20" s="4"/>
      <c r="ITR20" s="4"/>
      <c r="ITS20" s="4"/>
      <c r="ITT20" s="4"/>
      <c r="ITU20" s="4"/>
      <c r="ITV20" s="4"/>
      <c r="ITW20" s="4"/>
      <c r="ITX20" s="4"/>
      <c r="ITY20" s="4"/>
      <c r="ITZ20" s="4"/>
      <c r="IUA20" s="4"/>
      <c r="IUB20" s="4"/>
      <c r="IUC20" s="4"/>
      <c r="IUD20" s="4"/>
      <c r="IUE20" s="4"/>
      <c r="IUF20" s="4"/>
      <c r="IUG20" s="4"/>
      <c r="IUH20" s="4"/>
      <c r="IUI20" s="4"/>
      <c r="IUJ20" s="4"/>
      <c r="IUK20" s="4"/>
      <c r="IUL20" s="4"/>
      <c r="IUM20" s="4"/>
      <c r="IUN20" s="4"/>
      <c r="IUO20" s="4"/>
      <c r="IUP20" s="4"/>
      <c r="IUQ20" s="4"/>
      <c r="IUR20" s="4"/>
      <c r="IUS20" s="4"/>
      <c r="IUT20" s="4"/>
      <c r="IUU20" s="4"/>
      <c r="IUV20" s="4"/>
      <c r="IUW20" s="4"/>
      <c r="IUX20" s="4"/>
      <c r="IUY20" s="4"/>
      <c r="IUZ20" s="4"/>
      <c r="IVA20" s="4"/>
      <c r="IVB20" s="4"/>
      <c r="IVC20" s="4"/>
      <c r="IVD20" s="4"/>
      <c r="IVE20" s="4"/>
      <c r="IVF20" s="4"/>
      <c r="IVG20" s="4"/>
      <c r="IVH20" s="4"/>
      <c r="IVI20" s="4"/>
      <c r="IVJ20" s="4"/>
      <c r="IVK20" s="4"/>
      <c r="IVL20" s="4"/>
      <c r="IVM20" s="4"/>
      <c r="IVN20" s="4"/>
      <c r="IVO20" s="4"/>
      <c r="IVP20" s="4"/>
      <c r="IVQ20" s="4"/>
      <c r="IVR20" s="4"/>
      <c r="IVS20" s="4"/>
      <c r="IVT20" s="4"/>
      <c r="IVU20" s="4"/>
      <c r="IVV20" s="4"/>
      <c r="IVW20" s="4"/>
      <c r="IVX20" s="4"/>
      <c r="IVY20" s="4"/>
      <c r="IVZ20" s="4"/>
      <c r="IWA20" s="4"/>
      <c r="IWB20" s="4"/>
      <c r="IWC20" s="4"/>
      <c r="IWD20" s="4"/>
      <c r="IWE20" s="4"/>
      <c r="IWF20" s="4"/>
      <c r="IWG20" s="4"/>
      <c r="IWH20" s="4"/>
      <c r="IWI20" s="4"/>
      <c r="IWJ20" s="4"/>
      <c r="IWK20" s="4"/>
      <c r="IWL20" s="4"/>
      <c r="IWM20" s="4"/>
      <c r="IWN20" s="4"/>
      <c r="IWO20" s="4"/>
      <c r="IWP20" s="4"/>
      <c r="IWQ20" s="4"/>
      <c r="IWR20" s="4"/>
      <c r="IWS20" s="4"/>
      <c r="IWT20" s="4"/>
      <c r="IWU20" s="4"/>
      <c r="IWV20" s="4"/>
      <c r="IWW20" s="4"/>
      <c r="IWX20" s="4"/>
      <c r="IWY20" s="4"/>
      <c r="IWZ20" s="4"/>
      <c r="IXA20" s="4"/>
      <c r="IXB20" s="4"/>
      <c r="IXC20" s="4"/>
      <c r="IXD20" s="4"/>
      <c r="IXE20" s="4"/>
      <c r="IXF20" s="4"/>
      <c r="IXG20" s="4"/>
      <c r="IXH20" s="4"/>
      <c r="IXI20" s="4"/>
      <c r="IXJ20" s="4"/>
      <c r="IXK20" s="4"/>
      <c r="IXL20" s="4"/>
      <c r="IXM20" s="4"/>
      <c r="IXN20" s="4"/>
      <c r="IXO20" s="4"/>
      <c r="IXP20" s="4"/>
      <c r="IXQ20" s="4"/>
      <c r="IXR20" s="4"/>
      <c r="IXS20" s="4"/>
      <c r="IXT20" s="4"/>
      <c r="IXU20" s="4"/>
      <c r="IXV20" s="4"/>
      <c r="IXW20" s="4"/>
      <c r="IXX20" s="4"/>
      <c r="IXY20" s="4"/>
      <c r="IXZ20" s="4"/>
      <c r="IYA20" s="4"/>
      <c r="IYB20" s="4"/>
      <c r="IYC20" s="4"/>
      <c r="IYD20" s="4"/>
      <c r="IYE20" s="4"/>
      <c r="IYF20" s="4"/>
      <c r="IYG20" s="4"/>
      <c r="IYH20" s="4"/>
      <c r="IYI20" s="4"/>
      <c r="IYJ20" s="4"/>
      <c r="IYK20" s="4"/>
      <c r="IYL20" s="4"/>
      <c r="IYM20" s="4"/>
      <c r="IYN20" s="4"/>
      <c r="IYO20" s="4"/>
      <c r="IYP20" s="4"/>
      <c r="IYQ20" s="4"/>
      <c r="IYR20" s="4"/>
      <c r="IYS20" s="4"/>
      <c r="IYT20" s="4"/>
      <c r="IYU20" s="4"/>
      <c r="IYV20" s="4"/>
      <c r="IYW20" s="4"/>
      <c r="IYX20" s="4"/>
      <c r="IYY20" s="4"/>
      <c r="IYZ20" s="4"/>
      <c r="IZA20" s="4"/>
      <c r="IZB20" s="4"/>
      <c r="IZC20" s="4"/>
      <c r="IZD20" s="4"/>
      <c r="IZE20" s="4"/>
      <c r="IZF20" s="4"/>
      <c r="IZG20" s="4"/>
      <c r="IZH20" s="4"/>
      <c r="IZI20" s="4"/>
      <c r="IZJ20" s="4"/>
      <c r="IZK20" s="4"/>
      <c r="IZL20" s="4"/>
      <c r="IZM20" s="4"/>
      <c r="IZN20" s="4"/>
      <c r="IZO20" s="4"/>
      <c r="IZP20" s="4"/>
      <c r="IZQ20" s="4"/>
      <c r="IZR20" s="4"/>
      <c r="IZS20" s="4"/>
      <c r="IZT20" s="4"/>
      <c r="IZU20" s="4"/>
      <c r="IZV20" s="4"/>
      <c r="IZW20" s="4"/>
      <c r="IZX20" s="4"/>
      <c r="IZY20" s="4"/>
      <c r="IZZ20" s="4"/>
      <c r="JAA20" s="4"/>
      <c r="JAB20" s="4"/>
      <c r="JAC20" s="4"/>
      <c r="JAD20" s="4"/>
      <c r="JAE20" s="4"/>
      <c r="JAF20" s="4"/>
      <c r="JAG20" s="4"/>
      <c r="JAH20" s="4"/>
      <c r="JAI20" s="4"/>
      <c r="JAJ20" s="4"/>
      <c r="JAK20" s="4"/>
      <c r="JAL20" s="4"/>
      <c r="JAM20" s="4"/>
      <c r="JAN20" s="4"/>
      <c r="JAO20" s="4"/>
      <c r="JAP20" s="4"/>
      <c r="JAQ20" s="4"/>
      <c r="JAR20" s="4"/>
      <c r="JAS20" s="4"/>
      <c r="JAT20" s="4"/>
      <c r="JAU20" s="4"/>
      <c r="JAV20" s="4"/>
      <c r="JAW20" s="4"/>
      <c r="JAX20" s="4"/>
      <c r="JAY20" s="4"/>
      <c r="JAZ20" s="4"/>
      <c r="JBA20" s="4"/>
      <c r="JBB20" s="4"/>
      <c r="JBC20" s="4"/>
      <c r="JBD20" s="4"/>
      <c r="JBE20" s="4"/>
      <c r="JBF20" s="4"/>
      <c r="JBG20" s="4"/>
      <c r="JBH20" s="4"/>
      <c r="JBI20" s="4"/>
      <c r="JBJ20" s="4"/>
      <c r="JBK20" s="4"/>
      <c r="JBL20" s="4"/>
      <c r="JBM20" s="4"/>
      <c r="JBN20" s="4"/>
      <c r="JBO20" s="4"/>
      <c r="JBP20" s="4"/>
      <c r="JBQ20" s="4"/>
      <c r="JBR20" s="4"/>
      <c r="JBS20" s="4"/>
      <c r="JBT20" s="4"/>
      <c r="JBU20" s="4"/>
      <c r="JBV20" s="4"/>
      <c r="JBW20" s="4"/>
      <c r="JBX20" s="4"/>
      <c r="JBY20" s="4"/>
      <c r="JBZ20" s="4"/>
      <c r="JCA20" s="4"/>
      <c r="JCB20" s="4"/>
      <c r="JCC20" s="4"/>
      <c r="JCD20" s="4"/>
      <c r="JCE20" s="4"/>
      <c r="JCF20" s="4"/>
      <c r="JCG20" s="4"/>
      <c r="JCH20" s="4"/>
      <c r="JCI20" s="4"/>
      <c r="JCJ20" s="4"/>
      <c r="JCK20" s="4"/>
      <c r="JCL20" s="4"/>
      <c r="JCM20" s="4"/>
      <c r="JCN20" s="4"/>
      <c r="JCO20" s="4"/>
      <c r="JCP20" s="4"/>
      <c r="JCQ20" s="4"/>
      <c r="JCR20" s="4"/>
      <c r="JCS20" s="4"/>
      <c r="JCT20" s="4"/>
      <c r="JCU20" s="4"/>
      <c r="JCV20" s="4"/>
      <c r="JCW20" s="4"/>
      <c r="JCX20" s="4"/>
      <c r="JCY20" s="4"/>
      <c r="JCZ20" s="4"/>
      <c r="JDA20" s="4"/>
      <c r="JDB20" s="4"/>
      <c r="JDC20" s="4"/>
      <c r="JDD20" s="4"/>
      <c r="JDE20" s="4"/>
      <c r="JDF20" s="4"/>
      <c r="JDG20" s="4"/>
      <c r="JDH20" s="4"/>
      <c r="JDI20" s="4"/>
      <c r="JDJ20" s="4"/>
      <c r="JDK20" s="4"/>
      <c r="JDL20" s="4"/>
      <c r="JDM20" s="4"/>
      <c r="JDN20" s="4"/>
      <c r="JDO20" s="4"/>
      <c r="JDP20" s="4"/>
      <c r="JDQ20" s="4"/>
      <c r="JDR20" s="4"/>
      <c r="JDS20" s="4"/>
      <c r="JDT20" s="4"/>
      <c r="JDU20" s="4"/>
      <c r="JDV20" s="4"/>
      <c r="JDW20" s="4"/>
      <c r="JDX20" s="4"/>
      <c r="JDY20" s="4"/>
      <c r="JDZ20" s="4"/>
      <c r="JEA20" s="4"/>
      <c r="JEB20" s="4"/>
      <c r="JEC20" s="4"/>
      <c r="JED20" s="4"/>
      <c r="JEE20" s="4"/>
      <c r="JEF20" s="4"/>
      <c r="JEG20" s="4"/>
      <c r="JEH20" s="4"/>
      <c r="JEI20" s="4"/>
      <c r="JEJ20" s="4"/>
      <c r="JEK20" s="4"/>
      <c r="JEL20" s="4"/>
      <c r="JEM20" s="4"/>
      <c r="JEN20" s="4"/>
      <c r="JEO20" s="4"/>
      <c r="JEP20" s="4"/>
      <c r="JEQ20" s="4"/>
      <c r="JER20" s="4"/>
      <c r="JES20" s="4"/>
      <c r="JET20" s="4"/>
      <c r="JEU20" s="4"/>
      <c r="JEV20" s="4"/>
      <c r="JEW20" s="4"/>
      <c r="JEX20" s="4"/>
      <c r="JEY20" s="4"/>
      <c r="JEZ20" s="4"/>
      <c r="JFA20" s="4"/>
      <c r="JFB20" s="4"/>
      <c r="JFC20" s="4"/>
      <c r="JFD20" s="4"/>
      <c r="JFE20" s="4"/>
      <c r="JFF20" s="4"/>
      <c r="JFG20" s="4"/>
      <c r="JFH20" s="4"/>
      <c r="JFI20" s="4"/>
      <c r="JFJ20" s="4"/>
      <c r="JFK20" s="4"/>
      <c r="JFL20" s="4"/>
      <c r="JFM20" s="4"/>
      <c r="JFN20" s="4"/>
      <c r="JFO20" s="4"/>
      <c r="JFP20" s="4"/>
      <c r="JFQ20" s="4"/>
      <c r="JFR20" s="4"/>
      <c r="JFS20" s="4"/>
      <c r="JFT20" s="4"/>
      <c r="JFU20" s="4"/>
      <c r="JFV20" s="4"/>
      <c r="JFW20" s="4"/>
      <c r="JFX20" s="4"/>
      <c r="JFY20" s="4"/>
      <c r="JFZ20" s="4"/>
      <c r="JGA20" s="4"/>
      <c r="JGB20" s="4"/>
      <c r="JGC20" s="4"/>
      <c r="JGD20" s="4"/>
      <c r="JGE20" s="4"/>
      <c r="JGF20" s="4"/>
      <c r="JGG20" s="4"/>
      <c r="JGH20" s="4"/>
      <c r="JGI20" s="4"/>
      <c r="JGJ20" s="4"/>
      <c r="JGK20" s="4"/>
      <c r="JGL20" s="4"/>
      <c r="JGM20" s="4"/>
      <c r="JGN20" s="4"/>
      <c r="JGO20" s="4"/>
      <c r="JGP20" s="4"/>
      <c r="JGQ20" s="4"/>
      <c r="JGR20" s="4"/>
      <c r="JGS20" s="4"/>
      <c r="JGT20" s="4"/>
      <c r="JGU20" s="4"/>
      <c r="JGV20" s="4"/>
      <c r="JGW20" s="4"/>
      <c r="JGX20" s="4"/>
      <c r="JGY20" s="4"/>
      <c r="JGZ20" s="4"/>
      <c r="JHA20" s="4"/>
      <c r="JHB20" s="4"/>
      <c r="JHC20" s="4"/>
      <c r="JHD20" s="4"/>
      <c r="JHE20" s="4"/>
      <c r="JHF20" s="4"/>
      <c r="JHG20" s="4"/>
      <c r="JHH20" s="4"/>
      <c r="JHI20" s="4"/>
      <c r="JHJ20" s="4"/>
      <c r="JHK20" s="4"/>
      <c r="JHL20" s="4"/>
      <c r="JHM20" s="4"/>
      <c r="JHN20" s="4"/>
      <c r="JHO20" s="4"/>
      <c r="JHP20" s="4"/>
      <c r="JHQ20" s="4"/>
      <c r="JHR20" s="4"/>
      <c r="JHS20" s="4"/>
      <c r="JHT20" s="4"/>
      <c r="JHU20" s="4"/>
      <c r="JHV20" s="4"/>
      <c r="JHW20" s="4"/>
      <c r="JHX20" s="4"/>
      <c r="JHY20" s="4"/>
      <c r="JHZ20" s="4"/>
      <c r="JIA20" s="4"/>
      <c r="JIB20" s="4"/>
      <c r="JIC20" s="4"/>
      <c r="JID20" s="4"/>
      <c r="JIE20" s="4"/>
      <c r="JIF20" s="4"/>
      <c r="JIG20" s="4"/>
      <c r="JIH20" s="4"/>
      <c r="JII20" s="4"/>
      <c r="JIJ20" s="4"/>
      <c r="JIK20" s="4"/>
      <c r="JIL20" s="4"/>
      <c r="JIM20" s="4"/>
      <c r="JIN20" s="4"/>
      <c r="JIO20" s="4"/>
      <c r="JIP20" s="4"/>
      <c r="JIQ20" s="4"/>
      <c r="JIR20" s="4"/>
      <c r="JIS20" s="4"/>
      <c r="JIT20" s="4"/>
      <c r="JIU20" s="4"/>
      <c r="JIV20" s="4"/>
      <c r="JIW20" s="4"/>
      <c r="JIX20" s="4"/>
      <c r="JIY20" s="4"/>
      <c r="JIZ20" s="4"/>
      <c r="JJA20" s="4"/>
      <c r="JJB20" s="4"/>
      <c r="JJC20" s="4"/>
      <c r="JJD20" s="4"/>
      <c r="JJE20" s="4"/>
      <c r="JJF20" s="4"/>
      <c r="JJG20" s="4"/>
      <c r="JJH20" s="4"/>
      <c r="JJI20" s="4"/>
      <c r="JJJ20" s="4"/>
      <c r="JJK20" s="4"/>
      <c r="JJL20" s="4"/>
      <c r="JJM20" s="4"/>
      <c r="JJN20" s="4"/>
      <c r="JJO20" s="4"/>
      <c r="JJP20" s="4"/>
      <c r="JJQ20" s="4"/>
      <c r="JJR20" s="4"/>
      <c r="JJS20" s="4"/>
      <c r="JJT20" s="4"/>
      <c r="JJU20" s="4"/>
      <c r="JJV20" s="4"/>
      <c r="JJW20" s="4"/>
      <c r="JJX20" s="4"/>
      <c r="JJY20" s="4"/>
      <c r="JJZ20" s="4"/>
      <c r="JKA20" s="4"/>
      <c r="JKB20" s="4"/>
      <c r="JKC20" s="4"/>
      <c r="JKD20" s="4"/>
      <c r="JKE20" s="4"/>
      <c r="JKF20" s="4"/>
      <c r="JKG20" s="4"/>
      <c r="JKH20" s="4"/>
      <c r="JKI20" s="4"/>
      <c r="JKJ20" s="4"/>
      <c r="JKK20" s="4"/>
      <c r="JKL20" s="4"/>
      <c r="JKM20" s="4"/>
      <c r="JKN20" s="4"/>
      <c r="JKO20" s="4"/>
      <c r="JKP20" s="4"/>
      <c r="JKQ20" s="4"/>
      <c r="JKR20" s="4"/>
      <c r="JKS20" s="4"/>
      <c r="JKT20" s="4"/>
      <c r="JKU20" s="4"/>
      <c r="JKV20" s="4"/>
      <c r="JKW20" s="4"/>
      <c r="JKX20" s="4"/>
      <c r="JKY20" s="4"/>
      <c r="JKZ20" s="4"/>
      <c r="JLA20" s="4"/>
      <c r="JLB20" s="4"/>
      <c r="JLC20" s="4"/>
      <c r="JLD20" s="4"/>
      <c r="JLE20" s="4"/>
      <c r="JLF20" s="4"/>
      <c r="JLG20" s="4"/>
      <c r="JLH20" s="4"/>
      <c r="JLI20" s="4"/>
      <c r="JLJ20" s="4"/>
      <c r="JLK20" s="4"/>
      <c r="JLL20" s="4"/>
      <c r="JLM20" s="4"/>
      <c r="JLN20" s="4"/>
      <c r="JLO20" s="4"/>
      <c r="JLP20" s="4"/>
      <c r="JLQ20" s="4"/>
      <c r="JLR20" s="4"/>
      <c r="JLS20" s="4"/>
      <c r="JLT20" s="4"/>
      <c r="JLU20" s="4"/>
      <c r="JLV20" s="4"/>
      <c r="JLW20" s="4"/>
      <c r="JLX20" s="4"/>
      <c r="JLY20" s="4"/>
      <c r="JLZ20" s="4"/>
      <c r="JMA20" s="4"/>
      <c r="JMB20" s="4"/>
      <c r="JMC20" s="4"/>
      <c r="JMD20" s="4"/>
      <c r="JME20" s="4"/>
      <c r="JMF20" s="4"/>
      <c r="JMG20" s="4"/>
      <c r="JMH20" s="4"/>
      <c r="JMI20" s="4"/>
      <c r="JMJ20" s="4"/>
      <c r="JMK20" s="4"/>
      <c r="JML20" s="4"/>
      <c r="JMM20" s="4"/>
      <c r="JMN20" s="4"/>
      <c r="JMO20" s="4"/>
      <c r="JMP20" s="4"/>
      <c r="JMQ20" s="4"/>
      <c r="JMR20" s="4"/>
      <c r="JMS20" s="4"/>
      <c r="JMT20" s="4"/>
      <c r="JMU20" s="4"/>
      <c r="JMV20" s="4"/>
      <c r="JMW20" s="4"/>
      <c r="JMX20" s="4"/>
      <c r="JMY20" s="4"/>
      <c r="JMZ20" s="4"/>
      <c r="JNA20" s="4"/>
      <c r="JNB20" s="4"/>
      <c r="JNC20" s="4"/>
      <c r="JND20" s="4"/>
      <c r="JNE20" s="4"/>
      <c r="JNF20" s="4"/>
      <c r="JNG20" s="4"/>
      <c r="JNH20" s="4"/>
      <c r="JNI20" s="4"/>
      <c r="JNJ20" s="4"/>
      <c r="JNK20" s="4"/>
      <c r="JNL20" s="4"/>
      <c r="JNM20" s="4"/>
      <c r="JNN20" s="4"/>
      <c r="JNO20" s="4"/>
      <c r="JNP20" s="4"/>
      <c r="JNQ20" s="4"/>
      <c r="JNR20" s="4"/>
      <c r="JNS20" s="4"/>
      <c r="JNT20" s="4"/>
      <c r="JNU20" s="4"/>
      <c r="JNV20" s="4"/>
      <c r="JNW20" s="4"/>
      <c r="JNX20" s="4"/>
      <c r="JNY20" s="4"/>
      <c r="JNZ20" s="4"/>
      <c r="JOA20" s="4"/>
      <c r="JOB20" s="4"/>
      <c r="JOC20" s="4"/>
      <c r="JOD20" s="4"/>
      <c r="JOE20" s="4"/>
      <c r="JOF20" s="4"/>
      <c r="JOG20" s="4"/>
      <c r="JOH20" s="4"/>
      <c r="JOI20" s="4"/>
      <c r="JOJ20" s="4"/>
      <c r="JOK20" s="4"/>
      <c r="JOL20" s="4"/>
      <c r="JOM20" s="4"/>
      <c r="JON20" s="4"/>
      <c r="JOO20" s="4"/>
      <c r="JOP20" s="4"/>
      <c r="JOQ20" s="4"/>
      <c r="JOR20" s="4"/>
      <c r="JOS20" s="4"/>
      <c r="JOT20" s="4"/>
      <c r="JOU20" s="4"/>
      <c r="JOV20" s="4"/>
      <c r="JOW20" s="4"/>
      <c r="JOX20" s="4"/>
      <c r="JOY20" s="4"/>
      <c r="JOZ20" s="4"/>
      <c r="JPA20" s="4"/>
      <c r="JPB20" s="4"/>
      <c r="JPC20" s="4"/>
      <c r="JPD20" s="4"/>
      <c r="JPE20" s="4"/>
      <c r="JPF20" s="4"/>
      <c r="JPG20" s="4"/>
      <c r="JPH20" s="4"/>
      <c r="JPI20" s="4"/>
      <c r="JPJ20" s="4"/>
      <c r="JPK20" s="4"/>
      <c r="JPL20" s="4"/>
      <c r="JPM20" s="4"/>
      <c r="JPN20" s="4"/>
      <c r="JPO20" s="4"/>
      <c r="JPP20" s="4"/>
      <c r="JPQ20" s="4"/>
      <c r="JPR20" s="4"/>
      <c r="JPS20" s="4"/>
      <c r="JPT20" s="4"/>
      <c r="JPU20" s="4"/>
      <c r="JPV20" s="4"/>
      <c r="JPW20" s="4"/>
      <c r="JPX20" s="4"/>
      <c r="JPY20" s="4"/>
      <c r="JPZ20" s="4"/>
      <c r="JQA20" s="4"/>
      <c r="JQB20" s="4"/>
      <c r="JQC20" s="4"/>
      <c r="JQD20" s="4"/>
      <c r="JQE20" s="4"/>
      <c r="JQF20" s="4"/>
      <c r="JQG20" s="4"/>
      <c r="JQH20" s="4"/>
      <c r="JQI20" s="4"/>
      <c r="JQJ20" s="4"/>
      <c r="JQK20" s="4"/>
      <c r="JQL20" s="4"/>
      <c r="JQM20" s="4"/>
      <c r="JQN20" s="4"/>
      <c r="JQO20" s="4"/>
      <c r="JQP20" s="4"/>
      <c r="JQQ20" s="4"/>
      <c r="JQR20" s="4"/>
      <c r="JQS20" s="4"/>
      <c r="JQT20" s="4"/>
      <c r="JQU20" s="4"/>
      <c r="JQV20" s="4"/>
      <c r="JQW20" s="4"/>
      <c r="JQX20" s="4"/>
      <c r="JQY20" s="4"/>
      <c r="JQZ20" s="4"/>
      <c r="JRA20" s="4"/>
      <c r="JRB20" s="4"/>
      <c r="JRC20" s="4"/>
      <c r="JRD20" s="4"/>
      <c r="JRE20" s="4"/>
      <c r="JRF20" s="4"/>
      <c r="JRG20" s="4"/>
      <c r="JRH20" s="4"/>
      <c r="JRI20" s="4"/>
      <c r="JRJ20" s="4"/>
      <c r="JRK20" s="4"/>
      <c r="JRL20" s="4"/>
      <c r="JRM20" s="4"/>
      <c r="JRN20" s="4"/>
      <c r="JRO20" s="4"/>
      <c r="JRP20" s="4"/>
      <c r="JRQ20" s="4"/>
      <c r="JRR20" s="4"/>
      <c r="JRS20" s="4"/>
      <c r="JRT20" s="4"/>
      <c r="JRU20" s="4"/>
      <c r="JRV20" s="4"/>
      <c r="JRW20" s="4"/>
      <c r="JRX20" s="4"/>
      <c r="JRY20" s="4"/>
      <c r="JRZ20" s="4"/>
      <c r="JSA20" s="4"/>
      <c r="JSB20" s="4"/>
      <c r="JSC20" s="4"/>
      <c r="JSD20" s="4"/>
      <c r="JSE20" s="4"/>
      <c r="JSF20" s="4"/>
      <c r="JSG20" s="4"/>
      <c r="JSH20" s="4"/>
      <c r="JSI20" s="4"/>
      <c r="JSJ20" s="4"/>
      <c r="JSK20" s="4"/>
      <c r="JSL20" s="4"/>
      <c r="JSM20" s="4"/>
      <c r="JSN20" s="4"/>
      <c r="JSO20" s="4"/>
      <c r="JSP20" s="4"/>
      <c r="JSQ20" s="4"/>
      <c r="JSR20" s="4"/>
      <c r="JSS20" s="4"/>
      <c r="JST20" s="4"/>
      <c r="JSU20" s="4"/>
      <c r="JSV20" s="4"/>
      <c r="JSW20" s="4"/>
      <c r="JSX20" s="4"/>
      <c r="JSY20" s="4"/>
      <c r="JSZ20" s="4"/>
      <c r="JTA20" s="4"/>
      <c r="JTB20" s="4"/>
      <c r="JTC20" s="4"/>
      <c r="JTD20" s="4"/>
      <c r="JTE20" s="4"/>
      <c r="JTF20" s="4"/>
      <c r="JTG20" s="4"/>
      <c r="JTH20" s="4"/>
      <c r="JTI20" s="4"/>
      <c r="JTJ20" s="4"/>
      <c r="JTK20" s="4"/>
      <c r="JTL20" s="4"/>
      <c r="JTM20" s="4"/>
      <c r="JTN20" s="4"/>
      <c r="JTO20" s="4"/>
      <c r="JTP20" s="4"/>
      <c r="JTQ20" s="4"/>
      <c r="JTR20" s="4"/>
      <c r="JTS20" s="4"/>
      <c r="JTT20" s="4"/>
      <c r="JTU20" s="4"/>
      <c r="JTV20" s="4"/>
      <c r="JTW20" s="4"/>
      <c r="JTX20" s="4"/>
      <c r="JTY20" s="4"/>
      <c r="JTZ20" s="4"/>
      <c r="JUA20" s="4"/>
      <c r="JUB20" s="4"/>
      <c r="JUC20" s="4"/>
      <c r="JUD20" s="4"/>
      <c r="JUE20" s="4"/>
      <c r="JUF20" s="4"/>
      <c r="JUG20" s="4"/>
      <c r="JUH20" s="4"/>
      <c r="JUI20" s="4"/>
      <c r="JUJ20" s="4"/>
      <c r="JUK20" s="4"/>
      <c r="JUL20" s="4"/>
      <c r="JUM20" s="4"/>
      <c r="JUN20" s="4"/>
      <c r="JUO20" s="4"/>
      <c r="JUP20" s="4"/>
      <c r="JUQ20" s="4"/>
      <c r="JUR20" s="4"/>
      <c r="JUS20" s="4"/>
      <c r="JUT20" s="4"/>
      <c r="JUU20" s="4"/>
      <c r="JUV20" s="4"/>
      <c r="JUW20" s="4"/>
      <c r="JUX20" s="4"/>
      <c r="JUY20" s="4"/>
      <c r="JUZ20" s="4"/>
      <c r="JVA20" s="4"/>
      <c r="JVB20" s="4"/>
      <c r="JVC20" s="4"/>
      <c r="JVD20" s="4"/>
      <c r="JVE20" s="4"/>
      <c r="JVF20" s="4"/>
      <c r="JVG20" s="4"/>
      <c r="JVH20" s="4"/>
      <c r="JVI20" s="4"/>
      <c r="JVJ20" s="4"/>
      <c r="JVK20" s="4"/>
      <c r="JVL20" s="4"/>
      <c r="JVM20" s="4"/>
      <c r="JVN20" s="4"/>
      <c r="JVO20" s="4"/>
      <c r="JVP20" s="4"/>
      <c r="JVQ20" s="4"/>
      <c r="JVR20" s="4"/>
      <c r="JVS20" s="4"/>
      <c r="JVT20" s="4"/>
      <c r="JVU20" s="4"/>
      <c r="JVV20" s="4"/>
      <c r="JVW20" s="4"/>
      <c r="JVX20" s="4"/>
      <c r="JVY20" s="4"/>
      <c r="JVZ20" s="4"/>
      <c r="JWA20" s="4"/>
      <c r="JWB20" s="4"/>
      <c r="JWC20" s="4"/>
      <c r="JWD20" s="4"/>
      <c r="JWE20" s="4"/>
      <c r="JWF20" s="4"/>
      <c r="JWG20" s="4"/>
      <c r="JWH20" s="4"/>
      <c r="JWI20" s="4"/>
      <c r="JWJ20" s="4"/>
      <c r="JWK20" s="4"/>
      <c r="JWL20" s="4"/>
      <c r="JWM20" s="4"/>
      <c r="JWN20" s="4"/>
      <c r="JWO20" s="4"/>
      <c r="JWP20" s="4"/>
      <c r="JWQ20" s="4"/>
      <c r="JWR20" s="4"/>
      <c r="JWS20" s="4"/>
      <c r="JWT20" s="4"/>
      <c r="JWU20" s="4"/>
      <c r="JWV20" s="4"/>
      <c r="JWW20" s="4"/>
      <c r="JWX20" s="4"/>
      <c r="JWY20" s="4"/>
      <c r="JWZ20" s="4"/>
      <c r="JXA20" s="4"/>
      <c r="JXB20" s="4"/>
      <c r="JXC20" s="4"/>
      <c r="JXD20" s="4"/>
      <c r="JXE20" s="4"/>
      <c r="JXF20" s="4"/>
      <c r="JXG20" s="4"/>
      <c r="JXH20" s="4"/>
      <c r="JXI20" s="4"/>
      <c r="JXJ20" s="4"/>
      <c r="JXK20" s="4"/>
      <c r="JXL20" s="4"/>
      <c r="JXM20" s="4"/>
      <c r="JXN20" s="4"/>
      <c r="JXO20" s="4"/>
      <c r="JXP20" s="4"/>
      <c r="JXQ20" s="4"/>
      <c r="JXR20" s="4"/>
      <c r="JXS20" s="4"/>
      <c r="JXT20" s="4"/>
      <c r="JXU20" s="4"/>
      <c r="JXV20" s="4"/>
      <c r="JXW20" s="4"/>
      <c r="JXX20" s="4"/>
      <c r="JXY20" s="4"/>
      <c r="JXZ20" s="4"/>
      <c r="JYA20" s="4"/>
      <c r="JYB20" s="4"/>
      <c r="JYC20" s="4"/>
      <c r="JYD20" s="4"/>
      <c r="JYE20" s="4"/>
      <c r="JYF20" s="4"/>
      <c r="JYG20" s="4"/>
      <c r="JYH20" s="4"/>
      <c r="JYI20" s="4"/>
      <c r="JYJ20" s="4"/>
      <c r="JYK20" s="4"/>
      <c r="JYL20" s="4"/>
      <c r="JYM20" s="4"/>
      <c r="JYN20" s="4"/>
      <c r="JYO20" s="4"/>
      <c r="JYP20" s="4"/>
      <c r="JYQ20" s="4"/>
      <c r="JYR20" s="4"/>
      <c r="JYS20" s="4"/>
      <c r="JYT20" s="4"/>
      <c r="JYU20" s="4"/>
      <c r="JYV20" s="4"/>
      <c r="JYW20" s="4"/>
      <c r="JYX20" s="4"/>
      <c r="JYY20" s="4"/>
      <c r="JYZ20" s="4"/>
      <c r="JZA20" s="4"/>
      <c r="JZB20" s="4"/>
      <c r="JZC20" s="4"/>
      <c r="JZD20" s="4"/>
      <c r="JZE20" s="4"/>
      <c r="JZF20" s="4"/>
      <c r="JZG20" s="4"/>
      <c r="JZH20" s="4"/>
      <c r="JZI20" s="4"/>
      <c r="JZJ20" s="4"/>
      <c r="JZK20" s="4"/>
      <c r="JZL20" s="4"/>
      <c r="JZM20" s="4"/>
      <c r="JZN20" s="4"/>
      <c r="JZO20" s="4"/>
      <c r="JZP20" s="4"/>
      <c r="JZQ20" s="4"/>
      <c r="JZR20" s="4"/>
      <c r="JZS20" s="4"/>
      <c r="JZT20" s="4"/>
      <c r="JZU20" s="4"/>
      <c r="JZV20" s="4"/>
      <c r="JZW20" s="4"/>
      <c r="JZX20" s="4"/>
      <c r="JZY20" s="4"/>
      <c r="JZZ20" s="4"/>
      <c r="KAA20" s="4"/>
      <c r="KAB20" s="4"/>
      <c r="KAC20" s="4"/>
      <c r="KAD20" s="4"/>
      <c r="KAE20" s="4"/>
      <c r="KAF20" s="4"/>
      <c r="KAG20" s="4"/>
      <c r="KAH20" s="4"/>
      <c r="KAI20" s="4"/>
      <c r="KAJ20" s="4"/>
      <c r="KAK20" s="4"/>
      <c r="KAL20" s="4"/>
      <c r="KAM20" s="4"/>
      <c r="KAN20" s="4"/>
      <c r="KAO20" s="4"/>
      <c r="KAP20" s="4"/>
      <c r="KAQ20" s="4"/>
      <c r="KAR20" s="4"/>
      <c r="KAS20" s="4"/>
      <c r="KAT20" s="4"/>
      <c r="KAU20" s="4"/>
      <c r="KAV20" s="4"/>
      <c r="KAW20" s="4"/>
      <c r="KAX20" s="4"/>
      <c r="KAY20" s="4"/>
      <c r="KAZ20" s="4"/>
      <c r="KBA20" s="4"/>
      <c r="KBB20" s="4"/>
      <c r="KBC20" s="4"/>
      <c r="KBD20" s="4"/>
      <c r="KBE20" s="4"/>
      <c r="KBF20" s="4"/>
      <c r="KBG20" s="4"/>
      <c r="KBH20" s="4"/>
      <c r="KBI20" s="4"/>
      <c r="KBJ20" s="4"/>
      <c r="KBK20" s="4"/>
      <c r="KBL20" s="4"/>
      <c r="KBM20" s="4"/>
      <c r="KBN20" s="4"/>
      <c r="KBO20" s="4"/>
      <c r="KBP20" s="4"/>
      <c r="KBQ20" s="4"/>
      <c r="KBR20" s="4"/>
      <c r="KBS20" s="4"/>
      <c r="KBT20" s="4"/>
      <c r="KBU20" s="4"/>
      <c r="KBV20" s="4"/>
      <c r="KBW20" s="4"/>
      <c r="KBX20" s="4"/>
      <c r="KBY20" s="4"/>
      <c r="KBZ20" s="4"/>
      <c r="KCA20" s="4"/>
      <c r="KCB20" s="4"/>
      <c r="KCC20" s="4"/>
      <c r="KCD20" s="4"/>
      <c r="KCE20" s="4"/>
      <c r="KCF20" s="4"/>
      <c r="KCG20" s="4"/>
      <c r="KCH20" s="4"/>
      <c r="KCI20" s="4"/>
      <c r="KCJ20" s="4"/>
      <c r="KCK20" s="4"/>
      <c r="KCL20" s="4"/>
      <c r="KCM20" s="4"/>
      <c r="KCN20" s="4"/>
      <c r="KCO20" s="4"/>
      <c r="KCP20" s="4"/>
      <c r="KCQ20" s="4"/>
      <c r="KCR20" s="4"/>
      <c r="KCS20" s="4"/>
      <c r="KCT20" s="4"/>
      <c r="KCU20" s="4"/>
      <c r="KCV20" s="4"/>
      <c r="KCW20" s="4"/>
      <c r="KCX20" s="4"/>
      <c r="KCY20" s="4"/>
      <c r="KCZ20" s="4"/>
      <c r="KDA20" s="4"/>
      <c r="KDB20" s="4"/>
      <c r="KDC20" s="4"/>
      <c r="KDD20" s="4"/>
      <c r="KDE20" s="4"/>
      <c r="KDF20" s="4"/>
      <c r="KDG20" s="4"/>
      <c r="KDH20" s="4"/>
      <c r="KDI20" s="4"/>
      <c r="KDJ20" s="4"/>
      <c r="KDK20" s="4"/>
      <c r="KDL20" s="4"/>
      <c r="KDM20" s="4"/>
      <c r="KDN20" s="4"/>
      <c r="KDO20" s="4"/>
      <c r="KDP20" s="4"/>
      <c r="KDQ20" s="4"/>
      <c r="KDR20" s="4"/>
      <c r="KDS20" s="4"/>
      <c r="KDT20" s="4"/>
      <c r="KDU20" s="4"/>
      <c r="KDV20" s="4"/>
      <c r="KDW20" s="4"/>
      <c r="KDX20" s="4"/>
      <c r="KDY20" s="4"/>
      <c r="KDZ20" s="4"/>
      <c r="KEA20" s="4"/>
      <c r="KEB20" s="4"/>
      <c r="KEC20" s="4"/>
      <c r="KED20" s="4"/>
      <c r="KEE20" s="4"/>
      <c r="KEF20" s="4"/>
      <c r="KEG20" s="4"/>
      <c r="KEH20" s="4"/>
      <c r="KEI20" s="4"/>
      <c r="KEJ20" s="4"/>
      <c r="KEK20" s="4"/>
      <c r="KEL20" s="4"/>
      <c r="KEM20" s="4"/>
      <c r="KEN20" s="4"/>
      <c r="KEO20" s="4"/>
      <c r="KEP20" s="4"/>
      <c r="KEQ20" s="4"/>
      <c r="KER20" s="4"/>
      <c r="KES20" s="4"/>
      <c r="KET20" s="4"/>
      <c r="KEU20" s="4"/>
      <c r="KEV20" s="4"/>
      <c r="KEW20" s="4"/>
      <c r="KEX20" s="4"/>
      <c r="KEY20" s="4"/>
      <c r="KEZ20" s="4"/>
      <c r="KFA20" s="4"/>
      <c r="KFB20" s="4"/>
      <c r="KFC20" s="4"/>
      <c r="KFD20" s="4"/>
      <c r="KFE20" s="4"/>
      <c r="KFF20" s="4"/>
      <c r="KFG20" s="4"/>
      <c r="KFH20" s="4"/>
      <c r="KFI20" s="4"/>
      <c r="KFJ20" s="4"/>
      <c r="KFK20" s="4"/>
      <c r="KFL20" s="4"/>
      <c r="KFM20" s="4"/>
      <c r="KFN20" s="4"/>
      <c r="KFO20" s="4"/>
      <c r="KFP20" s="4"/>
      <c r="KFQ20" s="4"/>
      <c r="KFR20" s="4"/>
      <c r="KFS20" s="4"/>
      <c r="KFT20" s="4"/>
      <c r="KFU20" s="4"/>
      <c r="KFV20" s="4"/>
      <c r="KFW20" s="4"/>
      <c r="KFX20" s="4"/>
      <c r="KFY20" s="4"/>
      <c r="KFZ20" s="4"/>
      <c r="KGA20" s="4"/>
      <c r="KGB20" s="4"/>
      <c r="KGC20" s="4"/>
      <c r="KGD20" s="4"/>
      <c r="KGE20" s="4"/>
      <c r="KGF20" s="4"/>
      <c r="KGG20" s="4"/>
      <c r="KGH20" s="4"/>
      <c r="KGI20" s="4"/>
      <c r="KGJ20" s="4"/>
      <c r="KGK20" s="4"/>
      <c r="KGL20" s="4"/>
      <c r="KGM20" s="4"/>
      <c r="KGN20" s="4"/>
      <c r="KGO20" s="4"/>
      <c r="KGP20" s="4"/>
      <c r="KGQ20" s="4"/>
      <c r="KGR20" s="4"/>
      <c r="KGS20" s="4"/>
      <c r="KGT20" s="4"/>
      <c r="KGU20" s="4"/>
      <c r="KGV20" s="4"/>
      <c r="KGW20" s="4"/>
      <c r="KGX20" s="4"/>
      <c r="KGY20" s="4"/>
      <c r="KGZ20" s="4"/>
      <c r="KHA20" s="4"/>
      <c r="KHB20" s="4"/>
      <c r="KHC20" s="4"/>
      <c r="KHD20" s="4"/>
      <c r="KHE20" s="4"/>
      <c r="KHF20" s="4"/>
      <c r="KHG20" s="4"/>
      <c r="KHH20" s="4"/>
      <c r="KHI20" s="4"/>
      <c r="KHJ20" s="4"/>
      <c r="KHK20" s="4"/>
      <c r="KHL20" s="4"/>
      <c r="KHM20" s="4"/>
      <c r="KHN20" s="4"/>
      <c r="KHO20" s="4"/>
      <c r="KHP20" s="4"/>
      <c r="KHQ20" s="4"/>
      <c r="KHR20" s="4"/>
      <c r="KHS20" s="4"/>
      <c r="KHT20" s="4"/>
      <c r="KHU20" s="4"/>
      <c r="KHV20" s="4"/>
      <c r="KHW20" s="4"/>
      <c r="KHX20" s="4"/>
      <c r="KHY20" s="4"/>
      <c r="KHZ20" s="4"/>
      <c r="KIA20" s="4"/>
      <c r="KIB20" s="4"/>
      <c r="KIC20" s="4"/>
      <c r="KID20" s="4"/>
      <c r="KIE20" s="4"/>
      <c r="KIF20" s="4"/>
      <c r="KIG20" s="4"/>
      <c r="KIH20" s="4"/>
      <c r="KII20" s="4"/>
      <c r="KIJ20" s="4"/>
      <c r="KIK20" s="4"/>
      <c r="KIL20" s="4"/>
      <c r="KIM20" s="4"/>
      <c r="KIN20" s="4"/>
      <c r="KIO20" s="4"/>
      <c r="KIP20" s="4"/>
      <c r="KIQ20" s="4"/>
      <c r="KIR20" s="4"/>
      <c r="KIS20" s="4"/>
      <c r="KIT20" s="4"/>
      <c r="KIU20" s="4"/>
      <c r="KIV20" s="4"/>
      <c r="KIW20" s="4"/>
      <c r="KIX20" s="4"/>
      <c r="KIY20" s="4"/>
      <c r="KIZ20" s="4"/>
      <c r="KJA20" s="4"/>
      <c r="KJB20" s="4"/>
      <c r="KJC20" s="4"/>
      <c r="KJD20" s="4"/>
      <c r="KJE20" s="4"/>
      <c r="KJF20" s="4"/>
      <c r="KJG20" s="4"/>
      <c r="KJH20" s="4"/>
      <c r="KJI20" s="4"/>
      <c r="KJJ20" s="4"/>
      <c r="KJK20" s="4"/>
      <c r="KJL20" s="4"/>
      <c r="KJM20" s="4"/>
      <c r="KJN20" s="4"/>
      <c r="KJO20" s="4"/>
      <c r="KJP20" s="4"/>
      <c r="KJQ20" s="4"/>
      <c r="KJR20" s="4"/>
      <c r="KJS20" s="4"/>
      <c r="KJT20" s="4"/>
      <c r="KJU20" s="4"/>
      <c r="KJV20" s="4"/>
      <c r="KJW20" s="4"/>
      <c r="KJX20" s="4"/>
      <c r="KJY20" s="4"/>
      <c r="KJZ20" s="4"/>
      <c r="KKA20" s="4"/>
      <c r="KKB20" s="4"/>
      <c r="KKC20" s="4"/>
      <c r="KKD20" s="4"/>
      <c r="KKE20" s="4"/>
      <c r="KKF20" s="4"/>
      <c r="KKG20" s="4"/>
      <c r="KKH20" s="4"/>
      <c r="KKI20" s="4"/>
      <c r="KKJ20" s="4"/>
      <c r="KKK20" s="4"/>
      <c r="KKL20" s="4"/>
      <c r="KKM20" s="4"/>
      <c r="KKN20" s="4"/>
      <c r="KKO20" s="4"/>
      <c r="KKP20" s="4"/>
      <c r="KKQ20" s="4"/>
      <c r="KKR20" s="4"/>
      <c r="KKS20" s="4"/>
      <c r="KKT20" s="4"/>
      <c r="KKU20" s="4"/>
      <c r="KKV20" s="4"/>
      <c r="KKW20" s="4"/>
      <c r="KKX20" s="4"/>
      <c r="KKY20" s="4"/>
      <c r="KKZ20" s="4"/>
      <c r="KLA20" s="4"/>
      <c r="KLB20" s="4"/>
      <c r="KLC20" s="4"/>
      <c r="KLD20" s="4"/>
      <c r="KLE20" s="4"/>
      <c r="KLF20" s="4"/>
      <c r="KLG20" s="4"/>
      <c r="KLH20" s="4"/>
      <c r="KLI20" s="4"/>
      <c r="KLJ20" s="4"/>
      <c r="KLK20" s="4"/>
      <c r="KLL20" s="4"/>
      <c r="KLM20" s="4"/>
      <c r="KLN20" s="4"/>
      <c r="KLO20" s="4"/>
      <c r="KLP20" s="4"/>
      <c r="KLQ20" s="4"/>
      <c r="KLR20" s="4"/>
      <c r="KLS20" s="4"/>
      <c r="KLT20" s="4"/>
      <c r="KLU20" s="4"/>
      <c r="KLV20" s="4"/>
      <c r="KLW20" s="4"/>
      <c r="KLX20" s="4"/>
      <c r="KLY20" s="4"/>
      <c r="KLZ20" s="4"/>
      <c r="KMA20" s="4"/>
      <c r="KMB20" s="4"/>
      <c r="KMC20" s="4"/>
      <c r="KMD20" s="4"/>
      <c r="KME20" s="4"/>
      <c r="KMF20" s="4"/>
      <c r="KMG20" s="4"/>
      <c r="KMH20" s="4"/>
      <c r="KMI20" s="4"/>
      <c r="KMJ20" s="4"/>
      <c r="KMK20" s="4"/>
      <c r="KML20" s="4"/>
      <c r="KMM20" s="4"/>
      <c r="KMN20" s="4"/>
      <c r="KMO20" s="4"/>
      <c r="KMP20" s="4"/>
      <c r="KMQ20" s="4"/>
      <c r="KMR20" s="4"/>
      <c r="KMS20" s="4"/>
      <c r="KMT20" s="4"/>
      <c r="KMU20" s="4"/>
      <c r="KMV20" s="4"/>
      <c r="KMW20" s="4"/>
      <c r="KMX20" s="4"/>
      <c r="KMY20" s="4"/>
      <c r="KMZ20" s="4"/>
      <c r="KNA20" s="4"/>
      <c r="KNB20" s="4"/>
      <c r="KNC20" s="4"/>
      <c r="KND20" s="4"/>
      <c r="KNE20" s="4"/>
      <c r="KNF20" s="4"/>
      <c r="KNG20" s="4"/>
      <c r="KNH20" s="4"/>
      <c r="KNI20" s="4"/>
      <c r="KNJ20" s="4"/>
      <c r="KNK20" s="4"/>
      <c r="KNL20" s="4"/>
      <c r="KNM20" s="4"/>
      <c r="KNN20" s="4"/>
      <c r="KNO20" s="4"/>
      <c r="KNP20" s="4"/>
      <c r="KNQ20" s="4"/>
      <c r="KNR20" s="4"/>
      <c r="KNS20" s="4"/>
      <c r="KNT20" s="4"/>
      <c r="KNU20" s="4"/>
      <c r="KNV20" s="4"/>
      <c r="KNW20" s="4"/>
      <c r="KNX20" s="4"/>
      <c r="KNY20" s="4"/>
      <c r="KNZ20" s="4"/>
      <c r="KOA20" s="4"/>
      <c r="KOB20" s="4"/>
      <c r="KOC20" s="4"/>
      <c r="KOD20" s="4"/>
      <c r="KOE20" s="4"/>
      <c r="KOF20" s="4"/>
      <c r="KOG20" s="4"/>
      <c r="KOH20" s="4"/>
      <c r="KOI20" s="4"/>
      <c r="KOJ20" s="4"/>
      <c r="KOK20" s="4"/>
      <c r="KOL20" s="4"/>
      <c r="KOM20" s="4"/>
      <c r="KON20" s="4"/>
      <c r="KOO20" s="4"/>
      <c r="KOP20" s="4"/>
      <c r="KOQ20" s="4"/>
      <c r="KOR20" s="4"/>
      <c r="KOS20" s="4"/>
      <c r="KOT20" s="4"/>
      <c r="KOU20" s="4"/>
      <c r="KOV20" s="4"/>
      <c r="KOW20" s="4"/>
      <c r="KOX20" s="4"/>
      <c r="KOY20" s="4"/>
      <c r="KOZ20" s="4"/>
      <c r="KPA20" s="4"/>
      <c r="KPB20" s="4"/>
      <c r="KPC20" s="4"/>
      <c r="KPD20" s="4"/>
      <c r="KPE20" s="4"/>
      <c r="KPF20" s="4"/>
      <c r="KPG20" s="4"/>
      <c r="KPH20" s="4"/>
      <c r="KPI20" s="4"/>
      <c r="KPJ20" s="4"/>
      <c r="KPK20" s="4"/>
      <c r="KPL20" s="4"/>
      <c r="KPM20" s="4"/>
      <c r="KPN20" s="4"/>
      <c r="KPO20" s="4"/>
      <c r="KPP20" s="4"/>
      <c r="KPQ20" s="4"/>
      <c r="KPR20" s="4"/>
      <c r="KPS20" s="4"/>
      <c r="KPT20" s="4"/>
      <c r="KPU20" s="4"/>
      <c r="KPV20" s="4"/>
      <c r="KPW20" s="4"/>
      <c r="KPX20" s="4"/>
      <c r="KPY20" s="4"/>
      <c r="KPZ20" s="4"/>
      <c r="KQA20" s="4"/>
      <c r="KQB20" s="4"/>
      <c r="KQC20" s="4"/>
      <c r="KQD20" s="4"/>
      <c r="KQE20" s="4"/>
      <c r="KQF20" s="4"/>
      <c r="KQG20" s="4"/>
      <c r="KQH20" s="4"/>
      <c r="KQI20" s="4"/>
      <c r="KQJ20" s="4"/>
      <c r="KQK20" s="4"/>
      <c r="KQL20" s="4"/>
      <c r="KQM20" s="4"/>
      <c r="KQN20" s="4"/>
      <c r="KQO20" s="4"/>
      <c r="KQP20" s="4"/>
      <c r="KQQ20" s="4"/>
      <c r="KQR20" s="4"/>
      <c r="KQS20" s="4"/>
      <c r="KQT20" s="4"/>
      <c r="KQU20" s="4"/>
      <c r="KQV20" s="4"/>
      <c r="KQW20" s="4"/>
      <c r="KQX20" s="4"/>
      <c r="KQY20" s="4"/>
      <c r="KQZ20" s="4"/>
      <c r="KRA20" s="4"/>
      <c r="KRB20" s="4"/>
      <c r="KRC20" s="4"/>
      <c r="KRD20" s="4"/>
      <c r="KRE20" s="4"/>
      <c r="KRF20" s="4"/>
      <c r="KRG20" s="4"/>
      <c r="KRH20" s="4"/>
      <c r="KRI20" s="4"/>
      <c r="KRJ20" s="4"/>
      <c r="KRK20" s="4"/>
      <c r="KRL20" s="4"/>
      <c r="KRM20" s="4"/>
      <c r="KRN20" s="4"/>
      <c r="KRO20" s="4"/>
      <c r="KRP20" s="4"/>
      <c r="KRQ20" s="4"/>
      <c r="KRR20" s="4"/>
      <c r="KRS20" s="4"/>
      <c r="KRT20" s="4"/>
      <c r="KRU20" s="4"/>
      <c r="KRV20" s="4"/>
      <c r="KRW20" s="4"/>
      <c r="KRX20" s="4"/>
      <c r="KRY20" s="4"/>
      <c r="KRZ20" s="4"/>
      <c r="KSA20" s="4"/>
      <c r="KSB20" s="4"/>
      <c r="KSC20" s="4"/>
      <c r="KSD20" s="4"/>
      <c r="KSE20" s="4"/>
      <c r="KSF20" s="4"/>
      <c r="KSG20" s="4"/>
      <c r="KSH20" s="4"/>
      <c r="KSI20" s="4"/>
      <c r="KSJ20" s="4"/>
      <c r="KSK20" s="4"/>
      <c r="KSL20" s="4"/>
      <c r="KSM20" s="4"/>
      <c r="KSN20" s="4"/>
      <c r="KSO20" s="4"/>
      <c r="KSP20" s="4"/>
      <c r="KSQ20" s="4"/>
      <c r="KSR20" s="4"/>
      <c r="KSS20" s="4"/>
      <c r="KST20" s="4"/>
      <c r="KSU20" s="4"/>
      <c r="KSV20" s="4"/>
      <c r="KSW20" s="4"/>
      <c r="KSX20" s="4"/>
      <c r="KSY20" s="4"/>
      <c r="KSZ20" s="4"/>
      <c r="KTA20" s="4"/>
      <c r="KTB20" s="4"/>
      <c r="KTC20" s="4"/>
      <c r="KTD20" s="4"/>
      <c r="KTE20" s="4"/>
      <c r="KTF20" s="4"/>
      <c r="KTG20" s="4"/>
      <c r="KTH20" s="4"/>
      <c r="KTI20" s="4"/>
      <c r="KTJ20" s="4"/>
      <c r="KTK20" s="4"/>
      <c r="KTL20" s="4"/>
      <c r="KTM20" s="4"/>
      <c r="KTN20" s="4"/>
      <c r="KTO20" s="4"/>
      <c r="KTP20" s="4"/>
      <c r="KTQ20" s="4"/>
      <c r="KTR20" s="4"/>
      <c r="KTS20" s="4"/>
      <c r="KTT20" s="4"/>
      <c r="KTU20" s="4"/>
      <c r="KTV20" s="4"/>
      <c r="KTW20" s="4"/>
      <c r="KTX20" s="4"/>
      <c r="KTY20" s="4"/>
      <c r="KTZ20" s="4"/>
      <c r="KUA20" s="4"/>
      <c r="KUB20" s="4"/>
      <c r="KUC20" s="4"/>
      <c r="KUD20" s="4"/>
      <c r="KUE20" s="4"/>
      <c r="KUF20" s="4"/>
      <c r="KUG20" s="4"/>
      <c r="KUH20" s="4"/>
      <c r="KUI20" s="4"/>
      <c r="KUJ20" s="4"/>
      <c r="KUK20" s="4"/>
      <c r="KUL20" s="4"/>
      <c r="KUM20" s="4"/>
      <c r="KUN20" s="4"/>
      <c r="KUO20" s="4"/>
      <c r="KUP20" s="4"/>
      <c r="KUQ20" s="4"/>
      <c r="KUR20" s="4"/>
      <c r="KUS20" s="4"/>
      <c r="KUT20" s="4"/>
      <c r="KUU20" s="4"/>
      <c r="KUV20" s="4"/>
      <c r="KUW20" s="4"/>
      <c r="KUX20" s="4"/>
      <c r="KUY20" s="4"/>
      <c r="KUZ20" s="4"/>
      <c r="KVA20" s="4"/>
      <c r="KVB20" s="4"/>
      <c r="KVC20" s="4"/>
      <c r="KVD20" s="4"/>
      <c r="KVE20" s="4"/>
      <c r="KVF20" s="4"/>
      <c r="KVG20" s="4"/>
      <c r="KVH20" s="4"/>
      <c r="KVI20" s="4"/>
      <c r="KVJ20" s="4"/>
      <c r="KVK20" s="4"/>
      <c r="KVL20" s="4"/>
      <c r="KVM20" s="4"/>
      <c r="KVN20" s="4"/>
      <c r="KVO20" s="4"/>
      <c r="KVP20" s="4"/>
      <c r="KVQ20" s="4"/>
      <c r="KVR20" s="4"/>
      <c r="KVS20" s="4"/>
      <c r="KVT20" s="4"/>
      <c r="KVU20" s="4"/>
      <c r="KVV20" s="4"/>
      <c r="KVW20" s="4"/>
      <c r="KVX20" s="4"/>
      <c r="KVY20" s="4"/>
      <c r="KVZ20" s="4"/>
      <c r="KWA20" s="4"/>
      <c r="KWB20" s="4"/>
      <c r="KWC20" s="4"/>
      <c r="KWD20" s="4"/>
      <c r="KWE20" s="4"/>
      <c r="KWF20" s="4"/>
      <c r="KWG20" s="4"/>
      <c r="KWH20" s="4"/>
      <c r="KWI20" s="4"/>
      <c r="KWJ20" s="4"/>
      <c r="KWK20" s="4"/>
      <c r="KWL20" s="4"/>
      <c r="KWM20" s="4"/>
      <c r="KWN20" s="4"/>
      <c r="KWO20" s="4"/>
      <c r="KWP20" s="4"/>
      <c r="KWQ20" s="4"/>
      <c r="KWR20" s="4"/>
      <c r="KWS20" s="4"/>
      <c r="KWT20" s="4"/>
      <c r="KWU20" s="4"/>
      <c r="KWV20" s="4"/>
      <c r="KWW20" s="4"/>
      <c r="KWX20" s="4"/>
      <c r="KWY20" s="4"/>
      <c r="KWZ20" s="4"/>
      <c r="KXA20" s="4"/>
      <c r="KXB20" s="4"/>
      <c r="KXC20" s="4"/>
      <c r="KXD20" s="4"/>
      <c r="KXE20" s="4"/>
      <c r="KXF20" s="4"/>
      <c r="KXG20" s="4"/>
      <c r="KXH20" s="4"/>
      <c r="KXI20" s="4"/>
      <c r="KXJ20" s="4"/>
      <c r="KXK20" s="4"/>
      <c r="KXL20" s="4"/>
      <c r="KXM20" s="4"/>
      <c r="KXN20" s="4"/>
      <c r="KXO20" s="4"/>
      <c r="KXP20" s="4"/>
      <c r="KXQ20" s="4"/>
      <c r="KXR20" s="4"/>
      <c r="KXS20" s="4"/>
      <c r="KXT20" s="4"/>
      <c r="KXU20" s="4"/>
      <c r="KXV20" s="4"/>
      <c r="KXW20" s="4"/>
      <c r="KXX20" s="4"/>
      <c r="KXY20" s="4"/>
      <c r="KXZ20" s="4"/>
      <c r="KYA20" s="4"/>
      <c r="KYB20" s="4"/>
      <c r="KYC20" s="4"/>
      <c r="KYD20" s="4"/>
      <c r="KYE20" s="4"/>
      <c r="KYF20" s="4"/>
      <c r="KYG20" s="4"/>
      <c r="KYH20" s="4"/>
      <c r="KYI20" s="4"/>
      <c r="KYJ20" s="4"/>
      <c r="KYK20" s="4"/>
      <c r="KYL20" s="4"/>
      <c r="KYM20" s="4"/>
      <c r="KYN20" s="4"/>
      <c r="KYO20" s="4"/>
      <c r="KYP20" s="4"/>
      <c r="KYQ20" s="4"/>
      <c r="KYR20" s="4"/>
      <c r="KYS20" s="4"/>
      <c r="KYT20" s="4"/>
      <c r="KYU20" s="4"/>
      <c r="KYV20" s="4"/>
      <c r="KYW20" s="4"/>
      <c r="KYX20" s="4"/>
      <c r="KYY20" s="4"/>
      <c r="KYZ20" s="4"/>
      <c r="KZA20" s="4"/>
      <c r="KZB20" s="4"/>
      <c r="KZC20" s="4"/>
      <c r="KZD20" s="4"/>
      <c r="KZE20" s="4"/>
      <c r="KZF20" s="4"/>
      <c r="KZG20" s="4"/>
      <c r="KZH20" s="4"/>
      <c r="KZI20" s="4"/>
      <c r="KZJ20" s="4"/>
      <c r="KZK20" s="4"/>
      <c r="KZL20" s="4"/>
      <c r="KZM20" s="4"/>
      <c r="KZN20" s="4"/>
      <c r="KZO20" s="4"/>
      <c r="KZP20" s="4"/>
      <c r="KZQ20" s="4"/>
      <c r="KZR20" s="4"/>
      <c r="KZS20" s="4"/>
      <c r="KZT20" s="4"/>
      <c r="KZU20" s="4"/>
      <c r="KZV20" s="4"/>
      <c r="KZW20" s="4"/>
      <c r="KZX20" s="4"/>
      <c r="KZY20" s="4"/>
      <c r="KZZ20" s="4"/>
      <c r="LAA20" s="4"/>
      <c r="LAB20" s="4"/>
      <c r="LAC20" s="4"/>
      <c r="LAD20" s="4"/>
      <c r="LAE20" s="4"/>
      <c r="LAF20" s="4"/>
      <c r="LAG20" s="4"/>
      <c r="LAH20" s="4"/>
      <c r="LAI20" s="4"/>
      <c r="LAJ20" s="4"/>
      <c r="LAK20" s="4"/>
      <c r="LAL20" s="4"/>
      <c r="LAM20" s="4"/>
      <c r="LAN20" s="4"/>
      <c r="LAO20" s="4"/>
      <c r="LAP20" s="4"/>
      <c r="LAQ20" s="4"/>
      <c r="LAR20" s="4"/>
      <c r="LAS20" s="4"/>
      <c r="LAT20" s="4"/>
      <c r="LAU20" s="4"/>
      <c r="LAV20" s="4"/>
      <c r="LAW20" s="4"/>
      <c r="LAX20" s="4"/>
      <c r="LAY20" s="4"/>
      <c r="LAZ20" s="4"/>
      <c r="LBA20" s="4"/>
      <c r="LBB20" s="4"/>
      <c r="LBC20" s="4"/>
      <c r="LBD20" s="4"/>
      <c r="LBE20" s="4"/>
      <c r="LBF20" s="4"/>
      <c r="LBG20" s="4"/>
      <c r="LBH20" s="4"/>
      <c r="LBI20" s="4"/>
      <c r="LBJ20" s="4"/>
      <c r="LBK20" s="4"/>
      <c r="LBL20" s="4"/>
      <c r="LBM20" s="4"/>
      <c r="LBN20" s="4"/>
      <c r="LBO20" s="4"/>
      <c r="LBP20" s="4"/>
      <c r="LBQ20" s="4"/>
      <c r="LBR20" s="4"/>
      <c r="LBS20" s="4"/>
      <c r="LBT20" s="4"/>
      <c r="LBU20" s="4"/>
      <c r="LBV20" s="4"/>
      <c r="LBW20" s="4"/>
      <c r="LBX20" s="4"/>
      <c r="LBY20" s="4"/>
      <c r="LBZ20" s="4"/>
      <c r="LCA20" s="4"/>
      <c r="LCB20" s="4"/>
      <c r="LCC20" s="4"/>
      <c r="LCD20" s="4"/>
      <c r="LCE20" s="4"/>
      <c r="LCF20" s="4"/>
      <c r="LCG20" s="4"/>
      <c r="LCH20" s="4"/>
      <c r="LCI20" s="4"/>
      <c r="LCJ20" s="4"/>
      <c r="LCK20" s="4"/>
      <c r="LCL20" s="4"/>
      <c r="LCM20" s="4"/>
      <c r="LCN20" s="4"/>
      <c r="LCO20" s="4"/>
      <c r="LCP20" s="4"/>
      <c r="LCQ20" s="4"/>
      <c r="LCR20" s="4"/>
      <c r="LCS20" s="4"/>
      <c r="LCT20" s="4"/>
      <c r="LCU20" s="4"/>
      <c r="LCV20" s="4"/>
      <c r="LCW20" s="4"/>
      <c r="LCX20" s="4"/>
      <c r="LCY20" s="4"/>
      <c r="LCZ20" s="4"/>
      <c r="LDA20" s="4"/>
      <c r="LDB20" s="4"/>
      <c r="LDC20" s="4"/>
      <c r="LDD20" s="4"/>
      <c r="LDE20" s="4"/>
      <c r="LDF20" s="4"/>
      <c r="LDG20" s="4"/>
      <c r="LDH20" s="4"/>
      <c r="LDI20" s="4"/>
      <c r="LDJ20" s="4"/>
      <c r="LDK20" s="4"/>
      <c r="LDL20" s="4"/>
      <c r="LDM20" s="4"/>
      <c r="LDN20" s="4"/>
      <c r="LDO20" s="4"/>
      <c r="LDP20" s="4"/>
      <c r="LDQ20" s="4"/>
      <c r="LDR20" s="4"/>
      <c r="LDS20" s="4"/>
      <c r="LDT20" s="4"/>
      <c r="LDU20" s="4"/>
      <c r="LDV20" s="4"/>
      <c r="LDW20" s="4"/>
      <c r="LDX20" s="4"/>
      <c r="LDY20" s="4"/>
      <c r="LDZ20" s="4"/>
      <c r="LEA20" s="4"/>
      <c r="LEB20" s="4"/>
      <c r="LEC20" s="4"/>
      <c r="LED20" s="4"/>
      <c r="LEE20" s="4"/>
      <c r="LEF20" s="4"/>
      <c r="LEG20" s="4"/>
      <c r="LEH20" s="4"/>
      <c r="LEI20" s="4"/>
      <c r="LEJ20" s="4"/>
      <c r="LEK20" s="4"/>
      <c r="LEL20" s="4"/>
      <c r="LEM20" s="4"/>
      <c r="LEN20" s="4"/>
      <c r="LEO20" s="4"/>
      <c r="LEP20" s="4"/>
      <c r="LEQ20" s="4"/>
      <c r="LER20" s="4"/>
      <c r="LES20" s="4"/>
      <c r="LET20" s="4"/>
      <c r="LEU20" s="4"/>
      <c r="LEV20" s="4"/>
      <c r="LEW20" s="4"/>
      <c r="LEX20" s="4"/>
      <c r="LEY20" s="4"/>
      <c r="LEZ20" s="4"/>
      <c r="LFA20" s="4"/>
      <c r="LFB20" s="4"/>
      <c r="LFC20" s="4"/>
      <c r="LFD20" s="4"/>
      <c r="LFE20" s="4"/>
      <c r="LFF20" s="4"/>
      <c r="LFG20" s="4"/>
      <c r="LFH20" s="4"/>
      <c r="LFI20" s="4"/>
      <c r="LFJ20" s="4"/>
      <c r="LFK20" s="4"/>
      <c r="LFL20" s="4"/>
      <c r="LFM20" s="4"/>
      <c r="LFN20" s="4"/>
      <c r="LFO20" s="4"/>
      <c r="LFP20" s="4"/>
      <c r="LFQ20" s="4"/>
      <c r="LFR20" s="4"/>
      <c r="LFS20" s="4"/>
      <c r="LFT20" s="4"/>
      <c r="LFU20" s="4"/>
      <c r="LFV20" s="4"/>
      <c r="LFW20" s="4"/>
      <c r="LFX20" s="4"/>
      <c r="LFY20" s="4"/>
      <c r="LFZ20" s="4"/>
      <c r="LGA20" s="4"/>
      <c r="LGB20" s="4"/>
      <c r="LGC20" s="4"/>
      <c r="LGD20" s="4"/>
      <c r="LGE20" s="4"/>
      <c r="LGF20" s="4"/>
      <c r="LGG20" s="4"/>
      <c r="LGH20" s="4"/>
      <c r="LGI20" s="4"/>
      <c r="LGJ20" s="4"/>
      <c r="LGK20" s="4"/>
      <c r="LGL20" s="4"/>
      <c r="LGM20" s="4"/>
      <c r="LGN20" s="4"/>
      <c r="LGO20" s="4"/>
      <c r="LGP20" s="4"/>
      <c r="LGQ20" s="4"/>
      <c r="LGR20" s="4"/>
      <c r="LGS20" s="4"/>
      <c r="LGT20" s="4"/>
      <c r="LGU20" s="4"/>
      <c r="LGV20" s="4"/>
      <c r="LGW20" s="4"/>
      <c r="LGX20" s="4"/>
      <c r="LGY20" s="4"/>
      <c r="LGZ20" s="4"/>
      <c r="LHA20" s="4"/>
      <c r="LHB20" s="4"/>
      <c r="LHC20" s="4"/>
      <c r="LHD20" s="4"/>
      <c r="LHE20" s="4"/>
      <c r="LHF20" s="4"/>
      <c r="LHG20" s="4"/>
      <c r="LHH20" s="4"/>
      <c r="LHI20" s="4"/>
      <c r="LHJ20" s="4"/>
      <c r="LHK20" s="4"/>
      <c r="LHL20" s="4"/>
      <c r="LHM20" s="4"/>
      <c r="LHN20" s="4"/>
      <c r="LHO20" s="4"/>
      <c r="LHP20" s="4"/>
      <c r="LHQ20" s="4"/>
      <c r="LHR20" s="4"/>
      <c r="LHS20" s="4"/>
      <c r="LHT20" s="4"/>
      <c r="LHU20" s="4"/>
      <c r="LHV20" s="4"/>
      <c r="LHW20" s="4"/>
      <c r="LHX20" s="4"/>
      <c r="LHY20" s="4"/>
      <c r="LHZ20" s="4"/>
      <c r="LIA20" s="4"/>
      <c r="LIB20" s="4"/>
      <c r="LIC20" s="4"/>
      <c r="LID20" s="4"/>
      <c r="LIE20" s="4"/>
      <c r="LIF20" s="4"/>
      <c r="LIG20" s="4"/>
      <c r="LIH20" s="4"/>
      <c r="LII20" s="4"/>
      <c r="LIJ20" s="4"/>
      <c r="LIK20" s="4"/>
      <c r="LIL20" s="4"/>
      <c r="LIM20" s="4"/>
      <c r="LIN20" s="4"/>
      <c r="LIO20" s="4"/>
      <c r="LIP20" s="4"/>
      <c r="LIQ20" s="4"/>
      <c r="LIR20" s="4"/>
      <c r="LIS20" s="4"/>
      <c r="LIT20" s="4"/>
      <c r="LIU20" s="4"/>
      <c r="LIV20" s="4"/>
      <c r="LIW20" s="4"/>
      <c r="LIX20" s="4"/>
      <c r="LIY20" s="4"/>
      <c r="LIZ20" s="4"/>
      <c r="LJA20" s="4"/>
      <c r="LJB20" s="4"/>
      <c r="LJC20" s="4"/>
      <c r="LJD20" s="4"/>
      <c r="LJE20" s="4"/>
      <c r="LJF20" s="4"/>
      <c r="LJG20" s="4"/>
      <c r="LJH20" s="4"/>
      <c r="LJI20" s="4"/>
      <c r="LJJ20" s="4"/>
      <c r="LJK20" s="4"/>
      <c r="LJL20" s="4"/>
      <c r="LJM20" s="4"/>
      <c r="LJN20" s="4"/>
      <c r="LJO20" s="4"/>
      <c r="LJP20" s="4"/>
      <c r="LJQ20" s="4"/>
      <c r="LJR20" s="4"/>
      <c r="LJS20" s="4"/>
      <c r="LJT20" s="4"/>
      <c r="LJU20" s="4"/>
      <c r="LJV20" s="4"/>
      <c r="LJW20" s="4"/>
      <c r="LJX20" s="4"/>
      <c r="LJY20" s="4"/>
      <c r="LJZ20" s="4"/>
      <c r="LKA20" s="4"/>
      <c r="LKB20" s="4"/>
      <c r="LKC20" s="4"/>
      <c r="LKD20" s="4"/>
      <c r="LKE20" s="4"/>
      <c r="LKF20" s="4"/>
      <c r="LKG20" s="4"/>
      <c r="LKH20" s="4"/>
      <c r="LKI20" s="4"/>
      <c r="LKJ20" s="4"/>
      <c r="LKK20" s="4"/>
      <c r="LKL20" s="4"/>
      <c r="LKM20" s="4"/>
      <c r="LKN20" s="4"/>
      <c r="LKO20" s="4"/>
      <c r="LKP20" s="4"/>
      <c r="LKQ20" s="4"/>
      <c r="LKR20" s="4"/>
      <c r="LKS20" s="4"/>
      <c r="LKT20" s="4"/>
      <c r="LKU20" s="4"/>
      <c r="LKV20" s="4"/>
      <c r="LKW20" s="4"/>
      <c r="LKX20" s="4"/>
      <c r="LKY20" s="4"/>
      <c r="LKZ20" s="4"/>
      <c r="LLA20" s="4"/>
      <c r="LLB20" s="4"/>
      <c r="LLC20" s="4"/>
      <c r="LLD20" s="4"/>
      <c r="LLE20" s="4"/>
      <c r="LLF20" s="4"/>
      <c r="LLG20" s="4"/>
      <c r="LLH20" s="4"/>
      <c r="LLI20" s="4"/>
      <c r="LLJ20" s="4"/>
      <c r="LLK20" s="4"/>
      <c r="LLL20" s="4"/>
      <c r="LLM20" s="4"/>
      <c r="LLN20" s="4"/>
      <c r="LLO20" s="4"/>
      <c r="LLP20" s="4"/>
      <c r="LLQ20" s="4"/>
      <c r="LLR20" s="4"/>
      <c r="LLS20" s="4"/>
      <c r="LLT20" s="4"/>
      <c r="LLU20" s="4"/>
      <c r="LLV20" s="4"/>
      <c r="LLW20" s="4"/>
      <c r="LLX20" s="4"/>
      <c r="LLY20" s="4"/>
      <c r="LLZ20" s="4"/>
      <c r="LMA20" s="4"/>
      <c r="LMB20" s="4"/>
      <c r="LMC20" s="4"/>
      <c r="LMD20" s="4"/>
      <c r="LME20" s="4"/>
      <c r="LMF20" s="4"/>
      <c r="LMG20" s="4"/>
      <c r="LMH20" s="4"/>
      <c r="LMI20" s="4"/>
      <c r="LMJ20" s="4"/>
      <c r="LMK20" s="4"/>
      <c r="LML20" s="4"/>
      <c r="LMM20" s="4"/>
      <c r="LMN20" s="4"/>
      <c r="LMO20" s="4"/>
      <c r="LMP20" s="4"/>
      <c r="LMQ20" s="4"/>
      <c r="LMR20" s="4"/>
      <c r="LMS20" s="4"/>
      <c r="LMT20" s="4"/>
      <c r="LMU20" s="4"/>
      <c r="LMV20" s="4"/>
      <c r="LMW20" s="4"/>
      <c r="LMX20" s="4"/>
      <c r="LMY20" s="4"/>
      <c r="LMZ20" s="4"/>
      <c r="LNA20" s="4"/>
      <c r="LNB20" s="4"/>
      <c r="LNC20" s="4"/>
      <c r="LND20" s="4"/>
      <c r="LNE20" s="4"/>
      <c r="LNF20" s="4"/>
      <c r="LNG20" s="4"/>
      <c r="LNH20" s="4"/>
      <c r="LNI20" s="4"/>
      <c r="LNJ20" s="4"/>
      <c r="LNK20" s="4"/>
      <c r="LNL20" s="4"/>
      <c r="LNM20" s="4"/>
      <c r="LNN20" s="4"/>
      <c r="LNO20" s="4"/>
      <c r="LNP20" s="4"/>
      <c r="LNQ20" s="4"/>
      <c r="LNR20" s="4"/>
      <c r="LNS20" s="4"/>
      <c r="LNT20" s="4"/>
      <c r="LNU20" s="4"/>
      <c r="LNV20" s="4"/>
      <c r="LNW20" s="4"/>
      <c r="LNX20" s="4"/>
      <c r="LNY20" s="4"/>
      <c r="LNZ20" s="4"/>
      <c r="LOA20" s="4"/>
      <c r="LOB20" s="4"/>
      <c r="LOC20" s="4"/>
      <c r="LOD20" s="4"/>
      <c r="LOE20" s="4"/>
      <c r="LOF20" s="4"/>
      <c r="LOG20" s="4"/>
      <c r="LOH20" s="4"/>
      <c r="LOI20" s="4"/>
      <c r="LOJ20" s="4"/>
      <c r="LOK20" s="4"/>
      <c r="LOL20" s="4"/>
      <c r="LOM20" s="4"/>
      <c r="LON20" s="4"/>
      <c r="LOO20" s="4"/>
      <c r="LOP20" s="4"/>
      <c r="LOQ20" s="4"/>
      <c r="LOR20" s="4"/>
      <c r="LOS20" s="4"/>
      <c r="LOT20" s="4"/>
      <c r="LOU20" s="4"/>
      <c r="LOV20" s="4"/>
      <c r="LOW20" s="4"/>
      <c r="LOX20" s="4"/>
      <c r="LOY20" s="4"/>
      <c r="LOZ20" s="4"/>
      <c r="LPA20" s="4"/>
      <c r="LPB20" s="4"/>
      <c r="LPC20" s="4"/>
      <c r="LPD20" s="4"/>
      <c r="LPE20" s="4"/>
      <c r="LPF20" s="4"/>
      <c r="LPG20" s="4"/>
      <c r="LPH20" s="4"/>
      <c r="LPI20" s="4"/>
      <c r="LPJ20" s="4"/>
      <c r="LPK20" s="4"/>
      <c r="LPL20" s="4"/>
      <c r="LPM20" s="4"/>
      <c r="LPN20" s="4"/>
      <c r="LPO20" s="4"/>
      <c r="LPP20" s="4"/>
      <c r="LPQ20" s="4"/>
      <c r="LPR20" s="4"/>
      <c r="LPS20" s="4"/>
      <c r="LPT20" s="4"/>
      <c r="LPU20" s="4"/>
      <c r="LPV20" s="4"/>
      <c r="LPW20" s="4"/>
      <c r="LPX20" s="4"/>
      <c r="LPY20" s="4"/>
      <c r="LPZ20" s="4"/>
      <c r="LQA20" s="4"/>
      <c r="LQB20" s="4"/>
      <c r="LQC20" s="4"/>
      <c r="LQD20" s="4"/>
      <c r="LQE20" s="4"/>
      <c r="LQF20" s="4"/>
      <c r="LQG20" s="4"/>
      <c r="LQH20" s="4"/>
      <c r="LQI20" s="4"/>
      <c r="LQJ20" s="4"/>
      <c r="LQK20" s="4"/>
      <c r="LQL20" s="4"/>
      <c r="LQM20" s="4"/>
      <c r="LQN20" s="4"/>
      <c r="LQO20" s="4"/>
      <c r="LQP20" s="4"/>
      <c r="LQQ20" s="4"/>
      <c r="LQR20" s="4"/>
      <c r="LQS20" s="4"/>
      <c r="LQT20" s="4"/>
      <c r="LQU20" s="4"/>
      <c r="LQV20" s="4"/>
      <c r="LQW20" s="4"/>
      <c r="LQX20" s="4"/>
      <c r="LQY20" s="4"/>
      <c r="LQZ20" s="4"/>
      <c r="LRA20" s="4"/>
      <c r="LRB20" s="4"/>
      <c r="LRC20" s="4"/>
      <c r="LRD20" s="4"/>
      <c r="LRE20" s="4"/>
      <c r="LRF20" s="4"/>
      <c r="LRG20" s="4"/>
      <c r="LRH20" s="4"/>
      <c r="LRI20" s="4"/>
      <c r="LRJ20" s="4"/>
      <c r="LRK20" s="4"/>
      <c r="LRL20" s="4"/>
      <c r="LRM20" s="4"/>
      <c r="LRN20" s="4"/>
      <c r="LRO20" s="4"/>
      <c r="LRP20" s="4"/>
      <c r="LRQ20" s="4"/>
      <c r="LRR20" s="4"/>
      <c r="LRS20" s="4"/>
      <c r="LRT20" s="4"/>
      <c r="LRU20" s="4"/>
      <c r="LRV20" s="4"/>
      <c r="LRW20" s="4"/>
      <c r="LRX20" s="4"/>
      <c r="LRY20" s="4"/>
      <c r="LRZ20" s="4"/>
      <c r="LSA20" s="4"/>
      <c r="LSB20" s="4"/>
      <c r="LSC20" s="4"/>
      <c r="LSD20" s="4"/>
      <c r="LSE20" s="4"/>
      <c r="LSF20" s="4"/>
      <c r="LSG20" s="4"/>
      <c r="LSH20" s="4"/>
      <c r="LSI20" s="4"/>
      <c r="LSJ20" s="4"/>
      <c r="LSK20" s="4"/>
      <c r="LSL20" s="4"/>
      <c r="LSM20" s="4"/>
      <c r="LSN20" s="4"/>
      <c r="LSO20" s="4"/>
      <c r="LSP20" s="4"/>
      <c r="LSQ20" s="4"/>
      <c r="LSR20" s="4"/>
      <c r="LSS20" s="4"/>
      <c r="LST20" s="4"/>
      <c r="LSU20" s="4"/>
      <c r="LSV20" s="4"/>
      <c r="LSW20" s="4"/>
      <c r="LSX20" s="4"/>
      <c r="LSY20" s="4"/>
      <c r="LSZ20" s="4"/>
      <c r="LTA20" s="4"/>
      <c r="LTB20" s="4"/>
      <c r="LTC20" s="4"/>
      <c r="LTD20" s="4"/>
      <c r="LTE20" s="4"/>
      <c r="LTF20" s="4"/>
      <c r="LTG20" s="4"/>
      <c r="LTH20" s="4"/>
      <c r="LTI20" s="4"/>
      <c r="LTJ20" s="4"/>
      <c r="LTK20" s="4"/>
      <c r="LTL20" s="4"/>
      <c r="LTM20" s="4"/>
      <c r="LTN20" s="4"/>
      <c r="LTO20" s="4"/>
      <c r="LTP20" s="4"/>
      <c r="LTQ20" s="4"/>
      <c r="LTR20" s="4"/>
      <c r="LTS20" s="4"/>
      <c r="LTT20" s="4"/>
      <c r="LTU20" s="4"/>
      <c r="LTV20" s="4"/>
      <c r="LTW20" s="4"/>
      <c r="LTX20" s="4"/>
      <c r="LTY20" s="4"/>
      <c r="LTZ20" s="4"/>
      <c r="LUA20" s="4"/>
      <c r="LUB20" s="4"/>
      <c r="LUC20" s="4"/>
      <c r="LUD20" s="4"/>
      <c r="LUE20" s="4"/>
      <c r="LUF20" s="4"/>
      <c r="LUG20" s="4"/>
      <c r="LUH20" s="4"/>
      <c r="LUI20" s="4"/>
      <c r="LUJ20" s="4"/>
      <c r="LUK20" s="4"/>
      <c r="LUL20" s="4"/>
      <c r="LUM20" s="4"/>
      <c r="LUN20" s="4"/>
      <c r="LUO20" s="4"/>
      <c r="LUP20" s="4"/>
      <c r="LUQ20" s="4"/>
      <c r="LUR20" s="4"/>
      <c r="LUS20" s="4"/>
      <c r="LUT20" s="4"/>
      <c r="LUU20" s="4"/>
      <c r="LUV20" s="4"/>
      <c r="LUW20" s="4"/>
      <c r="LUX20" s="4"/>
      <c r="LUY20" s="4"/>
      <c r="LUZ20" s="4"/>
      <c r="LVA20" s="4"/>
      <c r="LVB20" s="4"/>
      <c r="LVC20" s="4"/>
      <c r="LVD20" s="4"/>
      <c r="LVE20" s="4"/>
      <c r="LVF20" s="4"/>
      <c r="LVG20" s="4"/>
      <c r="LVH20" s="4"/>
      <c r="LVI20" s="4"/>
      <c r="LVJ20" s="4"/>
      <c r="LVK20" s="4"/>
      <c r="LVL20" s="4"/>
      <c r="LVM20" s="4"/>
      <c r="LVN20" s="4"/>
      <c r="LVO20" s="4"/>
      <c r="LVP20" s="4"/>
      <c r="LVQ20" s="4"/>
      <c r="LVR20" s="4"/>
      <c r="LVS20" s="4"/>
      <c r="LVT20" s="4"/>
      <c r="LVU20" s="4"/>
      <c r="LVV20" s="4"/>
      <c r="LVW20" s="4"/>
      <c r="LVX20" s="4"/>
      <c r="LVY20" s="4"/>
      <c r="LVZ20" s="4"/>
      <c r="LWA20" s="4"/>
      <c r="LWB20" s="4"/>
      <c r="LWC20" s="4"/>
      <c r="LWD20" s="4"/>
      <c r="LWE20" s="4"/>
      <c r="LWF20" s="4"/>
      <c r="LWG20" s="4"/>
      <c r="LWH20" s="4"/>
      <c r="LWI20" s="4"/>
      <c r="LWJ20" s="4"/>
      <c r="LWK20" s="4"/>
      <c r="LWL20" s="4"/>
      <c r="LWM20" s="4"/>
      <c r="LWN20" s="4"/>
      <c r="LWO20" s="4"/>
      <c r="LWP20" s="4"/>
      <c r="LWQ20" s="4"/>
      <c r="LWR20" s="4"/>
      <c r="LWS20" s="4"/>
      <c r="LWT20" s="4"/>
      <c r="LWU20" s="4"/>
      <c r="LWV20" s="4"/>
      <c r="LWW20" s="4"/>
      <c r="LWX20" s="4"/>
      <c r="LWY20" s="4"/>
      <c r="LWZ20" s="4"/>
      <c r="LXA20" s="4"/>
      <c r="LXB20" s="4"/>
      <c r="LXC20" s="4"/>
      <c r="LXD20" s="4"/>
      <c r="LXE20" s="4"/>
      <c r="LXF20" s="4"/>
      <c r="LXG20" s="4"/>
      <c r="LXH20" s="4"/>
      <c r="LXI20" s="4"/>
      <c r="LXJ20" s="4"/>
      <c r="LXK20" s="4"/>
      <c r="LXL20" s="4"/>
      <c r="LXM20" s="4"/>
      <c r="LXN20" s="4"/>
      <c r="LXO20" s="4"/>
      <c r="LXP20" s="4"/>
      <c r="LXQ20" s="4"/>
      <c r="LXR20" s="4"/>
      <c r="LXS20" s="4"/>
      <c r="LXT20" s="4"/>
      <c r="LXU20" s="4"/>
      <c r="LXV20" s="4"/>
      <c r="LXW20" s="4"/>
      <c r="LXX20" s="4"/>
      <c r="LXY20" s="4"/>
      <c r="LXZ20" s="4"/>
      <c r="LYA20" s="4"/>
      <c r="LYB20" s="4"/>
      <c r="LYC20" s="4"/>
      <c r="LYD20" s="4"/>
      <c r="LYE20" s="4"/>
      <c r="LYF20" s="4"/>
      <c r="LYG20" s="4"/>
      <c r="LYH20" s="4"/>
      <c r="LYI20" s="4"/>
      <c r="LYJ20" s="4"/>
      <c r="LYK20" s="4"/>
      <c r="LYL20" s="4"/>
      <c r="LYM20" s="4"/>
      <c r="LYN20" s="4"/>
      <c r="LYO20" s="4"/>
      <c r="LYP20" s="4"/>
      <c r="LYQ20" s="4"/>
      <c r="LYR20" s="4"/>
      <c r="LYS20" s="4"/>
      <c r="LYT20" s="4"/>
      <c r="LYU20" s="4"/>
      <c r="LYV20" s="4"/>
      <c r="LYW20" s="4"/>
      <c r="LYX20" s="4"/>
      <c r="LYY20" s="4"/>
      <c r="LYZ20" s="4"/>
      <c r="LZA20" s="4"/>
      <c r="LZB20" s="4"/>
      <c r="LZC20" s="4"/>
      <c r="LZD20" s="4"/>
      <c r="LZE20" s="4"/>
      <c r="LZF20" s="4"/>
      <c r="LZG20" s="4"/>
      <c r="LZH20" s="4"/>
      <c r="LZI20" s="4"/>
      <c r="LZJ20" s="4"/>
      <c r="LZK20" s="4"/>
      <c r="LZL20" s="4"/>
      <c r="LZM20" s="4"/>
      <c r="LZN20" s="4"/>
      <c r="LZO20" s="4"/>
      <c r="LZP20" s="4"/>
      <c r="LZQ20" s="4"/>
      <c r="LZR20" s="4"/>
      <c r="LZS20" s="4"/>
      <c r="LZT20" s="4"/>
      <c r="LZU20" s="4"/>
      <c r="LZV20" s="4"/>
      <c r="LZW20" s="4"/>
      <c r="LZX20" s="4"/>
      <c r="LZY20" s="4"/>
      <c r="LZZ20" s="4"/>
      <c r="MAA20" s="4"/>
      <c r="MAB20" s="4"/>
      <c r="MAC20" s="4"/>
      <c r="MAD20" s="4"/>
      <c r="MAE20" s="4"/>
      <c r="MAF20" s="4"/>
      <c r="MAG20" s="4"/>
      <c r="MAH20" s="4"/>
      <c r="MAI20" s="4"/>
      <c r="MAJ20" s="4"/>
      <c r="MAK20" s="4"/>
      <c r="MAL20" s="4"/>
      <c r="MAM20" s="4"/>
      <c r="MAN20" s="4"/>
      <c r="MAO20" s="4"/>
      <c r="MAP20" s="4"/>
      <c r="MAQ20" s="4"/>
      <c r="MAR20" s="4"/>
      <c r="MAS20" s="4"/>
      <c r="MAT20" s="4"/>
      <c r="MAU20" s="4"/>
      <c r="MAV20" s="4"/>
      <c r="MAW20" s="4"/>
      <c r="MAX20" s="4"/>
      <c r="MAY20" s="4"/>
      <c r="MAZ20" s="4"/>
      <c r="MBA20" s="4"/>
      <c r="MBB20" s="4"/>
      <c r="MBC20" s="4"/>
      <c r="MBD20" s="4"/>
      <c r="MBE20" s="4"/>
      <c r="MBF20" s="4"/>
      <c r="MBG20" s="4"/>
      <c r="MBH20" s="4"/>
      <c r="MBI20" s="4"/>
      <c r="MBJ20" s="4"/>
      <c r="MBK20" s="4"/>
      <c r="MBL20" s="4"/>
      <c r="MBM20" s="4"/>
      <c r="MBN20" s="4"/>
      <c r="MBO20" s="4"/>
      <c r="MBP20" s="4"/>
      <c r="MBQ20" s="4"/>
      <c r="MBR20" s="4"/>
      <c r="MBS20" s="4"/>
      <c r="MBT20" s="4"/>
      <c r="MBU20" s="4"/>
      <c r="MBV20" s="4"/>
      <c r="MBW20" s="4"/>
      <c r="MBX20" s="4"/>
      <c r="MBY20" s="4"/>
      <c r="MBZ20" s="4"/>
      <c r="MCA20" s="4"/>
      <c r="MCB20" s="4"/>
      <c r="MCC20" s="4"/>
      <c r="MCD20" s="4"/>
      <c r="MCE20" s="4"/>
      <c r="MCF20" s="4"/>
      <c r="MCG20" s="4"/>
      <c r="MCH20" s="4"/>
      <c r="MCI20" s="4"/>
      <c r="MCJ20" s="4"/>
      <c r="MCK20" s="4"/>
      <c r="MCL20" s="4"/>
      <c r="MCM20" s="4"/>
      <c r="MCN20" s="4"/>
      <c r="MCO20" s="4"/>
      <c r="MCP20" s="4"/>
      <c r="MCQ20" s="4"/>
      <c r="MCR20" s="4"/>
      <c r="MCS20" s="4"/>
      <c r="MCT20" s="4"/>
      <c r="MCU20" s="4"/>
      <c r="MCV20" s="4"/>
      <c r="MCW20" s="4"/>
      <c r="MCX20" s="4"/>
      <c r="MCY20" s="4"/>
      <c r="MCZ20" s="4"/>
      <c r="MDA20" s="4"/>
      <c r="MDB20" s="4"/>
      <c r="MDC20" s="4"/>
      <c r="MDD20" s="4"/>
      <c r="MDE20" s="4"/>
      <c r="MDF20" s="4"/>
      <c r="MDG20" s="4"/>
      <c r="MDH20" s="4"/>
      <c r="MDI20" s="4"/>
      <c r="MDJ20" s="4"/>
      <c r="MDK20" s="4"/>
      <c r="MDL20" s="4"/>
      <c r="MDM20" s="4"/>
      <c r="MDN20" s="4"/>
      <c r="MDO20" s="4"/>
      <c r="MDP20" s="4"/>
      <c r="MDQ20" s="4"/>
      <c r="MDR20" s="4"/>
      <c r="MDS20" s="4"/>
      <c r="MDT20" s="4"/>
      <c r="MDU20" s="4"/>
      <c r="MDV20" s="4"/>
      <c r="MDW20" s="4"/>
      <c r="MDX20" s="4"/>
      <c r="MDY20" s="4"/>
      <c r="MDZ20" s="4"/>
      <c r="MEA20" s="4"/>
      <c r="MEB20" s="4"/>
      <c r="MEC20" s="4"/>
      <c r="MED20" s="4"/>
      <c r="MEE20" s="4"/>
      <c r="MEF20" s="4"/>
      <c r="MEG20" s="4"/>
      <c r="MEH20" s="4"/>
      <c r="MEI20" s="4"/>
      <c r="MEJ20" s="4"/>
      <c r="MEK20" s="4"/>
      <c r="MEL20" s="4"/>
      <c r="MEM20" s="4"/>
      <c r="MEN20" s="4"/>
      <c r="MEO20" s="4"/>
      <c r="MEP20" s="4"/>
      <c r="MEQ20" s="4"/>
      <c r="MER20" s="4"/>
      <c r="MES20" s="4"/>
      <c r="MET20" s="4"/>
      <c r="MEU20" s="4"/>
      <c r="MEV20" s="4"/>
      <c r="MEW20" s="4"/>
      <c r="MEX20" s="4"/>
      <c r="MEY20" s="4"/>
      <c r="MEZ20" s="4"/>
      <c r="MFA20" s="4"/>
      <c r="MFB20" s="4"/>
      <c r="MFC20" s="4"/>
      <c r="MFD20" s="4"/>
      <c r="MFE20" s="4"/>
      <c r="MFF20" s="4"/>
      <c r="MFG20" s="4"/>
      <c r="MFH20" s="4"/>
      <c r="MFI20" s="4"/>
      <c r="MFJ20" s="4"/>
      <c r="MFK20" s="4"/>
      <c r="MFL20" s="4"/>
      <c r="MFM20" s="4"/>
      <c r="MFN20" s="4"/>
      <c r="MFO20" s="4"/>
      <c r="MFP20" s="4"/>
      <c r="MFQ20" s="4"/>
      <c r="MFR20" s="4"/>
      <c r="MFS20" s="4"/>
      <c r="MFT20" s="4"/>
      <c r="MFU20" s="4"/>
      <c r="MFV20" s="4"/>
      <c r="MFW20" s="4"/>
      <c r="MFX20" s="4"/>
      <c r="MFY20" s="4"/>
      <c r="MFZ20" s="4"/>
      <c r="MGA20" s="4"/>
      <c r="MGB20" s="4"/>
      <c r="MGC20" s="4"/>
      <c r="MGD20" s="4"/>
      <c r="MGE20" s="4"/>
      <c r="MGF20" s="4"/>
      <c r="MGG20" s="4"/>
      <c r="MGH20" s="4"/>
      <c r="MGI20" s="4"/>
      <c r="MGJ20" s="4"/>
      <c r="MGK20" s="4"/>
      <c r="MGL20" s="4"/>
      <c r="MGM20" s="4"/>
      <c r="MGN20" s="4"/>
      <c r="MGO20" s="4"/>
      <c r="MGP20" s="4"/>
      <c r="MGQ20" s="4"/>
      <c r="MGR20" s="4"/>
      <c r="MGS20" s="4"/>
      <c r="MGT20" s="4"/>
      <c r="MGU20" s="4"/>
      <c r="MGV20" s="4"/>
      <c r="MGW20" s="4"/>
      <c r="MGX20" s="4"/>
      <c r="MGY20" s="4"/>
      <c r="MGZ20" s="4"/>
      <c r="MHA20" s="4"/>
      <c r="MHB20" s="4"/>
      <c r="MHC20" s="4"/>
      <c r="MHD20" s="4"/>
      <c r="MHE20" s="4"/>
      <c r="MHF20" s="4"/>
      <c r="MHG20" s="4"/>
      <c r="MHH20" s="4"/>
      <c r="MHI20" s="4"/>
      <c r="MHJ20" s="4"/>
      <c r="MHK20" s="4"/>
      <c r="MHL20" s="4"/>
      <c r="MHM20" s="4"/>
      <c r="MHN20" s="4"/>
      <c r="MHO20" s="4"/>
      <c r="MHP20" s="4"/>
      <c r="MHQ20" s="4"/>
      <c r="MHR20" s="4"/>
      <c r="MHS20" s="4"/>
      <c r="MHT20" s="4"/>
      <c r="MHU20" s="4"/>
      <c r="MHV20" s="4"/>
      <c r="MHW20" s="4"/>
      <c r="MHX20" s="4"/>
      <c r="MHY20" s="4"/>
      <c r="MHZ20" s="4"/>
      <c r="MIA20" s="4"/>
      <c r="MIB20" s="4"/>
      <c r="MIC20" s="4"/>
      <c r="MID20" s="4"/>
      <c r="MIE20" s="4"/>
      <c r="MIF20" s="4"/>
      <c r="MIG20" s="4"/>
      <c r="MIH20" s="4"/>
      <c r="MII20" s="4"/>
      <c r="MIJ20" s="4"/>
      <c r="MIK20" s="4"/>
      <c r="MIL20" s="4"/>
      <c r="MIM20" s="4"/>
      <c r="MIN20" s="4"/>
      <c r="MIO20" s="4"/>
      <c r="MIP20" s="4"/>
      <c r="MIQ20" s="4"/>
      <c r="MIR20" s="4"/>
      <c r="MIS20" s="4"/>
      <c r="MIT20" s="4"/>
      <c r="MIU20" s="4"/>
      <c r="MIV20" s="4"/>
      <c r="MIW20" s="4"/>
      <c r="MIX20" s="4"/>
      <c r="MIY20" s="4"/>
      <c r="MIZ20" s="4"/>
      <c r="MJA20" s="4"/>
      <c r="MJB20" s="4"/>
      <c r="MJC20" s="4"/>
      <c r="MJD20" s="4"/>
      <c r="MJE20" s="4"/>
      <c r="MJF20" s="4"/>
      <c r="MJG20" s="4"/>
      <c r="MJH20" s="4"/>
      <c r="MJI20" s="4"/>
      <c r="MJJ20" s="4"/>
      <c r="MJK20" s="4"/>
      <c r="MJL20" s="4"/>
      <c r="MJM20" s="4"/>
      <c r="MJN20" s="4"/>
      <c r="MJO20" s="4"/>
      <c r="MJP20" s="4"/>
      <c r="MJQ20" s="4"/>
      <c r="MJR20" s="4"/>
      <c r="MJS20" s="4"/>
      <c r="MJT20" s="4"/>
      <c r="MJU20" s="4"/>
      <c r="MJV20" s="4"/>
      <c r="MJW20" s="4"/>
      <c r="MJX20" s="4"/>
      <c r="MJY20" s="4"/>
      <c r="MJZ20" s="4"/>
      <c r="MKA20" s="4"/>
      <c r="MKB20" s="4"/>
      <c r="MKC20" s="4"/>
      <c r="MKD20" s="4"/>
      <c r="MKE20" s="4"/>
      <c r="MKF20" s="4"/>
      <c r="MKG20" s="4"/>
      <c r="MKH20" s="4"/>
      <c r="MKI20" s="4"/>
      <c r="MKJ20" s="4"/>
      <c r="MKK20" s="4"/>
      <c r="MKL20" s="4"/>
      <c r="MKM20" s="4"/>
      <c r="MKN20" s="4"/>
      <c r="MKO20" s="4"/>
      <c r="MKP20" s="4"/>
      <c r="MKQ20" s="4"/>
      <c r="MKR20" s="4"/>
      <c r="MKS20" s="4"/>
      <c r="MKT20" s="4"/>
      <c r="MKU20" s="4"/>
      <c r="MKV20" s="4"/>
      <c r="MKW20" s="4"/>
      <c r="MKX20" s="4"/>
      <c r="MKY20" s="4"/>
      <c r="MKZ20" s="4"/>
      <c r="MLA20" s="4"/>
      <c r="MLB20" s="4"/>
      <c r="MLC20" s="4"/>
      <c r="MLD20" s="4"/>
      <c r="MLE20" s="4"/>
      <c r="MLF20" s="4"/>
      <c r="MLG20" s="4"/>
      <c r="MLH20" s="4"/>
      <c r="MLI20" s="4"/>
      <c r="MLJ20" s="4"/>
      <c r="MLK20" s="4"/>
      <c r="MLL20" s="4"/>
      <c r="MLM20" s="4"/>
      <c r="MLN20" s="4"/>
      <c r="MLO20" s="4"/>
      <c r="MLP20" s="4"/>
      <c r="MLQ20" s="4"/>
      <c r="MLR20" s="4"/>
      <c r="MLS20" s="4"/>
      <c r="MLT20" s="4"/>
      <c r="MLU20" s="4"/>
      <c r="MLV20" s="4"/>
      <c r="MLW20" s="4"/>
      <c r="MLX20" s="4"/>
      <c r="MLY20" s="4"/>
      <c r="MLZ20" s="4"/>
      <c r="MMA20" s="4"/>
      <c r="MMB20" s="4"/>
      <c r="MMC20" s="4"/>
      <c r="MMD20" s="4"/>
      <c r="MME20" s="4"/>
      <c r="MMF20" s="4"/>
      <c r="MMG20" s="4"/>
      <c r="MMH20" s="4"/>
      <c r="MMI20" s="4"/>
      <c r="MMJ20" s="4"/>
      <c r="MMK20" s="4"/>
      <c r="MML20" s="4"/>
      <c r="MMM20" s="4"/>
      <c r="MMN20" s="4"/>
      <c r="MMO20" s="4"/>
      <c r="MMP20" s="4"/>
      <c r="MMQ20" s="4"/>
      <c r="MMR20" s="4"/>
      <c r="MMS20" s="4"/>
      <c r="MMT20" s="4"/>
      <c r="MMU20" s="4"/>
      <c r="MMV20" s="4"/>
      <c r="MMW20" s="4"/>
      <c r="MMX20" s="4"/>
      <c r="MMY20" s="4"/>
      <c r="MMZ20" s="4"/>
      <c r="MNA20" s="4"/>
      <c r="MNB20" s="4"/>
      <c r="MNC20" s="4"/>
      <c r="MND20" s="4"/>
      <c r="MNE20" s="4"/>
      <c r="MNF20" s="4"/>
      <c r="MNG20" s="4"/>
      <c r="MNH20" s="4"/>
      <c r="MNI20" s="4"/>
      <c r="MNJ20" s="4"/>
      <c r="MNK20" s="4"/>
      <c r="MNL20" s="4"/>
      <c r="MNM20" s="4"/>
      <c r="MNN20" s="4"/>
      <c r="MNO20" s="4"/>
      <c r="MNP20" s="4"/>
      <c r="MNQ20" s="4"/>
      <c r="MNR20" s="4"/>
      <c r="MNS20" s="4"/>
      <c r="MNT20" s="4"/>
      <c r="MNU20" s="4"/>
      <c r="MNV20" s="4"/>
      <c r="MNW20" s="4"/>
      <c r="MNX20" s="4"/>
      <c r="MNY20" s="4"/>
      <c r="MNZ20" s="4"/>
      <c r="MOA20" s="4"/>
      <c r="MOB20" s="4"/>
      <c r="MOC20" s="4"/>
      <c r="MOD20" s="4"/>
      <c r="MOE20" s="4"/>
      <c r="MOF20" s="4"/>
      <c r="MOG20" s="4"/>
      <c r="MOH20" s="4"/>
      <c r="MOI20" s="4"/>
      <c r="MOJ20" s="4"/>
      <c r="MOK20" s="4"/>
      <c r="MOL20" s="4"/>
      <c r="MOM20" s="4"/>
      <c r="MON20" s="4"/>
      <c r="MOO20" s="4"/>
      <c r="MOP20" s="4"/>
      <c r="MOQ20" s="4"/>
      <c r="MOR20" s="4"/>
      <c r="MOS20" s="4"/>
      <c r="MOT20" s="4"/>
      <c r="MOU20" s="4"/>
      <c r="MOV20" s="4"/>
      <c r="MOW20" s="4"/>
      <c r="MOX20" s="4"/>
      <c r="MOY20" s="4"/>
      <c r="MOZ20" s="4"/>
      <c r="MPA20" s="4"/>
      <c r="MPB20" s="4"/>
      <c r="MPC20" s="4"/>
      <c r="MPD20" s="4"/>
      <c r="MPE20" s="4"/>
      <c r="MPF20" s="4"/>
      <c r="MPG20" s="4"/>
      <c r="MPH20" s="4"/>
      <c r="MPI20" s="4"/>
      <c r="MPJ20" s="4"/>
      <c r="MPK20" s="4"/>
      <c r="MPL20" s="4"/>
      <c r="MPM20" s="4"/>
      <c r="MPN20" s="4"/>
      <c r="MPO20" s="4"/>
      <c r="MPP20" s="4"/>
      <c r="MPQ20" s="4"/>
      <c r="MPR20" s="4"/>
      <c r="MPS20" s="4"/>
      <c r="MPT20" s="4"/>
      <c r="MPU20" s="4"/>
      <c r="MPV20" s="4"/>
      <c r="MPW20" s="4"/>
      <c r="MPX20" s="4"/>
      <c r="MPY20" s="4"/>
      <c r="MPZ20" s="4"/>
      <c r="MQA20" s="4"/>
      <c r="MQB20" s="4"/>
      <c r="MQC20" s="4"/>
      <c r="MQD20" s="4"/>
      <c r="MQE20" s="4"/>
      <c r="MQF20" s="4"/>
      <c r="MQG20" s="4"/>
      <c r="MQH20" s="4"/>
      <c r="MQI20" s="4"/>
      <c r="MQJ20" s="4"/>
      <c r="MQK20" s="4"/>
      <c r="MQL20" s="4"/>
      <c r="MQM20" s="4"/>
      <c r="MQN20" s="4"/>
      <c r="MQO20" s="4"/>
      <c r="MQP20" s="4"/>
      <c r="MQQ20" s="4"/>
      <c r="MQR20" s="4"/>
      <c r="MQS20" s="4"/>
      <c r="MQT20" s="4"/>
      <c r="MQU20" s="4"/>
      <c r="MQV20" s="4"/>
      <c r="MQW20" s="4"/>
      <c r="MQX20" s="4"/>
      <c r="MQY20" s="4"/>
      <c r="MQZ20" s="4"/>
      <c r="MRA20" s="4"/>
      <c r="MRB20" s="4"/>
      <c r="MRC20" s="4"/>
      <c r="MRD20" s="4"/>
      <c r="MRE20" s="4"/>
      <c r="MRF20" s="4"/>
      <c r="MRG20" s="4"/>
      <c r="MRH20" s="4"/>
      <c r="MRI20" s="4"/>
      <c r="MRJ20" s="4"/>
      <c r="MRK20" s="4"/>
      <c r="MRL20" s="4"/>
      <c r="MRM20" s="4"/>
      <c r="MRN20" s="4"/>
      <c r="MRO20" s="4"/>
      <c r="MRP20" s="4"/>
      <c r="MRQ20" s="4"/>
      <c r="MRR20" s="4"/>
      <c r="MRS20" s="4"/>
      <c r="MRT20" s="4"/>
      <c r="MRU20" s="4"/>
      <c r="MRV20" s="4"/>
      <c r="MRW20" s="4"/>
      <c r="MRX20" s="4"/>
      <c r="MRY20" s="4"/>
      <c r="MRZ20" s="4"/>
      <c r="MSA20" s="4"/>
      <c r="MSB20" s="4"/>
      <c r="MSC20" s="4"/>
      <c r="MSD20" s="4"/>
      <c r="MSE20" s="4"/>
      <c r="MSF20" s="4"/>
      <c r="MSG20" s="4"/>
      <c r="MSH20" s="4"/>
      <c r="MSI20" s="4"/>
      <c r="MSJ20" s="4"/>
      <c r="MSK20" s="4"/>
      <c r="MSL20" s="4"/>
      <c r="MSM20" s="4"/>
      <c r="MSN20" s="4"/>
      <c r="MSO20" s="4"/>
      <c r="MSP20" s="4"/>
      <c r="MSQ20" s="4"/>
      <c r="MSR20" s="4"/>
      <c r="MSS20" s="4"/>
      <c r="MST20" s="4"/>
      <c r="MSU20" s="4"/>
      <c r="MSV20" s="4"/>
      <c r="MSW20" s="4"/>
      <c r="MSX20" s="4"/>
      <c r="MSY20" s="4"/>
      <c r="MSZ20" s="4"/>
      <c r="MTA20" s="4"/>
      <c r="MTB20" s="4"/>
      <c r="MTC20" s="4"/>
      <c r="MTD20" s="4"/>
      <c r="MTE20" s="4"/>
      <c r="MTF20" s="4"/>
      <c r="MTG20" s="4"/>
      <c r="MTH20" s="4"/>
      <c r="MTI20" s="4"/>
      <c r="MTJ20" s="4"/>
      <c r="MTK20" s="4"/>
      <c r="MTL20" s="4"/>
      <c r="MTM20" s="4"/>
      <c r="MTN20" s="4"/>
      <c r="MTO20" s="4"/>
      <c r="MTP20" s="4"/>
      <c r="MTQ20" s="4"/>
      <c r="MTR20" s="4"/>
      <c r="MTS20" s="4"/>
      <c r="MTT20" s="4"/>
      <c r="MTU20" s="4"/>
      <c r="MTV20" s="4"/>
      <c r="MTW20" s="4"/>
      <c r="MTX20" s="4"/>
      <c r="MTY20" s="4"/>
      <c r="MTZ20" s="4"/>
      <c r="MUA20" s="4"/>
      <c r="MUB20" s="4"/>
      <c r="MUC20" s="4"/>
      <c r="MUD20" s="4"/>
      <c r="MUE20" s="4"/>
      <c r="MUF20" s="4"/>
      <c r="MUG20" s="4"/>
      <c r="MUH20" s="4"/>
      <c r="MUI20" s="4"/>
      <c r="MUJ20" s="4"/>
      <c r="MUK20" s="4"/>
      <c r="MUL20" s="4"/>
      <c r="MUM20" s="4"/>
      <c r="MUN20" s="4"/>
      <c r="MUO20" s="4"/>
      <c r="MUP20" s="4"/>
      <c r="MUQ20" s="4"/>
      <c r="MUR20" s="4"/>
      <c r="MUS20" s="4"/>
      <c r="MUT20" s="4"/>
      <c r="MUU20" s="4"/>
      <c r="MUV20" s="4"/>
      <c r="MUW20" s="4"/>
      <c r="MUX20" s="4"/>
      <c r="MUY20" s="4"/>
      <c r="MUZ20" s="4"/>
      <c r="MVA20" s="4"/>
      <c r="MVB20" s="4"/>
      <c r="MVC20" s="4"/>
      <c r="MVD20" s="4"/>
      <c r="MVE20" s="4"/>
      <c r="MVF20" s="4"/>
      <c r="MVG20" s="4"/>
      <c r="MVH20" s="4"/>
      <c r="MVI20" s="4"/>
      <c r="MVJ20" s="4"/>
      <c r="MVK20" s="4"/>
      <c r="MVL20" s="4"/>
      <c r="MVM20" s="4"/>
      <c r="MVN20" s="4"/>
      <c r="MVO20" s="4"/>
      <c r="MVP20" s="4"/>
      <c r="MVQ20" s="4"/>
      <c r="MVR20" s="4"/>
      <c r="MVS20" s="4"/>
      <c r="MVT20" s="4"/>
      <c r="MVU20" s="4"/>
      <c r="MVV20" s="4"/>
      <c r="MVW20" s="4"/>
      <c r="MVX20" s="4"/>
      <c r="MVY20" s="4"/>
      <c r="MVZ20" s="4"/>
      <c r="MWA20" s="4"/>
      <c r="MWB20" s="4"/>
      <c r="MWC20" s="4"/>
      <c r="MWD20" s="4"/>
      <c r="MWE20" s="4"/>
      <c r="MWF20" s="4"/>
      <c r="MWG20" s="4"/>
      <c r="MWH20" s="4"/>
      <c r="MWI20" s="4"/>
      <c r="MWJ20" s="4"/>
      <c r="MWK20" s="4"/>
      <c r="MWL20" s="4"/>
      <c r="MWM20" s="4"/>
      <c r="MWN20" s="4"/>
      <c r="MWO20" s="4"/>
      <c r="MWP20" s="4"/>
      <c r="MWQ20" s="4"/>
      <c r="MWR20" s="4"/>
      <c r="MWS20" s="4"/>
      <c r="MWT20" s="4"/>
      <c r="MWU20" s="4"/>
      <c r="MWV20" s="4"/>
      <c r="MWW20" s="4"/>
      <c r="MWX20" s="4"/>
      <c r="MWY20" s="4"/>
      <c r="MWZ20" s="4"/>
      <c r="MXA20" s="4"/>
      <c r="MXB20" s="4"/>
      <c r="MXC20" s="4"/>
      <c r="MXD20" s="4"/>
      <c r="MXE20" s="4"/>
      <c r="MXF20" s="4"/>
      <c r="MXG20" s="4"/>
      <c r="MXH20" s="4"/>
      <c r="MXI20" s="4"/>
      <c r="MXJ20" s="4"/>
      <c r="MXK20" s="4"/>
      <c r="MXL20" s="4"/>
      <c r="MXM20" s="4"/>
      <c r="MXN20" s="4"/>
      <c r="MXO20" s="4"/>
      <c r="MXP20" s="4"/>
      <c r="MXQ20" s="4"/>
      <c r="MXR20" s="4"/>
      <c r="MXS20" s="4"/>
      <c r="MXT20" s="4"/>
      <c r="MXU20" s="4"/>
      <c r="MXV20" s="4"/>
      <c r="MXW20" s="4"/>
      <c r="MXX20" s="4"/>
      <c r="MXY20" s="4"/>
      <c r="MXZ20" s="4"/>
      <c r="MYA20" s="4"/>
      <c r="MYB20" s="4"/>
      <c r="MYC20" s="4"/>
      <c r="MYD20" s="4"/>
      <c r="MYE20" s="4"/>
      <c r="MYF20" s="4"/>
      <c r="MYG20" s="4"/>
      <c r="MYH20" s="4"/>
      <c r="MYI20" s="4"/>
      <c r="MYJ20" s="4"/>
      <c r="MYK20" s="4"/>
      <c r="MYL20" s="4"/>
      <c r="MYM20" s="4"/>
      <c r="MYN20" s="4"/>
      <c r="MYO20" s="4"/>
      <c r="MYP20" s="4"/>
      <c r="MYQ20" s="4"/>
      <c r="MYR20" s="4"/>
      <c r="MYS20" s="4"/>
      <c r="MYT20" s="4"/>
      <c r="MYU20" s="4"/>
      <c r="MYV20" s="4"/>
      <c r="MYW20" s="4"/>
      <c r="MYX20" s="4"/>
      <c r="MYY20" s="4"/>
      <c r="MYZ20" s="4"/>
      <c r="MZA20" s="4"/>
      <c r="MZB20" s="4"/>
      <c r="MZC20" s="4"/>
      <c r="MZD20" s="4"/>
      <c r="MZE20" s="4"/>
      <c r="MZF20" s="4"/>
      <c r="MZG20" s="4"/>
      <c r="MZH20" s="4"/>
      <c r="MZI20" s="4"/>
      <c r="MZJ20" s="4"/>
      <c r="MZK20" s="4"/>
      <c r="MZL20" s="4"/>
      <c r="MZM20" s="4"/>
      <c r="MZN20" s="4"/>
      <c r="MZO20" s="4"/>
      <c r="MZP20" s="4"/>
      <c r="MZQ20" s="4"/>
      <c r="MZR20" s="4"/>
      <c r="MZS20" s="4"/>
      <c r="MZT20" s="4"/>
      <c r="MZU20" s="4"/>
      <c r="MZV20" s="4"/>
      <c r="MZW20" s="4"/>
      <c r="MZX20" s="4"/>
      <c r="MZY20" s="4"/>
      <c r="MZZ20" s="4"/>
      <c r="NAA20" s="4"/>
      <c r="NAB20" s="4"/>
      <c r="NAC20" s="4"/>
      <c r="NAD20" s="4"/>
      <c r="NAE20" s="4"/>
      <c r="NAF20" s="4"/>
      <c r="NAG20" s="4"/>
      <c r="NAH20" s="4"/>
      <c r="NAI20" s="4"/>
      <c r="NAJ20" s="4"/>
      <c r="NAK20" s="4"/>
      <c r="NAL20" s="4"/>
      <c r="NAM20" s="4"/>
      <c r="NAN20" s="4"/>
      <c r="NAO20" s="4"/>
      <c r="NAP20" s="4"/>
      <c r="NAQ20" s="4"/>
      <c r="NAR20" s="4"/>
      <c r="NAS20" s="4"/>
      <c r="NAT20" s="4"/>
      <c r="NAU20" s="4"/>
      <c r="NAV20" s="4"/>
      <c r="NAW20" s="4"/>
      <c r="NAX20" s="4"/>
      <c r="NAY20" s="4"/>
      <c r="NAZ20" s="4"/>
      <c r="NBA20" s="4"/>
      <c r="NBB20" s="4"/>
      <c r="NBC20" s="4"/>
      <c r="NBD20" s="4"/>
      <c r="NBE20" s="4"/>
      <c r="NBF20" s="4"/>
      <c r="NBG20" s="4"/>
      <c r="NBH20" s="4"/>
      <c r="NBI20" s="4"/>
      <c r="NBJ20" s="4"/>
      <c r="NBK20" s="4"/>
      <c r="NBL20" s="4"/>
      <c r="NBM20" s="4"/>
      <c r="NBN20" s="4"/>
      <c r="NBO20" s="4"/>
      <c r="NBP20" s="4"/>
      <c r="NBQ20" s="4"/>
      <c r="NBR20" s="4"/>
      <c r="NBS20" s="4"/>
      <c r="NBT20" s="4"/>
      <c r="NBU20" s="4"/>
      <c r="NBV20" s="4"/>
      <c r="NBW20" s="4"/>
      <c r="NBX20" s="4"/>
      <c r="NBY20" s="4"/>
      <c r="NBZ20" s="4"/>
      <c r="NCA20" s="4"/>
      <c r="NCB20" s="4"/>
      <c r="NCC20" s="4"/>
      <c r="NCD20" s="4"/>
      <c r="NCE20" s="4"/>
      <c r="NCF20" s="4"/>
      <c r="NCG20" s="4"/>
      <c r="NCH20" s="4"/>
      <c r="NCI20" s="4"/>
      <c r="NCJ20" s="4"/>
      <c r="NCK20" s="4"/>
      <c r="NCL20" s="4"/>
      <c r="NCM20" s="4"/>
      <c r="NCN20" s="4"/>
      <c r="NCO20" s="4"/>
      <c r="NCP20" s="4"/>
      <c r="NCQ20" s="4"/>
      <c r="NCR20" s="4"/>
      <c r="NCS20" s="4"/>
      <c r="NCT20" s="4"/>
      <c r="NCU20" s="4"/>
      <c r="NCV20" s="4"/>
      <c r="NCW20" s="4"/>
      <c r="NCX20" s="4"/>
      <c r="NCY20" s="4"/>
      <c r="NCZ20" s="4"/>
      <c r="NDA20" s="4"/>
      <c r="NDB20" s="4"/>
      <c r="NDC20" s="4"/>
      <c r="NDD20" s="4"/>
      <c r="NDE20" s="4"/>
      <c r="NDF20" s="4"/>
      <c r="NDG20" s="4"/>
      <c r="NDH20" s="4"/>
      <c r="NDI20" s="4"/>
      <c r="NDJ20" s="4"/>
      <c r="NDK20" s="4"/>
      <c r="NDL20" s="4"/>
      <c r="NDM20" s="4"/>
      <c r="NDN20" s="4"/>
      <c r="NDO20" s="4"/>
      <c r="NDP20" s="4"/>
      <c r="NDQ20" s="4"/>
      <c r="NDR20" s="4"/>
      <c r="NDS20" s="4"/>
      <c r="NDT20" s="4"/>
      <c r="NDU20" s="4"/>
      <c r="NDV20" s="4"/>
      <c r="NDW20" s="4"/>
      <c r="NDX20" s="4"/>
      <c r="NDY20" s="4"/>
      <c r="NDZ20" s="4"/>
      <c r="NEA20" s="4"/>
      <c r="NEB20" s="4"/>
      <c r="NEC20" s="4"/>
      <c r="NED20" s="4"/>
      <c r="NEE20" s="4"/>
      <c r="NEF20" s="4"/>
      <c r="NEG20" s="4"/>
      <c r="NEH20" s="4"/>
      <c r="NEI20" s="4"/>
      <c r="NEJ20" s="4"/>
      <c r="NEK20" s="4"/>
      <c r="NEL20" s="4"/>
      <c r="NEM20" s="4"/>
      <c r="NEN20" s="4"/>
      <c r="NEO20" s="4"/>
      <c r="NEP20" s="4"/>
      <c r="NEQ20" s="4"/>
      <c r="NER20" s="4"/>
      <c r="NES20" s="4"/>
      <c r="NET20" s="4"/>
      <c r="NEU20" s="4"/>
      <c r="NEV20" s="4"/>
      <c r="NEW20" s="4"/>
      <c r="NEX20" s="4"/>
      <c r="NEY20" s="4"/>
      <c r="NEZ20" s="4"/>
      <c r="NFA20" s="4"/>
      <c r="NFB20" s="4"/>
      <c r="NFC20" s="4"/>
      <c r="NFD20" s="4"/>
      <c r="NFE20" s="4"/>
      <c r="NFF20" s="4"/>
      <c r="NFG20" s="4"/>
      <c r="NFH20" s="4"/>
      <c r="NFI20" s="4"/>
      <c r="NFJ20" s="4"/>
      <c r="NFK20" s="4"/>
      <c r="NFL20" s="4"/>
      <c r="NFM20" s="4"/>
      <c r="NFN20" s="4"/>
      <c r="NFO20" s="4"/>
      <c r="NFP20" s="4"/>
      <c r="NFQ20" s="4"/>
      <c r="NFR20" s="4"/>
      <c r="NFS20" s="4"/>
      <c r="NFT20" s="4"/>
      <c r="NFU20" s="4"/>
      <c r="NFV20" s="4"/>
      <c r="NFW20" s="4"/>
      <c r="NFX20" s="4"/>
      <c r="NFY20" s="4"/>
      <c r="NFZ20" s="4"/>
      <c r="NGA20" s="4"/>
      <c r="NGB20" s="4"/>
      <c r="NGC20" s="4"/>
      <c r="NGD20" s="4"/>
      <c r="NGE20" s="4"/>
      <c r="NGF20" s="4"/>
      <c r="NGG20" s="4"/>
      <c r="NGH20" s="4"/>
      <c r="NGI20" s="4"/>
      <c r="NGJ20" s="4"/>
      <c r="NGK20" s="4"/>
      <c r="NGL20" s="4"/>
      <c r="NGM20" s="4"/>
      <c r="NGN20" s="4"/>
      <c r="NGO20" s="4"/>
      <c r="NGP20" s="4"/>
      <c r="NGQ20" s="4"/>
      <c r="NGR20" s="4"/>
      <c r="NGS20" s="4"/>
      <c r="NGT20" s="4"/>
      <c r="NGU20" s="4"/>
      <c r="NGV20" s="4"/>
      <c r="NGW20" s="4"/>
      <c r="NGX20" s="4"/>
      <c r="NGY20" s="4"/>
      <c r="NGZ20" s="4"/>
      <c r="NHA20" s="4"/>
      <c r="NHB20" s="4"/>
      <c r="NHC20" s="4"/>
      <c r="NHD20" s="4"/>
      <c r="NHE20" s="4"/>
      <c r="NHF20" s="4"/>
      <c r="NHG20" s="4"/>
      <c r="NHH20" s="4"/>
      <c r="NHI20" s="4"/>
      <c r="NHJ20" s="4"/>
      <c r="NHK20" s="4"/>
      <c r="NHL20" s="4"/>
      <c r="NHM20" s="4"/>
      <c r="NHN20" s="4"/>
      <c r="NHO20" s="4"/>
      <c r="NHP20" s="4"/>
      <c r="NHQ20" s="4"/>
      <c r="NHR20" s="4"/>
      <c r="NHS20" s="4"/>
      <c r="NHT20" s="4"/>
      <c r="NHU20" s="4"/>
      <c r="NHV20" s="4"/>
      <c r="NHW20" s="4"/>
      <c r="NHX20" s="4"/>
      <c r="NHY20" s="4"/>
      <c r="NHZ20" s="4"/>
      <c r="NIA20" s="4"/>
      <c r="NIB20" s="4"/>
      <c r="NIC20" s="4"/>
      <c r="NID20" s="4"/>
      <c r="NIE20" s="4"/>
      <c r="NIF20" s="4"/>
      <c r="NIG20" s="4"/>
      <c r="NIH20" s="4"/>
      <c r="NII20" s="4"/>
      <c r="NIJ20" s="4"/>
      <c r="NIK20" s="4"/>
      <c r="NIL20" s="4"/>
      <c r="NIM20" s="4"/>
      <c r="NIN20" s="4"/>
      <c r="NIO20" s="4"/>
      <c r="NIP20" s="4"/>
      <c r="NIQ20" s="4"/>
      <c r="NIR20" s="4"/>
      <c r="NIS20" s="4"/>
      <c r="NIT20" s="4"/>
      <c r="NIU20" s="4"/>
      <c r="NIV20" s="4"/>
      <c r="NIW20" s="4"/>
      <c r="NIX20" s="4"/>
      <c r="NIY20" s="4"/>
      <c r="NIZ20" s="4"/>
      <c r="NJA20" s="4"/>
      <c r="NJB20" s="4"/>
      <c r="NJC20" s="4"/>
      <c r="NJD20" s="4"/>
      <c r="NJE20" s="4"/>
      <c r="NJF20" s="4"/>
      <c r="NJG20" s="4"/>
      <c r="NJH20" s="4"/>
      <c r="NJI20" s="4"/>
      <c r="NJJ20" s="4"/>
      <c r="NJK20" s="4"/>
      <c r="NJL20" s="4"/>
      <c r="NJM20" s="4"/>
      <c r="NJN20" s="4"/>
      <c r="NJO20" s="4"/>
      <c r="NJP20" s="4"/>
      <c r="NJQ20" s="4"/>
      <c r="NJR20" s="4"/>
      <c r="NJS20" s="4"/>
      <c r="NJT20" s="4"/>
      <c r="NJU20" s="4"/>
      <c r="NJV20" s="4"/>
      <c r="NJW20" s="4"/>
      <c r="NJX20" s="4"/>
      <c r="NJY20" s="4"/>
      <c r="NJZ20" s="4"/>
      <c r="NKA20" s="4"/>
      <c r="NKB20" s="4"/>
      <c r="NKC20" s="4"/>
      <c r="NKD20" s="4"/>
      <c r="NKE20" s="4"/>
      <c r="NKF20" s="4"/>
      <c r="NKG20" s="4"/>
      <c r="NKH20" s="4"/>
      <c r="NKI20" s="4"/>
      <c r="NKJ20" s="4"/>
      <c r="NKK20" s="4"/>
      <c r="NKL20" s="4"/>
      <c r="NKM20" s="4"/>
      <c r="NKN20" s="4"/>
      <c r="NKO20" s="4"/>
      <c r="NKP20" s="4"/>
      <c r="NKQ20" s="4"/>
      <c r="NKR20" s="4"/>
      <c r="NKS20" s="4"/>
      <c r="NKT20" s="4"/>
      <c r="NKU20" s="4"/>
      <c r="NKV20" s="4"/>
      <c r="NKW20" s="4"/>
      <c r="NKX20" s="4"/>
      <c r="NKY20" s="4"/>
      <c r="NKZ20" s="4"/>
      <c r="NLA20" s="4"/>
      <c r="NLB20" s="4"/>
      <c r="NLC20" s="4"/>
      <c r="NLD20" s="4"/>
      <c r="NLE20" s="4"/>
      <c r="NLF20" s="4"/>
      <c r="NLG20" s="4"/>
      <c r="NLH20" s="4"/>
      <c r="NLI20" s="4"/>
      <c r="NLJ20" s="4"/>
      <c r="NLK20" s="4"/>
      <c r="NLL20" s="4"/>
      <c r="NLM20" s="4"/>
      <c r="NLN20" s="4"/>
      <c r="NLO20" s="4"/>
      <c r="NLP20" s="4"/>
      <c r="NLQ20" s="4"/>
      <c r="NLR20" s="4"/>
      <c r="NLS20" s="4"/>
      <c r="NLT20" s="4"/>
      <c r="NLU20" s="4"/>
      <c r="NLV20" s="4"/>
      <c r="NLW20" s="4"/>
      <c r="NLX20" s="4"/>
      <c r="NLY20" s="4"/>
      <c r="NLZ20" s="4"/>
      <c r="NMA20" s="4"/>
      <c r="NMB20" s="4"/>
      <c r="NMC20" s="4"/>
      <c r="NMD20" s="4"/>
      <c r="NME20" s="4"/>
      <c r="NMF20" s="4"/>
      <c r="NMG20" s="4"/>
      <c r="NMH20" s="4"/>
      <c r="NMI20" s="4"/>
      <c r="NMJ20" s="4"/>
      <c r="NMK20" s="4"/>
      <c r="NML20" s="4"/>
      <c r="NMM20" s="4"/>
      <c r="NMN20" s="4"/>
      <c r="NMO20" s="4"/>
      <c r="NMP20" s="4"/>
      <c r="NMQ20" s="4"/>
      <c r="NMR20" s="4"/>
      <c r="NMS20" s="4"/>
      <c r="NMT20" s="4"/>
      <c r="NMU20" s="4"/>
      <c r="NMV20" s="4"/>
      <c r="NMW20" s="4"/>
      <c r="NMX20" s="4"/>
      <c r="NMY20" s="4"/>
      <c r="NMZ20" s="4"/>
      <c r="NNA20" s="4"/>
      <c r="NNB20" s="4"/>
      <c r="NNC20" s="4"/>
      <c r="NND20" s="4"/>
      <c r="NNE20" s="4"/>
      <c r="NNF20" s="4"/>
      <c r="NNG20" s="4"/>
      <c r="NNH20" s="4"/>
      <c r="NNI20" s="4"/>
      <c r="NNJ20" s="4"/>
      <c r="NNK20" s="4"/>
      <c r="NNL20" s="4"/>
      <c r="NNM20" s="4"/>
      <c r="NNN20" s="4"/>
      <c r="NNO20" s="4"/>
      <c r="NNP20" s="4"/>
      <c r="NNQ20" s="4"/>
      <c r="NNR20" s="4"/>
      <c r="NNS20" s="4"/>
      <c r="NNT20" s="4"/>
      <c r="NNU20" s="4"/>
      <c r="NNV20" s="4"/>
      <c r="NNW20" s="4"/>
      <c r="NNX20" s="4"/>
      <c r="NNY20" s="4"/>
      <c r="NNZ20" s="4"/>
      <c r="NOA20" s="4"/>
      <c r="NOB20" s="4"/>
      <c r="NOC20" s="4"/>
      <c r="NOD20" s="4"/>
      <c r="NOE20" s="4"/>
      <c r="NOF20" s="4"/>
      <c r="NOG20" s="4"/>
      <c r="NOH20" s="4"/>
      <c r="NOI20" s="4"/>
      <c r="NOJ20" s="4"/>
      <c r="NOK20" s="4"/>
      <c r="NOL20" s="4"/>
      <c r="NOM20" s="4"/>
      <c r="NON20" s="4"/>
      <c r="NOO20" s="4"/>
      <c r="NOP20" s="4"/>
      <c r="NOQ20" s="4"/>
      <c r="NOR20" s="4"/>
      <c r="NOS20" s="4"/>
      <c r="NOT20" s="4"/>
      <c r="NOU20" s="4"/>
      <c r="NOV20" s="4"/>
      <c r="NOW20" s="4"/>
      <c r="NOX20" s="4"/>
      <c r="NOY20" s="4"/>
      <c r="NOZ20" s="4"/>
      <c r="NPA20" s="4"/>
      <c r="NPB20" s="4"/>
      <c r="NPC20" s="4"/>
      <c r="NPD20" s="4"/>
      <c r="NPE20" s="4"/>
      <c r="NPF20" s="4"/>
      <c r="NPG20" s="4"/>
      <c r="NPH20" s="4"/>
      <c r="NPI20" s="4"/>
      <c r="NPJ20" s="4"/>
      <c r="NPK20" s="4"/>
      <c r="NPL20" s="4"/>
      <c r="NPM20" s="4"/>
      <c r="NPN20" s="4"/>
      <c r="NPO20" s="4"/>
      <c r="NPP20" s="4"/>
      <c r="NPQ20" s="4"/>
      <c r="NPR20" s="4"/>
      <c r="NPS20" s="4"/>
      <c r="NPT20" s="4"/>
      <c r="NPU20" s="4"/>
      <c r="NPV20" s="4"/>
      <c r="NPW20" s="4"/>
      <c r="NPX20" s="4"/>
      <c r="NPY20" s="4"/>
      <c r="NPZ20" s="4"/>
      <c r="NQA20" s="4"/>
      <c r="NQB20" s="4"/>
      <c r="NQC20" s="4"/>
      <c r="NQD20" s="4"/>
      <c r="NQE20" s="4"/>
      <c r="NQF20" s="4"/>
      <c r="NQG20" s="4"/>
      <c r="NQH20" s="4"/>
      <c r="NQI20" s="4"/>
      <c r="NQJ20" s="4"/>
      <c r="NQK20" s="4"/>
      <c r="NQL20" s="4"/>
      <c r="NQM20" s="4"/>
      <c r="NQN20" s="4"/>
      <c r="NQO20" s="4"/>
      <c r="NQP20" s="4"/>
      <c r="NQQ20" s="4"/>
      <c r="NQR20" s="4"/>
      <c r="NQS20" s="4"/>
      <c r="NQT20" s="4"/>
      <c r="NQU20" s="4"/>
      <c r="NQV20" s="4"/>
      <c r="NQW20" s="4"/>
      <c r="NQX20" s="4"/>
      <c r="NQY20" s="4"/>
      <c r="NQZ20" s="4"/>
      <c r="NRA20" s="4"/>
      <c r="NRB20" s="4"/>
      <c r="NRC20" s="4"/>
      <c r="NRD20" s="4"/>
      <c r="NRE20" s="4"/>
      <c r="NRF20" s="4"/>
      <c r="NRG20" s="4"/>
      <c r="NRH20" s="4"/>
      <c r="NRI20" s="4"/>
      <c r="NRJ20" s="4"/>
      <c r="NRK20" s="4"/>
      <c r="NRL20" s="4"/>
      <c r="NRM20" s="4"/>
      <c r="NRN20" s="4"/>
      <c r="NRO20" s="4"/>
      <c r="NRP20" s="4"/>
      <c r="NRQ20" s="4"/>
      <c r="NRR20" s="4"/>
      <c r="NRS20" s="4"/>
      <c r="NRT20" s="4"/>
      <c r="NRU20" s="4"/>
      <c r="NRV20" s="4"/>
      <c r="NRW20" s="4"/>
      <c r="NRX20" s="4"/>
      <c r="NRY20" s="4"/>
      <c r="NRZ20" s="4"/>
      <c r="NSA20" s="4"/>
      <c r="NSB20" s="4"/>
      <c r="NSC20" s="4"/>
      <c r="NSD20" s="4"/>
      <c r="NSE20" s="4"/>
      <c r="NSF20" s="4"/>
      <c r="NSG20" s="4"/>
      <c r="NSH20" s="4"/>
      <c r="NSI20" s="4"/>
      <c r="NSJ20" s="4"/>
      <c r="NSK20" s="4"/>
      <c r="NSL20" s="4"/>
      <c r="NSM20" s="4"/>
      <c r="NSN20" s="4"/>
      <c r="NSO20" s="4"/>
      <c r="NSP20" s="4"/>
      <c r="NSQ20" s="4"/>
      <c r="NSR20" s="4"/>
      <c r="NSS20" s="4"/>
      <c r="NST20" s="4"/>
      <c r="NSU20" s="4"/>
      <c r="NSV20" s="4"/>
      <c r="NSW20" s="4"/>
      <c r="NSX20" s="4"/>
      <c r="NSY20" s="4"/>
      <c r="NSZ20" s="4"/>
      <c r="NTA20" s="4"/>
      <c r="NTB20" s="4"/>
      <c r="NTC20" s="4"/>
      <c r="NTD20" s="4"/>
      <c r="NTE20" s="4"/>
      <c r="NTF20" s="4"/>
      <c r="NTG20" s="4"/>
      <c r="NTH20" s="4"/>
      <c r="NTI20" s="4"/>
      <c r="NTJ20" s="4"/>
      <c r="NTK20" s="4"/>
      <c r="NTL20" s="4"/>
      <c r="NTM20" s="4"/>
      <c r="NTN20" s="4"/>
      <c r="NTO20" s="4"/>
      <c r="NTP20" s="4"/>
      <c r="NTQ20" s="4"/>
      <c r="NTR20" s="4"/>
      <c r="NTS20" s="4"/>
      <c r="NTT20" s="4"/>
      <c r="NTU20" s="4"/>
      <c r="NTV20" s="4"/>
      <c r="NTW20" s="4"/>
      <c r="NTX20" s="4"/>
      <c r="NTY20" s="4"/>
      <c r="NTZ20" s="4"/>
      <c r="NUA20" s="4"/>
      <c r="NUB20" s="4"/>
      <c r="NUC20" s="4"/>
      <c r="NUD20" s="4"/>
      <c r="NUE20" s="4"/>
      <c r="NUF20" s="4"/>
      <c r="NUG20" s="4"/>
      <c r="NUH20" s="4"/>
      <c r="NUI20" s="4"/>
      <c r="NUJ20" s="4"/>
      <c r="NUK20" s="4"/>
      <c r="NUL20" s="4"/>
      <c r="NUM20" s="4"/>
      <c r="NUN20" s="4"/>
      <c r="NUO20" s="4"/>
      <c r="NUP20" s="4"/>
      <c r="NUQ20" s="4"/>
      <c r="NUR20" s="4"/>
      <c r="NUS20" s="4"/>
      <c r="NUT20" s="4"/>
      <c r="NUU20" s="4"/>
      <c r="NUV20" s="4"/>
      <c r="NUW20" s="4"/>
      <c r="NUX20" s="4"/>
      <c r="NUY20" s="4"/>
      <c r="NUZ20" s="4"/>
      <c r="NVA20" s="4"/>
      <c r="NVB20" s="4"/>
      <c r="NVC20" s="4"/>
      <c r="NVD20" s="4"/>
      <c r="NVE20" s="4"/>
      <c r="NVF20" s="4"/>
      <c r="NVG20" s="4"/>
      <c r="NVH20" s="4"/>
      <c r="NVI20" s="4"/>
      <c r="NVJ20" s="4"/>
      <c r="NVK20" s="4"/>
      <c r="NVL20" s="4"/>
      <c r="NVM20" s="4"/>
      <c r="NVN20" s="4"/>
      <c r="NVO20" s="4"/>
      <c r="NVP20" s="4"/>
      <c r="NVQ20" s="4"/>
      <c r="NVR20" s="4"/>
      <c r="NVS20" s="4"/>
      <c r="NVT20" s="4"/>
      <c r="NVU20" s="4"/>
      <c r="NVV20" s="4"/>
      <c r="NVW20" s="4"/>
      <c r="NVX20" s="4"/>
      <c r="NVY20" s="4"/>
      <c r="NVZ20" s="4"/>
      <c r="NWA20" s="4"/>
      <c r="NWB20" s="4"/>
      <c r="NWC20" s="4"/>
      <c r="NWD20" s="4"/>
      <c r="NWE20" s="4"/>
      <c r="NWF20" s="4"/>
      <c r="NWG20" s="4"/>
      <c r="NWH20" s="4"/>
      <c r="NWI20" s="4"/>
      <c r="NWJ20" s="4"/>
      <c r="NWK20" s="4"/>
      <c r="NWL20" s="4"/>
      <c r="NWM20" s="4"/>
      <c r="NWN20" s="4"/>
      <c r="NWO20" s="4"/>
      <c r="NWP20" s="4"/>
      <c r="NWQ20" s="4"/>
      <c r="NWR20" s="4"/>
      <c r="NWS20" s="4"/>
      <c r="NWT20" s="4"/>
      <c r="NWU20" s="4"/>
      <c r="NWV20" s="4"/>
      <c r="NWW20" s="4"/>
      <c r="NWX20" s="4"/>
      <c r="NWY20" s="4"/>
      <c r="NWZ20" s="4"/>
      <c r="NXA20" s="4"/>
      <c r="NXB20" s="4"/>
      <c r="NXC20" s="4"/>
      <c r="NXD20" s="4"/>
      <c r="NXE20" s="4"/>
      <c r="NXF20" s="4"/>
      <c r="NXG20" s="4"/>
      <c r="NXH20" s="4"/>
      <c r="NXI20" s="4"/>
      <c r="NXJ20" s="4"/>
      <c r="NXK20" s="4"/>
      <c r="NXL20" s="4"/>
      <c r="NXM20" s="4"/>
      <c r="NXN20" s="4"/>
      <c r="NXO20" s="4"/>
      <c r="NXP20" s="4"/>
      <c r="NXQ20" s="4"/>
      <c r="NXR20" s="4"/>
      <c r="NXS20" s="4"/>
      <c r="NXT20" s="4"/>
      <c r="NXU20" s="4"/>
      <c r="NXV20" s="4"/>
      <c r="NXW20" s="4"/>
      <c r="NXX20" s="4"/>
      <c r="NXY20" s="4"/>
      <c r="NXZ20" s="4"/>
      <c r="NYA20" s="4"/>
      <c r="NYB20" s="4"/>
      <c r="NYC20" s="4"/>
      <c r="NYD20" s="4"/>
      <c r="NYE20" s="4"/>
      <c r="NYF20" s="4"/>
      <c r="NYG20" s="4"/>
      <c r="NYH20" s="4"/>
      <c r="NYI20" s="4"/>
      <c r="NYJ20" s="4"/>
      <c r="NYK20" s="4"/>
      <c r="NYL20" s="4"/>
      <c r="NYM20" s="4"/>
      <c r="NYN20" s="4"/>
      <c r="NYO20" s="4"/>
      <c r="NYP20" s="4"/>
      <c r="NYQ20" s="4"/>
      <c r="NYR20" s="4"/>
      <c r="NYS20" s="4"/>
      <c r="NYT20" s="4"/>
      <c r="NYU20" s="4"/>
      <c r="NYV20" s="4"/>
      <c r="NYW20" s="4"/>
      <c r="NYX20" s="4"/>
      <c r="NYY20" s="4"/>
      <c r="NYZ20" s="4"/>
      <c r="NZA20" s="4"/>
      <c r="NZB20" s="4"/>
      <c r="NZC20" s="4"/>
      <c r="NZD20" s="4"/>
      <c r="NZE20" s="4"/>
      <c r="NZF20" s="4"/>
      <c r="NZG20" s="4"/>
      <c r="NZH20" s="4"/>
      <c r="NZI20" s="4"/>
      <c r="NZJ20" s="4"/>
      <c r="NZK20" s="4"/>
      <c r="NZL20" s="4"/>
      <c r="NZM20" s="4"/>
      <c r="NZN20" s="4"/>
      <c r="NZO20" s="4"/>
      <c r="NZP20" s="4"/>
      <c r="NZQ20" s="4"/>
      <c r="NZR20" s="4"/>
      <c r="NZS20" s="4"/>
      <c r="NZT20" s="4"/>
      <c r="NZU20" s="4"/>
      <c r="NZV20" s="4"/>
      <c r="NZW20" s="4"/>
      <c r="NZX20" s="4"/>
      <c r="NZY20" s="4"/>
      <c r="NZZ20" s="4"/>
      <c r="OAA20" s="4"/>
      <c r="OAB20" s="4"/>
      <c r="OAC20" s="4"/>
      <c r="OAD20" s="4"/>
      <c r="OAE20" s="4"/>
      <c r="OAF20" s="4"/>
      <c r="OAG20" s="4"/>
      <c r="OAH20" s="4"/>
      <c r="OAI20" s="4"/>
      <c r="OAJ20" s="4"/>
      <c r="OAK20" s="4"/>
      <c r="OAL20" s="4"/>
      <c r="OAM20" s="4"/>
      <c r="OAN20" s="4"/>
      <c r="OAO20" s="4"/>
      <c r="OAP20" s="4"/>
      <c r="OAQ20" s="4"/>
      <c r="OAR20" s="4"/>
      <c r="OAS20" s="4"/>
      <c r="OAT20" s="4"/>
      <c r="OAU20" s="4"/>
      <c r="OAV20" s="4"/>
      <c r="OAW20" s="4"/>
      <c r="OAX20" s="4"/>
      <c r="OAY20" s="4"/>
      <c r="OAZ20" s="4"/>
      <c r="OBA20" s="4"/>
      <c r="OBB20" s="4"/>
      <c r="OBC20" s="4"/>
      <c r="OBD20" s="4"/>
      <c r="OBE20" s="4"/>
      <c r="OBF20" s="4"/>
      <c r="OBG20" s="4"/>
      <c r="OBH20" s="4"/>
      <c r="OBI20" s="4"/>
      <c r="OBJ20" s="4"/>
      <c r="OBK20" s="4"/>
      <c r="OBL20" s="4"/>
      <c r="OBM20" s="4"/>
      <c r="OBN20" s="4"/>
      <c r="OBO20" s="4"/>
      <c r="OBP20" s="4"/>
      <c r="OBQ20" s="4"/>
      <c r="OBR20" s="4"/>
      <c r="OBS20" s="4"/>
      <c r="OBT20" s="4"/>
      <c r="OBU20" s="4"/>
      <c r="OBV20" s="4"/>
      <c r="OBW20" s="4"/>
      <c r="OBX20" s="4"/>
      <c r="OBY20" s="4"/>
      <c r="OBZ20" s="4"/>
      <c r="OCA20" s="4"/>
      <c r="OCB20" s="4"/>
      <c r="OCC20" s="4"/>
      <c r="OCD20" s="4"/>
      <c r="OCE20" s="4"/>
      <c r="OCF20" s="4"/>
      <c r="OCG20" s="4"/>
      <c r="OCH20" s="4"/>
      <c r="OCI20" s="4"/>
      <c r="OCJ20" s="4"/>
      <c r="OCK20" s="4"/>
      <c r="OCL20" s="4"/>
      <c r="OCM20" s="4"/>
      <c r="OCN20" s="4"/>
      <c r="OCO20" s="4"/>
      <c r="OCP20" s="4"/>
      <c r="OCQ20" s="4"/>
      <c r="OCR20" s="4"/>
      <c r="OCS20" s="4"/>
      <c r="OCT20" s="4"/>
      <c r="OCU20" s="4"/>
      <c r="OCV20" s="4"/>
      <c r="OCW20" s="4"/>
      <c r="OCX20" s="4"/>
      <c r="OCY20" s="4"/>
      <c r="OCZ20" s="4"/>
      <c r="ODA20" s="4"/>
      <c r="ODB20" s="4"/>
      <c r="ODC20" s="4"/>
      <c r="ODD20" s="4"/>
      <c r="ODE20" s="4"/>
      <c r="ODF20" s="4"/>
      <c r="ODG20" s="4"/>
      <c r="ODH20" s="4"/>
      <c r="ODI20" s="4"/>
      <c r="ODJ20" s="4"/>
      <c r="ODK20" s="4"/>
      <c r="ODL20" s="4"/>
      <c r="ODM20" s="4"/>
      <c r="ODN20" s="4"/>
      <c r="ODO20" s="4"/>
      <c r="ODP20" s="4"/>
      <c r="ODQ20" s="4"/>
      <c r="ODR20" s="4"/>
      <c r="ODS20" s="4"/>
      <c r="ODT20" s="4"/>
      <c r="ODU20" s="4"/>
      <c r="ODV20" s="4"/>
      <c r="ODW20" s="4"/>
      <c r="ODX20" s="4"/>
      <c r="ODY20" s="4"/>
      <c r="ODZ20" s="4"/>
      <c r="OEA20" s="4"/>
      <c r="OEB20" s="4"/>
      <c r="OEC20" s="4"/>
      <c r="OED20" s="4"/>
      <c r="OEE20" s="4"/>
      <c r="OEF20" s="4"/>
      <c r="OEG20" s="4"/>
      <c r="OEH20" s="4"/>
      <c r="OEI20" s="4"/>
      <c r="OEJ20" s="4"/>
      <c r="OEK20" s="4"/>
      <c r="OEL20" s="4"/>
      <c r="OEM20" s="4"/>
      <c r="OEN20" s="4"/>
      <c r="OEO20" s="4"/>
      <c r="OEP20" s="4"/>
      <c r="OEQ20" s="4"/>
      <c r="OER20" s="4"/>
      <c r="OES20" s="4"/>
      <c r="OET20" s="4"/>
      <c r="OEU20" s="4"/>
      <c r="OEV20" s="4"/>
      <c r="OEW20" s="4"/>
      <c r="OEX20" s="4"/>
      <c r="OEY20" s="4"/>
      <c r="OEZ20" s="4"/>
      <c r="OFA20" s="4"/>
      <c r="OFB20" s="4"/>
      <c r="OFC20" s="4"/>
      <c r="OFD20" s="4"/>
      <c r="OFE20" s="4"/>
      <c r="OFF20" s="4"/>
      <c r="OFG20" s="4"/>
      <c r="OFH20" s="4"/>
      <c r="OFI20" s="4"/>
      <c r="OFJ20" s="4"/>
      <c r="OFK20" s="4"/>
      <c r="OFL20" s="4"/>
      <c r="OFM20" s="4"/>
      <c r="OFN20" s="4"/>
      <c r="OFO20" s="4"/>
      <c r="OFP20" s="4"/>
      <c r="OFQ20" s="4"/>
      <c r="OFR20" s="4"/>
      <c r="OFS20" s="4"/>
      <c r="OFT20" s="4"/>
      <c r="OFU20" s="4"/>
      <c r="OFV20" s="4"/>
      <c r="OFW20" s="4"/>
      <c r="OFX20" s="4"/>
      <c r="OFY20" s="4"/>
      <c r="OFZ20" s="4"/>
      <c r="OGA20" s="4"/>
      <c r="OGB20" s="4"/>
      <c r="OGC20" s="4"/>
      <c r="OGD20" s="4"/>
      <c r="OGE20" s="4"/>
      <c r="OGF20" s="4"/>
      <c r="OGG20" s="4"/>
      <c r="OGH20" s="4"/>
      <c r="OGI20" s="4"/>
      <c r="OGJ20" s="4"/>
      <c r="OGK20" s="4"/>
      <c r="OGL20" s="4"/>
      <c r="OGM20" s="4"/>
      <c r="OGN20" s="4"/>
      <c r="OGO20" s="4"/>
      <c r="OGP20" s="4"/>
      <c r="OGQ20" s="4"/>
      <c r="OGR20" s="4"/>
      <c r="OGS20" s="4"/>
      <c r="OGT20" s="4"/>
      <c r="OGU20" s="4"/>
      <c r="OGV20" s="4"/>
      <c r="OGW20" s="4"/>
      <c r="OGX20" s="4"/>
      <c r="OGY20" s="4"/>
      <c r="OGZ20" s="4"/>
      <c r="OHA20" s="4"/>
      <c r="OHB20" s="4"/>
      <c r="OHC20" s="4"/>
      <c r="OHD20" s="4"/>
      <c r="OHE20" s="4"/>
      <c r="OHF20" s="4"/>
      <c r="OHG20" s="4"/>
      <c r="OHH20" s="4"/>
      <c r="OHI20" s="4"/>
      <c r="OHJ20" s="4"/>
      <c r="OHK20" s="4"/>
      <c r="OHL20" s="4"/>
      <c r="OHM20" s="4"/>
      <c r="OHN20" s="4"/>
      <c r="OHO20" s="4"/>
      <c r="OHP20" s="4"/>
      <c r="OHQ20" s="4"/>
      <c r="OHR20" s="4"/>
      <c r="OHS20" s="4"/>
      <c r="OHT20" s="4"/>
      <c r="OHU20" s="4"/>
      <c r="OHV20" s="4"/>
      <c r="OHW20" s="4"/>
      <c r="OHX20" s="4"/>
      <c r="OHY20" s="4"/>
      <c r="OHZ20" s="4"/>
      <c r="OIA20" s="4"/>
      <c r="OIB20" s="4"/>
      <c r="OIC20" s="4"/>
      <c r="OID20" s="4"/>
      <c r="OIE20" s="4"/>
      <c r="OIF20" s="4"/>
      <c r="OIG20" s="4"/>
      <c r="OIH20" s="4"/>
      <c r="OII20" s="4"/>
      <c r="OIJ20" s="4"/>
      <c r="OIK20" s="4"/>
      <c r="OIL20" s="4"/>
      <c r="OIM20" s="4"/>
      <c r="OIN20" s="4"/>
      <c r="OIO20" s="4"/>
      <c r="OIP20" s="4"/>
      <c r="OIQ20" s="4"/>
      <c r="OIR20" s="4"/>
      <c r="OIS20" s="4"/>
      <c r="OIT20" s="4"/>
      <c r="OIU20" s="4"/>
      <c r="OIV20" s="4"/>
      <c r="OIW20" s="4"/>
      <c r="OIX20" s="4"/>
      <c r="OIY20" s="4"/>
      <c r="OIZ20" s="4"/>
      <c r="OJA20" s="4"/>
      <c r="OJB20" s="4"/>
      <c r="OJC20" s="4"/>
      <c r="OJD20" s="4"/>
      <c r="OJE20" s="4"/>
      <c r="OJF20" s="4"/>
      <c r="OJG20" s="4"/>
      <c r="OJH20" s="4"/>
      <c r="OJI20" s="4"/>
      <c r="OJJ20" s="4"/>
      <c r="OJK20" s="4"/>
      <c r="OJL20" s="4"/>
      <c r="OJM20" s="4"/>
      <c r="OJN20" s="4"/>
      <c r="OJO20" s="4"/>
      <c r="OJP20" s="4"/>
      <c r="OJQ20" s="4"/>
      <c r="OJR20" s="4"/>
      <c r="OJS20" s="4"/>
      <c r="OJT20" s="4"/>
      <c r="OJU20" s="4"/>
      <c r="OJV20" s="4"/>
      <c r="OJW20" s="4"/>
      <c r="OJX20" s="4"/>
      <c r="OJY20" s="4"/>
      <c r="OJZ20" s="4"/>
      <c r="OKA20" s="4"/>
      <c r="OKB20" s="4"/>
      <c r="OKC20" s="4"/>
      <c r="OKD20" s="4"/>
      <c r="OKE20" s="4"/>
      <c r="OKF20" s="4"/>
      <c r="OKG20" s="4"/>
      <c r="OKH20" s="4"/>
      <c r="OKI20" s="4"/>
      <c r="OKJ20" s="4"/>
      <c r="OKK20" s="4"/>
      <c r="OKL20" s="4"/>
      <c r="OKM20" s="4"/>
      <c r="OKN20" s="4"/>
      <c r="OKO20" s="4"/>
      <c r="OKP20" s="4"/>
      <c r="OKQ20" s="4"/>
      <c r="OKR20" s="4"/>
      <c r="OKS20" s="4"/>
      <c r="OKT20" s="4"/>
      <c r="OKU20" s="4"/>
      <c r="OKV20" s="4"/>
      <c r="OKW20" s="4"/>
      <c r="OKX20" s="4"/>
      <c r="OKY20" s="4"/>
      <c r="OKZ20" s="4"/>
      <c r="OLA20" s="4"/>
      <c r="OLB20" s="4"/>
      <c r="OLC20" s="4"/>
      <c r="OLD20" s="4"/>
      <c r="OLE20" s="4"/>
      <c r="OLF20" s="4"/>
      <c r="OLG20" s="4"/>
      <c r="OLH20" s="4"/>
      <c r="OLI20" s="4"/>
      <c r="OLJ20" s="4"/>
      <c r="OLK20" s="4"/>
      <c r="OLL20" s="4"/>
      <c r="OLM20" s="4"/>
      <c r="OLN20" s="4"/>
      <c r="OLO20" s="4"/>
      <c r="OLP20" s="4"/>
      <c r="OLQ20" s="4"/>
      <c r="OLR20" s="4"/>
      <c r="OLS20" s="4"/>
      <c r="OLT20" s="4"/>
      <c r="OLU20" s="4"/>
      <c r="OLV20" s="4"/>
      <c r="OLW20" s="4"/>
      <c r="OLX20" s="4"/>
      <c r="OLY20" s="4"/>
      <c r="OLZ20" s="4"/>
      <c r="OMA20" s="4"/>
      <c r="OMB20" s="4"/>
      <c r="OMC20" s="4"/>
      <c r="OMD20" s="4"/>
      <c r="OME20" s="4"/>
      <c r="OMF20" s="4"/>
      <c r="OMG20" s="4"/>
      <c r="OMH20" s="4"/>
      <c r="OMI20" s="4"/>
      <c r="OMJ20" s="4"/>
      <c r="OMK20" s="4"/>
      <c r="OML20" s="4"/>
      <c r="OMM20" s="4"/>
      <c r="OMN20" s="4"/>
      <c r="OMO20" s="4"/>
      <c r="OMP20" s="4"/>
      <c r="OMQ20" s="4"/>
      <c r="OMR20" s="4"/>
      <c r="OMS20" s="4"/>
      <c r="OMT20" s="4"/>
      <c r="OMU20" s="4"/>
      <c r="OMV20" s="4"/>
      <c r="OMW20" s="4"/>
      <c r="OMX20" s="4"/>
      <c r="OMY20" s="4"/>
      <c r="OMZ20" s="4"/>
      <c r="ONA20" s="4"/>
      <c r="ONB20" s="4"/>
      <c r="ONC20" s="4"/>
      <c r="OND20" s="4"/>
      <c r="ONE20" s="4"/>
      <c r="ONF20" s="4"/>
      <c r="ONG20" s="4"/>
      <c r="ONH20" s="4"/>
      <c r="ONI20" s="4"/>
      <c r="ONJ20" s="4"/>
      <c r="ONK20" s="4"/>
      <c r="ONL20" s="4"/>
      <c r="ONM20" s="4"/>
      <c r="ONN20" s="4"/>
      <c r="ONO20" s="4"/>
      <c r="ONP20" s="4"/>
      <c r="ONQ20" s="4"/>
      <c r="ONR20" s="4"/>
      <c r="ONS20" s="4"/>
      <c r="ONT20" s="4"/>
      <c r="ONU20" s="4"/>
      <c r="ONV20" s="4"/>
      <c r="ONW20" s="4"/>
      <c r="ONX20" s="4"/>
      <c r="ONY20" s="4"/>
      <c r="ONZ20" s="4"/>
      <c r="OOA20" s="4"/>
      <c r="OOB20" s="4"/>
      <c r="OOC20" s="4"/>
      <c r="OOD20" s="4"/>
      <c r="OOE20" s="4"/>
      <c r="OOF20" s="4"/>
      <c r="OOG20" s="4"/>
      <c r="OOH20" s="4"/>
      <c r="OOI20" s="4"/>
      <c r="OOJ20" s="4"/>
      <c r="OOK20" s="4"/>
      <c r="OOL20" s="4"/>
      <c r="OOM20" s="4"/>
      <c r="OON20" s="4"/>
      <c r="OOO20" s="4"/>
      <c r="OOP20" s="4"/>
      <c r="OOQ20" s="4"/>
      <c r="OOR20" s="4"/>
      <c r="OOS20" s="4"/>
      <c r="OOT20" s="4"/>
      <c r="OOU20" s="4"/>
      <c r="OOV20" s="4"/>
      <c r="OOW20" s="4"/>
      <c r="OOX20" s="4"/>
      <c r="OOY20" s="4"/>
      <c r="OOZ20" s="4"/>
      <c r="OPA20" s="4"/>
      <c r="OPB20" s="4"/>
      <c r="OPC20" s="4"/>
      <c r="OPD20" s="4"/>
      <c r="OPE20" s="4"/>
      <c r="OPF20" s="4"/>
      <c r="OPG20" s="4"/>
      <c r="OPH20" s="4"/>
      <c r="OPI20" s="4"/>
      <c r="OPJ20" s="4"/>
      <c r="OPK20" s="4"/>
      <c r="OPL20" s="4"/>
      <c r="OPM20" s="4"/>
      <c r="OPN20" s="4"/>
      <c r="OPO20" s="4"/>
      <c r="OPP20" s="4"/>
      <c r="OPQ20" s="4"/>
      <c r="OPR20" s="4"/>
      <c r="OPS20" s="4"/>
      <c r="OPT20" s="4"/>
      <c r="OPU20" s="4"/>
      <c r="OPV20" s="4"/>
      <c r="OPW20" s="4"/>
      <c r="OPX20" s="4"/>
      <c r="OPY20" s="4"/>
      <c r="OPZ20" s="4"/>
      <c r="OQA20" s="4"/>
      <c r="OQB20" s="4"/>
      <c r="OQC20" s="4"/>
      <c r="OQD20" s="4"/>
      <c r="OQE20" s="4"/>
      <c r="OQF20" s="4"/>
      <c r="OQG20" s="4"/>
      <c r="OQH20" s="4"/>
      <c r="OQI20" s="4"/>
      <c r="OQJ20" s="4"/>
      <c r="OQK20" s="4"/>
      <c r="OQL20" s="4"/>
      <c r="OQM20" s="4"/>
      <c r="OQN20" s="4"/>
      <c r="OQO20" s="4"/>
      <c r="OQP20" s="4"/>
      <c r="OQQ20" s="4"/>
      <c r="OQR20" s="4"/>
      <c r="OQS20" s="4"/>
      <c r="OQT20" s="4"/>
      <c r="OQU20" s="4"/>
      <c r="OQV20" s="4"/>
      <c r="OQW20" s="4"/>
      <c r="OQX20" s="4"/>
      <c r="OQY20" s="4"/>
      <c r="OQZ20" s="4"/>
      <c r="ORA20" s="4"/>
      <c r="ORB20" s="4"/>
      <c r="ORC20" s="4"/>
      <c r="ORD20" s="4"/>
      <c r="ORE20" s="4"/>
      <c r="ORF20" s="4"/>
      <c r="ORG20" s="4"/>
      <c r="ORH20" s="4"/>
      <c r="ORI20" s="4"/>
      <c r="ORJ20" s="4"/>
      <c r="ORK20" s="4"/>
      <c r="ORL20" s="4"/>
      <c r="ORM20" s="4"/>
      <c r="ORN20" s="4"/>
      <c r="ORO20" s="4"/>
      <c r="ORP20" s="4"/>
      <c r="ORQ20" s="4"/>
      <c r="ORR20" s="4"/>
      <c r="ORS20" s="4"/>
      <c r="ORT20" s="4"/>
      <c r="ORU20" s="4"/>
      <c r="ORV20" s="4"/>
      <c r="ORW20" s="4"/>
      <c r="ORX20" s="4"/>
      <c r="ORY20" s="4"/>
      <c r="ORZ20" s="4"/>
      <c r="OSA20" s="4"/>
      <c r="OSB20" s="4"/>
      <c r="OSC20" s="4"/>
      <c r="OSD20" s="4"/>
      <c r="OSE20" s="4"/>
      <c r="OSF20" s="4"/>
      <c r="OSG20" s="4"/>
      <c r="OSH20" s="4"/>
      <c r="OSI20" s="4"/>
      <c r="OSJ20" s="4"/>
      <c r="OSK20" s="4"/>
      <c r="OSL20" s="4"/>
      <c r="OSM20" s="4"/>
      <c r="OSN20" s="4"/>
      <c r="OSO20" s="4"/>
      <c r="OSP20" s="4"/>
      <c r="OSQ20" s="4"/>
      <c r="OSR20" s="4"/>
      <c r="OSS20" s="4"/>
      <c r="OST20" s="4"/>
      <c r="OSU20" s="4"/>
      <c r="OSV20" s="4"/>
      <c r="OSW20" s="4"/>
      <c r="OSX20" s="4"/>
      <c r="OSY20" s="4"/>
      <c r="OSZ20" s="4"/>
      <c r="OTA20" s="4"/>
      <c r="OTB20" s="4"/>
      <c r="OTC20" s="4"/>
      <c r="OTD20" s="4"/>
      <c r="OTE20" s="4"/>
      <c r="OTF20" s="4"/>
      <c r="OTG20" s="4"/>
      <c r="OTH20" s="4"/>
      <c r="OTI20" s="4"/>
      <c r="OTJ20" s="4"/>
      <c r="OTK20" s="4"/>
      <c r="OTL20" s="4"/>
      <c r="OTM20" s="4"/>
      <c r="OTN20" s="4"/>
      <c r="OTO20" s="4"/>
      <c r="OTP20" s="4"/>
      <c r="OTQ20" s="4"/>
      <c r="OTR20" s="4"/>
      <c r="OTS20" s="4"/>
      <c r="OTT20" s="4"/>
      <c r="OTU20" s="4"/>
      <c r="OTV20" s="4"/>
      <c r="OTW20" s="4"/>
      <c r="OTX20" s="4"/>
      <c r="OTY20" s="4"/>
      <c r="OTZ20" s="4"/>
      <c r="OUA20" s="4"/>
      <c r="OUB20" s="4"/>
      <c r="OUC20" s="4"/>
      <c r="OUD20" s="4"/>
      <c r="OUE20" s="4"/>
      <c r="OUF20" s="4"/>
      <c r="OUG20" s="4"/>
      <c r="OUH20" s="4"/>
      <c r="OUI20" s="4"/>
      <c r="OUJ20" s="4"/>
      <c r="OUK20" s="4"/>
      <c r="OUL20" s="4"/>
      <c r="OUM20" s="4"/>
      <c r="OUN20" s="4"/>
      <c r="OUO20" s="4"/>
      <c r="OUP20" s="4"/>
      <c r="OUQ20" s="4"/>
      <c r="OUR20" s="4"/>
      <c r="OUS20" s="4"/>
      <c r="OUT20" s="4"/>
      <c r="OUU20" s="4"/>
      <c r="OUV20" s="4"/>
      <c r="OUW20" s="4"/>
      <c r="OUX20" s="4"/>
      <c r="OUY20" s="4"/>
      <c r="OUZ20" s="4"/>
      <c r="OVA20" s="4"/>
      <c r="OVB20" s="4"/>
      <c r="OVC20" s="4"/>
      <c r="OVD20" s="4"/>
      <c r="OVE20" s="4"/>
      <c r="OVF20" s="4"/>
      <c r="OVG20" s="4"/>
      <c r="OVH20" s="4"/>
      <c r="OVI20" s="4"/>
      <c r="OVJ20" s="4"/>
      <c r="OVK20" s="4"/>
      <c r="OVL20" s="4"/>
      <c r="OVM20" s="4"/>
      <c r="OVN20" s="4"/>
      <c r="OVO20" s="4"/>
      <c r="OVP20" s="4"/>
      <c r="OVQ20" s="4"/>
      <c r="OVR20" s="4"/>
      <c r="OVS20" s="4"/>
      <c r="OVT20" s="4"/>
      <c r="OVU20" s="4"/>
      <c r="OVV20" s="4"/>
      <c r="OVW20" s="4"/>
      <c r="OVX20" s="4"/>
      <c r="OVY20" s="4"/>
      <c r="OVZ20" s="4"/>
      <c r="OWA20" s="4"/>
      <c r="OWB20" s="4"/>
      <c r="OWC20" s="4"/>
      <c r="OWD20" s="4"/>
      <c r="OWE20" s="4"/>
      <c r="OWF20" s="4"/>
      <c r="OWG20" s="4"/>
      <c r="OWH20" s="4"/>
      <c r="OWI20" s="4"/>
      <c r="OWJ20" s="4"/>
      <c r="OWK20" s="4"/>
      <c r="OWL20" s="4"/>
      <c r="OWM20" s="4"/>
      <c r="OWN20" s="4"/>
      <c r="OWO20" s="4"/>
      <c r="OWP20" s="4"/>
      <c r="OWQ20" s="4"/>
      <c r="OWR20" s="4"/>
      <c r="OWS20" s="4"/>
      <c r="OWT20" s="4"/>
      <c r="OWU20" s="4"/>
      <c r="OWV20" s="4"/>
      <c r="OWW20" s="4"/>
      <c r="OWX20" s="4"/>
      <c r="OWY20" s="4"/>
      <c r="OWZ20" s="4"/>
      <c r="OXA20" s="4"/>
      <c r="OXB20" s="4"/>
      <c r="OXC20" s="4"/>
      <c r="OXD20" s="4"/>
      <c r="OXE20" s="4"/>
      <c r="OXF20" s="4"/>
      <c r="OXG20" s="4"/>
      <c r="OXH20" s="4"/>
      <c r="OXI20" s="4"/>
      <c r="OXJ20" s="4"/>
      <c r="OXK20" s="4"/>
      <c r="OXL20" s="4"/>
      <c r="OXM20" s="4"/>
      <c r="OXN20" s="4"/>
      <c r="OXO20" s="4"/>
      <c r="OXP20" s="4"/>
      <c r="OXQ20" s="4"/>
      <c r="OXR20" s="4"/>
      <c r="OXS20" s="4"/>
      <c r="OXT20" s="4"/>
      <c r="OXU20" s="4"/>
      <c r="OXV20" s="4"/>
      <c r="OXW20" s="4"/>
      <c r="OXX20" s="4"/>
      <c r="OXY20" s="4"/>
      <c r="OXZ20" s="4"/>
      <c r="OYA20" s="4"/>
      <c r="OYB20" s="4"/>
      <c r="OYC20" s="4"/>
      <c r="OYD20" s="4"/>
      <c r="OYE20" s="4"/>
      <c r="OYF20" s="4"/>
      <c r="OYG20" s="4"/>
      <c r="OYH20" s="4"/>
      <c r="OYI20" s="4"/>
      <c r="OYJ20" s="4"/>
      <c r="OYK20" s="4"/>
      <c r="OYL20" s="4"/>
      <c r="OYM20" s="4"/>
      <c r="OYN20" s="4"/>
      <c r="OYO20" s="4"/>
      <c r="OYP20" s="4"/>
      <c r="OYQ20" s="4"/>
      <c r="OYR20" s="4"/>
      <c r="OYS20" s="4"/>
      <c r="OYT20" s="4"/>
      <c r="OYU20" s="4"/>
      <c r="OYV20" s="4"/>
      <c r="OYW20" s="4"/>
      <c r="OYX20" s="4"/>
      <c r="OYY20" s="4"/>
      <c r="OYZ20" s="4"/>
      <c r="OZA20" s="4"/>
      <c r="OZB20" s="4"/>
      <c r="OZC20" s="4"/>
      <c r="OZD20" s="4"/>
      <c r="OZE20" s="4"/>
      <c r="OZF20" s="4"/>
      <c r="OZG20" s="4"/>
      <c r="OZH20" s="4"/>
      <c r="OZI20" s="4"/>
      <c r="OZJ20" s="4"/>
      <c r="OZK20" s="4"/>
      <c r="OZL20" s="4"/>
      <c r="OZM20" s="4"/>
      <c r="OZN20" s="4"/>
      <c r="OZO20" s="4"/>
      <c r="OZP20" s="4"/>
      <c r="OZQ20" s="4"/>
      <c r="OZR20" s="4"/>
      <c r="OZS20" s="4"/>
      <c r="OZT20" s="4"/>
      <c r="OZU20" s="4"/>
      <c r="OZV20" s="4"/>
      <c r="OZW20" s="4"/>
      <c r="OZX20" s="4"/>
      <c r="OZY20" s="4"/>
      <c r="OZZ20" s="4"/>
      <c r="PAA20" s="4"/>
      <c r="PAB20" s="4"/>
      <c r="PAC20" s="4"/>
      <c r="PAD20" s="4"/>
      <c r="PAE20" s="4"/>
      <c r="PAF20" s="4"/>
      <c r="PAG20" s="4"/>
      <c r="PAH20" s="4"/>
      <c r="PAI20" s="4"/>
      <c r="PAJ20" s="4"/>
      <c r="PAK20" s="4"/>
      <c r="PAL20" s="4"/>
      <c r="PAM20" s="4"/>
      <c r="PAN20" s="4"/>
      <c r="PAO20" s="4"/>
      <c r="PAP20" s="4"/>
      <c r="PAQ20" s="4"/>
      <c r="PAR20" s="4"/>
      <c r="PAS20" s="4"/>
      <c r="PAT20" s="4"/>
      <c r="PAU20" s="4"/>
      <c r="PAV20" s="4"/>
      <c r="PAW20" s="4"/>
      <c r="PAX20" s="4"/>
      <c r="PAY20" s="4"/>
      <c r="PAZ20" s="4"/>
      <c r="PBA20" s="4"/>
      <c r="PBB20" s="4"/>
      <c r="PBC20" s="4"/>
      <c r="PBD20" s="4"/>
      <c r="PBE20" s="4"/>
      <c r="PBF20" s="4"/>
      <c r="PBG20" s="4"/>
      <c r="PBH20" s="4"/>
      <c r="PBI20" s="4"/>
      <c r="PBJ20" s="4"/>
      <c r="PBK20" s="4"/>
      <c r="PBL20" s="4"/>
      <c r="PBM20" s="4"/>
      <c r="PBN20" s="4"/>
      <c r="PBO20" s="4"/>
      <c r="PBP20" s="4"/>
      <c r="PBQ20" s="4"/>
      <c r="PBR20" s="4"/>
      <c r="PBS20" s="4"/>
      <c r="PBT20" s="4"/>
      <c r="PBU20" s="4"/>
      <c r="PBV20" s="4"/>
      <c r="PBW20" s="4"/>
      <c r="PBX20" s="4"/>
      <c r="PBY20" s="4"/>
      <c r="PBZ20" s="4"/>
      <c r="PCA20" s="4"/>
      <c r="PCB20" s="4"/>
      <c r="PCC20" s="4"/>
      <c r="PCD20" s="4"/>
      <c r="PCE20" s="4"/>
      <c r="PCF20" s="4"/>
      <c r="PCG20" s="4"/>
      <c r="PCH20" s="4"/>
      <c r="PCI20" s="4"/>
      <c r="PCJ20" s="4"/>
      <c r="PCK20" s="4"/>
      <c r="PCL20" s="4"/>
      <c r="PCM20" s="4"/>
      <c r="PCN20" s="4"/>
      <c r="PCO20" s="4"/>
      <c r="PCP20" s="4"/>
      <c r="PCQ20" s="4"/>
      <c r="PCR20" s="4"/>
      <c r="PCS20" s="4"/>
      <c r="PCT20" s="4"/>
      <c r="PCU20" s="4"/>
      <c r="PCV20" s="4"/>
      <c r="PCW20" s="4"/>
      <c r="PCX20" s="4"/>
      <c r="PCY20" s="4"/>
      <c r="PCZ20" s="4"/>
      <c r="PDA20" s="4"/>
      <c r="PDB20" s="4"/>
      <c r="PDC20" s="4"/>
      <c r="PDD20" s="4"/>
      <c r="PDE20" s="4"/>
      <c r="PDF20" s="4"/>
      <c r="PDG20" s="4"/>
      <c r="PDH20" s="4"/>
      <c r="PDI20" s="4"/>
      <c r="PDJ20" s="4"/>
      <c r="PDK20" s="4"/>
      <c r="PDL20" s="4"/>
      <c r="PDM20" s="4"/>
      <c r="PDN20" s="4"/>
      <c r="PDO20" s="4"/>
      <c r="PDP20" s="4"/>
      <c r="PDQ20" s="4"/>
      <c r="PDR20" s="4"/>
      <c r="PDS20" s="4"/>
      <c r="PDT20" s="4"/>
      <c r="PDU20" s="4"/>
      <c r="PDV20" s="4"/>
      <c r="PDW20" s="4"/>
      <c r="PDX20" s="4"/>
      <c r="PDY20" s="4"/>
      <c r="PDZ20" s="4"/>
      <c r="PEA20" s="4"/>
      <c r="PEB20" s="4"/>
      <c r="PEC20" s="4"/>
      <c r="PED20" s="4"/>
      <c r="PEE20" s="4"/>
      <c r="PEF20" s="4"/>
      <c r="PEG20" s="4"/>
      <c r="PEH20" s="4"/>
      <c r="PEI20" s="4"/>
      <c r="PEJ20" s="4"/>
      <c r="PEK20" s="4"/>
      <c r="PEL20" s="4"/>
      <c r="PEM20" s="4"/>
      <c r="PEN20" s="4"/>
      <c r="PEO20" s="4"/>
      <c r="PEP20" s="4"/>
      <c r="PEQ20" s="4"/>
      <c r="PER20" s="4"/>
      <c r="PES20" s="4"/>
      <c r="PET20" s="4"/>
      <c r="PEU20" s="4"/>
      <c r="PEV20" s="4"/>
      <c r="PEW20" s="4"/>
      <c r="PEX20" s="4"/>
      <c r="PEY20" s="4"/>
      <c r="PEZ20" s="4"/>
      <c r="PFA20" s="4"/>
      <c r="PFB20" s="4"/>
      <c r="PFC20" s="4"/>
      <c r="PFD20" s="4"/>
      <c r="PFE20" s="4"/>
      <c r="PFF20" s="4"/>
      <c r="PFG20" s="4"/>
      <c r="PFH20" s="4"/>
      <c r="PFI20" s="4"/>
      <c r="PFJ20" s="4"/>
      <c r="PFK20" s="4"/>
      <c r="PFL20" s="4"/>
      <c r="PFM20" s="4"/>
      <c r="PFN20" s="4"/>
      <c r="PFO20" s="4"/>
      <c r="PFP20" s="4"/>
      <c r="PFQ20" s="4"/>
      <c r="PFR20" s="4"/>
      <c r="PFS20" s="4"/>
      <c r="PFT20" s="4"/>
      <c r="PFU20" s="4"/>
      <c r="PFV20" s="4"/>
      <c r="PFW20" s="4"/>
      <c r="PFX20" s="4"/>
      <c r="PFY20" s="4"/>
      <c r="PFZ20" s="4"/>
      <c r="PGA20" s="4"/>
      <c r="PGB20" s="4"/>
      <c r="PGC20" s="4"/>
      <c r="PGD20" s="4"/>
      <c r="PGE20" s="4"/>
      <c r="PGF20" s="4"/>
      <c r="PGG20" s="4"/>
      <c r="PGH20" s="4"/>
      <c r="PGI20" s="4"/>
      <c r="PGJ20" s="4"/>
      <c r="PGK20" s="4"/>
      <c r="PGL20" s="4"/>
      <c r="PGM20" s="4"/>
      <c r="PGN20" s="4"/>
      <c r="PGO20" s="4"/>
      <c r="PGP20" s="4"/>
      <c r="PGQ20" s="4"/>
      <c r="PGR20" s="4"/>
      <c r="PGS20" s="4"/>
      <c r="PGT20" s="4"/>
      <c r="PGU20" s="4"/>
      <c r="PGV20" s="4"/>
      <c r="PGW20" s="4"/>
      <c r="PGX20" s="4"/>
      <c r="PGY20" s="4"/>
      <c r="PGZ20" s="4"/>
      <c r="PHA20" s="4"/>
      <c r="PHB20" s="4"/>
      <c r="PHC20" s="4"/>
      <c r="PHD20" s="4"/>
      <c r="PHE20" s="4"/>
      <c r="PHF20" s="4"/>
      <c r="PHG20" s="4"/>
      <c r="PHH20" s="4"/>
      <c r="PHI20" s="4"/>
      <c r="PHJ20" s="4"/>
      <c r="PHK20" s="4"/>
      <c r="PHL20" s="4"/>
      <c r="PHM20" s="4"/>
      <c r="PHN20" s="4"/>
      <c r="PHO20" s="4"/>
      <c r="PHP20" s="4"/>
      <c r="PHQ20" s="4"/>
      <c r="PHR20" s="4"/>
      <c r="PHS20" s="4"/>
      <c r="PHT20" s="4"/>
      <c r="PHU20" s="4"/>
      <c r="PHV20" s="4"/>
      <c r="PHW20" s="4"/>
      <c r="PHX20" s="4"/>
      <c r="PHY20" s="4"/>
      <c r="PHZ20" s="4"/>
      <c r="PIA20" s="4"/>
      <c r="PIB20" s="4"/>
      <c r="PIC20" s="4"/>
      <c r="PID20" s="4"/>
      <c r="PIE20" s="4"/>
      <c r="PIF20" s="4"/>
      <c r="PIG20" s="4"/>
      <c r="PIH20" s="4"/>
      <c r="PII20" s="4"/>
      <c r="PIJ20" s="4"/>
      <c r="PIK20" s="4"/>
      <c r="PIL20" s="4"/>
      <c r="PIM20" s="4"/>
      <c r="PIN20" s="4"/>
      <c r="PIO20" s="4"/>
      <c r="PIP20" s="4"/>
      <c r="PIQ20" s="4"/>
      <c r="PIR20" s="4"/>
      <c r="PIS20" s="4"/>
      <c r="PIT20" s="4"/>
      <c r="PIU20" s="4"/>
      <c r="PIV20" s="4"/>
      <c r="PIW20" s="4"/>
      <c r="PIX20" s="4"/>
      <c r="PIY20" s="4"/>
      <c r="PIZ20" s="4"/>
      <c r="PJA20" s="4"/>
      <c r="PJB20" s="4"/>
      <c r="PJC20" s="4"/>
      <c r="PJD20" s="4"/>
      <c r="PJE20" s="4"/>
      <c r="PJF20" s="4"/>
      <c r="PJG20" s="4"/>
      <c r="PJH20" s="4"/>
      <c r="PJI20" s="4"/>
      <c r="PJJ20" s="4"/>
      <c r="PJK20" s="4"/>
      <c r="PJL20" s="4"/>
      <c r="PJM20" s="4"/>
      <c r="PJN20" s="4"/>
      <c r="PJO20" s="4"/>
      <c r="PJP20" s="4"/>
      <c r="PJQ20" s="4"/>
      <c r="PJR20" s="4"/>
      <c r="PJS20" s="4"/>
      <c r="PJT20" s="4"/>
      <c r="PJU20" s="4"/>
      <c r="PJV20" s="4"/>
      <c r="PJW20" s="4"/>
      <c r="PJX20" s="4"/>
      <c r="PJY20" s="4"/>
      <c r="PJZ20" s="4"/>
      <c r="PKA20" s="4"/>
      <c r="PKB20" s="4"/>
      <c r="PKC20" s="4"/>
      <c r="PKD20" s="4"/>
      <c r="PKE20" s="4"/>
      <c r="PKF20" s="4"/>
      <c r="PKG20" s="4"/>
      <c r="PKH20" s="4"/>
      <c r="PKI20" s="4"/>
      <c r="PKJ20" s="4"/>
      <c r="PKK20" s="4"/>
      <c r="PKL20" s="4"/>
      <c r="PKM20" s="4"/>
      <c r="PKN20" s="4"/>
      <c r="PKO20" s="4"/>
      <c r="PKP20" s="4"/>
      <c r="PKQ20" s="4"/>
      <c r="PKR20" s="4"/>
      <c r="PKS20" s="4"/>
      <c r="PKT20" s="4"/>
      <c r="PKU20" s="4"/>
      <c r="PKV20" s="4"/>
      <c r="PKW20" s="4"/>
      <c r="PKX20" s="4"/>
      <c r="PKY20" s="4"/>
      <c r="PKZ20" s="4"/>
      <c r="PLA20" s="4"/>
      <c r="PLB20" s="4"/>
      <c r="PLC20" s="4"/>
      <c r="PLD20" s="4"/>
      <c r="PLE20" s="4"/>
      <c r="PLF20" s="4"/>
      <c r="PLG20" s="4"/>
      <c r="PLH20" s="4"/>
      <c r="PLI20" s="4"/>
      <c r="PLJ20" s="4"/>
      <c r="PLK20" s="4"/>
      <c r="PLL20" s="4"/>
      <c r="PLM20" s="4"/>
      <c r="PLN20" s="4"/>
      <c r="PLO20" s="4"/>
      <c r="PLP20" s="4"/>
      <c r="PLQ20" s="4"/>
      <c r="PLR20" s="4"/>
      <c r="PLS20" s="4"/>
      <c r="PLT20" s="4"/>
      <c r="PLU20" s="4"/>
      <c r="PLV20" s="4"/>
      <c r="PLW20" s="4"/>
      <c r="PLX20" s="4"/>
      <c r="PLY20" s="4"/>
      <c r="PLZ20" s="4"/>
      <c r="PMA20" s="4"/>
      <c r="PMB20" s="4"/>
      <c r="PMC20" s="4"/>
      <c r="PMD20" s="4"/>
      <c r="PME20" s="4"/>
      <c r="PMF20" s="4"/>
      <c r="PMG20" s="4"/>
      <c r="PMH20" s="4"/>
      <c r="PMI20" s="4"/>
      <c r="PMJ20" s="4"/>
      <c r="PMK20" s="4"/>
      <c r="PML20" s="4"/>
      <c r="PMM20" s="4"/>
      <c r="PMN20" s="4"/>
      <c r="PMO20" s="4"/>
      <c r="PMP20" s="4"/>
      <c r="PMQ20" s="4"/>
      <c r="PMR20" s="4"/>
      <c r="PMS20" s="4"/>
      <c r="PMT20" s="4"/>
      <c r="PMU20" s="4"/>
      <c r="PMV20" s="4"/>
      <c r="PMW20" s="4"/>
      <c r="PMX20" s="4"/>
      <c r="PMY20" s="4"/>
      <c r="PMZ20" s="4"/>
      <c r="PNA20" s="4"/>
      <c r="PNB20" s="4"/>
      <c r="PNC20" s="4"/>
      <c r="PND20" s="4"/>
      <c r="PNE20" s="4"/>
      <c r="PNF20" s="4"/>
      <c r="PNG20" s="4"/>
      <c r="PNH20" s="4"/>
      <c r="PNI20" s="4"/>
      <c r="PNJ20" s="4"/>
      <c r="PNK20" s="4"/>
      <c r="PNL20" s="4"/>
      <c r="PNM20" s="4"/>
      <c r="PNN20" s="4"/>
      <c r="PNO20" s="4"/>
      <c r="PNP20" s="4"/>
      <c r="PNQ20" s="4"/>
      <c r="PNR20" s="4"/>
      <c r="PNS20" s="4"/>
      <c r="PNT20" s="4"/>
      <c r="PNU20" s="4"/>
      <c r="PNV20" s="4"/>
      <c r="PNW20" s="4"/>
      <c r="PNX20" s="4"/>
      <c r="PNY20" s="4"/>
      <c r="PNZ20" s="4"/>
      <c r="POA20" s="4"/>
      <c r="POB20" s="4"/>
      <c r="POC20" s="4"/>
      <c r="POD20" s="4"/>
      <c r="POE20" s="4"/>
      <c r="POF20" s="4"/>
      <c r="POG20" s="4"/>
      <c r="POH20" s="4"/>
      <c r="POI20" s="4"/>
      <c r="POJ20" s="4"/>
      <c r="POK20" s="4"/>
      <c r="POL20" s="4"/>
      <c r="POM20" s="4"/>
      <c r="PON20" s="4"/>
      <c r="POO20" s="4"/>
      <c r="POP20" s="4"/>
      <c r="POQ20" s="4"/>
      <c r="POR20" s="4"/>
      <c r="POS20" s="4"/>
      <c r="POT20" s="4"/>
      <c r="POU20" s="4"/>
      <c r="POV20" s="4"/>
      <c r="POW20" s="4"/>
      <c r="POX20" s="4"/>
      <c r="POY20" s="4"/>
      <c r="POZ20" s="4"/>
      <c r="PPA20" s="4"/>
      <c r="PPB20" s="4"/>
      <c r="PPC20" s="4"/>
      <c r="PPD20" s="4"/>
      <c r="PPE20" s="4"/>
      <c r="PPF20" s="4"/>
      <c r="PPG20" s="4"/>
      <c r="PPH20" s="4"/>
      <c r="PPI20" s="4"/>
      <c r="PPJ20" s="4"/>
      <c r="PPK20" s="4"/>
      <c r="PPL20" s="4"/>
      <c r="PPM20" s="4"/>
      <c r="PPN20" s="4"/>
      <c r="PPO20" s="4"/>
      <c r="PPP20" s="4"/>
      <c r="PPQ20" s="4"/>
      <c r="PPR20" s="4"/>
      <c r="PPS20" s="4"/>
      <c r="PPT20" s="4"/>
      <c r="PPU20" s="4"/>
      <c r="PPV20" s="4"/>
      <c r="PPW20" s="4"/>
      <c r="PPX20" s="4"/>
      <c r="PPY20" s="4"/>
      <c r="PPZ20" s="4"/>
      <c r="PQA20" s="4"/>
      <c r="PQB20" s="4"/>
      <c r="PQC20" s="4"/>
      <c r="PQD20" s="4"/>
      <c r="PQE20" s="4"/>
      <c r="PQF20" s="4"/>
      <c r="PQG20" s="4"/>
      <c r="PQH20" s="4"/>
      <c r="PQI20" s="4"/>
      <c r="PQJ20" s="4"/>
      <c r="PQK20" s="4"/>
      <c r="PQL20" s="4"/>
      <c r="PQM20" s="4"/>
      <c r="PQN20" s="4"/>
      <c r="PQO20" s="4"/>
      <c r="PQP20" s="4"/>
      <c r="PQQ20" s="4"/>
      <c r="PQR20" s="4"/>
      <c r="PQS20" s="4"/>
      <c r="PQT20" s="4"/>
      <c r="PQU20" s="4"/>
      <c r="PQV20" s="4"/>
      <c r="PQW20" s="4"/>
      <c r="PQX20" s="4"/>
      <c r="PQY20" s="4"/>
      <c r="PQZ20" s="4"/>
      <c r="PRA20" s="4"/>
      <c r="PRB20" s="4"/>
      <c r="PRC20" s="4"/>
      <c r="PRD20" s="4"/>
      <c r="PRE20" s="4"/>
      <c r="PRF20" s="4"/>
      <c r="PRG20" s="4"/>
      <c r="PRH20" s="4"/>
      <c r="PRI20" s="4"/>
      <c r="PRJ20" s="4"/>
      <c r="PRK20" s="4"/>
      <c r="PRL20" s="4"/>
      <c r="PRM20" s="4"/>
      <c r="PRN20" s="4"/>
      <c r="PRO20" s="4"/>
      <c r="PRP20" s="4"/>
      <c r="PRQ20" s="4"/>
      <c r="PRR20" s="4"/>
      <c r="PRS20" s="4"/>
      <c r="PRT20" s="4"/>
      <c r="PRU20" s="4"/>
      <c r="PRV20" s="4"/>
      <c r="PRW20" s="4"/>
      <c r="PRX20" s="4"/>
      <c r="PRY20" s="4"/>
      <c r="PRZ20" s="4"/>
      <c r="PSA20" s="4"/>
      <c r="PSB20" s="4"/>
      <c r="PSC20" s="4"/>
      <c r="PSD20" s="4"/>
      <c r="PSE20" s="4"/>
      <c r="PSF20" s="4"/>
      <c r="PSG20" s="4"/>
      <c r="PSH20" s="4"/>
      <c r="PSI20" s="4"/>
      <c r="PSJ20" s="4"/>
      <c r="PSK20" s="4"/>
      <c r="PSL20" s="4"/>
      <c r="PSM20" s="4"/>
      <c r="PSN20" s="4"/>
      <c r="PSO20" s="4"/>
      <c r="PSP20" s="4"/>
      <c r="PSQ20" s="4"/>
      <c r="PSR20" s="4"/>
      <c r="PSS20" s="4"/>
      <c r="PST20" s="4"/>
      <c r="PSU20" s="4"/>
      <c r="PSV20" s="4"/>
      <c r="PSW20" s="4"/>
      <c r="PSX20" s="4"/>
      <c r="PSY20" s="4"/>
      <c r="PSZ20" s="4"/>
      <c r="PTA20" s="4"/>
      <c r="PTB20" s="4"/>
      <c r="PTC20" s="4"/>
      <c r="PTD20" s="4"/>
      <c r="PTE20" s="4"/>
      <c r="PTF20" s="4"/>
      <c r="PTG20" s="4"/>
      <c r="PTH20" s="4"/>
      <c r="PTI20" s="4"/>
      <c r="PTJ20" s="4"/>
      <c r="PTK20" s="4"/>
      <c r="PTL20" s="4"/>
      <c r="PTM20" s="4"/>
      <c r="PTN20" s="4"/>
      <c r="PTO20" s="4"/>
      <c r="PTP20" s="4"/>
      <c r="PTQ20" s="4"/>
      <c r="PTR20" s="4"/>
      <c r="PTS20" s="4"/>
      <c r="PTT20" s="4"/>
      <c r="PTU20" s="4"/>
      <c r="PTV20" s="4"/>
      <c r="PTW20" s="4"/>
      <c r="PTX20" s="4"/>
      <c r="PTY20" s="4"/>
      <c r="PTZ20" s="4"/>
      <c r="PUA20" s="4"/>
      <c r="PUB20" s="4"/>
      <c r="PUC20" s="4"/>
      <c r="PUD20" s="4"/>
      <c r="PUE20" s="4"/>
      <c r="PUF20" s="4"/>
      <c r="PUG20" s="4"/>
      <c r="PUH20" s="4"/>
      <c r="PUI20" s="4"/>
      <c r="PUJ20" s="4"/>
      <c r="PUK20" s="4"/>
      <c r="PUL20" s="4"/>
      <c r="PUM20" s="4"/>
      <c r="PUN20" s="4"/>
      <c r="PUO20" s="4"/>
      <c r="PUP20" s="4"/>
      <c r="PUQ20" s="4"/>
      <c r="PUR20" s="4"/>
      <c r="PUS20" s="4"/>
      <c r="PUT20" s="4"/>
      <c r="PUU20" s="4"/>
      <c r="PUV20" s="4"/>
      <c r="PUW20" s="4"/>
      <c r="PUX20" s="4"/>
      <c r="PUY20" s="4"/>
      <c r="PUZ20" s="4"/>
      <c r="PVA20" s="4"/>
      <c r="PVB20" s="4"/>
      <c r="PVC20" s="4"/>
      <c r="PVD20" s="4"/>
      <c r="PVE20" s="4"/>
      <c r="PVF20" s="4"/>
      <c r="PVG20" s="4"/>
      <c r="PVH20" s="4"/>
      <c r="PVI20" s="4"/>
      <c r="PVJ20" s="4"/>
      <c r="PVK20" s="4"/>
      <c r="PVL20" s="4"/>
      <c r="PVM20" s="4"/>
      <c r="PVN20" s="4"/>
      <c r="PVO20" s="4"/>
      <c r="PVP20" s="4"/>
      <c r="PVQ20" s="4"/>
      <c r="PVR20" s="4"/>
      <c r="PVS20" s="4"/>
      <c r="PVT20" s="4"/>
      <c r="PVU20" s="4"/>
      <c r="PVV20" s="4"/>
      <c r="PVW20" s="4"/>
      <c r="PVX20" s="4"/>
      <c r="PVY20" s="4"/>
      <c r="PVZ20" s="4"/>
      <c r="PWA20" s="4"/>
      <c r="PWB20" s="4"/>
      <c r="PWC20" s="4"/>
      <c r="PWD20" s="4"/>
      <c r="PWE20" s="4"/>
      <c r="PWF20" s="4"/>
      <c r="PWG20" s="4"/>
      <c r="PWH20" s="4"/>
      <c r="PWI20" s="4"/>
      <c r="PWJ20" s="4"/>
      <c r="PWK20" s="4"/>
      <c r="PWL20" s="4"/>
      <c r="PWM20" s="4"/>
      <c r="PWN20" s="4"/>
      <c r="PWO20" s="4"/>
      <c r="PWP20" s="4"/>
      <c r="PWQ20" s="4"/>
      <c r="PWR20" s="4"/>
      <c r="PWS20" s="4"/>
      <c r="PWT20" s="4"/>
      <c r="PWU20" s="4"/>
      <c r="PWV20" s="4"/>
      <c r="PWW20" s="4"/>
      <c r="PWX20" s="4"/>
      <c r="PWY20" s="4"/>
      <c r="PWZ20" s="4"/>
      <c r="PXA20" s="4"/>
      <c r="PXB20" s="4"/>
      <c r="PXC20" s="4"/>
      <c r="PXD20" s="4"/>
      <c r="PXE20" s="4"/>
      <c r="PXF20" s="4"/>
      <c r="PXG20" s="4"/>
      <c r="PXH20" s="4"/>
      <c r="PXI20" s="4"/>
      <c r="PXJ20" s="4"/>
      <c r="PXK20" s="4"/>
      <c r="PXL20" s="4"/>
      <c r="PXM20" s="4"/>
      <c r="PXN20" s="4"/>
      <c r="PXO20" s="4"/>
      <c r="PXP20" s="4"/>
      <c r="PXQ20" s="4"/>
      <c r="PXR20" s="4"/>
      <c r="PXS20" s="4"/>
      <c r="PXT20" s="4"/>
      <c r="PXU20" s="4"/>
      <c r="PXV20" s="4"/>
      <c r="PXW20" s="4"/>
      <c r="PXX20" s="4"/>
      <c r="PXY20" s="4"/>
      <c r="PXZ20" s="4"/>
      <c r="PYA20" s="4"/>
      <c r="PYB20" s="4"/>
      <c r="PYC20" s="4"/>
      <c r="PYD20" s="4"/>
      <c r="PYE20" s="4"/>
      <c r="PYF20" s="4"/>
      <c r="PYG20" s="4"/>
      <c r="PYH20" s="4"/>
      <c r="PYI20" s="4"/>
      <c r="PYJ20" s="4"/>
      <c r="PYK20" s="4"/>
      <c r="PYL20" s="4"/>
      <c r="PYM20" s="4"/>
      <c r="PYN20" s="4"/>
      <c r="PYO20" s="4"/>
      <c r="PYP20" s="4"/>
      <c r="PYQ20" s="4"/>
      <c r="PYR20" s="4"/>
      <c r="PYS20" s="4"/>
      <c r="PYT20" s="4"/>
      <c r="PYU20" s="4"/>
      <c r="PYV20" s="4"/>
      <c r="PYW20" s="4"/>
      <c r="PYX20" s="4"/>
      <c r="PYY20" s="4"/>
      <c r="PYZ20" s="4"/>
      <c r="PZA20" s="4"/>
      <c r="PZB20" s="4"/>
      <c r="PZC20" s="4"/>
      <c r="PZD20" s="4"/>
      <c r="PZE20" s="4"/>
      <c r="PZF20" s="4"/>
      <c r="PZG20" s="4"/>
      <c r="PZH20" s="4"/>
      <c r="PZI20" s="4"/>
      <c r="PZJ20" s="4"/>
      <c r="PZK20" s="4"/>
      <c r="PZL20" s="4"/>
      <c r="PZM20" s="4"/>
      <c r="PZN20" s="4"/>
      <c r="PZO20" s="4"/>
      <c r="PZP20" s="4"/>
      <c r="PZQ20" s="4"/>
      <c r="PZR20" s="4"/>
      <c r="PZS20" s="4"/>
      <c r="PZT20" s="4"/>
      <c r="PZU20" s="4"/>
      <c r="PZV20" s="4"/>
      <c r="PZW20" s="4"/>
      <c r="PZX20" s="4"/>
      <c r="PZY20" s="4"/>
      <c r="PZZ20" s="4"/>
      <c r="QAA20" s="4"/>
      <c r="QAB20" s="4"/>
      <c r="QAC20" s="4"/>
      <c r="QAD20" s="4"/>
      <c r="QAE20" s="4"/>
      <c r="QAF20" s="4"/>
      <c r="QAG20" s="4"/>
      <c r="QAH20" s="4"/>
      <c r="QAI20" s="4"/>
      <c r="QAJ20" s="4"/>
      <c r="QAK20" s="4"/>
      <c r="QAL20" s="4"/>
      <c r="QAM20" s="4"/>
      <c r="QAN20" s="4"/>
      <c r="QAO20" s="4"/>
      <c r="QAP20" s="4"/>
      <c r="QAQ20" s="4"/>
      <c r="QAR20" s="4"/>
      <c r="QAS20" s="4"/>
      <c r="QAT20" s="4"/>
      <c r="QAU20" s="4"/>
      <c r="QAV20" s="4"/>
      <c r="QAW20" s="4"/>
      <c r="QAX20" s="4"/>
      <c r="QAY20" s="4"/>
      <c r="QAZ20" s="4"/>
      <c r="QBA20" s="4"/>
      <c r="QBB20" s="4"/>
      <c r="QBC20" s="4"/>
      <c r="QBD20" s="4"/>
      <c r="QBE20" s="4"/>
      <c r="QBF20" s="4"/>
      <c r="QBG20" s="4"/>
      <c r="QBH20" s="4"/>
      <c r="QBI20" s="4"/>
      <c r="QBJ20" s="4"/>
      <c r="QBK20" s="4"/>
      <c r="QBL20" s="4"/>
      <c r="QBM20" s="4"/>
      <c r="QBN20" s="4"/>
      <c r="QBO20" s="4"/>
      <c r="QBP20" s="4"/>
      <c r="QBQ20" s="4"/>
      <c r="QBR20" s="4"/>
      <c r="QBS20" s="4"/>
      <c r="QBT20" s="4"/>
      <c r="QBU20" s="4"/>
      <c r="QBV20" s="4"/>
      <c r="QBW20" s="4"/>
      <c r="QBX20" s="4"/>
      <c r="QBY20" s="4"/>
      <c r="QBZ20" s="4"/>
      <c r="QCA20" s="4"/>
      <c r="QCB20" s="4"/>
      <c r="QCC20" s="4"/>
      <c r="QCD20" s="4"/>
      <c r="QCE20" s="4"/>
      <c r="QCF20" s="4"/>
      <c r="QCG20" s="4"/>
      <c r="QCH20" s="4"/>
      <c r="QCI20" s="4"/>
      <c r="QCJ20" s="4"/>
      <c r="QCK20" s="4"/>
      <c r="QCL20" s="4"/>
      <c r="QCM20" s="4"/>
      <c r="QCN20" s="4"/>
      <c r="QCO20" s="4"/>
      <c r="QCP20" s="4"/>
      <c r="QCQ20" s="4"/>
      <c r="QCR20" s="4"/>
      <c r="QCS20" s="4"/>
      <c r="QCT20" s="4"/>
      <c r="QCU20" s="4"/>
      <c r="QCV20" s="4"/>
      <c r="QCW20" s="4"/>
      <c r="QCX20" s="4"/>
      <c r="QCY20" s="4"/>
      <c r="QCZ20" s="4"/>
      <c r="QDA20" s="4"/>
      <c r="QDB20" s="4"/>
      <c r="QDC20" s="4"/>
      <c r="QDD20" s="4"/>
      <c r="QDE20" s="4"/>
      <c r="QDF20" s="4"/>
      <c r="QDG20" s="4"/>
      <c r="QDH20" s="4"/>
      <c r="QDI20" s="4"/>
      <c r="QDJ20" s="4"/>
      <c r="QDK20" s="4"/>
      <c r="QDL20" s="4"/>
      <c r="QDM20" s="4"/>
      <c r="QDN20" s="4"/>
      <c r="QDO20" s="4"/>
      <c r="QDP20" s="4"/>
      <c r="QDQ20" s="4"/>
      <c r="QDR20" s="4"/>
      <c r="QDS20" s="4"/>
      <c r="QDT20" s="4"/>
      <c r="QDU20" s="4"/>
      <c r="QDV20" s="4"/>
      <c r="QDW20" s="4"/>
      <c r="QDX20" s="4"/>
      <c r="QDY20" s="4"/>
      <c r="QDZ20" s="4"/>
      <c r="QEA20" s="4"/>
      <c r="QEB20" s="4"/>
      <c r="QEC20" s="4"/>
      <c r="QED20" s="4"/>
      <c r="QEE20" s="4"/>
      <c r="QEF20" s="4"/>
      <c r="QEG20" s="4"/>
      <c r="QEH20" s="4"/>
      <c r="QEI20" s="4"/>
      <c r="QEJ20" s="4"/>
      <c r="QEK20" s="4"/>
      <c r="QEL20" s="4"/>
      <c r="QEM20" s="4"/>
      <c r="QEN20" s="4"/>
      <c r="QEO20" s="4"/>
      <c r="QEP20" s="4"/>
      <c r="QEQ20" s="4"/>
      <c r="QER20" s="4"/>
      <c r="QES20" s="4"/>
      <c r="QET20" s="4"/>
      <c r="QEU20" s="4"/>
      <c r="QEV20" s="4"/>
      <c r="QEW20" s="4"/>
      <c r="QEX20" s="4"/>
      <c r="QEY20" s="4"/>
      <c r="QEZ20" s="4"/>
      <c r="QFA20" s="4"/>
      <c r="QFB20" s="4"/>
      <c r="QFC20" s="4"/>
      <c r="QFD20" s="4"/>
      <c r="QFE20" s="4"/>
      <c r="QFF20" s="4"/>
      <c r="QFG20" s="4"/>
      <c r="QFH20" s="4"/>
      <c r="QFI20" s="4"/>
      <c r="QFJ20" s="4"/>
      <c r="QFK20" s="4"/>
      <c r="QFL20" s="4"/>
      <c r="QFM20" s="4"/>
      <c r="QFN20" s="4"/>
      <c r="QFO20" s="4"/>
      <c r="QFP20" s="4"/>
      <c r="QFQ20" s="4"/>
      <c r="QFR20" s="4"/>
      <c r="QFS20" s="4"/>
      <c r="QFT20" s="4"/>
      <c r="QFU20" s="4"/>
      <c r="QFV20" s="4"/>
      <c r="QFW20" s="4"/>
      <c r="QFX20" s="4"/>
      <c r="QFY20" s="4"/>
      <c r="QFZ20" s="4"/>
      <c r="QGA20" s="4"/>
      <c r="QGB20" s="4"/>
      <c r="QGC20" s="4"/>
      <c r="QGD20" s="4"/>
      <c r="QGE20" s="4"/>
      <c r="QGF20" s="4"/>
      <c r="QGG20" s="4"/>
      <c r="QGH20" s="4"/>
      <c r="QGI20" s="4"/>
      <c r="QGJ20" s="4"/>
      <c r="QGK20" s="4"/>
      <c r="QGL20" s="4"/>
      <c r="QGM20" s="4"/>
      <c r="QGN20" s="4"/>
      <c r="QGO20" s="4"/>
      <c r="QGP20" s="4"/>
      <c r="QGQ20" s="4"/>
      <c r="QGR20" s="4"/>
      <c r="QGS20" s="4"/>
      <c r="QGT20" s="4"/>
      <c r="QGU20" s="4"/>
      <c r="QGV20" s="4"/>
      <c r="QGW20" s="4"/>
      <c r="QGX20" s="4"/>
      <c r="QGY20" s="4"/>
      <c r="QGZ20" s="4"/>
      <c r="QHA20" s="4"/>
      <c r="QHB20" s="4"/>
      <c r="QHC20" s="4"/>
      <c r="QHD20" s="4"/>
      <c r="QHE20" s="4"/>
      <c r="QHF20" s="4"/>
      <c r="QHG20" s="4"/>
      <c r="QHH20" s="4"/>
      <c r="QHI20" s="4"/>
      <c r="QHJ20" s="4"/>
      <c r="QHK20" s="4"/>
      <c r="QHL20" s="4"/>
      <c r="QHM20" s="4"/>
      <c r="QHN20" s="4"/>
      <c r="QHO20" s="4"/>
      <c r="QHP20" s="4"/>
      <c r="QHQ20" s="4"/>
      <c r="QHR20" s="4"/>
      <c r="QHS20" s="4"/>
      <c r="QHT20" s="4"/>
      <c r="QHU20" s="4"/>
      <c r="QHV20" s="4"/>
      <c r="QHW20" s="4"/>
      <c r="QHX20" s="4"/>
      <c r="QHY20" s="4"/>
      <c r="QHZ20" s="4"/>
      <c r="QIA20" s="4"/>
      <c r="QIB20" s="4"/>
      <c r="QIC20" s="4"/>
      <c r="QID20" s="4"/>
      <c r="QIE20" s="4"/>
      <c r="QIF20" s="4"/>
      <c r="QIG20" s="4"/>
      <c r="QIH20" s="4"/>
      <c r="QII20" s="4"/>
      <c r="QIJ20" s="4"/>
      <c r="QIK20" s="4"/>
      <c r="QIL20" s="4"/>
      <c r="QIM20" s="4"/>
      <c r="QIN20" s="4"/>
      <c r="QIO20" s="4"/>
      <c r="QIP20" s="4"/>
      <c r="QIQ20" s="4"/>
      <c r="QIR20" s="4"/>
      <c r="QIS20" s="4"/>
      <c r="QIT20" s="4"/>
      <c r="QIU20" s="4"/>
      <c r="QIV20" s="4"/>
      <c r="QIW20" s="4"/>
      <c r="QIX20" s="4"/>
      <c r="QIY20" s="4"/>
      <c r="QIZ20" s="4"/>
      <c r="QJA20" s="4"/>
      <c r="QJB20" s="4"/>
      <c r="QJC20" s="4"/>
      <c r="QJD20" s="4"/>
      <c r="QJE20" s="4"/>
      <c r="QJF20" s="4"/>
      <c r="QJG20" s="4"/>
      <c r="QJH20" s="4"/>
      <c r="QJI20" s="4"/>
      <c r="QJJ20" s="4"/>
      <c r="QJK20" s="4"/>
      <c r="QJL20" s="4"/>
      <c r="QJM20" s="4"/>
      <c r="QJN20" s="4"/>
      <c r="QJO20" s="4"/>
      <c r="QJP20" s="4"/>
      <c r="QJQ20" s="4"/>
      <c r="QJR20" s="4"/>
      <c r="QJS20" s="4"/>
      <c r="QJT20" s="4"/>
      <c r="QJU20" s="4"/>
      <c r="QJV20" s="4"/>
      <c r="QJW20" s="4"/>
      <c r="QJX20" s="4"/>
      <c r="QJY20" s="4"/>
      <c r="QJZ20" s="4"/>
      <c r="QKA20" s="4"/>
      <c r="QKB20" s="4"/>
      <c r="QKC20" s="4"/>
      <c r="QKD20" s="4"/>
      <c r="QKE20" s="4"/>
      <c r="QKF20" s="4"/>
      <c r="QKG20" s="4"/>
      <c r="QKH20" s="4"/>
      <c r="QKI20" s="4"/>
      <c r="QKJ20" s="4"/>
      <c r="QKK20" s="4"/>
      <c r="QKL20" s="4"/>
      <c r="QKM20" s="4"/>
      <c r="QKN20" s="4"/>
      <c r="QKO20" s="4"/>
      <c r="QKP20" s="4"/>
      <c r="QKQ20" s="4"/>
      <c r="QKR20" s="4"/>
      <c r="QKS20" s="4"/>
      <c r="QKT20" s="4"/>
      <c r="QKU20" s="4"/>
      <c r="QKV20" s="4"/>
      <c r="QKW20" s="4"/>
      <c r="QKX20" s="4"/>
      <c r="QKY20" s="4"/>
      <c r="QKZ20" s="4"/>
      <c r="QLA20" s="4"/>
      <c r="QLB20" s="4"/>
      <c r="QLC20" s="4"/>
      <c r="QLD20" s="4"/>
      <c r="QLE20" s="4"/>
      <c r="QLF20" s="4"/>
      <c r="QLG20" s="4"/>
      <c r="QLH20" s="4"/>
      <c r="QLI20" s="4"/>
      <c r="QLJ20" s="4"/>
      <c r="QLK20" s="4"/>
      <c r="QLL20" s="4"/>
      <c r="QLM20" s="4"/>
      <c r="QLN20" s="4"/>
      <c r="QLO20" s="4"/>
      <c r="QLP20" s="4"/>
      <c r="QLQ20" s="4"/>
      <c r="QLR20" s="4"/>
      <c r="QLS20" s="4"/>
      <c r="QLT20" s="4"/>
      <c r="QLU20" s="4"/>
      <c r="QLV20" s="4"/>
      <c r="QLW20" s="4"/>
      <c r="QLX20" s="4"/>
      <c r="QLY20" s="4"/>
      <c r="QLZ20" s="4"/>
      <c r="QMA20" s="4"/>
      <c r="QMB20" s="4"/>
      <c r="QMC20" s="4"/>
      <c r="QMD20" s="4"/>
      <c r="QME20" s="4"/>
      <c r="QMF20" s="4"/>
      <c r="QMG20" s="4"/>
      <c r="QMH20" s="4"/>
      <c r="QMI20" s="4"/>
      <c r="QMJ20" s="4"/>
      <c r="QMK20" s="4"/>
      <c r="QML20" s="4"/>
      <c r="QMM20" s="4"/>
      <c r="QMN20" s="4"/>
      <c r="QMO20" s="4"/>
      <c r="QMP20" s="4"/>
      <c r="QMQ20" s="4"/>
      <c r="QMR20" s="4"/>
      <c r="QMS20" s="4"/>
      <c r="QMT20" s="4"/>
      <c r="QMU20" s="4"/>
      <c r="QMV20" s="4"/>
      <c r="QMW20" s="4"/>
      <c r="QMX20" s="4"/>
      <c r="QMY20" s="4"/>
      <c r="QMZ20" s="4"/>
      <c r="QNA20" s="4"/>
      <c r="QNB20" s="4"/>
      <c r="QNC20" s="4"/>
      <c r="QND20" s="4"/>
      <c r="QNE20" s="4"/>
      <c r="QNF20" s="4"/>
      <c r="QNG20" s="4"/>
      <c r="QNH20" s="4"/>
      <c r="QNI20" s="4"/>
      <c r="QNJ20" s="4"/>
      <c r="QNK20" s="4"/>
      <c r="QNL20" s="4"/>
      <c r="QNM20" s="4"/>
      <c r="QNN20" s="4"/>
      <c r="QNO20" s="4"/>
      <c r="QNP20" s="4"/>
      <c r="QNQ20" s="4"/>
      <c r="QNR20" s="4"/>
      <c r="QNS20" s="4"/>
      <c r="QNT20" s="4"/>
      <c r="QNU20" s="4"/>
      <c r="QNV20" s="4"/>
      <c r="QNW20" s="4"/>
      <c r="QNX20" s="4"/>
      <c r="QNY20" s="4"/>
      <c r="QNZ20" s="4"/>
      <c r="QOA20" s="4"/>
      <c r="QOB20" s="4"/>
      <c r="QOC20" s="4"/>
      <c r="QOD20" s="4"/>
      <c r="QOE20" s="4"/>
      <c r="QOF20" s="4"/>
      <c r="QOG20" s="4"/>
      <c r="QOH20" s="4"/>
      <c r="QOI20" s="4"/>
      <c r="QOJ20" s="4"/>
      <c r="QOK20" s="4"/>
      <c r="QOL20" s="4"/>
      <c r="QOM20" s="4"/>
      <c r="QON20" s="4"/>
      <c r="QOO20" s="4"/>
      <c r="QOP20" s="4"/>
      <c r="QOQ20" s="4"/>
      <c r="QOR20" s="4"/>
      <c r="QOS20" s="4"/>
      <c r="QOT20" s="4"/>
      <c r="QOU20" s="4"/>
      <c r="QOV20" s="4"/>
      <c r="QOW20" s="4"/>
      <c r="QOX20" s="4"/>
      <c r="QOY20" s="4"/>
      <c r="QOZ20" s="4"/>
      <c r="QPA20" s="4"/>
      <c r="QPB20" s="4"/>
      <c r="QPC20" s="4"/>
      <c r="QPD20" s="4"/>
      <c r="QPE20" s="4"/>
      <c r="QPF20" s="4"/>
      <c r="QPG20" s="4"/>
      <c r="QPH20" s="4"/>
      <c r="QPI20" s="4"/>
      <c r="QPJ20" s="4"/>
      <c r="QPK20" s="4"/>
      <c r="QPL20" s="4"/>
      <c r="QPM20" s="4"/>
      <c r="QPN20" s="4"/>
      <c r="QPO20" s="4"/>
      <c r="QPP20" s="4"/>
      <c r="QPQ20" s="4"/>
      <c r="QPR20" s="4"/>
      <c r="QPS20" s="4"/>
      <c r="QPT20" s="4"/>
      <c r="QPU20" s="4"/>
      <c r="QPV20" s="4"/>
      <c r="QPW20" s="4"/>
      <c r="QPX20" s="4"/>
      <c r="QPY20" s="4"/>
      <c r="QPZ20" s="4"/>
      <c r="QQA20" s="4"/>
      <c r="QQB20" s="4"/>
      <c r="QQC20" s="4"/>
      <c r="QQD20" s="4"/>
      <c r="QQE20" s="4"/>
      <c r="QQF20" s="4"/>
      <c r="QQG20" s="4"/>
      <c r="QQH20" s="4"/>
      <c r="QQI20" s="4"/>
      <c r="QQJ20" s="4"/>
      <c r="QQK20" s="4"/>
      <c r="QQL20" s="4"/>
      <c r="QQM20" s="4"/>
      <c r="QQN20" s="4"/>
      <c r="QQO20" s="4"/>
      <c r="QQP20" s="4"/>
      <c r="QQQ20" s="4"/>
      <c r="QQR20" s="4"/>
      <c r="QQS20" s="4"/>
      <c r="QQT20" s="4"/>
      <c r="QQU20" s="4"/>
      <c r="QQV20" s="4"/>
      <c r="QQW20" s="4"/>
      <c r="QQX20" s="4"/>
      <c r="QQY20" s="4"/>
      <c r="QQZ20" s="4"/>
      <c r="QRA20" s="4"/>
      <c r="QRB20" s="4"/>
      <c r="QRC20" s="4"/>
      <c r="QRD20" s="4"/>
      <c r="QRE20" s="4"/>
      <c r="QRF20" s="4"/>
      <c r="QRG20" s="4"/>
      <c r="QRH20" s="4"/>
      <c r="QRI20" s="4"/>
      <c r="QRJ20" s="4"/>
      <c r="QRK20" s="4"/>
      <c r="QRL20" s="4"/>
      <c r="QRM20" s="4"/>
      <c r="QRN20" s="4"/>
      <c r="QRO20" s="4"/>
      <c r="QRP20" s="4"/>
      <c r="QRQ20" s="4"/>
      <c r="QRR20" s="4"/>
      <c r="QRS20" s="4"/>
      <c r="QRT20" s="4"/>
      <c r="QRU20" s="4"/>
      <c r="QRV20" s="4"/>
      <c r="QRW20" s="4"/>
      <c r="QRX20" s="4"/>
      <c r="QRY20" s="4"/>
      <c r="QRZ20" s="4"/>
      <c r="QSA20" s="4"/>
      <c r="QSB20" s="4"/>
      <c r="QSC20" s="4"/>
      <c r="QSD20" s="4"/>
      <c r="QSE20" s="4"/>
      <c r="QSF20" s="4"/>
      <c r="QSG20" s="4"/>
      <c r="QSH20" s="4"/>
      <c r="QSI20" s="4"/>
      <c r="QSJ20" s="4"/>
      <c r="QSK20" s="4"/>
      <c r="QSL20" s="4"/>
      <c r="QSM20" s="4"/>
      <c r="QSN20" s="4"/>
      <c r="QSO20" s="4"/>
      <c r="QSP20" s="4"/>
      <c r="QSQ20" s="4"/>
      <c r="QSR20" s="4"/>
      <c r="QSS20" s="4"/>
      <c r="QST20" s="4"/>
      <c r="QSU20" s="4"/>
      <c r="QSV20" s="4"/>
      <c r="QSW20" s="4"/>
      <c r="QSX20" s="4"/>
      <c r="QSY20" s="4"/>
      <c r="QSZ20" s="4"/>
      <c r="QTA20" s="4"/>
      <c r="QTB20" s="4"/>
      <c r="QTC20" s="4"/>
      <c r="QTD20" s="4"/>
      <c r="QTE20" s="4"/>
      <c r="QTF20" s="4"/>
      <c r="QTG20" s="4"/>
      <c r="QTH20" s="4"/>
      <c r="QTI20" s="4"/>
      <c r="QTJ20" s="4"/>
      <c r="QTK20" s="4"/>
      <c r="QTL20" s="4"/>
      <c r="QTM20" s="4"/>
      <c r="QTN20" s="4"/>
      <c r="QTO20" s="4"/>
      <c r="QTP20" s="4"/>
      <c r="QTQ20" s="4"/>
      <c r="QTR20" s="4"/>
      <c r="QTS20" s="4"/>
      <c r="QTT20" s="4"/>
      <c r="QTU20" s="4"/>
      <c r="QTV20" s="4"/>
      <c r="QTW20" s="4"/>
      <c r="QTX20" s="4"/>
      <c r="QTY20" s="4"/>
      <c r="QTZ20" s="4"/>
      <c r="QUA20" s="4"/>
      <c r="QUB20" s="4"/>
      <c r="QUC20" s="4"/>
      <c r="QUD20" s="4"/>
      <c r="QUE20" s="4"/>
      <c r="QUF20" s="4"/>
      <c r="QUG20" s="4"/>
      <c r="QUH20" s="4"/>
      <c r="QUI20" s="4"/>
      <c r="QUJ20" s="4"/>
      <c r="QUK20" s="4"/>
      <c r="QUL20" s="4"/>
      <c r="QUM20" s="4"/>
      <c r="QUN20" s="4"/>
      <c r="QUO20" s="4"/>
      <c r="QUP20" s="4"/>
      <c r="QUQ20" s="4"/>
      <c r="QUR20" s="4"/>
      <c r="QUS20" s="4"/>
      <c r="QUT20" s="4"/>
      <c r="QUU20" s="4"/>
      <c r="QUV20" s="4"/>
      <c r="QUW20" s="4"/>
      <c r="QUX20" s="4"/>
      <c r="QUY20" s="4"/>
      <c r="QUZ20" s="4"/>
      <c r="QVA20" s="4"/>
      <c r="QVB20" s="4"/>
      <c r="QVC20" s="4"/>
      <c r="QVD20" s="4"/>
      <c r="QVE20" s="4"/>
      <c r="QVF20" s="4"/>
      <c r="QVG20" s="4"/>
      <c r="QVH20" s="4"/>
      <c r="QVI20" s="4"/>
      <c r="QVJ20" s="4"/>
      <c r="QVK20" s="4"/>
      <c r="QVL20" s="4"/>
      <c r="QVM20" s="4"/>
      <c r="QVN20" s="4"/>
      <c r="QVO20" s="4"/>
      <c r="QVP20" s="4"/>
      <c r="QVQ20" s="4"/>
      <c r="QVR20" s="4"/>
      <c r="QVS20" s="4"/>
      <c r="QVT20" s="4"/>
      <c r="QVU20" s="4"/>
      <c r="QVV20" s="4"/>
      <c r="QVW20" s="4"/>
      <c r="QVX20" s="4"/>
      <c r="QVY20" s="4"/>
      <c r="QVZ20" s="4"/>
      <c r="QWA20" s="4"/>
      <c r="QWB20" s="4"/>
      <c r="QWC20" s="4"/>
      <c r="QWD20" s="4"/>
      <c r="QWE20" s="4"/>
      <c r="QWF20" s="4"/>
      <c r="QWG20" s="4"/>
      <c r="QWH20" s="4"/>
      <c r="QWI20" s="4"/>
      <c r="QWJ20" s="4"/>
      <c r="QWK20" s="4"/>
      <c r="QWL20" s="4"/>
      <c r="QWM20" s="4"/>
      <c r="QWN20" s="4"/>
      <c r="QWO20" s="4"/>
      <c r="QWP20" s="4"/>
      <c r="QWQ20" s="4"/>
      <c r="QWR20" s="4"/>
      <c r="QWS20" s="4"/>
      <c r="QWT20" s="4"/>
      <c r="QWU20" s="4"/>
      <c r="QWV20" s="4"/>
      <c r="QWW20" s="4"/>
      <c r="QWX20" s="4"/>
      <c r="QWY20" s="4"/>
      <c r="QWZ20" s="4"/>
      <c r="QXA20" s="4"/>
      <c r="QXB20" s="4"/>
      <c r="QXC20" s="4"/>
      <c r="QXD20" s="4"/>
      <c r="QXE20" s="4"/>
      <c r="QXF20" s="4"/>
      <c r="QXG20" s="4"/>
      <c r="QXH20" s="4"/>
      <c r="QXI20" s="4"/>
      <c r="QXJ20" s="4"/>
      <c r="QXK20" s="4"/>
      <c r="QXL20" s="4"/>
      <c r="QXM20" s="4"/>
      <c r="QXN20" s="4"/>
      <c r="QXO20" s="4"/>
      <c r="QXP20" s="4"/>
      <c r="QXQ20" s="4"/>
      <c r="QXR20" s="4"/>
      <c r="QXS20" s="4"/>
      <c r="QXT20" s="4"/>
      <c r="QXU20" s="4"/>
      <c r="QXV20" s="4"/>
      <c r="QXW20" s="4"/>
      <c r="QXX20" s="4"/>
      <c r="QXY20" s="4"/>
      <c r="QXZ20" s="4"/>
      <c r="QYA20" s="4"/>
      <c r="QYB20" s="4"/>
      <c r="QYC20" s="4"/>
      <c r="QYD20" s="4"/>
      <c r="QYE20" s="4"/>
      <c r="QYF20" s="4"/>
      <c r="QYG20" s="4"/>
      <c r="QYH20" s="4"/>
      <c r="QYI20" s="4"/>
      <c r="QYJ20" s="4"/>
      <c r="QYK20" s="4"/>
      <c r="QYL20" s="4"/>
      <c r="QYM20" s="4"/>
      <c r="QYN20" s="4"/>
      <c r="QYO20" s="4"/>
      <c r="QYP20" s="4"/>
      <c r="QYQ20" s="4"/>
      <c r="QYR20" s="4"/>
      <c r="QYS20" s="4"/>
      <c r="QYT20" s="4"/>
      <c r="QYU20" s="4"/>
      <c r="QYV20" s="4"/>
      <c r="QYW20" s="4"/>
      <c r="QYX20" s="4"/>
      <c r="QYY20" s="4"/>
      <c r="QYZ20" s="4"/>
      <c r="QZA20" s="4"/>
      <c r="QZB20" s="4"/>
      <c r="QZC20" s="4"/>
      <c r="QZD20" s="4"/>
      <c r="QZE20" s="4"/>
      <c r="QZF20" s="4"/>
      <c r="QZG20" s="4"/>
      <c r="QZH20" s="4"/>
      <c r="QZI20" s="4"/>
      <c r="QZJ20" s="4"/>
      <c r="QZK20" s="4"/>
      <c r="QZL20" s="4"/>
      <c r="QZM20" s="4"/>
      <c r="QZN20" s="4"/>
      <c r="QZO20" s="4"/>
      <c r="QZP20" s="4"/>
      <c r="QZQ20" s="4"/>
      <c r="QZR20" s="4"/>
      <c r="QZS20" s="4"/>
      <c r="QZT20" s="4"/>
      <c r="QZU20" s="4"/>
      <c r="QZV20" s="4"/>
      <c r="QZW20" s="4"/>
      <c r="QZX20" s="4"/>
      <c r="QZY20" s="4"/>
      <c r="QZZ20" s="4"/>
      <c r="RAA20" s="4"/>
      <c r="RAB20" s="4"/>
      <c r="RAC20" s="4"/>
      <c r="RAD20" s="4"/>
      <c r="RAE20" s="4"/>
      <c r="RAF20" s="4"/>
      <c r="RAG20" s="4"/>
      <c r="RAH20" s="4"/>
      <c r="RAI20" s="4"/>
      <c r="RAJ20" s="4"/>
      <c r="RAK20" s="4"/>
      <c r="RAL20" s="4"/>
      <c r="RAM20" s="4"/>
      <c r="RAN20" s="4"/>
      <c r="RAO20" s="4"/>
      <c r="RAP20" s="4"/>
      <c r="RAQ20" s="4"/>
      <c r="RAR20" s="4"/>
      <c r="RAS20" s="4"/>
      <c r="RAT20" s="4"/>
      <c r="RAU20" s="4"/>
      <c r="RAV20" s="4"/>
      <c r="RAW20" s="4"/>
      <c r="RAX20" s="4"/>
      <c r="RAY20" s="4"/>
      <c r="RAZ20" s="4"/>
      <c r="RBA20" s="4"/>
      <c r="RBB20" s="4"/>
      <c r="RBC20" s="4"/>
      <c r="RBD20" s="4"/>
      <c r="RBE20" s="4"/>
      <c r="RBF20" s="4"/>
      <c r="RBG20" s="4"/>
      <c r="RBH20" s="4"/>
      <c r="RBI20" s="4"/>
      <c r="RBJ20" s="4"/>
      <c r="RBK20" s="4"/>
      <c r="RBL20" s="4"/>
      <c r="RBM20" s="4"/>
      <c r="RBN20" s="4"/>
      <c r="RBO20" s="4"/>
      <c r="RBP20" s="4"/>
      <c r="RBQ20" s="4"/>
      <c r="RBR20" s="4"/>
      <c r="RBS20" s="4"/>
      <c r="RBT20" s="4"/>
      <c r="RBU20" s="4"/>
      <c r="RBV20" s="4"/>
      <c r="RBW20" s="4"/>
      <c r="RBX20" s="4"/>
      <c r="RBY20" s="4"/>
      <c r="RBZ20" s="4"/>
      <c r="RCA20" s="4"/>
      <c r="RCB20" s="4"/>
      <c r="RCC20" s="4"/>
      <c r="RCD20" s="4"/>
      <c r="RCE20" s="4"/>
      <c r="RCF20" s="4"/>
      <c r="RCG20" s="4"/>
      <c r="RCH20" s="4"/>
      <c r="RCI20" s="4"/>
      <c r="RCJ20" s="4"/>
      <c r="RCK20" s="4"/>
      <c r="RCL20" s="4"/>
      <c r="RCM20" s="4"/>
      <c r="RCN20" s="4"/>
      <c r="RCO20" s="4"/>
      <c r="RCP20" s="4"/>
      <c r="RCQ20" s="4"/>
      <c r="RCR20" s="4"/>
      <c r="RCS20" s="4"/>
      <c r="RCT20" s="4"/>
      <c r="RCU20" s="4"/>
      <c r="RCV20" s="4"/>
      <c r="RCW20" s="4"/>
      <c r="RCX20" s="4"/>
      <c r="RCY20" s="4"/>
      <c r="RCZ20" s="4"/>
      <c r="RDA20" s="4"/>
      <c r="RDB20" s="4"/>
      <c r="RDC20" s="4"/>
      <c r="RDD20" s="4"/>
      <c r="RDE20" s="4"/>
      <c r="RDF20" s="4"/>
      <c r="RDG20" s="4"/>
      <c r="RDH20" s="4"/>
      <c r="RDI20" s="4"/>
      <c r="RDJ20" s="4"/>
      <c r="RDK20" s="4"/>
      <c r="RDL20" s="4"/>
      <c r="RDM20" s="4"/>
      <c r="RDN20" s="4"/>
      <c r="RDO20" s="4"/>
      <c r="RDP20" s="4"/>
      <c r="RDQ20" s="4"/>
      <c r="RDR20" s="4"/>
      <c r="RDS20" s="4"/>
      <c r="RDT20" s="4"/>
      <c r="RDU20" s="4"/>
      <c r="RDV20" s="4"/>
      <c r="RDW20" s="4"/>
      <c r="RDX20" s="4"/>
      <c r="RDY20" s="4"/>
      <c r="RDZ20" s="4"/>
      <c r="REA20" s="4"/>
      <c r="REB20" s="4"/>
      <c r="REC20" s="4"/>
      <c r="RED20" s="4"/>
      <c r="REE20" s="4"/>
      <c r="REF20" s="4"/>
      <c r="REG20" s="4"/>
      <c r="REH20" s="4"/>
      <c r="REI20" s="4"/>
      <c r="REJ20" s="4"/>
      <c r="REK20" s="4"/>
      <c r="REL20" s="4"/>
      <c r="REM20" s="4"/>
      <c r="REN20" s="4"/>
      <c r="REO20" s="4"/>
      <c r="REP20" s="4"/>
      <c r="REQ20" s="4"/>
      <c r="RER20" s="4"/>
      <c r="RES20" s="4"/>
      <c r="RET20" s="4"/>
      <c r="REU20" s="4"/>
      <c r="REV20" s="4"/>
      <c r="REW20" s="4"/>
      <c r="REX20" s="4"/>
      <c r="REY20" s="4"/>
      <c r="REZ20" s="4"/>
      <c r="RFA20" s="4"/>
      <c r="RFB20" s="4"/>
      <c r="RFC20" s="4"/>
      <c r="RFD20" s="4"/>
      <c r="RFE20" s="4"/>
      <c r="RFF20" s="4"/>
      <c r="RFG20" s="4"/>
      <c r="RFH20" s="4"/>
      <c r="RFI20" s="4"/>
      <c r="RFJ20" s="4"/>
      <c r="RFK20" s="4"/>
      <c r="RFL20" s="4"/>
      <c r="RFM20" s="4"/>
      <c r="RFN20" s="4"/>
      <c r="RFO20" s="4"/>
      <c r="RFP20" s="4"/>
      <c r="RFQ20" s="4"/>
      <c r="RFR20" s="4"/>
      <c r="RFS20" s="4"/>
      <c r="RFT20" s="4"/>
      <c r="RFU20" s="4"/>
      <c r="RFV20" s="4"/>
      <c r="RFW20" s="4"/>
      <c r="RFX20" s="4"/>
      <c r="RFY20" s="4"/>
      <c r="RFZ20" s="4"/>
      <c r="RGA20" s="4"/>
      <c r="RGB20" s="4"/>
      <c r="RGC20" s="4"/>
      <c r="RGD20" s="4"/>
      <c r="RGE20" s="4"/>
      <c r="RGF20" s="4"/>
      <c r="RGG20" s="4"/>
      <c r="RGH20" s="4"/>
      <c r="RGI20" s="4"/>
      <c r="RGJ20" s="4"/>
      <c r="RGK20" s="4"/>
      <c r="RGL20" s="4"/>
      <c r="RGM20" s="4"/>
      <c r="RGN20" s="4"/>
      <c r="RGO20" s="4"/>
      <c r="RGP20" s="4"/>
      <c r="RGQ20" s="4"/>
      <c r="RGR20" s="4"/>
      <c r="RGS20" s="4"/>
      <c r="RGT20" s="4"/>
      <c r="RGU20" s="4"/>
      <c r="RGV20" s="4"/>
      <c r="RGW20" s="4"/>
      <c r="RGX20" s="4"/>
      <c r="RGY20" s="4"/>
      <c r="RGZ20" s="4"/>
      <c r="RHA20" s="4"/>
      <c r="RHB20" s="4"/>
      <c r="RHC20" s="4"/>
      <c r="RHD20" s="4"/>
      <c r="RHE20" s="4"/>
      <c r="RHF20" s="4"/>
      <c r="RHG20" s="4"/>
      <c r="RHH20" s="4"/>
      <c r="RHI20" s="4"/>
      <c r="RHJ20" s="4"/>
      <c r="RHK20" s="4"/>
      <c r="RHL20" s="4"/>
      <c r="RHM20" s="4"/>
      <c r="RHN20" s="4"/>
      <c r="RHO20" s="4"/>
      <c r="RHP20" s="4"/>
      <c r="RHQ20" s="4"/>
      <c r="RHR20" s="4"/>
      <c r="RHS20" s="4"/>
      <c r="RHT20" s="4"/>
      <c r="RHU20" s="4"/>
      <c r="RHV20" s="4"/>
      <c r="RHW20" s="4"/>
      <c r="RHX20" s="4"/>
      <c r="RHY20" s="4"/>
      <c r="RHZ20" s="4"/>
      <c r="RIA20" s="4"/>
      <c r="RIB20" s="4"/>
      <c r="RIC20" s="4"/>
      <c r="RID20" s="4"/>
      <c r="RIE20" s="4"/>
      <c r="RIF20" s="4"/>
      <c r="RIG20" s="4"/>
      <c r="RIH20" s="4"/>
      <c r="RII20" s="4"/>
      <c r="RIJ20" s="4"/>
      <c r="RIK20" s="4"/>
      <c r="RIL20" s="4"/>
      <c r="RIM20" s="4"/>
      <c r="RIN20" s="4"/>
      <c r="RIO20" s="4"/>
      <c r="RIP20" s="4"/>
      <c r="RIQ20" s="4"/>
      <c r="RIR20" s="4"/>
      <c r="RIS20" s="4"/>
      <c r="RIT20" s="4"/>
      <c r="RIU20" s="4"/>
      <c r="RIV20" s="4"/>
      <c r="RIW20" s="4"/>
      <c r="RIX20" s="4"/>
      <c r="RIY20" s="4"/>
      <c r="RIZ20" s="4"/>
      <c r="RJA20" s="4"/>
      <c r="RJB20" s="4"/>
      <c r="RJC20" s="4"/>
      <c r="RJD20" s="4"/>
      <c r="RJE20" s="4"/>
      <c r="RJF20" s="4"/>
      <c r="RJG20" s="4"/>
      <c r="RJH20" s="4"/>
      <c r="RJI20" s="4"/>
      <c r="RJJ20" s="4"/>
      <c r="RJK20" s="4"/>
      <c r="RJL20" s="4"/>
      <c r="RJM20" s="4"/>
      <c r="RJN20" s="4"/>
      <c r="RJO20" s="4"/>
      <c r="RJP20" s="4"/>
      <c r="RJQ20" s="4"/>
      <c r="RJR20" s="4"/>
      <c r="RJS20" s="4"/>
      <c r="RJT20" s="4"/>
      <c r="RJU20" s="4"/>
      <c r="RJV20" s="4"/>
      <c r="RJW20" s="4"/>
      <c r="RJX20" s="4"/>
      <c r="RJY20" s="4"/>
      <c r="RJZ20" s="4"/>
      <c r="RKA20" s="4"/>
      <c r="RKB20" s="4"/>
      <c r="RKC20" s="4"/>
      <c r="RKD20" s="4"/>
      <c r="RKE20" s="4"/>
      <c r="RKF20" s="4"/>
      <c r="RKG20" s="4"/>
      <c r="RKH20" s="4"/>
      <c r="RKI20" s="4"/>
      <c r="RKJ20" s="4"/>
      <c r="RKK20" s="4"/>
      <c r="RKL20" s="4"/>
      <c r="RKM20" s="4"/>
      <c r="RKN20" s="4"/>
      <c r="RKO20" s="4"/>
      <c r="RKP20" s="4"/>
      <c r="RKQ20" s="4"/>
      <c r="RKR20" s="4"/>
      <c r="RKS20" s="4"/>
      <c r="RKT20" s="4"/>
      <c r="RKU20" s="4"/>
      <c r="RKV20" s="4"/>
      <c r="RKW20" s="4"/>
      <c r="RKX20" s="4"/>
      <c r="RKY20" s="4"/>
      <c r="RKZ20" s="4"/>
      <c r="RLA20" s="4"/>
      <c r="RLB20" s="4"/>
      <c r="RLC20" s="4"/>
      <c r="RLD20" s="4"/>
      <c r="RLE20" s="4"/>
      <c r="RLF20" s="4"/>
      <c r="RLG20" s="4"/>
      <c r="RLH20" s="4"/>
      <c r="RLI20" s="4"/>
      <c r="RLJ20" s="4"/>
      <c r="RLK20" s="4"/>
      <c r="RLL20" s="4"/>
      <c r="RLM20" s="4"/>
      <c r="RLN20" s="4"/>
      <c r="RLO20" s="4"/>
      <c r="RLP20" s="4"/>
      <c r="RLQ20" s="4"/>
      <c r="RLR20" s="4"/>
      <c r="RLS20" s="4"/>
      <c r="RLT20" s="4"/>
      <c r="RLU20" s="4"/>
      <c r="RLV20" s="4"/>
      <c r="RLW20" s="4"/>
      <c r="RLX20" s="4"/>
      <c r="RLY20" s="4"/>
      <c r="RLZ20" s="4"/>
      <c r="RMA20" s="4"/>
      <c r="RMB20" s="4"/>
      <c r="RMC20" s="4"/>
      <c r="RMD20" s="4"/>
      <c r="RME20" s="4"/>
      <c r="RMF20" s="4"/>
      <c r="RMG20" s="4"/>
      <c r="RMH20" s="4"/>
      <c r="RMI20" s="4"/>
      <c r="RMJ20" s="4"/>
      <c r="RMK20" s="4"/>
      <c r="RML20" s="4"/>
      <c r="RMM20" s="4"/>
      <c r="RMN20" s="4"/>
      <c r="RMO20" s="4"/>
      <c r="RMP20" s="4"/>
      <c r="RMQ20" s="4"/>
      <c r="RMR20" s="4"/>
      <c r="RMS20" s="4"/>
      <c r="RMT20" s="4"/>
      <c r="RMU20" s="4"/>
      <c r="RMV20" s="4"/>
      <c r="RMW20" s="4"/>
      <c r="RMX20" s="4"/>
      <c r="RMY20" s="4"/>
      <c r="RMZ20" s="4"/>
      <c r="RNA20" s="4"/>
      <c r="RNB20" s="4"/>
      <c r="RNC20" s="4"/>
      <c r="RND20" s="4"/>
      <c r="RNE20" s="4"/>
      <c r="RNF20" s="4"/>
      <c r="RNG20" s="4"/>
      <c r="RNH20" s="4"/>
      <c r="RNI20" s="4"/>
      <c r="RNJ20" s="4"/>
      <c r="RNK20" s="4"/>
      <c r="RNL20" s="4"/>
      <c r="RNM20" s="4"/>
      <c r="RNN20" s="4"/>
      <c r="RNO20" s="4"/>
      <c r="RNP20" s="4"/>
      <c r="RNQ20" s="4"/>
      <c r="RNR20" s="4"/>
      <c r="RNS20" s="4"/>
      <c r="RNT20" s="4"/>
      <c r="RNU20" s="4"/>
      <c r="RNV20" s="4"/>
      <c r="RNW20" s="4"/>
      <c r="RNX20" s="4"/>
      <c r="RNY20" s="4"/>
      <c r="RNZ20" s="4"/>
      <c r="ROA20" s="4"/>
      <c r="ROB20" s="4"/>
      <c r="ROC20" s="4"/>
      <c r="ROD20" s="4"/>
      <c r="ROE20" s="4"/>
      <c r="ROF20" s="4"/>
      <c r="ROG20" s="4"/>
      <c r="ROH20" s="4"/>
      <c r="ROI20" s="4"/>
      <c r="ROJ20" s="4"/>
      <c r="ROK20" s="4"/>
      <c r="ROL20" s="4"/>
      <c r="ROM20" s="4"/>
      <c r="RON20" s="4"/>
      <c r="ROO20" s="4"/>
      <c r="ROP20" s="4"/>
      <c r="ROQ20" s="4"/>
      <c r="ROR20" s="4"/>
      <c r="ROS20" s="4"/>
      <c r="ROT20" s="4"/>
      <c r="ROU20" s="4"/>
      <c r="ROV20" s="4"/>
      <c r="ROW20" s="4"/>
      <c r="ROX20" s="4"/>
      <c r="ROY20" s="4"/>
      <c r="ROZ20" s="4"/>
      <c r="RPA20" s="4"/>
      <c r="RPB20" s="4"/>
      <c r="RPC20" s="4"/>
      <c r="RPD20" s="4"/>
      <c r="RPE20" s="4"/>
      <c r="RPF20" s="4"/>
      <c r="RPG20" s="4"/>
      <c r="RPH20" s="4"/>
      <c r="RPI20" s="4"/>
      <c r="RPJ20" s="4"/>
      <c r="RPK20" s="4"/>
      <c r="RPL20" s="4"/>
      <c r="RPM20" s="4"/>
      <c r="RPN20" s="4"/>
      <c r="RPO20" s="4"/>
      <c r="RPP20" s="4"/>
      <c r="RPQ20" s="4"/>
      <c r="RPR20" s="4"/>
      <c r="RPS20" s="4"/>
      <c r="RPT20" s="4"/>
      <c r="RPU20" s="4"/>
      <c r="RPV20" s="4"/>
      <c r="RPW20" s="4"/>
      <c r="RPX20" s="4"/>
      <c r="RPY20" s="4"/>
      <c r="RPZ20" s="4"/>
      <c r="RQA20" s="4"/>
      <c r="RQB20" s="4"/>
      <c r="RQC20" s="4"/>
      <c r="RQD20" s="4"/>
      <c r="RQE20" s="4"/>
      <c r="RQF20" s="4"/>
      <c r="RQG20" s="4"/>
      <c r="RQH20" s="4"/>
      <c r="RQI20" s="4"/>
      <c r="RQJ20" s="4"/>
      <c r="RQK20" s="4"/>
      <c r="RQL20" s="4"/>
      <c r="RQM20" s="4"/>
      <c r="RQN20" s="4"/>
      <c r="RQO20" s="4"/>
      <c r="RQP20" s="4"/>
      <c r="RQQ20" s="4"/>
      <c r="RQR20" s="4"/>
      <c r="RQS20" s="4"/>
      <c r="RQT20" s="4"/>
      <c r="RQU20" s="4"/>
      <c r="RQV20" s="4"/>
      <c r="RQW20" s="4"/>
      <c r="RQX20" s="4"/>
      <c r="RQY20" s="4"/>
      <c r="RQZ20" s="4"/>
      <c r="RRA20" s="4"/>
      <c r="RRB20" s="4"/>
      <c r="RRC20" s="4"/>
      <c r="RRD20" s="4"/>
      <c r="RRE20" s="4"/>
      <c r="RRF20" s="4"/>
      <c r="RRG20" s="4"/>
      <c r="RRH20" s="4"/>
      <c r="RRI20" s="4"/>
      <c r="RRJ20" s="4"/>
      <c r="RRK20" s="4"/>
      <c r="RRL20" s="4"/>
      <c r="RRM20" s="4"/>
      <c r="RRN20" s="4"/>
      <c r="RRO20" s="4"/>
      <c r="RRP20" s="4"/>
      <c r="RRQ20" s="4"/>
      <c r="RRR20" s="4"/>
      <c r="RRS20" s="4"/>
      <c r="RRT20" s="4"/>
      <c r="RRU20" s="4"/>
      <c r="RRV20" s="4"/>
      <c r="RRW20" s="4"/>
      <c r="RRX20" s="4"/>
      <c r="RRY20" s="4"/>
      <c r="RRZ20" s="4"/>
      <c r="RSA20" s="4"/>
      <c r="RSB20" s="4"/>
      <c r="RSC20" s="4"/>
      <c r="RSD20" s="4"/>
      <c r="RSE20" s="4"/>
      <c r="RSF20" s="4"/>
      <c r="RSG20" s="4"/>
      <c r="RSH20" s="4"/>
      <c r="RSI20" s="4"/>
      <c r="RSJ20" s="4"/>
      <c r="RSK20" s="4"/>
      <c r="RSL20" s="4"/>
      <c r="RSM20" s="4"/>
      <c r="RSN20" s="4"/>
      <c r="RSO20" s="4"/>
      <c r="RSP20" s="4"/>
      <c r="RSQ20" s="4"/>
      <c r="RSR20" s="4"/>
      <c r="RSS20" s="4"/>
      <c r="RST20" s="4"/>
      <c r="RSU20" s="4"/>
      <c r="RSV20" s="4"/>
      <c r="RSW20" s="4"/>
      <c r="RSX20" s="4"/>
      <c r="RSY20" s="4"/>
      <c r="RSZ20" s="4"/>
      <c r="RTA20" s="4"/>
      <c r="RTB20" s="4"/>
      <c r="RTC20" s="4"/>
      <c r="RTD20" s="4"/>
      <c r="RTE20" s="4"/>
      <c r="RTF20" s="4"/>
      <c r="RTG20" s="4"/>
      <c r="RTH20" s="4"/>
      <c r="RTI20" s="4"/>
      <c r="RTJ20" s="4"/>
      <c r="RTK20" s="4"/>
      <c r="RTL20" s="4"/>
      <c r="RTM20" s="4"/>
      <c r="RTN20" s="4"/>
      <c r="RTO20" s="4"/>
      <c r="RTP20" s="4"/>
      <c r="RTQ20" s="4"/>
      <c r="RTR20" s="4"/>
      <c r="RTS20" s="4"/>
      <c r="RTT20" s="4"/>
      <c r="RTU20" s="4"/>
      <c r="RTV20" s="4"/>
      <c r="RTW20" s="4"/>
      <c r="RTX20" s="4"/>
      <c r="RTY20" s="4"/>
      <c r="RTZ20" s="4"/>
      <c r="RUA20" s="4"/>
      <c r="RUB20" s="4"/>
      <c r="RUC20" s="4"/>
      <c r="RUD20" s="4"/>
      <c r="RUE20" s="4"/>
      <c r="RUF20" s="4"/>
      <c r="RUG20" s="4"/>
      <c r="RUH20" s="4"/>
      <c r="RUI20" s="4"/>
      <c r="RUJ20" s="4"/>
      <c r="RUK20" s="4"/>
      <c r="RUL20" s="4"/>
      <c r="RUM20" s="4"/>
      <c r="RUN20" s="4"/>
      <c r="RUO20" s="4"/>
      <c r="RUP20" s="4"/>
      <c r="RUQ20" s="4"/>
      <c r="RUR20" s="4"/>
      <c r="RUS20" s="4"/>
      <c r="RUT20" s="4"/>
      <c r="RUU20" s="4"/>
      <c r="RUV20" s="4"/>
      <c r="RUW20" s="4"/>
      <c r="RUX20" s="4"/>
      <c r="RUY20" s="4"/>
      <c r="RUZ20" s="4"/>
      <c r="RVA20" s="4"/>
      <c r="RVB20" s="4"/>
      <c r="RVC20" s="4"/>
      <c r="RVD20" s="4"/>
      <c r="RVE20" s="4"/>
      <c r="RVF20" s="4"/>
      <c r="RVG20" s="4"/>
      <c r="RVH20" s="4"/>
      <c r="RVI20" s="4"/>
      <c r="RVJ20" s="4"/>
      <c r="RVK20" s="4"/>
      <c r="RVL20" s="4"/>
      <c r="RVM20" s="4"/>
      <c r="RVN20" s="4"/>
      <c r="RVO20" s="4"/>
      <c r="RVP20" s="4"/>
      <c r="RVQ20" s="4"/>
      <c r="RVR20" s="4"/>
      <c r="RVS20" s="4"/>
      <c r="RVT20" s="4"/>
      <c r="RVU20" s="4"/>
      <c r="RVV20" s="4"/>
      <c r="RVW20" s="4"/>
      <c r="RVX20" s="4"/>
      <c r="RVY20" s="4"/>
      <c r="RVZ20" s="4"/>
      <c r="RWA20" s="4"/>
      <c r="RWB20" s="4"/>
      <c r="RWC20" s="4"/>
      <c r="RWD20" s="4"/>
      <c r="RWE20" s="4"/>
      <c r="RWF20" s="4"/>
      <c r="RWG20" s="4"/>
      <c r="RWH20" s="4"/>
      <c r="RWI20" s="4"/>
      <c r="RWJ20" s="4"/>
      <c r="RWK20" s="4"/>
      <c r="RWL20" s="4"/>
      <c r="RWM20" s="4"/>
      <c r="RWN20" s="4"/>
      <c r="RWO20" s="4"/>
      <c r="RWP20" s="4"/>
      <c r="RWQ20" s="4"/>
      <c r="RWR20" s="4"/>
      <c r="RWS20" s="4"/>
      <c r="RWT20" s="4"/>
      <c r="RWU20" s="4"/>
      <c r="RWV20" s="4"/>
      <c r="RWW20" s="4"/>
      <c r="RWX20" s="4"/>
      <c r="RWY20" s="4"/>
      <c r="RWZ20" s="4"/>
      <c r="RXA20" s="4"/>
      <c r="RXB20" s="4"/>
      <c r="RXC20" s="4"/>
      <c r="RXD20" s="4"/>
      <c r="RXE20" s="4"/>
      <c r="RXF20" s="4"/>
      <c r="RXG20" s="4"/>
      <c r="RXH20" s="4"/>
      <c r="RXI20" s="4"/>
      <c r="RXJ20" s="4"/>
      <c r="RXK20" s="4"/>
      <c r="RXL20" s="4"/>
      <c r="RXM20" s="4"/>
      <c r="RXN20" s="4"/>
      <c r="RXO20" s="4"/>
      <c r="RXP20" s="4"/>
      <c r="RXQ20" s="4"/>
      <c r="RXR20" s="4"/>
      <c r="RXS20" s="4"/>
      <c r="RXT20" s="4"/>
      <c r="RXU20" s="4"/>
      <c r="RXV20" s="4"/>
      <c r="RXW20" s="4"/>
      <c r="RXX20" s="4"/>
      <c r="RXY20" s="4"/>
      <c r="RXZ20" s="4"/>
      <c r="RYA20" s="4"/>
      <c r="RYB20" s="4"/>
      <c r="RYC20" s="4"/>
      <c r="RYD20" s="4"/>
      <c r="RYE20" s="4"/>
      <c r="RYF20" s="4"/>
      <c r="RYG20" s="4"/>
      <c r="RYH20" s="4"/>
      <c r="RYI20" s="4"/>
      <c r="RYJ20" s="4"/>
      <c r="RYK20" s="4"/>
      <c r="RYL20" s="4"/>
      <c r="RYM20" s="4"/>
      <c r="RYN20" s="4"/>
      <c r="RYO20" s="4"/>
      <c r="RYP20" s="4"/>
      <c r="RYQ20" s="4"/>
      <c r="RYR20" s="4"/>
      <c r="RYS20" s="4"/>
      <c r="RYT20" s="4"/>
      <c r="RYU20" s="4"/>
      <c r="RYV20" s="4"/>
      <c r="RYW20" s="4"/>
      <c r="RYX20" s="4"/>
      <c r="RYY20" s="4"/>
      <c r="RYZ20" s="4"/>
      <c r="RZA20" s="4"/>
      <c r="RZB20" s="4"/>
      <c r="RZC20" s="4"/>
      <c r="RZD20" s="4"/>
      <c r="RZE20" s="4"/>
      <c r="RZF20" s="4"/>
      <c r="RZG20" s="4"/>
      <c r="RZH20" s="4"/>
      <c r="RZI20" s="4"/>
      <c r="RZJ20" s="4"/>
      <c r="RZK20" s="4"/>
      <c r="RZL20" s="4"/>
      <c r="RZM20" s="4"/>
      <c r="RZN20" s="4"/>
      <c r="RZO20" s="4"/>
      <c r="RZP20" s="4"/>
      <c r="RZQ20" s="4"/>
      <c r="RZR20" s="4"/>
      <c r="RZS20" s="4"/>
      <c r="RZT20" s="4"/>
      <c r="RZU20" s="4"/>
      <c r="RZV20" s="4"/>
      <c r="RZW20" s="4"/>
      <c r="RZX20" s="4"/>
      <c r="RZY20" s="4"/>
      <c r="RZZ20" s="4"/>
      <c r="SAA20" s="4"/>
      <c r="SAB20" s="4"/>
      <c r="SAC20" s="4"/>
      <c r="SAD20" s="4"/>
      <c r="SAE20" s="4"/>
      <c r="SAF20" s="4"/>
      <c r="SAG20" s="4"/>
      <c r="SAH20" s="4"/>
      <c r="SAI20" s="4"/>
      <c r="SAJ20" s="4"/>
      <c r="SAK20" s="4"/>
      <c r="SAL20" s="4"/>
      <c r="SAM20" s="4"/>
      <c r="SAN20" s="4"/>
      <c r="SAO20" s="4"/>
      <c r="SAP20" s="4"/>
      <c r="SAQ20" s="4"/>
      <c r="SAR20" s="4"/>
      <c r="SAS20" s="4"/>
      <c r="SAT20" s="4"/>
      <c r="SAU20" s="4"/>
      <c r="SAV20" s="4"/>
      <c r="SAW20" s="4"/>
      <c r="SAX20" s="4"/>
      <c r="SAY20" s="4"/>
      <c r="SAZ20" s="4"/>
      <c r="SBA20" s="4"/>
      <c r="SBB20" s="4"/>
      <c r="SBC20" s="4"/>
      <c r="SBD20" s="4"/>
      <c r="SBE20" s="4"/>
      <c r="SBF20" s="4"/>
      <c r="SBG20" s="4"/>
      <c r="SBH20" s="4"/>
      <c r="SBI20" s="4"/>
      <c r="SBJ20" s="4"/>
      <c r="SBK20" s="4"/>
      <c r="SBL20" s="4"/>
      <c r="SBM20" s="4"/>
      <c r="SBN20" s="4"/>
      <c r="SBO20" s="4"/>
      <c r="SBP20" s="4"/>
      <c r="SBQ20" s="4"/>
      <c r="SBR20" s="4"/>
      <c r="SBS20" s="4"/>
      <c r="SBT20" s="4"/>
      <c r="SBU20" s="4"/>
      <c r="SBV20" s="4"/>
      <c r="SBW20" s="4"/>
      <c r="SBX20" s="4"/>
      <c r="SBY20" s="4"/>
      <c r="SBZ20" s="4"/>
      <c r="SCA20" s="4"/>
      <c r="SCB20" s="4"/>
      <c r="SCC20" s="4"/>
      <c r="SCD20" s="4"/>
      <c r="SCE20" s="4"/>
      <c r="SCF20" s="4"/>
      <c r="SCG20" s="4"/>
      <c r="SCH20" s="4"/>
      <c r="SCI20" s="4"/>
      <c r="SCJ20" s="4"/>
      <c r="SCK20" s="4"/>
      <c r="SCL20" s="4"/>
      <c r="SCM20" s="4"/>
      <c r="SCN20" s="4"/>
      <c r="SCO20" s="4"/>
      <c r="SCP20" s="4"/>
      <c r="SCQ20" s="4"/>
      <c r="SCR20" s="4"/>
      <c r="SCS20" s="4"/>
      <c r="SCT20" s="4"/>
      <c r="SCU20" s="4"/>
      <c r="SCV20" s="4"/>
      <c r="SCW20" s="4"/>
      <c r="SCX20" s="4"/>
      <c r="SCY20" s="4"/>
      <c r="SCZ20" s="4"/>
      <c r="SDA20" s="4"/>
      <c r="SDB20" s="4"/>
      <c r="SDC20" s="4"/>
      <c r="SDD20" s="4"/>
      <c r="SDE20" s="4"/>
      <c r="SDF20" s="4"/>
      <c r="SDG20" s="4"/>
      <c r="SDH20" s="4"/>
      <c r="SDI20" s="4"/>
      <c r="SDJ20" s="4"/>
      <c r="SDK20" s="4"/>
      <c r="SDL20" s="4"/>
      <c r="SDM20" s="4"/>
      <c r="SDN20" s="4"/>
      <c r="SDO20" s="4"/>
      <c r="SDP20" s="4"/>
      <c r="SDQ20" s="4"/>
      <c r="SDR20" s="4"/>
      <c r="SDS20" s="4"/>
      <c r="SDT20" s="4"/>
      <c r="SDU20" s="4"/>
      <c r="SDV20" s="4"/>
      <c r="SDW20" s="4"/>
      <c r="SDX20" s="4"/>
      <c r="SDY20" s="4"/>
      <c r="SDZ20" s="4"/>
      <c r="SEA20" s="4"/>
      <c r="SEB20" s="4"/>
      <c r="SEC20" s="4"/>
      <c r="SED20" s="4"/>
      <c r="SEE20" s="4"/>
      <c r="SEF20" s="4"/>
      <c r="SEG20" s="4"/>
      <c r="SEH20" s="4"/>
      <c r="SEI20" s="4"/>
      <c r="SEJ20" s="4"/>
      <c r="SEK20" s="4"/>
      <c r="SEL20" s="4"/>
      <c r="SEM20" s="4"/>
      <c r="SEN20" s="4"/>
      <c r="SEO20" s="4"/>
      <c r="SEP20" s="4"/>
      <c r="SEQ20" s="4"/>
      <c r="SER20" s="4"/>
      <c r="SES20" s="4"/>
      <c r="SET20" s="4"/>
      <c r="SEU20" s="4"/>
      <c r="SEV20" s="4"/>
      <c r="SEW20" s="4"/>
      <c r="SEX20" s="4"/>
      <c r="SEY20" s="4"/>
      <c r="SEZ20" s="4"/>
      <c r="SFA20" s="4"/>
      <c r="SFB20" s="4"/>
      <c r="SFC20" s="4"/>
      <c r="SFD20" s="4"/>
      <c r="SFE20" s="4"/>
      <c r="SFF20" s="4"/>
      <c r="SFG20" s="4"/>
      <c r="SFH20" s="4"/>
      <c r="SFI20" s="4"/>
      <c r="SFJ20" s="4"/>
      <c r="SFK20" s="4"/>
      <c r="SFL20" s="4"/>
      <c r="SFM20" s="4"/>
      <c r="SFN20" s="4"/>
      <c r="SFO20" s="4"/>
      <c r="SFP20" s="4"/>
      <c r="SFQ20" s="4"/>
      <c r="SFR20" s="4"/>
      <c r="SFS20" s="4"/>
      <c r="SFT20" s="4"/>
      <c r="SFU20" s="4"/>
      <c r="SFV20" s="4"/>
      <c r="SFW20" s="4"/>
      <c r="SFX20" s="4"/>
      <c r="SFY20" s="4"/>
      <c r="SFZ20" s="4"/>
      <c r="SGA20" s="4"/>
      <c r="SGB20" s="4"/>
      <c r="SGC20" s="4"/>
      <c r="SGD20" s="4"/>
      <c r="SGE20" s="4"/>
      <c r="SGF20" s="4"/>
      <c r="SGG20" s="4"/>
      <c r="SGH20" s="4"/>
      <c r="SGI20" s="4"/>
      <c r="SGJ20" s="4"/>
      <c r="SGK20" s="4"/>
      <c r="SGL20" s="4"/>
      <c r="SGM20" s="4"/>
      <c r="SGN20" s="4"/>
      <c r="SGO20" s="4"/>
      <c r="SGP20" s="4"/>
      <c r="SGQ20" s="4"/>
      <c r="SGR20" s="4"/>
      <c r="SGS20" s="4"/>
      <c r="SGT20" s="4"/>
      <c r="SGU20" s="4"/>
      <c r="SGV20" s="4"/>
      <c r="SGW20" s="4"/>
      <c r="SGX20" s="4"/>
      <c r="SGY20" s="4"/>
      <c r="SGZ20" s="4"/>
      <c r="SHA20" s="4"/>
      <c r="SHB20" s="4"/>
      <c r="SHC20" s="4"/>
      <c r="SHD20" s="4"/>
      <c r="SHE20" s="4"/>
      <c r="SHF20" s="4"/>
      <c r="SHG20" s="4"/>
      <c r="SHH20" s="4"/>
      <c r="SHI20" s="4"/>
      <c r="SHJ20" s="4"/>
      <c r="SHK20" s="4"/>
      <c r="SHL20" s="4"/>
      <c r="SHM20" s="4"/>
      <c r="SHN20" s="4"/>
      <c r="SHO20" s="4"/>
      <c r="SHP20" s="4"/>
      <c r="SHQ20" s="4"/>
      <c r="SHR20" s="4"/>
      <c r="SHS20" s="4"/>
      <c r="SHT20" s="4"/>
      <c r="SHU20" s="4"/>
      <c r="SHV20" s="4"/>
      <c r="SHW20" s="4"/>
      <c r="SHX20" s="4"/>
      <c r="SHY20" s="4"/>
      <c r="SHZ20" s="4"/>
      <c r="SIA20" s="4"/>
      <c r="SIB20" s="4"/>
      <c r="SIC20" s="4"/>
      <c r="SID20" s="4"/>
      <c r="SIE20" s="4"/>
      <c r="SIF20" s="4"/>
      <c r="SIG20" s="4"/>
      <c r="SIH20" s="4"/>
      <c r="SII20" s="4"/>
      <c r="SIJ20" s="4"/>
      <c r="SIK20" s="4"/>
      <c r="SIL20" s="4"/>
      <c r="SIM20" s="4"/>
      <c r="SIN20" s="4"/>
      <c r="SIO20" s="4"/>
      <c r="SIP20" s="4"/>
      <c r="SIQ20" s="4"/>
      <c r="SIR20" s="4"/>
      <c r="SIS20" s="4"/>
      <c r="SIT20" s="4"/>
      <c r="SIU20" s="4"/>
      <c r="SIV20" s="4"/>
      <c r="SIW20" s="4"/>
      <c r="SIX20" s="4"/>
      <c r="SIY20" s="4"/>
      <c r="SIZ20" s="4"/>
      <c r="SJA20" s="4"/>
      <c r="SJB20" s="4"/>
      <c r="SJC20" s="4"/>
      <c r="SJD20" s="4"/>
      <c r="SJE20" s="4"/>
      <c r="SJF20" s="4"/>
      <c r="SJG20" s="4"/>
      <c r="SJH20" s="4"/>
      <c r="SJI20" s="4"/>
      <c r="SJJ20" s="4"/>
      <c r="SJK20" s="4"/>
      <c r="SJL20" s="4"/>
      <c r="SJM20" s="4"/>
      <c r="SJN20" s="4"/>
      <c r="SJO20" s="4"/>
      <c r="SJP20" s="4"/>
      <c r="SJQ20" s="4"/>
      <c r="SJR20" s="4"/>
      <c r="SJS20" s="4"/>
      <c r="SJT20" s="4"/>
      <c r="SJU20" s="4"/>
      <c r="SJV20" s="4"/>
      <c r="SJW20" s="4"/>
      <c r="SJX20" s="4"/>
      <c r="SJY20" s="4"/>
      <c r="SJZ20" s="4"/>
      <c r="SKA20" s="4"/>
      <c r="SKB20" s="4"/>
      <c r="SKC20" s="4"/>
      <c r="SKD20" s="4"/>
      <c r="SKE20" s="4"/>
      <c r="SKF20" s="4"/>
      <c r="SKG20" s="4"/>
      <c r="SKH20" s="4"/>
      <c r="SKI20" s="4"/>
      <c r="SKJ20" s="4"/>
      <c r="SKK20" s="4"/>
      <c r="SKL20" s="4"/>
      <c r="SKM20" s="4"/>
      <c r="SKN20" s="4"/>
      <c r="SKO20" s="4"/>
      <c r="SKP20" s="4"/>
      <c r="SKQ20" s="4"/>
      <c r="SKR20" s="4"/>
      <c r="SKS20" s="4"/>
      <c r="SKT20" s="4"/>
      <c r="SKU20" s="4"/>
      <c r="SKV20" s="4"/>
      <c r="SKW20" s="4"/>
      <c r="SKX20" s="4"/>
      <c r="SKY20" s="4"/>
      <c r="SKZ20" s="4"/>
      <c r="SLA20" s="4"/>
      <c r="SLB20" s="4"/>
      <c r="SLC20" s="4"/>
      <c r="SLD20" s="4"/>
      <c r="SLE20" s="4"/>
      <c r="SLF20" s="4"/>
      <c r="SLG20" s="4"/>
      <c r="SLH20" s="4"/>
      <c r="SLI20" s="4"/>
      <c r="SLJ20" s="4"/>
      <c r="SLK20" s="4"/>
      <c r="SLL20" s="4"/>
      <c r="SLM20" s="4"/>
      <c r="SLN20" s="4"/>
      <c r="SLO20" s="4"/>
      <c r="SLP20" s="4"/>
      <c r="SLQ20" s="4"/>
      <c r="SLR20" s="4"/>
      <c r="SLS20" s="4"/>
      <c r="SLT20" s="4"/>
      <c r="SLU20" s="4"/>
      <c r="SLV20" s="4"/>
      <c r="SLW20" s="4"/>
      <c r="SLX20" s="4"/>
      <c r="SLY20" s="4"/>
      <c r="SLZ20" s="4"/>
      <c r="SMA20" s="4"/>
      <c r="SMB20" s="4"/>
      <c r="SMC20" s="4"/>
      <c r="SMD20" s="4"/>
      <c r="SME20" s="4"/>
      <c r="SMF20" s="4"/>
      <c r="SMG20" s="4"/>
      <c r="SMH20" s="4"/>
      <c r="SMI20" s="4"/>
      <c r="SMJ20" s="4"/>
      <c r="SMK20" s="4"/>
      <c r="SML20" s="4"/>
      <c r="SMM20" s="4"/>
      <c r="SMN20" s="4"/>
      <c r="SMO20" s="4"/>
      <c r="SMP20" s="4"/>
      <c r="SMQ20" s="4"/>
      <c r="SMR20" s="4"/>
      <c r="SMS20" s="4"/>
      <c r="SMT20" s="4"/>
      <c r="SMU20" s="4"/>
      <c r="SMV20" s="4"/>
      <c r="SMW20" s="4"/>
      <c r="SMX20" s="4"/>
      <c r="SMY20" s="4"/>
      <c r="SMZ20" s="4"/>
      <c r="SNA20" s="4"/>
      <c r="SNB20" s="4"/>
      <c r="SNC20" s="4"/>
      <c r="SND20" s="4"/>
      <c r="SNE20" s="4"/>
      <c r="SNF20" s="4"/>
      <c r="SNG20" s="4"/>
      <c r="SNH20" s="4"/>
      <c r="SNI20" s="4"/>
      <c r="SNJ20" s="4"/>
      <c r="SNK20" s="4"/>
      <c r="SNL20" s="4"/>
      <c r="SNM20" s="4"/>
      <c r="SNN20" s="4"/>
      <c r="SNO20" s="4"/>
      <c r="SNP20" s="4"/>
      <c r="SNQ20" s="4"/>
      <c r="SNR20" s="4"/>
      <c r="SNS20" s="4"/>
      <c r="SNT20" s="4"/>
      <c r="SNU20" s="4"/>
      <c r="SNV20" s="4"/>
      <c r="SNW20" s="4"/>
      <c r="SNX20" s="4"/>
      <c r="SNY20" s="4"/>
      <c r="SNZ20" s="4"/>
      <c r="SOA20" s="4"/>
      <c r="SOB20" s="4"/>
      <c r="SOC20" s="4"/>
      <c r="SOD20" s="4"/>
      <c r="SOE20" s="4"/>
      <c r="SOF20" s="4"/>
      <c r="SOG20" s="4"/>
      <c r="SOH20" s="4"/>
      <c r="SOI20" s="4"/>
      <c r="SOJ20" s="4"/>
      <c r="SOK20" s="4"/>
      <c r="SOL20" s="4"/>
      <c r="SOM20" s="4"/>
      <c r="SON20" s="4"/>
      <c r="SOO20" s="4"/>
      <c r="SOP20" s="4"/>
      <c r="SOQ20" s="4"/>
      <c r="SOR20" s="4"/>
      <c r="SOS20" s="4"/>
      <c r="SOT20" s="4"/>
      <c r="SOU20" s="4"/>
      <c r="SOV20" s="4"/>
      <c r="SOW20" s="4"/>
      <c r="SOX20" s="4"/>
      <c r="SOY20" s="4"/>
      <c r="SOZ20" s="4"/>
      <c r="SPA20" s="4"/>
      <c r="SPB20" s="4"/>
      <c r="SPC20" s="4"/>
      <c r="SPD20" s="4"/>
      <c r="SPE20" s="4"/>
      <c r="SPF20" s="4"/>
      <c r="SPG20" s="4"/>
      <c r="SPH20" s="4"/>
      <c r="SPI20" s="4"/>
      <c r="SPJ20" s="4"/>
      <c r="SPK20" s="4"/>
      <c r="SPL20" s="4"/>
      <c r="SPM20" s="4"/>
      <c r="SPN20" s="4"/>
      <c r="SPO20" s="4"/>
      <c r="SPP20" s="4"/>
      <c r="SPQ20" s="4"/>
      <c r="SPR20" s="4"/>
      <c r="SPS20" s="4"/>
      <c r="SPT20" s="4"/>
      <c r="SPU20" s="4"/>
      <c r="SPV20" s="4"/>
      <c r="SPW20" s="4"/>
      <c r="SPX20" s="4"/>
      <c r="SPY20" s="4"/>
      <c r="SPZ20" s="4"/>
      <c r="SQA20" s="4"/>
      <c r="SQB20" s="4"/>
      <c r="SQC20" s="4"/>
      <c r="SQD20" s="4"/>
      <c r="SQE20" s="4"/>
      <c r="SQF20" s="4"/>
      <c r="SQG20" s="4"/>
      <c r="SQH20" s="4"/>
      <c r="SQI20" s="4"/>
      <c r="SQJ20" s="4"/>
      <c r="SQK20" s="4"/>
      <c r="SQL20" s="4"/>
      <c r="SQM20" s="4"/>
      <c r="SQN20" s="4"/>
      <c r="SQO20" s="4"/>
      <c r="SQP20" s="4"/>
      <c r="SQQ20" s="4"/>
      <c r="SQR20" s="4"/>
      <c r="SQS20" s="4"/>
      <c r="SQT20" s="4"/>
      <c r="SQU20" s="4"/>
      <c r="SQV20" s="4"/>
      <c r="SQW20" s="4"/>
      <c r="SQX20" s="4"/>
      <c r="SQY20" s="4"/>
      <c r="SQZ20" s="4"/>
      <c r="SRA20" s="4"/>
      <c r="SRB20" s="4"/>
      <c r="SRC20" s="4"/>
      <c r="SRD20" s="4"/>
      <c r="SRE20" s="4"/>
      <c r="SRF20" s="4"/>
      <c r="SRG20" s="4"/>
      <c r="SRH20" s="4"/>
      <c r="SRI20" s="4"/>
      <c r="SRJ20" s="4"/>
      <c r="SRK20" s="4"/>
      <c r="SRL20" s="4"/>
      <c r="SRM20" s="4"/>
      <c r="SRN20" s="4"/>
      <c r="SRO20" s="4"/>
      <c r="SRP20" s="4"/>
      <c r="SRQ20" s="4"/>
      <c r="SRR20" s="4"/>
      <c r="SRS20" s="4"/>
      <c r="SRT20" s="4"/>
      <c r="SRU20" s="4"/>
      <c r="SRV20" s="4"/>
      <c r="SRW20" s="4"/>
      <c r="SRX20" s="4"/>
      <c r="SRY20" s="4"/>
      <c r="SRZ20" s="4"/>
      <c r="SSA20" s="4"/>
      <c r="SSB20" s="4"/>
      <c r="SSC20" s="4"/>
      <c r="SSD20" s="4"/>
      <c r="SSE20" s="4"/>
      <c r="SSF20" s="4"/>
      <c r="SSG20" s="4"/>
      <c r="SSH20" s="4"/>
      <c r="SSI20" s="4"/>
      <c r="SSJ20" s="4"/>
      <c r="SSK20" s="4"/>
      <c r="SSL20" s="4"/>
      <c r="SSM20" s="4"/>
      <c r="SSN20" s="4"/>
      <c r="SSO20" s="4"/>
      <c r="SSP20" s="4"/>
      <c r="SSQ20" s="4"/>
      <c r="SSR20" s="4"/>
      <c r="SSS20" s="4"/>
      <c r="SST20" s="4"/>
      <c r="SSU20" s="4"/>
      <c r="SSV20" s="4"/>
      <c r="SSW20" s="4"/>
      <c r="SSX20" s="4"/>
      <c r="SSY20" s="4"/>
      <c r="SSZ20" s="4"/>
      <c r="STA20" s="4"/>
      <c r="STB20" s="4"/>
      <c r="STC20" s="4"/>
      <c r="STD20" s="4"/>
      <c r="STE20" s="4"/>
      <c r="STF20" s="4"/>
      <c r="STG20" s="4"/>
      <c r="STH20" s="4"/>
      <c r="STI20" s="4"/>
      <c r="STJ20" s="4"/>
      <c r="STK20" s="4"/>
      <c r="STL20" s="4"/>
      <c r="STM20" s="4"/>
      <c r="STN20" s="4"/>
      <c r="STO20" s="4"/>
      <c r="STP20" s="4"/>
      <c r="STQ20" s="4"/>
      <c r="STR20" s="4"/>
      <c r="STS20" s="4"/>
      <c r="STT20" s="4"/>
      <c r="STU20" s="4"/>
      <c r="STV20" s="4"/>
      <c r="STW20" s="4"/>
      <c r="STX20" s="4"/>
      <c r="STY20" s="4"/>
      <c r="STZ20" s="4"/>
      <c r="SUA20" s="4"/>
      <c r="SUB20" s="4"/>
      <c r="SUC20" s="4"/>
      <c r="SUD20" s="4"/>
      <c r="SUE20" s="4"/>
      <c r="SUF20" s="4"/>
      <c r="SUG20" s="4"/>
      <c r="SUH20" s="4"/>
      <c r="SUI20" s="4"/>
      <c r="SUJ20" s="4"/>
      <c r="SUK20" s="4"/>
      <c r="SUL20" s="4"/>
      <c r="SUM20" s="4"/>
      <c r="SUN20" s="4"/>
      <c r="SUO20" s="4"/>
      <c r="SUP20" s="4"/>
      <c r="SUQ20" s="4"/>
      <c r="SUR20" s="4"/>
      <c r="SUS20" s="4"/>
      <c r="SUT20" s="4"/>
      <c r="SUU20" s="4"/>
      <c r="SUV20" s="4"/>
      <c r="SUW20" s="4"/>
      <c r="SUX20" s="4"/>
      <c r="SUY20" s="4"/>
      <c r="SUZ20" s="4"/>
      <c r="SVA20" s="4"/>
      <c r="SVB20" s="4"/>
      <c r="SVC20" s="4"/>
      <c r="SVD20" s="4"/>
      <c r="SVE20" s="4"/>
      <c r="SVF20" s="4"/>
      <c r="SVG20" s="4"/>
      <c r="SVH20" s="4"/>
      <c r="SVI20" s="4"/>
      <c r="SVJ20" s="4"/>
      <c r="SVK20" s="4"/>
      <c r="SVL20" s="4"/>
      <c r="SVM20" s="4"/>
      <c r="SVN20" s="4"/>
      <c r="SVO20" s="4"/>
      <c r="SVP20" s="4"/>
      <c r="SVQ20" s="4"/>
      <c r="SVR20" s="4"/>
      <c r="SVS20" s="4"/>
      <c r="SVT20" s="4"/>
      <c r="SVU20" s="4"/>
      <c r="SVV20" s="4"/>
      <c r="SVW20" s="4"/>
      <c r="SVX20" s="4"/>
      <c r="SVY20" s="4"/>
      <c r="SVZ20" s="4"/>
      <c r="SWA20" s="4"/>
      <c r="SWB20" s="4"/>
      <c r="SWC20" s="4"/>
      <c r="SWD20" s="4"/>
      <c r="SWE20" s="4"/>
      <c r="SWF20" s="4"/>
      <c r="SWG20" s="4"/>
      <c r="SWH20" s="4"/>
      <c r="SWI20" s="4"/>
      <c r="SWJ20" s="4"/>
      <c r="SWK20" s="4"/>
      <c r="SWL20" s="4"/>
      <c r="SWM20" s="4"/>
      <c r="SWN20" s="4"/>
      <c r="SWO20" s="4"/>
      <c r="SWP20" s="4"/>
      <c r="SWQ20" s="4"/>
      <c r="SWR20" s="4"/>
      <c r="SWS20" s="4"/>
      <c r="SWT20" s="4"/>
      <c r="SWU20" s="4"/>
      <c r="SWV20" s="4"/>
      <c r="SWW20" s="4"/>
      <c r="SWX20" s="4"/>
      <c r="SWY20" s="4"/>
      <c r="SWZ20" s="4"/>
      <c r="SXA20" s="4"/>
      <c r="SXB20" s="4"/>
      <c r="SXC20" s="4"/>
      <c r="SXD20" s="4"/>
      <c r="SXE20" s="4"/>
      <c r="SXF20" s="4"/>
      <c r="SXG20" s="4"/>
      <c r="SXH20" s="4"/>
      <c r="SXI20" s="4"/>
      <c r="SXJ20" s="4"/>
      <c r="SXK20" s="4"/>
      <c r="SXL20" s="4"/>
      <c r="SXM20" s="4"/>
      <c r="SXN20" s="4"/>
      <c r="SXO20" s="4"/>
      <c r="SXP20" s="4"/>
      <c r="SXQ20" s="4"/>
      <c r="SXR20" s="4"/>
      <c r="SXS20" s="4"/>
      <c r="SXT20" s="4"/>
      <c r="SXU20" s="4"/>
      <c r="SXV20" s="4"/>
      <c r="SXW20" s="4"/>
      <c r="SXX20" s="4"/>
      <c r="SXY20" s="4"/>
      <c r="SXZ20" s="4"/>
      <c r="SYA20" s="4"/>
      <c r="SYB20" s="4"/>
      <c r="SYC20" s="4"/>
      <c r="SYD20" s="4"/>
      <c r="SYE20" s="4"/>
      <c r="SYF20" s="4"/>
      <c r="SYG20" s="4"/>
      <c r="SYH20" s="4"/>
      <c r="SYI20" s="4"/>
      <c r="SYJ20" s="4"/>
      <c r="SYK20" s="4"/>
      <c r="SYL20" s="4"/>
      <c r="SYM20" s="4"/>
      <c r="SYN20" s="4"/>
      <c r="SYO20" s="4"/>
      <c r="SYP20" s="4"/>
      <c r="SYQ20" s="4"/>
      <c r="SYR20" s="4"/>
      <c r="SYS20" s="4"/>
      <c r="SYT20" s="4"/>
      <c r="SYU20" s="4"/>
      <c r="SYV20" s="4"/>
      <c r="SYW20" s="4"/>
      <c r="SYX20" s="4"/>
      <c r="SYY20" s="4"/>
      <c r="SYZ20" s="4"/>
      <c r="SZA20" s="4"/>
      <c r="SZB20" s="4"/>
      <c r="SZC20" s="4"/>
      <c r="SZD20" s="4"/>
      <c r="SZE20" s="4"/>
      <c r="SZF20" s="4"/>
      <c r="SZG20" s="4"/>
      <c r="SZH20" s="4"/>
      <c r="SZI20" s="4"/>
      <c r="SZJ20" s="4"/>
      <c r="SZK20" s="4"/>
      <c r="SZL20" s="4"/>
      <c r="SZM20" s="4"/>
      <c r="SZN20" s="4"/>
      <c r="SZO20" s="4"/>
      <c r="SZP20" s="4"/>
      <c r="SZQ20" s="4"/>
      <c r="SZR20" s="4"/>
      <c r="SZS20" s="4"/>
      <c r="SZT20" s="4"/>
      <c r="SZU20" s="4"/>
      <c r="SZV20" s="4"/>
      <c r="SZW20" s="4"/>
      <c r="SZX20" s="4"/>
      <c r="SZY20" s="4"/>
      <c r="SZZ20" s="4"/>
      <c r="TAA20" s="4"/>
      <c r="TAB20" s="4"/>
      <c r="TAC20" s="4"/>
      <c r="TAD20" s="4"/>
      <c r="TAE20" s="4"/>
      <c r="TAF20" s="4"/>
      <c r="TAG20" s="4"/>
      <c r="TAH20" s="4"/>
      <c r="TAI20" s="4"/>
      <c r="TAJ20" s="4"/>
      <c r="TAK20" s="4"/>
      <c r="TAL20" s="4"/>
      <c r="TAM20" s="4"/>
      <c r="TAN20" s="4"/>
      <c r="TAO20" s="4"/>
      <c r="TAP20" s="4"/>
      <c r="TAQ20" s="4"/>
      <c r="TAR20" s="4"/>
      <c r="TAS20" s="4"/>
      <c r="TAT20" s="4"/>
      <c r="TAU20" s="4"/>
      <c r="TAV20" s="4"/>
      <c r="TAW20" s="4"/>
      <c r="TAX20" s="4"/>
      <c r="TAY20" s="4"/>
      <c r="TAZ20" s="4"/>
      <c r="TBA20" s="4"/>
      <c r="TBB20" s="4"/>
      <c r="TBC20" s="4"/>
      <c r="TBD20" s="4"/>
      <c r="TBE20" s="4"/>
      <c r="TBF20" s="4"/>
      <c r="TBG20" s="4"/>
      <c r="TBH20" s="4"/>
      <c r="TBI20" s="4"/>
      <c r="TBJ20" s="4"/>
      <c r="TBK20" s="4"/>
      <c r="TBL20" s="4"/>
      <c r="TBM20" s="4"/>
      <c r="TBN20" s="4"/>
      <c r="TBO20" s="4"/>
      <c r="TBP20" s="4"/>
      <c r="TBQ20" s="4"/>
      <c r="TBR20" s="4"/>
      <c r="TBS20" s="4"/>
      <c r="TBT20" s="4"/>
      <c r="TBU20" s="4"/>
      <c r="TBV20" s="4"/>
      <c r="TBW20" s="4"/>
      <c r="TBX20" s="4"/>
      <c r="TBY20" s="4"/>
      <c r="TBZ20" s="4"/>
      <c r="TCA20" s="4"/>
      <c r="TCB20" s="4"/>
      <c r="TCC20" s="4"/>
      <c r="TCD20" s="4"/>
      <c r="TCE20" s="4"/>
      <c r="TCF20" s="4"/>
      <c r="TCG20" s="4"/>
      <c r="TCH20" s="4"/>
      <c r="TCI20" s="4"/>
      <c r="TCJ20" s="4"/>
      <c r="TCK20" s="4"/>
      <c r="TCL20" s="4"/>
      <c r="TCM20" s="4"/>
      <c r="TCN20" s="4"/>
      <c r="TCO20" s="4"/>
      <c r="TCP20" s="4"/>
      <c r="TCQ20" s="4"/>
      <c r="TCR20" s="4"/>
      <c r="TCS20" s="4"/>
      <c r="TCT20" s="4"/>
      <c r="TCU20" s="4"/>
      <c r="TCV20" s="4"/>
      <c r="TCW20" s="4"/>
      <c r="TCX20" s="4"/>
      <c r="TCY20" s="4"/>
      <c r="TCZ20" s="4"/>
      <c r="TDA20" s="4"/>
      <c r="TDB20" s="4"/>
      <c r="TDC20" s="4"/>
      <c r="TDD20" s="4"/>
      <c r="TDE20" s="4"/>
      <c r="TDF20" s="4"/>
      <c r="TDG20" s="4"/>
      <c r="TDH20" s="4"/>
      <c r="TDI20" s="4"/>
      <c r="TDJ20" s="4"/>
      <c r="TDK20" s="4"/>
      <c r="TDL20" s="4"/>
      <c r="TDM20" s="4"/>
      <c r="TDN20" s="4"/>
      <c r="TDO20" s="4"/>
      <c r="TDP20" s="4"/>
      <c r="TDQ20" s="4"/>
      <c r="TDR20" s="4"/>
      <c r="TDS20" s="4"/>
      <c r="TDT20" s="4"/>
      <c r="TDU20" s="4"/>
      <c r="TDV20" s="4"/>
      <c r="TDW20" s="4"/>
      <c r="TDX20" s="4"/>
      <c r="TDY20" s="4"/>
      <c r="TDZ20" s="4"/>
      <c r="TEA20" s="4"/>
      <c r="TEB20" s="4"/>
      <c r="TEC20" s="4"/>
      <c r="TED20" s="4"/>
      <c r="TEE20" s="4"/>
      <c r="TEF20" s="4"/>
      <c r="TEG20" s="4"/>
      <c r="TEH20" s="4"/>
      <c r="TEI20" s="4"/>
      <c r="TEJ20" s="4"/>
      <c r="TEK20" s="4"/>
      <c r="TEL20" s="4"/>
      <c r="TEM20" s="4"/>
      <c r="TEN20" s="4"/>
      <c r="TEO20" s="4"/>
      <c r="TEP20" s="4"/>
      <c r="TEQ20" s="4"/>
      <c r="TER20" s="4"/>
      <c r="TES20" s="4"/>
      <c r="TET20" s="4"/>
      <c r="TEU20" s="4"/>
      <c r="TEV20" s="4"/>
      <c r="TEW20" s="4"/>
      <c r="TEX20" s="4"/>
      <c r="TEY20" s="4"/>
      <c r="TEZ20" s="4"/>
      <c r="TFA20" s="4"/>
      <c r="TFB20" s="4"/>
      <c r="TFC20" s="4"/>
      <c r="TFD20" s="4"/>
      <c r="TFE20" s="4"/>
      <c r="TFF20" s="4"/>
      <c r="TFG20" s="4"/>
      <c r="TFH20" s="4"/>
      <c r="TFI20" s="4"/>
      <c r="TFJ20" s="4"/>
      <c r="TFK20" s="4"/>
      <c r="TFL20" s="4"/>
      <c r="TFM20" s="4"/>
      <c r="TFN20" s="4"/>
      <c r="TFO20" s="4"/>
      <c r="TFP20" s="4"/>
      <c r="TFQ20" s="4"/>
      <c r="TFR20" s="4"/>
      <c r="TFS20" s="4"/>
      <c r="TFT20" s="4"/>
      <c r="TFU20" s="4"/>
      <c r="TFV20" s="4"/>
      <c r="TFW20" s="4"/>
      <c r="TFX20" s="4"/>
      <c r="TFY20" s="4"/>
      <c r="TFZ20" s="4"/>
      <c r="TGA20" s="4"/>
      <c r="TGB20" s="4"/>
      <c r="TGC20" s="4"/>
      <c r="TGD20" s="4"/>
      <c r="TGE20" s="4"/>
      <c r="TGF20" s="4"/>
      <c r="TGG20" s="4"/>
      <c r="TGH20" s="4"/>
      <c r="TGI20" s="4"/>
      <c r="TGJ20" s="4"/>
      <c r="TGK20" s="4"/>
      <c r="TGL20" s="4"/>
      <c r="TGM20" s="4"/>
      <c r="TGN20" s="4"/>
      <c r="TGO20" s="4"/>
      <c r="TGP20" s="4"/>
      <c r="TGQ20" s="4"/>
      <c r="TGR20" s="4"/>
      <c r="TGS20" s="4"/>
      <c r="TGT20" s="4"/>
      <c r="TGU20" s="4"/>
      <c r="TGV20" s="4"/>
      <c r="TGW20" s="4"/>
      <c r="TGX20" s="4"/>
      <c r="TGY20" s="4"/>
      <c r="TGZ20" s="4"/>
      <c r="THA20" s="4"/>
      <c r="THB20" s="4"/>
      <c r="THC20" s="4"/>
      <c r="THD20" s="4"/>
      <c r="THE20" s="4"/>
      <c r="THF20" s="4"/>
      <c r="THG20" s="4"/>
      <c r="THH20" s="4"/>
      <c r="THI20" s="4"/>
      <c r="THJ20" s="4"/>
      <c r="THK20" s="4"/>
      <c r="THL20" s="4"/>
      <c r="THM20" s="4"/>
      <c r="THN20" s="4"/>
      <c r="THO20" s="4"/>
      <c r="THP20" s="4"/>
      <c r="THQ20" s="4"/>
      <c r="THR20" s="4"/>
      <c r="THS20" s="4"/>
      <c r="THT20" s="4"/>
      <c r="THU20" s="4"/>
      <c r="THV20" s="4"/>
      <c r="THW20" s="4"/>
      <c r="THX20" s="4"/>
      <c r="THY20" s="4"/>
      <c r="THZ20" s="4"/>
      <c r="TIA20" s="4"/>
      <c r="TIB20" s="4"/>
      <c r="TIC20" s="4"/>
      <c r="TID20" s="4"/>
      <c r="TIE20" s="4"/>
      <c r="TIF20" s="4"/>
      <c r="TIG20" s="4"/>
      <c r="TIH20" s="4"/>
      <c r="TII20" s="4"/>
      <c r="TIJ20" s="4"/>
      <c r="TIK20" s="4"/>
      <c r="TIL20" s="4"/>
      <c r="TIM20" s="4"/>
      <c r="TIN20" s="4"/>
      <c r="TIO20" s="4"/>
      <c r="TIP20" s="4"/>
      <c r="TIQ20" s="4"/>
      <c r="TIR20" s="4"/>
      <c r="TIS20" s="4"/>
      <c r="TIT20" s="4"/>
      <c r="TIU20" s="4"/>
      <c r="TIV20" s="4"/>
      <c r="TIW20" s="4"/>
      <c r="TIX20" s="4"/>
      <c r="TIY20" s="4"/>
      <c r="TIZ20" s="4"/>
      <c r="TJA20" s="4"/>
      <c r="TJB20" s="4"/>
      <c r="TJC20" s="4"/>
      <c r="TJD20" s="4"/>
      <c r="TJE20" s="4"/>
      <c r="TJF20" s="4"/>
      <c r="TJG20" s="4"/>
      <c r="TJH20" s="4"/>
      <c r="TJI20" s="4"/>
      <c r="TJJ20" s="4"/>
      <c r="TJK20" s="4"/>
      <c r="TJL20" s="4"/>
      <c r="TJM20" s="4"/>
      <c r="TJN20" s="4"/>
      <c r="TJO20" s="4"/>
      <c r="TJP20" s="4"/>
      <c r="TJQ20" s="4"/>
      <c r="TJR20" s="4"/>
      <c r="TJS20" s="4"/>
      <c r="TJT20" s="4"/>
      <c r="TJU20" s="4"/>
      <c r="TJV20" s="4"/>
      <c r="TJW20" s="4"/>
      <c r="TJX20" s="4"/>
      <c r="TJY20" s="4"/>
      <c r="TJZ20" s="4"/>
      <c r="TKA20" s="4"/>
      <c r="TKB20" s="4"/>
      <c r="TKC20" s="4"/>
      <c r="TKD20" s="4"/>
      <c r="TKE20" s="4"/>
      <c r="TKF20" s="4"/>
      <c r="TKG20" s="4"/>
      <c r="TKH20" s="4"/>
      <c r="TKI20" s="4"/>
      <c r="TKJ20" s="4"/>
      <c r="TKK20" s="4"/>
      <c r="TKL20" s="4"/>
      <c r="TKM20" s="4"/>
      <c r="TKN20" s="4"/>
      <c r="TKO20" s="4"/>
      <c r="TKP20" s="4"/>
      <c r="TKQ20" s="4"/>
      <c r="TKR20" s="4"/>
      <c r="TKS20" s="4"/>
      <c r="TKT20" s="4"/>
      <c r="TKU20" s="4"/>
      <c r="TKV20" s="4"/>
      <c r="TKW20" s="4"/>
      <c r="TKX20" s="4"/>
      <c r="TKY20" s="4"/>
      <c r="TKZ20" s="4"/>
      <c r="TLA20" s="4"/>
      <c r="TLB20" s="4"/>
      <c r="TLC20" s="4"/>
      <c r="TLD20" s="4"/>
      <c r="TLE20" s="4"/>
      <c r="TLF20" s="4"/>
      <c r="TLG20" s="4"/>
      <c r="TLH20" s="4"/>
      <c r="TLI20" s="4"/>
      <c r="TLJ20" s="4"/>
      <c r="TLK20" s="4"/>
      <c r="TLL20" s="4"/>
      <c r="TLM20" s="4"/>
      <c r="TLN20" s="4"/>
      <c r="TLO20" s="4"/>
      <c r="TLP20" s="4"/>
      <c r="TLQ20" s="4"/>
      <c r="TLR20" s="4"/>
      <c r="TLS20" s="4"/>
      <c r="TLT20" s="4"/>
      <c r="TLU20" s="4"/>
      <c r="TLV20" s="4"/>
      <c r="TLW20" s="4"/>
      <c r="TLX20" s="4"/>
      <c r="TLY20" s="4"/>
      <c r="TLZ20" s="4"/>
      <c r="TMA20" s="4"/>
      <c r="TMB20" s="4"/>
      <c r="TMC20" s="4"/>
      <c r="TMD20" s="4"/>
      <c r="TME20" s="4"/>
      <c r="TMF20" s="4"/>
      <c r="TMG20" s="4"/>
      <c r="TMH20" s="4"/>
      <c r="TMI20" s="4"/>
      <c r="TMJ20" s="4"/>
      <c r="TMK20" s="4"/>
      <c r="TML20" s="4"/>
      <c r="TMM20" s="4"/>
      <c r="TMN20" s="4"/>
      <c r="TMO20" s="4"/>
      <c r="TMP20" s="4"/>
      <c r="TMQ20" s="4"/>
      <c r="TMR20" s="4"/>
      <c r="TMS20" s="4"/>
      <c r="TMT20" s="4"/>
      <c r="TMU20" s="4"/>
      <c r="TMV20" s="4"/>
      <c r="TMW20" s="4"/>
      <c r="TMX20" s="4"/>
      <c r="TMY20" s="4"/>
      <c r="TMZ20" s="4"/>
      <c r="TNA20" s="4"/>
      <c r="TNB20" s="4"/>
      <c r="TNC20" s="4"/>
      <c r="TND20" s="4"/>
      <c r="TNE20" s="4"/>
      <c r="TNF20" s="4"/>
      <c r="TNG20" s="4"/>
      <c r="TNH20" s="4"/>
      <c r="TNI20" s="4"/>
      <c r="TNJ20" s="4"/>
      <c r="TNK20" s="4"/>
      <c r="TNL20" s="4"/>
      <c r="TNM20" s="4"/>
      <c r="TNN20" s="4"/>
      <c r="TNO20" s="4"/>
      <c r="TNP20" s="4"/>
      <c r="TNQ20" s="4"/>
      <c r="TNR20" s="4"/>
      <c r="TNS20" s="4"/>
      <c r="TNT20" s="4"/>
      <c r="TNU20" s="4"/>
      <c r="TNV20" s="4"/>
      <c r="TNW20" s="4"/>
      <c r="TNX20" s="4"/>
      <c r="TNY20" s="4"/>
      <c r="TNZ20" s="4"/>
      <c r="TOA20" s="4"/>
      <c r="TOB20" s="4"/>
      <c r="TOC20" s="4"/>
      <c r="TOD20" s="4"/>
      <c r="TOE20" s="4"/>
      <c r="TOF20" s="4"/>
      <c r="TOG20" s="4"/>
      <c r="TOH20" s="4"/>
      <c r="TOI20" s="4"/>
      <c r="TOJ20" s="4"/>
      <c r="TOK20" s="4"/>
      <c r="TOL20" s="4"/>
      <c r="TOM20" s="4"/>
      <c r="TON20" s="4"/>
      <c r="TOO20" s="4"/>
      <c r="TOP20" s="4"/>
      <c r="TOQ20" s="4"/>
      <c r="TOR20" s="4"/>
      <c r="TOS20" s="4"/>
      <c r="TOT20" s="4"/>
      <c r="TOU20" s="4"/>
      <c r="TOV20" s="4"/>
      <c r="TOW20" s="4"/>
      <c r="TOX20" s="4"/>
      <c r="TOY20" s="4"/>
      <c r="TOZ20" s="4"/>
      <c r="TPA20" s="4"/>
      <c r="TPB20" s="4"/>
      <c r="TPC20" s="4"/>
      <c r="TPD20" s="4"/>
      <c r="TPE20" s="4"/>
      <c r="TPF20" s="4"/>
      <c r="TPG20" s="4"/>
      <c r="TPH20" s="4"/>
      <c r="TPI20" s="4"/>
      <c r="TPJ20" s="4"/>
      <c r="TPK20" s="4"/>
      <c r="TPL20" s="4"/>
      <c r="TPM20" s="4"/>
      <c r="TPN20" s="4"/>
      <c r="TPO20" s="4"/>
      <c r="TPP20" s="4"/>
      <c r="TPQ20" s="4"/>
      <c r="TPR20" s="4"/>
      <c r="TPS20" s="4"/>
      <c r="TPT20" s="4"/>
      <c r="TPU20" s="4"/>
      <c r="TPV20" s="4"/>
      <c r="TPW20" s="4"/>
      <c r="TPX20" s="4"/>
      <c r="TPY20" s="4"/>
      <c r="TPZ20" s="4"/>
      <c r="TQA20" s="4"/>
      <c r="TQB20" s="4"/>
      <c r="TQC20" s="4"/>
      <c r="TQD20" s="4"/>
      <c r="TQE20" s="4"/>
      <c r="TQF20" s="4"/>
      <c r="TQG20" s="4"/>
      <c r="TQH20" s="4"/>
      <c r="TQI20" s="4"/>
      <c r="TQJ20" s="4"/>
      <c r="TQK20" s="4"/>
      <c r="TQL20" s="4"/>
      <c r="TQM20" s="4"/>
      <c r="TQN20" s="4"/>
      <c r="TQO20" s="4"/>
      <c r="TQP20" s="4"/>
      <c r="TQQ20" s="4"/>
      <c r="TQR20" s="4"/>
      <c r="TQS20" s="4"/>
      <c r="TQT20" s="4"/>
      <c r="TQU20" s="4"/>
      <c r="TQV20" s="4"/>
      <c r="TQW20" s="4"/>
      <c r="TQX20" s="4"/>
      <c r="TQY20" s="4"/>
      <c r="TQZ20" s="4"/>
      <c r="TRA20" s="4"/>
      <c r="TRB20" s="4"/>
      <c r="TRC20" s="4"/>
      <c r="TRD20" s="4"/>
      <c r="TRE20" s="4"/>
      <c r="TRF20" s="4"/>
      <c r="TRG20" s="4"/>
      <c r="TRH20" s="4"/>
      <c r="TRI20" s="4"/>
      <c r="TRJ20" s="4"/>
      <c r="TRK20" s="4"/>
      <c r="TRL20" s="4"/>
      <c r="TRM20" s="4"/>
      <c r="TRN20" s="4"/>
      <c r="TRO20" s="4"/>
      <c r="TRP20" s="4"/>
      <c r="TRQ20" s="4"/>
      <c r="TRR20" s="4"/>
      <c r="TRS20" s="4"/>
      <c r="TRT20" s="4"/>
      <c r="TRU20" s="4"/>
      <c r="TRV20" s="4"/>
      <c r="TRW20" s="4"/>
      <c r="TRX20" s="4"/>
      <c r="TRY20" s="4"/>
      <c r="TRZ20" s="4"/>
      <c r="TSA20" s="4"/>
      <c r="TSB20" s="4"/>
      <c r="TSC20" s="4"/>
      <c r="TSD20" s="4"/>
      <c r="TSE20" s="4"/>
      <c r="TSF20" s="4"/>
      <c r="TSG20" s="4"/>
      <c r="TSH20" s="4"/>
      <c r="TSI20" s="4"/>
      <c r="TSJ20" s="4"/>
      <c r="TSK20" s="4"/>
      <c r="TSL20" s="4"/>
      <c r="TSM20" s="4"/>
      <c r="TSN20" s="4"/>
      <c r="TSO20" s="4"/>
      <c r="TSP20" s="4"/>
      <c r="TSQ20" s="4"/>
      <c r="TSR20" s="4"/>
      <c r="TSS20" s="4"/>
      <c r="TST20" s="4"/>
      <c r="TSU20" s="4"/>
      <c r="TSV20" s="4"/>
      <c r="TSW20" s="4"/>
      <c r="TSX20" s="4"/>
      <c r="TSY20" s="4"/>
      <c r="TSZ20" s="4"/>
      <c r="TTA20" s="4"/>
      <c r="TTB20" s="4"/>
      <c r="TTC20" s="4"/>
      <c r="TTD20" s="4"/>
      <c r="TTE20" s="4"/>
      <c r="TTF20" s="4"/>
      <c r="TTG20" s="4"/>
      <c r="TTH20" s="4"/>
      <c r="TTI20" s="4"/>
      <c r="TTJ20" s="4"/>
      <c r="TTK20" s="4"/>
      <c r="TTL20" s="4"/>
      <c r="TTM20" s="4"/>
      <c r="TTN20" s="4"/>
      <c r="TTO20" s="4"/>
      <c r="TTP20" s="4"/>
      <c r="TTQ20" s="4"/>
      <c r="TTR20" s="4"/>
      <c r="TTS20" s="4"/>
      <c r="TTT20" s="4"/>
      <c r="TTU20" s="4"/>
      <c r="TTV20" s="4"/>
      <c r="TTW20" s="4"/>
      <c r="TTX20" s="4"/>
      <c r="TTY20" s="4"/>
      <c r="TTZ20" s="4"/>
      <c r="TUA20" s="4"/>
      <c r="TUB20" s="4"/>
      <c r="TUC20" s="4"/>
      <c r="TUD20" s="4"/>
      <c r="TUE20" s="4"/>
      <c r="TUF20" s="4"/>
      <c r="TUG20" s="4"/>
      <c r="TUH20" s="4"/>
      <c r="TUI20" s="4"/>
      <c r="TUJ20" s="4"/>
      <c r="TUK20" s="4"/>
      <c r="TUL20" s="4"/>
      <c r="TUM20" s="4"/>
      <c r="TUN20" s="4"/>
      <c r="TUO20" s="4"/>
      <c r="TUP20" s="4"/>
      <c r="TUQ20" s="4"/>
      <c r="TUR20" s="4"/>
      <c r="TUS20" s="4"/>
      <c r="TUT20" s="4"/>
      <c r="TUU20" s="4"/>
      <c r="TUV20" s="4"/>
      <c r="TUW20" s="4"/>
      <c r="TUX20" s="4"/>
      <c r="TUY20" s="4"/>
      <c r="TUZ20" s="4"/>
      <c r="TVA20" s="4"/>
      <c r="TVB20" s="4"/>
      <c r="TVC20" s="4"/>
      <c r="TVD20" s="4"/>
      <c r="TVE20" s="4"/>
      <c r="TVF20" s="4"/>
      <c r="TVG20" s="4"/>
      <c r="TVH20" s="4"/>
      <c r="TVI20" s="4"/>
      <c r="TVJ20" s="4"/>
      <c r="TVK20" s="4"/>
      <c r="TVL20" s="4"/>
      <c r="TVM20" s="4"/>
      <c r="TVN20" s="4"/>
      <c r="TVO20" s="4"/>
      <c r="TVP20" s="4"/>
      <c r="TVQ20" s="4"/>
      <c r="TVR20" s="4"/>
      <c r="TVS20" s="4"/>
      <c r="TVT20" s="4"/>
      <c r="TVU20" s="4"/>
      <c r="TVV20" s="4"/>
      <c r="TVW20" s="4"/>
      <c r="TVX20" s="4"/>
      <c r="TVY20" s="4"/>
      <c r="TVZ20" s="4"/>
      <c r="TWA20" s="4"/>
      <c r="TWB20" s="4"/>
      <c r="TWC20" s="4"/>
      <c r="TWD20" s="4"/>
      <c r="TWE20" s="4"/>
      <c r="TWF20" s="4"/>
      <c r="TWG20" s="4"/>
      <c r="TWH20" s="4"/>
      <c r="TWI20" s="4"/>
      <c r="TWJ20" s="4"/>
      <c r="TWK20" s="4"/>
      <c r="TWL20" s="4"/>
      <c r="TWM20" s="4"/>
      <c r="TWN20" s="4"/>
      <c r="TWO20" s="4"/>
      <c r="TWP20" s="4"/>
      <c r="TWQ20" s="4"/>
      <c r="TWR20" s="4"/>
      <c r="TWS20" s="4"/>
      <c r="TWT20" s="4"/>
      <c r="TWU20" s="4"/>
      <c r="TWV20" s="4"/>
      <c r="TWW20" s="4"/>
      <c r="TWX20" s="4"/>
      <c r="TWY20" s="4"/>
      <c r="TWZ20" s="4"/>
      <c r="TXA20" s="4"/>
      <c r="TXB20" s="4"/>
      <c r="TXC20" s="4"/>
      <c r="TXD20" s="4"/>
      <c r="TXE20" s="4"/>
      <c r="TXF20" s="4"/>
      <c r="TXG20" s="4"/>
      <c r="TXH20" s="4"/>
      <c r="TXI20" s="4"/>
      <c r="TXJ20" s="4"/>
      <c r="TXK20" s="4"/>
      <c r="TXL20" s="4"/>
      <c r="TXM20" s="4"/>
      <c r="TXN20" s="4"/>
      <c r="TXO20" s="4"/>
      <c r="TXP20" s="4"/>
      <c r="TXQ20" s="4"/>
      <c r="TXR20" s="4"/>
      <c r="TXS20" s="4"/>
      <c r="TXT20" s="4"/>
      <c r="TXU20" s="4"/>
      <c r="TXV20" s="4"/>
      <c r="TXW20" s="4"/>
      <c r="TXX20" s="4"/>
      <c r="TXY20" s="4"/>
      <c r="TXZ20" s="4"/>
      <c r="TYA20" s="4"/>
      <c r="TYB20" s="4"/>
      <c r="TYC20" s="4"/>
      <c r="TYD20" s="4"/>
      <c r="TYE20" s="4"/>
      <c r="TYF20" s="4"/>
      <c r="TYG20" s="4"/>
      <c r="TYH20" s="4"/>
      <c r="TYI20" s="4"/>
      <c r="TYJ20" s="4"/>
      <c r="TYK20" s="4"/>
      <c r="TYL20" s="4"/>
      <c r="TYM20" s="4"/>
      <c r="TYN20" s="4"/>
      <c r="TYO20" s="4"/>
      <c r="TYP20" s="4"/>
      <c r="TYQ20" s="4"/>
      <c r="TYR20" s="4"/>
      <c r="TYS20" s="4"/>
      <c r="TYT20" s="4"/>
      <c r="TYU20" s="4"/>
      <c r="TYV20" s="4"/>
      <c r="TYW20" s="4"/>
      <c r="TYX20" s="4"/>
      <c r="TYY20" s="4"/>
      <c r="TYZ20" s="4"/>
      <c r="TZA20" s="4"/>
      <c r="TZB20" s="4"/>
      <c r="TZC20" s="4"/>
      <c r="TZD20" s="4"/>
      <c r="TZE20" s="4"/>
      <c r="TZF20" s="4"/>
      <c r="TZG20" s="4"/>
      <c r="TZH20" s="4"/>
      <c r="TZI20" s="4"/>
      <c r="TZJ20" s="4"/>
      <c r="TZK20" s="4"/>
      <c r="TZL20" s="4"/>
      <c r="TZM20" s="4"/>
      <c r="TZN20" s="4"/>
      <c r="TZO20" s="4"/>
      <c r="TZP20" s="4"/>
      <c r="TZQ20" s="4"/>
      <c r="TZR20" s="4"/>
      <c r="TZS20" s="4"/>
      <c r="TZT20" s="4"/>
      <c r="TZU20" s="4"/>
      <c r="TZV20" s="4"/>
      <c r="TZW20" s="4"/>
      <c r="TZX20" s="4"/>
      <c r="TZY20" s="4"/>
      <c r="TZZ20" s="4"/>
      <c r="UAA20" s="4"/>
      <c r="UAB20" s="4"/>
      <c r="UAC20" s="4"/>
      <c r="UAD20" s="4"/>
      <c r="UAE20" s="4"/>
      <c r="UAF20" s="4"/>
      <c r="UAG20" s="4"/>
      <c r="UAH20" s="4"/>
      <c r="UAI20" s="4"/>
      <c r="UAJ20" s="4"/>
      <c r="UAK20" s="4"/>
      <c r="UAL20" s="4"/>
      <c r="UAM20" s="4"/>
      <c r="UAN20" s="4"/>
      <c r="UAO20" s="4"/>
      <c r="UAP20" s="4"/>
      <c r="UAQ20" s="4"/>
      <c r="UAR20" s="4"/>
      <c r="UAS20" s="4"/>
      <c r="UAT20" s="4"/>
      <c r="UAU20" s="4"/>
      <c r="UAV20" s="4"/>
      <c r="UAW20" s="4"/>
      <c r="UAX20" s="4"/>
      <c r="UAY20" s="4"/>
      <c r="UAZ20" s="4"/>
      <c r="UBA20" s="4"/>
      <c r="UBB20" s="4"/>
      <c r="UBC20" s="4"/>
      <c r="UBD20" s="4"/>
      <c r="UBE20" s="4"/>
      <c r="UBF20" s="4"/>
      <c r="UBG20" s="4"/>
      <c r="UBH20" s="4"/>
      <c r="UBI20" s="4"/>
      <c r="UBJ20" s="4"/>
      <c r="UBK20" s="4"/>
      <c r="UBL20" s="4"/>
      <c r="UBM20" s="4"/>
      <c r="UBN20" s="4"/>
      <c r="UBO20" s="4"/>
      <c r="UBP20" s="4"/>
      <c r="UBQ20" s="4"/>
      <c r="UBR20" s="4"/>
      <c r="UBS20" s="4"/>
      <c r="UBT20" s="4"/>
      <c r="UBU20" s="4"/>
      <c r="UBV20" s="4"/>
      <c r="UBW20" s="4"/>
      <c r="UBX20" s="4"/>
      <c r="UBY20" s="4"/>
      <c r="UBZ20" s="4"/>
      <c r="UCA20" s="4"/>
      <c r="UCB20" s="4"/>
      <c r="UCC20" s="4"/>
      <c r="UCD20" s="4"/>
      <c r="UCE20" s="4"/>
      <c r="UCF20" s="4"/>
      <c r="UCG20" s="4"/>
      <c r="UCH20" s="4"/>
      <c r="UCI20" s="4"/>
      <c r="UCJ20" s="4"/>
      <c r="UCK20" s="4"/>
      <c r="UCL20" s="4"/>
      <c r="UCM20" s="4"/>
      <c r="UCN20" s="4"/>
      <c r="UCO20" s="4"/>
      <c r="UCP20" s="4"/>
      <c r="UCQ20" s="4"/>
      <c r="UCR20" s="4"/>
      <c r="UCS20" s="4"/>
      <c r="UCT20" s="4"/>
      <c r="UCU20" s="4"/>
      <c r="UCV20" s="4"/>
      <c r="UCW20" s="4"/>
      <c r="UCX20" s="4"/>
      <c r="UCY20" s="4"/>
      <c r="UCZ20" s="4"/>
      <c r="UDA20" s="4"/>
      <c r="UDB20" s="4"/>
      <c r="UDC20" s="4"/>
      <c r="UDD20" s="4"/>
      <c r="UDE20" s="4"/>
      <c r="UDF20" s="4"/>
      <c r="UDG20" s="4"/>
      <c r="UDH20" s="4"/>
      <c r="UDI20" s="4"/>
      <c r="UDJ20" s="4"/>
      <c r="UDK20" s="4"/>
      <c r="UDL20" s="4"/>
      <c r="UDM20" s="4"/>
      <c r="UDN20" s="4"/>
      <c r="UDO20" s="4"/>
      <c r="UDP20" s="4"/>
      <c r="UDQ20" s="4"/>
      <c r="UDR20" s="4"/>
      <c r="UDS20" s="4"/>
      <c r="UDT20" s="4"/>
      <c r="UDU20" s="4"/>
      <c r="UDV20" s="4"/>
      <c r="UDW20" s="4"/>
      <c r="UDX20" s="4"/>
      <c r="UDY20" s="4"/>
      <c r="UDZ20" s="4"/>
      <c r="UEA20" s="4"/>
      <c r="UEB20" s="4"/>
      <c r="UEC20" s="4"/>
      <c r="UED20" s="4"/>
      <c r="UEE20" s="4"/>
      <c r="UEF20" s="4"/>
      <c r="UEG20" s="4"/>
      <c r="UEH20" s="4"/>
      <c r="UEI20" s="4"/>
      <c r="UEJ20" s="4"/>
      <c r="UEK20" s="4"/>
      <c r="UEL20" s="4"/>
      <c r="UEM20" s="4"/>
      <c r="UEN20" s="4"/>
      <c r="UEO20" s="4"/>
      <c r="UEP20" s="4"/>
      <c r="UEQ20" s="4"/>
      <c r="UER20" s="4"/>
      <c r="UES20" s="4"/>
      <c r="UET20" s="4"/>
      <c r="UEU20" s="4"/>
      <c r="UEV20" s="4"/>
      <c r="UEW20" s="4"/>
      <c r="UEX20" s="4"/>
      <c r="UEY20" s="4"/>
      <c r="UEZ20" s="4"/>
      <c r="UFA20" s="4"/>
      <c r="UFB20" s="4"/>
      <c r="UFC20" s="4"/>
      <c r="UFD20" s="4"/>
      <c r="UFE20" s="4"/>
      <c r="UFF20" s="4"/>
      <c r="UFG20" s="4"/>
      <c r="UFH20" s="4"/>
      <c r="UFI20" s="4"/>
      <c r="UFJ20" s="4"/>
      <c r="UFK20" s="4"/>
      <c r="UFL20" s="4"/>
      <c r="UFM20" s="4"/>
      <c r="UFN20" s="4"/>
      <c r="UFO20" s="4"/>
      <c r="UFP20" s="4"/>
      <c r="UFQ20" s="4"/>
      <c r="UFR20" s="4"/>
      <c r="UFS20" s="4"/>
      <c r="UFT20" s="4"/>
      <c r="UFU20" s="4"/>
      <c r="UFV20" s="4"/>
      <c r="UFW20" s="4"/>
      <c r="UFX20" s="4"/>
      <c r="UFY20" s="4"/>
      <c r="UFZ20" s="4"/>
      <c r="UGA20" s="4"/>
      <c r="UGB20" s="4"/>
      <c r="UGC20" s="4"/>
      <c r="UGD20" s="4"/>
      <c r="UGE20" s="4"/>
      <c r="UGF20" s="4"/>
      <c r="UGG20" s="4"/>
      <c r="UGH20" s="4"/>
      <c r="UGI20" s="4"/>
      <c r="UGJ20" s="4"/>
      <c r="UGK20" s="4"/>
      <c r="UGL20" s="4"/>
      <c r="UGM20" s="4"/>
      <c r="UGN20" s="4"/>
      <c r="UGO20" s="4"/>
      <c r="UGP20" s="4"/>
      <c r="UGQ20" s="4"/>
      <c r="UGR20" s="4"/>
      <c r="UGS20" s="4"/>
      <c r="UGT20" s="4"/>
      <c r="UGU20" s="4"/>
      <c r="UGV20" s="4"/>
      <c r="UGW20" s="4"/>
      <c r="UGX20" s="4"/>
      <c r="UGY20" s="4"/>
      <c r="UGZ20" s="4"/>
      <c r="UHA20" s="4"/>
      <c r="UHB20" s="4"/>
      <c r="UHC20" s="4"/>
      <c r="UHD20" s="4"/>
      <c r="UHE20" s="4"/>
      <c r="UHF20" s="4"/>
      <c r="UHG20" s="4"/>
      <c r="UHH20" s="4"/>
      <c r="UHI20" s="4"/>
      <c r="UHJ20" s="4"/>
      <c r="UHK20" s="4"/>
      <c r="UHL20" s="4"/>
      <c r="UHM20" s="4"/>
      <c r="UHN20" s="4"/>
      <c r="UHO20" s="4"/>
      <c r="UHP20" s="4"/>
      <c r="UHQ20" s="4"/>
      <c r="UHR20" s="4"/>
      <c r="UHS20" s="4"/>
      <c r="UHT20" s="4"/>
      <c r="UHU20" s="4"/>
      <c r="UHV20" s="4"/>
      <c r="UHW20" s="4"/>
      <c r="UHX20" s="4"/>
      <c r="UHY20" s="4"/>
      <c r="UHZ20" s="4"/>
      <c r="UIA20" s="4"/>
      <c r="UIB20" s="4"/>
      <c r="UIC20" s="4"/>
      <c r="UID20" s="4"/>
      <c r="UIE20" s="4"/>
      <c r="UIF20" s="4"/>
      <c r="UIG20" s="4"/>
      <c r="UIH20" s="4"/>
      <c r="UII20" s="4"/>
      <c r="UIJ20" s="4"/>
      <c r="UIK20" s="4"/>
      <c r="UIL20" s="4"/>
      <c r="UIM20" s="4"/>
      <c r="UIN20" s="4"/>
      <c r="UIO20" s="4"/>
      <c r="UIP20" s="4"/>
      <c r="UIQ20" s="4"/>
      <c r="UIR20" s="4"/>
      <c r="UIS20" s="4"/>
      <c r="UIT20" s="4"/>
      <c r="UIU20" s="4"/>
      <c r="UIV20" s="4"/>
      <c r="UIW20" s="4"/>
      <c r="UIX20" s="4"/>
      <c r="UIY20" s="4"/>
      <c r="UIZ20" s="4"/>
      <c r="UJA20" s="4"/>
      <c r="UJB20" s="4"/>
      <c r="UJC20" s="4"/>
      <c r="UJD20" s="4"/>
      <c r="UJE20" s="4"/>
      <c r="UJF20" s="4"/>
      <c r="UJG20" s="4"/>
      <c r="UJH20" s="4"/>
      <c r="UJI20" s="4"/>
      <c r="UJJ20" s="4"/>
      <c r="UJK20" s="4"/>
      <c r="UJL20" s="4"/>
      <c r="UJM20" s="4"/>
      <c r="UJN20" s="4"/>
      <c r="UJO20" s="4"/>
      <c r="UJP20" s="4"/>
      <c r="UJQ20" s="4"/>
      <c r="UJR20" s="4"/>
      <c r="UJS20" s="4"/>
      <c r="UJT20" s="4"/>
      <c r="UJU20" s="4"/>
      <c r="UJV20" s="4"/>
      <c r="UJW20" s="4"/>
      <c r="UJX20" s="4"/>
      <c r="UJY20" s="4"/>
      <c r="UJZ20" s="4"/>
      <c r="UKA20" s="4"/>
      <c r="UKB20" s="4"/>
      <c r="UKC20" s="4"/>
      <c r="UKD20" s="4"/>
      <c r="UKE20" s="4"/>
      <c r="UKF20" s="4"/>
      <c r="UKG20" s="4"/>
      <c r="UKH20" s="4"/>
      <c r="UKI20" s="4"/>
      <c r="UKJ20" s="4"/>
      <c r="UKK20" s="4"/>
      <c r="UKL20" s="4"/>
      <c r="UKM20" s="4"/>
      <c r="UKN20" s="4"/>
      <c r="UKO20" s="4"/>
      <c r="UKP20" s="4"/>
      <c r="UKQ20" s="4"/>
      <c r="UKR20" s="4"/>
      <c r="UKS20" s="4"/>
      <c r="UKT20" s="4"/>
      <c r="UKU20" s="4"/>
      <c r="UKV20" s="4"/>
      <c r="UKW20" s="4"/>
      <c r="UKX20" s="4"/>
      <c r="UKY20" s="4"/>
      <c r="UKZ20" s="4"/>
      <c r="ULA20" s="4"/>
      <c r="ULB20" s="4"/>
      <c r="ULC20" s="4"/>
      <c r="ULD20" s="4"/>
      <c r="ULE20" s="4"/>
      <c r="ULF20" s="4"/>
      <c r="ULG20" s="4"/>
      <c r="ULH20" s="4"/>
      <c r="ULI20" s="4"/>
      <c r="ULJ20" s="4"/>
      <c r="ULK20" s="4"/>
      <c r="ULL20" s="4"/>
      <c r="ULM20" s="4"/>
      <c r="ULN20" s="4"/>
      <c r="ULO20" s="4"/>
      <c r="ULP20" s="4"/>
      <c r="ULQ20" s="4"/>
      <c r="ULR20" s="4"/>
      <c r="ULS20" s="4"/>
      <c r="ULT20" s="4"/>
      <c r="ULU20" s="4"/>
      <c r="ULV20" s="4"/>
      <c r="ULW20" s="4"/>
      <c r="ULX20" s="4"/>
      <c r="ULY20" s="4"/>
      <c r="ULZ20" s="4"/>
      <c r="UMA20" s="4"/>
      <c r="UMB20" s="4"/>
      <c r="UMC20" s="4"/>
      <c r="UMD20" s="4"/>
      <c r="UME20" s="4"/>
      <c r="UMF20" s="4"/>
      <c r="UMG20" s="4"/>
      <c r="UMH20" s="4"/>
      <c r="UMI20" s="4"/>
      <c r="UMJ20" s="4"/>
      <c r="UMK20" s="4"/>
      <c r="UML20" s="4"/>
      <c r="UMM20" s="4"/>
      <c r="UMN20" s="4"/>
      <c r="UMO20" s="4"/>
      <c r="UMP20" s="4"/>
      <c r="UMQ20" s="4"/>
      <c r="UMR20" s="4"/>
      <c r="UMS20" s="4"/>
      <c r="UMT20" s="4"/>
      <c r="UMU20" s="4"/>
      <c r="UMV20" s="4"/>
      <c r="UMW20" s="4"/>
      <c r="UMX20" s="4"/>
      <c r="UMY20" s="4"/>
      <c r="UMZ20" s="4"/>
      <c r="UNA20" s="4"/>
      <c r="UNB20" s="4"/>
      <c r="UNC20" s="4"/>
      <c r="UND20" s="4"/>
      <c r="UNE20" s="4"/>
      <c r="UNF20" s="4"/>
      <c r="UNG20" s="4"/>
      <c r="UNH20" s="4"/>
      <c r="UNI20" s="4"/>
      <c r="UNJ20" s="4"/>
      <c r="UNK20" s="4"/>
      <c r="UNL20" s="4"/>
      <c r="UNM20" s="4"/>
      <c r="UNN20" s="4"/>
      <c r="UNO20" s="4"/>
      <c r="UNP20" s="4"/>
      <c r="UNQ20" s="4"/>
      <c r="UNR20" s="4"/>
      <c r="UNS20" s="4"/>
      <c r="UNT20" s="4"/>
      <c r="UNU20" s="4"/>
      <c r="UNV20" s="4"/>
      <c r="UNW20" s="4"/>
      <c r="UNX20" s="4"/>
      <c r="UNY20" s="4"/>
      <c r="UNZ20" s="4"/>
      <c r="UOA20" s="4"/>
      <c r="UOB20" s="4"/>
      <c r="UOC20" s="4"/>
      <c r="UOD20" s="4"/>
      <c r="UOE20" s="4"/>
      <c r="UOF20" s="4"/>
      <c r="UOG20" s="4"/>
      <c r="UOH20" s="4"/>
      <c r="UOI20" s="4"/>
      <c r="UOJ20" s="4"/>
      <c r="UOK20" s="4"/>
      <c r="UOL20" s="4"/>
      <c r="UOM20" s="4"/>
      <c r="UON20" s="4"/>
      <c r="UOO20" s="4"/>
      <c r="UOP20" s="4"/>
      <c r="UOQ20" s="4"/>
      <c r="UOR20" s="4"/>
      <c r="UOS20" s="4"/>
      <c r="UOT20" s="4"/>
      <c r="UOU20" s="4"/>
      <c r="UOV20" s="4"/>
      <c r="UOW20" s="4"/>
      <c r="UOX20" s="4"/>
      <c r="UOY20" s="4"/>
      <c r="UOZ20" s="4"/>
      <c r="UPA20" s="4"/>
      <c r="UPB20" s="4"/>
      <c r="UPC20" s="4"/>
      <c r="UPD20" s="4"/>
      <c r="UPE20" s="4"/>
      <c r="UPF20" s="4"/>
      <c r="UPG20" s="4"/>
      <c r="UPH20" s="4"/>
      <c r="UPI20" s="4"/>
      <c r="UPJ20" s="4"/>
      <c r="UPK20" s="4"/>
      <c r="UPL20" s="4"/>
      <c r="UPM20" s="4"/>
      <c r="UPN20" s="4"/>
      <c r="UPO20" s="4"/>
      <c r="UPP20" s="4"/>
      <c r="UPQ20" s="4"/>
      <c r="UPR20" s="4"/>
      <c r="UPS20" s="4"/>
      <c r="UPT20" s="4"/>
      <c r="UPU20" s="4"/>
      <c r="UPV20" s="4"/>
      <c r="UPW20" s="4"/>
      <c r="UPX20" s="4"/>
      <c r="UPY20" s="4"/>
      <c r="UPZ20" s="4"/>
      <c r="UQA20" s="4"/>
      <c r="UQB20" s="4"/>
      <c r="UQC20" s="4"/>
      <c r="UQD20" s="4"/>
      <c r="UQE20" s="4"/>
      <c r="UQF20" s="4"/>
      <c r="UQG20" s="4"/>
      <c r="UQH20" s="4"/>
      <c r="UQI20" s="4"/>
      <c r="UQJ20" s="4"/>
      <c r="UQK20" s="4"/>
      <c r="UQL20" s="4"/>
      <c r="UQM20" s="4"/>
      <c r="UQN20" s="4"/>
      <c r="UQO20" s="4"/>
      <c r="UQP20" s="4"/>
      <c r="UQQ20" s="4"/>
      <c r="UQR20" s="4"/>
      <c r="UQS20" s="4"/>
      <c r="UQT20" s="4"/>
      <c r="UQU20" s="4"/>
      <c r="UQV20" s="4"/>
      <c r="UQW20" s="4"/>
      <c r="UQX20" s="4"/>
      <c r="UQY20" s="4"/>
      <c r="UQZ20" s="4"/>
      <c r="URA20" s="4"/>
      <c r="URB20" s="4"/>
      <c r="URC20" s="4"/>
      <c r="URD20" s="4"/>
      <c r="URE20" s="4"/>
      <c r="URF20" s="4"/>
      <c r="URG20" s="4"/>
      <c r="URH20" s="4"/>
      <c r="URI20" s="4"/>
      <c r="URJ20" s="4"/>
      <c r="URK20" s="4"/>
      <c r="URL20" s="4"/>
      <c r="URM20" s="4"/>
      <c r="URN20" s="4"/>
      <c r="URO20" s="4"/>
      <c r="URP20" s="4"/>
      <c r="URQ20" s="4"/>
      <c r="URR20" s="4"/>
      <c r="URS20" s="4"/>
      <c r="URT20" s="4"/>
      <c r="URU20" s="4"/>
      <c r="URV20" s="4"/>
      <c r="URW20" s="4"/>
      <c r="URX20" s="4"/>
      <c r="URY20" s="4"/>
      <c r="URZ20" s="4"/>
      <c r="USA20" s="4"/>
      <c r="USB20" s="4"/>
      <c r="USC20" s="4"/>
      <c r="USD20" s="4"/>
      <c r="USE20" s="4"/>
      <c r="USF20" s="4"/>
      <c r="USG20" s="4"/>
      <c r="USH20" s="4"/>
      <c r="USI20" s="4"/>
      <c r="USJ20" s="4"/>
      <c r="USK20" s="4"/>
      <c r="USL20" s="4"/>
      <c r="USM20" s="4"/>
      <c r="USN20" s="4"/>
      <c r="USO20" s="4"/>
      <c r="USP20" s="4"/>
      <c r="USQ20" s="4"/>
      <c r="USR20" s="4"/>
      <c r="USS20" s="4"/>
      <c r="UST20" s="4"/>
      <c r="USU20" s="4"/>
      <c r="USV20" s="4"/>
      <c r="USW20" s="4"/>
      <c r="USX20" s="4"/>
      <c r="USY20" s="4"/>
      <c r="USZ20" s="4"/>
      <c r="UTA20" s="4"/>
      <c r="UTB20" s="4"/>
      <c r="UTC20" s="4"/>
      <c r="UTD20" s="4"/>
      <c r="UTE20" s="4"/>
      <c r="UTF20" s="4"/>
      <c r="UTG20" s="4"/>
      <c r="UTH20" s="4"/>
      <c r="UTI20" s="4"/>
      <c r="UTJ20" s="4"/>
      <c r="UTK20" s="4"/>
      <c r="UTL20" s="4"/>
      <c r="UTM20" s="4"/>
      <c r="UTN20" s="4"/>
      <c r="UTO20" s="4"/>
      <c r="UTP20" s="4"/>
      <c r="UTQ20" s="4"/>
      <c r="UTR20" s="4"/>
      <c r="UTS20" s="4"/>
      <c r="UTT20" s="4"/>
      <c r="UTU20" s="4"/>
      <c r="UTV20" s="4"/>
      <c r="UTW20" s="4"/>
      <c r="UTX20" s="4"/>
      <c r="UTY20" s="4"/>
      <c r="UTZ20" s="4"/>
      <c r="UUA20" s="4"/>
      <c r="UUB20" s="4"/>
      <c r="UUC20" s="4"/>
      <c r="UUD20" s="4"/>
      <c r="UUE20" s="4"/>
      <c r="UUF20" s="4"/>
      <c r="UUG20" s="4"/>
      <c r="UUH20" s="4"/>
      <c r="UUI20" s="4"/>
      <c r="UUJ20" s="4"/>
      <c r="UUK20" s="4"/>
      <c r="UUL20" s="4"/>
      <c r="UUM20" s="4"/>
      <c r="UUN20" s="4"/>
      <c r="UUO20" s="4"/>
      <c r="UUP20" s="4"/>
      <c r="UUQ20" s="4"/>
      <c r="UUR20" s="4"/>
      <c r="UUS20" s="4"/>
      <c r="UUT20" s="4"/>
      <c r="UUU20" s="4"/>
      <c r="UUV20" s="4"/>
      <c r="UUW20" s="4"/>
      <c r="UUX20" s="4"/>
      <c r="UUY20" s="4"/>
      <c r="UUZ20" s="4"/>
      <c r="UVA20" s="4"/>
      <c r="UVB20" s="4"/>
      <c r="UVC20" s="4"/>
      <c r="UVD20" s="4"/>
      <c r="UVE20" s="4"/>
      <c r="UVF20" s="4"/>
      <c r="UVG20" s="4"/>
      <c r="UVH20" s="4"/>
      <c r="UVI20" s="4"/>
      <c r="UVJ20" s="4"/>
      <c r="UVK20" s="4"/>
      <c r="UVL20" s="4"/>
      <c r="UVM20" s="4"/>
      <c r="UVN20" s="4"/>
      <c r="UVO20" s="4"/>
      <c r="UVP20" s="4"/>
      <c r="UVQ20" s="4"/>
      <c r="UVR20" s="4"/>
      <c r="UVS20" s="4"/>
      <c r="UVT20" s="4"/>
      <c r="UVU20" s="4"/>
      <c r="UVV20" s="4"/>
      <c r="UVW20" s="4"/>
      <c r="UVX20" s="4"/>
      <c r="UVY20" s="4"/>
      <c r="UVZ20" s="4"/>
      <c r="UWA20" s="4"/>
      <c r="UWB20" s="4"/>
      <c r="UWC20" s="4"/>
      <c r="UWD20" s="4"/>
      <c r="UWE20" s="4"/>
      <c r="UWF20" s="4"/>
      <c r="UWG20" s="4"/>
      <c r="UWH20" s="4"/>
      <c r="UWI20" s="4"/>
      <c r="UWJ20" s="4"/>
      <c r="UWK20" s="4"/>
      <c r="UWL20" s="4"/>
      <c r="UWM20" s="4"/>
      <c r="UWN20" s="4"/>
      <c r="UWO20" s="4"/>
      <c r="UWP20" s="4"/>
      <c r="UWQ20" s="4"/>
      <c r="UWR20" s="4"/>
      <c r="UWS20" s="4"/>
      <c r="UWT20" s="4"/>
      <c r="UWU20" s="4"/>
      <c r="UWV20" s="4"/>
      <c r="UWW20" s="4"/>
      <c r="UWX20" s="4"/>
      <c r="UWY20" s="4"/>
      <c r="UWZ20" s="4"/>
      <c r="UXA20" s="4"/>
      <c r="UXB20" s="4"/>
      <c r="UXC20" s="4"/>
      <c r="UXD20" s="4"/>
      <c r="UXE20" s="4"/>
      <c r="UXF20" s="4"/>
      <c r="UXG20" s="4"/>
      <c r="UXH20" s="4"/>
      <c r="UXI20" s="4"/>
      <c r="UXJ20" s="4"/>
      <c r="UXK20" s="4"/>
      <c r="UXL20" s="4"/>
      <c r="UXM20" s="4"/>
      <c r="UXN20" s="4"/>
      <c r="UXO20" s="4"/>
      <c r="UXP20" s="4"/>
      <c r="UXQ20" s="4"/>
      <c r="UXR20" s="4"/>
      <c r="UXS20" s="4"/>
      <c r="UXT20" s="4"/>
      <c r="UXU20" s="4"/>
      <c r="UXV20" s="4"/>
      <c r="UXW20" s="4"/>
      <c r="UXX20" s="4"/>
      <c r="UXY20" s="4"/>
      <c r="UXZ20" s="4"/>
      <c r="UYA20" s="4"/>
      <c r="UYB20" s="4"/>
      <c r="UYC20" s="4"/>
      <c r="UYD20" s="4"/>
      <c r="UYE20" s="4"/>
      <c r="UYF20" s="4"/>
      <c r="UYG20" s="4"/>
      <c r="UYH20" s="4"/>
      <c r="UYI20" s="4"/>
      <c r="UYJ20" s="4"/>
      <c r="UYK20" s="4"/>
      <c r="UYL20" s="4"/>
      <c r="UYM20" s="4"/>
      <c r="UYN20" s="4"/>
      <c r="UYO20" s="4"/>
      <c r="UYP20" s="4"/>
      <c r="UYQ20" s="4"/>
      <c r="UYR20" s="4"/>
      <c r="UYS20" s="4"/>
      <c r="UYT20" s="4"/>
      <c r="UYU20" s="4"/>
      <c r="UYV20" s="4"/>
      <c r="UYW20" s="4"/>
      <c r="UYX20" s="4"/>
      <c r="UYY20" s="4"/>
      <c r="UYZ20" s="4"/>
      <c r="UZA20" s="4"/>
      <c r="UZB20" s="4"/>
      <c r="UZC20" s="4"/>
      <c r="UZD20" s="4"/>
      <c r="UZE20" s="4"/>
      <c r="UZF20" s="4"/>
      <c r="UZG20" s="4"/>
      <c r="UZH20" s="4"/>
      <c r="UZI20" s="4"/>
      <c r="UZJ20" s="4"/>
      <c r="UZK20" s="4"/>
      <c r="UZL20" s="4"/>
      <c r="UZM20" s="4"/>
      <c r="UZN20" s="4"/>
      <c r="UZO20" s="4"/>
      <c r="UZP20" s="4"/>
      <c r="UZQ20" s="4"/>
      <c r="UZR20" s="4"/>
      <c r="UZS20" s="4"/>
      <c r="UZT20" s="4"/>
      <c r="UZU20" s="4"/>
      <c r="UZV20" s="4"/>
      <c r="UZW20" s="4"/>
      <c r="UZX20" s="4"/>
      <c r="UZY20" s="4"/>
      <c r="UZZ20" s="4"/>
      <c r="VAA20" s="4"/>
      <c r="VAB20" s="4"/>
      <c r="VAC20" s="4"/>
      <c r="VAD20" s="4"/>
      <c r="VAE20" s="4"/>
      <c r="VAF20" s="4"/>
      <c r="VAG20" s="4"/>
      <c r="VAH20" s="4"/>
      <c r="VAI20" s="4"/>
      <c r="VAJ20" s="4"/>
      <c r="VAK20" s="4"/>
      <c r="VAL20" s="4"/>
      <c r="VAM20" s="4"/>
      <c r="VAN20" s="4"/>
      <c r="VAO20" s="4"/>
      <c r="VAP20" s="4"/>
      <c r="VAQ20" s="4"/>
      <c r="VAR20" s="4"/>
      <c r="VAS20" s="4"/>
      <c r="VAT20" s="4"/>
      <c r="VAU20" s="4"/>
      <c r="VAV20" s="4"/>
      <c r="VAW20" s="4"/>
      <c r="VAX20" s="4"/>
      <c r="VAY20" s="4"/>
      <c r="VAZ20" s="4"/>
      <c r="VBA20" s="4"/>
      <c r="VBB20" s="4"/>
      <c r="VBC20" s="4"/>
      <c r="VBD20" s="4"/>
      <c r="VBE20" s="4"/>
      <c r="VBF20" s="4"/>
      <c r="VBG20" s="4"/>
      <c r="VBH20" s="4"/>
      <c r="VBI20" s="4"/>
      <c r="VBJ20" s="4"/>
      <c r="VBK20" s="4"/>
      <c r="VBL20" s="4"/>
      <c r="VBM20" s="4"/>
      <c r="VBN20" s="4"/>
      <c r="VBO20" s="4"/>
      <c r="VBP20" s="4"/>
      <c r="VBQ20" s="4"/>
      <c r="VBR20" s="4"/>
      <c r="VBS20" s="4"/>
      <c r="VBT20" s="4"/>
      <c r="VBU20" s="4"/>
      <c r="VBV20" s="4"/>
      <c r="VBW20" s="4"/>
      <c r="VBX20" s="4"/>
      <c r="VBY20" s="4"/>
      <c r="VBZ20" s="4"/>
      <c r="VCA20" s="4"/>
      <c r="VCB20" s="4"/>
      <c r="VCC20" s="4"/>
      <c r="VCD20" s="4"/>
      <c r="VCE20" s="4"/>
      <c r="VCF20" s="4"/>
      <c r="VCG20" s="4"/>
      <c r="VCH20" s="4"/>
      <c r="VCI20" s="4"/>
      <c r="VCJ20" s="4"/>
      <c r="VCK20" s="4"/>
      <c r="VCL20" s="4"/>
      <c r="VCM20" s="4"/>
      <c r="VCN20" s="4"/>
      <c r="VCO20" s="4"/>
      <c r="VCP20" s="4"/>
      <c r="VCQ20" s="4"/>
      <c r="VCR20" s="4"/>
      <c r="VCS20" s="4"/>
      <c r="VCT20" s="4"/>
      <c r="VCU20" s="4"/>
      <c r="VCV20" s="4"/>
      <c r="VCW20" s="4"/>
      <c r="VCX20" s="4"/>
      <c r="VCY20" s="4"/>
      <c r="VCZ20" s="4"/>
      <c r="VDA20" s="4"/>
      <c r="VDB20" s="4"/>
      <c r="VDC20" s="4"/>
      <c r="VDD20" s="4"/>
      <c r="VDE20" s="4"/>
      <c r="VDF20" s="4"/>
      <c r="VDG20" s="4"/>
      <c r="VDH20" s="4"/>
      <c r="VDI20" s="4"/>
      <c r="VDJ20" s="4"/>
      <c r="VDK20" s="4"/>
      <c r="VDL20" s="4"/>
      <c r="VDM20" s="4"/>
      <c r="VDN20" s="4"/>
      <c r="VDO20" s="4"/>
      <c r="VDP20" s="4"/>
      <c r="VDQ20" s="4"/>
      <c r="VDR20" s="4"/>
      <c r="VDS20" s="4"/>
      <c r="VDT20" s="4"/>
      <c r="VDU20" s="4"/>
      <c r="VDV20" s="4"/>
      <c r="VDW20" s="4"/>
      <c r="VDX20" s="4"/>
      <c r="VDY20" s="4"/>
      <c r="VDZ20" s="4"/>
      <c r="VEA20" s="4"/>
      <c r="VEB20" s="4"/>
      <c r="VEC20" s="4"/>
      <c r="VED20" s="4"/>
      <c r="VEE20" s="4"/>
      <c r="VEF20" s="4"/>
      <c r="VEG20" s="4"/>
      <c r="VEH20" s="4"/>
      <c r="VEI20" s="4"/>
      <c r="VEJ20" s="4"/>
      <c r="VEK20" s="4"/>
      <c r="VEL20" s="4"/>
      <c r="VEM20" s="4"/>
      <c r="VEN20" s="4"/>
      <c r="VEO20" s="4"/>
      <c r="VEP20" s="4"/>
      <c r="VEQ20" s="4"/>
      <c r="VER20" s="4"/>
      <c r="VES20" s="4"/>
      <c r="VET20" s="4"/>
      <c r="VEU20" s="4"/>
      <c r="VEV20" s="4"/>
      <c r="VEW20" s="4"/>
      <c r="VEX20" s="4"/>
      <c r="VEY20" s="4"/>
      <c r="VEZ20" s="4"/>
      <c r="VFA20" s="4"/>
      <c r="VFB20" s="4"/>
      <c r="VFC20" s="4"/>
      <c r="VFD20" s="4"/>
      <c r="VFE20" s="4"/>
      <c r="VFF20" s="4"/>
      <c r="VFG20" s="4"/>
      <c r="VFH20" s="4"/>
      <c r="VFI20" s="4"/>
      <c r="VFJ20" s="4"/>
      <c r="VFK20" s="4"/>
      <c r="VFL20" s="4"/>
      <c r="VFM20" s="4"/>
      <c r="VFN20" s="4"/>
      <c r="VFO20" s="4"/>
      <c r="VFP20" s="4"/>
      <c r="VFQ20" s="4"/>
      <c r="VFR20" s="4"/>
      <c r="VFS20" s="4"/>
      <c r="VFT20" s="4"/>
      <c r="VFU20" s="4"/>
      <c r="VFV20" s="4"/>
      <c r="VFW20" s="4"/>
      <c r="VFX20" s="4"/>
      <c r="VFY20" s="4"/>
      <c r="VFZ20" s="4"/>
      <c r="VGA20" s="4"/>
      <c r="VGB20" s="4"/>
      <c r="VGC20" s="4"/>
      <c r="VGD20" s="4"/>
      <c r="VGE20" s="4"/>
      <c r="VGF20" s="4"/>
      <c r="VGG20" s="4"/>
      <c r="VGH20" s="4"/>
      <c r="VGI20" s="4"/>
      <c r="VGJ20" s="4"/>
      <c r="VGK20" s="4"/>
      <c r="VGL20" s="4"/>
      <c r="VGM20" s="4"/>
      <c r="VGN20" s="4"/>
      <c r="VGO20" s="4"/>
      <c r="VGP20" s="4"/>
      <c r="VGQ20" s="4"/>
      <c r="VGR20" s="4"/>
      <c r="VGS20" s="4"/>
      <c r="VGT20" s="4"/>
      <c r="VGU20" s="4"/>
      <c r="VGV20" s="4"/>
      <c r="VGW20" s="4"/>
      <c r="VGX20" s="4"/>
      <c r="VGY20" s="4"/>
      <c r="VGZ20" s="4"/>
      <c r="VHA20" s="4"/>
      <c r="VHB20" s="4"/>
      <c r="VHC20" s="4"/>
      <c r="VHD20" s="4"/>
      <c r="VHE20" s="4"/>
      <c r="VHF20" s="4"/>
      <c r="VHG20" s="4"/>
      <c r="VHH20" s="4"/>
      <c r="VHI20" s="4"/>
      <c r="VHJ20" s="4"/>
      <c r="VHK20" s="4"/>
      <c r="VHL20" s="4"/>
      <c r="VHM20" s="4"/>
      <c r="VHN20" s="4"/>
      <c r="VHO20" s="4"/>
      <c r="VHP20" s="4"/>
      <c r="VHQ20" s="4"/>
      <c r="VHR20" s="4"/>
      <c r="VHS20" s="4"/>
      <c r="VHT20" s="4"/>
      <c r="VHU20" s="4"/>
      <c r="VHV20" s="4"/>
      <c r="VHW20" s="4"/>
      <c r="VHX20" s="4"/>
      <c r="VHY20" s="4"/>
      <c r="VHZ20" s="4"/>
      <c r="VIA20" s="4"/>
      <c r="VIB20" s="4"/>
      <c r="VIC20" s="4"/>
      <c r="VID20" s="4"/>
      <c r="VIE20" s="4"/>
      <c r="VIF20" s="4"/>
      <c r="VIG20" s="4"/>
      <c r="VIH20" s="4"/>
      <c r="VII20" s="4"/>
      <c r="VIJ20" s="4"/>
      <c r="VIK20" s="4"/>
      <c r="VIL20" s="4"/>
      <c r="VIM20" s="4"/>
      <c r="VIN20" s="4"/>
      <c r="VIO20" s="4"/>
      <c r="VIP20" s="4"/>
      <c r="VIQ20" s="4"/>
      <c r="VIR20" s="4"/>
      <c r="VIS20" s="4"/>
      <c r="VIT20" s="4"/>
      <c r="VIU20" s="4"/>
      <c r="VIV20" s="4"/>
      <c r="VIW20" s="4"/>
      <c r="VIX20" s="4"/>
      <c r="VIY20" s="4"/>
      <c r="VIZ20" s="4"/>
      <c r="VJA20" s="4"/>
      <c r="VJB20" s="4"/>
      <c r="VJC20" s="4"/>
      <c r="VJD20" s="4"/>
      <c r="VJE20" s="4"/>
      <c r="VJF20" s="4"/>
      <c r="VJG20" s="4"/>
      <c r="VJH20" s="4"/>
      <c r="VJI20" s="4"/>
      <c r="VJJ20" s="4"/>
      <c r="VJK20" s="4"/>
      <c r="VJL20" s="4"/>
      <c r="VJM20" s="4"/>
      <c r="VJN20" s="4"/>
      <c r="VJO20" s="4"/>
      <c r="VJP20" s="4"/>
      <c r="VJQ20" s="4"/>
      <c r="VJR20" s="4"/>
      <c r="VJS20" s="4"/>
      <c r="VJT20" s="4"/>
      <c r="VJU20" s="4"/>
      <c r="VJV20" s="4"/>
      <c r="VJW20" s="4"/>
      <c r="VJX20" s="4"/>
      <c r="VJY20" s="4"/>
      <c r="VJZ20" s="4"/>
      <c r="VKA20" s="4"/>
      <c r="VKB20" s="4"/>
      <c r="VKC20" s="4"/>
      <c r="VKD20" s="4"/>
      <c r="VKE20" s="4"/>
      <c r="VKF20" s="4"/>
      <c r="VKG20" s="4"/>
      <c r="VKH20" s="4"/>
      <c r="VKI20" s="4"/>
      <c r="VKJ20" s="4"/>
      <c r="VKK20" s="4"/>
      <c r="VKL20" s="4"/>
      <c r="VKM20" s="4"/>
      <c r="VKN20" s="4"/>
      <c r="VKO20" s="4"/>
      <c r="VKP20" s="4"/>
      <c r="VKQ20" s="4"/>
      <c r="VKR20" s="4"/>
      <c r="VKS20" s="4"/>
      <c r="VKT20" s="4"/>
      <c r="VKU20" s="4"/>
      <c r="VKV20" s="4"/>
      <c r="VKW20" s="4"/>
      <c r="VKX20" s="4"/>
      <c r="VKY20" s="4"/>
      <c r="VKZ20" s="4"/>
      <c r="VLA20" s="4"/>
      <c r="VLB20" s="4"/>
      <c r="VLC20" s="4"/>
      <c r="VLD20" s="4"/>
      <c r="VLE20" s="4"/>
      <c r="VLF20" s="4"/>
      <c r="VLG20" s="4"/>
      <c r="VLH20" s="4"/>
      <c r="VLI20" s="4"/>
      <c r="VLJ20" s="4"/>
      <c r="VLK20" s="4"/>
      <c r="VLL20" s="4"/>
      <c r="VLM20" s="4"/>
      <c r="VLN20" s="4"/>
      <c r="VLO20" s="4"/>
      <c r="VLP20" s="4"/>
      <c r="VLQ20" s="4"/>
      <c r="VLR20" s="4"/>
      <c r="VLS20" s="4"/>
      <c r="VLT20" s="4"/>
      <c r="VLU20" s="4"/>
      <c r="VLV20" s="4"/>
      <c r="VLW20" s="4"/>
      <c r="VLX20" s="4"/>
      <c r="VLY20" s="4"/>
      <c r="VLZ20" s="4"/>
      <c r="VMA20" s="4"/>
      <c r="VMB20" s="4"/>
      <c r="VMC20" s="4"/>
      <c r="VMD20" s="4"/>
      <c r="VME20" s="4"/>
      <c r="VMF20" s="4"/>
      <c r="VMG20" s="4"/>
      <c r="VMH20" s="4"/>
      <c r="VMI20" s="4"/>
      <c r="VMJ20" s="4"/>
      <c r="VMK20" s="4"/>
      <c r="VML20" s="4"/>
      <c r="VMM20" s="4"/>
      <c r="VMN20" s="4"/>
      <c r="VMO20" s="4"/>
      <c r="VMP20" s="4"/>
      <c r="VMQ20" s="4"/>
      <c r="VMR20" s="4"/>
      <c r="VMS20" s="4"/>
      <c r="VMT20" s="4"/>
      <c r="VMU20" s="4"/>
      <c r="VMV20" s="4"/>
      <c r="VMW20" s="4"/>
      <c r="VMX20" s="4"/>
      <c r="VMY20" s="4"/>
      <c r="VMZ20" s="4"/>
      <c r="VNA20" s="4"/>
      <c r="VNB20" s="4"/>
      <c r="VNC20" s="4"/>
      <c r="VND20" s="4"/>
      <c r="VNE20" s="4"/>
      <c r="VNF20" s="4"/>
      <c r="VNG20" s="4"/>
      <c r="VNH20" s="4"/>
      <c r="VNI20" s="4"/>
      <c r="VNJ20" s="4"/>
      <c r="VNK20" s="4"/>
      <c r="VNL20" s="4"/>
      <c r="VNM20" s="4"/>
      <c r="VNN20" s="4"/>
      <c r="VNO20" s="4"/>
      <c r="VNP20" s="4"/>
      <c r="VNQ20" s="4"/>
      <c r="VNR20" s="4"/>
      <c r="VNS20" s="4"/>
      <c r="VNT20" s="4"/>
      <c r="VNU20" s="4"/>
      <c r="VNV20" s="4"/>
      <c r="VNW20" s="4"/>
      <c r="VNX20" s="4"/>
      <c r="VNY20" s="4"/>
      <c r="VNZ20" s="4"/>
      <c r="VOA20" s="4"/>
      <c r="VOB20" s="4"/>
      <c r="VOC20" s="4"/>
      <c r="VOD20" s="4"/>
      <c r="VOE20" s="4"/>
      <c r="VOF20" s="4"/>
      <c r="VOG20" s="4"/>
      <c r="VOH20" s="4"/>
      <c r="VOI20" s="4"/>
      <c r="VOJ20" s="4"/>
      <c r="VOK20" s="4"/>
      <c r="VOL20" s="4"/>
      <c r="VOM20" s="4"/>
      <c r="VON20" s="4"/>
      <c r="VOO20" s="4"/>
      <c r="VOP20" s="4"/>
      <c r="VOQ20" s="4"/>
      <c r="VOR20" s="4"/>
      <c r="VOS20" s="4"/>
      <c r="VOT20" s="4"/>
      <c r="VOU20" s="4"/>
      <c r="VOV20" s="4"/>
      <c r="VOW20" s="4"/>
      <c r="VOX20" s="4"/>
      <c r="VOY20" s="4"/>
      <c r="VOZ20" s="4"/>
      <c r="VPA20" s="4"/>
      <c r="VPB20" s="4"/>
      <c r="VPC20" s="4"/>
      <c r="VPD20" s="4"/>
      <c r="VPE20" s="4"/>
      <c r="VPF20" s="4"/>
      <c r="VPG20" s="4"/>
      <c r="VPH20" s="4"/>
      <c r="VPI20" s="4"/>
      <c r="VPJ20" s="4"/>
      <c r="VPK20" s="4"/>
      <c r="VPL20" s="4"/>
      <c r="VPM20" s="4"/>
      <c r="VPN20" s="4"/>
      <c r="VPO20" s="4"/>
      <c r="VPP20" s="4"/>
      <c r="VPQ20" s="4"/>
      <c r="VPR20" s="4"/>
      <c r="VPS20" s="4"/>
      <c r="VPT20" s="4"/>
      <c r="VPU20" s="4"/>
      <c r="VPV20" s="4"/>
      <c r="VPW20" s="4"/>
      <c r="VPX20" s="4"/>
      <c r="VPY20" s="4"/>
      <c r="VPZ20" s="4"/>
      <c r="VQA20" s="4"/>
      <c r="VQB20" s="4"/>
      <c r="VQC20" s="4"/>
      <c r="VQD20" s="4"/>
      <c r="VQE20" s="4"/>
      <c r="VQF20" s="4"/>
      <c r="VQG20" s="4"/>
      <c r="VQH20" s="4"/>
      <c r="VQI20" s="4"/>
      <c r="VQJ20" s="4"/>
      <c r="VQK20" s="4"/>
      <c r="VQL20" s="4"/>
      <c r="VQM20" s="4"/>
      <c r="VQN20" s="4"/>
      <c r="VQO20" s="4"/>
      <c r="VQP20" s="4"/>
      <c r="VQQ20" s="4"/>
      <c r="VQR20" s="4"/>
      <c r="VQS20" s="4"/>
      <c r="VQT20" s="4"/>
      <c r="VQU20" s="4"/>
      <c r="VQV20" s="4"/>
      <c r="VQW20" s="4"/>
      <c r="VQX20" s="4"/>
      <c r="VQY20" s="4"/>
      <c r="VQZ20" s="4"/>
      <c r="VRA20" s="4"/>
      <c r="VRB20" s="4"/>
      <c r="VRC20" s="4"/>
      <c r="VRD20" s="4"/>
      <c r="VRE20" s="4"/>
      <c r="VRF20" s="4"/>
      <c r="VRG20" s="4"/>
      <c r="VRH20" s="4"/>
      <c r="VRI20" s="4"/>
      <c r="VRJ20" s="4"/>
      <c r="VRK20" s="4"/>
      <c r="VRL20" s="4"/>
      <c r="VRM20" s="4"/>
      <c r="VRN20" s="4"/>
      <c r="VRO20" s="4"/>
      <c r="VRP20" s="4"/>
      <c r="VRQ20" s="4"/>
      <c r="VRR20" s="4"/>
      <c r="VRS20" s="4"/>
      <c r="VRT20" s="4"/>
      <c r="VRU20" s="4"/>
      <c r="VRV20" s="4"/>
      <c r="VRW20" s="4"/>
      <c r="VRX20" s="4"/>
      <c r="VRY20" s="4"/>
      <c r="VRZ20" s="4"/>
      <c r="VSA20" s="4"/>
      <c r="VSB20" s="4"/>
      <c r="VSC20" s="4"/>
      <c r="VSD20" s="4"/>
      <c r="VSE20" s="4"/>
      <c r="VSF20" s="4"/>
      <c r="VSG20" s="4"/>
      <c r="VSH20" s="4"/>
      <c r="VSI20" s="4"/>
      <c r="VSJ20" s="4"/>
      <c r="VSK20" s="4"/>
      <c r="VSL20" s="4"/>
      <c r="VSM20" s="4"/>
      <c r="VSN20" s="4"/>
      <c r="VSO20" s="4"/>
      <c r="VSP20" s="4"/>
      <c r="VSQ20" s="4"/>
      <c r="VSR20" s="4"/>
      <c r="VSS20" s="4"/>
      <c r="VST20" s="4"/>
      <c r="VSU20" s="4"/>
      <c r="VSV20" s="4"/>
      <c r="VSW20" s="4"/>
      <c r="VSX20" s="4"/>
      <c r="VSY20" s="4"/>
      <c r="VSZ20" s="4"/>
      <c r="VTA20" s="4"/>
      <c r="VTB20" s="4"/>
      <c r="VTC20" s="4"/>
      <c r="VTD20" s="4"/>
      <c r="VTE20" s="4"/>
      <c r="VTF20" s="4"/>
      <c r="VTG20" s="4"/>
      <c r="VTH20" s="4"/>
      <c r="VTI20" s="4"/>
      <c r="VTJ20" s="4"/>
      <c r="VTK20" s="4"/>
      <c r="VTL20" s="4"/>
      <c r="VTM20" s="4"/>
      <c r="VTN20" s="4"/>
      <c r="VTO20" s="4"/>
      <c r="VTP20" s="4"/>
      <c r="VTQ20" s="4"/>
      <c r="VTR20" s="4"/>
      <c r="VTS20" s="4"/>
      <c r="VTT20" s="4"/>
      <c r="VTU20" s="4"/>
      <c r="VTV20" s="4"/>
      <c r="VTW20" s="4"/>
      <c r="VTX20" s="4"/>
      <c r="VTY20" s="4"/>
      <c r="VTZ20" s="4"/>
      <c r="VUA20" s="4"/>
      <c r="VUB20" s="4"/>
      <c r="VUC20" s="4"/>
      <c r="VUD20" s="4"/>
      <c r="VUE20" s="4"/>
      <c r="VUF20" s="4"/>
      <c r="VUG20" s="4"/>
      <c r="VUH20" s="4"/>
      <c r="VUI20" s="4"/>
      <c r="VUJ20" s="4"/>
      <c r="VUK20" s="4"/>
      <c r="VUL20" s="4"/>
      <c r="VUM20" s="4"/>
      <c r="VUN20" s="4"/>
      <c r="VUO20" s="4"/>
      <c r="VUP20" s="4"/>
      <c r="VUQ20" s="4"/>
      <c r="VUR20" s="4"/>
      <c r="VUS20" s="4"/>
      <c r="VUT20" s="4"/>
      <c r="VUU20" s="4"/>
      <c r="VUV20" s="4"/>
      <c r="VUW20" s="4"/>
      <c r="VUX20" s="4"/>
      <c r="VUY20" s="4"/>
      <c r="VUZ20" s="4"/>
      <c r="VVA20" s="4"/>
      <c r="VVB20" s="4"/>
      <c r="VVC20" s="4"/>
      <c r="VVD20" s="4"/>
      <c r="VVE20" s="4"/>
      <c r="VVF20" s="4"/>
      <c r="VVG20" s="4"/>
      <c r="VVH20" s="4"/>
      <c r="VVI20" s="4"/>
      <c r="VVJ20" s="4"/>
      <c r="VVK20" s="4"/>
      <c r="VVL20" s="4"/>
      <c r="VVM20" s="4"/>
      <c r="VVN20" s="4"/>
      <c r="VVO20" s="4"/>
      <c r="VVP20" s="4"/>
      <c r="VVQ20" s="4"/>
      <c r="VVR20" s="4"/>
      <c r="VVS20" s="4"/>
      <c r="VVT20" s="4"/>
      <c r="VVU20" s="4"/>
      <c r="VVV20" s="4"/>
      <c r="VVW20" s="4"/>
      <c r="VVX20" s="4"/>
      <c r="VVY20" s="4"/>
      <c r="VVZ20" s="4"/>
      <c r="VWA20" s="4"/>
      <c r="VWB20" s="4"/>
      <c r="VWC20" s="4"/>
      <c r="VWD20" s="4"/>
      <c r="VWE20" s="4"/>
      <c r="VWF20" s="4"/>
      <c r="VWG20" s="4"/>
      <c r="VWH20" s="4"/>
      <c r="VWI20" s="4"/>
      <c r="VWJ20" s="4"/>
      <c r="VWK20" s="4"/>
      <c r="VWL20" s="4"/>
      <c r="VWM20" s="4"/>
      <c r="VWN20" s="4"/>
      <c r="VWO20" s="4"/>
      <c r="VWP20" s="4"/>
      <c r="VWQ20" s="4"/>
      <c r="VWR20" s="4"/>
      <c r="VWS20" s="4"/>
      <c r="VWT20" s="4"/>
      <c r="VWU20" s="4"/>
      <c r="VWV20" s="4"/>
      <c r="VWW20" s="4"/>
      <c r="VWX20" s="4"/>
      <c r="VWY20" s="4"/>
      <c r="VWZ20" s="4"/>
      <c r="VXA20" s="4"/>
      <c r="VXB20" s="4"/>
      <c r="VXC20" s="4"/>
      <c r="VXD20" s="4"/>
      <c r="VXE20" s="4"/>
      <c r="VXF20" s="4"/>
      <c r="VXG20" s="4"/>
      <c r="VXH20" s="4"/>
      <c r="VXI20" s="4"/>
      <c r="VXJ20" s="4"/>
      <c r="VXK20" s="4"/>
      <c r="VXL20" s="4"/>
      <c r="VXM20" s="4"/>
      <c r="VXN20" s="4"/>
      <c r="VXO20" s="4"/>
      <c r="VXP20" s="4"/>
      <c r="VXQ20" s="4"/>
      <c r="VXR20" s="4"/>
      <c r="VXS20" s="4"/>
      <c r="VXT20" s="4"/>
      <c r="VXU20" s="4"/>
      <c r="VXV20" s="4"/>
      <c r="VXW20" s="4"/>
      <c r="VXX20" s="4"/>
      <c r="VXY20" s="4"/>
      <c r="VXZ20" s="4"/>
      <c r="VYA20" s="4"/>
      <c r="VYB20" s="4"/>
      <c r="VYC20" s="4"/>
      <c r="VYD20" s="4"/>
      <c r="VYE20" s="4"/>
      <c r="VYF20" s="4"/>
      <c r="VYG20" s="4"/>
      <c r="VYH20" s="4"/>
      <c r="VYI20" s="4"/>
      <c r="VYJ20" s="4"/>
      <c r="VYK20" s="4"/>
      <c r="VYL20" s="4"/>
      <c r="VYM20" s="4"/>
      <c r="VYN20" s="4"/>
      <c r="VYO20" s="4"/>
      <c r="VYP20" s="4"/>
      <c r="VYQ20" s="4"/>
      <c r="VYR20" s="4"/>
      <c r="VYS20" s="4"/>
      <c r="VYT20" s="4"/>
      <c r="VYU20" s="4"/>
      <c r="VYV20" s="4"/>
      <c r="VYW20" s="4"/>
      <c r="VYX20" s="4"/>
      <c r="VYY20" s="4"/>
      <c r="VYZ20" s="4"/>
      <c r="VZA20" s="4"/>
      <c r="VZB20" s="4"/>
      <c r="VZC20" s="4"/>
      <c r="VZD20" s="4"/>
      <c r="VZE20" s="4"/>
      <c r="VZF20" s="4"/>
      <c r="VZG20" s="4"/>
      <c r="VZH20" s="4"/>
      <c r="VZI20" s="4"/>
      <c r="VZJ20" s="4"/>
      <c r="VZK20" s="4"/>
      <c r="VZL20" s="4"/>
      <c r="VZM20" s="4"/>
      <c r="VZN20" s="4"/>
      <c r="VZO20" s="4"/>
      <c r="VZP20" s="4"/>
      <c r="VZQ20" s="4"/>
      <c r="VZR20" s="4"/>
      <c r="VZS20" s="4"/>
      <c r="VZT20" s="4"/>
      <c r="VZU20" s="4"/>
      <c r="VZV20" s="4"/>
      <c r="VZW20" s="4"/>
      <c r="VZX20" s="4"/>
      <c r="VZY20" s="4"/>
      <c r="VZZ20" s="4"/>
      <c r="WAA20" s="4"/>
      <c r="WAB20" s="4"/>
      <c r="WAC20" s="4"/>
      <c r="WAD20" s="4"/>
      <c r="WAE20" s="4"/>
      <c r="WAF20" s="4"/>
      <c r="WAG20" s="4"/>
      <c r="WAH20" s="4"/>
      <c r="WAI20" s="4"/>
      <c r="WAJ20" s="4"/>
      <c r="WAK20" s="4"/>
      <c r="WAL20" s="4"/>
      <c r="WAM20" s="4"/>
      <c r="WAN20" s="4"/>
      <c r="WAO20" s="4"/>
      <c r="WAP20" s="4"/>
      <c r="WAQ20" s="4"/>
      <c r="WAR20" s="4"/>
      <c r="WAS20" s="4"/>
      <c r="WAT20" s="4"/>
      <c r="WAU20" s="4"/>
      <c r="WAV20" s="4"/>
      <c r="WAW20" s="4"/>
      <c r="WAX20" s="4"/>
      <c r="WAY20" s="4"/>
      <c r="WAZ20" s="4"/>
      <c r="WBA20" s="4"/>
      <c r="WBB20" s="4"/>
      <c r="WBC20" s="4"/>
      <c r="WBD20" s="4"/>
      <c r="WBE20" s="4"/>
      <c r="WBF20" s="4"/>
      <c r="WBG20" s="4"/>
      <c r="WBH20" s="4"/>
      <c r="WBI20" s="4"/>
      <c r="WBJ20" s="4"/>
      <c r="WBK20" s="4"/>
      <c r="WBL20" s="4"/>
      <c r="WBM20" s="4"/>
      <c r="WBN20" s="4"/>
      <c r="WBO20" s="4"/>
      <c r="WBP20" s="4"/>
      <c r="WBQ20" s="4"/>
      <c r="WBR20" s="4"/>
      <c r="WBS20" s="4"/>
      <c r="WBT20" s="4"/>
      <c r="WBU20" s="4"/>
      <c r="WBV20" s="4"/>
      <c r="WBW20" s="4"/>
      <c r="WBX20" s="4"/>
      <c r="WBY20" s="4"/>
      <c r="WBZ20" s="4"/>
      <c r="WCA20" s="4"/>
      <c r="WCB20" s="4"/>
      <c r="WCC20" s="4"/>
      <c r="WCD20" s="4"/>
      <c r="WCE20" s="4"/>
      <c r="WCF20" s="4"/>
      <c r="WCG20" s="4"/>
      <c r="WCH20" s="4"/>
      <c r="WCI20" s="4"/>
      <c r="WCJ20" s="4"/>
      <c r="WCK20" s="4"/>
      <c r="WCL20" s="4"/>
      <c r="WCM20" s="4"/>
      <c r="WCN20" s="4"/>
      <c r="WCO20" s="4"/>
      <c r="WCP20" s="4"/>
      <c r="WCQ20" s="4"/>
      <c r="WCR20" s="4"/>
      <c r="WCS20" s="4"/>
      <c r="WCT20" s="4"/>
      <c r="WCU20" s="4"/>
      <c r="WCV20" s="4"/>
      <c r="WCW20" s="4"/>
      <c r="WCX20" s="4"/>
      <c r="WCY20" s="4"/>
      <c r="WCZ20" s="4"/>
      <c r="WDA20" s="4"/>
      <c r="WDB20" s="4"/>
      <c r="WDC20" s="4"/>
      <c r="WDD20" s="4"/>
      <c r="WDE20" s="4"/>
      <c r="WDF20" s="4"/>
      <c r="WDG20" s="4"/>
      <c r="WDH20" s="4"/>
      <c r="WDI20" s="4"/>
      <c r="WDJ20" s="4"/>
      <c r="WDK20" s="4"/>
      <c r="WDL20" s="4"/>
      <c r="WDM20" s="4"/>
      <c r="WDN20" s="4"/>
      <c r="WDO20" s="4"/>
      <c r="WDP20" s="4"/>
      <c r="WDQ20" s="4"/>
      <c r="WDR20" s="4"/>
      <c r="WDS20" s="4"/>
      <c r="WDT20" s="4"/>
      <c r="WDU20" s="4"/>
      <c r="WDV20" s="4"/>
      <c r="WDW20" s="4"/>
      <c r="WDX20" s="4"/>
      <c r="WDY20" s="4"/>
      <c r="WDZ20" s="4"/>
      <c r="WEA20" s="4"/>
      <c r="WEB20" s="4"/>
      <c r="WEC20" s="4"/>
      <c r="WED20" s="4"/>
      <c r="WEE20" s="4"/>
      <c r="WEF20" s="4"/>
      <c r="WEG20" s="4"/>
      <c r="WEH20" s="4"/>
      <c r="WEI20" s="4"/>
      <c r="WEJ20" s="4"/>
      <c r="WEK20" s="4"/>
      <c r="WEL20" s="4"/>
      <c r="WEM20" s="4"/>
      <c r="WEN20" s="4"/>
      <c r="WEO20" s="4"/>
      <c r="WEP20" s="4"/>
      <c r="WEQ20" s="4"/>
      <c r="WER20" s="4"/>
      <c r="WES20" s="4"/>
      <c r="WET20" s="4"/>
      <c r="WEU20" s="4"/>
      <c r="WEV20" s="4"/>
      <c r="WEW20" s="4"/>
      <c r="WEX20" s="4"/>
      <c r="WEY20" s="4"/>
      <c r="WEZ20" s="4"/>
      <c r="WFA20" s="4"/>
      <c r="WFB20" s="4"/>
      <c r="WFC20" s="4"/>
      <c r="WFD20" s="4"/>
      <c r="WFE20" s="4"/>
      <c r="WFF20" s="4"/>
      <c r="WFG20" s="4"/>
      <c r="WFH20" s="4"/>
      <c r="WFI20" s="4"/>
      <c r="WFJ20" s="4"/>
      <c r="WFK20" s="4"/>
      <c r="WFL20" s="4"/>
      <c r="WFM20" s="4"/>
      <c r="WFN20" s="4"/>
      <c r="WFO20" s="4"/>
      <c r="WFP20" s="4"/>
      <c r="WFQ20" s="4"/>
      <c r="WFR20" s="4"/>
      <c r="WFS20" s="4"/>
      <c r="WFT20" s="4"/>
      <c r="WFU20" s="4"/>
      <c r="WFV20" s="4"/>
      <c r="WFW20" s="4"/>
      <c r="WFX20" s="4"/>
      <c r="WFY20" s="4"/>
      <c r="WFZ20" s="4"/>
      <c r="WGA20" s="4"/>
      <c r="WGB20" s="4"/>
      <c r="WGC20" s="4"/>
      <c r="WGD20" s="4"/>
      <c r="WGE20" s="4"/>
      <c r="WGF20" s="4"/>
      <c r="WGG20" s="4"/>
      <c r="WGH20" s="4"/>
      <c r="WGI20" s="4"/>
      <c r="WGJ20" s="4"/>
      <c r="WGK20" s="4"/>
      <c r="WGL20" s="4"/>
      <c r="WGM20" s="4"/>
      <c r="WGN20" s="4"/>
      <c r="WGO20" s="4"/>
      <c r="WGP20" s="4"/>
      <c r="WGQ20" s="4"/>
      <c r="WGR20" s="4"/>
      <c r="WGS20" s="4"/>
      <c r="WGT20" s="4"/>
      <c r="WGU20" s="4"/>
      <c r="WGV20" s="4"/>
      <c r="WGW20" s="4"/>
      <c r="WGX20" s="4"/>
      <c r="WGY20" s="4"/>
      <c r="WGZ20" s="4"/>
      <c r="WHA20" s="4"/>
      <c r="WHB20" s="4"/>
      <c r="WHC20" s="4"/>
      <c r="WHD20" s="4"/>
      <c r="WHE20" s="4"/>
      <c r="WHF20" s="4"/>
      <c r="WHG20" s="4"/>
      <c r="WHH20" s="4"/>
      <c r="WHI20" s="4"/>
      <c r="WHJ20" s="4"/>
      <c r="WHK20" s="4"/>
      <c r="WHL20" s="4"/>
      <c r="WHM20" s="4"/>
      <c r="WHN20" s="4"/>
      <c r="WHO20" s="4"/>
      <c r="WHP20" s="4"/>
      <c r="WHQ20" s="4"/>
      <c r="WHR20" s="4"/>
      <c r="WHS20" s="4"/>
      <c r="WHT20" s="4"/>
      <c r="WHU20" s="4"/>
      <c r="WHV20" s="4"/>
      <c r="WHW20" s="4"/>
      <c r="WHX20" s="4"/>
      <c r="WHY20" s="4"/>
      <c r="WHZ20" s="4"/>
      <c r="WIA20" s="4"/>
      <c r="WIB20" s="4"/>
      <c r="WIC20" s="4"/>
      <c r="WID20" s="4"/>
      <c r="WIE20" s="4"/>
      <c r="WIF20" s="4"/>
      <c r="WIG20" s="4"/>
      <c r="WIH20" s="4"/>
      <c r="WII20" s="4"/>
      <c r="WIJ20" s="4"/>
      <c r="WIK20" s="4"/>
      <c r="WIL20" s="4"/>
      <c r="WIM20" s="4"/>
      <c r="WIN20" s="4"/>
      <c r="WIO20" s="4"/>
      <c r="WIP20" s="4"/>
      <c r="WIQ20" s="4"/>
      <c r="WIR20" s="4"/>
      <c r="WIS20" s="4"/>
      <c r="WIT20" s="4"/>
      <c r="WIU20" s="4"/>
      <c r="WIV20" s="4"/>
      <c r="WIW20" s="4"/>
      <c r="WIX20" s="4"/>
      <c r="WIY20" s="4"/>
      <c r="WIZ20" s="4"/>
      <c r="WJA20" s="4"/>
      <c r="WJB20" s="4"/>
      <c r="WJC20" s="4"/>
      <c r="WJD20" s="4"/>
      <c r="WJE20" s="4"/>
      <c r="WJF20" s="4"/>
      <c r="WJG20" s="4"/>
      <c r="WJH20" s="4"/>
      <c r="WJI20" s="4"/>
      <c r="WJJ20" s="4"/>
      <c r="WJK20" s="4"/>
      <c r="WJL20" s="4"/>
      <c r="WJM20" s="4"/>
      <c r="WJN20" s="4"/>
      <c r="WJO20" s="4"/>
      <c r="WJP20" s="4"/>
      <c r="WJQ20" s="4"/>
      <c r="WJR20" s="4"/>
      <c r="WJS20" s="4"/>
      <c r="WJT20" s="4"/>
      <c r="WJU20" s="4"/>
      <c r="WJV20" s="4"/>
      <c r="WJW20" s="4"/>
      <c r="WJX20" s="4"/>
      <c r="WJY20" s="4"/>
      <c r="WJZ20" s="4"/>
      <c r="WKA20" s="4"/>
      <c r="WKB20" s="4"/>
      <c r="WKC20" s="4"/>
      <c r="WKD20" s="4"/>
      <c r="WKE20" s="4"/>
      <c r="WKF20" s="4"/>
      <c r="WKG20" s="4"/>
      <c r="WKH20" s="4"/>
      <c r="WKI20" s="4"/>
      <c r="WKJ20" s="4"/>
      <c r="WKK20" s="4"/>
      <c r="WKL20" s="4"/>
      <c r="WKM20" s="4"/>
      <c r="WKN20" s="4"/>
      <c r="WKO20" s="4"/>
      <c r="WKP20" s="4"/>
      <c r="WKQ20" s="4"/>
      <c r="WKR20" s="4"/>
      <c r="WKS20" s="4"/>
      <c r="WKT20" s="4"/>
      <c r="WKU20" s="4"/>
      <c r="WKV20" s="4"/>
      <c r="WKW20" s="4"/>
      <c r="WKX20" s="4"/>
      <c r="WKY20" s="4"/>
      <c r="WKZ20" s="4"/>
      <c r="WLA20" s="4"/>
      <c r="WLB20" s="4"/>
      <c r="WLC20" s="4"/>
      <c r="WLD20" s="4"/>
      <c r="WLE20" s="4"/>
      <c r="WLF20" s="4"/>
      <c r="WLG20" s="4"/>
      <c r="WLH20" s="4"/>
      <c r="WLI20" s="4"/>
      <c r="WLJ20" s="4"/>
      <c r="WLK20" s="4"/>
      <c r="WLL20" s="4"/>
      <c r="WLM20" s="4"/>
      <c r="WLN20" s="4"/>
      <c r="WLO20" s="4"/>
      <c r="WLP20" s="4"/>
      <c r="WLQ20" s="4"/>
      <c r="WLR20" s="4"/>
      <c r="WLS20" s="4"/>
      <c r="WLT20" s="4"/>
      <c r="WLU20" s="4"/>
      <c r="WLV20" s="4"/>
      <c r="WLW20" s="4"/>
      <c r="WLX20" s="4"/>
      <c r="WLY20" s="4"/>
      <c r="WLZ20" s="4"/>
      <c r="WMA20" s="4"/>
      <c r="WMB20" s="4"/>
      <c r="WMC20" s="4"/>
      <c r="WMD20" s="4"/>
      <c r="WME20" s="4"/>
      <c r="WMF20" s="4"/>
      <c r="WMG20" s="4"/>
      <c r="WMH20" s="4"/>
      <c r="WMI20" s="4"/>
      <c r="WMJ20" s="4"/>
      <c r="WMK20" s="4"/>
      <c r="WML20" s="4"/>
      <c r="WMM20" s="4"/>
      <c r="WMN20" s="4"/>
      <c r="WMO20" s="4"/>
      <c r="WMP20" s="4"/>
      <c r="WMQ20" s="4"/>
      <c r="WMR20" s="4"/>
      <c r="WMS20" s="4"/>
      <c r="WMT20" s="4"/>
      <c r="WMU20" s="4"/>
      <c r="WMV20" s="4"/>
      <c r="WMW20" s="4"/>
      <c r="WMX20" s="4"/>
      <c r="WMY20" s="4"/>
      <c r="WMZ20" s="4"/>
      <c r="WNA20" s="4"/>
      <c r="WNB20" s="4"/>
      <c r="WNC20" s="4"/>
      <c r="WND20" s="4"/>
      <c r="WNE20" s="4"/>
      <c r="WNF20" s="4"/>
      <c r="WNG20" s="4"/>
      <c r="WNH20" s="4"/>
      <c r="WNI20" s="4"/>
      <c r="WNJ20" s="4"/>
      <c r="WNK20" s="4"/>
      <c r="WNL20" s="4"/>
      <c r="WNM20" s="4"/>
      <c r="WNN20" s="4"/>
      <c r="WNO20" s="4"/>
      <c r="WNP20" s="4"/>
      <c r="WNQ20" s="4"/>
      <c r="WNR20" s="4"/>
      <c r="WNS20" s="4"/>
      <c r="WNT20" s="4"/>
      <c r="WNU20" s="4"/>
      <c r="WNV20" s="4"/>
      <c r="WNW20" s="4"/>
      <c r="WNX20" s="4"/>
      <c r="WNY20" s="4"/>
      <c r="WNZ20" s="4"/>
      <c r="WOA20" s="4"/>
      <c r="WOB20" s="4"/>
      <c r="WOC20" s="4"/>
      <c r="WOD20" s="4"/>
      <c r="WOE20" s="4"/>
      <c r="WOF20" s="4"/>
      <c r="WOG20" s="4"/>
      <c r="WOH20" s="4"/>
      <c r="WOI20" s="4"/>
      <c r="WOJ20" s="4"/>
      <c r="WOK20" s="4"/>
      <c r="WOL20" s="4"/>
      <c r="WOM20" s="4"/>
      <c r="WON20" s="4"/>
      <c r="WOO20" s="4"/>
      <c r="WOP20" s="4"/>
      <c r="WOQ20" s="4"/>
      <c r="WOR20" s="4"/>
      <c r="WOS20" s="4"/>
      <c r="WOT20" s="4"/>
      <c r="WOU20" s="4"/>
      <c r="WOV20" s="4"/>
      <c r="WOW20" s="4"/>
      <c r="WOX20" s="4"/>
      <c r="WOY20" s="4"/>
      <c r="WOZ20" s="4"/>
      <c r="WPA20" s="4"/>
      <c r="WPB20" s="4"/>
      <c r="WPC20" s="4"/>
      <c r="WPD20" s="4"/>
      <c r="WPE20" s="4"/>
      <c r="WPF20" s="4"/>
      <c r="WPG20" s="4"/>
      <c r="WPH20" s="4"/>
      <c r="WPI20" s="4"/>
      <c r="WPJ20" s="4"/>
      <c r="WPK20" s="4"/>
      <c r="WPL20" s="4"/>
      <c r="WPM20" s="4"/>
      <c r="WPN20" s="4"/>
      <c r="WPO20" s="4"/>
      <c r="WPP20" s="4"/>
      <c r="WPQ20" s="4"/>
      <c r="WPR20" s="4"/>
      <c r="WPS20" s="4"/>
      <c r="WPT20" s="4"/>
      <c r="WPU20" s="4"/>
      <c r="WPV20" s="4"/>
      <c r="WPW20" s="4"/>
      <c r="WPX20" s="4"/>
      <c r="WPY20" s="4"/>
      <c r="WPZ20" s="4"/>
      <c r="WQA20" s="4"/>
      <c r="WQB20" s="4"/>
      <c r="WQC20" s="4"/>
      <c r="WQD20" s="4"/>
      <c r="WQE20" s="4"/>
      <c r="WQF20" s="4"/>
      <c r="WQG20" s="4"/>
      <c r="WQH20" s="4"/>
      <c r="WQI20" s="4"/>
      <c r="WQJ20" s="4"/>
      <c r="WQK20" s="4"/>
      <c r="WQL20" s="4"/>
      <c r="WQM20" s="4"/>
      <c r="WQN20" s="4"/>
      <c r="WQO20" s="4"/>
      <c r="WQP20" s="4"/>
      <c r="WQQ20" s="4"/>
      <c r="WQR20" s="4"/>
      <c r="WQS20" s="4"/>
      <c r="WQT20" s="4"/>
      <c r="WQU20" s="4"/>
      <c r="WQV20" s="4"/>
      <c r="WQW20" s="4"/>
      <c r="WQX20" s="4"/>
      <c r="WQY20" s="4"/>
      <c r="WQZ20" s="4"/>
      <c r="WRA20" s="4"/>
      <c r="WRB20" s="4"/>
      <c r="WRC20" s="4"/>
      <c r="WRD20" s="4"/>
      <c r="WRE20" s="4"/>
      <c r="WRF20" s="4"/>
      <c r="WRG20" s="4"/>
      <c r="WRH20" s="4"/>
      <c r="WRI20" s="4"/>
      <c r="WRJ20" s="4"/>
      <c r="WRK20" s="4"/>
      <c r="WRL20" s="4"/>
      <c r="WRM20" s="4"/>
      <c r="WRN20" s="4"/>
      <c r="WRO20" s="4"/>
      <c r="WRP20" s="4"/>
      <c r="WRQ20" s="4"/>
      <c r="WRR20" s="4"/>
      <c r="WRS20" s="4"/>
      <c r="WRT20" s="4"/>
      <c r="WRU20" s="4"/>
      <c r="WRV20" s="4"/>
      <c r="WRW20" s="4"/>
      <c r="WRX20" s="4"/>
      <c r="WRY20" s="4"/>
      <c r="WRZ20" s="4"/>
      <c r="WSA20" s="4"/>
      <c r="WSB20" s="4"/>
      <c r="WSC20" s="4"/>
      <c r="WSD20" s="4"/>
      <c r="WSE20" s="4"/>
      <c r="WSF20" s="4"/>
      <c r="WSG20" s="4"/>
      <c r="WSH20" s="4"/>
      <c r="WSI20" s="4"/>
      <c r="WSJ20" s="4"/>
      <c r="WSK20" s="4"/>
      <c r="WSL20" s="4"/>
      <c r="WSM20" s="4"/>
      <c r="WSN20" s="4"/>
      <c r="WSO20" s="4"/>
      <c r="WSP20" s="4"/>
      <c r="WSQ20" s="4"/>
      <c r="WSR20" s="4"/>
      <c r="WSS20" s="4"/>
      <c r="WST20" s="4"/>
      <c r="WSU20" s="4"/>
      <c r="WSV20" s="4"/>
      <c r="WSW20" s="4"/>
      <c r="WSX20" s="4"/>
      <c r="WSY20" s="4"/>
      <c r="WSZ20" s="4"/>
      <c r="WTA20" s="4"/>
      <c r="WTB20" s="4"/>
      <c r="WTC20" s="4"/>
      <c r="WTD20" s="4"/>
      <c r="WTE20" s="4"/>
      <c r="WTF20" s="4"/>
      <c r="WTG20" s="4"/>
      <c r="WTH20" s="4"/>
      <c r="WTI20" s="4"/>
      <c r="WTJ20" s="4"/>
      <c r="WTK20" s="4"/>
      <c r="WTL20" s="4"/>
      <c r="WTM20" s="4"/>
      <c r="WTN20" s="4"/>
      <c r="WTO20" s="4"/>
      <c r="WTP20" s="4"/>
      <c r="WTQ20" s="4"/>
      <c r="WTR20" s="4"/>
      <c r="WTS20" s="4"/>
      <c r="WTT20" s="4"/>
      <c r="WTU20" s="4"/>
      <c r="WTV20" s="4"/>
      <c r="WTW20" s="4"/>
      <c r="WTX20" s="4"/>
      <c r="WTY20" s="4"/>
      <c r="WTZ20" s="4"/>
      <c r="WUA20" s="4"/>
      <c r="WUB20" s="4"/>
      <c r="WUC20" s="4"/>
      <c r="WUD20" s="4"/>
      <c r="WUE20" s="4"/>
      <c r="WUF20" s="4"/>
      <c r="WUG20" s="4"/>
      <c r="WUH20" s="4"/>
      <c r="WUI20" s="4"/>
      <c r="WUJ20" s="4"/>
      <c r="WUK20" s="4"/>
      <c r="WUL20" s="4"/>
      <c r="WUM20" s="4"/>
      <c r="WUN20" s="4"/>
      <c r="WUO20" s="4"/>
      <c r="WUP20" s="4"/>
      <c r="WUQ20" s="4"/>
      <c r="WUR20" s="4"/>
      <c r="WUS20" s="4"/>
      <c r="WUT20" s="4"/>
      <c r="WUU20" s="4"/>
      <c r="WUV20" s="4"/>
      <c r="WUW20" s="4"/>
      <c r="WUX20" s="4"/>
      <c r="WUY20" s="4"/>
      <c r="WUZ20" s="4"/>
      <c r="WVA20" s="4"/>
      <c r="WVB20" s="4"/>
      <c r="WVC20" s="4"/>
      <c r="WVD20" s="4"/>
      <c r="WVE20" s="4"/>
      <c r="WVF20" s="4"/>
      <c r="WVG20" s="4"/>
      <c r="WVH20" s="4"/>
      <c r="WVI20" s="4"/>
      <c r="WVJ20" s="4"/>
      <c r="WVK20" s="4"/>
      <c r="WVL20" s="4"/>
      <c r="WVM20" s="4"/>
      <c r="WVN20" s="4"/>
      <c r="WVO20" s="4"/>
      <c r="WVP20" s="4"/>
      <c r="WVQ20" s="4"/>
      <c r="WVR20" s="4"/>
      <c r="WVS20" s="4"/>
      <c r="WVT20" s="4"/>
      <c r="WVU20" s="4"/>
      <c r="WVV20" s="4"/>
      <c r="WVW20" s="4"/>
      <c r="WVX20" s="4"/>
      <c r="WVY20" s="4"/>
      <c r="WVZ20" s="4"/>
      <c r="WWA20" s="4"/>
      <c r="WWB20" s="4"/>
      <c r="WWC20" s="4"/>
      <c r="WWD20" s="4"/>
      <c r="WWE20" s="4"/>
      <c r="WWF20" s="4"/>
      <c r="WWG20" s="4"/>
      <c r="WWH20" s="4"/>
      <c r="WWI20" s="4"/>
      <c r="WWJ20" s="4"/>
      <c r="WWK20" s="4"/>
      <c r="WWL20" s="4"/>
      <c r="WWM20" s="4"/>
      <c r="WWN20" s="4"/>
      <c r="WWO20" s="4"/>
      <c r="WWP20" s="4"/>
      <c r="WWQ20" s="4"/>
      <c r="WWR20" s="4"/>
      <c r="WWS20" s="4"/>
      <c r="WWT20" s="4"/>
      <c r="WWU20" s="4"/>
      <c r="WWV20" s="4"/>
      <c r="WWW20" s="4"/>
      <c r="WWX20" s="4"/>
      <c r="WWY20" s="4"/>
      <c r="WWZ20" s="4"/>
      <c r="WXA20" s="4"/>
      <c r="WXB20" s="4"/>
      <c r="WXC20" s="4"/>
      <c r="WXD20" s="4"/>
      <c r="WXE20" s="4"/>
      <c r="WXF20" s="4"/>
      <c r="WXG20" s="4"/>
      <c r="WXH20" s="4"/>
      <c r="WXI20" s="4"/>
      <c r="WXJ20" s="4"/>
      <c r="WXK20" s="4"/>
      <c r="WXL20" s="4"/>
      <c r="WXM20" s="4"/>
      <c r="WXN20" s="4"/>
      <c r="WXO20" s="4"/>
      <c r="WXP20" s="4"/>
      <c r="WXQ20" s="4"/>
      <c r="WXR20" s="4"/>
      <c r="WXS20" s="4"/>
      <c r="WXT20" s="4"/>
      <c r="WXU20" s="4"/>
      <c r="WXV20" s="4"/>
      <c r="WXW20" s="4"/>
      <c r="WXX20" s="4"/>
      <c r="WXY20" s="4"/>
      <c r="WXZ20" s="4"/>
      <c r="WYA20" s="4"/>
      <c r="WYB20" s="4"/>
      <c r="WYC20" s="4"/>
      <c r="WYD20" s="4"/>
      <c r="WYE20" s="4"/>
      <c r="WYF20" s="4"/>
      <c r="WYG20" s="4"/>
      <c r="WYH20" s="4"/>
      <c r="WYI20" s="4"/>
      <c r="WYJ20" s="4"/>
      <c r="WYK20" s="4"/>
      <c r="WYL20" s="4"/>
      <c r="WYM20" s="4"/>
      <c r="WYN20" s="4"/>
      <c r="WYO20" s="4"/>
      <c r="WYP20" s="4"/>
      <c r="WYQ20" s="4"/>
      <c r="WYR20" s="4"/>
      <c r="WYS20" s="4"/>
      <c r="WYT20" s="4"/>
      <c r="WYU20" s="4"/>
      <c r="WYV20" s="4"/>
      <c r="WYW20" s="4"/>
      <c r="WYX20" s="4"/>
      <c r="WYY20" s="4"/>
      <c r="WYZ20" s="4"/>
      <c r="WZA20" s="4"/>
      <c r="WZB20" s="4"/>
      <c r="WZC20" s="4"/>
      <c r="WZD20" s="4"/>
      <c r="WZE20" s="4"/>
      <c r="WZF20" s="4"/>
      <c r="WZG20" s="4"/>
      <c r="WZH20" s="4"/>
      <c r="WZI20" s="4"/>
      <c r="WZJ20" s="4"/>
      <c r="WZK20" s="4"/>
      <c r="WZL20" s="4"/>
      <c r="WZM20" s="4"/>
      <c r="WZN20" s="4"/>
      <c r="WZO20" s="4"/>
      <c r="WZP20" s="4"/>
      <c r="WZQ20" s="4"/>
      <c r="WZR20" s="4"/>
      <c r="WZS20" s="4"/>
      <c r="WZT20" s="4"/>
      <c r="WZU20" s="4"/>
      <c r="WZV20" s="4"/>
      <c r="WZW20" s="4"/>
      <c r="WZX20" s="4"/>
      <c r="WZY20" s="4"/>
      <c r="WZZ20" s="4"/>
      <c r="XAA20" s="4"/>
      <c r="XAB20" s="4"/>
      <c r="XAC20" s="4"/>
      <c r="XAD20" s="4"/>
      <c r="XAE20" s="4"/>
      <c r="XAF20" s="4"/>
      <c r="XAG20" s="4"/>
      <c r="XAH20" s="4"/>
      <c r="XAI20" s="4"/>
      <c r="XAJ20" s="4"/>
      <c r="XAK20" s="4"/>
      <c r="XAL20" s="4"/>
      <c r="XAM20" s="4"/>
      <c r="XAN20" s="4"/>
      <c r="XAO20" s="4"/>
      <c r="XAP20" s="4"/>
      <c r="XAQ20" s="4"/>
      <c r="XAR20" s="4"/>
      <c r="XAS20" s="4"/>
      <c r="XAT20" s="4"/>
      <c r="XAU20" s="4"/>
      <c r="XAV20" s="4"/>
      <c r="XAW20" s="4"/>
      <c r="XAX20" s="4"/>
      <c r="XAY20" s="4"/>
      <c r="XAZ20" s="4"/>
      <c r="XBA20" s="4"/>
      <c r="XBB20" s="4"/>
      <c r="XBC20" s="4"/>
      <c r="XBD20" s="4"/>
      <c r="XBE20" s="4"/>
      <c r="XBF20" s="4"/>
      <c r="XBG20" s="4"/>
      <c r="XBH20" s="4"/>
      <c r="XBI20" s="4"/>
      <c r="XBJ20" s="4"/>
      <c r="XBK20" s="4"/>
      <c r="XBL20" s="4"/>
      <c r="XBM20" s="4"/>
      <c r="XBN20" s="4"/>
      <c r="XBO20" s="4"/>
      <c r="XBP20" s="4"/>
      <c r="XBQ20" s="4"/>
      <c r="XBR20" s="4"/>
      <c r="XBS20" s="4"/>
      <c r="XBT20" s="4"/>
      <c r="XBU20" s="4"/>
      <c r="XBV20" s="4"/>
      <c r="XBW20" s="4"/>
      <c r="XBX20" s="4"/>
      <c r="XBY20" s="4"/>
      <c r="XBZ20" s="4"/>
      <c r="XCA20" s="4"/>
      <c r="XCB20" s="4"/>
      <c r="XCC20" s="4"/>
      <c r="XCD20" s="4"/>
      <c r="XCE20" s="4"/>
      <c r="XCF20" s="4"/>
      <c r="XCG20" s="4"/>
      <c r="XCH20" s="4"/>
      <c r="XCI20" s="4"/>
      <c r="XCJ20" s="4"/>
      <c r="XCK20" s="4"/>
      <c r="XCL20" s="4"/>
      <c r="XCM20" s="4"/>
      <c r="XCN20" s="4"/>
      <c r="XCO20" s="4"/>
      <c r="XCP20" s="4"/>
      <c r="XCQ20" s="4"/>
      <c r="XCR20" s="4"/>
      <c r="XCS20" s="4"/>
      <c r="XCT20" s="4"/>
      <c r="XCU20" s="4"/>
      <c r="XCV20" s="4"/>
      <c r="XCW20" s="4"/>
      <c r="XCX20" s="4"/>
      <c r="XCY20" s="4"/>
      <c r="XCZ20" s="4"/>
      <c r="XDA20" s="4"/>
      <c r="XDB20" s="4"/>
      <c r="XDC20" s="4"/>
      <c r="XDD20" s="4"/>
      <c r="XDE20" s="4"/>
      <c r="XDF20" s="4"/>
      <c r="XDG20" s="4"/>
      <c r="XDH20" s="4"/>
      <c r="XDI20" s="4"/>
      <c r="XDJ20" s="4"/>
      <c r="XDK20" s="4"/>
      <c r="XDL20" s="4"/>
      <c r="XDM20" s="4"/>
      <c r="XDN20" s="4"/>
      <c r="XDO20" s="4"/>
      <c r="XDP20" s="4"/>
      <c r="XDQ20" s="4"/>
      <c r="XDR20" s="4"/>
      <c r="XDS20" s="4"/>
      <c r="XDT20" s="4"/>
      <c r="XDU20" s="4"/>
      <c r="XDV20" s="4"/>
      <c r="XDW20" s="4"/>
      <c r="XDX20" s="4"/>
      <c r="XDY20" s="4"/>
      <c r="XDZ20" s="4"/>
      <c r="XEA20" s="4"/>
      <c r="XEB20" s="4"/>
      <c r="XEC20" s="4"/>
      <c r="XED20" s="4"/>
      <c r="XEE20" s="4"/>
      <c r="XEF20" s="4"/>
      <c r="XEG20" s="4"/>
      <c r="XEH20" s="4"/>
      <c r="XEI20" s="4"/>
      <c r="XEJ20" s="4"/>
      <c r="XEK20" s="4"/>
      <c r="XEL20" s="4"/>
      <c r="XEM20" s="4"/>
      <c r="XEN20" s="4"/>
      <c r="XEO20" s="4"/>
      <c r="XEP20" s="4"/>
      <c r="XEQ20" s="4"/>
      <c r="XER20" s="4"/>
      <c r="XES20" s="4"/>
      <c r="XET20" s="4"/>
      <c r="XEU20" s="4"/>
      <c r="XEV20" s="4"/>
      <c r="XEW20" s="4"/>
      <c r="XEX20" s="4"/>
      <c r="XEY20" s="4"/>
      <c r="XEZ20" s="4"/>
      <c r="XFA20" s="4"/>
      <c r="XFB20" s="4"/>
      <c r="XFC20" s="4"/>
    </row>
    <row r="21" spans="1:16383" ht="18" x14ac:dyDescent="0.25">
      <c r="A21" s="422" t="s">
        <v>3008</v>
      </c>
      <c r="B21" s="422"/>
      <c r="C21" s="308"/>
      <c r="D21" s="4"/>
      <c r="E21" s="4"/>
      <c r="F21" s="308"/>
      <c r="G21" s="3"/>
      <c r="H21" s="541"/>
      <c r="I21" s="54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  <c r="BGT21" s="4"/>
      <c r="BGU21" s="4"/>
      <c r="BGV21" s="4"/>
      <c r="BGW21" s="4"/>
      <c r="BGX21" s="4"/>
      <c r="BGY21" s="4"/>
      <c r="BGZ21" s="4"/>
      <c r="BHA21" s="4"/>
      <c r="BHB21" s="4"/>
      <c r="BHC21" s="4"/>
      <c r="BHD21" s="4"/>
      <c r="BHE21" s="4"/>
      <c r="BHF21" s="4"/>
      <c r="BHG21" s="4"/>
      <c r="BHH21" s="4"/>
      <c r="BHI21" s="4"/>
      <c r="BHJ21" s="4"/>
      <c r="BHK21" s="4"/>
      <c r="BHL21" s="4"/>
      <c r="BHM21" s="4"/>
      <c r="BHN21" s="4"/>
      <c r="BHO21" s="4"/>
      <c r="BHP21" s="4"/>
      <c r="BHQ21" s="4"/>
      <c r="BHR21" s="4"/>
      <c r="BHS21" s="4"/>
      <c r="BHT21" s="4"/>
      <c r="BHU21" s="4"/>
      <c r="BHV21" s="4"/>
      <c r="BHW21" s="4"/>
      <c r="BHX21" s="4"/>
      <c r="BHY21" s="4"/>
      <c r="BHZ21" s="4"/>
      <c r="BIA21" s="4"/>
      <c r="BIB21" s="4"/>
      <c r="BIC21" s="4"/>
      <c r="BID21" s="4"/>
      <c r="BIE21" s="4"/>
      <c r="BIF21" s="4"/>
      <c r="BIG21" s="4"/>
      <c r="BIH21" s="4"/>
      <c r="BII21" s="4"/>
      <c r="BIJ21" s="4"/>
      <c r="BIK21" s="4"/>
      <c r="BIL21" s="4"/>
      <c r="BIM21" s="4"/>
      <c r="BIN21" s="4"/>
      <c r="BIO21" s="4"/>
      <c r="BIP21" s="4"/>
      <c r="BIQ21" s="4"/>
      <c r="BIR21" s="4"/>
      <c r="BIS21" s="4"/>
      <c r="BIT21" s="4"/>
      <c r="BIU21" s="4"/>
      <c r="BIV21" s="4"/>
      <c r="BIW21" s="4"/>
      <c r="BIX21" s="4"/>
      <c r="BIY21" s="4"/>
      <c r="BIZ21" s="4"/>
      <c r="BJA21" s="4"/>
      <c r="BJB21" s="4"/>
      <c r="BJC21" s="4"/>
      <c r="BJD21" s="4"/>
      <c r="BJE21" s="4"/>
      <c r="BJF21" s="4"/>
      <c r="BJG21" s="4"/>
      <c r="BJH21" s="4"/>
      <c r="BJI21" s="4"/>
      <c r="BJJ21" s="4"/>
      <c r="BJK21" s="4"/>
      <c r="BJL21" s="4"/>
      <c r="BJM21" s="4"/>
      <c r="BJN21" s="4"/>
      <c r="BJO21" s="4"/>
      <c r="BJP21" s="4"/>
      <c r="BJQ21" s="4"/>
      <c r="BJR21" s="4"/>
      <c r="BJS21" s="4"/>
      <c r="BJT21" s="4"/>
      <c r="BJU21" s="4"/>
      <c r="BJV21" s="4"/>
      <c r="BJW21" s="4"/>
      <c r="BJX21" s="4"/>
      <c r="BJY21" s="4"/>
      <c r="BJZ21" s="4"/>
      <c r="BKA21" s="4"/>
      <c r="BKB21" s="4"/>
      <c r="BKC21" s="4"/>
      <c r="BKD21" s="4"/>
      <c r="BKE21" s="4"/>
      <c r="BKF21" s="4"/>
      <c r="BKG21" s="4"/>
      <c r="BKH21" s="4"/>
      <c r="BKI21" s="4"/>
      <c r="BKJ21" s="4"/>
      <c r="BKK21" s="4"/>
      <c r="BKL21" s="4"/>
      <c r="BKM21" s="4"/>
      <c r="BKN21" s="4"/>
      <c r="BKO21" s="4"/>
      <c r="BKP21" s="4"/>
      <c r="BKQ21" s="4"/>
      <c r="BKR21" s="4"/>
      <c r="BKS21" s="4"/>
      <c r="BKT21" s="4"/>
      <c r="BKU21" s="4"/>
      <c r="BKV21" s="4"/>
      <c r="BKW21" s="4"/>
      <c r="BKX21" s="4"/>
      <c r="BKY21" s="4"/>
      <c r="BKZ21" s="4"/>
      <c r="BLA21" s="4"/>
      <c r="BLB21" s="4"/>
      <c r="BLC21" s="4"/>
      <c r="BLD21" s="4"/>
      <c r="BLE21" s="4"/>
      <c r="BLF21" s="4"/>
      <c r="BLG21" s="4"/>
      <c r="BLH21" s="4"/>
      <c r="BLI21" s="4"/>
      <c r="BLJ21" s="4"/>
      <c r="BLK21" s="4"/>
      <c r="BLL21" s="4"/>
      <c r="BLM21" s="4"/>
      <c r="BLN21" s="4"/>
      <c r="BLO21" s="4"/>
      <c r="BLP21" s="4"/>
      <c r="BLQ21" s="4"/>
      <c r="BLR21" s="4"/>
      <c r="BLS21" s="4"/>
      <c r="BLT21" s="4"/>
      <c r="BLU21" s="4"/>
      <c r="BLV21" s="4"/>
      <c r="BLW21" s="4"/>
      <c r="BLX21" s="4"/>
      <c r="BLY21" s="4"/>
      <c r="BLZ21" s="4"/>
      <c r="BMA21" s="4"/>
      <c r="BMB21" s="4"/>
      <c r="BMC21" s="4"/>
      <c r="BMD21" s="4"/>
      <c r="BME21" s="4"/>
      <c r="BMF21" s="4"/>
      <c r="BMG21" s="4"/>
      <c r="BMH21" s="4"/>
      <c r="BMI21" s="4"/>
      <c r="BMJ21" s="4"/>
      <c r="BMK21" s="4"/>
      <c r="BML21" s="4"/>
      <c r="BMM21" s="4"/>
      <c r="BMN21" s="4"/>
      <c r="BMO21" s="4"/>
      <c r="BMP21" s="4"/>
      <c r="BMQ21" s="4"/>
      <c r="BMR21" s="4"/>
      <c r="BMS21" s="4"/>
      <c r="BMT21" s="4"/>
      <c r="BMU21" s="4"/>
      <c r="BMV21" s="4"/>
      <c r="BMW21" s="4"/>
      <c r="BMX21" s="4"/>
      <c r="BMY21" s="4"/>
      <c r="BMZ21" s="4"/>
      <c r="BNA21" s="4"/>
      <c r="BNB21" s="4"/>
      <c r="BNC21" s="4"/>
      <c r="BND21" s="4"/>
      <c r="BNE21" s="4"/>
      <c r="BNF21" s="4"/>
      <c r="BNG21" s="4"/>
      <c r="BNH21" s="4"/>
      <c r="BNI21" s="4"/>
      <c r="BNJ21" s="4"/>
      <c r="BNK21" s="4"/>
      <c r="BNL21" s="4"/>
      <c r="BNM21" s="4"/>
      <c r="BNN21" s="4"/>
      <c r="BNO21" s="4"/>
      <c r="BNP21" s="4"/>
      <c r="BNQ21" s="4"/>
      <c r="BNR21" s="4"/>
      <c r="BNS21" s="4"/>
      <c r="BNT21" s="4"/>
      <c r="BNU21" s="4"/>
      <c r="BNV21" s="4"/>
      <c r="BNW21" s="4"/>
      <c r="BNX21" s="4"/>
      <c r="BNY21" s="4"/>
      <c r="BNZ21" s="4"/>
      <c r="BOA21" s="4"/>
      <c r="BOB21" s="4"/>
      <c r="BOC21" s="4"/>
      <c r="BOD21" s="4"/>
      <c r="BOE21" s="4"/>
      <c r="BOF21" s="4"/>
      <c r="BOG21" s="4"/>
      <c r="BOH21" s="4"/>
      <c r="BOI21" s="4"/>
      <c r="BOJ21" s="4"/>
      <c r="BOK21" s="4"/>
      <c r="BOL21" s="4"/>
      <c r="BOM21" s="4"/>
      <c r="BON21" s="4"/>
      <c r="BOO21" s="4"/>
      <c r="BOP21" s="4"/>
      <c r="BOQ21" s="4"/>
      <c r="BOR21" s="4"/>
      <c r="BOS21" s="4"/>
      <c r="BOT21" s="4"/>
      <c r="BOU21" s="4"/>
      <c r="BOV21" s="4"/>
      <c r="BOW21" s="4"/>
      <c r="BOX21" s="4"/>
      <c r="BOY21" s="4"/>
      <c r="BOZ21" s="4"/>
      <c r="BPA21" s="4"/>
      <c r="BPB21" s="4"/>
      <c r="BPC21" s="4"/>
      <c r="BPD21" s="4"/>
      <c r="BPE21" s="4"/>
      <c r="BPF21" s="4"/>
      <c r="BPG21" s="4"/>
      <c r="BPH21" s="4"/>
      <c r="BPI21" s="4"/>
      <c r="BPJ21" s="4"/>
      <c r="BPK21" s="4"/>
      <c r="BPL21" s="4"/>
      <c r="BPM21" s="4"/>
      <c r="BPN21" s="4"/>
      <c r="BPO21" s="4"/>
      <c r="BPP21" s="4"/>
      <c r="BPQ21" s="4"/>
      <c r="BPR21" s="4"/>
      <c r="BPS21" s="4"/>
      <c r="BPT21" s="4"/>
      <c r="BPU21" s="4"/>
      <c r="BPV21" s="4"/>
      <c r="BPW21" s="4"/>
      <c r="BPX21" s="4"/>
      <c r="BPY21" s="4"/>
      <c r="BPZ21" s="4"/>
      <c r="BQA21" s="4"/>
      <c r="BQB21" s="4"/>
      <c r="BQC21" s="4"/>
      <c r="BQD21" s="4"/>
      <c r="BQE21" s="4"/>
      <c r="BQF21" s="4"/>
      <c r="BQG21" s="4"/>
      <c r="BQH21" s="4"/>
      <c r="BQI21" s="4"/>
      <c r="BQJ21" s="4"/>
      <c r="BQK21" s="4"/>
      <c r="BQL21" s="4"/>
      <c r="BQM21" s="4"/>
      <c r="BQN21" s="4"/>
      <c r="BQO21" s="4"/>
      <c r="BQP21" s="4"/>
      <c r="BQQ21" s="4"/>
      <c r="BQR21" s="4"/>
      <c r="BQS21" s="4"/>
      <c r="BQT21" s="4"/>
      <c r="BQU21" s="4"/>
      <c r="BQV21" s="4"/>
      <c r="BQW21" s="4"/>
      <c r="BQX21" s="4"/>
      <c r="BQY21" s="4"/>
      <c r="BQZ21" s="4"/>
      <c r="BRA21" s="4"/>
      <c r="BRB21" s="4"/>
      <c r="BRC21" s="4"/>
      <c r="BRD21" s="4"/>
      <c r="BRE21" s="4"/>
      <c r="BRF21" s="4"/>
      <c r="BRG21" s="4"/>
      <c r="BRH21" s="4"/>
      <c r="BRI21" s="4"/>
      <c r="BRJ21" s="4"/>
      <c r="BRK21" s="4"/>
      <c r="BRL21" s="4"/>
      <c r="BRM21" s="4"/>
      <c r="BRN21" s="4"/>
      <c r="BRO21" s="4"/>
      <c r="BRP21" s="4"/>
      <c r="BRQ21" s="4"/>
      <c r="BRR21" s="4"/>
      <c r="BRS21" s="4"/>
      <c r="BRT21" s="4"/>
      <c r="BRU21" s="4"/>
      <c r="BRV21" s="4"/>
      <c r="BRW21" s="4"/>
      <c r="BRX21" s="4"/>
      <c r="BRY21" s="4"/>
      <c r="BRZ21" s="4"/>
      <c r="BSA21" s="4"/>
      <c r="BSB21" s="4"/>
      <c r="BSC21" s="4"/>
      <c r="BSD21" s="4"/>
      <c r="BSE21" s="4"/>
      <c r="BSF21" s="4"/>
      <c r="BSG21" s="4"/>
      <c r="BSH21" s="4"/>
      <c r="BSI21" s="4"/>
      <c r="BSJ21" s="4"/>
      <c r="BSK21" s="4"/>
      <c r="BSL21" s="4"/>
      <c r="BSM21" s="4"/>
      <c r="BSN21" s="4"/>
      <c r="BSO21" s="4"/>
      <c r="BSP21" s="4"/>
      <c r="BSQ21" s="4"/>
      <c r="BSR21" s="4"/>
      <c r="BSS21" s="4"/>
      <c r="BST21" s="4"/>
      <c r="BSU21" s="4"/>
      <c r="BSV21" s="4"/>
      <c r="BSW21" s="4"/>
      <c r="BSX21" s="4"/>
      <c r="BSY21" s="4"/>
      <c r="BSZ21" s="4"/>
      <c r="BTA21" s="4"/>
      <c r="BTB21" s="4"/>
      <c r="BTC21" s="4"/>
      <c r="BTD21" s="4"/>
      <c r="BTE21" s="4"/>
      <c r="BTF21" s="4"/>
      <c r="BTG21" s="4"/>
      <c r="BTH21" s="4"/>
      <c r="BTI21" s="4"/>
      <c r="BTJ21" s="4"/>
      <c r="BTK21" s="4"/>
      <c r="BTL21" s="4"/>
      <c r="BTM21" s="4"/>
      <c r="BTN21" s="4"/>
      <c r="BTO21" s="4"/>
      <c r="BTP21" s="4"/>
      <c r="BTQ21" s="4"/>
      <c r="BTR21" s="4"/>
      <c r="BTS21" s="4"/>
      <c r="BTT21" s="4"/>
      <c r="BTU21" s="4"/>
      <c r="BTV21" s="4"/>
      <c r="BTW21" s="4"/>
      <c r="BTX21" s="4"/>
      <c r="BTY21" s="4"/>
      <c r="BTZ21" s="4"/>
      <c r="BUA21" s="4"/>
      <c r="BUB21" s="4"/>
      <c r="BUC21" s="4"/>
      <c r="BUD21" s="4"/>
      <c r="BUE21" s="4"/>
      <c r="BUF21" s="4"/>
      <c r="BUG21" s="4"/>
      <c r="BUH21" s="4"/>
      <c r="BUI21" s="4"/>
      <c r="BUJ21" s="4"/>
      <c r="BUK21" s="4"/>
      <c r="BUL21" s="4"/>
      <c r="BUM21" s="4"/>
      <c r="BUN21" s="4"/>
      <c r="BUO21" s="4"/>
      <c r="BUP21" s="4"/>
      <c r="BUQ21" s="4"/>
      <c r="BUR21" s="4"/>
      <c r="BUS21" s="4"/>
      <c r="BUT21" s="4"/>
      <c r="BUU21" s="4"/>
      <c r="BUV21" s="4"/>
      <c r="BUW21" s="4"/>
      <c r="BUX21" s="4"/>
      <c r="BUY21" s="4"/>
      <c r="BUZ21" s="4"/>
      <c r="BVA21" s="4"/>
      <c r="BVB21" s="4"/>
      <c r="BVC21" s="4"/>
      <c r="BVD21" s="4"/>
      <c r="BVE21" s="4"/>
      <c r="BVF21" s="4"/>
      <c r="BVG21" s="4"/>
      <c r="BVH21" s="4"/>
      <c r="BVI21" s="4"/>
      <c r="BVJ21" s="4"/>
      <c r="BVK21" s="4"/>
      <c r="BVL21" s="4"/>
      <c r="BVM21" s="4"/>
      <c r="BVN21" s="4"/>
      <c r="BVO21" s="4"/>
      <c r="BVP21" s="4"/>
      <c r="BVQ21" s="4"/>
      <c r="BVR21" s="4"/>
      <c r="BVS21" s="4"/>
      <c r="BVT21" s="4"/>
      <c r="BVU21" s="4"/>
      <c r="BVV21" s="4"/>
      <c r="BVW21" s="4"/>
      <c r="BVX21" s="4"/>
      <c r="BVY21" s="4"/>
      <c r="BVZ21" s="4"/>
      <c r="BWA21" s="4"/>
      <c r="BWB21" s="4"/>
      <c r="BWC21" s="4"/>
      <c r="BWD21" s="4"/>
      <c r="BWE21" s="4"/>
      <c r="BWF21" s="4"/>
      <c r="BWG21" s="4"/>
      <c r="BWH21" s="4"/>
      <c r="BWI21" s="4"/>
      <c r="BWJ21" s="4"/>
      <c r="BWK21" s="4"/>
      <c r="BWL21" s="4"/>
      <c r="BWM21" s="4"/>
      <c r="BWN21" s="4"/>
      <c r="BWO21" s="4"/>
      <c r="BWP21" s="4"/>
      <c r="BWQ21" s="4"/>
      <c r="BWR21" s="4"/>
      <c r="BWS21" s="4"/>
      <c r="BWT21" s="4"/>
      <c r="BWU21" s="4"/>
      <c r="BWV21" s="4"/>
      <c r="BWW21" s="4"/>
      <c r="BWX21" s="4"/>
      <c r="BWY21" s="4"/>
      <c r="BWZ21" s="4"/>
      <c r="BXA21" s="4"/>
      <c r="BXB21" s="4"/>
      <c r="BXC21" s="4"/>
      <c r="BXD21" s="4"/>
      <c r="BXE21" s="4"/>
      <c r="BXF21" s="4"/>
      <c r="BXG21" s="4"/>
      <c r="BXH21" s="4"/>
      <c r="BXI21" s="4"/>
      <c r="BXJ21" s="4"/>
      <c r="BXK21" s="4"/>
      <c r="BXL21" s="4"/>
      <c r="BXM21" s="4"/>
      <c r="BXN21" s="4"/>
      <c r="BXO21" s="4"/>
      <c r="BXP21" s="4"/>
      <c r="BXQ21" s="4"/>
      <c r="BXR21" s="4"/>
      <c r="BXS21" s="4"/>
      <c r="BXT21" s="4"/>
      <c r="BXU21" s="4"/>
      <c r="BXV21" s="4"/>
      <c r="BXW21" s="4"/>
      <c r="BXX21" s="4"/>
      <c r="BXY21" s="4"/>
      <c r="BXZ21" s="4"/>
      <c r="BYA21" s="4"/>
      <c r="BYB21" s="4"/>
      <c r="BYC21" s="4"/>
      <c r="BYD21" s="4"/>
      <c r="BYE21" s="4"/>
      <c r="BYF21" s="4"/>
      <c r="BYG21" s="4"/>
      <c r="BYH21" s="4"/>
      <c r="BYI21" s="4"/>
      <c r="BYJ21" s="4"/>
      <c r="BYK21" s="4"/>
      <c r="BYL21" s="4"/>
      <c r="BYM21" s="4"/>
      <c r="BYN21" s="4"/>
      <c r="BYO21" s="4"/>
      <c r="BYP21" s="4"/>
      <c r="BYQ21" s="4"/>
      <c r="BYR21" s="4"/>
      <c r="BYS21" s="4"/>
      <c r="BYT21" s="4"/>
      <c r="BYU21" s="4"/>
      <c r="BYV21" s="4"/>
      <c r="BYW21" s="4"/>
      <c r="BYX21" s="4"/>
      <c r="BYY21" s="4"/>
      <c r="BYZ21" s="4"/>
      <c r="BZA21" s="4"/>
      <c r="BZB21" s="4"/>
      <c r="BZC21" s="4"/>
      <c r="BZD21" s="4"/>
      <c r="BZE21" s="4"/>
      <c r="BZF21" s="4"/>
      <c r="BZG21" s="4"/>
      <c r="BZH21" s="4"/>
      <c r="BZI21" s="4"/>
      <c r="BZJ21" s="4"/>
      <c r="BZK21" s="4"/>
      <c r="BZL21" s="4"/>
      <c r="BZM21" s="4"/>
      <c r="BZN21" s="4"/>
      <c r="BZO21" s="4"/>
      <c r="BZP21" s="4"/>
      <c r="BZQ21" s="4"/>
      <c r="BZR21" s="4"/>
      <c r="BZS21" s="4"/>
      <c r="BZT21" s="4"/>
      <c r="BZU21" s="4"/>
      <c r="BZV21" s="4"/>
      <c r="BZW21" s="4"/>
      <c r="BZX21" s="4"/>
      <c r="BZY21" s="4"/>
      <c r="BZZ21" s="4"/>
      <c r="CAA21" s="4"/>
      <c r="CAB21" s="4"/>
      <c r="CAC21" s="4"/>
      <c r="CAD21" s="4"/>
      <c r="CAE21" s="4"/>
      <c r="CAF21" s="4"/>
      <c r="CAG21" s="4"/>
      <c r="CAH21" s="4"/>
      <c r="CAI21" s="4"/>
      <c r="CAJ21" s="4"/>
      <c r="CAK21" s="4"/>
      <c r="CAL21" s="4"/>
      <c r="CAM21" s="4"/>
      <c r="CAN21" s="4"/>
      <c r="CAO21" s="4"/>
      <c r="CAP21" s="4"/>
      <c r="CAQ21" s="4"/>
      <c r="CAR21" s="4"/>
      <c r="CAS21" s="4"/>
      <c r="CAT21" s="4"/>
      <c r="CAU21" s="4"/>
      <c r="CAV21" s="4"/>
      <c r="CAW21" s="4"/>
      <c r="CAX21" s="4"/>
      <c r="CAY21" s="4"/>
      <c r="CAZ21" s="4"/>
      <c r="CBA21" s="4"/>
      <c r="CBB21" s="4"/>
      <c r="CBC21" s="4"/>
      <c r="CBD21" s="4"/>
      <c r="CBE21" s="4"/>
      <c r="CBF21" s="4"/>
      <c r="CBG21" s="4"/>
      <c r="CBH21" s="4"/>
      <c r="CBI21" s="4"/>
      <c r="CBJ21" s="4"/>
      <c r="CBK21" s="4"/>
      <c r="CBL21" s="4"/>
      <c r="CBM21" s="4"/>
      <c r="CBN21" s="4"/>
      <c r="CBO21" s="4"/>
      <c r="CBP21" s="4"/>
      <c r="CBQ21" s="4"/>
      <c r="CBR21" s="4"/>
      <c r="CBS21" s="4"/>
      <c r="CBT21" s="4"/>
      <c r="CBU21" s="4"/>
      <c r="CBV21" s="4"/>
      <c r="CBW21" s="4"/>
      <c r="CBX21" s="4"/>
      <c r="CBY21" s="4"/>
      <c r="CBZ21" s="4"/>
      <c r="CCA21" s="4"/>
      <c r="CCB21" s="4"/>
      <c r="CCC21" s="4"/>
      <c r="CCD21" s="4"/>
      <c r="CCE21" s="4"/>
      <c r="CCF21" s="4"/>
      <c r="CCG21" s="4"/>
      <c r="CCH21" s="4"/>
      <c r="CCI21" s="4"/>
      <c r="CCJ21" s="4"/>
      <c r="CCK21" s="4"/>
      <c r="CCL21" s="4"/>
      <c r="CCM21" s="4"/>
      <c r="CCN21" s="4"/>
      <c r="CCO21" s="4"/>
      <c r="CCP21" s="4"/>
      <c r="CCQ21" s="4"/>
      <c r="CCR21" s="4"/>
      <c r="CCS21" s="4"/>
      <c r="CCT21" s="4"/>
      <c r="CCU21" s="4"/>
      <c r="CCV21" s="4"/>
      <c r="CCW21" s="4"/>
      <c r="CCX21" s="4"/>
      <c r="CCY21" s="4"/>
      <c r="CCZ21" s="4"/>
      <c r="CDA21" s="4"/>
      <c r="CDB21" s="4"/>
      <c r="CDC21" s="4"/>
      <c r="CDD21" s="4"/>
      <c r="CDE21" s="4"/>
      <c r="CDF21" s="4"/>
      <c r="CDG21" s="4"/>
      <c r="CDH21" s="4"/>
      <c r="CDI21" s="4"/>
      <c r="CDJ21" s="4"/>
      <c r="CDK21" s="4"/>
      <c r="CDL21" s="4"/>
      <c r="CDM21" s="4"/>
      <c r="CDN21" s="4"/>
      <c r="CDO21" s="4"/>
      <c r="CDP21" s="4"/>
      <c r="CDQ21" s="4"/>
      <c r="CDR21" s="4"/>
      <c r="CDS21" s="4"/>
      <c r="CDT21" s="4"/>
      <c r="CDU21" s="4"/>
      <c r="CDV21" s="4"/>
      <c r="CDW21" s="4"/>
      <c r="CDX21" s="4"/>
      <c r="CDY21" s="4"/>
      <c r="CDZ21" s="4"/>
      <c r="CEA21" s="4"/>
      <c r="CEB21" s="4"/>
      <c r="CEC21" s="4"/>
      <c r="CED21" s="4"/>
      <c r="CEE21" s="4"/>
      <c r="CEF21" s="4"/>
      <c r="CEG21" s="4"/>
      <c r="CEH21" s="4"/>
      <c r="CEI21" s="4"/>
      <c r="CEJ21" s="4"/>
      <c r="CEK21" s="4"/>
      <c r="CEL21" s="4"/>
      <c r="CEM21" s="4"/>
      <c r="CEN21" s="4"/>
      <c r="CEO21" s="4"/>
      <c r="CEP21" s="4"/>
      <c r="CEQ21" s="4"/>
      <c r="CER21" s="4"/>
      <c r="CES21" s="4"/>
      <c r="CET21" s="4"/>
      <c r="CEU21" s="4"/>
      <c r="CEV21" s="4"/>
      <c r="CEW21" s="4"/>
      <c r="CEX21" s="4"/>
      <c r="CEY21" s="4"/>
      <c r="CEZ21" s="4"/>
      <c r="CFA21" s="4"/>
      <c r="CFB21" s="4"/>
      <c r="CFC21" s="4"/>
      <c r="CFD21" s="4"/>
      <c r="CFE21" s="4"/>
      <c r="CFF21" s="4"/>
      <c r="CFG21" s="4"/>
      <c r="CFH21" s="4"/>
      <c r="CFI21" s="4"/>
      <c r="CFJ21" s="4"/>
      <c r="CFK21" s="4"/>
      <c r="CFL21" s="4"/>
      <c r="CFM21" s="4"/>
      <c r="CFN21" s="4"/>
      <c r="CFO21" s="4"/>
      <c r="CFP21" s="4"/>
      <c r="CFQ21" s="4"/>
      <c r="CFR21" s="4"/>
      <c r="CFS21" s="4"/>
      <c r="CFT21" s="4"/>
      <c r="CFU21" s="4"/>
      <c r="CFV21" s="4"/>
      <c r="CFW21" s="4"/>
      <c r="CFX21" s="4"/>
      <c r="CFY21" s="4"/>
      <c r="CFZ21" s="4"/>
      <c r="CGA21" s="4"/>
      <c r="CGB21" s="4"/>
      <c r="CGC21" s="4"/>
      <c r="CGD21" s="4"/>
      <c r="CGE21" s="4"/>
      <c r="CGF21" s="4"/>
      <c r="CGG21" s="4"/>
      <c r="CGH21" s="4"/>
      <c r="CGI21" s="4"/>
      <c r="CGJ21" s="4"/>
      <c r="CGK21" s="4"/>
      <c r="CGL21" s="4"/>
      <c r="CGM21" s="4"/>
      <c r="CGN21" s="4"/>
      <c r="CGO21" s="4"/>
      <c r="CGP21" s="4"/>
      <c r="CGQ21" s="4"/>
      <c r="CGR21" s="4"/>
      <c r="CGS21" s="4"/>
      <c r="CGT21" s="4"/>
      <c r="CGU21" s="4"/>
      <c r="CGV21" s="4"/>
      <c r="CGW21" s="4"/>
      <c r="CGX21" s="4"/>
      <c r="CGY21" s="4"/>
      <c r="CGZ21" s="4"/>
      <c r="CHA21" s="4"/>
      <c r="CHB21" s="4"/>
      <c r="CHC21" s="4"/>
      <c r="CHD21" s="4"/>
      <c r="CHE21" s="4"/>
      <c r="CHF21" s="4"/>
      <c r="CHG21" s="4"/>
      <c r="CHH21" s="4"/>
      <c r="CHI21" s="4"/>
      <c r="CHJ21" s="4"/>
      <c r="CHK21" s="4"/>
      <c r="CHL21" s="4"/>
      <c r="CHM21" s="4"/>
      <c r="CHN21" s="4"/>
      <c r="CHO21" s="4"/>
      <c r="CHP21" s="4"/>
      <c r="CHQ21" s="4"/>
      <c r="CHR21" s="4"/>
      <c r="CHS21" s="4"/>
      <c r="CHT21" s="4"/>
      <c r="CHU21" s="4"/>
      <c r="CHV21" s="4"/>
      <c r="CHW21" s="4"/>
      <c r="CHX21" s="4"/>
      <c r="CHY21" s="4"/>
      <c r="CHZ21" s="4"/>
      <c r="CIA21" s="4"/>
      <c r="CIB21" s="4"/>
      <c r="CIC21" s="4"/>
      <c r="CID21" s="4"/>
      <c r="CIE21" s="4"/>
      <c r="CIF21" s="4"/>
      <c r="CIG21" s="4"/>
      <c r="CIH21" s="4"/>
      <c r="CII21" s="4"/>
      <c r="CIJ21" s="4"/>
      <c r="CIK21" s="4"/>
      <c r="CIL21" s="4"/>
      <c r="CIM21" s="4"/>
      <c r="CIN21" s="4"/>
      <c r="CIO21" s="4"/>
      <c r="CIP21" s="4"/>
      <c r="CIQ21" s="4"/>
      <c r="CIR21" s="4"/>
      <c r="CIS21" s="4"/>
      <c r="CIT21" s="4"/>
      <c r="CIU21" s="4"/>
      <c r="CIV21" s="4"/>
      <c r="CIW21" s="4"/>
      <c r="CIX21" s="4"/>
      <c r="CIY21" s="4"/>
      <c r="CIZ21" s="4"/>
      <c r="CJA21" s="4"/>
      <c r="CJB21" s="4"/>
      <c r="CJC21" s="4"/>
      <c r="CJD21" s="4"/>
      <c r="CJE21" s="4"/>
      <c r="CJF21" s="4"/>
      <c r="CJG21" s="4"/>
      <c r="CJH21" s="4"/>
      <c r="CJI21" s="4"/>
      <c r="CJJ21" s="4"/>
      <c r="CJK21" s="4"/>
      <c r="CJL21" s="4"/>
      <c r="CJM21" s="4"/>
      <c r="CJN21" s="4"/>
      <c r="CJO21" s="4"/>
      <c r="CJP21" s="4"/>
      <c r="CJQ21" s="4"/>
      <c r="CJR21" s="4"/>
      <c r="CJS21" s="4"/>
      <c r="CJT21" s="4"/>
      <c r="CJU21" s="4"/>
      <c r="CJV21" s="4"/>
      <c r="CJW21" s="4"/>
      <c r="CJX21" s="4"/>
      <c r="CJY21" s="4"/>
      <c r="CJZ21" s="4"/>
      <c r="CKA21" s="4"/>
      <c r="CKB21" s="4"/>
      <c r="CKC21" s="4"/>
      <c r="CKD21" s="4"/>
      <c r="CKE21" s="4"/>
      <c r="CKF21" s="4"/>
      <c r="CKG21" s="4"/>
      <c r="CKH21" s="4"/>
      <c r="CKI21" s="4"/>
      <c r="CKJ21" s="4"/>
      <c r="CKK21" s="4"/>
      <c r="CKL21" s="4"/>
      <c r="CKM21" s="4"/>
      <c r="CKN21" s="4"/>
      <c r="CKO21" s="4"/>
      <c r="CKP21" s="4"/>
      <c r="CKQ21" s="4"/>
      <c r="CKR21" s="4"/>
      <c r="CKS21" s="4"/>
      <c r="CKT21" s="4"/>
      <c r="CKU21" s="4"/>
      <c r="CKV21" s="4"/>
      <c r="CKW21" s="4"/>
      <c r="CKX21" s="4"/>
      <c r="CKY21" s="4"/>
      <c r="CKZ21" s="4"/>
      <c r="CLA21" s="4"/>
      <c r="CLB21" s="4"/>
      <c r="CLC21" s="4"/>
      <c r="CLD21" s="4"/>
      <c r="CLE21" s="4"/>
      <c r="CLF21" s="4"/>
      <c r="CLG21" s="4"/>
      <c r="CLH21" s="4"/>
      <c r="CLI21" s="4"/>
      <c r="CLJ21" s="4"/>
      <c r="CLK21" s="4"/>
      <c r="CLL21" s="4"/>
      <c r="CLM21" s="4"/>
      <c r="CLN21" s="4"/>
      <c r="CLO21" s="4"/>
      <c r="CLP21" s="4"/>
      <c r="CLQ21" s="4"/>
      <c r="CLR21" s="4"/>
      <c r="CLS21" s="4"/>
      <c r="CLT21" s="4"/>
      <c r="CLU21" s="4"/>
      <c r="CLV21" s="4"/>
      <c r="CLW21" s="4"/>
      <c r="CLX21" s="4"/>
      <c r="CLY21" s="4"/>
      <c r="CLZ21" s="4"/>
      <c r="CMA21" s="4"/>
      <c r="CMB21" s="4"/>
      <c r="CMC21" s="4"/>
      <c r="CMD21" s="4"/>
      <c r="CME21" s="4"/>
      <c r="CMF21" s="4"/>
      <c r="CMG21" s="4"/>
      <c r="CMH21" s="4"/>
      <c r="CMI21" s="4"/>
      <c r="CMJ21" s="4"/>
      <c r="CMK21" s="4"/>
      <c r="CML21" s="4"/>
      <c r="CMM21" s="4"/>
      <c r="CMN21" s="4"/>
      <c r="CMO21" s="4"/>
      <c r="CMP21" s="4"/>
      <c r="CMQ21" s="4"/>
      <c r="CMR21" s="4"/>
      <c r="CMS21" s="4"/>
      <c r="CMT21" s="4"/>
      <c r="CMU21" s="4"/>
      <c r="CMV21" s="4"/>
      <c r="CMW21" s="4"/>
      <c r="CMX21" s="4"/>
      <c r="CMY21" s="4"/>
      <c r="CMZ21" s="4"/>
      <c r="CNA21" s="4"/>
      <c r="CNB21" s="4"/>
      <c r="CNC21" s="4"/>
      <c r="CND21" s="4"/>
      <c r="CNE21" s="4"/>
      <c r="CNF21" s="4"/>
      <c r="CNG21" s="4"/>
      <c r="CNH21" s="4"/>
      <c r="CNI21" s="4"/>
      <c r="CNJ21" s="4"/>
      <c r="CNK21" s="4"/>
      <c r="CNL21" s="4"/>
      <c r="CNM21" s="4"/>
      <c r="CNN21" s="4"/>
      <c r="CNO21" s="4"/>
      <c r="CNP21" s="4"/>
      <c r="CNQ21" s="4"/>
      <c r="CNR21" s="4"/>
      <c r="CNS21" s="4"/>
      <c r="CNT21" s="4"/>
      <c r="CNU21" s="4"/>
      <c r="CNV21" s="4"/>
      <c r="CNW21" s="4"/>
      <c r="CNX21" s="4"/>
      <c r="CNY21" s="4"/>
      <c r="CNZ21" s="4"/>
      <c r="COA21" s="4"/>
      <c r="COB21" s="4"/>
      <c r="COC21" s="4"/>
      <c r="COD21" s="4"/>
      <c r="COE21" s="4"/>
      <c r="COF21" s="4"/>
      <c r="COG21" s="4"/>
      <c r="COH21" s="4"/>
      <c r="COI21" s="4"/>
      <c r="COJ21" s="4"/>
      <c r="COK21" s="4"/>
      <c r="COL21" s="4"/>
      <c r="COM21" s="4"/>
      <c r="CON21" s="4"/>
      <c r="COO21" s="4"/>
      <c r="COP21" s="4"/>
      <c r="COQ21" s="4"/>
      <c r="COR21" s="4"/>
      <c r="COS21" s="4"/>
      <c r="COT21" s="4"/>
      <c r="COU21" s="4"/>
      <c r="COV21" s="4"/>
      <c r="COW21" s="4"/>
      <c r="COX21" s="4"/>
      <c r="COY21" s="4"/>
      <c r="COZ21" s="4"/>
      <c r="CPA21" s="4"/>
      <c r="CPB21" s="4"/>
      <c r="CPC21" s="4"/>
      <c r="CPD21" s="4"/>
      <c r="CPE21" s="4"/>
      <c r="CPF21" s="4"/>
      <c r="CPG21" s="4"/>
      <c r="CPH21" s="4"/>
      <c r="CPI21" s="4"/>
      <c r="CPJ21" s="4"/>
      <c r="CPK21" s="4"/>
      <c r="CPL21" s="4"/>
      <c r="CPM21" s="4"/>
      <c r="CPN21" s="4"/>
      <c r="CPO21" s="4"/>
      <c r="CPP21" s="4"/>
      <c r="CPQ21" s="4"/>
      <c r="CPR21" s="4"/>
      <c r="CPS21" s="4"/>
      <c r="CPT21" s="4"/>
      <c r="CPU21" s="4"/>
      <c r="CPV21" s="4"/>
      <c r="CPW21" s="4"/>
      <c r="CPX21" s="4"/>
      <c r="CPY21" s="4"/>
      <c r="CPZ21" s="4"/>
      <c r="CQA21" s="4"/>
      <c r="CQB21" s="4"/>
      <c r="CQC21" s="4"/>
      <c r="CQD21" s="4"/>
      <c r="CQE21" s="4"/>
      <c r="CQF21" s="4"/>
      <c r="CQG21" s="4"/>
      <c r="CQH21" s="4"/>
      <c r="CQI21" s="4"/>
      <c r="CQJ21" s="4"/>
      <c r="CQK21" s="4"/>
      <c r="CQL21" s="4"/>
      <c r="CQM21" s="4"/>
      <c r="CQN21" s="4"/>
      <c r="CQO21" s="4"/>
      <c r="CQP21" s="4"/>
      <c r="CQQ21" s="4"/>
      <c r="CQR21" s="4"/>
      <c r="CQS21" s="4"/>
      <c r="CQT21" s="4"/>
      <c r="CQU21" s="4"/>
      <c r="CQV21" s="4"/>
      <c r="CQW21" s="4"/>
      <c r="CQX21" s="4"/>
      <c r="CQY21" s="4"/>
      <c r="CQZ21" s="4"/>
      <c r="CRA21" s="4"/>
      <c r="CRB21" s="4"/>
      <c r="CRC21" s="4"/>
      <c r="CRD21" s="4"/>
      <c r="CRE21" s="4"/>
      <c r="CRF21" s="4"/>
      <c r="CRG21" s="4"/>
      <c r="CRH21" s="4"/>
      <c r="CRI21" s="4"/>
      <c r="CRJ21" s="4"/>
      <c r="CRK21" s="4"/>
      <c r="CRL21" s="4"/>
      <c r="CRM21" s="4"/>
      <c r="CRN21" s="4"/>
      <c r="CRO21" s="4"/>
      <c r="CRP21" s="4"/>
      <c r="CRQ21" s="4"/>
      <c r="CRR21" s="4"/>
      <c r="CRS21" s="4"/>
      <c r="CRT21" s="4"/>
      <c r="CRU21" s="4"/>
      <c r="CRV21" s="4"/>
      <c r="CRW21" s="4"/>
      <c r="CRX21" s="4"/>
      <c r="CRY21" s="4"/>
      <c r="CRZ21" s="4"/>
      <c r="CSA21" s="4"/>
      <c r="CSB21" s="4"/>
      <c r="CSC21" s="4"/>
      <c r="CSD21" s="4"/>
      <c r="CSE21" s="4"/>
      <c r="CSF21" s="4"/>
      <c r="CSG21" s="4"/>
      <c r="CSH21" s="4"/>
      <c r="CSI21" s="4"/>
      <c r="CSJ21" s="4"/>
      <c r="CSK21" s="4"/>
      <c r="CSL21" s="4"/>
      <c r="CSM21" s="4"/>
      <c r="CSN21" s="4"/>
      <c r="CSO21" s="4"/>
      <c r="CSP21" s="4"/>
      <c r="CSQ21" s="4"/>
      <c r="CSR21" s="4"/>
      <c r="CSS21" s="4"/>
      <c r="CST21" s="4"/>
      <c r="CSU21" s="4"/>
      <c r="CSV21" s="4"/>
      <c r="CSW21" s="4"/>
      <c r="CSX21" s="4"/>
      <c r="CSY21" s="4"/>
      <c r="CSZ21" s="4"/>
      <c r="CTA21" s="4"/>
      <c r="CTB21" s="4"/>
      <c r="CTC21" s="4"/>
      <c r="CTD21" s="4"/>
      <c r="CTE21" s="4"/>
      <c r="CTF21" s="4"/>
      <c r="CTG21" s="4"/>
      <c r="CTH21" s="4"/>
      <c r="CTI21" s="4"/>
      <c r="CTJ21" s="4"/>
      <c r="CTK21" s="4"/>
      <c r="CTL21" s="4"/>
      <c r="CTM21" s="4"/>
      <c r="CTN21" s="4"/>
      <c r="CTO21" s="4"/>
      <c r="CTP21" s="4"/>
      <c r="CTQ21" s="4"/>
      <c r="CTR21" s="4"/>
      <c r="CTS21" s="4"/>
      <c r="CTT21" s="4"/>
      <c r="CTU21" s="4"/>
      <c r="CTV21" s="4"/>
      <c r="CTW21" s="4"/>
      <c r="CTX21" s="4"/>
      <c r="CTY21" s="4"/>
      <c r="CTZ21" s="4"/>
      <c r="CUA21" s="4"/>
      <c r="CUB21" s="4"/>
      <c r="CUC21" s="4"/>
      <c r="CUD21" s="4"/>
      <c r="CUE21" s="4"/>
      <c r="CUF21" s="4"/>
      <c r="CUG21" s="4"/>
      <c r="CUH21" s="4"/>
      <c r="CUI21" s="4"/>
      <c r="CUJ21" s="4"/>
      <c r="CUK21" s="4"/>
      <c r="CUL21" s="4"/>
      <c r="CUM21" s="4"/>
      <c r="CUN21" s="4"/>
      <c r="CUO21" s="4"/>
      <c r="CUP21" s="4"/>
      <c r="CUQ21" s="4"/>
      <c r="CUR21" s="4"/>
      <c r="CUS21" s="4"/>
      <c r="CUT21" s="4"/>
      <c r="CUU21" s="4"/>
      <c r="CUV21" s="4"/>
      <c r="CUW21" s="4"/>
      <c r="CUX21" s="4"/>
      <c r="CUY21" s="4"/>
      <c r="CUZ21" s="4"/>
      <c r="CVA21" s="4"/>
      <c r="CVB21" s="4"/>
      <c r="CVC21" s="4"/>
      <c r="CVD21" s="4"/>
      <c r="CVE21" s="4"/>
      <c r="CVF21" s="4"/>
      <c r="CVG21" s="4"/>
      <c r="CVH21" s="4"/>
      <c r="CVI21" s="4"/>
      <c r="CVJ21" s="4"/>
      <c r="CVK21" s="4"/>
      <c r="CVL21" s="4"/>
      <c r="CVM21" s="4"/>
      <c r="CVN21" s="4"/>
      <c r="CVO21" s="4"/>
      <c r="CVP21" s="4"/>
      <c r="CVQ21" s="4"/>
      <c r="CVR21" s="4"/>
      <c r="CVS21" s="4"/>
      <c r="CVT21" s="4"/>
      <c r="CVU21" s="4"/>
      <c r="CVV21" s="4"/>
      <c r="CVW21" s="4"/>
      <c r="CVX21" s="4"/>
      <c r="CVY21" s="4"/>
      <c r="CVZ21" s="4"/>
      <c r="CWA21" s="4"/>
      <c r="CWB21" s="4"/>
      <c r="CWC21" s="4"/>
      <c r="CWD21" s="4"/>
      <c r="CWE21" s="4"/>
      <c r="CWF21" s="4"/>
      <c r="CWG21" s="4"/>
      <c r="CWH21" s="4"/>
      <c r="CWI21" s="4"/>
      <c r="CWJ21" s="4"/>
      <c r="CWK21" s="4"/>
      <c r="CWL21" s="4"/>
      <c r="CWM21" s="4"/>
      <c r="CWN21" s="4"/>
      <c r="CWO21" s="4"/>
      <c r="CWP21" s="4"/>
      <c r="CWQ21" s="4"/>
      <c r="CWR21" s="4"/>
      <c r="CWS21" s="4"/>
      <c r="CWT21" s="4"/>
      <c r="CWU21" s="4"/>
      <c r="CWV21" s="4"/>
      <c r="CWW21" s="4"/>
      <c r="CWX21" s="4"/>
      <c r="CWY21" s="4"/>
      <c r="CWZ21" s="4"/>
      <c r="CXA21" s="4"/>
      <c r="CXB21" s="4"/>
      <c r="CXC21" s="4"/>
      <c r="CXD21" s="4"/>
      <c r="CXE21" s="4"/>
      <c r="CXF21" s="4"/>
      <c r="CXG21" s="4"/>
      <c r="CXH21" s="4"/>
      <c r="CXI21" s="4"/>
      <c r="CXJ21" s="4"/>
      <c r="CXK21" s="4"/>
      <c r="CXL21" s="4"/>
      <c r="CXM21" s="4"/>
      <c r="CXN21" s="4"/>
      <c r="CXO21" s="4"/>
      <c r="CXP21" s="4"/>
      <c r="CXQ21" s="4"/>
      <c r="CXR21" s="4"/>
      <c r="CXS21" s="4"/>
      <c r="CXT21" s="4"/>
      <c r="CXU21" s="4"/>
      <c r="CXV21" s="4"/>
      <c r="CXW21" s="4"/>
      <c r="CXX21" s="4"/>
      <c r="CXY21" s="4"/>
      <c r="CXZ21" s="4"/>
      <c r="CYA21" s="4"/>
      <c r="CYB21" s="4"/>
      <c r="CYC21" s="4"/>
      <c r="CYD21" s="4"/>
      <c r="CYE21" s="4"/>
      <c r="CYF21" s="4"/>
      <c r="CYG21" s="4"/>
      <c r="CYH21" s="4"/>
      <c r="CYI21" s="4"/>
      <c r="CYJ21" s="4"/>
      <c r="CYK21" s="4"/>
      <c r="CYL21" s="4"/>
      <c r="CYM21" s="4"/>
      <c r="CYN21" s="4"/>
      <c r="CYO21" s="4"/>
      <c r="CYP21" s="4"/>
      <c r="CYQ21" s="4"/>
      <c r="CYR21" s="4"/>
      <c r="CYS21" s="4"/>
      <c r="CYT21" s="4"/>
      <c r="CYU21" s="4"/>
      <c r="CYV21" s="4"/>
      <c r="CYW21" s="4"/>
      <c r="CYX21" s="4"/>
      <c r="CYY21" s="4"/>
      <c r="CYZ21" s="4"/>
      <c r="CZA21" s="4"/>
      <c r="CZB21" s="4"/>
      <c r="CZC21" s="4"/>
      <c r="CZD21" s="4"/>
      <c r="CZE21" s="4"/>
      <c r="CZF21" s="4"/>
      <c r="CZG21" s="4"/>
      <c r="CZH21" s="4"/>
      <c r="CZI21" s="4"/>
      <c r="CZJ21" s="4"/>
      <c r="CZK21" s="4"/>
      <c r="CZL21" s="4"/>
      <c r="CZM21" s="4"/>
      <c r="CZN21" s="4"/>
      <c r="CZO21" s="4"/>
      <c r="CZP21" s="4"/>
      <c r="CZQ21" s="4"/>
      <c r="CZR21" s="4"/>
      <c r="CZS21" s="4"/>
      <c r="CZT21" s="4"/>
      <c r="CZU21" s="4"/>
      <c r="CZV21" s="4"/>
      <c r="CZW21" s="4"/>
      <c r="CZX21" s="4"/>
      <c r="CZY21" s="4"/>
      <c r="CZZ21" s="4"/>
      <c r="DAA21" s="4"/>
      <c r="DAB21" s="4"/>
      <c r="DAC21" s="4"/>
      <c r="DAD21" s="4"/>
      <c r="DAE21" s="4"/>
      <c r="DAF21" s="4"/>
      <c r="DAG21" s="4"/>
      <c r="DAH21" s="4"/>
      <c r="DAI21" s="4"/>
      <c r="DAJ21" s="4"/>
      <c r="DAK21" s="4"/>
      <c r="DAL21" s="4"/>
      <c r="DAM21" s="4"/>
      <c r="DAN21" s="4"/>
      <c r="DAO21" s="4"/>
      <c r="DAP21" s="4"/>
      <c r="DAQ21" s="4"/>
      <c r="DAR21" s="4"/>
      <c r="DAS21" s="4"/>
      <c r="DAT21" s="4"/>
      <c r="DAU21" s="4"/>
      <c r="DAV21" s="4"/>
      <c r="DAW21" s="4"/>
      <c r="DAX21" s="4"/>
      <c r="DAY21" s="4"/>
      <c r="DAZ21" s="4"/>
      <c r="DBA21" s="4"/>
      <c r="DBB21" s="4"/>
      <c r="DBC21" s="4"/>
      <c r="DBD21" s="4"/>
      <c r="DBE21" s="4"/>
      <c r="DBF21" s="4"/>
      <c r="DBG21" s="4"/>
      <c r="DBH21" s="4"/>
      <c r="DBI21" s="4"/>
      <c r="DBJ21" s="4"/>
      <c r="DBK21" s="4"/>
      <c r="DBL21" s="4"/>
      <c r="DBM21" s="4"/>
      <c r="DBN21" s="4"/>
      <c r="DBO21" s="4"/>
      <c r="DBP21" s="4"/>
      <c r="DBQ21" s="4"/>
      <c r="DBR21" s="4"/>
      <c r="DBS21" s="4"/>
      <c r="DBT21" s="4"/>
      <c r="DBU21" s="4"/>
      <c r="DBV21" s="4"/>
      <c r="DBW21" s="4"/>
      <c r="DBX21" s="4"/>
      <c r="DBY21" s="4"/>
      <c r="DBZ21" s="4"/>
      <c r="DCA21" s="4"/>
      <c r="DCB21" s="4"/>
      <c r="DCC21" s="4"/>
      <c r="DCD21" s="4"/>
      <c r="DCE21" s="4"/>
      <c r="DCF21" s="4"/>
      <c r="DCG21" s="4"/>
      <c r="DCH21" s="4"/>
      <c r="DCI21" s="4"/>
      <c r="DCJ21" s="4"/>
      <c r="DCK21" s="4"/>
      <c r="DCL21" s="4"/>
      <c r="DCM21" s="4"/>
      <c r="DCN21" s="4"/>
      <c r="DCO21" s="4"/>
      <c r="DCP21" s="4"/>
      <c r="DCQ21" s="4"/>
      <c r="DCR21" s="4"/>
      <c r="DCS21" s="4"/>
      <c r="DCT21" s="4"/>
      <c r="DCU21" s="4"/>
      <c r="DCV21" s="4"/>
      <c r="DCW21" s="4"/>
      <c r="DCX21" s="4"/>
      <c r="DCY21" s="4"/>
      <c r="DCZ21" s="4"/>
      <c r="DDA21" s="4"/>
      <c r="DDB21" s="4"/>
      <c r="DDC21" s="4"/>
      <c r="DDD21" s="4"/>
      <c r="DDE21" s="4"/>
      <c r="DDF21" s="4"/>
      <c r="DDG21" s="4"/>
      <c r="DDH21" s="4"/>
      <c r="DDI21" s="4"/>
      <c r="DDJ21" s="4"/>
      <c r="DDK21" s="4"/>
      <c r="DDL21" s="4"/>
      <c r="DDM21" s="4"/>
      <c r="DDN21" s="4"/>
      <c r="DDO21" s="4"/>
      <c r="DDP21" s="4"/>
      <c r="DDQ21" s="4"/>
      <c r="DDR21" s="4"/>
      <c r="DDS21" s="4"/>
      <c r="DDT21" s="4"/>
      <c r="DDU21" s="4"/>
      <c r="DDV21" s="4"/>
      <c r="DDW21" s="4"/>
      <c r="DDX21" s="4"/>
      <c r="DDY21" s="4"/>
      <c r="DDZ21" s="4"/>
      <c r="DEA21" s="4"/>
      <c r="DEB21" s="4"/>
      <c r="DEC21" s="4"/>
      <c r="DED21" s="4"/>
      <c r="DEE21" s="4"/>
      <c r="DEF21" s="4"/>
      <c r="DEG21" s="4"/>
      <c r="DEH21" s="4"/>
      <c r="DEI21" s="4"/>
      <c r="DEJ21" s="4"/>
      <c r="DEK21" s="4"/>
      <c r="DEL21" s="4"/>
      <c r="DEM21" s="4"/>
      <c r="DEN21" s="4"/>
      <c r="DEO21" s="4"/>
      <c r="DEP21" s="4"/>
      <c r="DEQ21" s="4"/>
      <c r="DER21" s="4"/>
      <c r="DES21" s="4"/>
      <c r="DET21" s="4"/>
      <c r="DEU21" s="4"/>
      <c r="DEV21" s="4"/>
      <c r="DEW21" s="4"/>
      <c r="DEX21" s="4"/>
      <c r="DEY21" s="4"/>
      <c r="DEZ21" s="4"/>
      <c r="DFA21" s="4"/>
      <c r="DFB21" s="4"/>
      <c r="DFC21" s="4"/>
      <c r="DFD21" s="4"/>
      <c r="DFE21" s="4"/>
      <c r="DFF21" s="4"/>
      <c r="DFG21" s="4"/>
      <c r="DFH21" s="4"/>
      <c r="DFI21" s="4"/>
      <c r="DFJ21" s="4"/>
      <c r="DFK21" s="4"/>
      <c r="DFL21" s="4"/>
      <c r="DFM21" s="4"/>
      <c r="DFN21" s="4"/>
      <c r="DFO21" s="4"/>
      <c r="DFP21" s="4"/>
      <c r="DFQ21" s="4"/>
      <c r="DFR21" s="4"/>
      <c r="DFS21" s="4"/>
      <c r="DFT21" s="4"/>
      <c r="DFU21" s="4"/>
      <c r="DFV21" s="4"/>
      <c r="DFW21" s="4"/>
      <c r="DFX21" s="4"/>
      <c r="DFY21" s="4"/>
      <c r="DFZ21" s="4"/>
      <c r="DGA21" s="4"/>
      <c r="DGB21" s="4"/>
      <c r="DGC21" s="4"/>
      <c r="DGD21" s="4"/>
      <c r="DGE21" s="4"/>
      <c r="DGF21" s="4"/>
      <c r="DGG21" s="4"/>
      <c r="DGH21" s="4"/>
      <c r="DGI21" s="4"/>
      <c r="DGJ21" s="4"/>
      <c r="DGK21" s="4"/>
      <c r="DGL21" s="4"/>
      <c r="DGM21" s="4"/>
      <c r="DGN21" s="4"/>
      <c r="DGO21" s="4"/>
      <c r="DGP21" s="4"/>
      <c r="DGQ21" s="4"/>
      <c r="DGR21" s="4"/>
      <c r="DGS21" s="4"/>
      <c r="DGT21" s="4"/>
      <c r="DGU21" s="4"/>
      <c r="DGV21" s="4"/>
      <c r="DGW21" s="4"/>
      <c r="DGX21" s="4"/>
      <c r="DGY21" s="4"/>
      <c r="DGZ21" s="4"/>
      <c r="DHA21" s="4"/>
      <c r="DHB21" s="4"/>
      <c r="DHC21" s="4"/>
      <c r="DHD21" s="4"/>
      <c r="DHE21" s="4"/>
      <c r="DHF21" s="4"/>
      <c r="DHG21" s="4"/>
      <c r="DHH21" s="4"/>
      <c r="DHI21" s="4"/>
      <c r="DHJ21" s="4"/>
      <c r="DHK21" s="4"/>
      <c r="DHL21" s="4"/>
      <c r="DHM21" s="4"/>
      <c r="DHN21" s="4"/>
      <c r="DHO21" s="4"/>
      <c r="DHP21" s="4"/>
      <c r="DHQ21" s="4"/>
      <c r="DHR21" s="4"/>
      <c r="DHS21" s="4"/>
      <c r="DHT21" s="4"/>
      <c r="DHU21" s="4"/>
      <c r="DHV21" s="4"/>
      <c r="DHW21" s="4"/>
      <c r="DHX21" s="4"/>
      <c r="DHY21" s="4"/>
      <c r="DHZ21" s="4"/>
      <c r="DIA21" s="4"/>
      <c r="DIB21" s="4"/>
      <c r="DIC21" s="4"/>
      <c r="DID21" s="4"/>
      <c r="DIE21" s="4"/>
      <c r="DIF21" s="4"/>
      <c r="DIG21" s="4"/>
      <c r="DIH21" s="4"/>
      <c r="DII21" s="4"/>
      <c r="DIJ21" s="4"/>
      <c r="DIK21" s="4"/>
      <c r="DIL21" s="4"/>
      <c r="DIM21" s="4"/>
      <c r="DIN21" s="4"/>
      <c r="DIO21" s="4"/>
      <c r="DIP21" s="4"/>
      <c r="DIQ21" s="4"/>
      <c r="DIR21" s="4"/>
      <c r="DIS21" s="4"/>
      <c r="DIT21" s="4"/>
      <c r="DIU21" s="4"/>
      <c r="DIV21" s="4"/>
      <c r="DIW21" s="4"/>
      <c r="DIX21" s="4"/>
      <c r="DIY21" s="4"/>
      <c r="DIZ21" s="4"/>
      <c r="DJA21" s="4"/>
      <c r="DJB21" s="4"/>
      <c r="DJC21" s="4"/>
      <c r="DJD21" s="4"/>
      <c r="DJE21" s="4"/>
      <c r="DJF21" s="4"/>
      <c r="DJG21" s="4"/>
      <c r="DJH21" s="4"/>
      <c r="DJI21" s="4"/>
      <c r="DJJ21" s="4"/>
      <c r="DJK21" s="4"/>
      <c r="DJL21" s="4"/>
      <c r="DJM21" s="4"/>
      <c r="DJN21" s="4"/>
      <c r="DJO21" s="4"/>
      <c r="DJP21" s="4"/>
      <c r="DJQ21" s="4"/>
      <c r="DJR21" s="4"/>
      <c r="DJS21" s="4"/>
      <c r="DJT21" s="4"/>
      <c r="DJU21" s="4"/>
      <c r="DJV21" s="4"/>
      <c r="DJW21" s="4"/>
      <c r="DJX21" s="4"/>
      <c r="DJY21" s="4"/>
      <c r="DJZ21" s="4"/>
      <c r="DKA21" s="4"/>
      <c r="DKB21" s="4"/>
      <c r="DKC21" s="4"/>
      <c r="DKD21" s="4"/>
      <c r="DKE21" s="4"/>
      <c r="DKF21" s="4"/>
      <c r="DKG21" s="4"/>
      <c r="DKH21" s="4"/>
      <c r="DKI21" s="4"/>
      <c r="DKJ21" s="4"/>
      <c r="DKK21" s="4"/>
      <c r="DKL21" s="4"/>
      <c r="DKM21" s="4"/>
      <c r="DKN21" s="4"/>
      <c r="DKO21" s="4"/>
      <c r="DKP21" s="4"/>
      <c r="DKQ21" s="4"/>
      <c r="DKR21" s="4"/>
      <c r="DKS21" s="4"/>
      <c r="DKT21" s="4"/>
      <c r="DKU21" s="4"/>
      <c r="DKV21" s="4"/>
      <c r="DKW21" s="4"/>
      <c r="DKX21" s="4"/>
      <c r="DKY21" s="4"/>
      <c r="DKZ21" s="4"/>
      <c r="DLA21" s="4"/>
      <c r="DLB21" s="4"/>
      <c r="DLC21" s="4"/>
      <c r="DLD21" s="4"/>
      <c r="DLE21" s="4"/>
      <c r="DLF21" s="4"/>
      <c r="DLG21" s="4"/>
      <c r="DLH21" s="4"/>
      <c r="DLI21" s="4"/>
      <c r="DLJ21" s="4"/>
      <c r="DLK21" s="4"/>
      <c r="DLL21" s="4"/>
      <c r="DLM21" s="4"/>
      <c r="DLN21" s="4"/>
      <c r="DLO21" s="4"/>
      <c r="DLP21" s="4"/>
      <c r="DLQ21" s="4"/>
      <c r="DLR21" s="4"/>
      <c r="DLS21" s="4"/>
      <c r="DLT21" s="4"/>
      <c r="DLU21" s="4"/>
      <c r="DLV21" s="4"/>
      <c r="DLW21" s="4"/>
      <c r="DLX21" s="4"/>
      <c r="DLY21" s="4"/>
      <c r="DLZ21" s="4"/>
      <c r="DMA21" s="4"/>
      <c r="DMB21" s="4"/>
      <c r="DMC21" s="4"/>
      <c r="DMD21" s="4"/>
      <c r="DME21" s="4"/>
      <c r="DMF21" s="4"/>
      <c r="DMG21" s="4"/>
      <c r="DMH21" s="4"/>
      <c r="DMI21" s="4"/>
      <c r="DMJ21" s="4"/>
      <c r="DMK21" s="4"/>
      <c r="DML21" s="4"/>
      <c r="DMM21" s="4"/>
      <c r="DMN21" s="4"/>
      <c r="DMO21" s="4"/>
      <c r="DMP21" s="4"/>
      <c r="DMQ21" s="4"/>
      <c r="DMR21" s="4"/>
      <c r="DMS21" s="4"/>
      <c r="DMT21" s="4"/>
      <c r="DMU21" s="4"/>
      <c r="DMV21" s="4"/>
      <c r="DMW21" s="4"/>
      <c r="DMX21" s="4"/>
      <c r="DMY21" s="4"/>
      <c r="DMZ21" s="4"/>
      <c r="DNA21" s="4"/>
      <c r="DNB21" s="4"/>
      <c r="DNC21" s="4"/>
      <c r="DND21" s="4"/>
      <c r="DNE21" s="4"/>
      <c r="DNF21" s="4"/>
      <c r="DNG21" s="4"/>
      <c r="DNH21" s="4"/>
      <c r="DNI21" s="4"/>
      <c r="DNJ21" s="4"/>
      <c r="DNK21" s="4"/>
      <c r="DNL21" s="4"/>
      <c r="DNM21" s="4"/>
      <c r="DNN21" s="4"/>
      <c r="DNO21" s="4"/>
      <c r="DNP21" s="4"/>
      <c r="DNQ21" s="4"/>
      <c r="DNR21" s="4"/>
      <c r="DNS21" s="4"/>
      <c r="DNT21" s="4"/>
      <c r="DNU21" s="4"/>
      <c r="DNV21" s="4"/>
      <c r="DNW21" s="4"/>
      <c r="DNX21" s="4"/>
      <c r="DNY21" s="4"/>
      <c r="DNZ21" s="4"/>
      <c r="DOA21" s="4"/>
      <c r="DOB21" s="4"/>
      <c r="DOC21" s="4"/>
      <c r="DOD21" s="4"/>
      <c r="DOE21" s="4"/>
      <c r="DOF21" s="4"/>
      <c r="DOG21" s="4"/>
      <c r="DOH21" s="4"/>
      <c r="DOI21" s="4"/>
      <c r="DOJ21" s="4"/>
      <c r="DOK21" s="4"/>
      <c r="DOL21" s="4"/>
      <c r="DOM21" s="4"/>
      <c r="DON21" s="4"/>
      <c r="DOO21" s="4"/>
      <c r="DOP21" s="4"/>
      <c r="DOQ21" s="4"/>
      <c r="DOR21" s="4"/>
      <c r="DOS21" s="4"/>
      <c r="DOT21" s="4"/>
      <c r="DOU21" s="4"/>
      <c r="DOV21" s="4"/>
      <c r="DOW21" s="4"/>
      <c r="DOX21" s="4"/>
      <c r="DOY21" s="4"/>
      <c r="DOZ21" s="4"/>
      <c r="DPA21" s="4"/>
      <c r="DPB21" s="4"/>
      <c r="DPC21" s="4"/>
      <c r="DPD21" s="4"/>
      <c r="DPE21" s="4"/>
      <c r="DPF21" s="4"/>
      <c r="DPG21" s="4"/>
      <c r="DPH21" s="4"/>
      <c r="DPI21" s="4"/>
      <c r="DPJ21" s="4"/>
      <c r="DPK21" s="4"/>
      <c r="DPL21" s="4"/>
      <c r="DPM21" s="4"/>
      <c r="DPN21" s="4"/>
      <c r="DPO21" s="4"/>
      <c r="DPP21" s="4"/>
      <c r="DPQ21" s="4"/>
      <c r="DPR21" s="4"/>
      <c r="DPS21" s="4"/>
      <c r="DPT21" s="4"/>
      <c r="DPU21" s="4"/>
      <c r="DPV21" s="4"/>
      <c r="DPW21" s="4"/>
      <c r="DPX21" s="4"/>
      <c r="DPY21" s="4"/>
      <c r="DPZ21" s="4"/>
      <c r="DQA21" s="4"/>
      <c r="DQB21" s="4"/>
      <c r="DQC21" s="4"/>
      <c r="DQD21" s="4"/>
      <c r="DQE21" s="4"/>
      <c r="DQF21" s="4"/>
      <c r="DQG21" s="4"/>
      <c r="DQH21" s="4"/>
      <c r="DQI21" s="4"/>
      <c r="DQJ21" s="4"/>
      <c r="DQK21" s="4"/>
      <c r="DQL21" s="4"/>
      <c r="DQM21" s="4"/>
      <c r="DQN21" s="4"/>
      <c r="DQO21" s="4"/>
      <c r="DQP21" s="4"/>
      <c r="DQQ21" s="4"/>
      <c r="DQR21" s="4"/>
      <c r="DQS21" s="4"/>
      <c r="DQT21" s="4"/>
      <c r="DQU21" s="4"/>
      <c r="DQV21" s="4"/>
      <c r="DQW21" s="4"/>
      <c r="DQX21" s="4"/>
      <c r="DQY21" s="4"/>
      <c r="DQZ21" s="4"/>
      <c r="DRA21" s="4"/>
      <c r="DRB21" s="4"/>
      <c r="DRC21" s="4"/>
      <c r="DRD21" s="4"/>
      <c r="DRE21" s="4"/>
      <c r="DRF21" s="4"/>
      <c r="DRG21" s="4"/>
      <c r="DRH21" s="4"/>
      <c r="DRI21" s="4"/>
      <c r="DRJ21" s="4"/>
      <c r="DRK21" s="4"/>
      <c r="DRL21" s="4"/>
      <c r="DRM21" s="4"/>
      <c r="DRN21" s="4"/>
      <c r="DRO21" s="4"/>
      <c r="DRP21" s="4"/>
      <c r="DRQ21" s="4"/>
      <c r="DRR21" s="4"/>
      <c r="DRS21" s="4"/>
      <c r="DRT21" s="4"/>
      <c r="DRU21" s="4"/>
      <c r="DRV21" s="4"/>
      <c r="DRW21" s="4"/>
      <c r="DRX21" s="4"/>
      <c r="DRY21" s="4"/>
      <c r="DRZ21" s="4"/>
      <c r="DSA21" s="4"/>
      <c r="DSB21" s="4"/>
      <c r="DSC21" s="4"/>
      <c r="DSD21" s="4"/>
      <c r="DSE21" s="4"/>
      <c r="DSF21" s="4"/>
      <c r="DSG21" s="4"/>
      <c r="DSH21" s="4"/>
      <c r="DSI21" s="4"/>
      <c r="DSJ21" s="4"/>
      <c r="DSK21" s="4"/>
      <c r="DSL21" s="4"/>
      <c r="DSM21" s="4"/>
      <c r="DSN21" s="4"/>
      <c r="DSO21" s="4"/>
      <c r="DSP21" s="4"/>
      <c r="DSQ21" s="4"/>
      <c r="DSR21" s="4"/>
      <c r="DSS21" s="4"/>
      <c r="DST21" s="4"/>
      <c r="DSU21" s="4"/>
      <c r="DSV21" s="4"/>
      <c r="DSW21" s="4"/>
      <c r="DSX21" s="4"/>
      <c r="DSY21" s="4"/>
      <c r="DSZ21" s="4"/>
      <c r="DTA21" s="4"/>
      <c r="DTB21" s="4"/>
      <c r="DTC21" s="4"/>
      <c r="DTD21" s="4"/>
      <c r="DTE21" s="4"/>
      <c r="DTF21" s="4"/>
      <c r="DTG21" s="4"/>
      <c r="DTH21" s="4"/>
      <c r="DTI21" s="4"/>
      <c r="DTJ21" s="4"/>
      <c r="DTK21" s="4"/>
      <c r="DTL21" s="4"/>
      <c r="DTM21" s="4"/>
      <c r="DTN21" s="4"/>
      <c r="DTO21" s="4"/>
      <c r="DTP21" s="4"/>
      <c r="DTQ21" s="4"/>
      <c r="DTR21" s="4"/>
      <c r="DTS21" s="4"/>
      <c r="DTT21" s="4"/>
      <c r="DTU21" s="4"/>
      <c r="DTV21" s="4"/>
      <c r="DTW21" s="4"/>
      <c r="DTX21" s="4"/>
      <c r="DTY21" s="4"/>
      <c r="DTZ21" s="4"/>
      <c r="DUA21" s="4"/>
      <c r="DUB21" s="4"/>
      <c r="DUC21" s="4"/>
      <c r="DUD21" s="4"/>
      <c r="DUE21" s="4"/>
      <c r="DUF21" s="4"/>
      <c r="DUG21" s="4"/>
      <c r="DUH21" s="4"/>
      <c r="DUI21" s="4"/>
      <c r="DUJ21" s="4"/>
      <c r="DUK21" s="4"/>
      <c r="DUL21" s="4"/>
      <c r="DUM21" s="4"/>
      <c r="DUN21" s="4"/>
      <c r="DUO21" s="4"/>
      <c r="DUP21" s="4"/>
      <c r="DUQ21" s="4"/>
      <c r="DUR21" s="4"/>
      <c r="DUS21" s="4"/>
      <c r="DUT21" s="4"/>
      <c r="DUU21" s="4"/>
      <c r="DUV21" s="4"/>
      <c r="DUW21" s="4"/>
      <c r="DUX21" s="4"/>
      <c r="DUY21" s="4"/>
      <c r="DUZ21" s="4"/>
      <c r="DVA21" s="4"/>
      <c r="DVB21" s="4"/>
      <c r="DVC21" s="4"/>
      <c r="DVD21" s="4"/>
      <c r="DVE21" s="4"/>
      <c r="DVF21" s="4"/>
      <c r="DVG21" s="4"/>
      <c r="DVH21" s="4"/>
      <c r="DVI21" s="4"/>
      <c r="DVJ21" s="4"/>
      <c r="DVK21" s="4"/>
      <c r="DVL21" s="4"/>
      <c r="DVM21" s="4"/>
      <c r="DVN21" s="4"/>
      <c r="DVO21" s="4"/>
      <c r="DVP21" s="4"/>
      <c r="DVQ21" s="4"/>
      <c r="DVR21" s="4"/>
      <c r="DVS21" s="4"/>
      <c r="DVT21" s="4"/>
      <c r="DVU21" s="4"/>
      <c r="DVV21" s="4"/>
      <c r="DVW21" s="4"/>
      <c r="DVX21" s="4"/>
      <c r="DVY21" s="4"/>
      <c r="DVZ21" s="4"/>
      <c r="DWA21" s="4"/>
      <c r="DWB21" s="4"/>
      <c r="DWC21" s="4"/>
      <c r="DWD21" s="4"/>
      <c r="DWE21" s="4"/>
      <c r="DWF21" s="4"/>
      <c r="DWG21" s="4"/>
      <c r="DWH21" s="4"/>
      <c r="DWI21" s="4"/>
      <c r="DWJ21" s="4"/>
      <c r="DWK21" s="4"/>
      <c r="DWL21" s="4"/>
      <c r="DWM21" s="4"/>
      <c r="DWN21" s="4"/>
      <c r="DWO21" s="4"/>
      <c r="DWP21" s="4"/>
      <c r="DWQ21" s="4"/>
      <c r="DWR21" s="4"/>
      <c r="DWS21" s="4"/>
      <c r="DWT21" s="4"/>
      <c r="DWU21" s="4"/>
      <c r="DWV21" s="4"/>
      <c r="DWW21" s="4"/>
      <c r="DWX21" s="4"/>
      <c r="DWY21" s="4"/>
      <c r="DWZ21" s="4"/>
      <c r="DXA21" s="4"/>
      <c r="DXB21" s="4"/>
      <c r="DXC21" s="4"/>
      <c r="DXD21" s="4"/>
      <c r="DXE21" s="4"/>
      <c r="DXF21" s="4"/>
      <c r="DXG21" s="4"/>
      <c r="DXH21" s="4"/>
      <c r="DXI21" s="4"/>
      <c r="DXJ21" s="4"/>
      <c r="DXK21" s="4"/>
      <c r="DXL21" s="4"/>
      <c r="DXM21" s="4"/>
      <c r="DXN21" s="4"/>
      <c r="DXO21" s="4"/>
      <c r="DXP21" s="4"/>
      <c r="DXQ21" s="4"/>
      <c r="DXR21" s="4"/>
      <c r="DXS21" s="4"/>
      <c r="DXT21" s="4"/>
      <c r="DXU21" s="4"/>
      <c r="DXV21" s="4"/>
      <c r="DXW21" s="4"/>
      <c r="DXX21" s="4"/>
      <c r="DXY21" s="4"/>
      <c r="DXZ21" s="4"/>
      <c r="DYA21" s="4"/>
      <c r="DYB21" s="4"/>
      <c r="DYC21" s="4"/>
      <c r="DYD21" s="4"/>
      <c r="DYE21" s="4"/>
      <c r="DYF21" s="4"/>
      <c r="DYG21" s="4"/>
      <c r="DYH21" s="4"/>
      <c r="DYI21" s="4"/>
      <c r="DYJ21" s="4"/>
      <c r="DYK21" s="4"/>
      <c r="DYL21" s="4"/>
      <c r="DYM21" s="4"/>
      <c r="DYN21" s="4"/>
      <c r="DYO21" s="4"/>
      <c r="DYP21" s="4"/>
      <c r="DYQ21" s="4"/>
      <c r="DYR21" s="4"/>
      <c r="DYS21" s="4"/>
      <c r="DYT21" s="4"/>
      <c r="DYU21" s="4"/>
      <c r="DYV21" s="4"/>
      <c r="DYW21" s="4"/>
      <c r="DYX21" s="4"/>
      <c r="DYY21" s="4"/>
      <c r="DYZ21" s="4"/>
      <c r="DZA21" s="4"/>
      <c r="DZB21" s="4"/>
      <c r="DZC21" s="4"/>
      <c r="DZD21" s="4"/>
      <c r="DZE21" s="4"/>
      <c r="DZF21" s="4"/>
      <c r="DZG21" s="4"/>
      <c r="DZH21" s="4"/>
      <c r="DZI21" s="4"/>
      <c r="DZJ21" s="4"/>
      <c r="DZK21" s="4"/>
      <c r="DZL21" s="4"/>
      <c r="DZM21" s="4"/>
      <c r="DZN21" s="4"/>
      <c r="DZO21" s="4"/>
      <c r="DZP21" s="4"/>
      <c r="DZQ21" s="4"/>
      <c r="DZR21" s="4"/>
      <c r="DZS21" s="4"/>
      <c r="DZT21" s="4"/>
      <c r="DZU21" s="4"/>
      <c r="DZV21" s="4"/>
      <c r="DZW21" s="4"/>
      <c r="DZX21" s="4"/>
      <c r="DZY21" s="4"/>
      <c r="DZZ21" s="4"/>
      <c r="EAA21" s="4"/>
      <c r="EAB21" s="4"/>
      <c r="EAC21" s="4"/>
      <c r="EAD21" s="4"/>
      <c r="EAE21" s="4"/>
      <c r="EAF21" s="4"/>
      <c r="EAG21" s="4"/>
      <c r="EAH21" s="4"/>
      <c r="EAI21" s="4"/>
      <c r="EAJ21" s="4"/>
      <c r="EAK21" s="4"/>
      <c r="EAL21" s="4"/>
      <c r="EAM21" s="4"/>
      <c r="EAN21" s="4"/>
      <c r="EAO21" s="4"/>
      <c r="EAP21" s="4"/>
      <c r="EAQ21" s="4"/>
      <c r="EAR21" s="4"/>
      <c r="EAS21" s="4"/>
      <c r="EAT21" s="4"/>
      <c r="EAU21" s="4"/>
      <c r="EAV21" s="4"/>
      <c r="EAW21" s="4"/>
      <c r="EAX21" s="4"/>
      <c r="EAY21" s="4"/>
      <c r="EAZ21" s="4"/>
      <c r="EBA21" s="4"/>
      <c r="EBB21" s="4"/>
      <c r="EBC21" s="4"/>
      <c r="EBD21" s="4"/>
      <c r="EBE21" s="4"/>
      <c r="EBF21" s="4"/>
      <c r="EBG21" s="4"/>
      <c r="EBH21" s="4"/>
      <c r="EBI21" s="4"/>
      <c r="EBJ21" s="4"/>
      <c r="EBK21" s="4"/>
      <c r="EBL21" s="4"/>
      <c r="EBM21" s="4"/>
      <c r="EBN21" s="4"/>
      <c r="EBO21" s="4"/>
      <c r="EBP21" s="4"/>
      <c r="EBQ21" s="4"/>
      <c r="EBR21" s="4"/>
      <c r="EBS21" s="4"/>
      <c r="EBT21" s="4"/>
      <c r="EBU21" s="4"/>
      <c r="EBV21" s="4"/>
      <c r="EBW21" s="4"/>
      <c r="EBX21" s="4"/>
      <c r="EBY21" s="4"/>
      <c r="EBZ21" s="4"/>
      <c r="ECA21" s="4"/>
      <c r="ECB21" s="4"/>
      <c r="ECC21" s="4"/>
      <c r="ECD21" s="4"/>
      <c r="ECE21" s="4"/>
      <c r="ECF21" s="4"/>
      <c r="ECG21" s="4"/>
      <c r="ECH21" s="4"/>
      <c r="ECI21" s="4"/>
      <c r="ECJ21" s="4"/>
      <c r="ECK21" s="4"/>
      <c r="ECL21" s="4"/>
      <c r="ECM21" s="4"/>
      <c r="ECN21" s="4"/>
      <c r="ECO21" s="4"/>
      <c r="ECP21" s="4"/>
      <c r="ECQ21" s="4"/>
      <c r="ECR21" s="4"/>
      <c r="ECS21" s="4"/>
      <c r="ECT21" s="4"/>
      <c r="ECU21" s="4"/>
      <c r="ECV21" s="4"/>
      <c r="ECW21" s="4"/>
      <c r="ECX21" s="4"/>
      <c r="ECY21" s="4"/>
      <c r="ECZ21" s="4"/>
      <c r="EDA21" s="4"/>
      <c r="EDB21" s="4"/>
      <c r="EDC21" s="4"/>
      <c r="EDD21" s="4"/>
      <c r="EDE21" s="4"/>
      <c r="EDF21" s="4"/>
      <c r="EDG21" s="4"/>
      <c r="EDH21" s="4"/>
      <c r="EDI21" s="4"/>
      <c r="EDJ21" s="4"/>
      <c r="EDK21" s="4"/>
      <c r="EDL21" s="4"/>
      <c r="EDM21" s="4"/>
      <c r="EDN21" s="4"/>
      <c r="EDO21" s="4"/>
      <c r="EDP21" s="4"/>
      <c r="EDQ21" s="4"/>
      <c r="EDR21" s="4"/>
      <c r="EDS21" s="4"/>
      <c r="EDT21" s="4"/>
      <c r="EDU21" s="4"/>
      <c r="EDV21" s="4"/>
      <c r="EDW21" s="4"/>
      <c r="EDX21" s="4"/>
      <c r="EDY21" s="4"/>
      <c r="EDZ21" s="4"/>
      <c r="EEA21" s="4"/>
      <c r="EEB21" s="4"/>
      <c r="EEC21" s="4"/>
      <c r="EED21" s="4"/>
      <c r="EEE21" s="4"/>
      <c r="EEF21" s="4"/>
      <c r="EEG21" s="4"/>
      <c r="EEH21" s="4"/>
      <c r="EEI21" s="4"/>
      <c r="EEJ21" s="4"/>
      <c r="EEK21" s="4"/>
      <c r="EEL21" s="4"/>
      <c r="EEM21" s="4"/>
      <c r="EEN21" s="4"/>
      <c r="EEO21" s="4"/>
      <c r="EEP21" s="4"/>
      <c r="EEQ21" s="4"/>
      <c r="EER21" s="4"/>
      <c r="EES21" s="4"/>
      <c r="EET21" s="4"/>
      <c r="EEU21" s="4"/>
      <c r="EEV21" s="4"/>
      <c r="EEW21" s="4"/>
      <c r="EEX21" s="4"/>
      <c r="EEY21" s="4"/>
      <c r="EEZ21" s="4"/>
      <c r="EFA21" s="4"/>
      <c r="EFB21" s="4"/>
      <c r="EFC21" s="4"/>
      <c r="EFD21" s="4"/>
      <c r="EFE21" s="4"/>
      <c r="EFF21" s="4"/>
      <c r="EFG21" s="4"/>
      <c r="EFH21" s="4"/>
      <c r="EFI21" s="4"/>
      <c r="EFJ21" s="4"/>
      <c r="EFK21" s="4"/>
      <c r="EFL21" s="4"/>
      <c r="EFM21" s="4"/>
      <c r="EFN21" s="4"/>
      <c r="EFO21" s="4"/>
      <c r="EFP21" s="4"/>
      <c r="EFQ21" s="4"/>
      <c r="EFR21" s="4"/>
      <c r="EFS21" s="4"/>
      <c r="EFT21" s="4"/>
      <c r="EFU21" s="4"/>
      <c r="EFV21" s="4"/>
      <c r="EFW21" s="4"/>
      <c r="EFX21" s="4"/>
      <c r="EFY21" s="4"/>
      <c r="EFZ21" s="4"/>
      <c r="EGA21" s="4"/>
      <c r="EGB21" s="4"/>
      <c r="EGC21" s="4"/>
      <c r="EGD21" s="4"/>
      <c r="EGE21" s="4"/>
      <c r="EGF21" s="4"/>
      <c r="EGG21" s="4"/>
      <c r="EGH21" s="4"/>
      <c r="EGI21" s="4"/>
      <c r="EGJ21" s="4"/>
      <c r="EGK21" s="4"/>
      <c r="EGL21" s="4"/>
      <c r="EGM21" s="4"/>
      <c r="EGN21" s="4"/>
      <c r="EGO21" s="4"/>
      <c r="EGP21" s="4"/>
      <c r="EGQ21" s="4"/>
      <c r="EGR21" s="4"/>
      <c r="EGS21" s="4"/>
      <c r="EGT21" s="4"/>
      <c r="EGU21" s="4"/>
      <c r="EGV21" s="4"/>
      <c r="EGW21" s="4"/>
      <c r="EGX21" s="4"/>
      <c r="EGY21" s="4"/>
      <c r="EGZ21" s="4"/>
      <c r="EHA21" s="4"/>
      <c r="EHB21" s="4"/>
      <c r="EHC21" s="4"/>
      <c r="EHD21" s="4"/>
      <c r="EHE21" s="4"/>
      <c r="EHF21" s="4"/>
      <c r="EHG21" s="4"/>
      <c r="EHH21" s="4"/>
      <c r="EHI21" s="4"/>
      <c r="EHJ21" s="4"/>
      <c r="EHK21" s="4"/>
      <c r="EHL21" s="4"/>
      <c r="EHM21" s="4"/>
      <c r="EHN21" s="4"/>
      <c r="EHO21" s="4"/>
      <c r="EHP21" s="4"/>
      <c r="EHQ21" s="4"/>
      <c r="EHR21" s="4"/>
      <c r="EHS21" s="4"/>
      <c r="EHT21" s="4"/>
      <c r="EHU21" s="4"/>
      <c r="EHV21" s="4"/>
      <c r="EHW21" s="4"/>
      <c r="EHX21" s="4"/>
      <c r="EHY21" s="4"/>
      <c r="EHZ21" s="4"/>
      <c r="EIA21" s="4"/>
      <c r="EIB21" s="4"/>
      <c r="EIC21" s="4"/>
      <c r="EID21" s="4"/>
      <c r="EIE21" s="4"/>
      <c r="EIF21" s="4"/>
      <c r="EIG21" s="4"/>
      <c r="EIH21" s="4"/>
      <c r="EII21" s="4"/>
      <c r="EIJ21" s="4"/>
      <c r="EIK21" s="4"/>
      <c r="EIL21" s="4"/>
      <c r="EIM21" s="4"/>
      <c r="EIN21" s="4"/>
      <c r="EIO21" s="4"/>
      <c r="EIP21" s="4"/>
      <c r="EIQ21" s="4"/>
      <c r="EIR21" s="4"/>
      <c r="EIS21" s="4"/>
      <c r="EIT21" s="4"/>
      <c r="EIU21" s="4"/>
      <c r="EIV21" s="4"/>
      <c r="EIW21" s="4"/>
      <c r="EIX21" s="4"/>
      <c r="EIY21" s="4"/>
      <c r="EIZ21" s="4"/>
      <c r="EJA21" s="4"/>
      <c r="EJB21" s="4"/>
      <c r="EJC21" s="4"/>
      <c r="EJD21" s="4"/>
      <c r="EJE21" s="4"/>
      <c r="EJF21" s="4"/>
      <c r="EJG21" s="4"/>
      <c r="EJH21" s="4"/>
      <c r="EJI21" s="4"/>
      <c r="EJJ21" s="4"/>
      <c r="EJK21" s="4"/>
      <c r="EJL21" s="4"/>
      <c r="EJM21" s="4"/>
      <c r="EJN21" s="4"/>
      <c r="EJO21" s="4"/>
      <c r="EJP21" s="4"/>
      <c r="EJQ21" s="4"/>
      <c r="EJR21" s="4"/>
      <c r="EJS21" s="4"/>
      <c r="EJT21" s="4"/>
      <c r="EJU21" s="4"/>
      <c r="EJV21" s="4"/>
      <c r="EJW21" s="4"/>
      <c r="EJX21" s="4"/>
      <c r="EJY21" s="4"/>
      <c r="EJZ21" s="4"/>
      <c r="EKA21" s="4"/>
      <c r="EKB21" s="4"/>
      <c r="EKC21" s="4"/>
      <c r="EKD21" s="4"/>
      <c r="EKE21" s="4"/>
      <c r="EKF21" s="4"/>
      <c r="EKG21" s="4"/>
      <c r="EKH21" s="4"/>
      <c r="EKI21" s="4"/>
      <c r="EKJ21" s="4"/>
      <c r="EKK21" s="4"/>
      <c r="EKL21" s="4"/>
      <c r="EKM21" s="4"/>
      <c r="EKN21" s="4"/>
      <c r="EKO21" s="4"/>
      <c r="EKP21" s="4"/>
      <c r="EKQ21" s="4"/>
      <c r="EKR21" s="4"/>
      <c r="EKS21" s="4"/>
      <c r="EKT21" s="4"/>
      <c r="EKU21" s="4"/>
      <c r="EKV21" s="4"/>
      <c r="EKW21" s="4"/>
      <c r="EKX21" s="4"/>
      <c r="EKY21" s="4"/>
      <c r="EKZ21" s="4"/>
      <c r="ELA21" s="4"/>
      <c r="ELB21" s="4"/>
      <c r="ELC21" s="4"/>
      <c r="ELD21" s="4"/>
      <c r="ELE21" s="4"/>
      <c r="ELF21" s="4"/>
      <c r="ELG21" s="4"/>
      <c r="ELH21" s="4"/>
      <c r="ELI21" s="4"/>
      <c r="ELJ21" s="4"/>
      <c r="ELK21" s="4"/>
      <c r="ELL21" s="4"/>
      <c r="ELM21" s="4"/>
      <c r="ELN21" s="4"/>
      <c r="ELO21" s="4"/>
      <c r="ELP21" s="4"/>
      <c r="ELQ21" s="4"/>
      <c r="ELR21" s="4"/>
      <c r="ELS21" s="4"/>
      <c r="ELT21" s="4"/>
      <c r="ELU21" s="4"/>
      <c r="ELV21" s="4"/>
      <c r="ELW21" s="4"/>
      <c r="ELX21" s="4"/>
      <c r="ELY21" s="4"/>
      <c r="ELZ21" s="4"/>
      <c r="EMA21" s="4"/>
      <c r="EMB21" s="4"/>
      <c r="EMC21" s="4"/>
      <c r="EMD21" s="4"/>
      <c r="EME21" s="4"/>
      <c r="EMF21" s="4"/>
      <c r="EMG21" s="4"/>
      <c r="EMH21" s="4"/>
      <c r="EMI21" s="4"/>
      <c r="EMJ21" s="4"/>
      <c r="EMK21" s="4"/>
      <c r="EML21" s="4"/>
      <c r="EMM21" s="4"/>
      <c r="EMN21" s="4"/>
      <c r="EMO21" s="4"/>
      <c r="EMP21" s="4"/>
      <c r="EMQ21" s="4"/>
      <c r="EMR21" s="4"/>
      <c r="EMS21" s="4"/>
      <c r="EMT21" s="4"/>
      <c r="EMU21" s="4"/>
      <c r="EMV21" s="4"/>
      <c r="EMW21" s="4"/>
      <c r="EMX21" s="4"/>
      <c r="EMY21" s="4"/>
      <c r="EMZ21" s="4"/>
      <c r="ENA21" s="4"/>
      <c r="ENB21" s="4"/>
      <c r="ENC21" s="4"/>
      <c r="END21" s="4"/>
      <c r="ENE21" s="4"/>
      <c r="ENF21" s="4"/>
      <c r="ENG21" s="4"/>
      <c r="ENH21" s="4"/>
      <c r="ENI21" s="4"/>
      <c r="ENJ21" s="4"/>
      <c r="ENK21" s="4"/>
      <c r="ENL21" s="4"/>
      <c r="ENM21" s="4"/>
      <c r="ENN21" s="4"/>
      <c r="ENO21" s="4"/>
      <c r="ENP21" s="4"/>
      <c r="ENQ21" s="4"/>
      <c r="ENR21" s="4"/>
      <c r="ENS21" s="4"/>
      <c r="ENT21" s="4"/>
      <c r="ENU21" s="4"/>
      <c r="ENV21" s="4"/>
      <c r="ENW21" s="4"/>
      <c r="ENX21" s="4"/>
      <c r="ENY21" s="4"/>
      <c r="ENZ21" s="4"/>
      <c r="EOA21" s="4"/>
      <c r="EOB21" s="4"/>
      <c r="EOC21" s="4"/>
      <c r="EOD21" s="4"/>
      <c r="EOE21" s="4"/>
      <c r="EOF21" s="4"/>
      <c r="EOG21" s="4"/>
      <c r="EOH21" s="4"/>
      <c r="EOI21" s="4"/>
      <c r="EOJ21" s="4"/>
      <c r="EOK21" s="4"/>
      <c r="EOL21" s="4"/>
      <c r="EOM21" s="4"/>
      <c r="EON21" s="4"/>
      <c r="EOO21" s="4"/>
      <c r="EOP21" s="4"/>
      <c r="EOQ21" s="4"/>
      <c r="EOR21" s="4"/>
      <c r="EOS21" s="4"/>
      <c r="EOT21" s="4"/>
      <c r="EOU21" s="4"/>
      <c r="EOV21" s="4"/>
      <c r="EOW21" s="4"/>
      <c r="EOX21" s="4"/>
      <c r="EOY21" s="4"/>
      <c r="EOZ21" s="4"/>
      <c r="EPA21" s="4"/>
      <c r="EPB21" s="4"/>
      <c r="EPC21" s="4"/>
      <c r="EPD21" s="4"/>
      <c r="EPE21" s="4"/>
      <c r="EPF21" s="4"/>
      <c r="EPG21" s="4"/>
      <c r="EPH21" s="4"/>
      <c r="EPI21" s="4"/>
      <c r="EPJ21" s="4"/>
      <c r="EPK21" s="4"/>
      <c r="EPL21" s="4"/>
      <c r="EPM21" s="4"/>
      <c r="EPN21" s="4"/>
      <c r="EPO21" s="4"/>
      <c r="EPP21" s="4"/>
      <c r="EPQ21" s="4"/>
      <c r="EPR21" s="4"/>
      <c r="EPS21" s="4"/>
      <c r="EPT21" s="4"/>
      <c r="EPU21" s="4"/>
      <c r="EPV21" s="4"/>
      <c r="EPW21" s="4"/>
      <c r="EPX21" s="4"/>
      <c r="EPY21" s="4"/>
      <c r="EPZ21" s="4"/>
      <c r="EQA21" s="4"/>
      <c r="EQB21" s="4"/>
      <c r="EQC21" s="4"/>
      <c r="EQD21" s="4"/>
      <c r="EQE21" s="4"/>
      <c r="EQF21" s="4"/>
      <c r="EQG21" s="4"/>
      <c r="EQH21" s="4"/>
      <c r="EQI21" s="4"/>
      <c r="EQJ21" s="4"/>
      <c r="EQK21" s="4"/>
      <c r="EQL21" s="4"/>
      <c r="EQM21" s="4"/>
      <c r="EQN21" s="4"/>
      <c r="EQO21" s="4"/>
      <c r="EQP21" s="4"/>
      <c r="EQQ21" s="4"/>
      <c r="EQR21" s="4"/>
      <c r="EQS21" s="4"/>
      <c r="EQT21" s="4"/>
      <c r="EQU21" s="4"/>
      <c r="EQV21" s="4"/>
      <c r="EQW21" s="4"/>
      <c r="EQX21" s="4"/>
      <c r="EQY21" s="4"/>
      <c r="EQZ21" s="4"/>
      <c r="ERA21" s="4"/>
      <c r="ERB21" s="4"/>
      <c r="ERC21" s="4"/>
      <c r="ERD21" s="4"/>
      <c r="ERE21" s="4"/>
      <c r="ERF21" s="4"/>
      <c r="ERG21" s="4"/>
      <c r="ERH21" s="4"/>
      <c r="ERI21" s="4"/>
      <c r="ERJ21" s="4"/>
      <c r="ERK21" s="4"/>
      <c r="ERL21" s="4"/>
      <c r="ERM21" s="4"/>
      <c r="ERN21" s="4"/>
      <c r="ERO21" s="4"/>
      <c r="ERP21" s="4"/>
      <c r="ERQ21" s="4"/>
      <c r="ERR21" s="4"/>
      <c r="ERS21" s="4"/>
      <c r="ERT21" s="4"/>
      <c r="ERU21" s="4"/>
      <c r="ERV21" s="4"/>
      <c r="ERW21" s="4"/>
      <c r="ERX21" s="4"/>
      <c r="ERY21" s="4"/>
      <c r="ERZ21" s="4"/>
      <c r="ESA21" s="4"/>
      <c r="ESB21" s="4"/>
      <c r="ESC21" s="4"/>
      <c r="ESD21" s="4"/>
      <c r="ESE21" s="4"/>
      <c r="ESF21" s="4"/>
      <c r="ESG21" s="4"/>
      <c r="ESH21" s="4"/>
      <c r="ESI21" s="4"/>
      <c r="ESJ21" s="4"/>
      <c r="ESK21" s="4"/>
      <c r="ESL21" s="4"/>
      <c r="ESM21" s="4"/>
      <c r="ESN21" s="4"/>
      <c r="ESO21" s="4"/>
      <c r="ESP21" s="4"/>
      <c r="ESQ21" s="4"/>
      <c r="ESR21" s="4"/>
      <c r="ESS21" s="4"/>
      <c r="EST21" s="4"/>
      <c r="ESU21" s="4"/>
      <c r="ESV21" s="4"/>
      <c r="ESW21" s="4"/>
      <c r="ESX21" s="4"/>
      <c r="ESY21" s="4"/>
      <c r="ESZ21" s="4"/>
      <c r="ETA21" s="4"/>
      <c r="ETB21" s="4"/>
      <c r="ETC21" s="4"/>
      <c r="ETD21" s="4"/>
      <c r="ETE21" s="4"/>
      <c r="ETF21" s="4"/>
      <c r="ETG21" s="4"/>
      <c r="ETH21" s="4"/>
      <c r="ETI21" s="4"/>
      <c r="ETJ21" s="4"/>
      <c r="ETK21" s="4"/>
      <c r="ETL21" s="4"/>
      <c r="ETM21" s="4"/>
      <c r="ETN21" s="4"/>
      <c r="ETO21" s="4"/>
      <c r="ETP21" s="4"/>
      <c r="ETQ21" s="4"/>
      <c r="ETR21" s="4"/>
      <c r="ETS21" s="4"/>
      <c r="ETT21" s="4"/>
      <c r="ETU21" s="4"/>
      <c r="ETV21" s="4"/>
      <c r="ETW21" s="4"/>
      <c r="ETX21" s="4"/>
      <c r="ETY21" s="4"/>
      <c r="ETZ21" s="4"/>
      <c r="EUA21" s="4"/>
      <c r="EUB21" s="4"/>
      <c r="EUC21" s="4"/>
      <c r="EUD21" s="4"/>
      <c r="EUE21" s="4"/>
      <c r="EUF21" s="4"/>
      <c r="EUG21" s="4"/>
      <c r="EUH21" s="4"/>
      <c r="EUI21" s="4"/>
      <c r="EUJ21" s="4"/>
      <c r="EUK21" s="4"/>
      <c r="EUL21" s="4"/>
      <c r="EUM21" s="4"/>
      <c r="EUN21" s="4"/>
      <c r="EUO21" s="4"/>
      <c r="EUP21" s="4"/>
      <c r="EUQ21" s="4"/>
      <c r="EUR21" s="4"/>
      <c r="EUS21" s="4"/>
      <c r="EUT21" s="4"/>
      <c r="EUU21" s="4"/>
      <c r="EUV21" s="4"/>
      <c r="EUW21" s="4"/>
      <c r="EUX21" s="4"/>
      <c r="EUY21" s="4"/>
      <c r="EUZ21" s="4"/>
      <c r="EVA21" s="4"/>
      <c r="EVB21" s="4"/>
      <c r="EVC21" s="4"/>
      <c r="EVD21" s="4"/>
      <c r="EVE21" s="4"/>
      <c r="EVF21" s="4"/>
      <c r="EVG21" s="4"/>
      <c r="EVH21" s="4"/>
      <c r="EVI21" s="4"/>
      <c r="EVJ21" s="4"/>
      <c r="EVK21" s="4"/>
      <c r="EVL21" s="4"/>
      <c r="EVM21" s="4"/>
      <c r="EVN21" s="4"/>
      <c r="EVO21" s="4"/>
      <c r="EVP21" s="4"/>
      <c r="EVQ21" s="4"/>
      <c r="EVR21" s="4"/>
      <c r="EVS21" s="4"/>
      <c r="EVT21" s="4"/>
      <c r="EVU21" s="4"/>
      <c r="EVV21" s="4"/>
      <c r="EVW21" s="4"/>
      <c r="EVX21" s="4"/>
      <c r="EVY21" s="4"/>
      <c r="EVZ21" s="4"/>
      <c r="EWA21" s="4"/>
      <c r="EWB21" s="4"/>
      <c r="EWC21" s="4"/>
      <c r="EWD21" s="4"/>
      <c r="EWE21" s="4"/>
      <c r="EWF21" s="4"/>
      <c r="EWG21" s="4"/>
      <c r="EWH21" s="4"/>
      <c r="EWI21" s="4"/>
      <c r="EWJ21" s="4"/>
      <c r="EWK21" s="4"/>
      <c r="EWL21" s="4"/>
      <c r="EWM21" s="4"/>
      <c r="EWN21" s="4"/>
      <c r="EWO21" s="4"/>
      <c r="EWP21" s="4"/>
      <c r="EWQ21" s="4"/>
      <c r="EWR21" s="4"/>
      <c r="EWS21" s="4"/>
      <c r="EWT21" s="4"/>
      <c r="EWU21" s="4"/>
      <c r="EWV21" s="4"/>
      <c r="EWW21" s="4"/>
      <c r="EWX21" s="4"/>
      <c r="EWY21" s="4"/>
      <c r="EWZ21" s="4"/>
      <c r="EXA21" s="4"/>
      <c r="EXB21" s="4"/>
      <c r="EXC21" s="4"/>
      <c r="EXD21" s="4"/>
      <c r="EXE21" s="4"/>
      <c r="EXF21" s="4"/>
      <c r="EXG21" s="4"/>
      <c r="EXH21" s="4"/>
      <c r="EXI21" s="4"/>
      <c r="EXJ21" s="4"/>
      <c r="EXK21" s="4"/>
      <c r="EXL21" s="4"/>
      <c r="EXM21" s="4"/>
      <c r="EXN21" s="4"/>
      <c r="EXO21" s="4"/>
      <c r="EXP21" s="4"/>
      <c r="EXQ21" s="4"/>
      <c r="EXR21" s="4"/>
      <c r="EXS21" s="4"/>
      <c r="EXT21" s="4"/>
      <c r="EXU21" s="4"/>
      <c r="EXV21" s="4"/>
      <c r="EXW21" s="4"/>
      <c r="EXX21" s="4"/>
      <c r="EXY21" s="4"/>
      <c r="EXZ21" s="4"/>
      <c r="EYA21" s="4"/>
      <c r="EYB21" s="4"/>
      <c r="EYC21" s="4"/>
      <c r="EYD21" s="4"/>
      <c r="EYE21" s="4"/>
      <c r="EYF21" s="4"/>
      <c r="EYG21" s="4"/>
      <c r="EYH21" s="4"/>
      <c r="EYI21" s="4"/>
      <c r="EYJ21" s="4"/>
      <c r="EYK21" s="4"/>
      <c r="EYL21" s="4"/>
      <c r="EYM21" s="4"/>
      <c r="EYN21" s="4"/>
      <c r="EYO21" s="4"/>
      <c r="EYP21" s="4"/>
      <c r="EYQ21" s="4"/>
      <c r="EYR21" s="4"/>
      <c r="EYS21" s="4"/>
      <c r="EYT21" s="4"/>
      <c r="EYU21" s="4"/>
      <c r="EYV21" s="4"/>
      <c r="EYW21" s="4"/>
      <c r="EYX21" s="4"/>
      <c r="EYY21" s="4"/>
      <c r="EYZ21" s="4"/>
      <c r="EZA21" s="4"/>
      <c r="EZB21" s="4"/>
      <c r="EZC21" s="4"/>
      <c r="EZD21" s="4"/>
      <c r="EZE21" s="4"/>
      <c r="EZF21" s="4"/>
      <c r="EZG21" s="4"/>
      <c r="EZH21" s="4"/>
      <c r="EZI21" s="4"/>
      <c r="EZJ21" s="4"/>
      <c r="EZK21" s="4"/>
      <c r="EZL21" s="4"/>
      <c r="EZM21" s="4"/>
      <c r="EZN21" s="4"/>
      <c r="EZO21" s="4"/>
      <c r="EZP21" s="4"/>
      <c r="EZQ21" s="4"/>
      <c r="EZR21" s="4"/>
      <c r="EZS21" s="4"/>
      <c r="EZT21" s="4"/>
      <c r="EZU21" s="4"/>
      <c r="EZV21" s="4"/>
      <c r="EZW21" s="4"/>
      <c r="EZX21" s="4"/>
      <c r="EZY21" s="4"/>
      <c r="EZZ21" s="4"/>
      <c r="FAA21" s="4"/>
      <c r="FAB21" s="4"/>
      <c r="FAC21" s="4"/>
      <c r="FAD21" s="4"/>
      <c r="FAE21" s="4"/>
      <c r="FAF21" s="4"/>
      <c r="FAG21" s="4"/>
      <c r="FAH21" s="4"/>
      <c r="FAI21" s="4"/>
      <c r="FAJ21" s="4"/>
      <c r="FAK21" s="4"/>
      <c r="FAL21" s="4"/>
      <c r="FAM21" s="4"/>
      <c r="FAN21" s="4"/>
      <c r="FAO21" s="4"/>
      <c r="FAP21" s="4"/>
      <c r="FAQ21" s="4"/>
      <c r="FAR21" s="4"/>
      <c r="FAS21" s="4"/>
      <c r="FAT21" s="4"/>
      <c r="FAU21" s="4"/>
      <c r="FAV21" s="4"/>
      <c r="FAW21" s="4"/>
      <c r="FAX21" s="4"/>
      <c r="FAY21" s="4"/>
      <c r="FAZ21" s="4"/>
      <c r="FBA21" s="4"/>
      <c r="FBB21" s="4"/>
      <c r="FBC21" s="4"/>
      <c r="FBD21" s="4"/>
      <c r="FBE21" s="4"/>
      <c r="FBF21" s="4"/>
      <c r="FBG21" s="4"/>
      <c r="FBH21" s="4"/>
      <c r="FBI21" s="4"/>
      <c r="FBJ21" s="4"/>
      <c r="FBK21" s="4"/>
      <c r="FBL21" s="4"/>
      <c r="FBM21" s="4"/>
      <c r="FBN21" s="4"/>
      <c r="FBO21" s="4"/>
      <c r="FBP21" s="4"/>
      <c r="FBQ21" s="4"/>
      <c r="FBR21" s="4"/>
      <c r="FBS21" s="4"/>
      <c r="FBT21" s="4"/>
      <c r="FBU21" s="4"/>
      <c r="FBV21" s="4"/>
      <c r="FBW21" s="4"/>
      <c r="FBX21" s="4"/>
      <c r="FBY21" s="4"/>
      <c r="FBZ21" s="4"/>
      <c r="FCA21" s="4"/>
      <c r="FCB21" s="4"/>
      <c r="FCC21" s="4"/>
      <c r="FCD21" s="4"/>
      <c r="FCE21" s="4"/>
      <c r="FCF21" s="4"/>
      <c r="FCG21" s="4"/>
      <c r="FCH21" s="4"/>
      <c r="FCI21" s="4"/>
      <c r="FCJ21" s="4"/>
      <c r="FCK21" s="4"/>
      <c r="FCL21" s="4"/>
      <c r="FCM21" s="4"/>
      <c r="FCN21" s="4"/>
      <c r="FCO21" s="4"/>
      <c r="FCP21" s="4"/>
      <c r="FCQ21" s="4"/>
      <c r="FCR21" s="4"/>
      <c r="FCS21" s="4"/>
      <c r="FCT21" s="4"/>
      <c r="FCU21" s="4"/>
      <c r="FCV21" s="4"/>
      <c r="FCW21" s="4"/>
      <c r="FCX21" s="4"/>
      <c r="FCY21" s="4"/>
      <c r="FCZ21" s="4"/>
      <c r="FDA21" s="4"/>
      <c r="FDB21" s="4"/>
      <c r="FDC21" s="4"/>
      <c r="FDD21" s="4"/>
      <c r="FDE21" s="4"/>
      <c r="FDF21" s="4"/>
      <c r="FDG21" s="4"/>
      <c r="FDH21" s="4"/>
      <c r="FDI21" s="4"/>
      <c r="FDJ21" s="4"/>
      <c r="FDK21" s="4"/>
      <c r="FDL21" s="4"/>
      <c r="FDM21" s="4"/>
      <c r="FDN21" s="4"/>
      <c r="FDO21" s="4"/>
      <c r="FDP21" s="4"/>
      <c r="FDQ21" s="4"/>
      <c r="FDR21" s="4"/>
      <c r="FDS21" s="4"/>
      <c r="FDT21" s="4"/>
      <c r="FDU21" s="4"/>
      <c r="FDV21" s="4"/>
      <c r="FDW21" s="4"/>
      <c r="FDX21" s="4"/>
      <c r="FDY21" s="4"/>
      <c r="FDZ21" s="4"/>
      <c r="FEA21" s="4"/>
      <c r="FEB21" s="4"/>
      <c r="FEC21" s="4"/>
      <c r="FED21" s="4"/>
      <c r="FEE21" s="4"/>
      <c r="FEF21" s="4"/>
      <c r="FEG21" s="4"/>
      <c r="FEH21" s="4"/>
      <c r="FEI21" s="4"/>
      <c r="FEJ21" s="4"/>
      <c r="FEK21" s="4"/>
      <c r="FEL21" s="4"/>
      <c r="FEM21" s="4"/>
      <c r="FEN21" s="4"/>
      <c r="FEO21" s="4"/>
      <c r="FEP21" s="4"/>
      <c r="FEQ21" s="4"/>
      <c r="FER21" s="4"/>
      <c r="FES21" s="4"/>
      <c r="FET21" s="4"/>
      <c r="FEU21" s="4"/>
      <c r="FEV21" s="4"/>
      <c r="FEW21" s="4"/>
      <c r="FEX21" s="4"/>
      <c r="FEY21" s="4"/>
      <c r="FEZ21" s="4"/>
      <c r="FFA21" s="4"/>
      <c r="FFB21" s="4"/>
      <c r="FFC21" s="4"/>
      <c r="FFD21" s="4"/>
      <c r="FFE21" s="4"/>
      <c r="FFF21" s="4"/>
      <c r="FFG21" s="4"/>
      <c r="FFH21" s="4"/>
      <c r="FFI21" s="4"/>
      <c r="FFJ21" s="4"/>
      <c r="FFK21" s="4"/>
      <c r="FFL21" s="4"/>
      <c r="FFM21" s="4"/>
      <c r="FFN21" s="4"/>
      <c r="FFO21" s="4"/>
      <c r="FFP21" s="4"/>
      <c r="FFQ21" s="4"/>
      <c r="FFR21" s="4"/>
      <c r="FFS21" s="4"/>
      <c r="FFT21" s="4"/>
      <c r="FFU21" s="4"/>
      <c r="FFV21" s="4"/>
      <c r="FFW21" s="4"/>
      <c r="FFX21" s="4"/>
      <c r="FFY21" s="4"/>
      <c r="FFZ21" s="4"/>
      <c r="FGA21" s="4"/>
      <c r="FGB21" s="4"/>
      <c r="FGC21" s="4"/>
      <c r="FGD21" s="4"/>
      <c r="FGE21" s="4"/>
      <c r="FGF21" s="4"/>
      <c r="FGG21" s="4"/>
      <c r="FGH21" s="4"/>
      <c r="FGI21" s="4"/>
      <c r="FGJ21" s="4"/>
      <c r="FGK21" s="4"/>
      <c r="FGL21" s="4"/>
      <c r="FGM21" s="4"/>
      <c r="FGN21" s="4"/>
      <c r="FGO21" s="4"/>
      <c r="FGP21" s="4"/>
      <c r="FGQ21" s="4"/>
      <c r="FGR21" s="4"/>
      <c r="FGS21" s="4"/>
      <c r="FGT21" s="4"/>
      <c r="FGU21" s="4"/>
      <c r="FGV21" s="4"/>
      <c r="FGW21" s="4"/>
      <c r="FGX21" s="4"/>
      <c r="FGY21" s="4"/>
      <c r="FGZ21" s="4"/>
      <c r="FHA21" s="4"/>
      <c r="FHB21" s="4"/>
      <c r="FHC21" s="4"/>
      <c r="FHD21" s="4"/>
      <c r="FHE21" s="4"/>
      <c r="FHF21" s="4"/>
      <c r="FHG21" s="4"/>
      <c r="FHH21" s="4"/>
      <c r="FHI21" s="4"/>
      <c r="FHJ21" s="4"/>
      <c r="FHK21" s="4"/>
      <c r="FHL21" s="4"/>
      <c r="FHM21" s="4"/>
      <c r="FHN21" s="4"/>
      <c r="FHO21" s="4"/>
      <c r="FHP21" s="4"/>
      <c r="FHQ21" s="4"/>
      <c r="FHR21" s="4"/>
      <c r="FHS21" s="4"/>
      <c r="FHT21" s="4"/>
      <c r="FHU21" s="4"/>
      <c r="FHV21" s="4"/>
      <c r="FHW21" s="4"/>
      <c r="FHX21" s="4"/>
      <c r="FHY21" s="4"/>
      <c r="FHZ21" s="4"/>
      <c r="FIA21" s="4"/>
      <c r="FIB21" s="4"/>
      <c r="FIC21" s="4"/>
      <c r="FID21" s="4"/>
      <c r="FIE21" s="4"/>
      <c r="FIF21" s="4"/>
      <c r="FIG21" s="4"/>
      <c r="FIH21" s="4"/>
      <c r="FII21" s="4"/>
      <c r="FIJ21" s="4"/>
      <c r="FIK21" s="4"/>
      <c r="FIL21" s="4"/>
      <c r="FIM21" s="4"/>
      <c r="FIN21" s="4"/>
      <c r="FIO21" s="4"/>
      <c r="FIP21" s="4"/>
      <c r="FIQ21" s="4"/>
      <c r="FIR21" s="4"/>
      <c r="FIS21" s="4"/>
      <c r="FIT21" s="4"/>
      <c r="FIU21" s="4"/>
      <c r="FIV21" s="4"/>
      <c r="FIW21" s="4"/>
      <c r="FIX21" s="4"/>
      <c r="FIY21" s="4"/>
      <c r="FIZ21" s="4"/>
      <c r="FJA21" s="4"/>
      <c r="FJB21" s="4"/>
      <c r="FJC21" s="4"/>
      <c r="FJD21" s="4"/>
      <c r="FJE21" s="4"/>
      <c r="FJF21" s="4"/>
      <c r="FJG21" s="4"/>
      <c r="FJH21" s="4"/>
      <c r="FJI21" s="4"/>
      <c r="FJJ21" s="4"/>
      <c r="FJK21" s="4"/>
      <c r="FJL21" s="4"/>
      <c r="FJM21" s="4"/>
      <c r="FJN21" s="4"/>
      <c r="FJO21" s="4"/>
      <c r="FJP21" s="4"/>
      <c r="FJQ21" s="4"/>
      <c r="FJR21" s="4"/>
      <c r="FJS21" s="4"/>
      <c r="FJT21" s="4"/>
      <c r="FJU21" s="4"/>
      <c r="FJV21" s="4"/>
      <c r="FJW21" s="4"/>
      <c r="FJX21" s="4"/>
      <c r="FJY21" s="4"/>
      <c r="FJZ21" s="4"/>
      <c r="FKA21" s="4"/>
      <c r="FKB21" s="4"/>
      <c r="FKC21" s="4"/>
      <c r="FKD21" s="4"/>
      <c r="FKE21" s="4"/>
      <c r="FKF21" s="4"/>
      <c r="FKG21" s="4"/>
      <c r="FKH21" s="4"/>
      <c r="FKI21" s="4"/>
      <c r="FKJ21" s="4"/>
      <c r="FKK21" s="4"/>
      <c r="FKL21" s="4"/>
      <c r="FKM21" s="4"/>
      <c r="FKN21" s="4"/>
      <c r="FKO21" s="4"/>
      <c r="FKP21" s="4"/>
      <c r="FKQ21" s="4"/>
      <c r="FKR21" s="4"/>
      <c r="FKS21" s="4"/>
      <c r="FKT21" s="4"/>
      <c r="FKU21" s="4"/>
      <c r="FKV21" s="4"/>
      <c r="FKW21" s="4"/>
      <c r="FKX21" s="4"/>
      <c r="FKY21" s="4"/>
      <c r="FKZ21" s="4"/>
      <c r="FLA21" s="4"/>
      <c r="FLB21" s="4"/>
      <c r="FLC21" s="4"/>
      <c r="FLD21" s="4"/>
      <c r="FLE21" s="4"/>
      <c r="FLF21" s="4"/>
      <c r="FLG21" s="4"/>
      <c r="FLH21" s="4"/>
      <c r="FLI21" s="4"/>
      <c r="FLJ21" s="4"/>
      <c r="FLK21" s="4"/>
      <c r="FLL21" s="4"/>
      <c r="FLM21" s="4"/>
      <c r="FLN21" s="4"/>
      <c r="FLO21" s="4"/>
      <c r="FLP21" s="4"/>
      <c r="FLQ21" s="4"/>
      <c r="FLR21" s="4"/>
      <c r="FLS21" s="4"/>
      <c r="FLT21" s="4"/>
      <c r="FLU21" s="4"/>
      <c r="FLV21" s="4"/>
      <c r="FLW21" s="4"/>
      <c r="FLX21" s="4"/>
      <c r="FLY21" s="4"/>
      <c r="FLZ21" s="4"/>
      <c r="FMA21" s="4"/>
      <c r="FMB21" s="4"/>
      <c r="FMC21" s="4"/>
      <c r="FMD21" s="4"/>
      <c r="FME21" s="4"/>
      <c r="FMF21" s="4"/>
      <c r="FMG21" s="4"/>
      <c r="FMH21" s="4"/>
      <c r="FMI21" s="4"/>
      <c r="FMJ21" s="4"/>
      <c r="FMK21" s="4"/>
      <c r="FML21" s="4"/>
      <c r="FMM21" s="4"/>
      <c r="FMN21" s="4"/>
      <c r="FMO21" s="4"/>
      <c r="FMP21" s="4"/>
      <c r="FMQ21" s="4"/>
      <c r="FMR21" s="4"/>
      <c r="FMS21" s="4"/>
      <c r="FMT21" s="4"/>
      <c r="FMU21" s="4"/>
      <c r="FMV21" s="4"/>
      <c r="FMW21" s="4"/>
      <c r="FMX21" s="4"/>
      <c r="FMY21" s="4"/>
      <c r="FMZ21" s="4"/>
      <c r="FNA21" s="4"/>
      <c r="FNB21" s="4"/>
      <c r="FNC21" s="4"/>
      <c r="FND21" s="4"/>
      <c r="FNE21" s="4"/>
      <c r="FNF21" s="4"/>
      <c r="FNG21" s="4"/>
      <c r="FNH21" s="4"/>
      <c r="FNI21" s="4"/>
      <c r="FNJ21" s="4"/>
      <c r="FNK21" s="4"/>
      <c r="FNL21" s="4"/>
      <c r="FNM21" s="4"/>
      <c r="FNN21" s="4"/>
      <c r="FNO21" s="4"/>
      <c r="FNP21" s="4"/>
      <c r="FNQ21" s="4"/>
      <c r="FNR21" s="4"/>
      <c r="FNS21" s="4"/>
      <c r="FNT21" s="4"/>
      <c r="FNU21" s="4"/>
      <c r="FNV21" s="4"/>
      <c r="FNW21" s="4"/>
      <c r="FNX21" s="4"/>
      <c r="FNY21" s="4"/>
      <c r="FNZ21" s="4"/>
      <c r="FOA21" s="4"/>
      <c r="FOB21" s="4"/>
      <c r="FOC21" s="4"/>
      <c r="FOD21" s="4"/>
      <c r="FOE21" s="4"/>
      <c r="FOF21" s="4"/>
      <c r="FOG21" s="4"/>
      <c r="FOH21" s="4"/>
      <c r="FOI21" s="4"/>
      <c r="FOJ21" s="4"/>
      <c r="FOK21" s="4"/>
      <c r="FOL21" s="4"/>
      <c r="FOM21" s="4"/>
      <c r="FON21" s="4"/>
      <c r="FOO21" s="4"/>
      <c r="FOP21" s="4"/>
      <c r="FOQ21" s="4"/>
      <c r="FOR21" s="4"/>
      <c r="FOS21" s="4"/>
      <c r="FOT21" s="4"/>
      <c r="FOU21" s="4"/>
      <c r="FOV21" s="4"/>
      <c r="FOW21" s="4"/>
      <c r="FOX21" s="4"/>
      <c r="FOY21" s="4"/>
      <c r="FOZ21" s="4"/>
      <c r="FPA21" s="4"/>
      <c r="FPB21" s="4"/>
      <c r="FPC21" s="4"/>
      <c r="FPD21" s="4"/>
      <c r="FPE21" s="4"/>
      <c r="FPF21" s="4"/>
      <c r="FPG21" s="4"/>
      <c r="FPH21" s="4"/>
      <c r="FPI21" s="4"/>
      <c r="FPJ21" s="4"/>
      <c r="FPK21" s="4"/>
      <c r="FPL21" s="4"/>
      <c r="FPM21" s="4"/>
      <c r="FPN21" s="4"/>
      <c r="FPO21" s="4"/>
      <c r="FPP21" s="4"/>
      <c r="FPQ21" s="4"/>
      <c r="FPR21" s="4"/>
      <c r="FPS21" s="4"/>
      <c r="FPT21" s="4"/>
      <c r="FPU21" s="4"/>
      <c r="FPV21" s="4"/>
      <c r="FPW21" s="4"/>
      <c r="FPX21" s="4"/>
      <c r="FPY21" s="4"/>
      <c r="FPZ21" s="4"/>
      <c r="FQA21" s="4"/>
      <c r="FQB21" s="4"/>
      <c r="FQC21" s="4"/>
      <c r="FQD21" s="4"/>
      <c r="FQE21" s="4"/>
      <c r="FQF21" s="4"/>
      <c r="FQG21" s="4"/>
      <c r="FQH21" s="4"/>
      <c r="FQI21" s="4"/>
      <c r="FQJ21" s="4"/>
      <c r="FQK21" s="4"/>
      <c r="FQL21" s="4"/>
      <c r="FQM21" s="4"/>
      <c r="FQN21" s="4"/>
      <c r="FQO21" s="4"/>
      <c r="FQP21" s="4"/>
      <c r="FQQ21" s="4"/>
      <c r="FQR21" s="4"/>
      <c r="FQS21" s="4"/>
      <c r="FQT21" s="4"/>
      <c r="FQU21" s="4"/>
      <c r="FQV21" s="4"/>
      <c r="FQW21" s="4"/>
      <c r="FQX21" s="4"/>
      <c r="FQY21" s="4"/>
      <c r="FQZ21" s="4"/>
      <c r="FRA21" s="4"/>
      <c r="FRB21" s="4"/>
      <c r="FRC21" s="4"/>
      <c r="FRD21" s="4"/>
      <c r="FRE21" s="4"/>
      <c r="FRF21" s="4"/>
      <c r="FRG21" s="4"/>
      <c r="FRH21" s="4"/>
      <c r="FRI21" s="4"/>
      <c r="FRJ21" s="4"/>
      <c r="FRK21" s="4"/>
      <c r="FRL21" s="4"/>
      <c r="FRM21" s="4"/>
      <c r="FRN21" s="4"/>
      <c r="FRO21" s="4"/>
      <c r="FRP21" s="4"/>
      <c r="FRQ21" s="4"/>
      <c r="FRR21" s="4"/>
      <c r="FRS21" s="4"/>
      <c r="FRT21" s="4"/>
      <c r="FRU21" s="4"/>
      <c r="FRV21" s="4"/>
      <c r="FRW21" s="4"/>
      <c r="FRX21" s="4"/>
      <c r="FRY21" s="4"/>
      <c r="FRZ21" s="4"/>
      <c r="FSA21" s="4"/>
      <c r="FSB21" s="4"/>
      <c r="FSC21" s="4"/>
      <c r="FSD21" s="4"/>
      <c r="FSE21" s="4"/>
      <c r="FSF21" s="4"/>
      <c r="FSG21" s="4"/>
      <c r="FSH21" s="4"/>
      <c r="FSI21" s="4"/>
      <c r="FSJ21" s="4"/>
      <c r="FSK21" s="4"/>
      <c r="FSL21" s="4"/>
      <c r="FSM21" s="4"/>
      <c r="FSN21" s="4"/>
      <c r="FSO21" s="4"/>
      <c r="FSP21" s="4"/>
      <c r="FSQ21" s="4"/>
      <c r="FSR21" s="4"/>
      <c r="FSS21" s="4"/>
      <c r="FST21" s="4"/>
      <c r="FSU21" s="4"/>
      <c r="FSV21" s="4"/>
      <c r="FSW21" s="4"/>
      <c r="FSX21" s="4"/>
      <c r="FSY21" s="4"/>
      <c r="FSZ21" s="4"/>
      <c r="FTA21" s="4"/>
      <c r="FTB21" s="4"/>
      <c r="FTC21" s="4"/>
      <c r="FTD21" s="4"/>
      <c r="FTE21" s="4"/>
      <c r="FTF21" s="4"/>
      <c r="FTG21" s="4"/>
      <c r="FTH21" s="4"/>
      <c r="FTI21" s="4"/>
      <c r="FTJ21" s="4"/>
      <c r="FTK21" s="4"/>
      <c r="FTL21" s="4"/>
      <c r="FTM21" s="4"/>
      <c r="FTN21" s="4"/>
      <c r="FTO21" s="4"/>
      <c r="FTP21" s="4"/>
      <c r="FTQ21" s="4"/>
      <c r="FTR21" s="4"/>
      <c r="FTS21" s="4"/>
      <c r="FTT21" s="4"/>
      <c r="FTU21" s="4"/>
      <c r="FTV21" s="4"/>
      <c r="FTW21" s="4"/>
      <c r="FTX21" s="4"/>
      <c r="FTY21" s="4"/>
      <c r="FTZ21" s="4"/>
      <c r="FUA21" s="4"/>
      <c r="FUB21" s="4"/>
      <c r="FUC21" s="4"/>
      <c r="FUD21" s="4"/>
      <c r="FUE21" s="4"/>
      <c r="FUF21" s="4"/>
      <c r="FUG21" s="4"/>
      <c r="FUH21" s="4"/>
      <c r="FUI21" s="4"/>
      <c r="FUJ21" s="4"/>
      <c r="FUK21" s="4"/>
      <c r="FUL21" s="4"/>
      <c r="FUM21" s="4"/>
      <c r="FUN21" s="4"/>
      <c r="FUO21" s="4"/>
      <c r="FUP21" s="4"/>
      <c r="FUQ21" s="4"/>
      <c r="FUR21" s="4"/>
      <c r="FUS21" s="4"/>
      <c r="FUT21" s="4"/>
      <c r="FUU21" s="4"/>
      <c r="FUV21" s="4"/>
      <c r="FUW21" s="4"/>
      <c r="FUX21" s="4"/>
      <c r="FUY21" s="4"/>
      <c r="FUZ21" s="4"/>
      <c r="FVA21" s="4"/>
      <c r="FVB21" s="4"/>
      <c r="FVC21" s="4"/>
      <c r="FVD21" s="4"/>
      <c r="FVE21" s="4"/>
      <c r="FVF21" s="4"/>
      <c r="FVG21" s="4"/>
      <c r="FVH21" s="4"/>
      <c r="FVI21" s="4"/>
      <c r="FVJ21" s="4"/>
      <c r="FVK21" s="4"/>
      <c r="FVL21" s="4"/>
      <c r="FVM21" s="4"/>
      <c r="FVN21" s="4"/>
      <c r="FVO21" s="4"/>
      <c r="FVP21" s="4"/>
      <c r="FVQ21" s="4"/>
      <c r="FVR21" s="4"/>
      <c r="FVS21" s="4"/>
      <c r="FVT21" s="4"/>
      <c r="FVU21" s="4"/>
      <c r="FVV21" s="4"/>
      <c r="FVW21" s="4"/>
      <c r="FVX21" s="4"/>
      <c r="FVY21" s="4"/>
      <c r="FVZ21" s="4"/>
      <c r="FWA21" s="4"/>
      <c r="FWB21" s="4"/>
      <c r="FWC21" s="4"/>
      <c r="FWD21" s="4"/>
      <c r="FWE21" s="4"/>
      <c r="FWF21" s="4"/>
      <c r="FWG21" s="4"/>
      <c r="FWH21" s="4"/>
      <c r="FWI21" s="4"/>
      <c r="FWJ21" s="4"/>
      <c r="FWK21" s="4"/>
      <c r="FWL21" s="4"/>
      <c r="FWM21" s="4"/>
      <c r="FWN21" s="4"/>
      <c r="FWO21" s="4"/>
      <c r="FWP21" s="4"/>
      <c r="FWQ21" s="4"/>
      <c r="FWR21" s="4"/>
      <c r="FWS21" s="4"/>
      <c r="FWT21" s="4"/>
      <c r="FWU21" s="4"/>
      <c r="FWV21" s="4"/>
      <c r="FWW21" s="4"/>
      <c r="FWX21" s="4"/>
      <c r="FWY21" s="4"/>
      <c r="FWZ21" s="4"/>
      <c r="FXA21" s="4"/>
      <c r="FXB21" s="4"/>
      <c r="FXC21" s="4"/>
      <c r="FXD21" s="4"/>
      <c r="FXE21" s="4"/>
      <c r="FXF21" s="4"/>
      <c r="FXG21" s="4"/>
      <c r="FXH21" s="4"/>
      <c r="FXI21" s="4"/>
      <c r="FXJ21" s="4"/>
      <c r="FXK21" s="4"/>
      <c r="FXL21" s="4"/>
      <c r="FXM21" s="4"/>
      <c r="FXN21" s="4"/>
      <c r="FXO21" s="4"/>
      <c r="FXP21" s="4"/>
      <c r="FXQ21" s="4"/>
      <c r="FXR21" s="4"/>
      <c r="FXS21" s="4"/>
      <c r="FXT21" s="4"/>
      <c r="FXU21" s="4"/>
      <c r="FXV21" s="4"/>
      <c r="FXW21" s="4"/>
      <c r="FXX21" s="4"/>
      <c r="FXY21" s="4"/>
      <c r="FXZ21" s="4"/>
      <c r="FYA21" s="4"/>
      <c r="FYB21" s="4"/>
      <c r="FYC21" s="4"/>
      <c r="FYD21" s="4"/>
      <c r="FYE21" s="4"/>
      <c r="FYF21" s="4"/>
      <c r="FYG21" s="4"/>
      <c r="FYH21" s="4"/>
      <c r="FYI21" s="4"/>
      <c r="FYJ21" s="4"/>
      <c r="FYK21" s="4"/>
      <c r="FYL21" s="4"/>
      <c r="FYM21" s="4"/>
      <c r="FYN21" s="4"/>
      <c r="FYO21" s="4"/>
      <c r="FYP21" s="4"/>
      <c r="FYQ21" s="4"/>
      <c r="FYR21" s="4"/>
      <c r="FYS21" s="4"/>
      <c r="FYT21" s="4"/>
      <c r="FYU21" s="4"/>
      <c r="FYV21" s="4"/>
      <c r="FYW21" s="4"/>
      <c r="FYX21" s="4"/>
      <c r="FYY21" s="4"/>
      <c r="FYZ21" s="4"/>
      <c r="FZA21" s="4"/>
      <c r="FZB21" s="4"/>
      <c r="FZC21" s="4"/>
      <c r="FZD21" s="4"/>
      <c r="FZE21" s="4"/>
      <c r="FZF21" s="4"/>
      <c r="FZG21" s="4"/>
      <c r="FZH21" s="4"/>
      <c r="FZI21" s="4"/>
      <c r="FZJ21" s="4"/>
      <c r="FZK21" s="4"/>
      <c r="FZL21" s="4"/>
      <c r="FZM21" s="4"/>
      <c r="FZN21" s="4"/>
      <c r="FZO21" s="4"/>
      <c r="FZP21" s="4"/>
      <c r="FZQ21" s="4"/>
      <c r="FZR21" s="4"/>
      <c r="FZS21" s="4"/>
      <c r="FZT21" s="4"/>
      <c r="FZU21" s="4"/>
      <c r="FZV21" s="4"/>
      <c r="FZW21" s="4"/>
      <c r="FZX21" s="4"/>
      <c r="FZY21" s="4"/>
      <c r="FZZ21" s="4"/>
      <c r="GAA21" s="4"/>
      <c r="GAB21" s="4"/>
      <c r="GAC21" s="4"/>
      <c r="GAD21" s="4"/>
      <c r="GAE21" s="4"/>
      <c r="GAF21" s="4"/>
      <c r="GAG21" s="4"/>
      <c r="GAH21" s="4"/>
      <c r="GAI21" s="4"/>
      <c r="GAJ21" s="4"/>
      <c r="GAK21" s="4"/>
      <c r="GAL21" s="4"/>
      <c r="GAM21" s="4"/>
      <c r="GAN21" s="4"/>
      <c r="GAO21" s="4"/>
      <c r="GAP21" s="4"/>
      <c r="GAQ21" s="4"/>
      <c r="GAR21" s="4"/>
      <c r="GAS21" s="4"/>
      <c r="GAT21" s="4"/>
      <c r="GAU21" s="4"/>
      <c r="GAV21" s="4"/>
      <c r="GAW21" s="4"/>
      <c r="GAX21" s="4"/>
      <c r="GAY21" s="4"/>
      <c r="GAZ21" s="4"/>
      <c r="GBA21" s="4"/>
      <c r="GBB21" s="4"/>
      <c r="GBC21" s="4"/>
      <c r="GBD21" s="4"/>
      <c r="GBE21" s="4"/>
      <c r="GBF21" s="4"/>
      <c r="GBG21" s="4"/>
      <c r="GBH21" s="4"/>
      <c r="GBI21" s="4"/>
      <c r="GBJ21" s="4"/>
      <c r="GBK21" s="4"/>
      <c r="GBL21" s="4"/>
      <c r="GBM21" s="4"/>
      <c r="GBN21" s="4"/>
      <c r="GBO21" s="4"/>
      <c r="GBP21" s="4"/>
      <c r="GBQ21" s="4"/>
      <c r="GBR21" s="4"/>
      <c r="GBS21" s="4"/>
      <c r="GBT21" s="4"/>
      <c r="GBU21" s="4"/>
      <c r="GBV21" s="4"/>
      <c r="GBW21" s="4"/>
      <c r="GBX21" s="4"/>
      <c r="GBY21" s="4"/>
      <c r="GBZ21" s="4"/>
      <c r="GCA21" s="4"/>
      <c r="GCB21" s="4"/>
      <c r="GCC21" s="4"/>
      <c r="GCD21" s="4"/>
      <c r="GCE21" s="4"/>
      <c r="GCF21" s="4"/>
      <c r="GCG21" s="4"/>
      <c r="GCH21" s="4"/>
      <c r="GCI21" s="4"/>
      <c r="GCJ21" s="4"/>
      <c r="GCK21" s="4"/>
      <c r="GCL21" s="4"/>
      <c r="GCM21" s="4"/>
      <c r="GCN21" s="4"/>
      <c r="GCO21" s="4"/>
      <c r="GCP21" s="4"/>
      <c r="GCQ21" s="4"/>
      <c r="GCR21" s="4"/>
      <c r="GCS21" s="4"/>
      <c r="GCT21" s="4"/>
      <c r="GCU21" s="4"/>
      <c r="GCV21" s="4"/>
      <c r="GCW21" s="4"/>
      <c r="GCX21" s="4"/>
      <c r="GCY21" s="4"/>
      <c r="GCZ21" s="4"/>
      <c r="GDA21" s="4"/>
      <c r="GDB21" s="4"/>
      <c r="GDC21" s="4"/>
      <c r="GDD21" s="4"/>
      <c r="GDE21" s="4"/>
      <c r="GDF21" s="4"/>
      <c r="GDG21" s="4"/>
      <c r="GDH21" s="4"/>
      <c r="GDI21" s="4"/>
      <c r="GDJ21" s="4"/>
      <c r="GDK21" s="4"/>
      <c r="GDL21" s="4"/>
      <c r="GDM21" s="4"/>
      <c r="GDN21" s="4"/>
      <c r="GDO21" s="4"/>
      <c r="GDP21" s="4"/>
      <c r="GDQ21" s="4"/>
      <c r="GDR21" s="4"/>
      <c r="GDS21" s="4"/>
      <c r="GDT21" s="4"/>
      <c r="GDU21" s="4"/>
      <c r="GDV21" s="4"/>
      <c r="GDW21" s="4"/>
      <c r="GDX21" s="4"/>
      <c r="GDY21" s="4"/>
      <c r="GDZ21" s="4"/>
      <c r="GEA21" s="4"/>
      <c r="GEB21" s="4"/>
      <c r="GEC21" s="4"/>
      <c r="GED21" s="4"/>
      <c r="GEE21" s="4"/>
      <c r="GEF21" s="4"/>
      <c r="GEG21" s="4"/>
      <c r="GEH21" s="4"/>
      <c r="GEI21" s="4"/>
      <c r="GEJ21" s="4"/>
      <c r="GEK21" s="4"/>
      <c r="GEL21" s="4"/>
      <c r="GEM21" s="4"/>
      <c r="GEN21" s="4"/>
      <c r="GEO21" s="4"/>
      <c r="GEP21" s="4"/>
      <c r="GEQ21" s="4"/>
      <c r="GER21" s="4"/>
      <c r="GES21" s="4"/>
      <c r="GET21" s="4"/>
      <c r="GEU21" s="4"/>
      <c r="GEV21" s="4"/>
      <c r="GEW21" s="4"/>
      <c r="GEX21" s="4"/>
      <c r="GEY21" s="4"/>
      <c r="GEZ21" s="4"/>
      <c r="GFA21" s="4"/>
      <c r="GFB21" s="4"/>
      <c r="GFC21" s="4"/>
      <c r="GFD21" s="4"/>
      <c r="GFE21" s="4"/>
      <c r="GFF21" s="4"/>
      <c r="GFG21" s="4"/>
      <c r="GFH21" s="4"/>
      <c r="GFI21" s="4"/>
      <c r="GFJ21" s="4"/>
      <c r="GFK21" s="4"/>
      <c r="GFL21" s="4"/>
      <c r="GFM21" s="4"/>
      <c r="GFN21" s="4"/>
      <c r="GFO21" s="4"/>
      <c r="GFP21" s="4"/>
      <c r="GFQ21" s="4"/>
      <c r="GFR21" s="4"/>
      <c r="GFS21" s="4"/>
      <c r="GFT21" s="4"/>
      <c r="GFU21" s="4"/>
      <c r="GFV21" s="4"/>
      <c r="GFW21" s="4"/>
      <c r="GFX21" s="4"/>
      <c r="GFY21" s="4"/>
      <c r="GFZ21" s="4"/>
      <c r="GGA21" s="4"/>
      <c r="GGB21" s="4"/>
      <c r="GGC21" s="4"/>
      <c r="GGD21" s="4"/>
      <c r="GGE21" s="4"/>
      <c r="GGF21" s="4"/>
      <c r="GGG21" s="4"/>
      <c r="GGH21" s="4"/>
      <c r="GGI21" s="4"/>
      <c r="GGJ21" s="4"/>
      <c r="GGK21" s="4"/>
      <c r="GGL21" s="4"/>
      <c r="GGM21" s="4"/>
      <c r="GGN21" s="4"/>
      <c r="GGO21" s="4"/>
      <c r="GGP21" s="4"/>
      <c r="GGQ21" s="4"/>
      <c r="GGR21" s="4"/>
      <c r="GGS21" s="4"/>
      <c r="GGT21" s="4"/>
      <c r="GGU21" s="4"/>
      <c r="GGV21" s="4"/>
      <c r="GGW21" s="4"/>
      <c r="GGX21" s="4"/>
      <c r="GGY21" s="4"/>
      <c r="GGZ21" s="4"/>
      <c r="GHA21" s="4"/>
      <c r="GHB21" s="4"/>
      <c r="GHC21" s="4"/>
      <c r="GHD21" s="4"/>
      <c r="GHE21" s="4"/>
      <c r="GHF21" s="4"/>
      <c r="GHG21" s="4"/>
      <c r="GHH21" s="4"/>
      <c r="GHI21" s="4"/>
      <c r="GHJ21" s="4"/>
      <c r="GHK21" s="4"/>
      <c r="GHL21" s="4"/>
      <c r="GHM21" s="4"/>
      <c r="GHN21" s="4"/>
      <c r="GHO21" s="4"/>
      <c r="GHP21" s="4"/>
      <c r="GHQ21" s="4"/>
      <c r="GHR21" s="4"/>
      <c r="GHS21" s="4"/>
      <c r="GHT21" s="4"/>
      <c r="GHU21" s="4"/>
      <c r="GHV21" s="4"/>
      <c r="GHW21" s="4"/>
      <c r="GHX21" s="4"/>
      <c r="GHY21" s="4"/>
      <c r="GHZ21" s="4"/>
      <c r="GIA21" s="4"/>
      <c r="GIB21" s="4"/>
      <c r="GIC21" s="4"/>
      <c r="GID21" s="4"/>
      <c r="GIE21" s="4"/>
      <c r="GIF21" s="4"/>
      <c r="GIG21" s="4"/>
      <c r="GIH21" s="4"/>
      <c r="GII21" s="4"/>
      <c r="GIJ21" s="4"/>
      <c r="GIK21" s="4"/>
      <c r="GIL21" s="4"/>
      <c r="GIM21" s="4"/>
      <c r="GIN21" s="4"/>
      <c r="GIO21" s="4"/>
      <c r="GIP21" s="4"/>
      <c r="GIQ21" s="4"/>
      <c r="GIR21" s="4"/>
      <c r="GIS21" s="4"/>
      <c r="GIT21" s="4"/>
      <c r="GIU21" s="4"/>
      <c r="GIV21" s="4"/>
      <c r="GIW21" s="4"/>
      <c r="GIX21" s="4"/>
      <c r="GIY21" s="4"/>
      <c r="GIZ21" s="4"/>
      <c r="GJA21" s="4"/>
      <c r="GJB21" s="4"/>
      <c r="GJC21" s="4"/>
      <c r="GJD21" s="4"/>
      <c r="GJE21" s="4"/>
      <c r="GJF21" s="4"/>
      <c r="GJG21" s="4"/>
      <c r="GJH21" s="4"/>
      <c r="GJI21" s="4"/>
      <c r="GJJ21" s="4"/>
      <c r="GJK21" s="4"/>
      <c r="GJL21" s="4"/>
      <c r="GJM21" s="4"/>
      <c r="GJN21" s="4"/>
      <c r="GJO21" s="4"/>
      <c r="GJP21" s="4"/>
      <c r="GJQ21" s="4"/>
      <c r="GJR21" s="4"/>
      <c r="GJS21" s="4"/>
      <c r="GJT21" s="4"/>
      <c r="GJU21" s="4"/>
      <c r="GJV21" s="4"/>
      <c r="GJW21" s="4"/>
      <c r="GJX21" s="4"/>
      <c r="GJY21" s="4"/>
      <c r="GJZ21" s="4"/>
      <c r="GKA21" s="4"/>
      <c r="GKB21" s="4"/>
      <c r="GKC21" s="4"/>
      <c r="GKD21" s="4"/>
      <c r="GKE21" s="4"/>
      <c r="GKF21" s="4"/>
      <c r="GKG21" s="4"/>
      <c r="GKH21" s="4"/>
      <c r="GKI21" s="4"/>
      <c r="GKJ21" s="4"/>
      <c r="GKK21" s="4"/>
      <c r="GKL21" s="4"/>
      <c r="GKM21" s="4"/>
      <c r="GKN21" s="4"/>
      <c r="GKO21" s="4"/>
      <c r="GKP21" s="4"/>
      <c r="GKQ21" s="4"/>
      <c r="GKR21" s="4"/>
      <c r="GKS21" s="4"/>
      <c r="GKT21" s="4"/>
      <c r="GKU21" s="4"/>
      <c r="GKV21" s="4"/>
      <c r="GKW21" s="4"/>
      <c r="GKX21" s="4"/>
      <c r="GKY21" s="4"/>
      <c r="GKZ21" s="4"/>
      <c r="GLA21" s="4"/>
      <c r="GLB21" s="4"/>
      <c r="GLC21" s="4"/>
      <c r="GLD21" s="4"/>
      <c r="GLE21" s="4"/>
      <c r="GLF21" s="4"/>
      <c r="GLG21" s="4"/>
      <c r="GLH21" s="4"/>
      <c r="GLI21" s="4"/>
      <c r="GLJ21" s="4"/>
      <c r="GLK21" s="4"/>
      <c r="GLL21" s="4"/>
      <c r="GLM21" s="4"/>
      <c r="GLN21" s="4"/>
      <c r="GLO21" s="4"/>
      <c r="GLP21" s="4"/>
      <c r="GLQ21" s="4"/>
      <c r="GLR21" s="4"/>
      <c r="GLS21" s="4"/>
      <c r="GLT21" s="4"/>
      <c r="GLU21" s="4"/>
      <c r="GLV21" s="4"/>
      <c r="GLW21" s="4"/>
      <c r="GLX21" s="4"/>
      <c r="GLY21" s="4"/>
      <c r="GLZ21" s="4"/>
      <c r="GMA21" s="4"/>
      <c r="GMB21" s="4"/>
      <c r="GMC21" s="4"/>
      <c r="GMD21" s="4"/>
      <c r="GME21" s="4"/>
      <c r="GMF21" s="4"/>
      <c r="GMG21" s="4"/>
      <c r="GMH21" s="4"/>
      <c r="GMI21" s="4"/>
      <c r="GMJ21" s="4"/>
      <c r="GMK21" s="4"/>
      <c r="GML21" s="4"/>
      <c r="GMM21" s="4"/>
      <c r="GMN21" s="4"/>
      <c r="GMO21" s="4"/>
      <c r="GMP21" s="4"/>
      <c r="GMQ21" s="4"/>
      <c r="GMR21" s="4"/>
      <c r="GMS21" s="4"/>
      <c r="GMT21" s="4"/>
      <c r="GMU21" s="4"/>
      <c r="GMV21" s="4"/>
      <c r="GMW21" s="4"/>
      <c r="GMX21" s="4"/>
      <c r="GMY21" s="4"/>
      <c r="GMZ21" s="4"/>
      <c r="GNA21" s="4"/>
      <c r="GNB21" s="4"/>
      <c r="GNC21" s="4"/>
      <c r="GND21" s="4"/>
      <c r="GNE21" s="4"/>
      <c r="GNF21" s="4"/>
      <c r="GNG21" s="4"/>
      <c r="GNH21" s="4"/>
      <c r="GNI21" s="4"/>
      <c r="GNJ21" s="4"/>
      <c r="GNK21" s="4"/>
      <c r="GNL21" s="4"/>
      <c r="GNM21" s="4"/>
      <c r="GNN21" s="4"/>
      <c r="GNO21" s="4"/>
      <c r="GNP21" s="4"/>
      <c r="GNQ21" s="4"/>
      <c r="GNR21" s="4"/>
      <c r="GNS21" s="4"/>
      <c r="GNT21" s="4"/>
      <c r="GNU21" s="4"/>
      <c r="GNV21" s="4"/>
      <c r="GNW21" s="4"/>
      <c r="GNX21" s="4"/>
      <c r="GNY21" s="4"/>
      <c r="GNZ21" s="4"/>
      <c r="GOA21" s="4"/>
      <c r="GOB21" s="4"/>
      <c r="GOC21" s="4"/>
      <c r="GOD21" s="4"/>
      <c r="GOE21" s="4"/>
      <c r="GOF21" s="4"/>
      <c r="GOG21" s="4"/>
      <c r="GOH21" s="4"/>
      <c r="GOI21" s="4"/>
      <c r="GOJ21" s="4"/>
      <c r="GOK21" s="4"/>
      <c r="GOL21" s="4"/>
      <c r="GOM21" s="4"/>
      <c r="GON21" s="4"/>
      <c r="GOO21" s="4"/>
      <c r="GOP21" s="4"/>
      <c r="GOQ21" s="4"/>
      <c r="GOR21" s="4"/>
      <c r="GOS21" s="4"/>
      <c r="GOT21" s="4"/>
      <c r="GOU21" s="4"/>
      <c r="GOV21" s="4"/>
      <c r="GOW21" s="4"/>
      <c r="GOX21" s="4"/>
      <c r="GOY21" s="4"/>
      <c r="GOZ21" s="4"/>
      <c r="GPA21" s="4"/>
      <c r="GPB21" s="4"/>
      <c r="GPC21" s="4"/>
      <c r="GPD21" s="4"/>
      <c r="GPE21" s="4"/>
      <c r="GPF21" s="4"/>
      <c r="GPG21" s="4"/>
      <c r="GPH21" s="4"/>
      <c r="GPI21" s="4"/>
      <c r="GPJ21" s="4"/>
      <c r="GPK21" s="4"/>
      <c r="GPL21" s="4"/>
      <c r="GPM21" s="4"/>
      <c r="GPN21" s="4"/>
      <c r="GPO21" s="4"/>
      <c r="GPP21" s="4"/>
      <c r="GPQ21" s="4"/>
      <c r="GPR21" s="4"/>
      <c r="GPS21" s="4"/>
      <c r="GPT21" s="4"/>
      <c r="GPU21" s="4"/>
      <c r="GPV21" s="4"/>
      <c r="GPW21" s="4"/>
      <c r="GPX21" s="4"/>
      <c r="GPY21" s="4"/>
      <c r="GPZ21" s="4"/>
      <c r="GQA21" s="4"/>
      <c r="GQB21" s="4"/>
      <c r="GQC21" s="4"/>
      <c r="GQD21" s="4"/>
      <c r="GQE21" s="4"/>
      <c r="GQF21" s="4"/>
      <c r="GQG21" s="4"/>
      <c r="GQH21" s="4"/>
      <c r="GQI21" s="4"/>
      <c r="GQJ21" s="4"/>
      <c r="GQK21" s="4"/>
      <c r="GQL21" s="4"/>
      <c r="GQM21" s="4"/>
      <c r="GQN21" s="4"/>
      <c r="GQO21" s="4"/>
      <c r="GQP21" s="4"/>
      <c r="GQQ21" s="4"/>
      <c r="GQR21" s="4"/>
      <c r="GQS21" s="4"/>
      <c r="GQT21" s="4"/>
      <c r="GQU21" s="4"/>
      <c r="GQV21" s="4"/>
      <c r="GQW21" s="4"/>
      <c r="GQX21" s="4"/>
      <c r="GQY21" s="4"/>
      <c r="GQZ21" s="4"/>
      <c r="GRA21" s="4"/>
      <c r="GRB21" s="4"/>
      <c r="GRC21" s="4"/>
      <c r="GRD21" s="4"/>
      <c r="GRE21" s="4"/>
      <c r="GRF21" s="4"/>
      <c r="GRG21" s="4"/>
      <c r="GRH21" s="4"/>
      <c r="GRI21" s="4"/>
      <c r="GRJ21" s="4"/>
      <c r="GRK21" s="4"/>
      <c r="GRL21" s="4"/>
      <c r="GRM21" s="4"/>
      <c r="GRN21" s="4"/>
      <c r="GRO21" s="4"/>
      <c r="GRP21" s="4"/>
      <c r="GRQ21" s="4"/>
      <c r="GRR21" s="4"/>
      <c r="GRS21" s="4"/>
      <c r="GRT21" s="4"/>
      <c r="GRU21" s="4"/>
      <c r="GRV21" s="4"/>
      <c r="GRW21" s="4"/>
      <c r="GRX21" s="4"/>
      <c r="GRY21" s="4"/>
      <c r="GRZ21" s="4"/>
      <c r="GSA21" s="4"/>
      <c r="GSB21" s="4"/>
      <c r="GSC21" s="4"/>
      <c r="GSD21" s="4"/>
      <c r="GSE21" s="4"/>
      <c r="GSF21" s="4"/>
      <c r="GSG21" s="4"/>
      <c r="GSH21" s="4"/>
      <c r="GSI21" s="4"/>
      <c r="GSJ21" s="4"/>
      <c r="GSK21" s="4"/>
      <c r="GSL21" s="4"/>
      <c r="GSM21" s="4"/>
      <c r="GSN21" s="4"/>
      <c r="GSO21" s="4"/>
      <c r="GSP21" s="4"/>
      <c r="GSQ21" s="4"/>
      <c r="GSR21" s="4"/>
      <c r="GSS21" s="4"/>
      <c r="GST21" s="4"/>
      <c r="GSU21" s="4"/>
      <c r="GSV21" s="4"/>
      <c r="GSW21" s="4"/>
      <c r="GSX21" s="4"/>
      <c r="GSY21" s="4"/>
      <c r="GSZ21" s="4"/>
      <c r="GTA21" s="4"/>
      <c r="GTB21" s="4"/>
      <c r="GTC21" s="4"/>
      <c r="GTD21" s="4"/>
      <c r="GTE21" s="4"/>
      <c r="GTF21" s="4"/>
      <c r="GTG21" s="4"/>
      <c r="GTH21" s="4"/>
      <c r="GTI21" s="4"/>
      <c r="GTJ21" s="4"/>
      <c r="GTK21" s="4"/>
      <c r="GTL21" s="4"/>
      <c r="GTM21" s="4"/>
      <c r="GTN21" s="4"/>
      <c r="GTO21" s="4"/>
      <c r="GTP21" s="4"/>
      <c r="GTQ21" s="4"/>
      <c r="GTR21" s="4"/>
      <c r="GTS21" s="4"/>
      <c r="GTT21" s="4"/>
      <c r="GTU21" s="4"/>
      <c r="GTV21" s="4"/>
      <c r="GTW21" s="4"/>
      <c r="GTX21" s="4"/>
      <c r="GTY21" s="4"/>
      <c r="GTZ21" s="4"/>
      <c r="GUA21" s="4"/>
      <c r="GUB21" s="4"/>
      <c r="GUC21" s="4"/>
      <c r="GUD21" s="4"/>
      <c r="GUE21" s="4"/>
      <c r="GUF21" s="4"/>
      <c r="GUG21" s="4"/>
      <c r="GUH21" s="4"/>
      <c r="GUI21" s="4"/>
      <c r="GUJ21" s="4"/>
      <c r="GUK21" s="4"/>
      <c r="GUL21" s="4"/>
      <c r="GUM21" s="4"/>
      <c r="GUN21" s="4"/>
      <c r="GUO21" s="4"/>
      <c r="GUP21" s="4"/>
      <c r="GUQ21" s="4"/>
      <c r="GUR21" s="4"/>
      <c r="GUS21" s="4"/>
      <c r="GUT21" s="4"/>
      <c r="GUU21" s="4"/>
      <c r="GUV21" s="4"/>
      <c r="GUW21" s="4"/>
      <c r="GUX21" s="4"/>
      <c r="GUY21" s="4"/>
      <c r="GUZ21" s="4"/>
      <c r="GVA21" s="4"/>
      <c r="GVB21" s="4"/>
      <c r="GVC21" s="4"/>
      <c r="GVD21" s="4"/>
      <c r="GVE21" s="4"/>
      <c r="GVF21" s="4"/>
      <c r="GVG21" s="4"/>
      <c r="GVH21" s="4"/>
      <c r="GVI21" s="4"/>
      <c r="GVJ21" s="4"/>
      <c r="GVK21" s="4"/>
      <c r="GVL21" s="4"/>
      <c r="GVM21" s="4"/>
      <c r="GVN21" s="4"/>
      <c r="GVO21" s="4"/>
      <c r="GVP21" s="4"/>
      <c r="GVQ21" s="4"/>
      <c r="GVR21" s="4"/>
      <c r="GVS21" s="4"/>
      <c r="GVT21" s="4"/>
      <c r="GVU21" s="4"/>
      <c r="GVV21" s="4"/>
      <c r="GVW21" s="4"/>
      <c r="GVX21" s="4"/>
      <c r="GVY21" s="4"/>
      <c r="GVZ21" s="4"/>
      <c r="GWA21" s="4"/>
      <c r="GWB21" s="4"/>
      <c r="GWC21" s="4"/>
      <c r="GWD21" s="4"/>
      <c r="GWE21" s="4"/>
      <c r="GWF21" s="4"/>
      <c r="GWG21" s="4"/>
      <c r="GWH21" s="4"/>
      <c r="GWI21" s="4"/>
      <c r="GWJ21" s="4"/>
      <c r="GWK21" s="4"/>
      <c r="GWL21" s="4"/>
      <c r="GWM21" s="4"/>
      <c r="GWN21" s="4"/>
      <c r="GWO21" s="4"/>
      <c r="GWP21" s="4"/>
      <c r="GWQ21" s="4"/>
      <c r="GWR21" s="4"/>
      <c r="GWS21" s="4"/>
      <c r="GWT21" s="4"/>
      <c r="GWU21" s="4"/>
      <c r="GWV21" s="4"/>
      <c r="GWW21" s="4"/>
      <c r="GWX21" s="4"/>
      <c r="GWY21" s="4"/>
      <c r="GWZ21" s="4"/>
      <c r="GXA21" s="4"/>
      <c r="GXB21" s="4"/>
      <c r="GXC21" s="4"/>
      <c r="GXD21" s="4"/>
      <c r="GXE21" s="4"/>
      <c r="GXF21" s="4"/>
      <c r="GXG21" s="4"/>
      <c r="GXH21" s="4"/>
      <c r="GXI21" s="4"/>
      <c r="GXJ21" s="4"/>
      <c r="GXK21" s="4"/>
      <c r="GXL21" s="4"/>
      <c r="GXM21" s="4"/>
      <c r="GXN21" s="4"/>
      <c r="GXO21" s="4"/>
      <c r="GXP21" s="4"/>
      <c r="GXQ21" s="4"/>
      <c r="GXR21" s="4"/>
      <c r="GXS21" s="4"/>
      <c r="GXT21" s="4"/>
      <c r="GXU21" s="4"/>
      <c r="GXV21" s="4"/>
      <c r="GXW21" s="4"/>
      <c r="GXX21" s="4"/>
      <c r="GXY21" s="4"/>
      <c r="GXZ21" s="4"/>
      <c r="GYA21" s="4"/>
      <c r="GYB21" s="4"/>
      <c r="GYC21" s="4"/>
      <c r="GYD21" s="4"/>
      <c r="GYE21" s="4"/>
      <c r="GYF21" s="4"/>
      <c r="GYG21" s="4"/>
      <c r="GYH21" s="4"/>
      <c r="GYI21" s="4"/>
      <c r="GYJ21" s="4"/>
      <c r="GYK21" s="4"/>
      <c r="GYL21" s="4"/>
      <c r="GYM21" s="4"/>
      <c r="GYN21" s="4"/>
      <c r="GYO21" s="4"/>
      <c r="GYP21" s="4"/>
      <c r="GYQ21" s="4"/>
      <c r="GYR21" s="4"/>
      <c r="GYS21" s="4"/>
      <c r="GYT21" s="4"/>
      <c r="GYU21" s="4"/>
      <c r="GYV21" s="4"/>
      <c r="GYW21" s="4"/>
      <c r="GYX21" s="4"/>
      <c r="GYY21" s="4"/>
      <c r="GYZ21" s="4"/>
      <c r="GZA21" s="4"/>
      <c r="GZB21" s="4"/>
      <c r="GZC21" s="4"/>
      <c r="GZD21" s="4"/>
      <c r="GZE21" s="4"/>
      <c r="GZF21" s="4"/>
      <c r="GZG21" s="4"/>
      <c r="GZH21" s="4"/>
      <c r="GZI21" s="4"/>
      <c r="GZJ21" s="4"/>
      <c r="GZK21" s="4"/>
      <c r="GZL21" s="4"/>
      <c r="GZM21" s="4"/>
      <c r="GZN21" s="4"/>
      <c r="GZO21" s="4"/>
      <c r="GZP21" s="4"/>
      <c r="GZQ21" s="4"/>
      <c r="GZR21" s="4"/>
      <c r="GZS21" s="4"/>
      <c r="GZT21" s="4"/>
      <c r="GZU21" s="4"/>
      <c r="GZV21" s="4"/>
      <c r="GZW21" s="4"/>
      <c r="GZX21" s="4"/>
      <c r="GZY21" s="4"/>
      <c r="GZZ21" s="4"/>
      <c r="HAA21" s="4"/>
      <c r="HAB21" s="4"/>
      <c r="HAC21" s="4"/>
      <c r="HAD21" s="4"/>
      <c r="HAE21" s="4"/>
      <c r="HAF21" s="4"/>
      <c r="HAG21" s="4"/>
      <c r="HAH21" s="4"/>
      <c r="HAI21" s="4"/>
      <c r="HAJ21" s="4"/>
      <c r="HAK21" s="4"/>
      <c r="HAL21" s="4"/>
      <c r="HAM21" s="4"/>
      <c r="HAN21" s="4"/>
      <c r="HAO21" s="4"/>
      <c r="HAP21" s="4"/>
      <c r="HAQ21" s="4"/>
      <c r="HAR21" s="4"/>
      <c r="HAS21" s="4"/>
      <c r="HAT21" s="4"/>
      <c r="HAU21" s="4"/>
      <c r="HAV21" s="4"/>
      <c r="HAW21" s="4"/>
      <c r="HAX21" s="4"/>
      <c r="HAY21" s="4"/>
      <c r="HAZ21" s="4"/>
      <c r="HBA21" s="4"/>
      <c r="HBB21" s="4"/>
      <c r="HBC21" s="4"/>
      <c r="HBD21" s="4"/>
      <c r="HBE21" s="4"/>
      <c r="HBF21" s="4"/>
      <c r="HBG21" s="4"/>
      <c r="HBH21" s="4"/>
      <c r="HBI21" s="4"/>
      <c r="HBJ21" s="4"/>
      <c r="HBK21" s="4"/>
      <c r="HBL21" s="4"/>
      <c r="HBM21" s="4"/>
      <c r="HBN21" s="4"/>
      <c r="HBO21" s="4"/>
      <c r="HBP21" s="4"/>
      <c r="HBQ21" s="4"/>
      <c r="HBR21" s="4"/>
      <c r="HBS21" s="4"/>
      <c r="HBT21" s="4"/>
      <c r="HBU21" s="4"/>
      <c r="HBV21" s="4"/>
      <c r="HBW21" s="4"/>
      <c r="HBX21" s="4"/>
      <c r="HBY21" s="4"/>
      <c r="HBZ21" s="4"/>
      <c r="HCA21" s="4"/>
      <c r="HCB21" s="4"/>
      <c r="HCC21" s="4"/>
      <c r="HCD21" s="4"/>
      <c r="HCE21" s="4"/>
      <c r="HCF21" s="4"/>
      <c r="HCG21" s="4"/>
      <c r="HCH21" s="4"/>
      <c r="HCI21" s="4"/>
      <c r="HCJ21" s="4"/>
      <c r="HCK21" s="4"/>
      <c r="HCL21" s="4"/>
      <c r="HCM21" s="4"/>
      <c r="HCN21" s="4"/>
      <c r="HCO21" s="4"/>
      <c r="HCP21" s="4"/>
      <c r="HCQ21" s="4"/>
      <c r="HCR21" s="4"/>
      <c r="HCS21" s="4"/>
      <c r="HCT21" s="4"/>
      <c r="HCU21" s="4"/>
      <c r="HCV21" s="4"/>
      <c r="HCW21" s="4"/>
      <c r="HCX21" s="4"/>
      <c r="HCY21" s="4"/>
      <c r="HCZ21" s="4"/>
      <c r="HDA21" s="4"/>
      <c r="HDB21" s="4"/>
      <c r="HDC21" s="4"/>
      <c r="HDD21" s="4"/>
      <c r="HDE21" s="4"/>
      <c r="HDF21" s="4"/>
      <c r="HDG21" s="4"/>
      <c r="HDH21" s="4"/>
      <c r="HDI21" s="4"/>
      <c r="HDJ21" s="4"/>
      <c r="HDK21" s="4"/>
      <c r="HDL21" s="4"/>
      <c r="HDM21" s="4"/>
      <c r="HDN21" s="4"/>
      <c r="HDO21" s="4"/>
      <c r="HDP21" s="4"/>
      <c r="HDQ21" s="4"/>
      <c r="HDR21" s="4"/>
      <c r="HDS21" s="4"/>
      <c r="HDT21" s="4"/>
      <c r="HDU21" s="4"/>
      <c r="HDV21" s="4"/>
      <c r="HDW21" s="4"/>
      <c r="HDX21" s="4"/>
      <c r="HDY21" s="4"/>
      <c r="HDZ21" s="4"/>
      <c r="HEA21" s="4"/>
      <c r="HEB21" s="4"/>
      <c r="HEC21" s="4"/>
      <c r="HED21" s="4"/>
      <c r="HEE21" s="4"/>
      <c r="HEF21" s="4"/>
      <c r="HEG21" s="4"/>
      <c r="HEH21" s="4"/>
      <c r="HEI21" s="4"/>
      <c r="HEJ21" s="4"/>
      <c r="HEK21" s="4"/>
      <c r="HEL21" s="4"/>
      <c r="HEM21" s="4"/>
      <c r="HEN21" s="4"/>
      <c r="HEO21" s="4"/>
      <c r="HEP21" s="4"/>
      <c r="HEQ21" s="4"/>
      <c r="HER21" s="4"/>
      <c r="HES21" s="4"/>
      <c r="HET21" s="4"/>
      <c r="HEU21" s="4"/>
      <c r="HEV21" s="4"/>
      <c r="HEW21" s="4"/>
      <c r="HEX21" s="4"/>
      <c r="HEY21" s="4"/>
      <c r="HEZ21" s="4"/>
      <c r="HFA21" s="4"/>
      <c r="HFB21" s="4"/>
      <c r="HFC21" s="4"/>
      <c r="HFD21" s="4"/>
      <c r="HFE21" s="4"/>
      <c r="HFF21" s="4"/>
      <c r="HFG21" s="4"/>
      <c r="HFH21" s="4"/>
      <c r="HFI21" s="4"/>
      <c r="HFJ21" s="4"/>
      <c r="HFK21" s="4"/>
      <c r="HFL21" s="4"/>
      <c r="HFM21" s="4"/>
      <c r="HFN21" s="4"/>
      <c r="HFO21" s="4"/>
      <c r="HFP21" s="4"/>
      <c r="HFQ21" s="4"/>
      <c r="HFR21" s="4"/>
      <c r="HFS21" s="4"/>
      <c r="HFT21" s="4"/>
      <c r="HFU21" s="4"/>
      <c r="HFV21" s="4"/>
      <c r="HFW21" s="4"/>
      <c r="HFX21" s="4"/>
      <c r="HFY21" s="4"/>
      <c r="HFZ21" s="4"/>
      <c r="HGA21" s="4"/>
      <c r="HGB21" s="4"/>
      <c r="HGC21" s="4"/>
      <c r="HGD21" s="4"/>
      <c r="HGE21" s="4"/>
      <c r="HGF21" s="4"/>
      <c r="HGG21" s="4"/>
      <c r="HGH21" s="4"/>
      <c r="HGI21" s="4"/>
      <c r="HGJ21" s="4"/>
      <c r="HGK21" s="4"/>
      <c r="HGL21" s="4"/>
      <c r="HGM21" s="4"/>
      <c r="HGN21" s="4"/>
      <c r="HGO21" s="4"/>
      <c r="HGP21" s="4"/>
      <c r="HGQ21" s="4"/>
      <c r="HGR21" s="4"/>
      <c r="HGS21" s="4"/>
      <c r="HGT21" s="4"/>
      <c r="HGU21" s="4"/>
      <c r="HGV21" s="4"/>
      <c r="HGW21" s="4"/>
      <c r="HGX21" s="4"/>
      <c r="HGY21" s="4"/>
      <c r="HGZ21" s="4"/>
      <c r="HHA21" s="4"/>
      <c r="HHB21" s="4"/>
      <c r="HHC21" s="4"/>
      <c r="HHD21" s="4"/>
      <c r="HHE21" s="4"/>
      <c r="HHF21" s="4"/>
      <c r="HHG21" s="4"/>
      <c r="HHH21" s="4"/>
      <c r="HHI21" s="4"/>
      <c r="HHJ21" s="4"/>
      <c r="HHK21" s="4"/>
      <c r="HHL21" s="4"/>
      <c r="HHM21" s="4"/>
      <c r="HHN21" s="4"/>
      <c r="HHO21" s="4"/>
      <c r="HHP21" s="4"/>
      <c r="HHQ21" s="4"/>
      <c r="HHR21" s="4"/>
      <c r="HHS21" s="4"/>
      <c r="HHT21" s="4"/>
      <c r="HHU21" s="4"/>
      <c r="HHV21" s="4"/>
      <c r="HHW21" s="4"/>
      <c r="HHX21" s="4"/>
      <c r="HHY21" s="4"/>
      <c r="HHZ21" s="4"/>
      <c r="HIA21" s="4"/>
      <c r="HIB21" s="4"/>
      <c r="HIC21" s="4"/>
      <c r="HID21" s="4"/>
      <c r="HIE21" s="4"/>
      <c r="HIF21" s="4"/>
      <c r="HIG21" s="4"/>
      <c r="HIH21" s="4"/>
      <c r="HII21" s="4"/>
      <c r="HIJ21" s="4"/>
      <c r="HIK21" s="4"/>
      <c r="HIL21" s="4"/>
      <c r="HIM21" s="4"/>
      <c r="HIN21" s="4"/>
      <c r="HIO21" s="4"/>
      <c r="HIP21" s="4"/>
      <c r="HIQ21" s="4"/>
      <c r="HIR21" s="4"/>
      <c r="HIS21" s="4"/>
      <c r="HIT21" s="4"/>
      <c r="HIU21" s="4"/>
      <c r="HIV21" s="4"/>
      <c r="HIW21" s="4"/>
      <c r="HIX21" s="4"/>
      <c r="HIY21" s="4"/>
      <c r="HIZ21" s="4"/>
      <c r="HJA21" s="4"/>
      <c r="HJB21" s="4"/>
      <c r="HJC21" s="4"/>
      <c r="HJD21" s="4"/>
      <c r="HJE21" s="4"/>
      <c r="HJF21" s="4"/>
      <c r="HJG21" s="4"/>
      <c r="HJH21" s="4"/>
      <c r="HJI21" s="4"/>
      <c r="HJJ21" s="4"/>
      <c r="HJK21" s="4"/>
      <c r="HJL21" s="4"/>
      <c r="HJM21" s="4"/>
      <c r="HJN21" s="4"/>
      <c r="HJO21" s="4"/>
      <c r="HJP21" s="4"/>
      <c r="HJQ21" s="4"/>
      <c r="HJR21" s="4"/>
      <c r="HJS21" s="4"/>
      <c r="HJT21" s="4"/>
      <c r="HJU21" s="4"/>
      <c r="HJV21" s="4"/>
      <c r="HJW21" s="4"/>
      <c r="HJX21" s="4"/>
      <c r="HJY21" s="4"/>
      <c r="HJZ21" s="4"/>
      <c r="HKA21" s="4"/>
      <c r="HKB21" s="4"/>
      <c r="HKC21" s="4"/>
      <c r="HKD21" s="4"/>
      <c r="HKE21" s="4"/>
      <c r="HKF21" s="4"/>
      <c r="HKG21" s="4"/>
      <c r="HKH21" s="4"/>
      <c r="HKI21" s="4"/>
      <c r="HKJ21" s="4"/>
      <c r="HKK21" s="4"/>
      <c r="HKL21" s="4"/>
      <c r="HKM21" s="4"/>
      <c r="HKN21" s="4"/>
      <c r="HKO21" s="4"/>
      <c r="HKP21" s="4"/>
      <c r="HKQ21" s="4"/>
      <c r="HKR21" s="4"/>
      <c r="HKS21" s="4"/>
      <c r="HKT21" s="4"/>
      <c r="HKU21" s="4"/>
      <c r="HKV21" s="4"/>
      <c r="HKW21" s="4"/>
      <c r="HKX21" s="4"/>
      <c r="HKY21" s="4"/>
      <c r="HKZ21" s="4"/>
      <c r="HLA21" s="4"/>
      <c r="HLB21" s="4"/>
      <c r="HLC21" s="4"/>
      <c r="HLD21" s="4"/>
      <c r="HLE21" s="4"/>
      <c r="HLF21" s="4"/>
      <c r="HLG21" s="4"/>
      <c r="HLH21" s="4"/>
      <c r="HLI21" s="4"/>
      <c r="HLJ21" s="4"/>
      <c r="HLK21" s="4"/>
      <c r="HLL21" s="4"/>
      <c r="HLM21" s="4"/>
      <c r="HLN21" s="4"/>
      <c r="HLO21" s="4"/>
      <c r="HLP21" s="4"/>
      <c r="HLQ21" s="4"/>
      <c r="HLR21" s="4"/>
      <c r="HLS21" s="4"/>
      <c r="HLT21" s="4"/>
      <c r="HLU21" s="4"/>
      <c r="HLV21" s="4"/>
      <c r="HLW21" s="4"/>
      <c r="HLX21" s="4"/>
      <c r="HLY21" s="4"/>
      <c r="HLZ21" s="4"/>
      <c r="HMA21" s="4"/>
      <c r="HMB21" s="4"/>
      <c r="HMC21" s="4"/>
      <c r="HMD21" s="4"/>
      <c r="HME21" s="4"/>
      <c r="HMF21" s="4"/>
      <c r="HMG21" s="4"/>
      <c r="HMH21" s="4"/>
      <c r="HMI21" s="4"/>
      <c r="HMJ21" s="4"/>
      <c r="HMK21" s="4"/>
      <c r="HML21" s="4"/>
      <c r="HMM21" s="4"/>
      <c r="HMN21" s="4"/>
      <c r="HMO21" s="4"/>
      <c r="HMP21" s="4"/>
      <c r="HMQ21" s="4"/>
      <c r="HMR21" s="4"/>
      <c r="HMS21" s="4"/>
      <c r="HMT21" s="4"/>
      <c r="HMU21" s="4"/>
      <c r="HMV21" s="4"/>
      <c r="HMW21" s="4"/>
      <c r="HMX21" s="4"/>
      <c r="HMY21" s="4"/>
      <c r="HMZ21" s="4"/>
      <c r="HNA21" s="4"/>
      <c r="HNB21" s="4"/>
      <c r="HNC21" s="4"/>
      <c r="HND21" s="4"/>
      <c r="HNE21" s="4"/>
      <c r="HNF21" s="4"/>
      <c r="HNG21" s="4"/>
      <c r="HNH21" s="4"/>
      <c r="HNI21" s="4"/>
      <c r="HNJ21" s="4"/>
      <c r="HNK21" s="4"/>
      <c r="HNL21" s="4"/>
      <c r="HNM21" s="4"/>
      <c r="HNN21" s="4"/>
      <c r="HNO21" s="4"/>
      <c r="HNP21" s="4"/>
      <c r="HNQ21" s="4"/>
      <c r="HNR21" s="4"/>
      <c r="HNS21" s="4"/>
      <c r="HNT21" s="4"/>
      <c r="HNU21" s="4"/>
      <c r="HNV21" s="4"/>
      <c r="HNW21" s="4"/>
      <c r="HNX21" s="4"/>
      <c r="HNY21" s="4"/>
      <c r="HNZ21" s="4"/>
      <c r="HOA21" s="4"/>
      <c r="HOB21" s="4"/>
      <c r="HOC21" s="4"/>
      <c r="HOD21" s="4"/>
      <c r="HOE21" s="4"/>
      <c r="HOF21" s="4"/>
      <c r="HOG21" s="4"/>
      <c r="HOH21" s="4"/>
      <c r="HOI21" s="4"/>
      <c r="HOJ21" s="4"/>
      <c r="HOK21" s="4"/>
      <c r="HOL21" s="4"/>
      <c r="HOM21" s="4"/>
      <c r="HON21" s="4"/>
      <c r="HOO21" s="4"/>
      <c r="HOP21" s="4"/>
      <c r="HOQ21" s="4"/>
      <c r="HOR21" s="4"/>
      <c r="HOS21" s="4"/>
      <c r="HOT21" s="4"/>
      <c r="HOU21" s="4"/>
      <c r="HOV21" s="4"/>
      <c r="HOW21" s="4"/>
      <c r="HOX21" s="4"/>
      <c r="HOY21" s="4"/>
      <c r="HOZ21" s="4"/>
      <c r="HPA21" s="4"/>
      <c r="HPB21" s="4"/>
      <c r="HPC21" s="4"/>
      <c r="HPD21" s="4"/>
      <c r="HPE21" s="4"/>
      <c r="HPF21" s="4"/>
      <c r="HPG21" s="4"/>
      <c r="HPH21" s="4"/>
      <c r="HPI21" s="4"/>
      <c r="HPJ21" s="4"/>
      <c r="HPK21" s="4"/>
      <c r="HPL21" s="4"/>
      <c r="HPM21" s="4"/>
      <c r="HPN21" s="4"/>
      <c r="HPO21" s="4"/>
      <c r="HPP21" s="4"/>
      <c r="HPQ21" s="4"/>
      <c r="HPR21" s="4"/>
      <c r="HPS21" s="4"/>
      <c r="HPT21" s="4"/>
      <c r="HPU21" s="4"/>
      <c r="HPV21" s="4"/>
      <c r="HPW21" s="4"/>
      <c r="HPX21" s="4"/>
      <c r="HPY21" s="4"/>
      <c r="HPZ21" s="4"/>
      <c r="HQA21" s="4"/>
      <c r="HQB21" s="4"/>
      <c r="HQC21" s="4"/>
      <c r="HQD21" s="4"/>
      <c r="HQE21" s="4"/>
      <c r="HQF21" s="4"/>
      <c r="HQG21" s="4"/>
      <c r="HQH21" s="4"/>
      <c r="HQI21" s="4"/>
      <c r="HQJ21" s="4"/>
      <c r="HQK21" s="4"/>
      <c r="HQL21" s="4"/>
      <c r="HQM21" s="4"/>
      <c r="HQN21" s="4"/>
      <c r="HQO21" s="4"/>
      <c r="HQP21" s="4"/>
      <c r="HQQ21" s="4"/>
      <c r="HQR21" s="4"/>
      <c r="HQS21" s="4"/>
      <c r="HQT21" s="4"/>
      <c r="HQU21" s="4"/>
      <c r="HQV21" s="4"/>
      <c r="HQW21" s="4"/>
      <c r="HQX21" s="4"/>
      <c r="HQY21" s="4"/>
      <c r="HQZ21" s="4"/>
      <c r="HRA21" s="4"/>
      <c r="HRB21" s="4"/>
      <c r="HRC21" s="4"/>
      <c r="HRD21" s="4"/>
      <c r="HRE21" s="4"/>
      <c r="HRF21" s="4"/>
      <c r="HRG21" s="4"/>
      <c r="HRH21" s="4"/>
      <c r="HRI21" s="4"/>
      <c r="HRJ21" s="4"/>
      <c r="HRK21" s="4"/>
      <c r="HRL21" s="4"/>
      <c r="HRM21" s="4"/>
      <c r="HRN21" s="4"/>
      <c r="HRO21" s="4"/>
      <c r="HRP21" s="4"/>
      <c r="HRQ21" s="4"/>
      <c r="HRR21" s="4"/>
      <c r="HRS21" s="4"/>
      <c r="HRT21" s="4"/>
      <c r="HRU21" s="4"/>
      <c r="HRV21" s="4"/>
      <c r="HRW21" s="4"/>
      <c r="HRX21" s="4"/>
      <c r="HRY21" s="4"/>
      <c r="HRZ21" s="4"/>
      <c r="HSA21" s="4"/>
      <c r="HSB21" s="4"/>
      <c r="HSC21" s="4"/>
      <c r="HSD21" s="4"/>
      <c r="HSE21" s="4"/>
      <c r="HSF21" s="4"/>
      <c r="HSG21" s="4"/>
      <c r="HSH21" s="4"/>
      <c r="HSI21" s="4"/>
      <c r="HSJ21" s="4"/>
      <c r="HSK21" s="4"/>
      <c r="HSL21" s="4"/>
      <c r="HSM21" s="4"/>
      <c r="HSN21" s="4"/>
      <c r="HSO21" s="4"/>
      <c r="HSP21" s="4"/>
      <c r="HSQ21" s="4"/>
      <c r="HSR21" s="4"/>
      <c r="HSS21" s="4"/>
      <c r="HST21" s="4"/>
      <c r="HSU21" s="4"/>
      <c r="HSV21" s="4"/>
      <c r="HSW21" s="4"/>
      <c r="HSX21" s="4"/>
      <c r="HSY21" s="4"/>
      <c r="HSZ21" s="4"/>
      <c r="HTA21" s="4"/>
      <c r="HTB21" s="4"/>
      <c r="HTC21" s="4"/>
      <c r="HTD21" s="4"/>
      <c r="HTE21" s="4"/>
      <c r="HTF21" s="4"/>
      <c r="HTG21" s="4"/>
      <c r="HTH21" s="4"/>
      <c r="HTI21" s="4"/>
      <c r="HTJ21" s="4"/>
      <c r="HTK21" s="4"/>
      <c r="HTL21" s="4"/>
      <c r="HTM21" s="4"/>
      <c r="HTN21" s="4"/>
      <c r="HTO21" s="4"/>
      <c r="HTP21" s="4"/>
      <c r="HTQ21" s="4"/>
      <c r="HTR21" s="4"/>
      <c r="HTS21" s="4"/>
      <c r="HTT21" s="4"/>
      <c r="HTU21" s="4"/>
      <c r="HTV21" s="4"/>
      <c r="HTW21" s="4"/>
      <c r="HTX21" s="4"/>
      <c r="HTY21" s="4"/>
      <c r="HTZ21" s="4"/>
      <c r="HUA21" s="4"/>
      <c r="HUB21" s="4"/>
      <c r="HUC21" s="4"/>
      <c r="HUD21" s="4"/>
      <c r="HUE21" s="4"/>
      <c r="HUF21" s="4"/>
      <c r="HUG21" s="4"/>
      <c r="HUH21" s="4"/>
      <c r="HUI21" s="4"/>
      <c r="HUJ21" s="4"/>
      <c r="HUK21" s="4"/>
      <c r="HUL21" s="4"/>
      <c r="HUM21" s="4"/>
      <c r="HUN21" s="4"/>
      <c r="HUO21" s="4"/>
      <c r="HUP21" s="4"/>
      <c r="HUQ21" s="4"/>
      <c r="HUR21" s="4"/>
      <c r="HUS21" s="4"/>
      <c r="HUT21" s="4"/>
      <c r="HUU21" s="4"/>
      <c r="HUV21" s="4"/>
      <c r="HUW21" s="4"/>
      <c r="HUX21" s="4"/>
      <c r="HUY21" s="4"/>
      <c r="HUZ21" s="4"/>
      <c r="HVA21" s="4"/>
      <c r="HVB21" s="4"/>
      <c r="HVC21" s="4"/>
      <c r="HVD21" s="4"/>
      <c r="HVE21" s="4"/>
      <c r="HVF21" s="4"/>
      <c r="HVG21" s="4"/>
      <c r="HVH21" s="4"/>
      <c r="HVI21" s="4"/>
      <c r="HVJ21" s="4"/>
      <c r="HVK21" s="4"/>
      <c r="HVL21" s="4"/>
      <c r="HVM21" s="4"/>
      <c r="HVN21" s="4"/>
      <c r="HVO21" s="4"/>
      <c r="HVP21" s="4"/>
      <c r="HVQ21" s="4"/>
      <c r="HVR21" s="4"/>
      <c r="HVS21" s="4"/>
      <c r="HVT21" s="4"/>
      <c r="HVU21" s="4"/>
      <c r="HVV21" s="4"/>
      <c r="HVW21" s="4"/>
      <c r="HVX21" s="4"/>
      <c r="HVY21" s="4"/>
      <c r="HVZ21" s="4"/>
      <c r="HWA21" s="4"/>
      <c r="HWB21" s="4"/>
      <c r="HWC21" s="4"/>
      <c r="HWD21" s="4"/>
      <c r="HWE21" s="4"/>
      <c r="HWF21" s="4"/>
      <c r="HWG21" s="4"/>
      <c r="HWH21" s="4"/>
      <c r="HWI21" s="4"/>
      <c r="HWJ21" s="4"/>
      <c r="HWK21" s="4"/>
      <c r="HWL21" s="4"/>
      <c r="HWM21" s="4"/>
      <c r="HWN21" s="4"/>
      <c r="HWO21" s="4"/>
      <c r="HWP21" s="4"/>
      <c r="HWQ21" s="4"/>
      <c r="HWR21" s="4"/>
      <c r="HWS21" s="4"/>
      <c r="HWT21" s="4"/>
      <c r="HWU21" s="4"/>
      <c r="HWV21" s="4"/>
      <c r="HWW21" s="4"/>
      <c r="HWX21" s="4"/>
      <c r="HWY21" s="4"/>
      <c r="HWZ21" s="4"/>
      <c r="HXA21" s="4"/>
      <c r="HXB21" s="4"/>
      <c r="HXC21" s="4"/>
      <c r="HXD21" s="4"/>
      <c r="HXE21" s="4"/>
      <c r="HXF21" s="4"/>
      <c r="HXG21" s="4"/>
      <c r="HXH21" s="4"/>
      <c r="HXI21" s="4"/>
      <c r="HXJ21" s="4"/>
      <c r="HXK21" s="4"/>
      <c r="HXL21" s="4"/>
      <c r="HXM21" s="4"/>
      <c r="HXN21" s="4"/>
      <c r="HXO21" s="4"/>
      <c r="HXP21" s="4"/>
      <c r="HXQ21" s="4"/>
      <c r="HXR21" s="4"/>
      <c r="HXS21" s="4"/>
      <c r="HXT21" s="4"/>
      <c r="HXU21" s="4"/>
      <c r="HXV21" s="4"/>
      <c r="HXW21" s="4"/>
      <c r="HXX21" s="4"/>
      <c r="HXY21" s="4"/>
      <c r="HXZ21" s="4"/>
      <c r="HYA21" s="4"/>
      <c r="HYB21" s="4"/>
      <c r="HYC21" s="4"/>
      <c r="HYD21" s="4"/>
      <c r="HYE21" s="4"/>
      <c r="HYF21" s="4"/>
      <c r="HYG21" s="4"/>
      <c r="HYH21" s="4"/>
      <c r="HYI21" s="4"/>
      <c r="HYJ21" s="4"/>
      <c r="HYK21" s="4"/>
      <c r="HYL21" s="4"/>
      <c r="HYM21" s="4"/>
      <c r="HYN21" s="4"/>
      <c r="HYO21" s="4"/>
      <c r="HYP21" s="4"/>
      <c r="HYQ21" s="4"/>
      <c r="HYR21" s="4"/>
      <c r="HYS21" s="4"/>
      <c r="HYT21" s="4"/>
      <c r="HYU21" s="4"/>
      <c r="HYV21" s="4"/>
      <c r="HYW21" s="4"/>
      <c r="HYX21" s="4"/>
      <c r="HYY21" s="4"/>
      <c r="HYZ21" s="4"/>
      <c r="HZA21" s="4"/>
      <c r="HZB21" s="4"/>
      <c r="HZC21" s="4"/>
      <c r="HZD21" s="4"/>
      <c r="HZE21" s="4"/>
      <c r="HZF21" s="4"/>
      <c r="HZG21" s="4"/>
      <c r="HZH21" s="4"/>
      <c r="HZI21" s="4"/>
      <c r="HZJ21" s="4"/>
      <c r="HZK21" s="4"/>
      <c r="HZL21" s="4"/>
      <c r="HZM21" s="4"/>
      <c r="HZN21" s="4"/>
      <c r="HZO21" s="4"/>
      <c r="HZP21" s="4"/>
      <c r="HZQ21" s="4"/>
      <c r="HZR21" s="4"/>
      <c r="HZS21" s="4"/>
      <c r="HZT21" s="4"/>
      <c r="HZU21" s="4"/>
      <c r="HZV21" s="4"/>
      <c r="HZW21" s="4"/>
      <c r="HZX21" s="4"/>
      <c r="HZY21" s="4"/>
      <c r="HZZ21" s="4"/>
      <c r="IAA21" s="4"/>
      <c r="IAB21" s="4"/>
      <c r="IAC21" s="4"/>
      <c r="IAD21" s="4"/>
      <c r="IAE21" s="4"/>
      <c r="IAF21" s="4"/>
      <c r="IAG21" s="4"/>
      <c r="IAH21" s="4"/>
      <c r="IAI21" s="4"/>
      <c r="IAJ21" s="4"/>
      <c r="IAK21" s="4"/>
      <c r="IAL21" s="4"/>
      <c r="IAM21" s="4"/>
      <c r="IAN21" s="4"/>
      <c r="IAO21" s="4"/>
      <c r="IAP21" s="4"/>
      <c r="IAQ21" s="4"/>
      <c r="IAR21" s="4"/>
      <c r="IAS21" s="4"/>
      <c r="IAT21" s="4"/>
      <c r="IAU21" s="4"/>
      <c r="IAV21" s="4"/>
      <c r="IAW21" s="4"/>
      <c r="IAX21" s="4"/>
      <c r="IAY21" s="4"/>
      <c r="IAZ21" s="4"/>
      <c r="IBA21" s="4"/>
      <c r="IBB21" s="4"/>
      <c r="IBC21" s="4"/>
      <c r="IBD21" s="4"/>
      <c r="IBE21" s="4"/>
      <c r="IBF21" s="4"/>
      <c r="IBG21" s="4"/>
      <c r="IBH21" s="4"/>
      <c r="IBI21" s="4"/>
      <c r="IBJ21" s="4"/>
      <c r="IBK21" s="4"/>
      <c r="IBL21" s="4"/>
      <c r="IBM21" s="4"/>
      <c r="IBN21" s="4"/>
      <c r="IBO21" s="4"/>
      <c r="IBP21" s="4"/>
      <c r="IBQ21" s="4"/>
      <c r="IBR21" s="4"/>
      <c r="IBS21" s="4"/>
      <c r="IBT21" s="4"/>
      <c r="IBU21" s="4"/>
      <c r="IBV21" s="4"/>
      <c r="IBW21" s="4"/>
      <c r="IBX21" s="4"/>
      <c r="IBY21" s="4"/>
      <c r="IBZ21" s="4"/>
      <c r="ICA21" s="4"/>
      <c r="ICB21" s="4"/>
      <c r="ICC21" s="4"/>
      <c r="ICD21" s="4"/>
      <c r="ICE21" s="4"/>
      <c r="ICF21" s="4"/>
      <c r="ICG21" s="4"/>
      <c r="ICH21" s="4"/>
      <c r="ICI21" s="4"/>
      <c r="ICJ21" s="4"/>
      <c r="ICK21" s="4"/>
      <c r="ICL21" s="4"/>
      <c r="ICM21" s="4"/>
      <c r="ICN21" s="4"/>
      <c r="ICO21" s="4"/>
      <c r="ICP21" s="4"/>
      <c r="ICQ21" s="4"/>
      <c r="ICR21" s="4"/>
      <c r="ICS21" s="4"/>
      <c r="ICT21" s="4"/>
      <c r="ICU21" s="4"/>
      <c r="ICV21" s="4"/>
      <c r="ICW21" s="4"/>
      <c r="ICX21" s="4"/>
      <c r="ICY21" s="4"/>
      <c r="ICZ21" s="4"/>
      <c r="IDA21" s="4"/>
      <c r="IDB21" s="4"/>
      <c r="IDC21" s="4"/>
      <c r="IDD21" s="4"/>
      <c r="IDE21" s="4"/>
      <c r="IDF21" s="4"/>
      <c r="IDG21" s="4"/>
      <c r="IDH21" s="4"/>
      <c r="IDI21" s="4"/>
      <c r="IDJ21" s="4"/>
      <c r="IDK21" s="4"/>
      <c r="IDL21" s="4"/>
      <c r="IDM21" s="4"/>
      <c r="IDN21" s="4"/>
      <c r="IDO21" s="4"/>
      <c r="IDP21" s="4"/>
      <c r="IDQ21" s="4"/>
      <c r="IDR21" s="4"/>
      <c r="IDS21" s="4"/>
      <c r="IDT21" s="4"/>
      <c r="IDU21" s="4"/>
      <c r="IDV21" s="4"/>
      <c r="IDW21" s="4"/>
      <c r="IDX21" s="4"/>
      <c r="IDY21" s="4"/>
      <c r="IDZ21" s="4"/>
      <c r="IEA21" s="4"/>
      <c r="IEB21" s="4"/>
      <c r="IEC21" s="4"/>
      <c r="IED21" s="4"/>
      <c r="IEE21" s="4"/>
      <c r="IEF21" s="4"/>
      <c r="IEG21" s="4"/>
      <c r="IEH21" s="4"/>
      <c r="IEI21" s="4"/>
      <c r="IEJ21" s="4"/>
      <c r="IEK21" s="4"/>
      <c r="IEL21" s="4"/>
      <c r="IEM21" s="4"/>
      <c r="IEN21" s="4"/>
      <c r="IEO21" s="4"/>
      <c r="IEP21" s="4"/>
      <c r="IEQ21" s="4"/>
      <c r="IER21" s="4"/>
      <c r="IES21" s="4"/>
      <c r="IET21" s="4"/>
      <c r="IEU21" s="4"/>
      <c r="IEV21" s="4"/>
      <c r="IEW21" s="4"/>
      <c r="IEX21" s="4"/>
      <c r="IEY21" s="4"/>
      <c r="IEZ21" s="4"/>
      <c r="IFA21" s="4"/>
      <c r="IFB21" s="4"/>
      <c r="IFC21" s="4"/>
      <c r="IFD21" s="4"/>
      <c r="IFE21" s="4"/>
      <c r="IFF21" s="4"/>
      <c r="IFG21" s="4"/>
      <c r="IFH21" s="4"/>
      <c r="IFI21" s="4"/>
      <c r="IFJ21" s="4"/>
      <c r="IFK21" s="4"/>
      <c r="IFL21" s="4"/>
      <c r="IFM21" s="4"/>
      <c r="IFN21" s="4"/>
      <c r="IFO21" s="4"/>
      <c r="IFP21" s="4"/>
      <c r="IFQ21" s="4"/>
      <c r="IFR21" s="4"/>
      <c r="IFS21" s="4"/>
      <c r="IFT21" s="4"/>
      <c r="IFU21" s="4"/>
      <c r="IFV21" s="4"/>
      <c r="IFW21" s="4"/>
      <c r="IFX21" s="4"/>
      <c r="IFY21" s="4"/>
      <c r="IFZ21" s="4"/>
      <c r="IGA21" s="4"/>
      <c r="IGB21" s="4"/>
      <c r="IGC21" s="4"/>
      <c r="IGD21" s="4"/>
      <c r="IGE21" s="4"/>
      <c r="IGF21" s="4"/>
      <c r="IGG21" s="4"/>
      <c r="IGH21" s="4"/>
      <c r="IGI21" s="4"/>
      <c r="IGJ21" s="4"/>
      <c r="IGK21" s="4"/>
      <c r="IGL21" s="4"/>
      <c r="IGM21" s="4"/>
      <c r="IGN21" s="4"/>
      <c r="IGO21" s="4"/>
      <c r="IGP21" s="4"/>
      <c r="IGQ21" s="4"/>
      <c r="IGR21" s="4"/>
      <c r="IGS21" s="4"/>
      <c r="IGT21" s="4"/>
      <c r="IGU21" s="4"/>
      <c r="IGV21" s="4"/>
      <c r="IGW21" s="4"/>
      <c r="IGX21" s="4"/>
      <c r="IGY21" s="4"/>
      <c r="IGZ21" s="4"/>
      <c r="IHA21" s="4"/>
      <c r="IHB21" s="4"/>
      <c r="IHC21" s="4"/>
      <c r="IHD21" s="4"/>
      <c r="IHE21" s="4"/>
      <c r="IHF21" s="4"/>
      <c r="IHG21" s="4"/>
      <c r="IHH21" s="4"/>
      <c r="IHI21" s="4"/>
      <c r="IHJ21" s="4"/>
      <c r="IHK21" s="4"/>
      <c r="IHL21" s="4"/>
      <c r="IHM21" s="4"/>
      <c r="IHN21" s="4"/>
      <c r="IHO21" s="4"/>
      <c r="IHP21" s="4"/>
      <c r="IHQ21" s="4"/>
      <c r="IHR21" s="4"/>
      <c r="IHS21" s="4"/>
      <c r="IHT21" s="4"/>
      <c r="IHU21" s="4"/>
      <c r="IHV21" s="4"/>
      <c r="IHW21" s="4"/>
      <c r="IHX21" s="4"/>
      <c r="IHY21" s="4"/>
      <c r="IHZ21" s="4"/>
      <c r="IIA21" s="4"/>
      <c r="IIB21" s="4"/>
      <c r="IIC21" s="4"/>
      <c r="IID21" s="4"/>
      <c r="IIE21" s="4"/>
      <c r="IIF21" s="4"/>
      <c r="IIG21" s="4"/>
      <c r="IIH21" s="4"/>
      <c r="III21" s="4"/>
      <c r="IIJ21" s="4"/>
      <c r="IIK21" s="4"/>
      <c r="IIL21" s="4"/>
      <c r="IIM21" s="4"/>
      <c r="IIN21" s="4"/>
      <c r="IIO21" s="4"/>
      <c r="IIP21" s="4"/>
      <c r="IIQ21" s="4"/>
      <c r="IIR21" s="4"/>
      <c r="IIS21" s="4"/>
      <c r="IIT21" s="4"/>
      <c r="IIU21" s="4"/>
      <c r="IIV21" s="4"/>
      <c r="IIW21" s="4"/>
      <c r="IIX21" s="4"/>
      <c r="IIY21" s="4"/>
      <c r="IIZ21" s="4"/>
      <c r="IJA21" s="4"/>
      <c r="IJB21" s="4"/>
      <c r="IJC21" s="4"/>
      <c r="IJD21" s="4"/>
      <c r="IJE21" s="4"/>
      <c r="IJF21" s="4"/>
      <c r="IJG21" s="4"/>
      <c r="IJH21" s="4"/>
      <c r="IJI21" s="4"/>
      <c r="IJJ21" s="4"/>
      <c r="IJK21" s="4"/>
      <c r="IJL21" s="4"/>
      <c r="IJM21" s="4"/>
      <c r="IJN21" s="4"/>
      <c r="IJO21" s="4"/>
      <c r="IJP21" s="4"/>
      <c r="IJQ21" s="4"/>
      <c r="IJR21" s="4"/>
      <c r="IJS21" s="4"/>
      <c r="IJT21" s="4"/>
      <c r="IJU21" s="4"/>
      <c r="IJV21" s="4"/>
      <c r="IJW21" s="4"/>
      <c r="IJX21" s="4"/>
      <c r="IJY21" s="4"/>
      <c r="IJZ21" s="4"/>
      <c r="IKA21" s="4"/>
      <c r="IKB21" s="4"/>
      <c r="IKC21" s="4"/>
      <c r="IKD21" s="4"/>
      <c r="IKE21" s="4"/>
      <c r="IKF21" s="4"/>
      <c r="IKG21" s="4"/>
      <c r="IKH21" s="4"/>
      <c r="IKI21" s="4"/>
      <c r="IKJ21" s="4"/>
      <c r="IKK21" s="4"/>
      <c r="IKL21" s="4"/>
      <c r="IKM21" s="4"/>
      <c r="IKN21" s="4"/>
      <c r="IKO21" s="4"/>
      <c r="IKP21" s="4"/>
      <c r="IKQ21" s="4"/>
      <c r="IKR21" s="4"/>
      <c r="IKS21" s="4"/>
      <c r="IKT21" s="4"/>
      <c r="IKU21" s="4"/>
      <c r="IKV21" s="4"/>
      <c r="IKW21" s="4"/>
      <c r="IKX21" s="4"/>
      <c r="IKY21" s="4"/>
      <c r="IKZ21" s="4"/>
      <c r="ILA21" s="4"/>
      <c r="ILB21" s="4"/>
      <c r="ILC21" s="4"/>
      <c r="ILD21" s="4"/>
      <c r="ILE21" s="4"/>
      <c r="ILF21" s="4"/>
      <c r="ILG21" s="4"/>
      <c r="ILH21" s="4"/>
      <c r="ILI21" s="4"/>
      <c r="ILJ21" s="4"/>
      <c r="ILK21" s="4"/>
      <c r="ILL21" s="4"/>
      <c r="ILM21" s="4"/>
      <c r="ILN21" s="4"/>
      <c r="ILO21" s="4"/>
      <c r="ILP21" s="4"/>
      <c r="ILQ21" s="4"/>
      <c r="ILR21" s="4"/>
      <c r="ILS21" s="4"/>
      <c r="ILT21" s="4"/>
      <c r="ILU21" s="4"/>
      <c r="ILV21" s="4"/>
      <c r="ILW21" s="4"/>
      <c r="ILX21" s="4"/>
      <c r="ILY21" s="4"/>
      <c r="ILZ21" s="4"/>
      <c r="IMA21" s="4"/>
      <c r="IMB21" s="4"/>
      <c r="IMC21" s="4"/>
      <c r="IMD21" s="4"/>
      <c r="IME21" s="4"/>
      <c r="IMF21" s="4"/>
      <c r="IMG21" s="4"/>
      <c r="IMH21" s="4"/>
      <c r="IMI21" s="4"/>
      <c r="IMJ21" s="4"/>
      <c r="IMK21" s="4"/>
      <c r="IML21" s="4"/>
      <c r="IMM21" s="4"/>
      <c r="IMN21" s="4"/>
      <c r="IMO21" s="4"/>
      <c r="IMP21" s="4"/>
      <c r="IMQ21" s="4"/>
      <c r="IMR21" s="4"/>
      <c r="IMS21" s="4"/>
      <c r="IMT21" s="4"/>
      <c r="IMU21" s="4"/>
      <c r="IMV21" s="4"/>
      <c r="IMW21" s="4"/>
      <c r="IMX21" s="4"/>
      <c r="IMY21" s="4"/>
      <c r="IMZ21" s="4"/>
      <c r="INA21" s="4"/>
      <c r="INB21" s="4"/>
      <c r="INC21" s="4"/>
      <c r="IND21" s="4"/>
      <c r="INE21" s="4"/>
      <c r="INF21" s="4"/>
      <c r="ING21" s="4"/>
      <c r="INH21" s="4"/>
      <c r="INI21" s="4"/>
      <c r="INJ21" s="4"/>
      <c r="INK21" s="4"/>
      <c r="INL21" s="4"/>
      <c r="INM21" s="4"/>
      <c r="INN21" s="4"/>
      <c r="INO21" s="4"/>
      <c r="INP21" s="4"/>
      <c r="INQ21" s="4"/>
      <c r="INR21" s="4"/>
      <c r="INS21" s="4"/>
      <c r="INT21" s="4"/>
      <c r="INU21" s="4"/>
      <c r="INV21" s="4"/>
      <c r="INW21" s="4"/>
      <c r="INX21" s="4"/>
      <c r="INY21" s="4"/>
      <c r="INZ21" s="4"/>
      <c r="IOA21" s="4"/>
      <c r="IOB21" s="4"/>
      <c r="IOC21" s="4"/>
      <c r="IOD21" s="4"/>
      <c r="IOE21" s="4"/>
      <c r="IOF21" s="4"/>
      <c r="IOG21" s="4"/>
      <c r="IOH21" s="4"/>
      <c r="IOI21" s="4"/>
      <c r="IOJ21" s="4"/>
      <c r="IOK21" s="4"/>
      <c r="IOL21" s="4"/>
      <c r="IOM21" s="4"/>
      <c r="ION21" s="4"/>
      <c r="IOO21" s="4"/>
      <c r="IOP21" s="4"/>
      <c r="IOQ21" s="4"/>
      <c r="IOR21" s="4"/>
      <c r="IOS21" s="4"/>
      <c r="IOT21" s="4"/>
      <c r="IOU21" s="4"/>
      <c r="IOV21" s="4"/>
      <c r="IOW21" s="4"/>
      <c r="IOX21" s="4"/>
      <c r="IOY21" s="4"/>
      <c r="IOZ21" s="4"/>
      <c r="IPA21" s="4"/>
      <c r="IPB21" s="4"/>
      <c r="IPC21" s="4"/>
      <c r="IPD21" s="4"/>
      <c r="IPE21" s="4"/>
      <c r="IPF21" s="4"/>
      <c r="IPG21" s="4"/>
      <c r="IPH21" s="4"/>
      <c r="IPI21" s="4"/>
      <c r="IPJ21" s="4"/>
      <c r="IPK21" s="4"/>
      <c r="IPL21" s="4"/>
      <c r="IPM21" s="4"/>
      <c r="IPN21" s="4"/>
      <c r="IPO21" s="4"/>
      <c r="IPP21" s="4"/>
      <c r="IPQ21" s="4"/>
      <c r="IPR21" s="4"/>
      <c r="IPS21" s="4"/>
      <c r="IPT21" s="4"/>
      <c r="IPU21" s="4"/>
      <c r="IPV21" s="4"/>
      <c r="IPW21" s="4"/>
      <c r="IPX21" s="4"/>
      <c r="IPY21" s="4"/>
      <c r="IPZ21" s="4"/>
      <c r="IQA21" s="4"/>
      <c r="IQB21" s="4"/>
      <c r="IQC21" s="4"/>
      <c r="IQD21" s="4"/>
      <c r="IQE21" s="4"/>
      <c r="IQF21" s="4"/>
      <c r="IQG21" s="4"/>
      <c r="IQH21" s="4"/>
      <c r="IQI21" s="4"/>
      <c r="IQJ21" s="4"/>
      <c r="IQK21" s="4"/>
      <c r="IQL21" s="4"/>
      <c r="IQM21" s="4"/>
      <c r="IQN21" s="4"/>
      <c r="IQO21" s="4"/>
      <c r="IQP21" s="4"/>
      <c r="IQQ21" s="4"/>
      <c r="IQR21" s="4"/>
      <c r="IQS21" s="4"/>
      <c r="IQT21" s="4"/>
      <c r="IQU21" s="4"/>
      <c r="IQV21" s="4"/>
      <c r="IQW21" s="4"/>
      <c r="IQX21" s="4"/>
      <c r="IQY21" s="4"/>
      <c r="IQZ21" s="4"/>
      <c r="IRA21" s="4"/>
      <c r="IRB21" s="4"/>
      <c r="IRC21" s="4"/>
      <c r="IRD21" s="4"/>
      <c r="IRE21" s="4"/>
      <c r="IRF21" s="4"/>
      <c r="IRG21" s="4"/>
      <c r="IRH21" s="4"/>
      <c r="IRI21" s="4"/>
      <c r="IRJ21" s="4"/>
      <c r="IRK21" s="4"/>
      <c r="IRL21" s="4"/>
      <c r="IRM21" s="4"/>
      <c r="IRN21" s="4"/>
      <c r="IRO21" s="4"/>
      <c r="IRP21" s="4"/>
      <c r="IRQ21" s="4"/>
      <c r="IRR21" s="4"/>
      <c r="IRS21" s="4"/>
      <c r="IRT21" s="4"/>
      <c r="IRU21" s="4"/>
      <c r="IRV21" s="4"/>
      <c r="IRW21" s="4"/>
      <c r="IRX21" s="4"/>
      <c r="IRY21" s="4"/>
      <c r="IRZ21" s="4"/>
      <c r="ISA21" s="4"/>
      <c r="ISB21" s="4"/>
      <c r="ISC21" s="4"/>
      <c r="ISD21" s="4"/>
      <c r="ISE21" s="4"/>
      <c r="ISF21" s="4"/>
      <c r="ISG21" s="4"/>
      <c r="ISH21" s="4"/>
      <c r="ISI21" s="4"/>
      <c r="ISJ21" s="4"/>
      <c r="ISK21" s="4"/>
      <c r="ISL21" s="4"/>
      <c r="ISM21" s="4"/>
      <c r="ISN21" s="4"/>
      <c r="ISO21" s="4"/>
      <c r="ISP21" s="4"/>
      <c r="ISQ21" s="4"/>
      <c r="ISR21" s="4"/>
      <c r="ISS21" s="4"/>
      <c r="IST21" s="4"/>
      <c r="ISU21" s="4"/>
      <c r="ISV21" s="4"/>
      <c r="ISW21" s="4"/>
      <c r="ISX21" s="4"/>
      <c r="ISY21" s="4"/>
      <c r="ISZ21" s="4"/>
      <c r="ITA21" s="4"/>
      <c r="ITB21" s="4"/>
      <c r="ITC21" s="4"/>
      <c r="ITD21" s="4"/>
      <c r="ITE21" s="4"/>
      <c r="ITF21" s="4"/>
      <c r="ITG21" s="4"/>
      <c r="ITH21" s="4"/>
      <c r="ITI21" s="4"/>
      <c r="ITJ21" s="4"/>
      <c r="ITK21" s="4"/>
      <c r="ITL21" s="4"/>
      <c r="ITM21" s="4"/>
      <c r="ITN21" s="4"/>
      <c r="ITO21" s="4"/>
      <c r="ITP21" s="4"/>
      <c r="ITQ21" s="4"/>
      <c r="ITR21" s="4"/>
      <c r="ITS21" s="4"/>
      <c r="ITT21" s="4"/>
      <c r="ITU21" s="4"/>
      <c r="ITV21" s="4"/>
      <c r="ITW21" s="4"/>
      <c r="ITX21" s="4"/>
      <c r="ITY21" s="4"/>
      <c r="ITZ21" s="4"/>
      <c r="IUA21" s="4"/>
      <c r="IUB21" s="4"/>
      <c r="IUC21" s="4"/>
      <c r="IUD21" s="4"/>
      <c r="IUE21" s="4"/>
      <c r="IUF21" s="4"/>
      <c r="IUG21" s="4"/>
      <c r="IUH21" s="4"/>
      <c r="IUI21" s="4"/>
      <c r="IUJ21" s="4"/>
      <c r="IUK21" s="4"/>
      <c r="IUL21" s="4"/>
      <c r="IUM21" s="4"/>
      <c r="IUN21" s="4"/>
      <c r="IUO21" s="4"/>
      <c r="IUP21" s="4"/>
      <c r="IUQ21" s="4"/>
      <c r="IUR21" s="4"/>
      <c r="IUS21" s="4"/>
      <c r="IUT21" s="4"/>
      <c r="IUU21" s="4"/>
      <c r="IUV21" s="4"/>
      <c r="IUW21" s="4"/>
      <c r="IUX21" s="4"/>
      <c r="IUY21" s="4"/>
      <c r="IUZ21" s="4"/>
      <c r="IVA21" s="4"/>
      <c r="IVB21" s="4"/>
      <c r="IVC21" s="4"/>
      <c r="IVD21" s="4"/>
      <c r="IVE21" s="4"/>
      <c r="IVF21" s="4"/>
      <c r="IVG21" s="4"/>
      <c r="IVH21" s="4"/>
      <c r="IVI21" s="4"/>
      <c r="IVJ21" s="4"/>
      <c r="IVK21" s="4"/>
      <c r="IVL21" s="4"/>
      <c r="IVM21" s="4"/>
      <c r="IVN21" s="4"/>
      <c r="IVO21" s="4"/>
      <c r="IVP21" s="4"/>
      <c r="IVQ21" s="4"/>
      <c r="IVR21" s="4"/>
      <c r="IVS21" s="4"/>
      <c r="IVT21" s="4"/>
      <c r="IVU21" s="4"/>
      <c r="IVV21" s="4"/>
      <c r="IVW21" s="4"/>
      <c r="IVX21" s="4"/>
      <c r="IVY21" s="4"/>
      <c r="IVZ21" s="4"/>
      <c r="IWA21" s="4"/>
      <c r="IWB21" s="4"/>
      <c r="IWC21" s="4"/>
      <c r="IWD21" s="4"/>
      <c r="IWE21" s="4"/>
      <c r="IWF21" s="4"/>
      <c r="IWG21" s="4"/>
      <c r="IWH21" s="4"/>
      <c r="IWI21" s="4"/>
      <c r="IWJ21" s="4"/>
      <c r="IWK21" s="4"/>
      <c r="IWL21" s="4"/>
      <c r="IWM21" s="4"/>
      <c r="IWN21" s="4"/>
      <c r="IWO21" s="4"/>
      <c r="IWP21" s="4"/>
      <c r="IWQ21" s="4"/>
      <c r="IWR21" s="4"/>
      <c r="IWS21" s="4"/>
      <c r="IWT21" s="4"/>
      <c r="IWU21" s="4"/>
      <c r="IWV21" s="4"/>
      <c r="IWW21" s="4"/>
      <c r="IWX21" s="4"/>
      <c r="IWY21" s="4"/>
      <c r="IWZ21" s="4"/>
      <c r="IXA21" s="4"/>
      <c r="IXB21" s="4"/>
      <c r="IXC21" s="4"/>
      <c r="IXD21" s="4"/>
      <c r="IXE21" s="4"/>
      <c r="IXF21" s="4"/>
      <c r="IXG21" s="4"/>
      <c r="IXH21" s="4"/>
      <c r="IXI21" s="4"/>
      <c r="IXJ21" s="4"/>
      <c r="IXK21" s="4"/>
      <c r="IXL21" s="4"/>
      <c r="IXM21" s="4"/>
      <c r="IXN21" s="4"/>
      <c r="IXO21" s="4"/>
      <c r="IXP21" s="4"/>
      <c r="IXQ21" s="4"/>
      <c r="IXR21" s="4"/>
      <c r="IXS21" s="4"/>
      <c r="IXT21" s="4"/>
      <c r="IXU21" s="4"/>
      <c r="IXV21" s="4"/>
      <c r="IXW21" s="4"/>
      <c r="IXX21" s="4"/>
      <c r="IXY21" s="4"/>
      <c r="IXZ21" s="4"/>
      <c r="IYA21" s="4"/>
      <c r="IYB21" s="4"/>
      <c r="IYC21" s="4"/>
      <c r="IYD21" s="4"/>
      <c r="IYE21" s="4"/>
      <c r="IYF21" s="4"/>
      <c r="IYG21" s="4"/>
      <c r="IYH21" s="4"/>
      <c r="IYI21" s="4"/>
      <c r="IYJ21" s="4"/>
      <c r="IYK21" s="4"/>
      <c r="IYL21" s="4"/>
      <c r="IYM21" s="4"/>
      <c r="IYN21" s="4"/>
      <c r="IYO21" s="4"/>
      <c r="IYP21" s="4"/>
      <c r="IYQ21" s="4"/>
      <c r="IYR21" s="4"/>
      <c r="IYS21" s="4"/>
      <c r="IYT21" s="4"/>
      <c r="IYU21" s="4"/>
      <c r="IYV21" s="4"/>
      <c r="IYW21" s="4"/>
      <c r="IYX21" s="4"/>
      <c r="IYY21" s="4"/>
      <c r="IYZ21" s="4"/>
      <c r="IZA21" s="4"/>
      <c r="IZB21" s="4"/>
      <c r="IZC21" s="4"/>
      <c r="IZD21" s="4"/>
      <c r="IZE21" s="4"/>
      <c r="IZF21" s="4"/>
      <c r="IZG21" s="4"/>
      <c r="IZH21" s="4"/>
      <c r="IZI21" s="4"/>
      <c r="IZJ21" s="4"/>
      <c r="IZK21" s="4"/>
      <c r="IZL21" s="4"/>
      <c r="IZM21" s="4"/>
      <c r="IZN21" s="4"/>
      <c r="IZO21" s="4"/>
      <c r="IZP21" s="4"/>
      <c r="IZQ21" s="4"/>
      <c r="IZR21" s="4"/>
      <c r="IZS21" s="4"/>
      <c r="IZT21" s="4"/>
      <c r="IZU21" s="4"/>
      <c r="IZV21" s="4"/>
      <c r="IZW21" s="4"/>
      <c r="IZX21" s="4"/>
      <c r="IZY21" s="4"/>
      <c r="IZZ21" s="4"/>
      <c r="JAA21" s="4"/>
      <c r="JAB21" s="4"/>
      <c r="JAC21" s="4"/>
      <c r="JAD21" s="4"/>
      <c r="JAE21" s="4"/>
      <c r="JAF21" s="4"/>
      <c r="JAG21" s="4"/>
      <c r="JAH21" s="4"/>
      <c r="JAI21" s="4"/>
      <c r="JAJ21" s="4"/>
      <c r="JAK21" s="4"/>
      <c r="JAL21" s="4"/>
      <c r="JAM21" s="4"/>
      <c r="JAN21" s="4"/>
      <c r="JAO21" s="4"/>
      <c r="JAP21" s="4"/>
      <c r="JAQ21" s="4"/>
      <c r="JAR21" s="4"/>
      <c r="JAS21" s="4"/>
      <c r="JAT21" s="4"/>
      <c r="JAU21" s="4"/>
      <c r="JAV21" s="4"/>
      <c r="JAW21" s="4"/>
      <c r="JAX21" s="4"/>
      <c r="JAY21" s="4"/>
      <c r="JAZ21" s="4"/>
      <c r="JBA21" s="4"/>
      <c r="JBB21" s="4"/>
      <c r="JBC21" s="4"/>
      <c r="JBD21" s="4"/>
      <c r="JBE21" s="4"/>
      <c r="JBF21" s="4"/>
      <c r="JBG21" s="4"/>
      <c r="JBH21" s="4"/>
      <c r="JBI21" s="4"/>
      <c r="JBJ21" s="4"/>
      <c r="JBK21" s="4"/>
      <c r="JBL21" s="4"/>
      <c r="JBM21" s="4"/>
      <c r="JBN21" s="4"/>
      <c r="JBO21" s="4"/>
      <c r="JBP21" s="4"/>
      <c r="JBQ21" s="4"/>
      <c r="JBR21" s="4"/>
      <c r="JBS21" s="4"/>
      <c r="JBT21" s="4"/>
      <c r="JBU21" s="4"/>
      <c r="JBV21" s="4"/>
      <c r="JBW21" s="4"/>
      <c r="JBX21" s="4"/>
      <c r="JBY21" s="4"/>
      <c r="JBZ21" s="4"/>
      <c r="JCA21" s="4"/>
      <c r="JCB21" s="4"/>
      <c r="JCC21" s="4"/>
      <c r="JCD21" s="4"/>
      <c r="JCE21" s="4"/>
      <c r="JCF21" s="4"/>
      <c r="JCG21" s="4"/>
      <c r="JCH21" s="4"/>
      <c r="JCI21" s="4"/>
      <c r="JCJ21" s="4"/>
      <c r="JCK21" s="4"/>
      <c r="JCL21" s="4"/>
      <c r="JCM21" s="4"/>
      <c r="JCN21" s="4"/>
      <c r="JCO21" s="4"/>
      <c r="JCP21" s="4"/>
      <c r="JCQ21" s="4"/>
      <c r="JCR21" s="4"/>
      <c r="JCS21" s="4"/>
      <c r="JCT21" s="4"/>
      <c r="JCU21" s="4"/>
      <c r="JCV21" s="4"/>
      <c r="JCW21" s="4"/>
      <c r="JCX21" s="4"/>
      <c r="JCY21" s="4"/>
      <c r="JCZ21" s="4"/>
      <c r="JDA21" s="4"/>
      <c r="JDB21" s="4"/>
      <c r="JDC21" s="4"/>
      <c r="JDD21" s="4"/>
      <c r="JDE21" s="4"/>
      <c r="JDF21" s="4"/>
      <c r="JDG21" s="4"/>
      <c r="JDH21" s="4"/>
      <c r="JDI21" s="4"/>
      <c r="JDJ21" s="4"/>
      <c r="JDK21" s="4"/>
      <c r="JDL21" s="4"/>
      <c r="JDM21" s="4"/>
      <c r="JDN21" s="4"/>
      <c r="JDO21" s="4"/>
      <c r="JDP21" s="4"/>
      <c r="JDQ21" s="4"/>
      <c r="JDR21" s="4"/>
      <c r="JDS21" s="4"/>
      <c r="JDT21" s="4"/>
      <c r="JDU21" s="4"/>
      <c r="JDV21" s="4"/>
      <c r="JDW21" s="4"/>
      <c r="JDX21" s="4"/>
      <c r="JDY21" s="4"/>
      <c r="JDZ21" s="4"/>
      <c r="JEA21" s="4"/>
      <c r="JEB21" s="4"/>
      <c r="JEC21" s="4"/>
      <c r="JED21" s="4"/>
      <c r="JEE21" s="4"/>
      <c r="JEF21" s="4"/>
      <c r="JEG21" s="4"/>
      <c r="JEH21" s="4"/>
      <c r="JEI21" s="4"/>
      <c r="JEJ21" s="4"/>
      <c r="JEK21" s="4"/>
      <c r="JEL21" s="4"/>
      <c r="JEM21" s="4"/>
      <c r="JEN21" s="4"/>
      <c r="JEO21" s="4"/>
      <c r="JEP21" s="4"/>
      <c r="JEQ21" s="4"/>
      <c r="JER21" s="4"/>
      <c r="JES21" s="4"/>
      <c r="JET21" s="4"/>
      <c r="JEU21" s="4"/>
      <c r="JEV21" s="4"/>
      <c r="JEW21" s="4"/>
      <c r="JEX21" s="4"/>
      <c r="JEY21" s="4"/>
      <c r="JEZ21" s="4"/>
      <c r="JFA21" s="4"/>
      <c r="JFB21" s="4"/>
      <c r="JFC21" s="4"/>
      <c r="JFD21" s="4"/>
      <c r="JFE21" s="4"/>
      <c r="JFF21" s="4"/>
      <c r="JFG21" s="4"/>
      <c r="JFH21" s="4"/>
      <c r="JFI21" s="4"/>
      <c r="JFJ21" s="4"/>
      <c r="JFK21" s="4"/>
      <c r="JFL21" s="4"/>
      <c r="JFM21" s="4"/>
      <c r="JFN21" s="4"/>
      <c r="JFO21" s="4"/>
      <c r="JFP21" s="4"/>
      <c r="JFQ21" s="4"/>
      <c r="JFR21" s="4"/>
      <c r="JFS21" s="4"/>
      <c r="JFT21" s="4"/>
      <c r="JFU21" s="4"/>
      <c r="JFV21" s="4"/>
      <c r="JFW21" s="4"/>
      <c r="JFX21" s="4"/>
      <c r="JFY21" s="4"/>
      <c r="JFZ21" s="4"/>
      <c r="JGA21" s="4"/>
      <c r="JGB21" s="4"/>
      <c r="JGC21" s="4"/>
      <c r="JGD21" s="4"/>
      <c r="JGE21" s="4"/>
      <c r="JGF21" s="4"/>
      <c r="JGG21" s="4"/>
      <c r="JGH21" s="4"/>
      <c r="JGI21" s="4"/>
      <c r="JGJ21" s="4"/>
      <c r="JGK21" s="4"/>
      <c r="JGL21" s="4"/>
      <c r="JGM21" s="4"/>
      <c r="JGN21" s="4"/>
      <c r="JGO21" s="4"/>
      <c r="JGP21" s="4"/>
      <c r="JGQ21" s="4"/>
      <c r="JGR21" s="4"/>
      <c r="JGS21" s="4"/>
      <c r="JGT21" s="4"/>
      <c r="JGU21" s="4"/>
      <c r="JGV21" s="4"/>
      <c r="JGW21" s="4"/>
      <c r="JGX21" s="4"/>
      <c r="JGY21" s="4"/>
      <c r="JGZ21" s="4"/>
      <c r="JHA21" s="4"/>
      <c r="JHB21" s="4"/>
      <c r="JHC21" s="4"/>
      <c r="JHD21" s="4"/>
      <c r="JHE21" s="4"/>
      <c r="JHF21" s="4"/>
      <c r="JHG21" s="4"/>
      <c r="JHH21" s="4"/>
      <c r="JHI21" s="4"/>
      <c r="JHJ21" s="4"/>
      <c r="JHK21" s="4"/>
      <c r="JHL21" s="4"/>
      <c r="JHM21" s="4"/>
      <c r="JHN21" s="4"/>
      <c r="JHO21" s="4"/>
      <c r="JHP21" s="4"/>
      <c r="JHQ21" s="4"/>
      <c r="JHR21" s="4"/>
      <c r="JHS21" s="4"/>
      <c r="JHT21" s="4"/>
      <c r="JHU21" s="4"/>
      <c r="JHV21" s="4"/>
      <c r="JHW21" s="4"/>
      <c r="JHX21" s="4"/>
      <c r="JHY21" s="4"/>
      <c r="JHZ21" s="4"/>
      <c r="JIA21" s="4"/>
      <c r="JIB21" s="4"/>
      <c r="JIC21" s="4"/>
      <c r="JID21" s="4"/>
      <c r="JIE21" s="4"/>
      <c r="JIF21" s="4"/>
      <c r="JIG21" s="4"/>
      <c r="JIH21" s="4"/>
      <c r="JII21" s="4"/>
      <c r="JIJ21" s="4"/>
      <c r="JIK21" s="4"/>
      <c r="JIL21" s="4"/>
      <c r="JIM21" s="4"/>
      <c r="JIN21" s="4"/>
      <c r="JIO21" s="4"/>
      <c r="JIP21" s="4"/>
      <c r="JIQ21" s="4"/>
      <c r="JIR21" s="4"/>
      <c r="JIS21" s="4"/>
      <c r="JIT21" s="4"/>
      <c r="JIU21" s="4"/>
      <c r="JIV21" s="4"/>
      <c r="JIW21" s="4"/>
      <c r="JIX21" s="4"/>
      <c r="JIY21" s="4"/>
      <c r="JIZ21" s="4"/>
      <c r="JJA21" s="4"/>
      <c r="JJB21" s="4"/>
      <c r="JJC21" s="4"/>
      <c r="JJD21" s="4"/>
      <c r="JJE21" s="4"/>
      <c r="JJF21" s="4"/>
      <c r="JJG21" s="4"/>
      <c r="JJH21" s="4"/>
      <c r="JJI21" s="4"/>
      <c r="JJJ21" s="4"/>
      <c r="JJK21" s="4"/>
      <c r="JJL21" s="4"/>
      <c r="JJM21" s="4"/>
      <c r="JJN21" s="4"/>
      <c r="JJO21" s="4"/>
      <c r="JJP21" s="4"/>
      <c r="JJQ21" s="4"/>
      <c r="JJR21" s="4"/>
      <c r="JJS21" s="4"/>
      <c r="JJT21" s="4"/>
      <c r="JJU21" s="4"/>
      <c r="JJV21" s="4"/>
      <c r="JJW21" s="4"/>
      <c r="JJX21" s="4"/>
      <c r="JJY21" s="4"/>
      <c r="JJZ21" s="4"/>
      <c r="JKA21" s="4"/>
      <c r="JKB21" s="4"/>
      <c r="JKC21" s="4"/>
      <c r="JKD21" s="4"/>
      <c r="JKE21" s="4"/>
      <c r="JKF21" s="4"/>
      <c r="JKG21" s="4"/>
      <c r="JKH21" s="4"/>
      <c r="JKI21" s="4"/>
      <c r="JKJ21" s="4"/>
      <c r="JKK21" s="4"/>
      <c r="JKL21" s="4"/>
      <c r="JKM21" s="4"/>
      <c r="JKN21" s="4"/>
      <c r="JKO21" s="4"/>
      <c r="JKP21" s="4"/>
      <c r="JKQ21" s="4"/>
      <c r="JKR21" s="4"/>
      <c r="JKS21" s="4"/>
      <c r="JKT21" s="4"/>
      <c r="JKU21" s="4"/>
      <c r="JKV21" s="4"/>
      <c r="JKW21" s="4"/>
      <c r="JKX21" s="4"/>
      <c r="JKY21" s="4"/>
      <c r="JKZ21" s="4"/>
      <c r="JLA21" s="4"/>
      <c r="JLB21" s="4"/>
      <c r="JLC21" s="4"/>
      <c r="JLD21" s="4"/>
      <c r="JLE21" s="4"/>
      <c r="JLF21" s="4"/>
      <c r="JLG21" s="4"/>
      <c r="JLH21" s="4"/>
      <c r="JLI21" s="4"/>
      <c r="JLJ21" s="4"/>
      <c r="JLK21" s="4"/>
      <c r="JLL21" s="4"/>
      <c r="JLM21" s="4"/>
      <c r="JLN21" s="4"/>
      <c r="JLO21" s="4"/>
      <c r="JLP21" s="4"/>
      <c r="JLQ21" s="4"/>
      <c r="JLR21" s="4"/>
      <c r="JLS21" s="4"/>
      <c r="JLT21" s="4"/>
      <c r="JLU21" s="4"/>
      <c r="JLV21" s="4"/>
      <c r="JLW21" s="4"/>
      <c r="JLX21" s="4"/>
      <c r="JLY21" s="4"/>
      <c r="JLZ21" s="4"/>
      <c r="JMA21" s="4"/>
      <c r="JMB21" s="4"/>
      <c r="JMC21" s="4"/>
      <c r="JMD21" s="4"/>
      <c r="JME21" s="4"/>
      <c r="JMF21" s="4"/>
      <c r="JMG21" s="4"/>
      <c r="JMH21" s="4"/>
      <c r="JMI21" s="4"/>
      <c r="JMJ21" s="4"/>
      <c r="JMK21" s="4"/>
      <c r="JML21" s="4"/>
      <c r="JMM21" s="4"/>
      <c r="JMN21" s="4"/>
      <c r="JMO21" s="4"/>
      <c r="JMP21" s="4"/>
      <c r="JMQ21" s="4"/>
      <c r="JMR21" s="4"/>
      <c r="JMS21" s="4"/>
      <c r="JMT21" s="4"/>
      <c r="JMU21" s="4"/>
      <c r="JMV21" s="4"/>
      <c r="JMW21" s="4"/>
      <c r="JMX21" s="4"/>
      <c r="JMY21" s="4"/>
      <c r="JMZ21" s="4"/>
      <c r="JNA21" s="4"/>
      <c r="JNB21" s="4"/>
      <c r="JNC21" s="4"/>
      <c r="JND21" s="4"/>
      <c r="JNE21" s="4"/>
      <c r="JNF21" s="4"/>
      <c r="JNG21" s="4"/>
      <c r="JNH21" s="4"/>
      <c r="JNI21" s="4"/>
      <c r="JNJ21" s="4"/>
      <c r="JNK21" s="4"/>
      <c r="JNL21" s="4"/>
      <c r="JNM21" s="4"/>
      <c r="JNN21" s="4"/>
      <c r="JNO21" s="4"/>
      <c r="JNP21" s="4"/>
      <c r="JNQ21" s="4"/>
      <c r="JNR21" s="4"/>
      <c r="JNS21" s="4"/>
      <c r="JNT21" s="4"/>
      <c r="JNU21" s="4"/>
      <c r="JNV21" s="4"/>
      <c r="JNW21" s="4"/>
      <c r="JNX21" s="4"/>
      <c r="JNY21" s="4"/>
      <c r="JNZ21" s="4"/>
      <c r="JOA21" s="4"/>
      <c r="JOB21" s="4"/>
      <c r="JOC21" s="4"/>
      <c r="JOD21" s="4"/>
      <c r="JOE21" s="4"/>
      <c r="JOF21" s="4"/>
      <c r="JOG21" s="4"/>
      <c r="JOH21" s="4"/>
      <c r="JOI21" s="4"/>
      <c r="JOJ21" s="4"/>
      <c r="JOK21" s="4"/>
      <c r="JOL21" s="4"/>
      <c r="JOM21" s="4"/>
      <c r="JON21" s="4"/>
      <c r="JOO21" s="4"/>
      <c r="JOP21" s="4"/>
      <c r="JOQ21" s="4"/>
      <c r="JOR21" s="4"/>
      <c r="JOS21" s="4"/>
      <c r="JOT21" s="4"/>
      <c r="JOU21" s="4"/>
      <c r="JOV21" s="4"/>
      <c r="JOW21" s="4"/>
      <c r="JOX21" s="4"/>
      <c r="JOY21" s="4"/>
      <c r="JOZ21" s="4"/>
      <c r="JPA21" s="4"/>
      <c r="JPB21" s="4"/>
      <c r="JPC21" s="4"/>
      <c r="JPD21" s="4"/>
      <c r="JPE21" s="4"/>
      <c r="JPF21" s="4"/>
      <c r="JPG21" s="4"/>
      <c r="JPH21" s="4"/>
      <c r="JPI21" s="4"/>
      <c r="JPJ21" s="4"/>
      <c r="JPK21" s="4"/>
      <c r="JPL21" s="4"/>
      <c r="JPM21" s="4"/>
      <c r="JPN21" s="4"/>
      <c r="JPO21" s="4"/>
      <c r="JPP21" s="4"/>
      <c r="JPQ21" s="4"/>
      <c r="JPR21" s="4"/>
      <c r="JPS21" s="4"/>
      <c r="JPT21" s="4"/>
      <c r="JPU21" s="4"/>
      <c r="JPV21" s="4"/>
      <c r="JPW21" s="4"/>
      <c r="JPX21" s="4"/>
      <c r="JPY21" s="4"/>
      <c r="JPZ21" s="4"/>
      <c r="JQA21" s="4"/>
      <c r="JQB21" s="4"/>
      <c r="JQC21" s="4"/>
      <c r="JQD21" s="4"/>
      <c r="JQE21" s="4"/>
      <c r="JQF21" s="4"/>
      <c r="JQG21" s="4"/>
      <c r="JQH21" s="4"/>
      <c r="JQI21" s="4"/>
      <c r="JQJ21" s="4"/>
      <c r="JQK21" s="4"/>
      <c r="JQL21" s="4"/>
      <c r="JQM21" s="4"/>
      <c r="JQN21" s="4"/>
      <c r="JQO21" s="4"/>
      <c r="JQP21" s="4"/>
      <c r="JQQ21" s="4"/>
      <c r="JQR21" s="4"/>
      <c r="JQS21" s="4"/>
      <c r="JQT21" s="4"/>
      <c r="JQU21" s="4"/>
      <c r="JQV21" s="4"/>
      <c r="JQW21" s="4"/>
      <c r="JQX21" s="4"/>
      <c r="JQY21" s="4"/>
      <c r="JQZ21" s="4"/>
      <c r="JRA21" s="4"/>
      <c r="JRB21" s="4"/>
      <c r="JRC21" s="4"/>
      <c r="JRD21" s="4"/>
      <c r="JRE21" s="4"/>
      <c r="JRF21" s="4"/>
      <c r="JRG21" s="4"/>
      <c r="JRH21" s="4"/>
      <c r="JRI21" s="4"/>
      <c r="JRJ21" s="4"/>
      <c r="JRK21" s="4"/>
      <c r="JRL21" s="4"/>
      <c r="JRM21" s="4"/>
      <c r="JRN21" s="4"/>
      <c r="JRO21" s="4"/>
      <c r="JRP21" s="4"/>
      <c r="JRQ21" s="4"/>
      <c r="JRR21" s="4"/>
      <c r="JRS21" s="4"/>
      <c r="JRT21" s="4"/>
      <c r="JRU21" s="4"/>
      <c r="JRV21" s="4"/>
      <c r="JRW21" s="4"/>
      <c r="JRX21" s="4"/>
      <c r="JRY21" s="4"/>
      <c r="JRZ21" s="4"/>
      <c r="JSA21" s="4"/>
      <c r="JSB21" s="4"/>
      <c r="JSC21" s="4"/>
      <c r="JSD21" s="4"/>
      <c r="JSE21" s="4"/>
      <c r="JSF21" s="4"/>
      <c r="JSG21" s="4"/>
      <c r="JSH21" s="4"/>
      <c r="JSI21" s="4"/>
      <c r="JSJ21" s="4"/>
      <c r="JSK21" s="4"/>
      <c r="JSL21" s="4"/>
      <c r="JSM21" s="4"/>
      <c r="JSN21" s="4"/>
      <c r="JSO21" s="4"/>
      <c r="JSP21" s="4"/>
      <c r="JSQ21" s="4"/>
      <c r="JSR21" s="4"/>
      <c r="JSS21" s="4"/>
      <c r="JST21" s="4"/>
      <c r="JSU21" s="4"/>
      <c r="JSV21" s="4"/>
      <c r="JSW21" s="4"/>
      <c r="JSX21" s="4"/>
      <c r="JSY21" s="4"/>
      <c r="JSZ21" s="4"/>
      <c r="JTA21" s="4"/>
      <c r="JTB21" s="4"/>
      <c r="JTC21" s="4"/>
      <c r="JTD21" s="4"/>
      <c r="JTE21" s="4"/>
      <c r="JTF21" s="4"/>
      <c r="JTG21" s="4"/>
      <c r="JTH21" s="4"/>
      <c r="JTI21" s="4"/>
      <c r="JTJ21" s="4"/>
      <c r="JTK21" s="4"/>
      <c r="JTL21" s="4"/>
      <c r="JTM21" s="4"/>
      <c r="JTN21" s="4"/>
      <c r="JTO21" s="4"/>
      <c r="JTP21" s="4"/>
      <c r="JTQ21" s="4"/>
      <c r="JTR21" s="4"/>
      <c r="JTS21" s="4"/>
      <c r="JTT21" s="4"/>
      <c r="JTU21" s="4"/>
      <c r="JTV21" s="4"/>
      <c r="JTW21" s="4"/>
      <c r="JTX21" s="4"/>
      <c r="JTY21" s="4"/>
      <c r="JTZ21" s="4"/>
      <c r="JUA21" s="4"/>
      <c r="JUB21" s="4"/>
      <c r="JUC21" s="4"/>
      <c r="JUD21" s="4"/>
      <c r="JUE21" s="4"/>
      <c r="JUF21" s="4"/>
      <c r="JUG21" s="4"/>
      <c r="JUH21" s="4"/>
      <c r="JUI21" s="4"/>
      <c r="JUJ21" s="4"/>
      <c r="JUK21" s="4"/>
      <c r="JUL21" s="4"/>
      <c r="JUM21" s="4"/>
      <c r="JUN21" s="4"/>
      <c r="JUO21" s="4"/>
      <c r="JUP21" s="4"/>
      <c r="JUQ21" s="4"/>
      <c r="JUR21" s="4"/>
      <c r="JUS21" s="4"/>
      <c r="JUT21" s="4"/>
      <c r="JUU21" s="4"/>
      <c r="JUV21" s="4"/>
      <c r="JUW21" s="4"/>
      <c r="JUX21" s="4"/>
      <c r="JUY21" s="4"/>
      <c r="JUZ21" s="4"/>
      <c r="JVA21" s="4"/>
      <c r="JVB21" s="4"/>
      <c r="JVC21" s="4"/>
      <c r="JVD21" s="4"/>
      <c r="JVE21" s="4"/>
      <c r="JVF21" s="4"/>
      <c r="JVG21" s="4"/>
      <c r="JVH21" s="4"/>
      <c r="JVI21" s="4"/>
      <c r="JVJ21" s="4"/>
      <c r="JVK21" s="4"/>
      <c r="JVL21" s="4"/>
      <c r="JVM21" s="4"/>
      <c r="JVN21" s="4"/>
      <c r="JVO21" s="4"/>
      <c r="JVP21" s="4"/>
      <c r="JVQ21" s="4"/>
      <c r="JVR21" s="4"/>
      <c r="JVS21" s="4"/>
      <c r="JVT21" s="4"/>
      <c r="JVU21" s="4"/>
      <c r="JVV21" s="4"/>
      <c r="JVW21" s="4"/>
      <c r="JVX21" s="4"/>
      <c r="JVY21" s="4"/>
      <c r="JVZ21" s="4"/>
      <c r="JWA21" s="4"/>
      <c r="JWB21" s="4"/>
      <c r="JWC21" s="4"/>
      <c r="JWD21" s="4"/>
      <c r="JWE21" s="4"/>
      <c r="JWF21" s="4"/>
      <c r="JWG21" s="4"/>
      <c r="JWH21" s="4"/>
      <c r="JWI21" s="4"/>
      <c r="JWJ21" s="4"/>
      <c r="JWK21" s="4"/>
      <c r="JWL21" s="4"/>
      <c r="JWM21" s="4"/>
      <c r="JWN21" s="4"/>
      <c r="JWO21" s="4"/>
      <c r="JWP21" s="4"/>
      <c r="JWQ21" s="4"/>
      <c r="JWR21" s="4"/>
      <c r="JWS21" s="4"/>
      <c r="JWT21" s="4"/>
      <c r="JWU21" s="4"/>
      <c r="JWV21" s="4"/>
      <c r="JWW21" s="4"/>
      <c r="JWX21" s="4"/>
      <c r="JWY21" s="4"/>
      <c r="JWZ21" s="4"/>
      <c r="JXA21" s="4"/>
      <c r="JXB21" s="4"/>
      <c r="JXC21" s="4"/>
      <c r="JXD21" s="4"/>
      <c r="JXE21" s="4"/>
      <c r="JXF21" s="4"/>
      <c r="JXG21" s="4"/>
      <c r="JXH21" s="4"/>
      <c r="JXI21" s="4"/>
      <c r="JXJ21" s="4"/>
      <c r="JXK21" s="4"/>
      <c r="JXL21" s="4"/>
      <c r="JXM21" s="4"/>
      <c r="JXN21" s="4"/>
      <c r="JXO21" s="4"/>
      <c r="JXP21" s="4"/>
      <c r="JXQ21" s="4"/>
      <c r="JXR21" s="4"/>
      <c r="JXS21" s="4"/>
      <c r="JXT21" s="4"/>
      <c r="JXU21" s="4"/>
      <c r="JXV21" s="4"/>
      <c r="JXW21" s="4"/>
      <c r="JXX21" s="4"/>
      <c r="JXY21" s="4"/>
      <c r="JXZ21" s="4"/>
      <c r="JYA21" s="4"/>
      <c r="JYB21" s="4"/>
      <c r="JYC21" s="4"/>
      <c r="JYD21" s="4"/>
      <c r="JYE21" s="4"/>
      <c r="JYF21" s="4"/>
      <c r="JYG21" s="4"/>
      <c r="JYH21" s="4"/>
      <c r="JYI21" s="4"/>
      <c r="JYJ21" s="4"/>
      <c r="JYK21" s="4"/>
      <c r="JYL21" s="4"/>
      <c r="JYM21" s="4"/>
      <c r="JYN21" s="4"/>
      <c r="JYO21" s="4"/>
      <c r="JYP21" s="4"/>
      <c r="JYQ21" s="4"/>
      <c r="JYR21" s="4"/>
      <c r="JYS21" s="4"/>
      <c r="JYT21" s="4"/>
      <c r="JYU21" s="4"/>
      <c r="JYV21" s="4"/>
      <c r="JYW21" s="4"/>
      <c r="JYX21" s="4"/>
      <c r="JYY21" s="4"/>
      <c r="JYZ21" s="4"/>
      <c r="JZA21" s="4"/>
      <c r="JZB21" s="4"/>
      <c r="JZC21" s="4"/>
      <c r="JZD21" s="4"/>
      <c r="JZE21" s="4"/>
      <c r="JZF21" s="4"/>
      <c r="JZG21" s="4"/>
      <c r="JZH21" s="4"/>
      <c r="JZI21" s="4"/>
      <c r="JZJ21" s="4"/>
      <c r="JZK21" s="4"/>
      <c r="JZL21" s="4"/>
      <c r="JZM21" s="4"/>
      <c r="JZN21" s="4"/>
      <c r="JZO21" s="4"/>
      <c r="JZP21" s="4"/>
      <c r="JZQ21" s="4"/>
      <c r="JZR21" s="4"/>
      <c r="JZS21" s="4"/>
      <c r="JZT21" s="4"/>
      <c r="JZU21" s="4"/>
      <c r="JZV21" s="4"/>
      <c r="JZW21" s="4"/>
      <c r="JZX21" s="4"/>
      <c r="JZY21" s="4"/>
      <c r="JZZ21" s="4"/>
      <c r="KAA21" s="4"/>
      <c r="KAB21" s="4"/>
      <c r="KAC21" s="4"/>
      <c r="KAD21" s="4"/>
      <c r="KAE21" s="4"/>
      <c r="KAF21" s="4"/>
      <c r="KAG21" s="4"/>
      <c r="KAH21" s="4"/>
      <c r="KAI21" s="4"/>
      <c r="KAJ21" s="4"/>
      <c r="KAK21" s="4"/>
      <c r="KAL21" s="4"/>
      <c r="KAM21" s="4"/>
      <c r="KAN21" s="4"/>
      <c r="KAO21" s="4"/>
      <c r="KAP21" s="4"/>
      <c r="KAQ21" s="4"/>
      <c r="KAR21" s="4"/>
      <c r="KAS21" s="4"/>
      <c r="KAT21" s="4"/>
      <c r="KAU21" s="4"/>
      <c r="KAV21" s="4"/>
      <c r="KAW21" s="4"/>
      <c r="KAX21" s="4"/>
      <c r="KAY21" s="4"/>
      <c r="KAZ21" s="4"/>
      <c r="KBA21" s="4"/>
      <c r="KBB21" s="4"/>
      <c r="KBC21" s="4"/>
      <c r="KBD21" s="4"/>
      <c r="KBE21" s="4"/>
      <c r="KBF21" s="4"/>
      <c r="KBG21" s="4"/>
      <c r="KBH21" s="4"/>
      <c r="KBI21" s="4"/>
      <c r="KBJ21" s="4"/>
      <c r="KBK21" s="4"/>
      <c r="KBL21" s="4"/>
      <c r="KBM21" s="4"/>
      <c r="KBN21" s="4"/>
      <c r="KBO21" s="4"/>
      <c r="KBP21" s="4"/>
      <c r="KBQ21" s="4"/>
      <c r="KBR21" s="4"/>
      <c r="KBS21" s="4"/>
      <c r="KBT21" s="4"/>
      <c r="KBU21" s="4"/>
      <c r="KBV21" s="4"/>
      <c r="KBW21" s="4"/>
      <c r="KBX21" s="4"/>
      <c r="KBY21" s="4"/>
      <c r="KBZ21" s="4"/>
      <c r="KCA21" s="4"/>
      <c r="KCB21" s="4"/>
      <c r="KCC21" s="4"/>
      <c r="KCD21" s="4"/>
      <c r="KCE21" s="4"/>
      <c r="KCF21" s="4"/>
      <c r="KCG21" s="4"/>
      <c r="KCH21" s="4"/>
      <c r="KCI21" s="4"/>
      <c r="KCJ21" s="4"/>
      <c r="KCK21" s="4"/>
      <c r="KCL21" s="4"/>
      <c r="KCM21" s="4"/>
      <c r="KCN21" s="4"/>
      <c r="KCO21" s="4"/>
      <c r="KCP21" s="4"/>
      <c r="KCQ21" s="4"/>
      <c r="KCR21" s="4"/>
      <c r="KCS21" s="4"/>
      <c r="KCT21" s="4"/>
      <c r="KCU21" s="4"/>
      <c r="KCV21" s="4"/>
      <c r="KCW21" s="4"/>
      <c r="KCX21" s="4"/>
      <c r="KCY21" s="4"/>
      <c r="KCZ21" s="4"/>
      <c r="KDA21" s="4"/>
      <c r="KDB21" s="4"/>
      <c r="KDC21" s="4"/>
      <c r="KDD21" s="4"/>
      <c r="KDE21" s="4"/>
      <c r="KDF21" s="4"/>
      <c r="KDG21" s="4"/>
      <c r="KDH21" s="4"/>
      <c r="KDI21" s="4"/>
      <c r="KDJ21" s="4"/>
      <c r="KDK21" s="4"/>
      <c r="KDL21" s="4"/>
      <c r="KDM21" s="4"/>
      <c r="KDN21" s="4"/>
      <c r="KDO21" s="4"/>
      <c r="KDP21" s="4"/>
      <c r="KDQ21" s="4"/>
      <c r="KDR21" s="4"/>
      <c r="KDS21" s="4"/>
      <c r="KDT21" s="4"/>
      <c r="KDU21" s="4"/>
      <c r="KDV21" s="4"/>
      <c r="KDW21" s="4"/>
      <c r="KDX21" s="4"/>
      <c r="KDY21" s="4"/>
      <c r="KDZ21" s="4"/>
      <c r="KEA21" s="4"/>
      <c r="KEB21" s="4"/>
      <c r="KEC21" s="4"/>
      <c r="KED21" s="4"/>
      <c r="KEE21" s="4"/>
      <c r="KEF21" s="4"/>
      <c r="KEG21" s="4"/>
      <c r="KEH21" s="4"/>
      <c r="KEI21" s="4"/>
      <c r="KEJ21" s="4"/>
      <c r="KEK21" s="4"/>
      <c r="KEL21" s="4"/>
      <c r="KEM21" s="4"/>
      <c r="KEN21" s="4"/>
      <c r="KEO21" s="4"/>
      <c r="KEP21" s="4"/>
      <c r="KEQ21" s="4"/>
      <c r="KER21" s="4"/>
      <c r="KES21" s="4"/>
      <c r="KET21" s="4"/>
      <c r="KEU21" s="4"/>
      <c r="KEV21" s="4"/>
      <c r="KEW21" s="4"/>
      <c r="KEX21" s="4"/>
      <c r="KEY21" s="4"/>
      <c r="KEZ21" s="4"/>
      <c r="KFA21" s="4"/>
      <c r="KFB21" s="4"/>
      <c r="KFC21" s="4"/>
      <c r="KFD21" s="4"/>
      <c r="KFE21" s="4"/>
      <c r="KFF21" s="4"/>
      <c r="KFG21" s="4"/>
      <c r="KFH21" s="4"/>
      <c r="KFI21" s="4"/>
      <c r="KFJ21" s="4"/>
      <c r="KFK21" s="4"/>
      <c r="KFL21" s="4"/>
      <c r="KFM21" s="4"/>
      <c r="KFN21" s="4"/>
      <c r="KFO21" s="4"/>
      <c r="KFP21" s="4"/>
      <c r="KFQ21" s="4"/>
      <c r="KFR21" s="4"/>
      <c r="KFS21" s="4"/>
      <c r="KFT21" s="4"/>
      <c r="KFU21" s="4"/>
      <c r="KFV21" s="4"/>
      <c r="KFW21" s="4"/>
      <c r="KFX21" s="4"/>
      <c r="KFY21" s="4"/>
      <c r="KFZ21" s="4"/>
      <c r="KGA21" s="4"/>
      <c r="KGB21" s="4"/>
      <c r="KGC21" s="4"/>
      <c r="KGD21" s="4"/>
      <c r="KGE21" s="4"/>
      <c r="KGF21" s="4"/>
      <c r="KGG21" s="4"/>
      <c r="KGH21" s="4"/>
      <c r="KGI21" s="4"/>
      <c r="KGJ21" s="4"/>
      <c r="KGK21" s="4"/>
      <c r="KGL21" s="4"/>
      <c r="KGM21" s="4"/>
      <c r="KGN21" s="4"/>
      <c r="KGO21" s="4"/>
      <c r="KGP21" s="4"/>
      <c r="KGQ21" s="4"/>
      <c r="KGR21" s="4"/>
      <c r="KGS21" s="4"/>
      <c r="KGT21" s="4"/>
      <c r="KGU21" s="4"/>
      <c r="KGV21" s="4"/>
      <c r="KGW21" s="4"/>
      <c r="KGX21" s="4"/>
      <c r="KGY21" s="4"/>
      <c r="KGZ21" s="4"/>
      <c r="KHA21" s="4"/>
      <c r="KHB21" s="4"/>
      <c r="KHC21" s="4"/>
      <c r="KHD21" s="4"/>
      <c r="KHE21" s="4"/>
      <c r="KHF21" s="4"/>
      <c r="KHG21" s="4"/>
      <c r="KHH21" s="4"/>
      <c r="KHI21" s="4"/>
      <c r="KHJ21" s="4"/>
      <c r="KHK21" s="4"/>
      <c r="KHL21" s="4"/>
      <c r="KHM21" s="4"/>
      <c r="KHN21" s="4"/>
      <c r="KHO21" s="4"/>
      <c r="KHP21" s="4"/>
      <c r="KHQ21" s="4"/>
      <c r="KHR21" s="4"/>
      <c r="KHS21" s="4"/>
      <c r="KHT21" s="4"/>
      <c r="KHU21" s="4"/>
      <c r="KHV21" s="4"/>
      <c r="KHW21" s="4"/>
      <c r="KHX21" s="4"/>
      <c r="KHY21" s="4"/>
      <c r="KHZ21" s="4"/>
      <c r="KIA21" s="4"/>
      <c r="KIB21" s="4"/>
      <c r="KIC21" s="4"/>
      <c r="KID21" s="4"/>
      <c r="KIE21" s="4"/>
      <c r="KIF21" s="4"/>
      <c r="KIG21" s="4"/>
      <c r="KIH21" s="4"/>
      <c r="KII21" s="4"/>
      <c r="KIJ21" s="4"/>
      <c r="KIK21" s="4"/>
      <c r="KIL21" s="4"/>
      <c r="KIM21" s="4"/>
      <c r="KIN21" s="4"/>
      <c r="KIO21" s="4"/>
      <c r="KIP21" s="4"/>
      <c r="KIQ21" s="4"/>
      <c r="KIR21" s="4"/>
      <c r="KIS21" s="4"/>
      <c r="KIT21" s="4"/>
      <c r="KIU21" s="4"/>
      <c r="KIV21" s="4"/>
      <c r="KIW21" s="4"/>
      <c r="KIX21" s="4"/>
      <c r="KIY21" s="4"/>
      <c r="KIZ21" s="4"/>
      <c r="KJA21" s="4"/>
      <c r="KJB21" s="4"/>
      <c r="KJC21" s="4"/>
      <c r="KJD21" s="4"/>
      <c r="KJE21" s="4"/>
      <c r="KJF21" s="4"/>
      <c r="KJG21" s="4"/>
      <c r="KJH21" s="4"/>
      <c r="KJI21" s="4"/>
      <c r="KJJ21" s="4"/>
      <c r="KJK21" s="4"/>
      <c r="KJL21" s="4"/>
      <c r="KJM21" s="4"/>
      <c r="KJN21" s="4"/>
      <c r="KJO21" s="4"/>
      <c r="KJP21" s="4"/>
      <c r="KJQ21" s="4"/>
      <c r="KJR21" s="4"/>
      <c r="KJS21" s="4"/>
      <c r="KJT21" s="4"/>
      <c r="KJU21" s="4"/>
      <c r="KJV21" s="4"/>
      <c r="KJW21" s="4"/>
      <c r="KJX21" s="4"/>
      <c r="KJY21" s="4"/>
      <c r="KJZ21" s="4"/>
      <c r="KKA21" s="4"/>
      <c r="KKB21" s="4"/>
      <c r="KKC21" s="4"/>
      <c r="KKD21" s="4"/>
      <c r="KKE21" s="4"/>
      <c r="KKF21" s="4"/>
      <c r="KKG21" s="4"/>
      <c r="KKH21" s="4"/>
      <c r="KKI21" s="4"/>
      <c r="KKJ21" s="4"/>
      <c r="KKK21" s="4"/>
      <c r="KKL21" s="4"/>
      <c r="KKM21" s="4"/>
      <c r="KKN21" s="4"/>
      <c r="KKO21" s="4"/>
      <c r="KKP21" s="4"/>
      <c r="KKQ21" s="4"/>
      <c r="KKR21" s="4"/>
      <c r="KKS21" s="4"/>
      <c r="KKT21" s="4"/>
      <c r="KKU21" s="4"/>
      <c r="KKV21" s="4"/>
      <c r="KKW21" s="4"/>
      <c r="KKX21" s="4"/>
      <c r="KKY21" s="4"/>
      <c r="KKZ21" s="4"/>
      <c r="KLA21" s="4"/>
      <c r="KLB21" s="4"/>
      <c r="KLC21" s="4"/>
      <c r="KLD21" s="4"/>
      <c r="KLE21" s="4"/>
      <c r="KLF21" s="4"/>
      <c r="KLG21" s="4"/>
      <c r="KLH21" s="4"/>
      <c r="KLI21" s="4"/>
      <c r="KLJ21" s="4"/>
      <c r="KLK21" s="4"/>
      <c r="KLL21" s="4"/>
      <c r="KLM21" s="4"/>
      <c r="KLN21" s="4"/>
      <c r="KLO21" s="4"/>
      <c r="KLP21" s="4"/>
      <c r="KLQ21" s="4"/>
      <c r="KLR21" s="4"/>
      <c r="KLS21" s="4"/>
      <c r="KLT21" s="4"/>
      <c r="KLU21" s="4"/>
      <c r="KLV21" s="4"/>
      <c r="KLW21" s="4"/>
      <c r="KLX21" s="4"/>
      <c r="KLY21" s="4"/>
      <c r="KLZ21" s="4"/>
      <c r="KMA21" s="4"/>
      <c r="KMB21" s="4"/>
      <c r="KMC21" s="4"/>
      <c r="KMD21" s="4"/>
      <c r="KME21" s="4"/>
      <c r="KMF21" s="4"/>
      <c r="KMG21" s="4"/>
      <c r="KMH21" s="4"/>
      <c r="KMI21" s="4"/>
      <c r="KMJ21" s="4"/>
      <c r="KMK21" s="4"/>
      <c r="KML21" s="4"/>
      <c r="KMM21" s="4"/>
      <c r="KMN21" s="4"/>
      <c r="KMO21" s="4"/>
      <c r="KMP21" s="4"/>
      <c r="KMQ21" s="4"/>
      <c r="KMR21" s="4"/>
      <c r="KMS21" s="4"/>
      <c r="KMT21" s="4"/>
      <c r="KMU21" s="4"/>
      <c r="KMV21" s="4"/>
      <c r="KMW21" s="4"/>
      <c r="KMX21" s="4"/>
      <c r="KMY21" s="4"/>
      <c r="KMZ21" s="4"/>
      <c r="KNA21" s="4"/>
      <c r="KNB21" s="4"/>
      <c r="KNC21" s="4"/>
      <c r="KND21" s="4"/>
      <c r="KNE21" s="4"/>
      <c r="KNF21" s="4"/>
      <c r="KNG21" s="4"/>
      <c r="KNH21" s="4"/>
      <c r="KNI21" s="4"/>
      <c r="KNJ21" s="4"/>
      <c r="KNK21" s="4"/>
      <c r="KNL21" s="4"/>
      <c r="KNM21" s="4"/>
      <c r="KNN21" s="4"/>
      <c r="KNO21" s="4"/>
      <c r="KNP21" s="4"/>
      <c r="KNQ21" s="4"/>
      <c r="KNR21" s="4"/>
      <c r="KNS21" s="4"/>
      <c r="KNT21" s="4"/>
      <c r="KNU21" s="4"/>
      <c r="KNV21" s="4"/>
      <c r="KNW21" s="4"/>
      <c r="KNX21" s="4"/>
      <c r="KNY21" s="4"/>
      <c r="KNZ21" s="4"/>
      <c r="KOA21" s="4"/>
      <c r="KOB21" s="4"/>
      <c r="KOC21" s="4"/>
      <c r="KOD21" s="4"/>
      <c r="KOE21" s="4"/>
      <c r="KOF21" s="4"/>
      <c r="KOG21" s="4"/>
      <c r="KOH21" s="4"/>
      <c r="KOI21" s="4"/>
      <c r="KOJ21" s="4"/>
      <c r="KOK21" s="4"/>
      <c r="KOL21" s="4"/>
      <c r="KOM21" s="4"/>
      <c r="KON21" s="4"/>
      <c r="KOO21" s="4"/>
      <c r="KOP21" s="4"/>
      <c r="KOQ21" s="4"/>
      <c r="KOR21" s="4"/>
      <c r="KOS21" s="4"/>
      <c r="KOT21" s="4"/>
      <c r="KOU21" s="4"/>
      <c r="KOV21" s="4"/>
      <c r="KOW21" s="4"/>
      <c r="KOX21" s="4"/>
      <c r="KOY21" s="4"/>
      <c r="KOZ21" s="4"/>
      <c r="KPA21" s="4"/>
      <c r="KPB21" s="4"/>
      <c r="KPC21" s="4"/>
      <c r="KPD21" s="4"/>
      <c r="KPE21" s="4"/>
      <c r="KPF21" s="4"/>
      <c r="KPG21" s="4"/>
      <c r="KPH21" s="4"/>
      <c r="KPI21" s="4"/>
      <c r="KPJ21" s="4"/>
      <c r="KPK21" s="4"/>
      <c r="KPL21" s="4"/>
      <c r="KPM21" s="4"/>
      <c r="KPN21" s="4"/>
      <c r="KPO21" s="4"/>
      <c r="KPP21" s="4"/>
      <c r="KPQ21" s="4"/>
      <c r="KPR21" s="4"/>
      <c r="KPS21" s="4"/>
      <c r="KPT21" s="4"/>
      <c r="KPU21" s="4"/>
      <c r="KPV21" s="4"/>
      <c r="KPW21" s="4"/>
      <c r="KPX21" s="4"/>
      <c r="KPY21" s="4"/>
      <c r="KPZ21" s="4"/>
      <c r="KQA21" s="4"/>
      <c r="KQB21" s="4"/>
      <c r="KQC21" s="4"/>
      <c r="KQD21" s="4"/>
      <c r="KQE21" s="4"/>
      <c r="KQF21" s="4"/>
      <c r="KQG21" s="4"/>
      <c r="KQH21" s="4"/>
      <c r="KQI21" s="4"/>
      <c r="KQJ21" s="4"/>
      <c r="KQK21" s="4"/>
      <c r="KQL21" s="4"/>
      <c r="KQM21" s="4"/>
      <c r="KQN21" s="4"/>
      <c r="KQO21" s="4"/>
      <c r="KQP21" s="4"/>
      <c r="KQQ21" s="4"/>
      <c r="KQR21" s="4"/>
      <c r="KQS21" s="4"/>
      <c r="KQT21" s="4"/>
      <c r="KQU21" s="4"/>
      <c r="KQV21" s="4"/>
      <c r="KQW21" s="4"/>
      <c r="KQX21" s="4"/>
      <c r="KQY21" s="4"/>
      <c r="KQZ21" s="4"/>
      <c r="KRA21" s="4"/>
      <c r="KRB21" s="4"/>
      <c r="KRC21" s="4"/>
      <c r="KRD21" s="4"/>
      <c r="KRE21" s="4"/>
      <c r="KRF21" s="4"/>
      <c r="KRG21" s="4"/>
      <c r="KRH21" s="4"/>
      <c r="KRI21" s="4"/>
      <c r="KRJ21" s="4"/>
      <c r="KRK21" s="4"/>
      <c r="KRL21" s="4"/>
      <c r="KRM21" s="4"/>
      <c r="KRN21" s="4"/>
      <c r="KRO21" s="4"/>
      <c r="KRP21" s="4"/>
      <c r="KRQ21" s="4"/>
      <c r="KRR21" s="4"/>
      <c r="KRS21" s="4"/>
      <c r="KRT21" s="4"/>
      <c r="KRU21" s="4"/>
      <c r="KRV21" s="4"/>
      <c r="KRW21" s="4"/>
      <c r="KRX21" s="4"/>
      <c r="KRY21" s="4"/>
      <c r="KRZ21" s="4"/>
      <c r="KSA21" s="4"/>
      <c r="KSB21" s="4"/>
      <c r="KSC21" s="4"/>
      <c r="KSD21" s="4"/>
      <c r="KSE21" s="4"/>
      <c r="KSF21" s="4"/>
      <c r="KSG21" s="4"/>
      <c r="KSH21" s="4"/>
      <c r="KSI21" s="4"/>
      <c r="KSJ21" s="4"/>
      <c r="KSK21" s="4"/>
      <c r="KSL21" s="4"/>
      <c r="KSM21" s="4"/>
      <c r="KSN21" s="4"/>
      <c r="KSO21" s="4"/>
      <c r="KSP21" s="4"/>
      <c r="KSQ21" s="4"/>
      <c r="KSR21" s="4"/>
      <c r="KSS21" s="4"/>
      <c r="KST21" s="4"/>
      <c r="KSU21" s="4"/>
      <c r="KSV21" s="4"/>
      <c r="KSW21" s="4"/>
      <c r="KSX21" s="4"/>
      <c r="KSY21" s="4"/>
      <c r="KSZ21" s="4"/>
      <c r="KTA21" s="4"/>
      <c r="KTB21" s="4"/>
      <c r="KTC21" s="4"/>
      <c r="KTD21" s="4"/>
      <c r="KTE21" s="4"/>
      <c r="KTF21" s="4"/>
      <c r="KTG21" s="4"/>
      <c r="KTH21" s="4"/>
      <c r="KTI21" s="4"/>
      <c r="KTJ21" s="4"/>
      <c r="KTK21" s="4"/>
      <c r="KTL21" s="4"/>
      <c r="KTM21" s="4"/>
      <c r="KTN21" s="4"/>
      <c r="KTO21" s="4"/>
      <c r="KTP21" s="4"/>
      <c r="KTQ21" s="4"/>
      <c r="KTR21" s="4"/>
      <c r="KTS21" s="4"/>
      <c r="KTT21" s="4"/>
      <c r="KTU21" s="4"/>
      <c r="KTV21" s="4"/>
      <c r="KTW21" s="4"/>
      <c r="KTX21" s="4"/>
      <c r="KTY21" s="4"/>
      <c r="KTZ21" s="4"/>
      <c r="KUA21" s="4"/>
      <c r="KUB21" s="4"/>
      <c r="KUC21" s="4"/>
      <c r="KUD21" s="4"/>
      <c r="KUE21" s="4"/>
      <c r="KUF21" s="4"/>
      <c r="KUG21" s="4"/>
      <c r="KUH21" s="4"/>
      <c r="KUI21" s="4"/>
      <c r="KUJ21" s="4"/>
      <c r="KUK21" s="4"/>
      <c r="KUL21" s="4"/>
      <c r="KUM21" s="4"/>
      <c r="KUN21" s="4"/>
      <c r="KUO21" s="4"/>
      <c r="KUP21" s="4"/>
      <c r="KUQ21" s="4"/>
      <c r="KUR21" s="4"/>
      <c r="KUS21" s="4"/>
      <c r="KUT21" s="4"/>
      <c r="KUU21" s="4"/>
      <c r="KUV21" s="4"/>
      <c r="KUW21" s="4"/>
      <c r="KUX21" s="4"/>
      <c r="KUY21" s="4"/>
      <c r="KUZ21" s="4"/>
      <c r="KVA21" s="4"/>
      <c r="KVB21" s="4"/>
      <c r="KVC21" s="4"/>
      <c r="KVD21" s="4"/>
      <c r="KVE21" s="4"/>
      <c r="KVF21" s="4"/>
      <c r="KVG21" s="4"/>
      <c r="KVH21" s="4"/>
      <c r="KVI21" s="4"/>
      <c r="KVJ21" s="4"/>
      <c r="KVK21" s="4"/>
      <c r="KVL21" s="4"/>
      <c r="KVM21" s="4"/>
      <c r="KVN21" s="4"/>
      <c r="KVO21" s="4"/>
      <c r="KVP21" s="4"/>
      <c r="KVQ21" s="4"/>
      <c r="KVR21" s="4"/>
      <c r="KVS21" s="4"/>
      <c r="KVT21" s="4"/>
      <c r="KVU21" s="4"/>
      <c r="KVV21" s="4"/>
      <c r="KVW21" s="4"/>
      <c r="KVX21" s="4"/>
      <c r="KVY21" s="4"/>
      <c r="KVZ21" s="4"/>
      <c r="KWA21" s="4"/>
      <c r="KWB21" s="4"/>
      <c r="KWC21" s="4"/>
      <c r="KWD21" s="4"/>
      <c r="KWE21" s="4"/>
      <c r="KWF21" s="4"/>
      <c r="KWG21" s="4"/>
      <c r="KWH21" s="4"/>
      <c r="KWI21" s="4"/>
      <c r="KWJ21" s="4"/>
      <c r="KWK21" s="4"/>
      <c r="KWL21" s="4"/>
      <c r="KWM21" s="4"/>
      <c r="KWN21" s="4"/>
      <c r="KWO21" s="4"/>
      <c r="KWP21" s="4"/>
      <c r="KWQ21" s="4"/>
      <c r="KWR21" s="4"/>
      <c r="KWS21" s="4"/>
      <c r="KWT21" s="4"/>
      <c r="KWU21" s="4"/>
      <c r="KWV21" s="4"/>
      <c r="KWW21" s="4"/>
      <c r="KWX21" s="4"/>
      <c r="KWY21" s="4"/>
      <c r="KWZ21" s="4"/>
      <c r="KXA21" s="4"/>
      <c r="KXB21" s="4"/>
      <c r="KXC21" s="4"/>
      <c r="KXD21" s="4"/>
      <c r="KXE21" s="4"/>
      <c r="KXF21" s="4"/>
      <c r="KXG21" s="4"/>
      <c r="KXH21" s="4"/>
      <c r="KXI21" s="4"/>
      <c r="KXJ21" s="4"/>
      <c r="KXK21" s="4"/>
      <c r="KXL21" s="4"/>
      <c r="KXM21" s="4"/>
      <c r="KXN21" s="4"/>
      <c r="KXO21" s="4"/>
      <c r="KXP21" s="4"/>
      <c r="KXQ21" s="4"/>
      <c r="KXR21" s="4"/>
      <c r="KXS21" s="4"/>
      <c r="KXT21" s="4"/>
      <c r="KXU21" s="4"/>
      <c r="KXV21" s="4"/>
      <c r="KXW21" s="4"/>
      <c r="KXX21" s="4"/>
      <c r="KXY21" s="4"/>
      <c r="KXZ21" s="4"/>
      <c r="KYA21" s="4"/>
      <c r="KYB21" s="4"/>
      <c r="KYC21" s="4"/>
      <c r="KYD21" s="4"/>
      <c r="KYE21" s="4"/>
      <c r="KYF21" s="4"/>
      <c r="KYG21" s="4"/>
      <c r="KYH21" s="4"/>
      <c r="KYI21" s="4"/>
      <c r="KYJ21" s="4"/>
      <c r="KYK21" s="4"/>
      <c r="KYL21" s="4"/>
      <c r="KYM21" s="4"/>
      <c r="KYN21" s="4"/>
      <c r="KYO21" s="4"/>
      <c r="KYP21" s="4"/>
      <c r="KYQ21" s="4"/>
      <c r="KYR21" s="4"/>
      <c r="KYS21" s="4"/>
      <c r="KYT21" s="4"/>
      <c r="KYU21" s="4"/>
      <c r="KYV21" s="4"/>
      <c r="KYW21" s="4"/>
      <c r="KYX21" s="4"/>
      <c r="KYY21" s="4"/>
      <c r="KYZ21" s="4"/>
      <c r="KZA21" s="4"/>
      <c r="KZB21" s="4"/>
      <c r="KZC21" s="4"/>
      <c r="KZD21" s="4"/>
      <c r="KZE21" s="4"/>
      <c r="KZF21" s="4"/>
      <c r="KZG21" s="4"/>
      <c r="KZH21" s="4"/>
      <c r="KZI21" s="4"/>
      <c r="KZJ21" s="4"/>
      <c r="KZK21" s="4"/>
      <c r="KZL21" s="4"/>
      <c r="KZM21" s="4"/>
      <c r="KZN21" s="4"/>
      <c r="KZO21" s="4"/>
      <c r="KZP21" s="4"/>
      <c r="KZQ21" s="4"/>
      <c r="KZR21" s="4"/>
      <c r="KZS21" s="4"/>
      <c r="KZT21" s="4"/>
      <c r="KZU21" s="4"/>
      <c r="KZV21" s="4"/>
      <c r="KZW21" s="4"/>
      <c r="KZX21" s="4"/>
      <c r="KZY21" s="4"/>
      <c r="KZZ21" s="4"/>
      <c r="LAA21" s="4"/>
      <c r="LAB21" s="4"/>
      <c r="LAC21" s="4"/>
      <c r="LAD21" s="4"/>
      <c r="LAE21" s="4"/>
      <c r="LAF21" s="4"/>
      <c r="LAG21" s="4"/>
      <c r="LAH21" s="4"/>
      <c r="LAI21" s="4"/>
      <c r="LAJ21" s="4"/>
      <c r="LAK21" s="4"/>
      <c r="LAL21" s="4"/>
      <c r="LAM21" s="4"/>
      <c r="LAN21" s="4"/>
      <c r="LAO21" s="4"/>
      <c r="LAP21" s="4"/>
      <c r="LAQ21" s="4"/>
      <c r="LAR21" s="4"/>
      <c r="LAS21" s="4"/>
      <c r="LAT21" s="4"/>
      <c r="LAU21" s="4"/>
      <c r="LAV21" s="4"/>
      <c r="LAW21" s="4"/>
      <c r="LAX21" s="4"/>
      <c r="LAY21" s="4"/>
      <c r="LAZ21" s="4"/>
      <c r="LBA21" s="4"/>
      <c r="LBB21" s="4"/>
      <c r="LBC21" s="4"/>
      <c r="LBD21" s="4"/>
      <c r="LBE21" s="4"/>
      <c r="LBF21" s="4"/>
      <c r="LBG21" s="4"/>
      <c r="LBH21" s="4"/>
      <c r="LBI21" s="4"/>
      <c r="LBJ21" s="4"/>
      <c r="LBK21" s="4"/>
      <c r="LBL21" s="4"/>
      <c r="LBM21" s="4"/>
      <c r="LBN21" s="4"/>
      <c r="LBO21" s="4"/>
      <c r="LBP21" s="4"/>
      <c r="LBQ21" s="4"/>
      <c r="LBR21" s="4"/>
      <c r="LBS21" s="4"/>
      <c r="LBT21" s="4"/>
      <c r="LBU21" s="4"/>
      <c r="LBV21" s="4"/>
      <c r="LBW21" s="4"/>
      <c r="LBX21" s="4"/>
      <c r="LBY21" s="4"/>
      <c r="LBZ21" s="4"/>
      <c r="LCA21" s="4"/>
      <c r="LCB21" s="4"/>
      <c r="LCC21" s="4"/>
      <c r="LCD21" s="4"/>
      <c r="LCE21" s="4"/>
      <c r="LCF21" s="4"/>
      <c r="LCG21" s="4"/>
      <c r="LCH21" s="4"/>
      <c r="LCI21" s="4"/>
      <c r="LCJ21" s="4"/>
      <c r="LCK21" s="4"/>
      <c r="LCL21" s="4"/>
      <c r="LCM21" s="4"/>
      <c r="LCN21" s="4"/>
      <c r="LCO21" s="4"/>
      <c r="LCP21" s="4"/>
      <c r="LCQ21" s="4"/>
      <c r="LCR21" s="4"/>
      <c r="LCS21" s="4"/>
      <c r="LCT21" s="4"/>
      <c r="LCU21" s="4"/>
      <c r="LCV21" s="4"/>
      <c r="LCW21" s="4"/>
      <c r="LCX21" s="4"/>
      <c r="LCY21" s="4"/>
      <c r="LCZ21" s="4"/>
      <c r="LDA21" s="4"/>
      <c r="LDB21" s="4"/>
      <c r="LDC21" s="4"/>
      <c r="LDD21" s="4"/>
      <c r="LDE21" s="4"/>
      <c r="LDF21" s="4"/>
      <c r="LDG21" s="4"/>
      <c r="LDH21" s="4"/>
      <c r="LDI21" s="4"/>
      <c r="LDJ21" s="4"/>
      <c r="LDK21" s="4"/>
      <c r="LDL21" s="4"/>
      <c r="LDM21" s="4"/>
      <c r="LDN21" s="4"/>
      <c r="LDO21" s="4"/>
      <c r="LDP21" s="4"/>
      <c r="LDQ21" s="4"/>
      <c r="LDR21" s="4"/>
      <c r="LDS21" s="4"/>
      <c r="LDT21" s="4"/>
      <c r="LDU21" s="4"/>
      <c r="LDV21" s="4"/>
      <c r="LDW21" s="4"/>
      <c r="LDX21" s="4"/>
      <c r="LDY21" s="4"/>
      <c r="LDZ21" s="4"/>
      <c r="LEA21" s="4"/>
      <c r="LEB21" s="4"/>
      <c r="LEC21" s="4"/>
      <c r="LED21" s="4"/>
      <c r="LEE21" s="4"/>
      <c r="LEF21" s="4"/>
      <c r="LEG21" s="4"/>
      <c r="LEH21" s="4"/>
      <c r="LEI21" s="4"/>
      <c r="LEJ21" s="4"/>
      <c r="LEK21" s="4"/>
      <c r="LEL21" s="4"/>
      <c r="LEM21" s="4"/>
      <c r="LEN21" s="4"/>
      <c r="LEO21" s="4"/>
      <c r="LEP21" s="4"/>
      <c r="LEQ21" s="4"/>
      <c r="LER21" s="4"/>
      <c r="LES21" s="4"/>
      <c r="LET21" s="4"/>
      <c r="LEU21" s="4"/>
      <c r="LEV21" s="4"/>
      <c r="LEW21" s="4"/>
      <c r="LEX21" s="4"/>
      <c r="LEY21" s="4"/>
      <c r="LEZ21" s="4"/>
      <c r="LFA21" s="4"/>
      <c r="LFB21" s="4"/>
      <c r="LFC21" s="4"/>
      <c r="LFD21" s="4"/>
      <c r="LFE21" s="4"/>
      <c r="LFF21" s="4"/>
      <c r="LFG21" s="4"/>
      <c r="LFH21" s="4"/>
      <c r="LFI21" s="4"/>
      <c r="LFJ21" s="4"/>
      <c r="LFK21" s="4"/>
      <c r="LFL21" s="4"/>
      <c r="LFM21" s="4"/>
      <c r="LFN21" s="4"/>
      <c r="LFO21" s="4"/>
      <c r="LFP21" s="4"/>
      <c r="LFQ21" s="4"/>
      <c r="LFR21" s="4"/>
      <c r="LFS21" s="4"/>
      <c r="LFT21" s="4"/>
      <c r="LFU21" s="4"/>
      <c r="LFV21" s="4"/>
      <c r="LFW21" s="4"/>
      <c r="LFX21" s="4"/>
      <c r="LFY21" s="4"/>
      <c r="LFZ21" s="4"/>
      <c r="LGA21" s="4"/>
      <c r="LGB21" s="4"/>
      <c r="LGC21" s="4"/>
      <c r="LGD21" s="4"/>
      <c r="LGE21" s="4"/>
      <c r="LGF21" s="4"/>
      <c r="LGG21" s="4"/>
      <c r="LGH21" s="4"/>
      <c r="LGI21" s="4"/>
      <c r="LGJ21" s="4"/>
      <c r="LGK21" s="4"/>
      <c r="LGL21" s="4"/>
      <c r="LGM21" s="4"/>
      <c r="LGN21" s="4"/>
      <c r="LGO21" s="4"/>
      <c r="LGP21" s="4"/>
      <c r="LGQ21" s="4"/>
      <c r="LGR21" s="4"/>
      <c r="LGS21" s="4"/>
      <c r="LGT21" s="4"/>
      <c r="LGU21" s="4"/>
      <c r="LGV21" s="4"/>
      <c r="LGW21" s="4"/>
      <c r="LGX21" s="4"/>
      <c r="LGY21" s="4"/>
      <c r="LGZ21" s="4"/>
      <c r="LHA21" s="4"/>
      <c r="LHB21" s="4"/>
      <c r="LHC21" s="4"/>
      <c r="LHD21" s="4"/>
      <c r="LHE21" s="4"/>
      <c r="LHF21" s="4"/>
      <c r="LHG21" s="4"/>
      <c r="LHH21" s="4"/>
      <c r="LHI21" s="4"/>
      <c r="LHJ21" s="4"/>
      <c r="LHK21" s="4"/>
      <c r="LHL21" s="4"/>
      <c r="LHM21" s="4"/>
      <c r="LHN21" s="4"/>
      <c r="LHO21" s="4"/>
      <c r="LHP21" s="4"/>
      <c r="LHQ21" s="4"/>
      <c r="LHR21" s="4"/>
      <c r="LHS21" s="4"/>
      <c r="LHT21" s="4"/>
      <c r="LHU21" s="4"/>
      <c r="LHV21" s="4"/>
      <c r="LHW21" s="4"/>
      <c r="LHX21" s="4"/>
      <c r="LHY21" s="4"/>
      <c r="LHZ21" s="4"/>
      <c r="LIA21" s="4"/>
      <c r="LIB21" s="4"/>
      <c r="LIC21" s="4"/>
      <c r="LID21" s="4"/>
      <c r="LIE21" s="4"/>
      <c r="LIF21" s="4"/>
      <c r="LIG21" s="4"/>
      <c r="LIH21" s="4"/>
      <c r="LII21" s="4"/>
      <c r="LIJ21" s="4"/>
      <c r="LIK21" s="4"/>
      <c r="LIL21" s="4"/>
      <c r="LIM21" s="4"/>
      <c r="LIN21" s="4"/>
      <c r="LIO21" s="4"/>
      <c r="LIP21" s="4"/>
      <c r="LIQ21" s="4"/>
      <c r="LIR21" s="4"/>
      <c r="LIS21" s="4"/>
      <c r="LIT21" s="4"/>
      <c r="LIU21" s="4"/>
      <c r="LIV21" s="4"/>
      <c r="LIW21" s="4"/>
      <c r="LIX21" s="4"/>
      <c r="LIY21" s="4"/>
      <c r="LIZ21" s="4"/>
      <c r="LJA21" s="4"/>
      <c r="LJB21" s="4"/>
      <c r="LJC21" s="4"/>
      <c r="LJD21" s="4"/>
      <c r="LJE21" s="4"/>
      <c r="LJF21" s="4"/>
      <c r="LJG21" s="4"/>
      <c r="LJH21" s="4"/>
      <c r="LJI21" s="4"/>
      <c r="LJJ21" s="4"/>
      <c r="LJK21" s="4"/>
      <c r="LJL21" s="4"/>
      <c r="LJM21" s="4"/>
      <c r="LJN21" s="4"/>
      <c r="LJO21" s="4"/>
      <c r="LJP21" s="4"/>
      <c r="LJQ21" s="4"/>
      <c r="LJR21" s="4"/>
      <c r="LJS21" s="4"/>
      <c r="LJT21" s="4"/>
      <c r="LJU21" s="4"/>
      <c r="LJV21" s="4"/>
      <c r="LJW21" s="4"/>
      <c r="LJX21" s="4"/>
      <c r="LJY21" s="4"/>
      <c r="LJZ21" s="4"/>
      <c r="LKA21" s="4"/>
      <c r="LKB21" s="4"/>
      <c r="LKC21" s="4"/>
      <c r="LKD21" s="4"/>
      <c r="LKE21" s="4"/>
      <c r="LKF21" s="4"/>
      <c r="LKG21" s="4"/>
      <c r="LKH21" s="4"/>
      <c r="LKI21" s="4"/>
      <c r="LKJ21" s="4"/>
      <c r="LKK21" s="4"/>
      <c r="LKL21" s="4"/>
      <c r="LKM21" s="4"/>
      <c r="LKN21" s="4"/>
      <c r="LKO21" s="4"/>
      <c r="LKP21" s="4"/>
      <c r="LKQ21" s="4"/>
      <c r="LKR21" s="4"/>
      <c r="LKS21" s="4"/>
      <c r="LKT21" s="4"/>
      <c r="LKU21" s="4"/>
      <c r="LKV21" s="4"/>
      <c r="LKW21" s="4"/>
      <c r="LKX21" s="4"/>
      <c r="LKY21" s="4"/>
      <c r="LKZ21" s="4"/>
      <c r="LLA21" s="4"/>
      <c r="LLB21" s="4"/>
      <c r="LLC21" s="4"/>
      <c r="LLD21" s="4"/>
      <c r="LLE21" s="4"/>
      <c r="LLF21" s="4"/>
      <c r="LLG21" s="4"/>
      <c r="LLH21" s="4"/>
      <c r="LLI21" s="4"/>
      <c r="LLJ21" s="4"/>
      <c r="LLK21" s="4"/>
      <c r="LLL21" s="4"/>
      <c r="LLM21" s="4"/>
      <c r="LLN21" s="4"/>
      <c r="LLO21" s="4"/>
      <c r="LLP21" s="4"/>
      <c r="LLQ21" s="4"/>
      <c r="LLR21" s="4"/>
      <c r="LLS21" s="4"/>
      <c r="LLT21" s="4"/>
      <c r="LLU21" s="4"/>
      <c r="LLV21" s="4"/>
      <c r="LLW21" s="4"/>
      <c r="LLX21" s="4"/>
      <c r="LLY21" s="4"/>
      <c r="LLZ21" s="4"/>
      <c r="LMA21" s="4"/>
      <c r="LMB21" s="4"/>
      <c r="LMC21" s="4"/>
      <c r="LMD21" s="4"/>
      <c r="LME21" s="4"/>
      <c r="LMF21" s="4"/>
      <c r="LMG21" s="4"/>
      <c r="LMH21" s="4"/>
      <c r="LMI21" s="4"/>
      <c r="LMJ21" s="4"/>
      <c r="LMK21" s="4"/>
      <c r="LML21" s="4"/>
      <c r="LMM21" s="4"/>
      <c r="LMN21" s="4"/>
      <c r="LMO21" s="4"/>
      <c r="LMP21" s="4"/>
      <c r="LMQ21" s="4"/>
      <c r="LMR21" s="4"/>
      <c r="LMS21" s="4"/>
      <c r="LMT21" s="4"/>
      <c r="LMU21" s="4"/>
      <c r="LMV21" s="4"/>
      <c r="LMW21" s="4"/>
      <c r="LMX21" s="4"/>
      <c r="LMY21" s="4"/>
      <c r="LMZ21" s="4"/>
      <c r="LNA21" s="4"/>
      <c r="LNB21" s="4"/>
      <c r="LNC21" s="4"/>
      <c r="LND21" s="4"/>
      <c r="LNE21" s="4"/>
      <c r="LNF21" s="4"/>
      <c r="LNG21" s="4"/>
      <c r="LNH21" s="4"/>
      <c r="LNI21" s="4"/>
      <c r="LNJ21" s="4"/>
      <c r="LNK21" s="4"/>
      <c r="LNL21" s="4"/>
      <c r="LNM21" s="4"/>
      <c r="LNN21" s="4"/>
      <c r="LNO21" s="4"/>
      <c r="LNP21" s="4"/>
      <c r="LNQ21" s="4"/>
      <c r="LNR21" s="4"/>
      <c r="LNS21" s="4"/>
      <c r="LNT21" s="4"/>
      <c r="LNU21" s="4"/>
      <c r="LNV21" s="4"/>
      <c r="LNW21" s="4"/>
      <c r="LNX21" s="4"/>
      <c r="LNY21" s="4"/>
      <c r="LNZ21" s="4"/>
      <c r="LOA21" s="4"/>
      <c r="LOB21" s="4"/>
      <c r="LOC21" s="4"/>
      <c r="LOD21" s="4"/>
      <c r="LOE21" s="4"/>
      <c r="LOF21" s="4"/>
      <c r="LOG21" s="4"/>
      <c r="LOH21" s="4"/>
      <c r="LOI21" s="4"/>
      <c r="LOJ21" s="4"/>
      <c r="LOK21" s="4"/>
      <c r="LOL21" s="4"/>
      <c r="LOM21" s="4"/>
      <c r="LON21" s="4"/>
      <c r="LOO21" s="4"/>
      <c r="LOP21" s="4"/>
      <c r="LOQ21" s="4"/>
      <c r="LOR21" s="4"/>
      <c r="LOS21" s="4"/>
      <c r="LOT21" s="4"/>
      <c r="LOU21" s="4"/>
      <c r="LOV21" s="4"/>
      <c r="LOW21" s="4"/>
      <c r="LOX21" s="4"/>
      <c r="LOY21" s="4"/>
      <c r="LOZ21" s="4"/>
      <c r="LPA21" s="4"/>
      <c r="LPB21" s="4"/>
      <c r="LPC21" s="4"/>
      <c r="LPD21" s="4"/>
      <c r="LPE21" s="4"/>
      <c r="LPF21" s="4"/>
      <c r="LPG21" s="4"/>
      <c r="LPH21" s="4"/>
      <c r="LPI21" s="4"/>
      <c r="LPJ21" s="4"/>
      <c r="LPK21" s="4"/>
      <c r="LPL21" s="4"/>
      <c r="LPM21" s="4"/>
      <c r="LPN21" s="4"/>
      <c r="LPO21" s="4"/>
      <c r="LPP21" s="4"/>
      <c r="LPQ21" s="4"/>
      <c r="LPR21" s="4"/>
      <c r="LPS21" s="4"/>
      <c r="LPT21" s="4"/>
      <c r="LPU21" s="4"/>
      <c r="LPV21" s="4"/>
      <c r="LPW21" s="4"/>
      <c r="LPX21" s="4"/>
      <c r="LPY21" s="4"/>
      <c r="LPZ21" s="4"/>
      <c r="LQA21" s="4"/>
      <c r="LQB21" s="4"/>
      <c r="LQC21" s="4"/>
      <c r="LQD21" s="4"/>
      <c r="LQE21" s="4"/>
      <c r="LQF21" s="4"/>
      <c r="LQG21" s="4"/>
      <c r="LQH21" s="4"/>
      <c r="LQI21" s="4"/>
      <c r="LQJ21" s="4"/>
      <c r="LQK21" s="4"/>
      <c r="LQL21" s="4"/>
      <c r="LQM21" s="4"/>
      <c r="LQN21" s="4"/>
      <c r="LQO21" s="4"/>
      <c r="LQP21" s="4"/>
      <c r="LQQ21" s="4"/>
      <c r="LQR21" s="4"/>
      <c r="LQS21" s="4"/>
      <c r="LQT21" s="4"/>
      <c r="LQU21" s="4"/>
      <c r="LQV21" s="4"/>
      <c r="LQW21" s="4"/>
      <c r="LQX21" s="4"/>
      <c r="LQY21" s="4"/>
      <c r="LQZ21" s="4"/>
      <c r="LRA21" s="4"/>
      <c r="LRB21" s="4"/>
      <c r="LRC21" s="4"/>
      <c r="LRD21" s="4"/>
      <c r="LRE21" s="4"/>
      <c r="LRF21" s="4"/>
      <c r="LRG21" s="4"/>
      <c r="LRH21" s="4"/>
      <c r="LRI21" s="4"/>
      <c r="LRJ21" s="4"/>
      <c r="LRK21" s="4"/>
      <c r="LRL21" s="4"/>
      <c r="LRM21" s="4"/>
      <c r="LRN21" s="4"/>
      <c r="LRO21" s="4"/>
      <c r="LRP21" s="4"/>
      <c r="LRQ21" s="4"/>
      <c r="LRR21" s="4"/>
      <c r="LRS21" s="4"/>
      <c r="LRT21" s="4"/>
      <c r="LRU21" s="4"/>
      <c r="LRV21" s="4"/>
      <c r="LRW21" s="4"/>
      <c r="LRX21" s="4"/>
      <c r="LRY21" s="4"/>
      <c r="LRZ21" s="4"/>
      <c r="LSA21" s="4"/>
      <c r="LSB21" s="4"/>
      <c r="LSC21" s="4"/>
      <c r="LSD21" s="4"/>
      <c r="LSE21" s="4"/>
      <c r="LSF21" s="4"/>
      <c r="LSG21" s="4"/>
      <c r="LSH21" s="4"/>
      <c r="LSI21" s="4"/>
      <c r="LSJ21" s="4"/>
      <c r="LSK21" s="4"/>
      <c r="LSL21" s="4"/>
      <c r="LSM21" s="4"/>
      <c r="LSN21" s="4"/>
      <c r="LSO21" s="4"/>
      <c r="LSP21" s="4"/>
      <c r="LSQ21" s="4"/>
      <c r="LSR21" s="4"/>
      <c r="LSS21" s="4"/>
      <c r="LST21" s="4"/>
      <c r="LSU21" s="4"/>
      <c r="LSV21" s="4"/>
      <c r="LSW21" s="4"/>
      <c r="LSX21" s="4"/>
      <c r="LSY21" s="4"/>
      <c r="LSZ21" s="4"/>
      <c r="LTA21" s="4"/>
      <c r="LTB21" s="4"/>
      <c r="LTC21" s="4"/>
      <c r="LTD21" s="4"/>
      <c r="LTE21" s="4"/>
      <c r="LTF21" s="4"/>
      <c r="LTG21" s="4"/>
      <c r="LTH21" s="4"/>
      <c r="LTI21" s="4"/>
      <c r="LTJ21" s="4"/>
      <c r="LTK21" s="4"/>
      <c r="LTL21" s="4"/>
      <c r="LTM21" s="4"/>
      <c r="LTN21" s="4"/>
      <c r="LTO21" s="4"/>
      <c r="LTP21" s="4"/>
      <c r="LTQ21" s="4"/>
      <c r="LTR21" s="4"/>
      <c r="LTS21" s="4"/>
      <c r="LTT21" s="4"/>
      <c r="LTU21" s="4"/>
      <c r="LTV21" s="4"/>
      <c r="LTW21" s="4"/>
      <c r="LTX21" s="4"/>
      <c r="LTY21" s="4"/>
      <c r="LTZ21" s="4"/>
      <c r="LUA21" s="4"/>
      <c r="LUB21" s="4"/>
      <c r="LUC21" s="4"/>
      <c r="LUD21" s="4"/>
      <c r="LUE21" s="4"/>
      <c r="LUF21" s="4"/>
      <c r="LUG21" s="4"/>
      <c r="LUH21" s="4"/>
      <c r="LUI21" s="4"/>
      <c r="LUJ21" s="4"/>
      <c r="LUK21" s="4"/>
      <c r="LUL21" s="4"/>
      <c r="LUM21" s="4"/>
      <c r="LUN21" s="4"/>
      <c r="LUO21" s="4"/>
      <c r="LUP21" s="4"/>
      <c r="LUQ21" s="4"/>
      <c r="LUR21" s="4"/>
      <c r="LUS21" s="4"/>
      <c r="LUT21" s="4"/>
      <c r="LUU21" s="4"/>
      <c r="LUV21" s="4"/>
      <c r="LUW21" s="4"/>
      <c r="LUX21" s="4"/>
      <c r="LUY21" s="4"/>
      <c r="LUZ21" s="4"/>
      <c r="LVA21" s="4"/>
      <c r="LVB21" s="4"/>
      <c r="LVC21" s="4"/>
      <c r="LVD21" s="4"/>
      <c r="LVE21" s="4"/>
      <c r="LVF21" s="4"/>
      <c r="LVG21" s="4"/>
      <c r="LVH21" s="4"/>
      <c r="LVI21" s="4"/>
      <c r="LVJ21" s="4"/>
      <c r="LVK21" s="4"/>
      <c r="LVL21" s="4"/>
      <c r="LVM21" s="4"/>
      <c r="LVN21" s="4"/>
      <c r="LVO21" s="4"/>
      <c r="LVP21" s="4"/>
      <c r="LVQ21" s="4"/>
      <c r="LVR21" s="4"/>
      <c r="LVS21" s="4"/>
      <c r="LVT21" s="4"/>
      <c r="LVU21" s="4"/>
      <c r="LVV21" s="4"/>
      <c r="LVW21" s="4"/>
      <c r="LVX21" s="4"/>
      <c r="LVY21" s="4"/>
      <c r="LVZ21" s="4"/>
      <c r="LWA21" s="4"/>
      <c r="LWB21" s="4"/>
      <c r="LWC21" s="4"/>
      <c r="LWD21" s="4"/>
      <c r="LWE21" s="4"/>
      <c r="LWF21" s="4"/>
      <c r="LWG21" s="4"/>
      <c r="LWH21" s="4"/>
      <c r="LWI21" s="4"/>
      <c r="LWJ21" s="4"/>
      <c r="LWK21" s="4"/>
      <c r="LWL21" s="4"/>
      <c r="LWM21" s="4"/>
      <c r="LWN21" s="4"/>
      <c r="LWO21" s="4"/>
      <c r="LWP21" s="4"/>
      <c r="LWQ21" s="4"/>
      <c r="LWR21" s="4"/>
      <c r="LWS21" s="4"/>
      <c r="LWT21" s="4"/>
      <c r="LWU21" s="4"/>
      <c r="LWV21" s="4"/>
      <c r="LWW21" s="4"/>
      <c r="LWX21" s="4"/>
      <c r="LWY21" s="4"/>
      <c r="LWZ21" s="4"/>
      <c r="LXA21" s="4"/>
      <c r="LXB21" s="4"/>
      <c r="LXC21" s="4"/>
      <c r="LXD21" s="4"/>
      <c r="LXE21" s="4"/>
      <c r="LXF21" s="4"/>
      <c r="LXG21" s="4"/>
      <c r="LXH21" s="4"/>
      <c r="LXI21" s="4"/>
      <c r="LXJ21" s="4"/>
      <c r="LXK21" s="4"/>
      <c r="LXL21" s="4"/>
      <c r="LXM21" s="4"/>
      <c r="LXN21" s="4"/>
      <c r="LXO21" s="4"/>
      <c r="LXP21" s="4"/>
      <c r="LXQ21" s="4"/>
      <c r="LXR21" s="4"/>
      <c r="LXS21" s="4"/>
      <c r="LXT21" s="4"/>
      <c r="LXU21" s="4"/>
      <c r="LXV21" s="4"/>
      <c r="LXW21" s="4"/>
      <c r="LXX21" s="4"/>
      <c r="LXY21" s="4"/>
      <c r="LXZ21" s="4"/>
      <c r="LYA21" s="4"/>
      <c r="LYB21" s="4"/>
      <c r="LYC21" s="4"/>
      <c r="LYD21" s="4"/>
      <c r="LYE21" s="4"/>
      <c r="LYF21" s="4"/>
      <c r="LYG21" s="4"/>
      <c r="LYH21" s="4"/>
      <c r="LYI21" s="4"/>
      <c r="LYJ21" s="4"/>
      <c r="LYK21" s="4"/>
      <c r="LYL21" s="4"/>
      <c r="LYM21" s="4"/>
      <c r="LYN21" s="4"/>
      <c r="LYO21" s="4"/>
      <c r="LYP21" s="4"/>
      <c r="LYQ21" s="4"/>
      <c r="LYR21" s="4"/>
      <c r="LYS21" s="4"/>
      <c r="LYT21" s="4"/>
      <c r="LYU21" s="4"/>
      <c r="LYV21" s="4"/>
      <c r="LYW21" s="4"/>
      <c r="LYX21" s="4"/>
      <c r="LYY21" s="4"/>
      <c r="LYZ21" s="4"/>
      <c r="LZA21" s="4"/>
      <c r="LZB21" s="4"/>
      <c r="LZC21" s="4"/>
      <c r="LZD21" s="4"/>
      <c r="LZE21" s="4"/>
      <c r="LZF21" s="4"/>
      <c r="LZG21" s="4"/>
      <c r="LZH21" s="4"/>
      <c r="LZI21" s="4"/>
      <c r="LZJ21" s="4"/>
      <c r="LZK21" s="4"/>
      <c r="LZL21" s="4"/>
      <c r="LZM21" s="4"/>
      <c r="LZN21" s="4"/>
      <c r="LZO21" s="4"/>
      <c r="LZP21" s="4"/>
      <c r="LZQ21" s="4"/>
      <c r="LZR21" s="4"/>
      <c r="LZS21" s="4"/>
      <c r="LZT21" s="4"/>
      <c r="LZU21" s="4"/>
      <c r="LZV21" s="4"/>
      <c r="LZW21" s="4"/>
      <c r="LZX21" s="4"/>
      <c r="LZY21" s="4"/>
      <c r="LZZ21" s="4"/>
      <c r="MAA21" s="4"/>
      <c r="MAB21" s="4"/>
      <c r="MAC21" s="4"/>
      <c r="MAD21" s="4"/>
      <c r="MAE21" s="4"/>
      <c r="MAF21" s="4"/>
      <c r="MAG21" s="4"/>
      <c r="MAH21" s="4"/>
      <c r="MAI21" s="4"/>
      <c r="MAJ21" s="4"/>
      <c r="MAK21" s="4"/>
      <c r="MAL21" s="4"/>
      <c r="MAM21" s="4"/>
      <c r="MAN21" s="4"/>
      <c r="MAO21" s="4"/>
      <c r="MAP21" s="4"/>
      <c r="MAQ21" s="4"/>
      <c r="MAR21" s="4"/>
      <c r="MAS21" s="4"/>
      <c r="MAT21" s="4"/>
      <c r="MAU21" s="4"/>
      <c r="MAV21" s="4"/>
      <c r="MAW21" s="4"/>
      <c r="MAX21" s="4"/>
      <c r="MAY21" s="4"/>
      <c r="MAZ21" s="4"/>
      <c r="MBA21" s="4"/>
      <c r="MBB21" s="4"/>
      <c r="MBC21" s="4"/>
      <c r="MBD21" s="4"/>
      <c r="MBE21" s="4"/>
      <c r="MBF21" s="4"/>
      <c r="MBG21" s="4"/>
      <c r="MBH21" s="4"/>
      <c r="MBI21" s="4"/>
      <c r="MBJ21" s="4"/>
      <c r="MBK21" s="4"/>
      <c r="MBL21" s="4"/>
      <c r="MBM21" s="4"/>
      <c r="MBN21" s="4"/>
      <c r="MBO21" s="4"/>
      <c r="MBP21" s="4"/>
      <c r="MBQ21" s="4"/>
      <c r="MBR21" s="4"/>
      <c r="MBS21" s="4"/>
      <c r="MBT21" s="4"/>
      <c r="MBU21" s="4"/>
      <c r="MBV21" s="4"/>
      <c r="MBW21" s="4"/>
      <c r="MBX21" s="4"/>
      <c r="MBY21" s="4"/>
      <c r="MBZ21" s="4"/>
      <c r="MCA21" s="4"/>
      <c r="MCB21" s="4"/>
      <c r="MCC21" s="4"/>
      <c r="MCD21" s="4"/>
      <c r="MCE21" s="4"/>
      <c r="MCF21" s="4"/>
      <c r="MCG21" s="4"/>
      <c r="MCH21" s="4"/>
      <c r="MCI21" s="4"/>
      <c r="MCJ21" s="4"/>
      <c r="MCK21" s="4"/>
      <c r="MCL21" s="4"/>
      <c r="MCM21" s="4"/>
      <c r="MCN21" s="4"/>
      <c r="MCO21" s="4"/>
      <c r="MCP21" s="4"/>
      <c r="MCQ21" s="4"/>
      <c r="MCR21" s="4"/>
      <c r="MCS21" s="4"/>
      <c r="MCT21" s="4"/>
      <c r="MCU21" s="4"/>
      <c r="MCV21" s="4"/>
      <c r="MCW21" s="4"/>
      <c r="MCX21" s="4"/>
      <c r="MCY21" s="4"/>
      <c r="MCZ21" s="4"/>
      <c r="MDA21" s="4"/>
      <c r="MDB21" s="4"/>
      <c r="MDC21" s="4"/>
      <c r="MDD21" s="4"/>
      <c r="MDE21" s="4"/>
      <c r="MDF21" s="4"/>
      <c r="MDG21" s="4"/>
      <c r="MDH21" s="4"/>
      <c r="MDI21" s="4"/>
      <c r="MDJ21" s="4"/>
      <c r="MDK21" s="4"/>
      <c r="MDL21" s="4"/>
      <c r="MDM21" s="4"/>
      <c r="MDN21" s="4"/>
      <c r="MDO21" s="4"/>
      <c r="MDP21" s="4"/>
      <c r="MDQ21" s="4"/>
      <c r="MDR21" s="4"/>
      <c r="MDS21" s="4"/>
      <c r="MDT21" s="4"/>
      <c r="MDU21" s="4"/>
      <c r="MDV21" s="4"/>
      <c r="MDW21" s="4"/>
      <c r="MDX21" s="4"/>
      <c r="MDY21" s="4"/>
      <c r="MDZ21" s="4"/>
      <c r="MEA21" s="4"/>
      <c r="MEB21" s="4"/>
      <c r="MEC21" s="4"/>
      <c r="MED21" s="4"/>
      <c r="MEE21" s="4"/>
      <c r="MEF21" s="4"/>
      <c r="MEG21" s="4"/>
      <c r="MEH21" s="4"/>
      <c r="MEI21" s="4"/>
      <c r="MEJ21" s="4"/>
      <c r="MEK21" s="4"/>
      <c r="MEL21" s="4"/>
      <c r="MEM21" s="4"/>
      <c r="MEN21" s="4"/>
      <c r="MEO21" s="4"/>
      <c r="MEP21" s="4"/>
      <c r="MEQ21" s="4"/>
      <c r="MER21" s="4"/>
      <c r="MES21" s="4"/>
      <c r="MET21" s="4"/>
      <c r="MEU21" s="4"/>
      <c r="MEV21" s="4"/>
      <c r="MEW21" s="4"/>
      <c r="MEX21" s="4"/>
      <c r="MEY21" s="4"/>
      <c r="MEZ21" s="4"/>
      <c r="MFA21" s="4"/>
      <c r="MFB21" s="4"/>
      <c r="MFC21" s="4"/>
      <c r="MFD21" s="4"/>
      <c r="MFE21" s="4"/>
      <c r="MFF21" s="4"/>
      <c r="MFG21" s="4"/>
      <c r="MFH21" s="4"/>
      <c r="MFI21" s="4"/>
      <c r="MFJ21" s="4"/>
      <c r="MFK21" s="4"/>
      <c r="MFL21" s="4"/>
      <c r="MFM21" s="4"/>
      <c r="MFN21" s="4"/>
      <c r="MFO21" s="4"/>
      <c r="MFP21" s="4"/>
      <c r="MFQ21" s="4"/>
      <c r="MFR21" s="4"/>
      <c r="MFS21" s="4"/>
      <c r="MFT21" s="4"/>
      <c r="MFU21" s="4"/>
      <c r="MFV21" s="4"/>
      <c r="MFW21" s="4"/>
      <c r="MFX21" s="4"/>
      <c r="MFY21" s="4"/>
      <c r="MFZ21" s="4"/>
      <c r="MGA21" s="4"/>
      <c r="MGB21" s="4"/>
      <c r="MGC21" s="4"/>
      <c r="MGD21" s="4"/>
      <c r="MGE21" s="4"/>
      <c r="MGF21" s="4"/>
      <c r="MGG21" s="4"/>
      <c r="MGH21" s="4"/>
      <c r="MGI21" s="4"/>
      <c r="MGJ21" s="4"/>
      <c r="MGK21" s="4"/>
      <c r="MGL21" s="4"/>
      <c r="MGM21" s="4"/>
      <c r="MGN21" s="4"/>
      <c r="MGO21" s="4"/>
      <c r="MGP21" s="4"/>
      <c r="MGQ21" s="4"/>
      <c r="MGR21" s="4"/>
      <c r="MGS21" s="4"/>
      <c r="MGT21" s="4"/>
      <c r="MGU21" s="4"/>
      <c r="MGV21" s="4"/>
      <c r="MGW21" s="4"/>
      <c r="MGX21" s="4"/>
      <c r="MGY21" s="4"/>
      <c r="MGZ21" s="4"/>
      <c r="MHA21" s="4"/>
      <c r="MHB21" s="4"/>
      <c r="MHC21" s="4"/>
      <c r="MHD21" s="4"/>
      <c r="MHE21" s="4"/>
      <c r="MHF21" s="4"/>
      <c r="MHG21" s="4"/>
      <c r="MHH21" s="4"/>
      <c r="MHI21" s="4"/>
      <c r="MHJ21" s="4"/>
      <c r="MHK21" s="4"/>
      <c r="MHL21" s="4"/>
      <c r="MHM21" s="4"/>
      <c r="MHN21" s="4"/>
      <c r="MHO21" s="4"/>
      <c r="MHP21" s="4"/>
      <c r="MHQ21" s="4"/>
      <c r="MHR21" s="4"/>
      <c r="MHS21" s="4"/>
      <c r="MHT21" s="4"/>
      <c r="MHU21" s="4"/>
      <c r="MHV21" s="4"/>
      <c r="MHW21" s="4"/>
      <c r="MHX21" s="4"/>
      <c r="MHY21" s="4"/>
      <c r="MHZ21" s="4"/>
      <c r="MIA21" s="4"/>
      <c r="MIB21" s="4"/>
      <c r="MIC21" s="4"/>
      <c r="MID21" s="4"/>
      <c r="MIE21" s="4"/>
      <c r="MIF21" s="4"/>
      <c r="MIG21" s="4"/>
      <c r="MIH21" s="4"/>
      <c r="MII21" s="4"/>
      <c r="MIJ21" s="4"/>
      <c r="MIK21" s="4"/>
      <c r="MIL21" s="4"/>
      <c r="MIM21" s="4"/>
      <c r="MIN21" s="4"/>
      <c r="MIO21" s="4"/>
      <c r="MIP21" s="4"/>
      <c r="MIQ21" s="4"/>
      <c r="MIR21" s="4"/>
      <c r="MIS21" s="4"/>
      <c r="MIT21" s="4"/>
      <c r="MIU21" s="4"/>
      <c r="MIV21" s="4"/>
      <c r="MIW21" s="4"/>
      <c r="MIX21" s="4"/>
      <c r="MIY21" s="4"/>
      <c r="MIZ21" s="4"/>
      <c r="MJA21" s="4"/>
      <c r="MJB21" s="4"/>
      <c r="MJC21" s="4"/>
      <c r="MJD21" s="4"/>
      <c r="MJE21" s="4"/>
      <c r="MJF21" s="4"/>
      <c r="MJG21" s="4"/>
      <c r="MJH21" s="4"/>
      <c r="MJI21" s="4"/>
      <c r="MJJ21" s="4"/>
      <c r="MJK21" s="4"/>
      <c r="MJL21" s="4"/>
      <c r="MJM21" s="4"/>
      <c r="MJN21" s="4"/>
      <c r="MJO21" s="4"/>
      <c r="MJP21" s="4"/>
      <c r="MJQ21" s="4"/>
      <c r="MJR21" s="4"/>
      <c r="MJS21" s="4"/>
      <c r="MJT21" s="4"/>
      <c r="MJU21" s="4"/>
      <c r="MJV21" s="4"/>
      <c r="MJW21" s="4"/>
      <c r="MJX21" s="4"/>
      <c r="MJY21" s="4"/>
      <c r="MJZ21" s="4"/>
      <c r="MKA21" s="4"/>
      <c r="MKB21" s="4"/>
      <c r="MKC21" s="4"/>
      <c r="MKD21" s="4"/>
      <c r="MKE21" s="4"/>
      <c r="MKF21" s="4"/>
      <c r="MKG21" s="4"/>
      <c r="MKH21" s="4"/>
      <c r="MKI21" s="4"/>
      <c r="MKJ21" s="4"/>
      <c r="MKK21" s="4"/>
      <c r="MKL21" s="4"/>
      <c r="MKM21" s="4"/>
      <c r="MKN21" s="4"/>
      <c r="MKO21" s="4"/>
      <c r="MKP21" s="4"/>
      <c r="MKQ21" s="4"/>
      <c r="MKR21" s="4"/>
      <c r="MKS21" s="4"/>
      <c r="MKT21" s="4"/>
      <c r="MKU21" s="4"/>
      <c r="MKV21" s="4"/>
      <c r="MKW21" s="4"/>
      <c r="MKX21" s="4"/>
      <c r="MKY21" s="4"/>
      <c r="MKZ21" s="4"/>
      <c r="MLA21" s="4"/>
      <c r="MLB21" s="4"/>
      <c r="MLC21" s="4"/>
      <c r="MLD21" s="4"/>
      <c r="MLE21" s="4"/>
      <c r="MLF21" s="4"/>
      <c r="MLG21" s="4"/>
      <c r="MLH21" s="4"/>
      <c r="MLI21" s="4"/>
      <c r="MLJ21" s="4"/>
      <c r="MLK21" s="4"/>
      <c r="MLL21" s="4"/>
      <c r="MLM21" s="4"/>
      <c r="MLN21" s="4"/>
      <c r="MLO21" s="4"/>
      <c r="MLP21" s="4"/>
      <c r="MLQ21" s="4"/>
      <c r="MLR21" s="4"/>
      <c r="MLS21" s="4"/>
      <c r="MLT21" s="4"/>
      <c r="MLU21" s="4"/>
      <c r="MLV21" s="4"/>
      <c r="MLW21" s="4"/>
      <c r="MLX21" s="4"/>
      <c r="MLY21" s="4"/>
      <c r="MLZ21" s="4"/>
      <c r="MMA21" s="4"/>
      <c r="MMB21" s="4"/>
      <c r="MMC21" s="4"/>
      <c r="MMD21" s="4"/>
      <c r="MME21" s="4"/>
      <c r="MMF21" s="4"/>
      <c r="MMG21" s="4"/>
      <c r="MMH21" s="4"/>
      <c r="MMI21" s="4"/>
      <c r="MMJ21" s="4"/>
      <c r="MMK21" s="4"/>
      <c r="MML21" s="4"/>
      <c r="MMM21" s="4"/>
      <c r="MMN21" s="4"/>
      <c r="MMO21" s="4"/>
      <c r="MMP21" s="4"/>
      <c r="MMQ21" s="4"/>
      <c r="MMR21" s="4"/>
      <c r="MMS21" s="4"/>
      <c r="MMT21" s="4"/>
      <c r="MMU21" s="4"/>
      <c r="MMV21" s="4"/>
      <c r="MMW21" s="4"/>
      <c r="MMX21" s="4"/>
      <c r="MMY21" s="4"/>
      <c r="MMZ21" s="4"/>
      <c r="MNA21" s="4"/>
      <c r="MNB21" s="4"/>
      <c r="MNC21" s="4"/>
      <c r="MND21" s="4"/>
      <c r="MNE21" s="4"/>
      <c r="MNF21" s="4"/>
      <c r="MNG21" s="4"/>
      <c r="MNH21" s="4"/>
      <c r="MNI21" s="4"/>
      <c r="MNJ21" s="4"/>
      <c r="MNK21" s="4"/>
      <c r="MNL21" s="4"/>
      <c r="MNM21" s="4"/>
      <c r="MNN21" s="4"/>
      <c r="MNO21" s="4"/>
      <c r="MNP21" s="4"/>
      <c r="MNQ21" s="4"/>
      <c r="MNR21" s="4"/>
      <c r="MNS21" s="4"/>
      <c r="MNT21" s="4"/>
      <c r="MNU21" s="4"/>
      <c r="MNV21" s="4"/>
      <c r="MNW21" s="4"/>
      <c r="MNX21" s="4"/>
      <c r="MNY21" s="4"/>
      <c r="MNZ21" s="4"/>
      <c r="MOA21" s="4"/>
      <c r="MOB21" s="4"/>
      <c r="MOC21" s="4"/>
      <c r="MOD21" s="4"/>
      <c r="MOE21" s="4"/>
      <c r="MOF21" s="4"/>
      <c r="MOG21" s="4"/>
      <c r="MOH21" s="4"/>
      <c r="MOI21" s="4"/>
      <c r="MOJ21" s="4"/>
      <c r="MOK21" s="4"/>
      <c r="MOL21" s="4"/>
      <c r="MOM21" s="4"/>
      <c r="MON21" s="4"/>
      <c r="MOO21" s="4"/>
      <c r="MOP21" s="4"/>
      <c r="MOQ21" s="4"/>
      <c r="MOR21" s="4"/>
      <c r="MOS21" s="4"/>
      <c r="MOT21" s="4"/>
      <c r="MOU21" s="4"/>
      <c r="MOV21" s="4"/>
      <c r="MOW21" s="4"/>
      <c r="MOX21" s="4"/>
      <c r="MOY21" s="4"/>
      <c r="MOZ21" s="4"/>
      <c r="MPA21" s="4"/>
      <c r="MPB21" s="4"/>
      <c r="MPC21" s="4"/>
      <c r="MPD21" s="4"/>
      <c r="MPE21" s="4"/>
      <c r="MPF21" s="4"/>
      <c r="MPG21" s="4"/>
      <c r="MPH21" s="4"/>
      <c r="MPI21" s="4"/>
      <c r="MPJ21" s="4"/>
      <c r="MPK21" s="4"/>
      <c r="MPL21" s="4"/>
      <c r="MPM21" s="4"/>
      <c r="MPN21" s="4"/>
      <c r="MPO21" s="4"/>
      <c r="MPP21" s="4"/>
      <c r="MPQ21" s="4"/>
      <c r="MPR21" s="4"/>
      <c r="MPS21" s="4"/>
      <c r="MPT21" s="4"/>
      <c r="MPU21" s="4"/>
      <c r="MPV21" s="4"/>
      <c r="MPW21" s="4"/>
      <c r="MPX21" s="4"/>
      <c r="MPY21" s="4"/>
      <c r="MPZ21" s="4"/>
      <c r="MQA21" s="4"/>
      <c r="MQB21" s="4"/>
      <c r="MQC21" s="4"/>
      <c r="MQD21" s="4"/>
      <c r="MQE21" s="4"/>
      <c r="MQF21" s="4"/>
      <c r="MQG21" s="4"/>
      <c r="MQH21" s="4"/>
      <c r="MQI21" s="4"/>
      <c r="MQJ21" s="4"/>
      <c r="MQK21" s="4"/>
      <c r="MQL21" s="4"/>
      <c r="MQM21" s="4"/>
      <c r="MQN21" s="4"/>
      <c r="MQO21" s="4"/>
      <c r="MQP21" s="4"/>
      <c r="MQQ21" s="4"/>
      <c r="MQR21" s="4"/>
      <c r="MQS21" s="4"/>
      <c r="MQT21" s="4"/>
      <c r="MQU21" s="4"/>
      <c r="MQV21" s="4"/>
      <c r="MQW21" s="4"/>
      <c r="MQX21" s="4"/>
      <c r="MQY21" s="4"/>
      <c r="MQZ21" s="4"/>
      <c r="MRA21" s="4"/>
      <c r="MRB21" s="4"/>
      <c r="MRC21" s="4"/>
      <c r="MRD21" s="4"/>
      <c r="MRE21" s="4"/>
      <c r="MRF21" s="4"/>
      <c r="MRG21" s="4"/>
      <c r="MRH21" s="4"/>
      <c r="MRI21" s="4"/>
      <c r="MRJ21" s="4"/>
      <c r="MRK21" s="4"/>
      <c r="MRL21" s="4"/>
      <c r="MRM21" s="4"/>
      <c r="MRN21" s="4"/>
      <c r="MRO21" s="4"/>
      <c r="MRP21" s="4"/>
      <c r="MRQ21" s="4"/>
      <c r="MRR21" s="4"/>
      <c r="MRS21" s="4"/>
      <c r="MRT21" s="4"/>
      <c r="MRU21" s="4"/>
      <c r="MRV21" s="4"/>
      <c r="MRW21" s="4"/>
      <c r="MRX21" s="4"/>
      <c r="MRY21" s="4"/>
      <c r="MRZ21" s="4"/>
      <c r="MSA21" s="4"/>
      <c r="MSB21" s="4"/>
      <c r="MSC21" s="4"/>
      <c r="MSD21" s="4"/>
      <c r="MSE21" s="4"/>
      <c r="MSF21" s="4"/>
      <c r="MSG21" s="4"/>
      <c r="MSH21" s="4"/>
      <c r="MSI21" s="4"/>
      <c r="MSJ21" s="4"/>
      <c r="MSK21" s="4"/>
      <c r="MSL21" s="4"/>
      <c r="MSM21" s="4"/>
      <c r="MSN21" s="4"/>
      <c r="MSO21" s="4"/>
      <c r="MSP21" s="4"/>
      <c r="MSQ21" s="4"/>
      <c r="MSR21" s="4"/>
      <c r="MSS21" s="4"/>
      <c r="MST21" s="4"/>
      <c r="MSU21" s="4"/>
      <c r="MSV21" s="4"/>
      <c r="MSW21" s="4"/>
      <c r="MSX21" s="4"/>
      <c r="MSY21" s="4"/>
      <c r="MSZ21" s="4"/>
      <c r="MTA21" s="4"/>
      <c r="MTB21" s="4"/>
      <c r="MTC21" s="4"/>
      <c r="MTD21" s="4"/>
      <c r="MTE21" s="4"/>
      <c r="MTF21" s="4"/>
      <c r="MTG21" s="4"/>
      <c r="MTH21" s="4"/>
      <c r="MTI21" s="4"/>
      <c r="MTJ21" s="4"/>
      <c r="MTK21" s="4"/>
      <c r="MTL21" s="4"/>
      <c r="MTM21" s="4"/>
      <c r="MTN21" s="4"/>
      <c r="MTO21" s="4"/>
      <c r="MTP21" s="4"/>
      <c r="MTQ21" s="4"/>
      <c r="MTR21" s="4"/>
      <c r="MTS21" s="4"/>
      <c r="MTT21" s="4"/>
      <c r="MTU21" s="4"/>
      <c r="MTV21" s="4"/>
      <c r="MTW21" s="4"/>
      <c r="MTX21" s="4"/>
      <c r="MTY21" s="4"/>
      <c r="MTZ21" s="4"/>
      <c r="MUA21" s="4"/>
      <c r="MUB21" s="4"/>
      <c r="MUC21" s="4"/>
      <c r="MUD21" s="4"/>
      <c r="MUE21" s="4"/>
      <c r="MUF21" s="4"/>
      <c r="MUG21" s="4"/>
      <c r="MUH21" s="4"/>
      <c r="MUI21" s="4"/>
      <c r="MUJ21" s="4"/>
      <c r="MUK21" s="4"/>
      <c r="MUL21" s="4"/>
      <c r="MUM21" s="4"/>
      <c r="MUN21" s="4"/>
      <c r="MUO21" s="4"/>
      <c r="MUP21" s="4"/>
      <c r="MUQ21" s="4"/>
      <c r="MUR21" s="4"/>
      <c r="MUS21" s="4"/>
      <c r="MUT21" s="4"/>
      <c r="MUU21" s="4"/>
      <c r="MUV21" s="4"/>
      <c r="MUW21" s="4"/>
      <c r="MUX21" s="4"/>
      <c r="MUY21" s="4"/>
      <c r="MUZ21" s="4"/>
      <c r="MVA21" s="4"/>
      <c r="MVB21" s="4"/>
      <c r="MVC21" s="4"/>
      <c r="MVD21" s="4"/>
      <c r="MVE21" s="4"/>
      <c r="MVF21" s="4"/>
      <c r="MVG21" s="4"/>
      <c r="MVH21" s="4"/>
      <c r="MVI21" s="4"/>
      <c r="MVJ21" s="4"/>
      <c r="MVK21" s="4"/>
      <c r="MVL21" s="4"/>
      <c r="MVM21" s="4"/>
      <c r="MVN21" s="4"/>
      <c r="MVO21" s="4"/>
      <c r="MVP21" s="4"/>
      <c r="MVQ21" s="4"/>
      <c r="MVR21" s="4"/>
      <c r="MVS21" s="4"/>
      <c r="MVT21" s="4"/>
      <c r="MVU21" s="4"/>
      <c r="MVV21" s="4"/>
      <c r="MVW21" s="4"/>
      <c r="MVX21" s="4"/>
      <c r="MVY21" s="4"/>
      <c r="MVZ21" s="4"/>
      <c r="MWA21" s="4"/>
      <c r="MWB21" s="4"/>
      <c r="MWC21" s="4"/>
      <c r="MWD21" s="4"/>
      <c r="MWE21" s="4"/>
      <c r="MWF21" s="4"/>
      <c r="MWG21" s="4"/>
      <c r="MWH21" s="4"/>
      <c r="MWI21" s="4"/>
      <c r="MWJ21" s="4"/>
      <c r="MWK21" s="4"/>
      <c r="MWL21" s="4"/>
      <c r="MWM21" s="4"/>
      <c r="MWN21" s="4"/>
      <c r="MWO21" s="4"/>
      <c r="MWP21" s="4"/>
      <c r="MWQ21" s="4"/>
      <c r="MWR21" s="4"/>
      <c r="MWS21" s="4"/>
      <c r="MWT21" s="4"/>
      <c r="MWU21" s="4"/>
      <c r="MWV21" s="4"/>
      <c r="MWW21" s="4"/>
      <c r="MWX21" s="4"/>
      <c r="MWY21" s="4"/>
      <c r="MWZ21" s="4"/>
      <c r="MXA21" s="4"/>
      <c r="MXB21" s="4"/>
      <c r="MXC21" s="4"/>
      <c r="MXD21" s="4"/>
      <c r="MXE21" s="4"/>
      <c r="MXF21" s="4"/>
      <c r="MXG21" s="4"/>
      <c r="MXH21" s="4"/>
      <c r="MXI21" s="4"/>
      <c r="MXJ21" s="4"/>
      <c r="MXK21" s="4"/>
      <c r="MXL21" s="4"/>
      <c r="MXM21" s="4"/>
      <c r="MXN21" s="4"/>
      <c r="MXO21" s="4"/>
      <c r="MXP21" s="4"/>
      <c r="MXQ21" s="4"/>
      <c r="MXR21" s="4"/>
      <c r="MXS21" s="4"/>
      <c r="MXT21" s="4"/>
      <c r="MXU21" s="4"/>
      <c r="MXV21" s="4"/>
      <c r="MXW21" s="4"/>
      <c r="MXX21" s="4"/>
      <c r="MXY21" s="4"/>
      <c r="MXZ21" s="4"/>
      <c r="MYA21" s="4"/>
      <c r="MYB21" s="4"/>
      <c r="MYC21" s="4"/>
      <c r="MYD21" s="4"/>
      <c r="MYE21" s="4"/>
      <c r="MYF21" s="4"/>
      <c r="MYG21" s="4"/>
      <c r="MYH21" s="4"/>
      <c r="MYI21" s="4"/>
      <c r="MYJ21" s="4"/>
      <c r="MYK21" s="4"/>
      <c r="MYL21" s="4"/>
      <c r="MYM21" s="4"/>
      <c r="MYN21" s="4"/>
      <c r="MYO21" s="4"/>
      <c r="MYP21" s="4"/>
      <c r="MYQ21" s="4"/>
      <c r="MYR21" s="4"/>
      <c r="MYS21" s="4"/>
      <c r="MYT21" s="4"/>
      <c r="MYU21" s="4"/>
      <c r="MYV21" s="4"/>
      <c r="MYW21" s="4"/>
      <c r="MYX21" s="4"/>
      <c r="MYY21" s="4"/>
      <c r="MYZ21" s="4"/>
      <c r="MZA21" s="4"/>
      <c r="MZB21" s="4"/>
      <c r="MZC21" s="4"/>
      <c r="MZD21" s="4"/>
      <c r="MZE21" s="4"/>
      <c r="MZF21" s="4"/>
      <c r="MZG21" s="4"/>
      <c r="MZH21" s="4"/>
      <c r="MZI21" s="4"/>
      <c r="MZJ21" s="4"/>
      <c r="MZK21" s="4"/>
      <c r="MZL21" s="4"/>
      <c r="MZM21" s="4"/>
      <c r="MZN21" s="4"/>
      <c r="MZO21" s="4"/>
      <c r="MZP21" s="4"/>
      <c r="MZQ21" s="4"/>
      <c r="MZR21" s="4"/>
      <c r="MZS21" s="4"/>
      <c r="MZT21" s="4"/>
      <c r="MZU21" s="4"/>
      <c r="MZV21" s="4"/>
      <c r="MZW21" s="4"/>
      <c r="MZX21" s="4"/>
      <c r="MZY21" s="4"/>
      <c r="MZZ21" s="4"/>
      <c r="NAA21" s="4"/>
      <c r="NAB21" s="4"/>
      <c r="NAC21" s="4"/>
      <c r="NAD21" s="4"/>
      <c r="NAE21" s="4"/>
      <c r="NAF21" s="4"/>
      <c r="NAG21" s="4"/>
      <c r="NAH21" s="4"/>
      <c r="NAI21" s="4"/>
      <c r="NAJ21" s="4"/>
      <c r="NAK21" s="4"/>
      <c r="NAL21" s="4"/>
      <c r="NAM21" s="4"/>
      <c r="NAN21" s="4"/>
      <c r="NAO21" s="4"/>
      <c r="NAP21" s="4"/>
      <c r="NAQ21" s="4"/>
      <c r="NAR21" s="4"/>
      <c r="NAS21" s="4"/>
      <c r="NAT21" s="4"/>
      <c r="NAU21" s="4"/>
      <c r="NAV21" s="4"/>
      <c r="NAW21" s="4"/>
      <c r="NAX21" s="4"/>
      <c r="NAY21" s="4"/>
      <c r="NAZ21" s="4"/>
      <c r="NBA21" s="4"/>
      <c r="NBB21" s="4"/>
      <c r="NBC21" s="4"/>
      <c r="NBD21" s="4"/>
      <c r="NBE21" s="4"/>
      <c r="NBF21" s="4"/>
      <c r="NBG21" s="4"/>
      <c r="NBH21" s="4"/>
      <c r="NBI21" s="4"/>
      <c r="NBJ21" s="4"/>
      <c r="NBK21" s="4"/>
      <c r="NBL21" s="4"/>
      <c r="NBM21" s="4"/>
      <c r="NBN21" s="4"/>
      <c r="NBO21" s="4"/>
      <c r="NBP21" s="4"/>
      <c r="NBQ21" s="4"/>
      <c r="NBR21" s="4"/>
      <c r="NBS21" s="4"/>
      <c r="NBT21" s="4"/>
      <c r="NBU21" s="4"/>
      <c r="NBV21" s="4"/>
      <c r="NBW21" s="4"/>
      <c r="NBX21" s="4"/>
      <c r="NBY21" s="4"/>
      <c r="NBZ21" s="4"/>
      <c r="NCA21" s="4"/>
      <c r="NCB21" s="4"/>
      <c r="NCC21" s="4"/>
      <c r="NCD21" s="4"/>
      <c r="NCE21" s="4"/>
      <c r="NCF21" s="4"/>
      <c r="NCG21" s="4"/>
      <c r="NCH21" s="4"/>
      <c r="NCI21" s="4"/>
      <c r="NCJ21" s="4"/>
      <c r="NCK21" s="4"/>
      <c r="NCL21" s="4"/>
      <c r="NCM21" s="4"/>
      <c r="NCN21" s="4"/>
      <c r="NCO21" s="4"/>
      <c r="NCP21" s="4"/>
      <c r="NCQ21" s="4"/>
      <c r="NCR21" s="4"/>
      <c r="NCS21" s="4"/>
      <c r="NCT21" s="4"/>
      <c r="NCU21" s="4"/>
      <c r="NCV21" s="4"/>
      <c r="NCW21" s="4"/>
      <c r="NCX21" s="4"/>
      <c r="NCY21" s="4"/>
      <c r="NCZ21" s="4"/>
      <c r="NDA21" s="4"/>
      <c r="NDB21" s="4"/>
      <c r="NDC21" s="4"/>
      <c r="NDD21" s="4"/>
      <c r="NDE21" s="4"/>
      <c r="NDF21" s="4"/>
      <c r="NDG21" s="4"/>
      <c r="NDH21" s="4"/>
      <c r="NDI21" s="4"/>
      <c r="NDJ21" s="4"/>
      <c r="NDK21" s="4"/>
      <c r="NDL21" s="4"/>
      <c r="NDM21" s="4"/>
      <c r="NDN21" s="4"/>
      <c r="NDO21" s="4"/>
      <c r="NDP21" s="4"/>
      <c r="NDQ21" s="4"/>
      <c r="NDR21" s="4"/>
      <c r="NDS21" s="4"/>
      <c r="NDT21" s="4"/>
      <c r="NDU21" s="4"/>
      <c r="NDV21" s="4"/>
      <c r="NDW21" s="4"/>
      <c r="NDX21" s="4"/>
      <c r="NDY21" s="4"/>
      <c r="NDZ21" s="4"/>
      <c r="NEA21" s="4"/>
      <c r="NEB21" s="4"/>
      <c r="NEC21" s="4"/>
      <c r="NED21" s="4"/>
      <c r="NEE21" s="4"/>
      <c r="NEF21" s="4"/>
      <c r="NEG21" s="4"/>
      <c r="NEH21" s="4"/>
      <c r="NEI21" s="4"/>
      <c r="NEJ21" s="4"/>
      <c r="NEK21" s="4"/>
      <c r="NEL21" s="4"/>
      <c r="NEM21" s="4"/>
      <c r="NEN21" s="4"/>
      <c r="NEO21" s="4"/>
      <c r="NEP21" s="4"/>
      <c r="NEQ21" s="4"/>
      <c r="NER21" s="4"/>
      <c r="NES21" s="4"/>
      <c r="NET21" s="4"/>
      <c r="NEU21" s="4"/>
      <c r="NEV21" s="4"/>
      <c r="NEW21" s="4"/>
      <c r="NEX21" s="4"/>
      <c r="NEY21" s="4"/>
      <c r="NEZ21" s="4"/>
      <c r="NFA21" s="4"/>
      <c r="NFB21" s="4"/>
      <c r="NFC21" s="4"/>
      <c r="NFD21" s="4"/>
      <c r="NFE21" s="4"/>
      <c r="NFF21" s="4"/>
      <c r="NFG21" s="4"/>
      <c r="NFH21" s="4"/>
      <c r="NFI21" s="4"/>
      <c r="NFJ21" s="4"/>
      <c r="NFK21" s="4"/>
      <c r="NFL21" s="4"/>
      <c r="NFM21" s="4"/>
      <c r="NFN21" s="4"/>
      <c r="NFO21" s="4"/>
      <c r="NFP21" s="4"/>
      <c r="NFQ21" s="4"/>
      <c r="NFR21" s="4"/>
      <c r="NFS21" s="4"/>
      <c r="NFT21" s="4"/>
      <c r="NFU21" s="4"/>
      <c r="NFV21" s="4"/>
      <c r="NFW21" s="4"/>
      <c r="NFX21" s="4"/>
      <c r="NFY21" s="4"/>
      <c r="NFZ21" s="4"/>
      <c r="NGA21" s="4"/>
      <c r="NGB21" s="4"/>
      <c r="NGC21" s="4"/>
      <c r="NGD21" s="4"/>
      <c r="NGE21" s="4"/>
      <c r="NGF21" s="4"/>
      <c r="NGG21" s="4"/>
      <c r="NGH21" s="4"/>
      <c r="NGI21" s="4"/>
      <c r="NGJ21" s="4"/>
      <c r="NGK21" s="4"/>
      <c r="NGL21" s="4"/>
      <c r="NGM21" s="4"/>
      <c r="NGN21" s="4"/>
      <c r="NGO21" s="4"/>
      <c r="NGP21" s="4"/>
      <c r="NGQ21" s="4"/>
      <c r="NGR21" s="4"/>
      <c r="NGS21" s="4"/>
      <c r="NGT21" s="4"/>
      <c r="NGU21" s="4"/>
      <c r="NGV21" s="4"/>
      <c r="NGW21" s="4"/>
      <c r="NGX21" s="4"/>
      <c r="NGY21" s="4"/>
      <c r="NGZ21" s="4"/>
      <c r="NHA21" s="4"/>
      <c r="NHB21" s="4"/>
      <c r="NHC21" s="4"/>
      <c r="NHD21" s="4"/>
      <c r="NHE21" s="4"/>
      <c r="NHF21" s="4"/>
      <c r="NHG21" s="4"/>
      <c r="NHH21" s="4"/>
      <c r="NHI21" s="4"/>
      <c r="NHJ21" s="4"/>
      <c r="NHK21" s="4"/>
      <c r="NHL21" s="4"/>
      <c r="NHM21" s="4"/>
      <c r="NHN21" s="4"/>
      <c r="NHO21" s="4"/>
      <c r="NHP21" s="4"/>
      <c r="NHQ21" s="4"/>
      <c r="NHR21" s="4"/>
      <c r="NHS21" s="4"/>
      <c r="NHT21" s="4"/>
      <c r="NHU21" s="4"/>
      <c r="NHV21" s="4"/>
      <c r="NHW21" s="4"/>
      <c r="NHX21" s="4"/>
      <c r="NHY21" s="4"/>
      <c r="NHZ21" s="4"/>
      <c r="NIA21" s="4"/>
      <c r="NIB21" s="4"/>
      <c r="NIC21" s="4"/>
      <c r="NID21" s="4"/>
      <c r="NIE21" s="4"/>
      <c r="NIF21" s="4"/>
      <c r="NIG21" s="4"/>
      <c r="NIH21" s="4"/>
      <c r="NII21" s="4"/>
      <c r="NIJ21" s="4"/>
      <c r="NIK21" s="4"/>
      <c r="NIL21" s="4"/>
      <c r="NIM21" s="4"/>
      <c r="NIN21" s="4"/>
      <c r="NIO21" s="4"/>
      <c r="NIP21" s="4"/>
      <c r="NIQ21" s="4"/>
      <c r="NIR21" s="4"/>
      <c r="NIS21" s="4"/>
      <c r="NIT21" s="4"/>
      <c r="NIU21" s="4"/>
      <c r="NIV21" s="4"/>
      <c r="NIW21" s="4"/>
      <c r="NIX21" s="4"/>
      <c r="NIY21" s="4"/>
      <c r="NIZ21" s="4"/>
      <c r="NJA21" s="4"/>
      <c r="NJB21" s="4"/>
      <c r="NJC21" s="4"/>
      <c r="NJD21" s="4"/>
      <c r="NJE21" s="4"/>
      <c r="NJF21" s="4"/>
      <c r="NJG21" s="4"/>
      <c r="NJH21" s="4"/>
      <c r="NJI21" s="4"/>
      <c r="NJJ21" s="4"/>
      <c r="NJK21" s="4"/>
      <c r="NJL21" s="4"/>
      <c r="NJM21" s="4"/>
      <c r="NJN21" s="4"/>
      <c r="NJO21" s="4"/>
      <c r="NJP21" s="4"/>
      <c r="NJQ21" s="4"/>
      <c r="NJR21" s="4"/>
      <c r="NJS21" s="4"/>
      <c r="NJT21" s="4"/>
      <c r="NJU21" s="4"/>
      <c r="NJV21" s="4"/>
      <c r="NJW21" s="4"/>
      <c r="NJX21" s="4"/>
      <c r="NJY21" s="4"/>
      <c r="NJZ21" s="4"/>
      <c r="NKA21" s="4"/>
      <c r="NKB21" s="4"/>
      <c r="NKC21" s="4"/>
      <c r="NKD21" s="4"/>
      <c r="NKE21" s="4"/>
      <c r="NKF21" s="4"/>
      <c r="NKG21" s="4"/>
      <c r="NKH21" s="4"/>
      <c r="NKI21" s="4"/>
      <c r="NKJ21" s="4"/>
      <c r="NKK21" s="4"/>
      <c r="NKL21" s="4"/>
      <c r="NKM21" s="4"/>
      <c r="NKN21" s="4"/>
      <c r="NKO21" s="4"/>
      <c r="NKP21" s="4"/>
      <c r="NKQ21" s="4"/>
      <c r="NKR21" s="4"/>
      <c r="NKS21" s="4"/>
      <c r="NKT21" s="4"/>
      <c r="NKU21" s="4"/>
      <c r="NKV21" s="4"/>
      <c r="NKW21" s="4"/>
      <c r="NKX21" s="4"/>
      <c r="NKY21" s="4"/>
      <c r="NKZ21" s="4"/>
      <c r="NLA21" s="4"/>
      <c r="NLB21" s="4"/>
      <c r="NLC21" s="4"/>
      <c r="NLD21" s="4"/>
      <c r="NLE21" s="4"/>
      <c r="NLF21" s="4"/>
      <c r="NLG21" s="4"/>
      <c r="NLH21" s="4"/>
      <c r="NLI21" s="4"/>
      <c r="NLJ21" s="4"/>
      <c r="NLK21" s="4"/>
      <c r="NLL21" s="4"/>
      <c r="NLM21" s="4"/>
      <c r="NLN21" s="4"/>
      <c r="NLO21" s="4"/>
      <c r="NLP21" s="4"/>
      <c r="NLQ21" s="4"/>
      <c r="NLR21" s="4"/>
      <c r="NLS21" s="4"/>
      <c r="NLT21" s="4"/>
      <c r="NLU21" s="4"/>
      <c r="NLV21" s="4"/>
      <c r="NLW21" s="4"/>
      <c r="NLX21" s="4"/>
      <c r="NLY21" s="4"/>
      <c r="NLZ21" s="4"/>
      <c r="NMA21" s="4"/>
      <c r="NMB21" s="4"/>
      <c r="NMC21" s="4"/>
      <c r="NMD21" s="4"/>
      <c r="NME21" s="4"/>
      <c r="NMF21" s="4"/>
      <c r="NMG21" s="4"/>
      <c r="NMH21" s="4"/>
      <c r="NMI21" s="4"/>
      <c r="NMJ21" s="4"/>
      <c r="NMK21" s="4"/>
      <c r="NML21" s="4"/>
      <c r="NMM21" s="4"/>
      <c r="NMN21" s="4"/>
      <c r="NMO21" s="4"/>
      <c r="NMP21" s="4"/>
      <c r="NMQ21" s="4"/>
      <c r="NMR21" s="4"/>
      <c r="NMS21" s="4"/>
      <c r="NMT21" s="4"/>
      <c r="NMU21" s="4"/>
      <c r="NMV21" s="4"/>
      <c r="NMW21" s="4"/>
      <c r="NMX21" s="4"/>
      <c r="NMY21" s="4"/>
      <c r="NMZ21" s="4"/>
      <c r="NNA21" s="4"/>
      <c r="NNB21" s="4"/>
      <c r="NNC21" s="4"/>
      <c r="NND21" s="4"/>
      <c r="NNE21" s="4"/>
      <c r="NNF21" s="4"/>
      <c r="NNG21" s="4"/>
      <c r="NNH21" s="4"/>
      <c r="NNI21" s="4"/>
      <c r="NNJ21" s="4"/>
      <c r="NNK21" s="4"/>
      <c r="NNL21" s="4"/>
      <c r="NNM21" s="4"/>
      <c r="NNN21" s="4"/>
      <c r="NNO21" s="4"/>
      <c r="NNP21" s="4"/>
      <c r="NNQ21" s="4"/>
      <c r="NNR21" s="4"/>
      <c r="NNS21" s="4"/>
      <c r="NNT21" s="4"/>
      <c r="NNU21" s="4"/>
      <c r="NNV21" s="4"/>
      <c r="NNW21" s="4"/>
      <c r="NNX21" s="4"/>
      <c r="NNY21" s="4"/>
      <c r="NNZ21" s="4"/>
      <c r="NOA21" s="4"/>
      <c r="NOB21" s="4"/>
      <c r="NOC21" s="4"/>
      <c r="NOD21" s="4"/>
      <c r="NOE21" s="4"/>
      <c r="NOF21" s="4"/>
      <c r="NOG21" s="4"/>
      <c r="NOH21" s="4"/>
      <c r="NOI21" s="4"/>
      <c r="NOJ21" s="4"/>
      <c r="NOK21" s="4"/>
      <c r="NOL21" s="4"/>
      <c r="NOM21" s="4"/>
      <c r="NON21" s="4"/>
      <c r="NOO21" s="4"/>
      <c r="NOP21" s="4"/>
      <c r="NOQ21" s="4"/>
      <c r="NOR21" s="4"/>
      <c r="NOS21" s="4"/>
      <c r="NOT21" s="4"/>
      <c r="NOU21" s="4"/>
      <c r="NOV21" s="4"/>
      <c r="NOW21" s="4"/>
      <c r="NOX21" s="4"/>
      <c r="NOY21" s="4"/>
      <c r="NOZ21" s="4"/>
      <c r="NPA21" s="4"/>
      <c r="NPB21" s="4"/>
      <c r="NPC21" s="4"/>
      <c r="NPD21" s="4"/>
      <c r="NPE21" s="4"/>
      <c r="NPF21" s="4"/>
      <c r="NPG21" s="4"/>
      <c r="NPH21" s="4"/>
      <c r="NPI21" s="4"/>
      <c r="NPJ21" s="4"/>
      <c r="NPK21" s="4"/>
      <c r="NPL21" s="4"/>
      <c r="NPM21" s="4"/>
      <c r="NPN21" s="4"/>
      <c r="NPO21" s="4"/>
      <c r="NPP21" s="4"/>
      <c r="NPQ21" s="4"/>
      <c r="NPR21" s="4"/>
      <c r="NPS21" s="4"/>
      <c r="NPT21" s="4"/>
      <c r="NPU21" s="4"/>
      <c r="NPV21" s="4"/>
      <c r="NPW21" s="4"/>
      <c r="NPX21" s="4"/>
      <c r="NPY21" s="4"/>
      <c r="NPZ21" s="4"/>
      <c r="NQA21" s="4"/>
      <c r="NQB21" s="4"/>
      <c r="NQC21" s="4"/>
      <c r="NQD21" s="4"/>
      <c r="NQE21" s="4"/>
      <c r="NQF21" s="4"/>
      <c r="NQG21" s="4"/>
      <c r="NQH21" s="4"/>
      <c r="NQI21" s="4"/>
      <c r="NQJ21" s="4"/>
      <c r="NQK21" s="4"/>
      <c r="NQL21" s="4"/>
      <c r="NQM21" s="4"/>
      <c r="NQN21" s="4"/>
      <c r="NQO21" s="4"/>
      <c r="NQP21" s="4"/>
      <c r="NQQ21" s="4"/>
      <c r="NQR21" s="4"/>
      <c r="NQS21" s="4"/>
      <c r="NQT21" s="4"/>
      <c r="NQU21" s="4"/>
      <c r="NQV21" s="4"/>
      <c r="NQW21" s="4"/>
      <c r="NQX21" s="4"/>
      <c r="NQY21" s="4"/>
      <c r="NQZ21" s="4"/>
      <c r="NRA21" s="4"/>
      <c r="NRB21" s="4"/>
      <c r="NRC21" s="4"/>
      <c r="NRD21" s="4"/>
      <c r="NRE21" s="4"/>
      <c r="NRF21" s="4"/>
      <c r="NRG21" s="4"/>
      <c r="NRH21" s="4"/>
      <c r="NRI21" s="4"/>
      <c r="NRJ21" s="4"/>
      <c r="NRK21" s="4"/>
      <c r="NRL21" s="4"/>
      <c r="NRM21" s="4"/>
      <c r="NRN21" s="4"/>
      <c r="NRO21" s="4"/>
      <c r="NRP21" s="4"/>
      <c r="NRQ21" s="4"/>
      <c r="NRR21" s="4"/>
      <c r="NRS21" s="4"/>
      <c r="NRT21" s="4"/>
      <c r="NRU21" s="4"/>
      <c r="NRV21" s="4"/>
      <c r="NRW21" s="4"/>
      <c r="NRX21" s="4"/>
      <c r="NRY21" s="4"/>
      <c r="NRZ21" s="4"/>
      <c r="NSA21" s="4"/>
      <c r="NSB21" s="4"/>
      <c r="NSC21" s="4"/>
      <c r="NSD21" s="4"/>
      <c r="NSE21" s="4"/>
      <c r="NSF21" s="4"/>
      <c r="NSG21" s="4"/>
      <c r="NSH21" s="4"/>
      <c r="NSI21" s="4"/>
      <c r="NSJ21" s="4"/>
      <c r="NSK21" s="4"/>
      <c r="NSL21" s="4"/>
      <c r="NSM21" s="4"/>
      <c r="NSN21" s="4"/>
      <c r="NSO21" s="4"/>
      <c r="NSP21" s="4"/>
      <c r="NSQ21" s="4"/>
      <c r="NSR21" s="4"/>
      <c r="NSS21" s="4"/>
      <c r="NST21" s="4"/>
      <c r="NSU21" s="4"/>
      <c r="NSV21" s="4"/>
      <c r="NSW21" s="4"/>
      <c r="NSX21" s="4"/>
      <c r="NSY21" s="4"/>
      <c r="NSZ21" s="4"/>
      <c r="NTA21" s="4"/>
      <c r="NTB21" s="4"/>
      <c r="NTC21" s="4"/>
      <c r="NTD21" s="4"/>
      <c r="NTE21" s="4"/>
      <c r="NTF21" s="4"/>
      <c r="NTG21" s="4"/>
      <c r="NTH21" s="4"/>
      <c r="NTI21" s="4"/>
      <c r="NTJ21" s="4"/>
      <c r="NTK21" s="4"/>
      <c r="NTL21" s="4"/>
      <c r="NTM21" s="4"/>
      <c r="NTN21" s="4"/>
      <c r="NTO21" s="4"/>
      <c r="NTP21" s="4"/>
      <c r="NTQ21" s="4"/>
      <c r="NTR21" s="4"/>
      <c r="NTS21" s="4"/>
      <c r="NTT21" s="4"/>
      <c r="NTU21" s="4"/>
      <c r="NTV21" s="4"/>
      <c r="NTW21" s="4"/>
      <c r="NTX21" s="4"/>
      <c r="NTY21" s="4"/>
      <c r="NTZ21" s="4"/>
      <c r="NUA21" s="4"/>
      <c r="NUB21" s="4"/>
      <c r="NUC21" s="4"/>
      <c r="NUD21" s="4"/>
      <c r="NUE21" s="4"/>
      <c r="NUF21" s="4"/>
      <c r="NUG21" s="4"/>
      <c r="NUH21" s="4"/>
      <c r="NUI21" s="4"/>
      <c r="NUJ21" s="4"/>
      <c r="NUK21" s="4"/>
      <c r="NUL21" s="4"/>
      <c r="NUM21" s="4"/>
      <c r="NUN21" s="4"/>
      <c r="NUO21" s="4"/>
      <c r="NUP21" s="4"/>
      <c r="NUQ21" s="4"/>
      <c r="NUR21" s="4"/>
      <c r="NUS21" s="4"/>
      <c r="NUT21" s="4"/>
      <c r="NUU21" s="4"/>
      <c r="NUV21" s="4"/>
      <c r="NUW21" s="4"/>
      <c r="NUX21" s="4"/>
      <c r="NUY21" s="4"/>
      <c r="NUZ21" s="4"/>
      <c r="NVA21" s="4"/>
      <c r="NVB21" s="4"/>
      <c r="NVC21" s="4"/>
      <c r="NVD21" s="4"/>
      <c r="NVE21" s="4"/>
      <c r="NVF21" s="4"/>
      <c r="NVG21" s="4"/>
      <c r="NVH21" s="4"/>
      <c r="NVI21" s="4"/>
      <c r="NVJ21" s="4"/>
      <c r="NVK21" s="4"/>
      <c r="NVL21" s="4"/>
      <c r="NVM21" s="4"/>
      <c r="NVN21" s="4"/>
      <c r="NVO21" s="4"/>
      <c r="NVP21" s="4"/>
      <c r="NVQ21" s="4"/>
      <c r="NVR21" s="4"/>
      <c r="NVS21" s="4"/>
      <c r="NVT21" s="4"/>
      <c r="NVU21" s="4"/>
      <c r="NVV21" s="4"/>
      <c r="NVW21" s="4"/>
      <c r="NVX21" s="4"/>
      <c r="NVY21" s="4"/>
      <c r="NVZ21" s="4"/>
      <c r="NWA21" s="4"/>
      <c r="NWB21" s="4"/>
      <c r="NWC21" s="4"/>
      <c r="NWD21" s="4"/>
      <c r="NWE21" s="4"/>
      <c r="NWF21" s="4"/>
      <c r="NWG21" s="4"/>
      <c r="NWH21" s="4"/>
      <c r="NWI21" s="4"/>
      <c r="NWJ21" s="4"/>
      <c r="NWK21" s="4"/>
      <c r="NWL21" s="4"/>
      <c r="NWM21" s="4"/>
      <c r="NWN21" s="4"/>
      <c r="NWO21" s="4"/>
      <c r="NWP21" s="4"/>
      <c r="NWQ21" s="4"/>
      <c r="NWR21" s="4"/>
      <c r="NWS21" s="4"/>
      <c r="NWT21" s="4"/>
      <c r="NWU21" s="4"/>
      <c r="NWV21" s="4"/>
      <c r="NWW21" s="4"/>
      <c r="NWX21" s="4"/>
      <c r="NWY21" s="4"/>
      <c r="NWZ21" s="4"/>
      <c r="NXA21" s="4"/>
      <c r="NXB21" s="4"/>
      <c r="NXC21" s="4"/>
      <c r="NXD21" s="4"/>
      <c r="NXE21" s="4"/>
      <c r="NXF21" s="4"/>
      <c r="NXG21" s="4"/>
      <c r="NXH21" s="4"/>
      <c r="NXI21" s="4"/>
      <c r="NXJ21" s="4"/>
      <c r="NXK21" s="4"/>
      <c r="NXL21" s="4"/>
      <c r="NXM21" s="4"/>
      <c r="NXN21" s="4"/>
      <c r="NXO21" s="4"/>
      <c r="NXP21" s="4"/>
      <c r="NXQ21" s="4"/>
      <c r="NXR21" s="4"/>
      <c r="NXS21" s="4"/>
      <c r="NXT21" s="4"/>
      <c r="NXU21" s="4"/>
      <c r="NXV21" s="4"/>
      <c r="NXW21" s="4"/>
      <c r="NXX21" s="4"/>
      <c r="NXY21" s="4"/>
      <c r="NXZ21" s="4"/>
      <c r="NYA21" s="4"/>
      <c r="NYB21" s="4"/>
      <c r="NYC21" s="4"/>
      <c r="NYD21" s="4"/>
      <c r="NYE21" s="4"/>
      <c r="NYF21" s="4"/>
      <c r="NYG21" s="4"/>
      <c r="NYH21" s="4"/>
      <c r="NYI21" s="4"/>
      <c r="NYJ21" s="4"/>
      <c r="NYK21" s="4"/>
      <c r="NYL21" s="4"/>
      <c r="NYM21" s="4"/>
      <c r="NYN21" s="4"/>
      <c r="NYO21" s="4"/>
      <c r="NYP21" s="4"/>
      <c r="NYQ21" s="4"/>
      <c r="NYR21" s="4"/>
      <c r="NYS21" s="4"/>
      <c r="NYT21" s="4"/>
      <c r="NYU21" s="4"/>
      <c r="NYV21" s="4"/>
      <c r="NYW21" s="4"/>
      <c r="NYX21" s="4"/>
      <c r="NYY21" s="4"/>
      <c r="NYZ21" s="4"/>
      <c r="NZA21" s="4"/>
      <c r="NZB21" s="4"/>
      <c r="NZC21" s="4"/>
      <c r="NZD21" s="4"/>
      <c r="NZE21" s="4"/>
      <c r="NZF21" s="4"/>
      <c r="NZG21" s="4"/>
      <c r="NZH21" s="4"/>
      <c r="NZI21" s="4"/>
      <c r="NZJ21" s="4"/>
      <c r="NZK21" s="4"/>
      <c r="NZL21" s="4"/>
      <c r="NZM21" s="4"/>
      <c r="NZN21" s="4"/>
      <c r="NZO21" s="4"/>
      <c r="NZP21" s="4"/>
      <c r="NZQ21" s="4"/>
      <c r="NZR21" s="4"/>
      <c r="NZS21" s="4"/>
      <c r="NZT21" s="4"/>
      <c r="NZU21" s="4"/>
      <c r="NZV21" s="4"/>
      <c r="NZW21" s="4"/>
      <c r="NZX21" s="4"/>
      <c r="NZY21" s="4"/>
      <c r="NZZ21" s="4"/>
      <c r="OAA21" s="4"/>
      <c r="OAB21" s="4"/>
      <c r="OAC21" s="4"/>
      <c r="OAD21" s="4"/>
      <c r="OAE21" s="4"/>
      <c r="OAF21" s="4"/>
      <c r="OAG21" s="4"/>
      <c r="OAH21" s="4"/>
      <c r="OAI21" s="4"/>
      <c r="OAJ21" s="4"/>
      <c r="OAK21" s="4"/>
      <c r="OAL21" s="4"/>
      <c r="OAM21" s="4"/>
      <c r="OAN21" s="4"/>
      <c r="OAO21" s="4"/>
      <c r="OAP21" s="4"/>
      <c r="OAQ21" s="4"/>
      <c r="OAR21" s="4"/>
      <c r="OAS21" s="4"/>
      <c r="OAT21" s="4"/>
      <c r="OAU21" s="4"/>
      <c r="OAV21" s="4"/>
      <c r="OAW21" s="4"/>
      <c r="OAX21" s="4"/>
      <c r="OAY21" s="4"/>
      <c r="OAZ21" s="4"/>
      <c r="OBA21" s="4"/>
      <c r="OBB21" s="4"/>
      <c r="OBC21" s="4"/>
      <c r="OBD21" s="4"/>
      <c r="OBE21" s="4"/>
      <c r="OBF21" s="4"/>
      <c r="OBG21" s="4"/>
      <c r="OBH21" s="4"/>
      <c r="OBI21" s="4"/>
      <c r="OBJ21" s="4"/>
      <c r="OBK21" s="4"/>
      <c r="OBL21" s="4"/>
      <c r="OBM21" s="4"/>
      <c r="OBN21" s="4"/>
      <c r="OBO21" s="4"/>
      <c r="OBP21" s="4"/>
      <c r="OBQ21" s="4"/>
      <c r="OBR21" s="4"/>
      <c r="OBS21" s="4"/>
      <c r="OBT21" s="4"/>
      <c r="OBU21" s="4"/>
      <c r="OBV21" s="4"/>
      <c r="OBW21" s="4"/>
      <c r="OBX21" s="4"/>
      <c r="OBY21" s="4"/>
      <c r="OBZ21" s="4"/>
      <c r="OCA21" s="4"/>
      <c r="OCB21" s="4"/>
      <c r="OCC21" s="4"/>
      <c r="OCD21" s="4"/>
      <c r="OCE21" s="4"/>
      <c r="OCF21" s="4"/>
      <c r="OCG21" s="4"/>
      <c r="OCH21" s="4"/>
      <c r="OCI21" s="4"/>
      <c r="OCJ21" s="4"/>
      <c r="OCK21" s="4"/>
      <c r="OCL21" s="4"/>
      <c r="OCM21" s="4"/>
      <c r="OCN21" s="4"/>
      <c r="OCO21" s="4"/>
      <c r="OCP21" s="4"/>
      <c r="OCQ21" s="4"/>
      <c r="OCR21" s="4"/>
      <c r="OCS21" s="4"/>
      <c r="OCT21" s="4"/>
      <c r="OCU21" s="4"/>
      <c r="OCV21" s="4"/>
      <c r="OCW21" s="4"/>
      <c r="OCX21" s="4"/>
      <c r="OCY21" s="4"/>
      <c r="OCZ21" s="4"/>
      <c r="ODA21" s="4"/>
      <c r="ODB21" s="4"/>
      <c r="ODC21" s="4"/>
      <c r="ODD21" s="4"/>
      <c r="ODE21" s="4"/>
      <c r="ODF21" s="4"/>
      <c r="ODG21" s="4"/>
      <c r="ODH21" s="4"/>
      <c r="ODI21" s="4"/>
      <c r="ODJ21" s="4"/>
      <c r="ODK21" s="4"/>
      <c r="ODL21" s="4"/>
      <c r="ODM21" s="4"/>
      <c r="ODN21" s="4"/>
      <c r="ODO21" s="4"/>
      <c r="ODP21" s="4"/>
      <c r="ODQ21" s="4"/>
      <c r="ODR21" s="4"/>
      <c r="ODS21" s="4"/>
      <c r="ODT21" s="4"/>
      <c r="ODU21" s="4"/>
      <c r="ODV21" s="4"/>
      <c r="ODW21" s="4"/>
      <c r="ODX21" s="4"/>
      <c r="ODY21" s="4"/>
      <c r="ODZ21" s="4"/>
      <c r="OEA21" s="4"/>
      <c r="OEB21" s="4"/>
      <c r="OEC21" s="4"/>
      <c r="OED21" s="4"/>
      <c r="OEE21" s="4"/>
      <c r="OEF21" s="4"/>
      <c r="OEG21" s="4"/>
      <c r="OEH21" s="4"/>
      <c r="OEI21" s="4"/>
      <c r="OEJ21" s="4"/>
      <c r="OEK21" s="4"/>
      <c r="OEL21" s="4"/>
      <c r="OEM21" s="4"/>
      <c r="OEN21" s="4"/>
      <c r="OEO21" s="4"/>
      <c r="OEP21" s="4"/>
      <c r="OEQ21" s="4"/>
      <c r="OER21" s="4"/>
      <c r="OES21" s="4"/>
      <c r="OET21" s="4"/>
      <c r="OEU21" s="4"/>
      <c r="OEV21" s="4"/>
      <c r="OEW21" s="4"/>
      <c r="OEX21" s="4"/>
      <c r="OEY21" s="4"/>
      <c r="OEZ21" s="4"/>
      <c r="OFA21" s="4"/>
      <c r="OFB21" s="4"/>
      <c r="OFC21" s="4"/>
      <c r="OFD21" s="4"/>
      <c r="OFE21" s="4"/>
      <c r="OFF21" s="4"/>
      <c r="OFG21" s="4"/>
      <c r="OFH21" s="4"/>
      <c r="OFI21" s="4"/>
      <c r="OFJ21" s="4"/>
      <c r="OFK21" s="4"/>
      <c r="OFL21" s="4"/>
      <c r="OFM21" s="4"/>
      <c r="OFN21" s="4"/>
      <c r="OFO21" s="4"/>
      <c r="OFP21" s="4"/>
      <c r="OFQ21" s="4"/>
      <c r="OFR21" s="4"/>
      <c r="OFS21" s="4"/>
      <c r="OFT21" s="4"/>
      <c r="OFU21" s="4"/>
      <c r="OFV21" s="4"/>
      <c r="OFW21" s="4"/>
      <c r="OFX21" s="4"/>
      <c r="OFY21" s="4"/>
      <c r="OFZ21" s="4"/>
      <c r="OGA21" s="4"/>
      <c r="OGB21" s="4"/>
      <c r="OGC21" s="4"/>
      <c r="OGD21" s="4"/>
      <c r="OGE21" s="4"/>
      <c r="OGF21" s="4"/>
      <c r="OGG21" s="4"/>
      <c r="OGH21" s="4"/>
      <c r="OGI21" s="4"/>
      <c r="OGJ21" s="4"/>
      <c r="OGK21" s="4"/>
      <c r="OGL21" s="4"/>
      <c r="OGM21" s="4"/>
      <c r="OGN21" s="4"/>
      <c r="OGO21" s="4"/>
      <c r="OGP21" s="4"/>
      <c r="OGQ21" s="4"/>
      <c r="OGR21" s="4"/>
      <c r="OGS21" s="4"/>
      <c r="OGT21" s="4"/>
      <c r="OGU21" s="4"/>
      <c r="OGV21" s="4"/>
      <c r="OGW21" s="4"/>
      <c r="OGX21" s="4"/>
      <c r="OGY21" s="4"/>
      <c r="OGZ21" s="4"/>
      <c r="OHA21" s="4"/>
      <c r="OHB21" s="4"/>
      <c r="OHC21" s="4"/>
      <c r="OHD21" s="4"/>
      <c r="OHE21" s="4"/>
      <c r="OHF21" s="4"/>
      <c r="OHG21" s="4"/>
      <c r="OHH21" s="4"/>
      <c r="OHI21" s="4"/>
      <c r="OHJ21" s="4"/>
      <c r="OHK21" s="4"/>
      <c r="OHL21" s="4"/>
      <c r="OHM21" s="4"/>
      <c r="OHN21" s="4"/>
      <c r="OHO21" s="4"/>
      <c r="OHP21" s="4"/>
      <c r="OHQ21" s="4"/>
      <c r="OHR21" s="4"/>
      <c r="OHS21" s="4"/>
      <c r="OHT21" s="4"/>
      <c r="OHU21" s="4"/>
      <c r="OHV21" s="4"/>
      <c r="OHW21" s="4"/>
      <c r="OHX21" s="4"/>
      <c r="OHY21" s="4"/>
      <c r="OHZ21" s="4"/>
      <c r="OIA21" s="4"/>
      <c r="OIB21" s="4"/>
      <c r="OIC21" s="4"/>
      <c r="OID21" s="4"/>
      <c r="OIE21" s="4"/>
      <c r="OIF21" s="4"/>
      <c r="OIG21" s="4"/>
      <c r="OIH21" s="4"/>
      <c r="OII21" s="4"/>
      <c r="OIJ21" s="4"/>
      <c r="OIK21" s="4"/>
      <c r="OIL21" s="4"/>
      <c r="OIM21" s="4"/>
      <c r="OIN21" s="4"/>
      <c r="OIO21" s="4"/>
      <c r="OIP21" s="4"/>
      <c r="OIQ21" s="4"/>
      <c r="OIR21" s="4"/>
      <c r="OIS21" s="4"/>
      <c r="OIT21" s="4"/>
      <c r="OIU21" s="4"/>
      <c r="OIV21" s="4"/>
      <c r="OIW21" s="4"/>
      <c r="OIX21" s="4"/>
      <c r="OIY21" s="4"/>
      <c r="OIZ21" s="4"/>
      <c r="OJA21" s="4"/>
      <c r="OJB21" s="4"/>
      <c r="OJC21" s="4"/>
      <c r="OJD21" s="4"/>
      <c r="OJE21" s="4"/>
      <c r="OJF21" s="4"/>
      <c r="OJG21" s="4"/>
      <c r="OJH21" s="4"/>
      <c r="OJI21" s="4"/>
      <c r="OJJ21" s="4"/>
      <c r="OJK21" s="4"/>
      <c r="OJL21" s="4"/>
      <c r="OJM21" s="4"/>
      <c r="OJN21" s="4"/>
      <c r="OJO21" s="4"/>
      <c r="OJP21" s="4"/>
      <c r="OJQ21" s="4"/>
      <c r="OJR21" s="4"/>
      <c r="OJS21" s="4"/>
      <c r="OJT21" s="4"/>
      <c r="OJU21" s="4"/>
      <c r="OJV21" s="4"/>
      <c r="OJW21" s="4"/>
      <c r="OJX21" s="4"/>
      <c r="OJY21" s="4"/>
      <c r="OJZ21" s="4"/>
      <c r="OKA21" s="4"/>
      <c r="OKB21" s="4"/>
      <c r="OKC21" s="4"/>
      <c r="OKD21" s="4"/>
      <c r="OKE21" s="4"/>
      <c r="OKF21" s="4"/>
      <c r="OKG21" s="4"/>
      <c r="OKH21" s="4"/>
      <c r="OKI21" s="4"/>
      <c r="OKJ21" s="4"/>
      <c r="OKK21" s="4"/>
      <c r="OKL21" s="4"/>
      <c r="OKM21" s="4"/>
      <c r="OKN21" s="4"/>
      <c r="OKO21" s="4"/>
      <c r="OKP21" s="4"/>
      <c r="OKQ21" s="4"/>
      <c r="OKR21" s="4"/>
      <c r="OKS21" s="4"/>
      <c r="OKT21" s="4"/>
      <c r="OKU21" s="4"/>
      <c r="OKV21" s="4"/>
      <c r="OKW21" s="4"/>
      <c r="OKX21" s="4"/>
      <c r="OKY21" s="4"/>
      <c r="OKZ21" s="4"/>
      <c r="OLA21" s="4"/>
      <c r="OLB21" s="4"/>
      <c r="OLC21" s="4"/>
      <c r="OLD21" s="4"/>
      <c r="OLE21" s="4"/>
      <c r="OLF21" s="4"/>
      <c r="OLG21" s="4"/>
      <c r="OLH21" s="4"/>
      <c r="OLI21" s="4"/>
      <c r="OLJ21" s="4"/>
      <c r="OLK21" s="4"/>
      <c r="OLL21" s="4"/>
      <c r="OLM21" s="4"/>
      <c r="OLN21" s="4"/>
      <c r="OLO21" s="4"/>
      <c r="OLP21" s="4"/>
      <c r="OLQ21" s="4"/>
      <c r="OLR21" s="4"/>
      <c r="OLS21" s="4"/>
      <c r="OLT21" s="4"/>
      <c r="OLU21" s="4"/>
      <c r="OLV21" s="4"/>
      <c r="OLW21" s="4"/>
      <c r="OLX21" s="4"/>
      <c r="OLY21" s="4"/>
      <c r="OLZ21" s="4"/>
      <c r="OMA21" s="4"/>
      <c r="OMB21" s="4"/>
      <c r="OMC21" s="4"/>
      <c r="OMD21" s="4"/>
      <c r="OME21" s="4"/>
      <c r="OMF21" s="4"/>
      <c r="OMG21" s="4"/>
      <c r="OMH21" s="4"/>
      <c r="OMI21" s="4"/>
      <c r="OMJ21" s="4"/>
      <c r="OMK21" s="4"/>
      <c r="OML21" s="4"/>
      <c r="OMM21" s="4"/>
      <c r="OMN21" s="4"/>
      <c r="OMO21" s="4"/>
      <c r="OMP21" s="4"/>
      <c r="OMQ21" s="4"/>
      <c r="OMR21" s="4"/>
      <c r="OMS21" s="4"/>
      <c r="OMT21" s="4"/>
      <c r="OMU21" s="4"/>
      <c r="OMV21" s="4"/>
      <c r="OMW21" s="4"/>
      <c r="OMX21" s="4"/>
      <c r="OMY21" s="4"/>
      <c r="OMZ21" s="4"/>
      <c r="ONA21" s="4"/>
      <c r="ONB21" s="4"/>
      <c r="ONC21" s="4"/>
      <c r="OND21" s="4"/>
      <c r="ONE21" s="4"/>
      <c r="ONF21" s="4"/>
      <c r="ONG21" s="4"/>
      <c r="ONH21" s="4"/>
      <c r="ONI21" s="4"/>
      <c r="ONJ21" s="4"/>
      <c r="ONK21" s="4"/>
      <c r="ONL21" s="4"/>
      <c r="ONM21" s="4"/>
      <c r="ONN21" s="4"/>
      <c r="ONO21" s="4"/>
      <c r="ONP21" s="4"/>
      <c r="ONQ21" s="4"/>
      <c r="ONR21" s="4"/>
      <c r="ONS21" s="4"/>
      <c r="ONT21" s="4"/>
      <c r="ONU21" s="4"/>
      <c r="ONV21" s="4"/>
      <c r="ONW21" s="4"/>
      <c r="ONX21" s="4"/>
      <c r="ONY21" s="4"/>
      <c r="ONZ21" s="4"/>
      <c r="OOA21" s="4"/>
      <c r="OOB21" s="4"/>
      <c r="OOC21" s="4"/>
      <c r="OOD21" s="4"/>
      <c r="OOE21" s="4"/>
      <c r="OOF21" s="4"/>
      <c r="OOG21" s="4"/>
      <c r="OOH21" s="4"/>
      <c r="OOI21" s="4"/>
      <c r="OOJ21" s="4"/>
      <c r="OOK21" s="4"/>
      <c r="OOL21" s="4"/>
      <c r="OOM21" s="4"/>
      <c r="OON21" s="4"/>
      <c r="OOO21" s="4"/>
      <c r="OOP21" s="4"/>
      <c r="OOQ21" s="4"/>
      <c r="OOR21" s="4"/>
      <c r="OOS21" s="4"/>
      <c r="OOT21" s="4"/>
      <c r="OOU21" s="4"/>
      <c r="OOV21" s="4"/>
      <c r="OOW21" s="4"/>
      <c r="OOX21" s="4"/>
      <c r="OOY21" s="4"/>
      <c r="OOZ21" s="4"/>
      <c r="OPA21" s="4"/>
      <c r="OPB21" s="4"/>
      <c r="OPC21" s="4"/>
      <c r="OPD21" s="4"/>
      <c r="OPE21" s="4"/>
      <c r="OPF21" s="4"/>
      <c r="OPG21" s="4"/>
      <c r="OPH21" s="4"/>
      <c r="OPI21" s="4"/>
      <c r="OPJ21" s="4"/>
      <c r="OPK21" s="4"/>
      <c r="OPL21" s="4"/>
      <c r="OPM21" s="4"/>
      <c r="OPN21" s="4"/>
      <c r="OPO21" s="4"/>
      <c r="OPP21" s="4"/>
      <c r="OPQ21" s="4"/>
      <c r="OPR21" s="4"/>
      <c r="OPS21" s="4"/>
      <c r="OPT21" s="4"/>
      <c r="OPU21" s="4"/>
      <c r="OPV21" s="4"/>
      <c r="OPW21" s="4"/>
      <c r="OPX21" s="4"/>
      <c r="OPY21" s="4"/>
      <c r="OPZ21" s="4"/>
      <c r="OQA21" s="4"/>
      <c r="OQB21" s="4"/>
      <c r="OQC21" s="4"/>
      <c r="OQD21" s="4"/>
      <c r="OQE21" s="4"/>
      <c r="OQF21" s="4"/>
      <c r="OQG21" s="4"/>
      <c r="OQH21" s="4"/>
      <c r="OQI21" s="4"/>
      <c r="OQJ21" s="4"/>
      <c r="OQK21" s="4"/>
      <c r="OQL21" s="4"/>
      <c r="OQM21" s="4"/>
      <c r="OQN21" s="4"/>
      <c r="OQO21" s="4"/>
      <c r="OQP21" s="4"/>
      <c r="OQQ21" s="4"/>
      <c r="OQR21" s="4"/>
      <c r="OQS21" s="4"/>
      <c r="OQT21" s="4"/>
      <c r="OQU21" s="4"/>
      <c r="OQV21" s="4"/>
      <c r="OQW21" s="4"/>
      <c r="OQX21" s="4"/>
      <c r="OQY21" s="4"/>
      <c r="OQZ21" s="4"/>
      <c r="ORA21" s="4"/>
      <c r="ORB21" s="4"/>
      <c r="ORC21" s="4"/>
      <c r="ORD21" s="4"/>
      <c r="ORE21" s="4"/>
      <c r="ORF21" s="4"/>
      <c r="ORG21" s="4"/>
      <c r="ORH21" s="4"/>
      <c r="ORI21" s="4"/>
      <c r="ORJ21" s="4"/>
      <c r="ORK21" s="4"/>
      <c r="ORL21" s="4"/>
      <c r="ORM21" s="4"/>
      <c r="ORN21" s="4"/>
      <c r="ORO21" s="4"/>
      <c r="ORP21" s="4"/>
      <c r="ORQ21" s="4"/>
      <c r="ORR21" s="4"/>
      <c r="ORS21" s="4"/>
      <c r="ORT21" s="4"/>
      <c r="ORU21" s="4"/>
      <c r="ORV21" s="4"/>
      <c r="ORW21" s="4"/>
      <c r="ORX21" s="4"/>
      <c r="ORY21" s="4"/>
      <c r="ORZ21" s="4"/>
      <c r="OSA21" s="4"/>
      <c r="OSB21" s="4"/>
      <c r="OSC21" s="4"/>
      <c r="OSD21" s="4"/>
      <c r="OSE21" s="4"/>
      <c r="OSF21" s="4"/>
      <c r="OSG21" s="4"/>
      <c r="OSH21" s="4"/>
      <c r="OSI21" s="4"/>
      <c r="OSJ21" s="4"/>
      <c r="OSK21" s="4"/>
      <c r="OSL21" s="4"/>
      <c r="OSM21" s="4"/>
      <c r="OSN21" s="4"/>
      <c r="OSO21" s="4"/>
      <c r="OSP21" s="4"/>
      <c r="OSQ21" s="4"/>
      <c r="OSR21" s="4"/>
      <c r="OSS21" s="4"/>
      <c r="OST21" s="4"/>
      <c r="OSU21" s="4"/>
      <c r="OSV21" s="4"/>
      <c r="OSW21" s="4"/>
      <c r="OSX21" s="4"/>
      <c r="OSY21" s="4"/>
      <c r="OSZ21" s="4"/>
      <c r="OTA21" s="4"/>
      <c r="OTB21" s="4"/>
      <c r="OTC21" s="4"/>
      <c r="OTD21" s="4"/>
      <c r="OTE21" s="4"/>
      <c r="OTF21" s="4"/>
      <c r="OTG21" s="4"/>
      <c r="OTH21" s="4"/>
      <c r="OTI21" s="4"/>
      <c r="OTJ21" s="4"/>
      <c r="OTK21" s="4"/>
      <c r="OTL21" s="4"/>
      <c r="OTM21" s="4"/>
      <c r="OTN21" s="4"/>
      <c r="OTO21" s="4"/>
      <c r="OTP21" s="4"/>
      <c r="OTQ21" s="4"/>
      <c r="OTR21" s="4"/>
      <c r="OTS21" s="4"/>
      <c r="OTT21" s="4"/>
      <c r="OTU21" s="4"/>
      <c r="OTV21" s="4"/>
      <c r="OTW21" s="4"/>
      <c r="OTX21" s="4"/>
      <c r="OTY21" s="4"/>
      <c r="OTZ21" s="4"/>
      <c r="OUA21" s="4"/>
      <c r="OUB21" s="4"/>
      <c r="OUC21" s="4"/>
      <c r="OUD21" s="4"/>
      <c r="OUE21" s="4"/>
      <c r="OUF21" s="4"/>
      <c r="OUG21" s="4"/>
      <c r="OUH21" s="4"/>
      <c r="OUI21" s="4"/>
      <c r="OUJ21" s="4"/>
      <c r="OUK21" s="4"/>
      <c r="OUL21" s="4"/>
      <c r="OUM21" s="4"/>
      <c r="OUN21" s="4"/>
      <c r="OUO21" s="4"/>
      <c r="OUP21" s="4"/>
      <c r="OUQ21" s="4"/>
      <c r="OUR21" s="4"/>
      <c r="OUS21" s="4"/>
      <c r="OUT21" s="4"/>
      <c r="OUU21" s="4"/>
      <c r="OUV21" s="4"/>
      <c r="OUW21" s="4"/>
      <c r="OUX21" s="4"/>
      <c r="OUY21" s="4"/>
      <c r="OUZ21" s="4"/>
      <c r="OVA21" s="4"/>
      <c r="OVB21" s="4"/>
      <c r="OVC21" s="4"/>
      <c r="OVD21" s="4"/>
      <c r="OVE21" s="4"/>
      <c r="OVF21" s="4"/>
      <c r="OVG21" s="4"/>
      <c r="OVH21" s="4"/>
      <c r="OVI21" s="4"/>
      <c r="OVJ21" s="4"/>
      <c r="OVK21" s="4"/>
      <c r="OVL21" s="4"/>
      <c r="OVM21" s="4"/>
      <c r="OVN21" s="4"/>
      <c r="OVO21" s="4"/>
      <c r="OVP21" s="4"/>
      <c r="OVQ21" s="4"/>
      <c r="OVR21" s="4"/>
      <c r="OVS21" s="4"/>
      <c r="OVT21" s="4"/>
      <c r="OVU21" s="4"/>
      <c r="OVV21" s="4"/>
      <c r="OVW21" s="4"/>
      <c r="OVX21" s="4"/>
      <c r="OVY21" s="4"/>
      <c r="OVZ21" s="4"/>
      <c r="OWA21" s="4"/>
      <c r="OWB21" s="4"/>
      <c r="OWC21" s="4"/>
      <c r="OWD21" s="4"/>
      <c r="OWE21" s="4"/>
      <c r="OWF21" s="4"/>
      <c r="OWG21" s="4"/>
      <c r="OWH21" s="4"/>
      <c r="OWI21" s="4"/>
      <c r="OWJ21" s="4"/>
      <c r="OWK21" s="4"/>
      <c r="OWL21" s="4"/>
      <c r="OWM21" s="4"/>
      <c r="OWN21" s="4"/>
      <c r="OWO21" s="4"/>
      <c r="OWP21" s="4"/>
      <c r="OWQ21" s="4"/>
      <c r="OWR21" s="4"/>
      <c r="OWS21" s="4"/>
      <c r="OWT21" s="4"/>
      <c r="OWU21" s="4"/>
      <c r="OWV21" s="4"/>
      <c r="OWW21" s="4"/>
      <c r="OWX21" s="4"/>
      <c r="OWY21" s="4"/>
      <c r="OWZ21" s="4"/>
      <c r="OXA21" s="4"/>
      <c r="OXB21" s="4"/>
      <c r="OXC21" s="4"/>
      <c r="OXD21" s="4"/>
      <c r="OXE21" s="4"/>
      <c r="OXF21" s="4"/>
      <c r="OXG21" s="4"/>
      <c r="OXH21" s="4"/>
      <c r="OXI21" s="4"/>
      <c r="OXJ21" s="4"/>
      <c r="OXK21" s="4"/>
      <c r="OXL21" s="4"/>
      <c r="OXM21" s="4"/>
      <c r="OXN21" s="4"/>
      <c r="OXO21" s="4"/>
      <c r="OXP21" s="4"/>
      <c r="OXQ21" s="4"/>
      <c r="OXR21" s="4"/>
      <c r="OXS21" s="4"/>
      <c r="OXT21" s="4"/>
      <c r="OXU21" s="4"/>
      <c r="OXV21" s="4"/>
      <c r="OXW21" s="4"/>
      <c r="OXX21" s="4"/>
      <c r="OXY21" s="4"/>
      <c r="OXZ21" s="4"/>
      <c r="OYA21" s="4"/>
      <c r="OYB21" s="4"/>
      <c r="OYC21" s="4"/>
      <c r="OYD21" s="4"/>
      <c r="OYE21" s="4"/>
      <c r="OYF21" s="4"/>
      <c r="OYG21" s="4"/>
      <c r="OYH21" s="4"/>
      <c r="OYI21" s="4"/>
      <c r="OYJ21" s="4"/>
      <c r="OYK21" s="4"/>
      <c r="OYL21" s="4"/>
      <c r="OYM21" s="4"/>
      <c r="OYN21" s="4"/>
      <c r="OYO21" s="4"/>
      <c r="OYP21" s="4"/>
      <c r="OYQ21" s="4"/>
      <c r="OYR21" s="4"/>
      <c r="OYS21" s="4"/>
      <c r="OYT21" s="4"/>
      <c r="OYU21" s="4"/>
      <c r="OYV21" s="4"/>
      <c r="OYW21" s="4"/>
      <c r="OYX21" s="4"/>
      <c r="OYY21" s="4"/>
      <c r="OYZ21" s="4"/>
      <c r="OZA21" s="4"/>
      <c r="OZB21" s="4"/>
      <c r="OZC21" s="4"/>
      <c r="OZD21" s="4"/>
      <c r="OZE21" s="4"/>
      <c r="OZF21" s="4"/>
      <c r="OZG21" s="4"/>
      <c r="OZH21" s="4"/>
      <c r="OZI21" s="4"/>
      <c r="OZJ21" s="4"/>
      <c r="OZK21" s="4"/>
      <c r="OZL21" s="4"/>
      <c r="OZM21" s="4"/>
      <c r="OZN21" s="4"/>
      <c r="OZO21" s="4"/>
      <c r="OZP21" s="4"/>
      <c r="OZQ21" s="4"/>
      <c r="OZR21" s="4"/>
      <c r="OZS21" s="4"/>
      <c r="OZT21" s="4"/>
      <c r="OZU21" s="4"/>
      <c r="OZV21" s="4"/>
      <c r="OZW21" s="4"/>
      <c r="OZX21" s="4"/>
      <c r="OZY21" s="4"/>
      <c r="OZZ21" s="4"/>
      <c r="PAA21" s="4"/>
      <c r="PAB21" s="4"/>
      <c r="PAC21" s="4"/>
      <c r="PAD21" s="4"/>
      <c r="PAE21" s="4"/>
      <c r="PAF21" s="4"/>
      <c r="PAG21" s="4"/>
      <c r="PAH21" s="4"/>
      <c r="PAI21" s="4"/>
      <c r="PAJ21" s="4"/>
      <c r="PAK21" s="4"/>
      <c r="PAL21" s="4"/>
      <c r="PAM21" s="4"/>
      <c r="PAN21" s="4"/>
      <c r="PAO21" s="4"/>
      <c r="PAP21" s="4"/>
      <c r="PAQ21" s="4"/>
      <c r="PAR21" s="4"/>
      <c r="PAS21" s="4"/>
      <c r="PAT21" s="4"/>
      <c r="PAU21" s="4"/>
      <c r="PAV21" s="4"/>
      <c r="PAW21" s="4"/>
      <c r="PAX21" s="4"/>
      <c r="PAY21" s="4"/>
      <c r="PAZ21" s="4"/>
      <c r="PBA21" s="4"/>
      <c r="PBB21" s="4"/>
      <c r="PBC21" s="4"/>
      <c r="PBD21" s="4"/>
      <c r="PBE21" s="4"/>
      <c r="PBF21" s="4"/>
      <c r="PBG21" s="4"/>
      <c r="PBH21" s="4"/>
      <c r="PBI21" s="4"/>
      <c r="PBJ21" s="4"/>
      <c r="PBK21" s="4"/>
      <c r="PBL21" s="4"/>
      <c r="PBM21" s="4"/>
      <c r="PBN21" s="4"/>
      <c r="PBO21" s="4"/>
      <c r="PBP21" s="4"/>
      <c r="PBQ21" s="4"/>
      <c r="PBR21" s="4"/>
      <c r="PBS21" s="4"/>
      <c r="PBT21" s="4"/>
      <c r="PBU21" s="4"/>
      <c r="PBV21" s="4"/>
      <c r="PBW21" s="4"/>
      <c r="PBX21" s="4"/>
      <c r="PBY21" s="4"/>
      <c r="PBZ21" s="4"/>
      <c r="PCA21" s="4"/>
      <c r="PCB21" s="4"/>
      <c r="PCC21" s="4"/>
      <c r="PCD21" s="4"/>
      <c r="PCE21" s="4"/>
      <c r="PCF21" s="4"/>
      <c r="PCG21" s="4"/>
      <c r="PCH21" s="4"/>
      <c r="PCI21" s="4"/>
      <c r="PCJ21" s="4"/>
      <c r="PCK21" s="4"/>
      <c r="PCL21" s="4"/>
      <c r="PCM21" s="4"/>
      <c r="PCN21" s="4"/>
      <c r="PCO21" s="4"/>
      <c r="PCP21" s="4"/>
      <c r="PCQ21" s="4"/>
      <c r="PCR21" s="4"/>
      <c r="PCS21" s="4"/>
      <c r="PCT21" s="4"/>
      <c r="PCU21" s="4"/>
      <c r="PCV21" s="4"/>
      <c r="PCW21" s="4"/>
      <c r="PCX21" s="4"/>
      <c r="PCY21" s="4"/>
      <c r="PCZ21" s="4"/>
      <c r="PDA21" s="4"/>
      <c r="PDB21" s="4"/>
      <c r="PDC21" s="4"/>
      <c r="PDD21" s="4"/>
      <c r="PDE21" s="4"/>
      <c r="PDF21" s="4"/>
      <c r="PDG21" s="4"/>
      <c r="PDH21" s="4"/>
      <c r="PDI21" s="4"/>
      <c r="PDJ21" s="4"/>
      <c r="PDK21" s="4"/>
      <c r="PDL21" s="4"/>
      <c r="PDM21" s="4"/>
      <c r="PDN21" s="4"/>
      <c r="PDO21" s="4"/>
      <c r="PDP21" s="4"/>
      <c r="PDQ21" s="4"/>
      <c r="PDR21" s="4"/>
      <c r="PDS21" s="4"/>
      <c r="PDT21" s="4"/>
      <c r="PDU21" s="4"/>
      <c r="PDV21" s="4"/>
      <c r="PDW21" s="4"/>
      <c r="PDX21" s="4"/>
      <c r="PDY21" s="4"/>
      <c r="PDZ21" s="4"/>
      <c r="PEA21" s="4"/>
      <c r="PEB21" s="4"/>
      <c r="PEC21" s="4"/>
      <c r="PED21" s="4"/>
      <c r="PEE21" s="4"/>
      <c r="PEF21" s="4"/>
      <c r="PEG21" s="4"/>
      <c r="PEH21" s="4"/>
      <c r="PEI21" s="4"/>
      <c r="PEJ21" s="4"/>
      <c r="PEK21" s="4"/>
      <c r="PEL21" s="4"/>
      <c r="PEM21" s="4"/>
      <c r="PEN21" s="4"/>
      <c r="PEO21" s="4"/>
      <c r="PEP21" s="4"/>
      <c r="PEQ21" s="4"/>
      <c r="PER21" s="4"/>
      <c r="PES21" s="4"/>
      <c r="PET21" s="4"/>
      <c r="PEU21" s="4"/>
      <c r="PEV21" s="4"/>
      <c r="PEW21" s="4"/>
      <c r="PEX21" s="4"/>
      <c r="PEY21" s="4"/>
      <c r="PEZ21" s="4"/>
      <c r="PFA21" s="4"/>
      <c r="PFB21" s="4"/>
      <c r="PFC21" s="4"/>
      <c r="PFD21" s="4"/>
      <c r="PFE21" s="4"/>
      <c r="PFF21" s="4"/>
      <c r="PFG21" s="4"/>
      <c r="PFH21" s="4"/>
      <c r="PFI21" s="4"/>
      <c r="PFJ21" s="4"/>
      <c r="PFK21" s="4"/>
      <c r="PFL21" s="4"/>
      <c r="PFM21" s="4"/>
      <c r="PFN21" s="4"/>
      <c r="PFO21" s="4"/>
      <c r="PFP21" s="4"/>
      <c r="PFQ21" s="4"/>
      <c r="PFR21" s="4"/>
      <c r="PFS21" s="4"/>
      <c r="PFT21" s="4"/>
      <c r="PFU21" s="4"/>
      <c r="PFV21" s="4"/>
      <c r="PFW21" s="4"/>
      <c r="PFX21" s="4"/>
      <c r="PFY21" s="4"/>
      <c r="PFZ21" s="4"/>
      <c r="PGA21" s="4"/>
      <c r="PGB21" s="4"/>
      <c r="PGC21" s="4"/>
      <c r="PGD21" s="4"/>
      <c r="PGE21" s="4"/>
      <c r="PGF21" s="4"/>
      <c r="PGG21" s="4"/>
      <c r="PGH21" s="4"/>
      <c r="PGI21" s="4"/>
      <c r="PGJ21" s="4"/>
      <c r="PGK21" s="4"/>
      <c r="PGL21" s="4"/>
      <c r="PGM21" s="4"/>
      <c r="PGN21" s="4"/>
      <c r="PGO21" s="4"/>
      <c r="PGP21" s="4"/>
      <c r="PGQ21" s="4"/>
      <c r="PGR21" s="4"/>
      <c r="PGS21" s="4"/>
      <c r="PGT21" s="4"/>
      <c r="PGU21" s="4"/>
      <c r="PGV21" s="4"/>
      <c r="PGW21" s="4"/>
      <c r="PGX21" s="4"/>
      <c r="PGY21" s="4"/>
      <c r="PGZ21" s="4"/>
      <c r="PHA21" s="4"/>
      <c r="PHB21" s="4"/>
      <c r="PHC21" s="4"/>
      <c r="PHD21" s="4"/>
      <c r="PHE21" s="4"/>
      <c r="PHF21" s="4"/>
      <c r="PHG21" s="4"/>
      <c r="PHH21" s="4"/>
      <c r="PHI21" s="4"/>
      <c r="PHJ21" s="4"/>
      <c r="PHK21" s="4"/>
      <c r="PHL21" s="4"/>
      <c r="PHM21" s="4"/>
      <c r="PHN21" s="4"/>
      <c r="PHO21" s="4"/>
      <c r="PHP21" s="4"/>
      <c r="PHQ21" s="4"/>
      <c r="PHR21" s="4"/>
      <c r="PHS21" s="4"/>
      <c r="PHT21" s="4"/>
      <c r="PHU21" s="4"/>
      <c r="PHV21" s="4"/>
      <c r="PHW21" s="4"/>
      <c r="PHX21" s="4"/>
      <c r="PHY21" s="4"/>
      <c r="PHZ21" s="4"/>
      <c r="PIA21" s="4"/>
      <c r="PIB21" s="4"/>
      <c r="PIC21" s="4"/>
      <c r="PID21" s="4"/>
      <c r="PIE21" s="4"/>
      <c r="PIF21" s="4"/>
      <c r="PIG21" s="4"/>
      <c r="PIH21" s="4"/>
      <c r="PII21" s="4"/>
      <c r="PIJ21" s="4"/>
      <c r="PIK21" s="4"/>
      <c r="PIL21" s="4"/>
      <c r="PIM21" s="4"/>
      <c r="PIN21" s="4"/>
      <c r="PIO21" s="4"/>
      <c r="PIP21" s="4"/>
      <c r="PIQ21" s="4"/>
      <c r="PIR21" s="4"/>
      <c r="PIS21" s="4"/>
      <c r="PIT21" s="4"/>
      <c r="PIU21" s="4"/>
      <c r="PIV21" s="4"/>
      <c r="PIW21" s="4"/>
      <c r="PIX21" s="4"/>
      <c r="PIY21" s="4"/>
      <c r="PIZ21" s="4"/>
      <c r="PJA21" s="4"/>
      <c r="PJB21" s="4"/>
      <c r="PJC21" s="4"/>
      <c r="PJD21" s="4"/>
      <c r="PJE21" s="4"/>
      <c r="PJF21" s="4"/>
      <c r="PJG21" s="4"/>
      <c r="PJH21" s="4"/>
      <c r="PJI21" s="4"/>
      <c r="PJJ21" s="4"/>
      <c r="PJK21" s="4"/>
      <c r="PJL21" s="4"/>
      <c r="PJM21" s="4"/>
      <c r="PJN21" s="4"/>
      <c r="PJO21" s="4"/>
      <c r="PJP21" s="4"/>
      <c r="PJQ21" s="4"/>
      <c r="PJR21" s="4"/>
      <c r="PJS21" s="4"/>
      <c r="PJT21" s="4"/>
      <c r="PJU21" s="4"/>
      <c r="PJV21" s="4"/>
      <c r="PJW21" s="4"/>
      <c r="PJX21" s="4"/>
      <c r="PJY21" s="4"/>
      <c r="PJZ21" s="4"/>
      <c r="PKA21" s="4"/>
      <c r="PKB21" s="4"/>
      <c r="PKC21" s="4"/>
      <c r="PKD21" s="4"/>
      <c r="PKE21" s="4"/>
      <c r="PKF21" s="4"/>
      <c r="PKG21" s="4"/>
      <c r="PKH21" s="4"/>
      <c r="PKI21" s="4"/>
      <c r="PKJ21" s="4"/>
      <c r="PKK21" s="4"/>
      <c r="PKL21" s="4"/>
      <c r="PKM21" s="4"/>
      <c r="PKN21" s="4"/>
      <c r="PKO21" s="4"/>
      <c r="PKP21" s="4"/>
      <c r="PKQ21" s="4"/>
      <c r="PKR21" s="4"/>
      <c r="PKS21" s="4"/>
      <c r="PKT21" s="4"/>
      <c r="PKU21" s="4"/>
      <c r="PKV21" s="4"/>
      <c r="PKW21" s="4"/>
      <c r="PKX21" s="4"/>
      <c r="PKY21" s="4"/>
      <c r="PKZ21" s="4"/>
      <c r="PLA21" s="4"/>
      <c r="PLB21" s="4"/>
      <c r="PLC21" s="4"/>
      <c r="PLD21" s="4"/>
      <c r="PLE21" s="4"/>
      <c r="PLF21" s="4"/>
      <c r="PLG21" s="4"/>
      <c r="PLH21" s="4"/>
      <c r="PLI21" s="4"/>
      <c r="PLJ21" s="4"/>
      <c r="PLK21" s="4"/>
      <c r="PLL21" s="4"/>
      <c r="PLM21" s="4"/>
      <c r="PLN21" s="4"/>
      <c r="PLO21" s="4"/>
      <c r="PLP21" s="4"/>
      <c r="PLQ21" s="4"/>
      <c r="PLR21" s="4"/>
      <c r="PLS21" s="4"/>
      <c r="PLT21" s="4"/>
      <c r="PLU21" s="4"/>
      <c r="PLV21" s="4"/>
      <c r="PLW21" s="4"/>
      <c r="PLX21" s="4"/>
      <c r="PLY21" s="4"/>
      <c r="PLZ21" s="4"/>
      <c r="PMA21" s="4"/>
      <c r="PMB21" s="4"/>
      <c r="PMC21" s="4"/>
      <c r="PMD21" s="4"/>
      <c r="PME21" s="4"/>
      <c r="PMF21" s="4"/>
      <c r="PMG21" s="4"/>
      <c r="PMH21" s="4"/>
      <c r="PMI21" s="4"/>
      <c r="PMJ21" s="4"/>
      <c r="PMK21" s="4"/>
      <c r="PML21" s="4"/>
      <c r="PMM21" s="4"/>
      <c r="PMN21" s="4"/>
      <c r="PMO21" s="4"/>
      <c r="PMP21" s="4"/>
      <c r="PMQ21" s="4"/>
      <c r="PMR21" s="4"/>
      <c r="PMS21" s="4"/>
      <c r="PMT21" s="4"/>
      <c r="PMU21" s="4"/>
      <c r="PMV21" s="4"/>
      <c r="PMW21" s="4"/>
      <c r="PMX21" s="4"/>
      <c r="PMY21" s="4"/>
      <c r="PMZ21" s="4"/>
      <c r="PNA21" s="4"/>
      <c r="PNB21" s="4"/>
      <c r="PNC21" s="4"/>
      <c r="PND21" s="4"/>
      <c r="PNE21" s="4"/>
      <c r="PNF21" s="4"/>
      <c r="PNG21" s="4"/>
      <c r="PNH21" s="4"/>
      <c r="PNI21" s="4"/>
      <c r="PNJ21" s="4"/>
      <c r="PNK21" s="4"/>
      <c r="PNL21" s="4"/>
      <c r="PNM21" s="4"/>
      <c r="PNN21" s="4"/>
      <c r="PNO21" s="4"/>
      <c r="PNP21" s="4"/>
      <c r="PNQ21" s="4"/>
      <c r="PNR21" s="4"/>
      <c r="PNS21" s="4"/>
      <c r="PNT21" s="4"/>
      <c r="PNU21" s="4"/>
      <c r="PNV21" s="4"/>
      <c r="PNW21" s="4"/>
      <c r="PNX21" s="4"/>
      <c r="PNY21" s="4"/>
      <c r="PNZ21" s="4"/>
      <c r="POA21" s="4"/>
      <c r="POB21" s="4"/>
      <c r="POC21" s="4"/>
      <c r="POD21" s="4"/>
      <c r="POE21" s="4"/>
      <c r="POF21" s="4"/>
      <c r="POG21" s="4"/>
      <c r="POH21" s="4"/>
      <c r="POI21" s="4"/>
      <c r="POJ21" s="4"/>
      <c r="POK21" s="4"/>
      <c r="POL21" s="4"/>
      <c r="POM21" s="4"/>
      <c r="PON21" s="4"/>
      <c r="POO21" s="4"/>
      <c r="POP21" s="4"/>
      <c r="POQ21" s="4"/>
      <c r="POR21" s="4"/>
      <c r="POS21" s="4"/>
      <c r="POT21" s="4"/>
      <c r="POU21" s="4"/>
      <c r="POV21" s="4"/>
      <c r="POW21" s="4"/>
      <c r="POX21" s="4"/>
      <c r="POY21" s="4"/>
      <c r="POZ21" s="4"/>
      <c r="PPA21" s="4"/>
      <c r="PPB21" s="4"/>
      <c r="PPC21" s="4"/>
      <c r="PPD21" s="4"/>
      <c r="PPE21" s="4"/>
      <c r="PPF21" s="4"/>
      <c r="PPG21" s="4"/>
      <c r="PPH21" s="4"/>
      <c r="PPI21" s="4"/>
      <c r="PPJ21" s="4"/>
      <c r="PPK21" s="4"/>
      <c r="PPL21" s="4"/>
      <c r="PPM21" s="4"/>
      <c r="PPN21" s="4"/>
      <c r="PPO21" s="4"/>
      <c r="PPP21" s="4"/>
      <c r="PPQ21" s="4"/>
      <c r="PPR21" s="4"/>
      <c r="PPS21" s="4"/>
      <c r="PPT21" s="4"/>
      <c r="PPU21" s="4"/>
      <c r="PPV21" s="4"/>
      <c r="PPW21" s="4"/>
      <c r="PPX21" s="4"/>
      <c r="PPY21" s="4"/>
      <c r="PPZ21" s="4"/>
      <c r="PQA21" s="4"/>
      <c r="PQB21" s="4"/>
      <c r="PQC21" s="4"/>
      <c r="PQD21" s="4"/>
      <c r="PQE21" s="4"/>
      <c r="PQF21" s="4"/>
      <c r="PQG21" s="4"/>
      <c r="PQH21" s="4"/>
      <c r="PQI21" s="4"/>
      <c r="PQJ21" s="4"/>
      <c r="PQK21" s="4"/>
      <c r="PQL21" s="4"/>
      <c r="PQM21" s="4"/>
      <c r="PQN21" s="4"/>
      <c r="PQO21" s="4"/>
      <c r="PQP21" s="4"/>
      <c r="PQQ21" s="4"/>
      <c r="PQR21" s="4"/>
      <c r="PQS21" s="4"/>
      <c r="PQT21" s="4"/>
      <c r="PQU21" s="4"/>
      <c r="PQV21" s="4"/>
      <c r="PQW21" s="4"/>
      <c r="PQX21" s="4"/>
      <c r="PQY21" s="4"/>
      <c r="PQZ21" s="4"/>
      <c r="PRA21" s="4"/>
      <c r="PRB21" s="4"/>
      <c r="PRC21" s="4"/>
      <c r="PRD21" s="4"/>
      <c r="PRE21" s="4"/>
      <c r="PRF21" s="4"/>
      <c r="PRG21" s="4"/>
      <c r="PRH21" s="4"/>
      <c r="PRI21" s="4"/>
      <c r="PRJ21" s="4"/>
      <c r="PRK21" s="4"/>
      <c r="PRL21" s="4"/>
      <c r="PRM21" s="4"/>
      <c r="PRN21" s="4"/>
      <c r="PRO21" s="4"/>
      <c r="PRP21" s="4"/>
      <c r="PRQ21" s="4"/>
      <c r="PRR21" s="4"/>
      <c r="PRS21" s="4"/>
      <c r="PRT21" s="4"/>
      <c r="PRU21" s="4"/>
      <c r="PRV21" s="4"/>
      <c r="PRW21" s="4"/>
      <c r="PRX21" s="4"/>
      <c r="PRY21" s="4"/>
      <c r="PRZ21" s="4"/>
      <c r="PSA21" s="4"/>
      <c r="PSB21" s="4"/>
      <c r="PSC21" s="4"/>
      <c r="PSD21" s="4"/>
      <c r="PSE21" s="4"/>
      <c r="PSF21" s="4"/>
      <c r="PSG21" s="4"/>
      <c r="PSH21" s="4"/>
      <c r="PSI21" s="4"/>
      <c r="PSJ21" s="4"/>
      <c r="PSK21" s="4"/>
      <c r="PSL21" s="4"/>
      <c r="PSM21" s="4"/>
      <c r="PSN21" s="4"/>
      <c r="PSO21" s="4"/>
      <c r="PSP21" s="4"/>
      <c r="PSQ21" s="4"/>
      <c r="PSR21" s="4"/>
      <c r="PSS21" s="4"/>
      <c r="PST21" s="4"/>
      <c r="PSU21" s="4"/>
      <c r="PSV21" s="4"/>
      <c r="PSW21" s="4"/>
      <c r="PSX21" s="4"/>
      <c r="PSY21" s="4"/>
      <c r="PSZ21" s="4"/>
      <c r="PTA21" s="4"/>
      <c r="PTB21" s="4"/>
      <c r="PTC21" s="4"/>
      <c r="PTD21" s="4"/>
      <c r="PTE21" s="4"/>
      <c r="PTF21" s="4"/>
      <c r="PTG21" s="4"/>
      <c r="PTH21" s="4"/>
      <c r="PTI21" s="4"/>
      <c r="PTJ21" s="4"/>
      <c r="PTK21" s="4"/>
      <c r="PTL21" s="4"/>
      <c r="PTM21" s="4"/>
      <c r="PTN21" s="4"/>
      <c r="PTO21" s="4"/>
      <c r="PTP21" s="4"/>
      <c r="PTQ21" s="4"/>
      <c r="PTR21" s="4"/>
      <c r="PTS21" s="4"/>
      <c r="PTT21" s="4"/>
      <c r="PTU21" s="4"/>
      <c r="PTV21" s="4"/>
      <c r="PTW21" s="4"/>
      <c r="PTX21" s="4"/>
      <c r="PTY21" s="4"/>
      <c r="PTZ21" s="4"/>
      <c r="PUA21" s="4"/>
      <c r="PUB21" s="4"/>
      <c r="PUC21" s="4"/>
      <c r="PUD21" s="4"/>
      <c r="PUE21" s="4"/>
      <c r="PUF21" s="4"/>
      <c r="PUG21" s="4"/>
      <c r="PUH21" s="4"/>
      <c r="PUI21" s="4"/>
      <c r="PUJ21" s="4"/>
      <c r="PUK21" s="4"/>
      <c r="PUL21" s="4"/>
      <c r="PUM21" s="4"/>
      <c r="PUN21" s="4"/>
      <c r="PUO21" s="4"/>
      <c r="PUP21" s="4"/>
      <c r="PUQ21" s="4"/>
      <c r="PUR21" s="4"/>
      <c r="PUS21" s="4"/>
      <c r="PUT21" s="4"/>
      <c r="PUU21" s="4"/>
      <c r="PUV21" s="4"/>
      <c r="PUW21" s="4"/>
      <c r="PUX21" s="4"/>
      <c r="PUY21" s="4"/>
      <c r="PUZ21" s="4"/>
      <c r="PVA21" s="4"/>
      <c r="PVB21" s="4"/>
      <c r="PVC21" s="4"/>
      <c r="PVD21" s="4"/>
      <c r="PVE21" s="4"/>
      <c r="PVF21" s="4"/>
      <c r="PVG21" s="4"/>
      <c r="PVH21" s="4"/>
      <c r="PVI21" s="4"/>
      <c r="PVJ21" s="4"/>
      <c r="PVK21" s="4"/>
      <c r="PVL21" s="4"/>
      <c r="PVM21" s="4"/>
      <c r="PVN21" s="4"/>
      <c r="PVO21" s="4"/>
      <c r="PVP21" s="4"/>
      <c r="PVQ21" s="4"/>
      <c r="PVR21" s="4"/>
      <c r="PVS21" s="4"/>
      <c r="PVT21" s="4"/>
      <c r="PVU21" s="4"/>
      <c r="PVV21" s="4"/>
      <c r="PVW21" s="4"/>
      <c r="PVX21" s="4"/>
      <c r="PVY21" s="4"/>
      <c r="PVZ21" s="4"/>
      <c r="PWA21" s="4"/>
      <c r="PWB21" s="4"/>
      <c r="PWC21" s="4"/>
      <c r="PWD21" s="4"/>
      <c r="PWE21" s="4"/>
      <c r="PWF21" s="4"/>
      <c r="PWG21" s="4"/>
      <c r="PWH21" s="4"/>
      <c r="PWI21" s="4"/>
      <c r="PWJ21" s="4"/>
      <c r="PWK21" s="4"/>
      <c r="PWL21" s="4"/>
      <c r="PWM21" s="4"/>
      <c r="PWN21" s="4"/>
      <c r="PWO21" s="4"/>
      <c r="PWP21" s="4"/>
      <c r="PWQ21" s="4"/>
      <c r="PWR21" s="4"/>
      <c r="PWS21" s="4"/>
      <c r="PWT21" s="4"/>
      <c r="PWU21" s="4"/>
      <c r="PWV21" s="4"/>
      <c r="PWW21" s="4"/>
      <c r="PWX21" s="4"/>
      <c r="PWY21" s="4"/>
      <c r="PWZ21" s="4"/>
      <c r="PXA21" s="4"/>
      <c r="PXB21" s="4"/>
      <c r="PXC21" s="4"/>
      <c r="PXD21" s="4"/>
      <c r="PXE21" s="4"/>
      <c r="PXF21" s="4"/>
      <c r="PXG21" s="4"/>
      <c r="PXH21" s="4"/>
      <c r="PXI21" s="4"/>
      <c r="PXJ21" s="4"/>
      <c r="PXK21" s="4"/>
      <c r="PXL21" s="4"/>
      <c r="PXM21" s="4"/>
      <c r="PXN21" s="4"/>
      <c r="PXO21" s="4"/>
      <c r="PXP21" s="4"/>
      <c r="PXQ21" s="4"/>
      <c r="PXR21" s="4"/>
      <c r="PXS21" s="4"/>
      <c r="PXT21" s="4"/>
      <c r="PXU21" s="4"/>
      <c r="PXV21" s="4"/>
      <c r="PXW21" s="4"/>
      <c r="PXX21" s="4"/>
      <c r="PXY21" s="4"/>
      <c r="PXZ21" s="4"/>
      <c r="PYA21" s="4"/>
      <c r="PYB21" s="4"/>
      <c r="PYC21" s="4"/>
      <c r="PYD21" s="4"/>
      <c r="PYE21" s="4"/>
      <c r="PYF21" s="4"/>
      <c r="PYG21" s="4"/>
      <c r="PYH21" s="4"/>
      <c r="PYI21" s="4"/>
      <c r="PYJ21" s="4"/>
      <c r="PYK21" s="4"/>
      <c r="PYL21" s="4"/>
      <c r="PYM21" s="4"/>
      <c r="PYN21" s="4"/>
      <c r="PYO21" s="4"/>
      <c r="PYP21" s="4"/>
      <c r="PYQ21" s="4"/>
      <c r="PYR21" s="4"/>
      <c r="PYS21" s="4"/>
      <c r="PYT21" s="4"/>
      <c r="PYU21" s="4"/>
      <c r="PYV21" s="4"/>
      <c r="PYW21" s="4"/>
      <c r="PYX21" s="4"/>
      <c r="PYY21" s="4"/>
      <c r="PYZ21" s="4"/>
      <c r="PZA21" s="4"/>
      <c r="PZB21" s="4"/>
      <c r="PZC21" s="4"/>
      <c r="PZD21" s="4"/>
      <c r="PZE21" s="4"/>
      <c r="PZF21" s="4"/>
      <c r="PZG21" s="4"/>
      <c r="PZH21" s="4"/>
      <c r="PZI21" s="4"/>
      <c r="PZJ21" s="4"/>
      <c r="PZK21" s="4"/>
      <c r="PZL21" s="4"/>
      <c r="PZM21" s="4"/>
      <c r="PZN21" s="4"/>
      <c r="PZO21" s="4"/>
      <c r="PZP21" s="4"/>
      <c r="PZQ21" s="4"/>
      <c r="PZR21" s="4"/>
      <c r="PZS21" s="4"/>
      <c r="PZT21" s="4"/>
      <c r="PZU21" s="4"/>
      <c r="PZV21" s="4"/>
      <c r="PZW21" s="4"/>
      <c r="PZX21" s="4"/>
      <c r="PZY21" s="4"/>
      <c r="PZZ21" s="4"/>
      <c r="QAA21" s="4"/>
      <c r="QAB21" s="4"/>
      <c r="QAC21" s="4"/>
      <c r="QAD21" s="4"/>
      <c r="QAE21" s="4"/>
      <c r="QAF21" s="4"/>
      <c r="QAG21" s="4"/>
      <c r="QAH21" s="4"/>
      <c r="QAI21" s="4"/>
      <c r="QAJ21" s="4"/>
      <c r="QAK21" s="4"/>
      <c r="QAL21" s="4"/>
      <c r="QAM21" s="4"/>
      <c r="QAN21" s="4"/>
      <c r="QAO21" s="4"/>
      <c r="QAP21" s="4"/>
      <c r="QAQ21" s="4"/>
      <c r="QAR21" s="4"/>
      <c r="QAS21" s="4"/>
      <c r="QAT21" s="4"/>
      <c r="QAU21" s="4"/>
      <c r="QAV21" s="4"/>
      <c r="QAW21" s="4"/>
      <c r="QAX21" s="4"/>
      <c r="QAY21" s="4"/>
      <c r="QAZ21" s="4"/>
      <c r="QBA21" s="4"/>
      <c r="QBB21" s="4"/>
      <c r="QBC21" s="4"/>
      <c r="QBD21" s="4"/>
      <c r="QBE21" s="4"/>
      <c r="QBF21" s="4"/>
      <c r="QBG21" s="4"/>
      <c r="QBH21" s="4"/>
      <c r="QBI21" s="4"/>
      <c r="QBJ21" s="4"/>
      <c r="QBK21" s="4"/>
      <c r="QBL21" s="4"/>
      <c r="QBM21" s="4"/>
      <c r="QBN21" s="4"/>
      <c r="QBO21" s="4"/>
      <c r="QBP21" s="4"/>
      <c r="QBQ21" s="4"/>
      <c r="QBR21" s="4"/>
      <c r="QBS21" s="4"/>
      <c r="QBT21" s="4"/>
      <c r="QBU21" s="4"/>
      <c r="QBV21" s="4"/>
      <c r="QBW21" s="4"/>
      <c r="QBX21" s="4"/>
      <c r="QBY21" s="4"/>
      <c r="QBZ21" s="4"/>
      <c r="QCA21" s="4"/>
      <c r="QCB21" s="4"/>
      <c r="QCC21" s="4"/>
      <c r="QCD21" s="4"/>
      <c r="QCE21" s="4"/>
      <c r="QCF21" s="4"/>
      <c r="QCG21" s="4"/>
      <c r="QCH21" s="4"/>
      <c r="QCI21" s="4"/>
      <c r="QCJ21" s="4"/>
      <c r="QCK21" s="4"/>
      <c r="QCL21" s="4"/>
      <c r="QCM21" s="4"/>
      <c r="QCN21" s="4"/>
      <c r="QCO21" s="4"/>
      <c r="QCP21" s="4"/>
      <c r="QCQ21" s="4"/>
      <c r="QCR21" s="4"/>
      <c r="QCS21" s="4"/>
      <c r="QCT21" s="4"/>
      <c r="QCU21" s="4"/>
      <c r="QCV21" s="4"/>
      <c r="QCW21" s="4"/>
      <c r="QCX21" s="4"/>
      <c r="QCY21" s="4"/>
      <c r="QCZ21" s="4"/>
      <c r="QDA21" s="4"/>
      <c r="QDB21" s="4"/>
      <c r="QDC21" s="4"/>
      <c r="QDD21" s="4"/>
      <c r="QDE21" s="4"/>
      <c r="QDF21" s="4"/>
      <c r="QDG21" s="4"/>
      <c r="QDH21" s="4"/>
      <c r="QDI21" s="4"/>
      <c r="QDJ21" s="4"/>
      <c r="QDK21" s="4"/>
      <c r="QDL21" s="4"/>
      <c r="QDM21" s="4"/>
      <c r="QDN21" s="4"/>
      <c r="QDO21" s="4"/>
      <c r="QDP21" s="4"/>
      <c r="QDQ21" s="4"/>
      <c r="QDR21" s="4"/>
      <c r="QDS21" s="4"/>
      <c r="QDT21" s="4"/>
      <c r="QDU21" s="4"/>
      <c r="QDV21" s="4"/>
      <c r="QDW21" s="4"/>
      <c r="QDX21" s="4"/>
      <c r="QDY21" s="4"/>
      <c r="QDZ21" s="4"/>
      <c r="QEA21" s="4"/>
      <c r="QEB21" s="4"/>
      <c r="QEC21" s="4"/>
      <c r="QED21" s="4"/>
      <c r="QEE21" s="4"/>
      <c r="QEF21" s="4"/>
      <c r="QEG21" s="4"/>
      <c r="QEH21" s="4"/>
      <c r="QEI21" s="4"/>
      <c r="QEJ21" s="4"/>
      <c r="QEK21" s="4"/>
      <c r="QEL21" s="4"/>
      <c r="QEM21" s="4"/>
      <c r="QEN21" s="4"/>
      <c r="QEO21" s="4"/>
      <c r="QEP21" s="4"/>
      <c r="QEQ21" s="4"/>
      <c r="QER21" s="4"/>
      <c r="QES21" s="4"/>
      <c r="QET21" s="4"/>
      <c r="QEU21" s="4"/>
      <c r="QEV21" s="4"/>
      <c r="QEW21" s="4"/>
      <c r="QEX21" s="4"/>
      <c r="QEY21" s="4"/>
      <c r="QEZ21" s="4"/>
      <c r="QFA21" s="4"/>
      <c r="QFB21" s="4"/>
      <c r="QFC21" s="4"/>
      <c r="QFD21" s="4"/>
      <c r="QFE21" s="4"/>
      <c r="QFF21" s="4"/>
      <c r="QFG21" s="4"/>
      <c r="QFH21" s="4"/>
      <c r="QFI21" s="4"/>
      <c r="QFJ21" s="4"/>
      <c r="QFK21" s="4"/>
      <c r="QFL21" s="4"/>
      <c r="QFM21" s="4"/>
      <c r="QFN21" s="4"/>
      <c r="QFO21" s="4"/>
      <c r="QFP21" s="4"/>
      <c r="QFQ21" s="4"/>
      <c r="QFR21" s="4"/>
      <c r="QFS21" s="4"/>
      <c r="QFT21" s="4"/>
      <c r="QFU21" s="4"/>
      <c r="QFV21" s="4"/>
      <c r="QFW21" s="4"/>
      <c r="QFX21" s="4"/>
      <c r="QFY21" s="4"/>
      <c r="QFZ21" s="4"/>
      <c r="QGA21" s="4"/>
      <c r="QGB21" s="4"/>
      <c r="QGC21" s="4"/>
      <c r="QGD21" s="4"/>
      <c r="QGE21" s="4"/>
      <c r="QGF21" s="4"/>
      <c r="QGG21" s="4"/>
      <c r="QGH21" s="4"/>
      <c r="QGI21" s="4"/>
      <c r="QGJ21" s="4"/>
      <c r="QGK21" s="4"/>
      <c r="QGL21" s="4"/>
      <c r="QGM21" s="4"/>
      <c r="QGN21" s="4"/>
      <c r="QGO21" s="4"/>
      <c r="QGP21" s="4"/>
      <c r="QGQ21" s="4"/>
      <c r="QGR21" s="4"/>
      <c r="QGS21" s="4"/>
      <c r="QGT21" s="4"/>
      <c r="QGU21" s="4"/>
      <c r="QGV21" s="4"/>
      <c r="QGW21" s="4"/>
      <c r="QGX21" s="4"/>
      <c r="QGY21" s="4"/>
      <c r="QGZ21" s="4"/>
      <c r="QHA21" s="4"/>
      <c r="QHB21" s="4"/>
      <c r="QHC21" s="4"/>
      <c r="QHD21" s="4"/>
      <c r="QHE21" s="4"/>
      <c r="QHF21" s="4"/>
      <c r="QHG21" s="4"/>
      <c r="QHH21" s="4"/>
      <c r="QHI21" s="4"/>
      <c r="QHJ21" s="4"/>
      <c r="QHK21" s="4"/>
      <c r="QHL21" s="4"/>
      <c r="QHM21" s="4"/>
      <c r="QHN21" s="4"/>
      <c r="QHO21" s="4"/>
      <c r="QHP21" s="4"/>
      <c r="QHQ21" s="4"/>
      <c r="QHR21" s="4"/>
      <c r="QHS21" s="4"/>
      <c r="QHT21" s="4"/>
      <c r="QHU21" s="4"/>
      <c r="QHV21" s="4"/>
      <c r="QHW21" s="4"/>
      <c r="QHX21" s="4"/>
      <c r="QHY21" s="4"/>
      <c r="QHZ21" s="4"/>
      <c r="QIA21" s="4"/>
      <c r="QIB21" s="4"/>
      <c r="QIC21" s="4"/>
      <c r="QID21" s="4"/>
      <c r="QIE21" s="4"/>
      <c r="QIF21" s="4"/>
      <c r="QIG21" s="4"/>
      <c r="QIH21" s="4"/>
      <c r="QII21" s="4"/>
      <c r="QIJ21" s="4"/>
      <c r="QIK21" s="4"/>
      <c r="QIL21" s="4"/>
      <c r="QIM21" s="4"/>
      <c r="QIN21" s="4"/>
      <c r="QIO21" s="4"/>
      <c r="QIP21" s="4"/>
      <c r="QIQ21" s="4"/>
      <c r="QIR21" s="4"/>
      <c r="QIS21" s="4"/>
      <c r="QIT21" s="4"/>
      <c r="QIU21" s="4"/>
      <c r="QIV21" s="4"/>
      <c r="QIW21" s="4"/>
      <c r="QIX21" s="4"/>
      <c r="QIY21" s="4"/>
      <c r="QIZ21" s="4"/>
      <c r="QJA21" s="4"/>
      <c r="QJB21" s="4"/>
      <c r="QJC21" s="4"/>
      <c r="QJD21" s="4"/>
      <c r="QJE21" s="4"/>
      <c r="QJF21" s="4"/>
      <c r="QJG21" s="4"/>
      <c r="QJH21" s="4"/>
      <c r="QJI21" s="4"/>
      <c r="QJJ21" s="4"/>
      <c r="QJK21" s="4"/>
      <c r="QJL21" s="4"/>
      <c r="QJM21" s="4"/>
      <c r="QJN21" s="4"/>
      <c r="QJO21" s="4"/>
      <c r="QJP21" s="4"/>
      <c r="QJQ21" s="4"/>
      <c r="QJR21" s="4"/>
      <c r="QJS21" s="4"/>
      <c r="QJT21" s="4"/>
      <c r="QJU21" s="4"/>
      <c r="QJV21" s="4"/>
      <c r="QJW21" s="4"/>
      <c r="QJX21" s="4"/>
      <c r="QJY21" s="4"/>
      <c r="QJZ21" s="4"/>
      <c r="QKA21" s="4"/>
      <c r="QKB21" s="4"/>
      <c r="QKC21" s="4"/>
      <c r="QKD21" s="4"/>
      <c r="QKE21" s="4"/>
      <c r="QKF21" s="4"/>
      <c r="QKG21" s="4"/>
      <c r="QKH21" s="4"/>
      <c r="QKI21" s="4"/>
      <c r="QKJ21" s="4"/>
      <c r="QKK21" s="4"/>
      <c r="QKL21" s="4"/>
      <c r="QKM21" s="4"/>
      <c r="QKN21" s="4"/>
      <c r="QKO21" s="4"/>
      <c r="QKP21" s="4"/>
      <c r="QKQ21" s="4"/>
      <c r="QKR21" s="4"/>
      <c r="QKS21" s="4"/>
      <c r="QKT21" s="4"/>
      <c r="QKU21" s="4"/>
      <c r="QKV21" s="4"/>
      <c r="QKW21" s="4"/>
      <c r="QKX21" s="4"/>
      <c r="QKY21" s="4"/>
      <c r="QKZ21" s="4"/>
      <c r="QLA21" s="4"/>
      <c r="QLB21" s="4"/>
      <c r="QLC21" s="4"/>
      <c r="QLD21" s="4"/>
      <c r="QLE21" s="4"/>
      <c r="QLF21" s="4"/>
      <c r="QLG21" s="4"/>
      <c r="QLH21" s="4"/>
      <c r="QLI21" s="4"/>
      <c r="QLJ21" s="4"/>
      <c r="QLK21" s="4"/>
      <c r="QLL21" s="4"/>
      <c r="QLM21" s="4"/>
      <c r="QLN21" s="4"/>
      <c r="QLO21" s="4"/>
      <c r="QLP21" s="4"/>
      <c r="QLQ21" s="4"/>
      <c r="QLR21" s="4"/>
      <c r="QLS21" s="4"/>
      <c r="QLT21" s="4"/>
      <c r="QLU21" s="4"/>
      <c r="QLV21" s="4"/>
      <c r="QLW21" s="4"/>
      <c r="QLX21" s="4"/>
      <c r="QLY21" s="4"/>
      <c r="QLZ21" s="4"/>
      <c r="QMA21" s="4"/>
      <c r="QMB21" s="4"/>
      <c r="QMC21" s="4"/>
      <c r="QMD21" s="4"/>
      <c r="QME21" s="4"/>
      <c r="QMF21" s="4"/>
      <c r="QMG21" s="4"/>
      <c r="QMH21" s="4"/>
      <c r="QMI21" s="4"/>
      <c r="QMJ21" s="4"/>
      <c r="QMK21" s="4"/>
      <c r="QML21" s="4"/>
      <c r="QMM21" s="4"/>
      <c r="QMN21" s="4"/>
      <c r="QMO21" s="4"/>
      <c r="QMP21" s="4"/>
      <c r="QMQ21" s="4"/>
      <c r="QMR21" s="4"/>
      <c r="QMS21" s="4"/>
      <c r="QMT21" s="4"/>
      <c r="QMU21" s="4"/>
      <c r="QMV21" s="4"/>
      <c r="QMW21" s="4"/>
      <c r="QMX21" s="4"/>
      <c r="QMY21" s="4"/>
      <c r="QMZ21" s="4"/>
      <c r="QNA21" s="4"/>
      <c r="QNB21" s="4"/>
      <c r="QNC21" s="4"/>
      <c r="QND21" s="4"/>
      <c r="QNE21" s="4"/>
      <c r="QNF21" s="4"/>
      <c r="QNG21" s="4"/>
      <c r="QNH21" s="4"/>
      <c r="QNI21" s="4"/>
      <c r="QNJ21" s="4"/>
      <c r="QNK21" s="4"/>
      <c r="QNL21" s="4"/>
      <c r="QNM21" s="4"/>
      <c r="QNN21" s="4"/>
      <c r="QNO21" s="4"/>
      <c r="QNP21" s="4"/>
      <c r="QNQ21" s="4"/>
      <c r="QNR21" s="4"/>
      <c r="QNS21" s="4"/>
      <c r="QNT21" s="4"/>
      <c r="QNU21" s="4"/>
      <c r="QNV21" s="4"/>
      <c r="QNW21" s="4"/>
      <c r="QNX21" s="4"/>
      <c r="QNY21" s="4"/>
      <c r="QNZ21" s="4"/>
      <c r="QOA21" s="4"/>
      <c r="QOB21" s="4"/>
      <c r="QOC21" s="4"/>
      <c r="QOD21" s="4"/>
      <c r="QOE21" s="4"/>
      <c r="QOF21" s="4"/>
      <c r="QOG21" s="4"/>
      <c r="QOH21" s="4"/>
      <c r="QOI21" s="4"/>
      <c r="QOJ21" s="4"/>
      <c r="QOK21" s="4"/>
      <c r="QOL21" s="4"/>
      <c r="QOM21" s="4"/>
      <c r="QON21" s="4"/>
      <c r="QOO21" s="4"/>
      <c r="QOP21" s="4"/>
      <c r="QOQ21" s="4"/>
      <c r="QOR21" s="4"/>
      <c r="QOS21" s="4"/>
      <c r="QOT21" s="4"/>
      <c r="QOU21" s="4"/>
      <c r="QOV21" s="4"/>
      <c r="QOW21" s="4"/>
      <c r="QOX21" s="4"/>
      <c r="QOY21" s="4"/>
      <c r="QOZ21" s="4"/>
      <c r="QPA21" s="4"/>
      <c r="QPB21" s="4"/>
      <c r="QPC21" s="4"/>
      <c r="QPD21" s="4"/>
      <c r="QPE21" s="4"/>
      <c r="QPF21" s="4"/>
      <c r="QPG21" s="4"/>
      <c r="QPH21" s="4"/>
      <c r="QPI21" s="4"/>
      <c r="QPJ21" s="4"/>
      <c r="QPK21" s="4"/>
      <c r="QPL21" s="4"/>
      <c r="QPM21" s="4"/>
      <c r="QPN21" s="4"/>
      <c r="QPO21" s="4"/>
      <c r="QPP21" s="4"/>
      <c r="QPQ21" s="4"/>
      <c r="QPR21" s="4"/>
      <c r="QPS21" s="4"/>
      <c r="QPT21" s="4"/>
      <c r="QPU21" s="4"/>
      <c r="QPV21" s="4"/>
      <c r="QPW21" s="4"/>
      <c r="QPX21" s="4"/>
      <c r="QPY21" s="4"/>
      <c r="QPZ21" s="4"/>
      <c r="QQA21" s="4"/>
      <c r="QQB21" s="4"/>
      <c r="QQC21" s="4"/>
      <c r="QQD21" s="4"/>
      <c r="QQE21" s="4"/>
      <c r="QQF21" s="4"/>
      <c r="QQG21" s="4"/>
      <c r="QQH21" s="4"/>
      <c r="QQI21" s="4"/>
      <c r="QQJ21" s="4"/>
      <c r="QQK21" s="4"/>
      <c r="QQL21" s="4"/>
      <c r="QQM21" s="4"/>
      <c r="QQN21" s="4"/>
      <c r="QQO21" s="4"/>
      <c r="QQP21" s="4"/>
      <c r="QQQ21" s="4"/>
      <c r="QQR21" s="4"/>
      <c r="QQS21" s="4"/>
      <c r="QQT21" s="4"/>
      <c r="QQU21" s="4"/>
      <c r="QQV21" s="4"/>
      <c r="QQW21" s="4"/>
      <c r="QQX21" s="4"/>
      <c r="QQY21" s="4"/>
      <c r="QQZ21" s="4"/>
      <c r="QRA21" s="4"/>
      <c r="QRB21" s="4"/>
      <c r="QRC21" s="4"/>
      <c r="QRD21" s="4"/>
      <c r="QRE21" s="4"/>
      <c r="QRF21" s="4"/>
      <c r="QRG21" s="4"/>
      <c r="QRH21" s="4"/>
      <c r="QRI21" s="4"/>
      <c r="QRJ21" s="4"/>
      <c r="QRK21" s="4"/>
      <c r="QRL21" s="4"/>
      <c r="QRM21" s="4"/>
      <c r="QRN21" s="4"/>
      <c r="QRO21" s="4"/>
      <c r="QRP21" s="4"/>
      <c r="QRQ21" s="4"/>
      <c r="QRR21" s="4"/>
      <c r="QRS21" s="4"/>
      <c r="QRT21" s="4"/>
      <c r="QRU21" s="4"/>
      <c r="QRV21" s="4"/>
      <c r="QRW21" s="4"/>
      <c r="QRX21" s="4"/>
      <c r="QRY21" s="4"/>
      <c r="QRZ21" s="4"/>
      <c r="QSA21" s="4"/>
      <c r="QSB21" s="4"/>
      <c r="QSC21" s="4"/>
      <c r="QSD21" s="4"/>
      <c r="QSE21" s="4"/>
      <c r="QSF21" s="4"/>
      <c r="QSG21" s="4"/>
      <c r="QSH21" s="4"/>
      <c r="QSI21" s="4"/>
      <c r="QSJ21" s="4"/>
      <c r="QSK21" s="4"/>
      <c r="QSL21" s="4"/>
      <c r="QSM21" s="4"/>
      <c r="QSN21" s="4"/>
      <c r="QSO21" s="4"/>
      <c r="QSP21" s="4"/>
      <c r="QSQ21" s="4"/>
      <c r="QSR21" s="4"/>
      <c r="QSS21" s="4"/>
      <c r="QST21" s="4"/>
      <c r="QSU21" s="4"/>
      <c r="QSV21" s="4"/>
      <c r="QSW21" s="4"/>
      <c r="QSX21" s="4"/>
      <c r="QSY21" s="4"/>
      <c r="QSZ21" s="4"/>
      <c r="QTA21" s="4"/>
      <c r="QTB21" s="4"/>
      <c r="QTC21" s="4"/>
      <c r="QTD21" s="4"/>
      <c r="QTE21" s="4"/>
      <c r="QTF21" s="4"/>
      <c r="QTG21" s="4"/>
      <c r="QTH21" s="4"/>
      <c r="QTI21" s="4"/>
      <c r="QTJ21" s="4"/>
      <c r="QTK21" s="4"/>
      <c r="QTL21" s="4"/>
      <c r="QTM21" s="4"/>
      <c r="QTN21" s="4"/>
      <c r="QTO21" s="4"/>
      <c r="QTP21" s="4"/>
      <c r="QTQ21" s="4"/>
      <c r="QTR21" s="4"/>
      <c r="QTS21" s="4"/>
      <c r="QTT21" s="4"/>
      <c r="QTU21" s="4"/>
      <c r="QTV21" s="4"/>
      <c r="QTW21" s="4"/>
      <c r="QTX21" s="4"/>
      <c r="QTY21" s="4"/>
      <c r="QTZ21" s="4"/>
      <c r="QUA21" s="4"/>
      <c r="QUB21" s="4"/>
      <c r="QUC21" s="4"/>
      <c r="QUD21" s="4"/>
      <c r="QUE21" s="4"/>
      <c r="QUF21" s="4"/>
      <c r="QUG21" s="4"/>
      <c r="QUH21" s="4"/>
      <c r="QUI21" s="4"/>
      <c r="QUJ21" s="4"/>
      <c r="QUK21" s="4"/>
      <c r="QUL21" s="4"/>
      <c r="QUM21" s="4"/>
      <c r="QUN21" s="4"/>
      <c r="QUO21" s="4"/>
      <c r="QUP21" s="4"/>
      <c r="QUQ21" s="4"/>
      <c r="QUR21" s="4"/>
      <c r="QUS21" s="4"/>
      <c r="QUT21" s="4"/>
      <c r="QUU21" s="4"/>
      <c r="QUV21" s="4"/>
      <c r="QUW21" s="4"/>
      <c r="QUX21" s="4"/>
      <c r="QUY21" s="4"/>
      <c r="QUZ21" s="4"/>
      <c r="QVA21" s="4"/>
      <c r="QVB21" s="4"/>
      <c r="QVC21" s="4"/>
      <c r="QVD21" s="4"/>
      <c r="QVE21" s="4"/>
      <c r="QVF21" s="4"/>
      <c r="QVG21" s="4"/>
      <c r="QVH21" s="4"/>
      <c r="QVI21" s="4"/>
      <c r="QVJ21" s="4"/>
      <c r="QVK21" s="4"/>
      <c r="QVL21" s="4"/>
      <c r="QVM21" s="4"/>
      <c r="QVN21" s="4"/>
      <c r="QVO21" s="4"/>
      <c r="QVP21" s="4"/>
      <c r="QVQ21" s="4"/>
      <c r="QVR21" s="4"/>
      <c r="QVS21" s="4"/>
      <c r="QVT21" s="4"/>
      <c r="QVU21" s="4"/>
      <c r="QVV21" s="4"/>
      <c r="QVW21" s="4"/>
      <c r="QVX21" s="4"/>
      <c r="QVY21" s="4"/>
      <c r="QVZ21" s="4"/>
      <c r="QWA21" s="4"/>
      <c r="QWB21" s="4"/>
      <c r="QWC21" s="4"/>
      <c r="QWD21" s="4"/>
      <c r="QWE21" s="4"/>
      <c r="QWF21" s="4"/>
      <c r="QWG21" s="4"/>
      <c r="QWH21" s="4"/>
      <c r="QWI21" s="4"/>
      <c r="QWJ21" s="4"/>
      <c r="QWK21" s="4"/>
      <c r="QWL21" s="4"/>
      <c r="QWM21" s="4"/>
      <c r="QWN21" s="4"/>
      <c r="QWO21" s="4"/>
      <c r="QWP21" s="4"/>
      <c r="QWQ21" s="4"/>
      <c r="QWR21" s="4"/>
      <c r="QWS21" s="4"/>
      <c r="QWT21" s="4"/>
      <c r="QWU21" s="4"/>
      <c r="QWV21" s="4"/>
      <c r="QWW21" s="4"/>
      <c r="QWX21" s="4"/>
      <c r="QWY21" s="4"/>
      <c r="QWZ21" s="4"/>
      <c r="QXA21" s="4"/>
      <c r="QXB21" s="4"/>
      <c r="QXC21" s="4"/>
      <c r="QXD21" s="4"/>
      <c r="QXE21" s="4"/>
      <c r="QXF21" s="4"/>
      <c r="QXG21" s="4"/>
      <c r="QXH21" s="4"/>
      <c r="QXI21" s="4"/>
      <c r="QXJ21" s="4"/>
      <c r="QXK21" s="4"/>
      <c r="QXL21" s="4"/>
      <c r="QXM21" s="4"/>
      <c r="QXN21" s="4"/>
      <c r="QXO21" s="4"/>
      <c r="QXP21" s="4"/>
      <c r="QXQ21" s="4"/>
      <c r="QXR21" s="4"/>
      <c r="QXS21" s="4"/>
      <c r="QXT21" s="4"/>
      <c r="QXU21" s="4"/>
      <c r="QXV21" s="4"/>
      <c r="QXW21" s="4"/>
      <c r="QXX21" s="4"/>
      <c r="QXY21" s="4"/>
      <c r="QXZ21" s="4"/>
      <c r="QYA21" s="4"/>
      <c r="QYB21" s="4"/>
      <c r="QYC21" s="4"/>
      <c r="QYD21" s="4"/>
      <c r="QYE21" s="4"/>
      <c r="QYF21" s="4"/>
      <c r="QYG21" s="4"/>
      <c r="QYH21" s="4"/>
      <c r="QYI21" s="4"/>
      <c r="QYJ21" s="4"/>
      <c r="QYK21" s="4"/>
      <c r="QYL21" s="4"/>
      <c r="QYM21" s="4"/>
      <c r="QYN21" s="4"/>
      <c r="QYO21" s="4"/>
      <c r="QYP21" s="4"/>
      <c r="QYQ21" s="4"/>
      <c r="QYR21" s="4"/>
      <c r="QYS21" s="4"/>
      <c r="QYT21" s="4"/>
      <c r="QYU21" s="4"/>
      <c r="QYV21" s="4"/>
      <c r="QYW21" s="4"/>
      <c r="QYX21" s="4"/>
      <c r="QYY21" s="4"/>
      <c r="QYZ21" s="4"/>
      <c r="QZA21" s="4"/>
      <c r="QZB21" s="4"/>
      <c r="QZC21" s="4"/>
      <c r="QZD21" s="4"/>
      <c r="QZE21" s="4"/>
      <c r="QZF21" s="4"/>
      <c r="QZG21" s="4"/>
      <c r="QZH21" s="4"/>
      <c r="QZI21" s="4"/>
      <c r="QZJ21" s="4"/>
      <c r="QZK21" s="4"/>
      <c r="QZL21" s="4"/>
      <c r="QZM21" s="4"/>
      <c r="QZN21" s="4"/>
      <c r="QZO21" s="4"/>
      <c r="QZP21" s="4"/>
      <c r="QZQ21" s="4"/>
      <c r="QZR21" s="4"/>
      <c r="QZS21" s="4"/>
      <c r="QZT21" s="4"/>
      <c r="QZU21" s="4"/>
      <c r="QZV21" s="4"/>
      <c r="QZW21" s="4"/>
      <c r="QZX21" s="4"/>
      <c r="QZY21" s="4"/>
      <c r="QZZ21" s="4"/>
      <c r="RAA21" s="4"/>
      <c r="RAB21" s="4"/>
      <c r="RAC21" s="4"/>
      <c r="RAD21" s="4"/>
      <c r="RAE21" s="4"/>
      <c r="RAF21" s="4"/>
      <c r="RAG21" s="4"/>
      <c r="RAH21" s="4"/>
      <c r="RAI21" s="4"/>
      <c r="RAJ21" s="4"/>
      <c r="RAK21" s="4"/>
      <c r="RAL21" s="4"/>
      <c r="RAM21" s="4"/>
      <c r="RAN21" s="4"/>
      <c r="RAO21" s="4"/>
      <c r="RAP21" s="4"/>
      <c r="RAQ21" s="4"/>
      <c r="RAR21" s="4"/>
      <c r="RAS21" s="4"/>
      <c r="RAT21" s="4"/>
      <c r="RAU21" s="4"/>
      <c r="RAV21" s="4"/>
      <c r="RAW21" s="4"/>
      <c r="RAX21" s="4"/>
      <c r="RAY21" s="4"/>
      <c r="RAZ21" s="4"/>
      <c r="RBA21" s="4"/>
      <c r="RBB21" s="4"/>
      <c r="RBC21" s="4"/>
      <c r="RBD21" s="4"/>
      <c r="RBE21" s="4"/>
      <c r="RBF21" s="4"/>
      <c r="RBG21" s="4"/>
      <c r="RBH21" s="4"/>
      <c r="RBI21" s="4"/>
      <c r="RBJ21" s="4"/>
      <c r="RBK21" s="4"/>
      <c r="RBL21" s="4"/>
      <c r="RBM21" s="4"/>
      <c r="RBN21" s="4"/>
      <c r="RBO21" s="4"/>
      <c r="RBP21" s="4"/>
      <c r="RBQ21" s="4"/>
      <c r="RBR21" s="4"/>
      <c r="RBS21" s="4"/>
      <c r="RBT21" s="4"/>
      <c r="RBU21" s="4"/>
      <c r="RBV21" s="4"/>
      <c r="RBW21" s="4"/>
      <c r="RBX21" s="4"/>
      <c r="RBY21" s="4"/>
      <c r="RBZ21" s="4"/>
      <c r="RCA21" s="4"/>
      <c r="RCB21" s="4"/>
      <c r="RCC21" s="4"/>
      <c r="RCD21" s="4"/>
      <c r="RCE21" s="4"/>
      <c r="RCF21" s="4"/>
      <c r="RCG21" s="4"/>
      <c r="RCH21" s="4"/>
      <c r="RCI21" s="4"/>
      <c r="RCJ21" s="4"/>
      <c r="RCK21" s="4"/>
      <c r="RCL21" s="4"/>
      <c r="RCM21" s="4"/>
      <c r="RCN21" s="4"/>
      <c r="RCO21" s="4"/>
      <c r="RCP21" s="4"/>
      <c r="RCQ21" s="4"/>
      <c r="RCR21" s="4"/>
      <c r="RCS21" s="4"/>
      <c r="RCT21" s="4"/>
      <c r="RCU21" s="4"/>
      <c r="RCV21" s="4"/>
      <c r="RCW21" s="4"/>
      <c r="RCX21" s="4"/>
      <c r="RCY21" s="4"/>
      <c r="RCZ21" s="4"/>
      <c r="RDA21" s="4"/>
      <c r="RDB21" s="4"/>
      <c r="RDC21" s="4"/>
      <c r="RDD21" s="4"/>
      <c r="RDE21" s="4"/>
      <c r="RDF21" s="4"/>
      <c r="RDG21" s="4"/>
      <c r="RDH21" s="4"/>
      <c r="RDI21" s="4"/>
      <c r="RDJ21" s="4"/>
      <c r="RDK21" s="4"/>
      <c r="RDL21" s="4"/>
      <c r="RDM21" s="4"/>
      <c r="RDN21" s="4"/>
      <c r="RDO21" s="4"/>
      <c r="RDP21" s="4"/>
      <c r="RDQ21" s="4"/>
      <c r="RDR21" s="4"/>
      <c r="RDS21" s="4"/>
      <c r="RDT21" s="4"/>
      <c r="RDU21" s="4"/>
      <c r="RDV21" s="4"/>
      <c r="RDW21" s="4"/>
      <c r="RDX21" s="4"/>
      <c r="RDY21" s="4"/>
      <c r="RDZ21" s="4"/>
      <c r="REA21" s="4"/>
      <c r="REB21" s="4"/>
      <c r="REC21" s="4"/>
      <c r="RED21" s="4"/>
      <c r="REE21" s="4"/>
      <c r="REF21" s="4"/>
      <c r="REG21" s="4"/>
      <c r="REH21" s="4"/>
      <c r="REI21" s="4"/>
      <c r="REJ21" s="4"/>
      <c r="REK21" s="4"/>
      <c r="REL21" s="4"/>
      <c r="REM21" s="4"/>
      <c r="REN21" s="4"/>
      <c r="REO21" s="4"/>
      <c r="REP21" s="4"/>
      <c r="REQ21" s="4"/>
      <c r="RER21" s="4"/>
      <c r="RES21" s="4"/>
      <c r="RET21" s="4"/>
      <c r="REU21" s="4"/>
      <c r="REV21" s="4"/>
      <c r="REW21" s="4"/>
      <c r="REX21" s="4"/>
      <c r="REY21" s="4"/>
      <c r="REZ21" s="4"/>
      <c r="RFA21" s="4"/>
      <c r="RFB21" s="4"/>
      <c r="RFC21" s="4"/>
      <c r="RFD21" s="4"/>
      <c r="RFE21" s="4"/>
      <c r="RFF21" s="4"/>
      <c r="RFG21" s="4"/>
      <c r="RFH21" s="4"/>
      <c r="RFI21" s="4"/>
      <c r="RFJ21" s="4"/>
      <c r="RFK21" s="4"/>
      <c r="RFL21" s="4"/>
      <c r="RFM21" s="4"/>
      <c r="RFN21" s="4"/>
      <c r="RFO21" s="4"/>
      <c r="RFP21" s="4"/>
      <c r="RFQ21" s="4"/>
      <c r="RFR21" s="4"/>
      <c r="RFS21" s="4"/>
      <c r="RFT21" s="4"/>
      <c r="RFU21" s="4"/>
      <c r="RFV21" s="4"/>
      <c r="RFW21" s="4"/>
      <c r="RFX21" s="4"/>
      <c r="RFY21" s="4"/>
      <c r="RFZ21" s="4"/>
      <c r="RGA21" s="4"/>
      <c r="RGB21" s="4"/>
      <c r="RGC21" s="4"/>
      <c r="RGD21" s="4"/>
      <c r="RGE21" s="4"/>
      <c r="RGF21" s="4"/>
      <c r="RGG21" s="4"/>
      <c r="RGH21" s="4"/>
      <c r="RGI21" s="4"/>
      <c r="RGJ21" s="4"/>
      <c r="RGK21" s="4"/>
      <c r="RGL21" s="4"/>
      <c r="RGM21" s="4"/>
      <c r="RGN21" s="4"/>
      <c r="RGO21" s="4"/>
      <c r="RGP21" s="4"/>
      <c r="RGQ21" s="4"/>
      <c r="RGR21" s="4"/>
      <c r="RGS21" s="4"/>
      <c r="RGT21" s="4"/>
      <c r="RGU21" s="4"/>
      <c r="RGV21" s="4"/>
      <c r="RGW21" s="4"/>
      <c r="RGX21" s="4"/>
      <c r="RGY21" s="4"/>
      <c r="RGZ21" s="4"/>
      <c r="RHA21" s="4"/>
      <c r="RHB21" s="4"/>
      <c r="RHC21" s="4"/>
      <c r="RHD21" s="4"/>
      <c r="RHE21" s="4"/>
      <c r="RHF21" s="4"/>
      <c r="RHG21" s="4"/>
      <c r="RHH21" s="4"/>
      <c r="RHI21" s="4"/>
      <c r="RHJ21" s="4"/>
      <c r="RHK21" s="4"/>
      <c r="RHL21" s="4"/>
      <c r="RHM21" s="4"/>
      <c r="RHN21" s="4"/>
      <c r="RHO21" s="4"/>
      <c r="RHP21" s="4"/>
      <c r="RHQ21" s="4"/>
      <c r="RHR21" s="4"/>
      <c r="RHS21" s="4"/>
      <c r="RHT21" s="4"/>
      <c r="RHU21" s="4"/>
      <c r="RHV21" s="4"/>
      <c r="RHW21" s="4"/>
      <c r="RHX21" s="4"/>
      <c r="RHY21" s="4"/>
      <c r="RHZ21" s="4"/>
      <c r="RIA21" s="4"/>
      <c r="RIB21" s="4"/>
      <c r="RIC21" s="4"/>
      <c r="RID21" s="4"/>
      <c r="RIE21" s="4"/>
      <c r="RIF21" s="4"/>
      <c r="RIG21" s="4"/>
      <c r="RIH21" s="4"/>
      <c r="RII21" s="4"/>
      <c r="RIJ21" s="4"/>
      <c r="RIK21" s="4"/>
      <c r="RIL21" s="4"/>
      <c r="RIM21" s="4"/>
      <c r="RIN21" s="4"/>
      <c r="RIO21" s="4"/>
      <c r="RIP21" s="4"/>
      <c r="RIQ21" s="4"/>
      <c r="RIR21" s="4"/>
      <c r="RIS21" s="4"/>
      <c r="RIT21" s="4"/>
      <c r="RIU21" s="4"/>
      <c r="RIV21" s="4"/>
      <c r="RIW21" s="4"/>
      <c r="RIX21" s="4"/>
      <c r="RIY21" s="4"/>
      <c r="RIZ21" s="4"/>
      <c r="RJA21" s="4"/>
      <c r="RJB21" s="4"/>
      <c r="RJC21" s="4"/>
      <c r="RJD21" s="4"/>
      <c r="RJE21" s="4"/>
      <c r="RJF21" s="4"/>
      <c r="RJG21" s="4"/>
      <c r="RJH21" s="4"/>
      <c r="RJI21" s="4"/>
      <c r="RJJ21" s="4"/>
      <c r="RJK21" s="4"/>
      <c r="RJL21" s="4"/>
      <c r="RJM21" s="4"/>
      <c r="RJN21" s="4"/>
      <c r="RJO21" s="4"/>
      <c r="RJP21" s="4"/>
      <c r="RJQ21" s="4"/>
      <c r="RJR21" s="4"/>
      <c r="RJS21" s="4"/>
      <c r="RJT21" s="4"/>
      <c r="RJU21" s="4"/>
      <c r="RJV21" s="4"/>
      <c r="RJW21" s="4"/>
      <c r="RJX21" s="4"/>
      <c r="RJY21" s="4"/>
      <c r="RJZ21" s="4"/>
      <c r="RKA21" s="4"/>
      <c r="RKB21" s="4"/>
      <c r="RKC21" s="4"/>
      <c r="RKD21" s="4"/>
      <c r="RKE21" s="4"/>
      <c r="RKF21" s="4"/>
      <c r="RKG21" s="4"/>
      <c r="RKH21" s="4"/>
      <c r="RKI21" s="4"/>
      <c r="RKJ21" s="4"/>
      <c r="RKK21" s="4"/>
      <c r="RKL21" s="4"/>
      <c r="RKM21" s="4"/>
      <c r="RKN21" s="4"/>
      <c r="RKO21" s="4"/>
      <c r="RKP21" s="4"/>
      <c r="RKQ21" s="4"/>
      <c r="RKR21" s="4"/>
      <c r="RKS21" s="4"/>
      <c r="RKT21" s="4"/>
      <c r="RKU21" s="4"/>
      <c r="RKV21" s="4"/>
      <c r="RKW21" s="4"/>
      <c r="RKX21" s="4"/>
      <c r="RKY21" s="4"/>
      <c r="RKZ21" s="4"/>
      <c r="RLA21" s="4"/>
      <c r="RLB21" s="4"/>
      <c r="RLC21" s="4"/>
      <c r="RLD21" s="4"/>
      <c r="RLE21" s="4"/>
      <c r="RLF21" s="4"/>
      <c r="RLG21" s="4"/>
      <c r="RLH21" s="4"/>
      <c r="RLI21" s="4"/>
      <c r="RLJ21" s="4"/>
      <c r="RLK21" s="4"/>
      <c r="RLL21" s="4"/>
      <c r="RLM21" s="4"/>
      <c r="RLN21" s="4"/>
      <c r="RLO21" s="4"/>
      <c r="RLP21" s="4"/>
      <c r="RLQ21" s="4"/>
      <c r="RLR21" s="4"/>
      <c r="RLS21" s="4"/>
      <c r="RLT21" s="4"/>
      <c r="RLU21" s="4"/>
      <c r="RLV21" s="4"/>
      <c r="RLW21" s="4"/>
      <c r="RLX21" s="4"/>
      <c r="RLY21" s="4"/>
      <c r="RLZ21" s="4"/>
      <c r="RMA21" s="4"/>
      <c r="RMB21" s="4"/>
      <c r="RMC21" s="4"/>
      <c r="RMD21" s="4"/>
      <c r="RME21" s="4"/>
      <c r="RMF21" s="4"/>
      <c r="RMG21" s="4"/>
      <c r="RMH21" s="4"/>
      <c r="RMI21" s="4"/>
      <c r="RMJ21" s="4"/>
      <c r="RMK21" s="4"/>
      <c r="RML21" s="4"/>
      <c r="RMM21" s="4"/>
      <c r="RMN21" s="4"/>
      <c r="RMO21" s="4"/>
      <c r="RMP21" s="4"/>
      <c r="RMQ21" s="4"/>
      <c r="RMR21" s="4"/>
      <c r="RMS21" s="4"/>
      <c r="RMT21" s="4"/>
      <c r="RMU21" s="4"/>
      <c r="RMV21" s="4"/>
      <c r="RMW21" s="4"/>
      <c r="RMX21" s="4"/>
      <c r="RMY21" s="4"/>
      <c r="RMZ21" s="4"/>
      <c r="RNA21" s="4"/>
      <c r="RNB21" s="4"/>
      <c r="RNC21" s="4"/>
      <c r="RND21" s="4"/>
      <c r="RNE21" s="4"/>
      <c r="RNF21" s="4"/>
      <c r="RNG21" s="4"/>
      <c r="RNH21" s="4"/>
      <c r="RNI21" s="4"/>
      <c r="RNJ21" s="4"/>
      <c r="RNK21" s="4"/>
      <c r="RNL21" s="4"/>
      <c r="RNM21" s="4"/>
      <c r="RNN21" s="4"/>
      <c r="RNO21" s="4"/>
      <c r="RNP21" s="4"/>
      <c r="RNQ21" s="4"/>
      <c r="RNR21" s="4"/>
      <c r="RNS21" s="4"/>
      <c r="RNT21" s="4"/>
      <c r="RNU21" s="4"/>
      <c r="RNV21" s="4"/>
      <c r="RNW21" s="4"/>
      <c r="RNX21" s="4"/>
      <c r="RNY21" s="4"/>
      <c r="RNZ21" s="4"/>
      <c r="ROA21" s="4"/>
      <c r="ROB21" s="4"/>
      <c r="ROC21" s="4"/>
      <c r="ROD21" s="4"/>
      <c r="ROE21" s="4"/>
      <c r="ROF21" s="4"/>
      <c r="ROG21" s="4"/>
      <c r="ROH21" s="4"/>
      <c r="ROI21" s="4"/>
      <c r="ROJ21" s="4"/>
      <c r="ROK21" s="4"/>
      <c r="ROL21" s="4"/>
      <c r="ROM21" s="4"/>
      <c r="RON21" s="4"/>
      <c r="ROO21" s="4"/>
      <c r="ROP21" s="4"/>
      <c r="ROQ21" s="4"/>
      <c r="ROR21" s="4"/>
      <c r="ROS21" s="4"/>
      <c r="ROT21" s="4"/>
      <c r="ROU21" s="4"/>
      <c r="ROV21" s="4"/>
      <c r="ROW21" s="4"/>
      <c r="ROX21" s="4"/>
      <c r="ROY21" s="4"/>
      <c r="ROZ21" s="4"/>
      <c r="RPA21" s="4"/>
      <c r="RPB21" s="4"/>
      <c r="RPC21" s="4"/>
      <c r="RPD21" s="4"/>
      <c r="RPE21" s="4"/>
      <c r="RPF21" s="4"/>
      <c r="RPG21" s="4"/>
      <c r="RPH21" s="4"/>
      <c r="RPI21" s="4"/>
      <c r="RPJ21" s="4"/>
      <c r="RPK21" s="4"/>
      <c r="RPL21" s="4"/>
      <c r="RPM21" s="4"/>
      <c r="RPN21" s="4"/>
      <c r="RPO21" s="4"/>
      <c r="RPP21" s="4"/>
      <c r="RPQ21" s="4"/>
      <c r="RPR21" s="4"/>
      <c r="RPS21" s="4"/>
      <c r="RPT21" s="4"/>
      <c r="RPU21" s="4"/>
      <c r="RPV21" s="4"/>
      <c r="RPW21" s="4"/>
      <c r="RPX21" s="4"/>
      <c r="RPY21" s="4"/>
      <c r="RPZ21" s="4"/>
      <c r="RQA21" s="4"/>
      <c r="RQB21" s="4"/>
      <c r="RQC21" s="4"/>
      <c r="RQD21" s="4"/>
      <c r="RQE21" s="4"/>
      <c r="RQF21" s="4"/>
      <c r="RQG21" s="4"/>
      <c r="RQH21" s="4"/>
      <c r="RQI21" s="4"/>
      <c r="RQJ21" s="4"/>
      <c r="RQK21" s="4"/>
      <c r="RQL21" s="4"/>
      <c r="RQM21" s="4"/>
      <c r="RQN21" s="4"/>
      <c r="RQO21" s="4"/>
      <c r="RQP21" s="4"/>
      <c r="RQQ21" s="4"/>
      <c r="RQR21" s="4"/>
      <c r="RQS21" s="4"/>
      <c r="RQT21" s="4"/>
      <c r="RQU21" s="4"/>
      <c r="RQV21" s="4"/>
      <c r="RQW21" s="4"/>
      <c r="RQX21" s="4"/>
      <c r="RQY21" s="4"/>
      <c r="RQZ21" s="4"/>
      <c r="RRA21" s="4"/>
      <c r="RRB21" s="4"/>
      <c r="RRC21" s="4"/>
      <c r="RRD21" s="4"/>
      <c r="RRE21" s="4"/>
      <c r="RRF21" s="4"/>
      <c r="RRG21" s="4"/>
      <c r="RRH21" s="4"/>
      <c r="RRI21" s="4"/>
      <c r="RRJ21" s="4"/>
      <c r="RRK21" s="4"/>
      <c r="RRL21" s="4"/>
      <c r="RRM21" s="4"/>
      <c r="RRN21" s="4"/>
      <c r="RRO21" s="4"/>
      <c r="RRP21" s="4"/>
      <c r="RRQ21" s="4"/>
      <c r="RRR21" s="4"/>
      <c r="RRS21" s="4"/>
      <c r="RRT21" s="4"/>
      <c r="RRU21" s="4"/>
      <c r="RRV21" s="4"/>
      <c r="RRW21" s="4"/>
      <c r="RRX21" s="4"/>
      <c r="RRY21" s="4"/>
      <c r="RRZ21" s="4"/>
      <c r="RSA21" s="4"/>
      <c r="RSB21" s="4"/>
      <c r="RSC21" s="4"/>
      <c r="RSD21" s="4"/>
      <c r="RSE21" s="4"/>
      <c r="RSF21" s="4"/>
      <c r="RSG21" s="4"/>
      <c r="RSH21" s="4"/>
      <c r="RSI21" s="4"/>
      <c r="RSJ21" s="4"/>
      <c r="RSK21" s="4"/>
      <c r="RSL21" s="4"/>
      <c r="RSM21" s="4"/>
      <c r="RSN21" s="4"/>
      <c r="RSO21" s="4"/>
      <c r="RSP21" s="4"/>
      <c r="RSQ21" s="4"/>
      <c r="RSR21" s="4"/>
      <c r="RSS21" s="4"/>
      <c r="RST21" s="4"/>
      <c r="RSU21" s="4"/>
      <c r="RSV21" s="4"/>
      <c r="RSW21" s="4"/>
      <c r="RSX21" s="4"/>
      <c r="RSY21" s="4"/>
      <c r="RSZ21" s="4"/>
      <c r="RTA21" s="4"/>
      <c r="RTB21" s="4"/>
      <c r="RTC21" s="4"/>
      <c r="RTD21" s="4"/>
      <c r="RTE21" s="4"/>
      <c r="RTF21" s="4"/>
      <c r="RTG21" s="4"/>
      <c r="RTH21" s="4"/>
      <c r="RTI21" s="4"/>
      <c r="RTJ21" s="4"/>
      <c r="RTK21" s="4"/>
      <c r="RTL21" s="4"/>
      <c r="RTM21" s="4"/>
      <c r="RTN21" s="4"/>
      <c r="RTO21" s="4"/>
      <c r="RTP21" s="4"/>
      <c r="RTQ21" s="4"/>
      <c r="RTR21" s="4"/>
      <c r="RTS21" s="4"/>
      <c r="RTT21" s="4"/>
      <c r="RTU21" s="4"/>
      <c r="RTV21" s="4"/>
      <c r="RTW21" s="4"/>
      <c r="RTX21" s="4"/>
      <c r="RTY21" s="4"/>
      <c r="RTZ21" s="4"/>
      <c r="RUA21" s="4"/>
      <c r="RUB21" s="4"/>
      <c r="RUC21" s="4"/>
      <c r="RUD21" s="4"/>
      <c r="RUE21" s="4"/>
      <c r="RUF21" s="4"/>
      <c r="RUG21" s="4"/>
      <c r="RUH21" s="4"/>
      <c r="RUI21" s="4"/>
      <c r="RUJ21" s="4"/>
      <c r="RUK21" s="4"/>
      <c r="RUL21" s="4"/>
      <c r="RUM21" s="4"/>
      <c r="RUN21" s="4"/>
      <c r="RUO21" s="4"/>
      <c r="RUP21" s="4"/>
      <c r="RUQ21" s="4"/>
      <c r="RUR21" s="4"/>
      <c r="RUS21" s="4"/>
      <c r="RUT21" s="4"/>
      <c r="RUU21" s="4"/>
      <c r="RUV21" s="4"/>
      <c r="RUW21" s="4"/>
      <c r="RUX21" s="4"/>
      <c r="RUY21" s="4"/>
      <c r="RUZ21" s="4"/>
      <c r="RVA21" s="4"/>
      <c r="RVB21" s="4"/>
      <c r="RVC21" s="4"/>
      <c r="RVD21" s="4"/>
      <c r="RVE21" s="4"/>
      <c r="RVF21" s="4"/>
      <c r="RVG21" s="4"/>
      <c r="RVH21" s="4"/>
      <c r="RVI21" s="4"/>
      <c r="RVJ21" s="4"/>
      <c r="RVK21" s="4"/>
      <c r="RVL21" s="4"/>
      <c r="RVM21" s="4"/>
      <c r="RVN21" s="4"/>
      <c r="RVO21" s="4"/>
      <c r="RVP21" s="4"/>
      <c r="RVQ21" s="4"/>
      <c r="RVR21" s="4"/>
      <c r="RVS21" s="4"/>
      <c r="RVT21" s="4"/>
      <c r="RVU21" s="4"/>
      <c r="RVV21" s="4"/>
      <c r="RVW21" s="4"/>
      <c r="RVX21" s="4"/>
      <c r="RVY21" s="4"/>
      <c r="RVZ21" s="4"/>
      <c r="RWA21" s="4"/>
      <c r="RWB21" s="4"/>
      <c r="RWC21" s="4"/>
      <c r="RWD21" s="4"/>
      <c r="RWE21" s="4"/>
      <c r="RWF21" s="4"/>
      <c r="RWG21" s="4"/>
      <c r="RWH21" s="4"/>
      <c r="RWI21" s="4"/>
      <c r="RWJ21" s="4"/>
      <c r="RWK21" s="4"/>
      <c r="RWL21" s="4"/>
      <c r="RWM21" s="4"/>
      <c r="RWN21" s="4"/>
      <c r="RWO21" s="4"/>
      <c r="RWP21" s="4"/>
      <c r="RWQ21" s="4"/>
      <c r="RWR21" s="4"/>
      <c r="RWS21" s="4"/>
      <c r="RWT21" s="4"/>
      <c r="RWU21" s="4"/>
      <c r="RWV21" s="4"/>
      <c r="RWW21" s="4"/>
      <c r="RWX21" s="4"/>
      <c r="RWY21" s="4"/>
      <c r="RWZ21" s="4"/>
      <c r="RXA21" s="4"/>
      <c r="RXB21" s="4"/>
      <c r="RXC21" s="4"/>
      <c r="RXD21" s="4"/>
      <c r="RXE21" s="4"/>
      <c r="RXF21" s="4"/>
      <c r="RXG21" s="4"/>
      <c r="RXH21" s="4"/>
      <c r="RXI21" s="4"/>
      <c r="RXJ21" s="4"/>
      <c r="RXK21" s="4"/>
      <c r="RXL21" s="4"/>
      <c r="RXM21" s="4"/>
      <c r="RXN21" s="4"/>
      <c r="RXO21" s="4"/>
      <c r="RXP21" s="4"/>
      <c r="RXQ21" s="4"/>
      <c r="RXR21" s="4"/>
      <c r="RXS21" s="4"/>
      <c r="RXT21" s="4"/>
      <c r="RXU21" s="4"/>
      <c r="RXV21" s="4"/>
      <c r="RXW21" s="4"/>
      <c r="RXX21" s="4"/>
      <c r="RXY21" s="4"/>
      <c r="RXZ21" s="4"/>
      <c r="RYA21" s="4"/>
      <c r="RYB21" s="4"/>
      <c r="RYC21" s="4"/>
      <c r="RYD21" s="4"/>
      <c r="RYE21" s="4"/>
      <c r="RYF21" s="4"/>
      <c r="RYG21" s="4"/>
      <c r="RYH21" s="4"/>
      <c r="RYI21" s="4"/>
      <c r="RYJ21" s="4"/>
      <c r="RYK21" s="4"/>
      <c r="RYL21" s="4"/>
      <c r="RYM21" s="4"/>
      <c r="RYN21" s="4"/>
      <c r="RYO21" s="4"/>
      <c r="RYP21" s="4"/>
      <c r="RYQ21" s="4"/>
      <c r="RYR21" s="4"/>
      <c r="RYS21" s="4"/>
      <c r="RYT21" s="4"/>
      <c r="RYU21" s="4"/>
      <c r="RYV21" s="4"/>
      <c r="RYW21" s="4"/>
      <c r="RYX21" s="4"/>
      <c r="RYY21" s="4"/>
      <c r="RYZ21" s="4"/>
      <c r="RZA21" s="4"/>
      <c r="RZB21" s="4"/>
      <c r="RZC21" s="4"/>
      <c r="RZD21" s="4"/>
      <c r="RZE21" s="4"/>
      <c r="RZF21" s="4"/>
      <c r="RZG21" s="4"/>
      <c r="RZH21" s="4"/>
      <c r="RZI21" s="4"/>
      <c r="RZJ21" s="4"/>
      <c r="RZK21" s="4"/>
      <c r="RZL21" s="4"/>
      <c r="RZM21" s="4"/>
      <c r="RZN21" s="4"/>
      <c r="RZO21" s="4"/>
      <c r="RZP21" s="4"/>
      <c r="RZQ21" s="4"/>
      <c r="RZR21" s="4"/>
      <c r="RZS21" s="4"/>
      <c r="RZT21" s="4"/>
      <c r="RZU21" s="4"/>
      <c r="RZV21" s="4"/>
      <c r="RZW21" s="4"/>
      <c r="RZX21" s="4"/>
      <c r="RZY21" s="4"/>
      <c r="RZZ21" s="4"/>
      <c r="SAA21" s="4"/>
      <c r="SAB21" s="4"/>
      <c r="SAC21" s="4"/>
      <c r="SAD21" s="4"/>
      <c r="SAE21" s="4"/>
      <c r="SAF21" s="4"/>
      <c r="SAG21" s="4"/>
      <c r="SAH21" s="4"/>
      <c r="SAI21" s="4"/>
      <c r="SAJ21" s="4"/>
      <c r="SAK21" s="4"/>
      <c r="SAL21" s="4"/>
      <c r="SAM21" s="4"/>
      <c r="SAN21" s="4"/>
      <c r="SAO21" s="4"/>
      <c r="SAP21" s="4"/>
      <c r="SAQ21" s="4"/>
      <c r="SAR21" s="4"/>
      <c r="SAS21" s="4"/>
      <c r="SAT21" s="4"/>
      <c r="SAU21" s="4"/>
      <c r="SAV21" s="4"/>
      <c r="SAW21" s="4"/>
      <c r="SAX21" s="4"/>
      <c r="SAY21" s="4"/>
      <c r="SAZ21" s="4"/>
      <c r="SBA21" s="4"/>
      <c r="SBB21" s="4"/>
      <c r="SBC21" s="4"/>
      <c r="SBD21" s="4"/>
      <c r="SBE21" s="4"/>
      <c r="SBF21" s="4"/>
      <c r="SBG21" s="4"/>
      <c r="SBH21" s="4"/>
      <c r="SBI21" s="4"/>
      <c r="SBJ21" s="4"/>
      <c r="SBK21" s="4"/>
      <c r="SBL21" s="4"/>
      <c r="SBM21" s="4"/>
      <c r="SBN21" s="4"/>
      <c r="SBO21" s="4"/>
      <c r="SBP21" s="4"/>
      <c r="SBQ21" s="4"/>
      <c r="SBR21" s="4"/>
      <c r="SBS21" s="4"/>
      <c r="SBT21" s="4"/>
      <c r="SBU21" s="4"/>
      <c r="SBV21" s="4"/>
      <c r="SBW21" s="4"/>
      <c r="SBX21" s="4"/>
      <c r="SBY21" s="4"/>
      <c r="SBZ21" s="4"/>
      <c r="SCA21" s="4"/>
      <c r="SCB21" s="4"/>
      <c r="SCC21" s="4"/>
      <c r="SCD21" s="4"/>
      <c r="SCE21" s="4"/>
      <c r="SCF21" s="4"/>
      <c r="SCG21" s="4"/>
      <c r="SCH21" s="4"/>
      <c r="SCI21" s="4"/>
      <c r="SCJ21" s="4"/>
      <c r="SCK21" s="4"/>
      <c r="SCL21" s="4"/>
      <c r="SCM21" s="4"/>
      <c r="SCN21" s="4"/>
      <c r="SCO21" s="4"/>
      <c r="SCP21" s="4"/>
      <c r="SCQ21" s="4"/>
      <c r="SCR21" s="4"/>
      <c r="SCS21" s="4"/>
      <c r="SCT21" s="4"/>
      <c r="SCU21" s="4"/>
      <c r="SCV21" s="4"/>
      <c r="SCW21" s="4"/>
      <c r="SCX21" s="4"/>
      <c r="SCY21" s="4"/>
      <c r="SCZ21" s="4"/>
      <c r="SDA21" s="4"/>
      <c r="SDB21" s="4"/>
      <c r="SDC21" s="4"/>
      <c r="SDD21" s="4"/>
      <c r="SDE21" s="4"/>
      <c r="SDF21" s="4"/>
      <c r="SDG21" s="4"/>
      <c r="SDH21" s="4"/>
      <c r="SDI21" s="4"/>
      <c r="SDJ21" s="4"/>
      <c r="SDK21" s="4"/>
      <c r="SDL21" s="4"/>
      <c r="SDM21" s="4"/>
      <c r="SDN21" s="4"/>
      <c r="SDO21" s="4"/>
      <c r="SDP21" s="4"/>
      <c r="SDQ21" s="4"/>
      <c r="SDR21" s="4"/>
      <c r="SDS21" s="4"/>
      <c r="SDT21" s="4"/>
      <c r="SDU21" s="4"/>
      <c r="SDV21" s="4"/>
      <c r="SDW21" s="4"/>
      <c r="SDX21" s="4"/>
      <c r="SDY21" s="4"/>
      <c r="SDZ21" s="4"/>
      <c r="SEA21" s="4"/>
      <c r="SEB21" s="4"/>
      <c r="SEC21" s="4"/>
      <c r="SED21" s="4"/>
      <c r="SEE21" s="4"/>
      <c r="SEF21" s="4"/>
      <c r="SEG21" s="4"/>
      <c r="SEH21" s="4"/>
      <c r="SEI21" s="4"/>
      <c r="SEJ21" s="4"/>
      <c r="SEK21" s="4"/>
      <c r="SEL21" s="4"/>
      <c r="SEM21" s="4"/>
      <c r="SEN21" s="4"/>
      <c r="SEO21" s="4"/>
      <c r="SEP21" s="4"/>
      <c r="SEQ21" s="4"/>
      <c r="SER21" s="4"/>
      <c r="SES21" s="4"/>
      <c r="SET21" s="4"/>
      <c r="SEU21" s="4"/>
      <c r="SEV21" s="4"/>
      <c r="SEW21" s="4"/>
      <c r="SEX21" s="4"/>
      <c r="SEY21" s="4"/>
      <c r="SEZ21" s="4"/>
      <c r="SFA21" s="4"/>
      <c r="SFB21" s="4"/>
      <c r="SFC21" s="4"/>
      <c r="SFD21" s="4"/>
      <c r="SFE21" s="4"/>
      <c r="SFF21" s="4"/>
      <c r="SFG21" s="4"/>
      <c r="SFH21" s="4"/>
      <c r="SFI21" s="4"/>
      <c r="SFJ21" s="4"/>
      <c r="SFK21" s="4"/>
      <c r="SFL21" s="4"/>
      <c r="SFM21" s="4"/>
      <c r="SFN21" s="4"/>
      <c r="SFO21" s="4"/>
      <c r="SFP21" s="4"/>
      <c r="SFQ21" s="4"/>
      <c r="SFR21" s="4"/>
      <c r="SFS21" s="4"/>
      <c r="SFT21" s="4"/>
      <c r="SFU21" s="4"/>
      <c r="SFV21" s="4"/>
      <c r="SFW21" s="4"/>
      <c r="SFX21" s="4"/>
      <c r="SFY21" s="4"/>
      <c r="SFZ21" s="4"/>
      <c r="SGA21" s="4"/>
      <c r="SGB21" s="4"/>
      <c r="SGC21" s="4"/>
      <c r="SGD21" s="4"/>
      <c r="SGE21" s="4"/>
      <c r="SGF21" s="4"/>
      <c r="SGG21" s="4"/>
      <c r="SGH21" s="4"/>
      <c r="SGI21" s="4"/>
      <c r="SGJ21" s="4"/>
      <c r="SGK21" s="4"/>
      <c r="SGL21" s="4"/>
      <c r="SGM21" s="4"/>
      <c r="SGN21" s="4"/>
      <c r="SGO21" s="4"/>
      <c r="SGP21" s="4"/>
      <c r="SGQ21" s="4"/>
      <c r="SGR21" s="4"/>
      <c r="SGS21" s="4"/>
      <c r="SGT21" s="4"/>
      <c r="SGU21" s="4"/>
      <c r="SGV21" s="4"/>
      <c r="SGW21" s="4"/>
      <c r="SGX21" s="4"/>
      <c r="SGY21" s="4"/>
      <c r="SGZ21" s="4"/>
      <c r="SHA21" s="4"/>
      <c r="SHB21" s="4"/>
      <c r="SHC21" s="4"/>
      <c r="SHD21" s="4"/>
      <c r="SHE21" s="4"/>
      <c r="SHF21" s="4"/>
      <c r="SHG21" s="4"/>
      <c r="SHH21" s="4"/>
      <c r="SHI21" s="4"/>
      <c r="SHJ21" s="4"/>
      <c r="SHK21" s="4"/>
      <c r="SHL21" s="4"/>
      <c r="SHM21" s="4"/>
      <c r="SHN21" s="4"/>
      <c r="SHO21" s="4"/>
      <c r="SHP21" s="4"/>
      <c r="SHQ21" s="4"/>
      <c r="SHR21" s="4"/>
      <c r="SHS21" s="4"/>
      <c r="SHT21" s="4"/>
      <c r="SHU21" s="4"/>
      <c r="SHV21" s="4"/>
      <c r="SHW21" s="4"/>
      <c r="SHX21" s="4"/>
      <c r="SHY21" s="4"/>
      <c r="SHZ21" s="4"/>
      <c r="SIA21" s="4"/>
      <c r="SIB21" s="4"/>
      <c r="SIC21" s="4"/>
      <c r="SID21" s="4"/>
      <c r="SIE21" s="4"/>
      <c r="SIF21" s="4"/>
      <c r="SIG21" s="4"/>
      <c r="SIH21" s="4"/>
      <c r="SII21" s="4"/>
      <c r="SIJ21" s="4"/>
      <c r="SIK21" s="4"/>
      <c r="SIL21" s="4"/>
      <c r="SIM21" s="4"/>
      <c r="SIN21" s="4"/>
      <c r="SIO21" s="4"/>
      <c r="SIP21" s="4"/>
      <c r="SIQ21" s="4"/>
      <c r="SIR21" s="4"/>
      <c r="SIS21" s="4"/>
      <c r="SIT21" s="4"/>
      <c r="SIU21" s="4"/>
      <c r="SIV21" s="4"/>
      <c r="SIW21" s="4"/>
      <c r="SIX21" s="4"/>
      <c r="SIY21" s="4"/>
      <c r="SIZ21" s="4"/>
      <c r="SJA21" s="4"/>
      <c r="SJB21" s="4"/>
      <c r="SJC21" s="4"/>
      <c r="SJD21" s="4"/>
      <c r="SJE21" s="4"/>
      <c r="SJF21" s="4"/>
      <c r="SJG21" s="4"/>
      <c r="SJH21" s="4"/>
      <c r="SJI21" s="4"/>
      <c r="SJJ21" s="4"/>
      <c r="SJK21" s="4"/>
      <c r="SJL21" s="4"/>
      <c r="SJM21" s="4"/>
      <c r="SJN21" s="4"/>
      <c r="SJO21" s="4"/>
      <c r="SJP21" s="4"/>
      <c r="SJQ21" s="4"/>
      <c r="SJR21" s="4"/>
      <c r="SJS21" s="4"/>
      <c r="SJT21" s="4"/>
      <c r="SJU21" s="4"/>
      <c r="SJV21" s="4"/>
      <c r="SJW21" s="4"/>
      <c r="SJX21" s="4"/>
      <c r="SJY21" s="4"/>
      <c r="SJZ21" s="4"/>
      <c r="SKA21" s="4"/>
      <c r="SKB21" s="4"/>
      <c r="SKC21" s="4"/>
      <c r="SKD21" s="4"/>
      <c r="SKE21" s="4"/>
      <c r="SKF21" s="4"/>
      <c r="SKG21" s="4"/>
      <c r="SKH21" s="4"/>
      <c r="SKI21" s="4"/>
      <c r="SKJ21" s="4"/>
      <c r="SKK21" s="4"/>
      <c r="SKL21" s="4"/>
      <c r="SKM21" s="4"/>
      <c r="SKN21" s="4"/>
      <c r="SKO21" s="4"/>
      <c r="SKP21" s="4"/>
      <c r="SKQ21" s="4"/>
      <c r="SKR21" s="4"/>
      <c r="SKS21" s="4"/>
      <c r="SKT21" s="4"/>
      <c r="SKU21" s="4"/>
      <c r="SKV21" s="4"/>
      <c r="SKW21" s="4"/>
      <c r="SKX21" s="4"/>
      <c r="SKY21" s="4"/>
      <c r="SKZ21" s="4"/>
      <c r="SLA21" s="4"/>
      <c r="SLB21" s="4"/>
      <c r="SLC21" s="4"/>
      <c r="SLD21" s="4"/>
      <c r="SLE21" s="4"/>
      <c r="SLF21" s="4"/>
      <c r="SLG21" s="4"/>
      <c r="SLH21" s="4"/>
      <c r="SLI21" s="4"/>
      <c r="SLJ21" s="4"/>
      <c r="SLK21" s="4"/>
      <c r="SLL21" s="4"/>
      <c r="SLM21" s="4"/>
      <c r="SLN21" s="4"/>
      <c r="SLO21" s="4"/>
      <c r="SLP21" s="4"/>
      <c r="SLQ21" s="4"/>
      <c r="SLR21" s="4"/>
      <c r="SLS21" s="4"/>
      <c r="SLT21" s="4"/>
      <c r="SLU21" s="4"/>
      <c r="SLV21" s="4"/>
      <c r="SLW21" s="4"/>
      <c r="SLX21" s="4"/>
      <c r="SLY21" s="4"/>
      <c r="SLZ21" s="4"/>
      <c r="SMA21" s="4"/>
      <c r="SMB21" s="4"/>
      <c r="SMC21" s="4"/>
      <c r="SMD21" s="4"/>
      <c r="SME21" s="4"/>
      <c r="SMF21" s="4"/>
      <c r="SMG21" s="4"/>
      <c r="SMH21" s="4"/>
      <c r="SMI21" s="4"/>
      <c r="SMJ21" s="4"/>
      <c r="SMK21" s="4"/>
      <c r="SML21" s="4"/>
      <c r="SMM21" s="4"/>
      <c r="SMN21" s="4"/>
      <c r="SMO21" s="4"/>
      <c r="SMP21" s="4"/>
      <c r="SMQ21" s="4"/>
      <c r="SMR21" s="4"/>
      <c r="SMS21" s="4"/>
      <c r="SMT21" s="4"/>
      <c r="SMU21" s="4"/>
      <c r="SMV21" s="4"/>
      <c r="SMW21" s="4"/>
      <c r="SMX21" s="4"/>
      <c r="SMY21" s="4"/>
      <c r="SMZ21" s="4"/>
      <c r="SNA21" s="4"/>
      <c r="SNB21" s="4"/>
      <c r="SNC21" s="4"/>
      <c r="SND21" s="4"/>
      <c r="SNE21" s="4"/>
      <c r="SNF21" s="4"/>
      <c r="SNG21" s="4"/>
      <c r="SNH21" s="4"/>
      <c r="SNI21" s="4"/>
      <c r="SNJ21" s="4"/>
      <c r="SNK21" s="4"/>
      <c r="SNL21" s="4"/>
      <c r="SNM21" s="4"/>
      <c r="SNN21" s="4"/>
      <c r="SNO21" s="4"/>
      <c r="SNP21" s="4"/>
      <c r="SNQ21" s="4"/>
      <c r="SNR21" s="4"/>
      <c r="SNS21" s="4"/>
      <c r="SNT21" s="4"/>
      <c r="SNU21" s="4"/>
      <c r="SNV21" s="4"/>
      <c r="SNW21" s="4"/>
      <c r="SNX21" s="4"/>
      <c r="SNY21" s="4"/>
      <c r="SNZ21" s="4"/>
      <c r="SOA21" s="4"/>
      <c r="SOB21" s="4"/>
      <c r="SOC21" s="4"/>
      <c r="SOD21" s="4"/>
      <c r="SOE21" s="4"/>
      <c r="SOF21" s="4"/>
      <c r="SOG21" s="4"/>
      <c r="SOH21" s="4"/>
      <c r="SOI21" s="4"/>
      <c r="SOJ21" s="4"/>
      <c r="SOK21" s="4"/>
      <c r="SOL21" s="4"/>
      <c r="SOM21" s="4"/>
      <c r="SON21" s="4"/>
      <c r="SOO21" s="4"/>
      <c r="SOP21" s="4"/>
      <c r="SOQ21" s="4"/>
      <c r="SOR21" s="4"/>
      <c r="SOS21" s="4"/>
      <c r="SOT21" s="4"/>
      <c r="SOU21" s="4"/>
      <c r="SOV21" s="4"/>
      <c r="SOW21" s="4"/>
      <c r="SOX21" s="4"/>
      <c r="SOY21" s="4"/>
      <c r="SOZ21" s="4"/>
      <c r="SPA21" s="4"/>
      <c r="SPB21" s="4"/>
      <c r="SPC21" s="4"/>
      <c r="SPD21" s="4"/>
      <c r="SPE21" s="4"/>
      <c r="SPF21" s="4"/>
      <c r="SPG21" s="4"/>
      <c r="SPH21" s="4"/>
      <c r="SPI21" s="4"/>
      <c r="SPJ21" s="4"/>
      <c r="SPK21" s="4"/>
      <c r="SPL21" s="4"/>
      <c r="SPM21" s="4"/>
      <c r="SPN21" s="4"/>
      <c r="SPO21" s="4"/>
      <c r="SPP21" s="4"/>
      <c r="SPQ21" s="4"/>
      <c r="SPR21" s="4"/>
      <c r="SPS21" s="4"/>
      <c r="SPT21" s="4"/>
      <c r="SPU21" s="4"/>
      <c r="SPV21" s="4"/>
      <c r="SPW21" s="4"/>
      <c r="SPX21" s="4"/>
      <c r="SPY21" s="4"/>
      <c r="SPZ21" s="4"/>
      <c r="SQA21" s="4"/>
      <c r="SQB21" s="4"/>
      <c r="SQC21" s="4"/>
      <c r="SQD21" s="4"/>
      <c r="SQE21" s="4"/>
      <c r="SQF21" s="4"/>
      <c r="SQG21" s="4"/>
      <c r="SQH21" s="4"/>
      <c r="SQI21" s="4"/>
      <c r="SQJ21" s="4"/>
      <c r="SQK21" s="4"/>
      <c r="SQL21" s="4"/>
      <c r="SQM21" s="4"/>
      <c r="SQN21" s="4"/>
      <c r="SQO21" s="4"/>
      <c r="SQP21" s="4"/>
      <c r="SQQ21" s="4"/>
      <c r="SQR21" s="4"/>
      <c r="SQS21" s="4"/>
      <c r="SQT21" s="4"/>
      <c r="SQU21" s="4"/>
      <c r="SQV21" s="4"/>
      <c r="SQW21" s="4"/>
      <c r="SQX21" s="4"/>
      <c r="SQY21" s="4"/>
      <c r="SQZ21" s="4"/>
      <c r="SRA21" s="4"/>
      <c r="SRB21" s="4"/>
      <c r="SRC21" s="4"/>
      <c r="SRD21" s="4"/>
      <c r="SRE21" s="4"/>
      <c r="SRF21" s="4"/>
      <c r="SRG21" s="4"/>
      <c r="SRH21" s="4"/>
      <c r="SRI21" s="4"/>
      <c r="SRJ21" s="4"/>
      <c r="SRK21" s="4"/>
      <c r="SRL21" s="4"/>
      <c r="SRM21" s="4"/>
      <c r="SRN21" s="4"/>
      <c r="SRO21" s="4"/>
      <c r="SRP21" s="4"/>
      <c r="SRQ21" s="4"/>
      <c r="SRR21" s="4"/>
      <c r="SRS21" s="4"/>
      <c r="SRT21" s="4"/>
      <c r="SRU21" s="4"/>
      <c r="SRV21" s="4"/>
      <c r="SRW21" s="4"/>
      <c r="SRX21" s="4"/>
      <c r="SRY21" s="4"/>
      <c r="SRZ21" s="4"/>
      <c r="SSA21" s="4"/>
      <c r="SSB21" s="4"/>
      <c r="SSC21" s="4"/>
      <c r="SSD21" s="4"/>
      <c r="SSE21" s="4"/>
      <c r="SSF21" s="4"/>
      <c r="SSG21" s="4"/>
      <c r="SSH21" s="4"/>
      <c r="SSI21" s="4"/>
      <c r="SSJ21" s="4"/>
      <c r="SSK21" s="4"/>
      <c r="SSL21" s="4"/>
      <c r="SSM21" s="4"/>
      <c r="SSN21" s="4"/>
      <c r="SSO21" s="4"/>
      <c r="SSP21" s="4"/>
      <c r="SSQ21" s="4"/>
      <c r="SSR21" s="4"/>
      <c r="SSS21" s="4"/>
      <c r="SST21" s="4"/>
      <c r="SSU21" s="4"/>
      <c r="SSV21" s="4"/>
      <c r="SSW21" s="4"/>
      <c r="SSX21" s="4"/>
      <c r="SSY21" s="4"/>
      <c r="SSZ21" s="4"/>
      <c r="STA21" s="4"/>
      <c r="STB21" s="4"/>
      <c r="STC21" s="4"/>
      <c r="STD21" s="4"/>
      <c r="STE21" s="4"/>
      <c r="STF21" s="4"/>
      <c r="STG21" s="4"/>
      <c r="STH21" s="4"/>
      <c r="STI21" s="4"/>
      <c r="STJ21" s="4"/>
      <c r="STK21" s="4"/>
      <c r="STL21" s="4"/>
      <c r="STM21" s="4"/>
      <c r="STN21" s="4"/>
      <c r="STO21" s="4"/>
      <c r="STP21" s="4"/>
      <c r="STQ21" s="4"/>
      <c r="STR21" s="4"/>
      <c r="STS21" s="4"/>
      <c r="STT21" s="4"/>
      <c r="STU21" s="4"/>
      <c r="STV21" s="4"/>
      <c r="STW21" s="4"/>
      <c r="STX21" s="4"/>
      <c r="STY21" s="4"/>
      <c r="STZ21" s="4"/>
      <c r="SUA21" s="4"/>
      <c r="SUB21" s="4"/>
      <c r="SUC21" s="4"/>
      <c r="SUD21" s="4"/>
      <c r="SUE21" s="4"/>
      <c r="SUF21" s="4"/>
      <c r="SUG21" s="4"/>
      <c r="SUH21" s="4"/>
      <c r="SUI21" s="4"/>
      <c r="SUJ21" s="4"/>
      <c r="SUK21" s="4"/>
      <c r="SUL21" s="4"/>
      <c r="SUM21" s="4"/>
      <c r="SUN21" s="4"/>
      <c r="SUO21" s="4"/>
      <c r="SUP21" s="4"/>
      <c r="SUQ21" s="4"/>
      <c r="SUR21" s="4"/>
      <c r="SUS21" s="4"/>
      <c r="SUT21" s="4"/>
      <c r="SUU21" s="4"/>
      <c r="SUV21" s="4"/>
      <c r="SUW21" s="4"/>
      <c r="SUX21" s="4"/>
      <c r="SUY21" s="4"/>
      <c r="SUZ21" s="4"/>
      <c r="SVA21" s="4"/>
      <c r="SVB21" s="4"/>
      <c r="SVC21" s="4"/>
      <c r="SVD21" s="4"/>
      <c r="SVE21" s="4"/>
      <c r="SVF21" s="4"/>
      <c r="SVG21" s="4"/>
      <c r="SVH21" s="4"/>
      <c r="SVI21" s="4"/>
      <c r="SVJ21" s="4"/>
      <c r="SVK21" s="4"/>
      <c r="SVL21" s="4"/>
      <c r="SVM21" s="4"/>
      <c r="SVN21" s="4"/>
      <c r="SVO21" s="4"/>
      <c r="SVP21" s="4"/>
      <c r="SVQ21" s="4"/>
      <c r="SVR21" s="4"/>
      <c r="SVS21" s="4"/>
      <c r="SVT21" s="4"/>
      <c r="SVU21" s="4"/>
      <c r="SVV21" s="4"/>
      <c r="SVW21" s="4"/>
      <c r="SVX21" s="4"/>
      <c r="SVY21" s="4"/>
      <c r="SVZ21" s="4"/>
      <c r="SWA21" s="4"/>
      <c r="SWB21" s="4"/>
      <c r="SWC21" s="4"/>
      <c r="SWD21" s="4"/>
      <c r="SWE21" s="4"/>
      <c r="SWF21" s="4"/>
      <c r="SWG21" s="4"/>
      <c r="SWH21" s="4"/>
      <c r="SWI21" s="4"/>
      <c r="SWJ21" s="4"/>
      <c r="SWK21" s="4"/>
      <c r="SWL21" s="4"/>
      <c r="SWM21" s="4"/>
      <c r="SWN21" s="4"/>
      <c r="SWO21" s="4"/>
      <c r="SWP21" s="4"/>
      <c r="SWQ21" s="4"/>
      <c r="SWR21" s="4"/>
      <c r="SWS21" s="4"/>
      <c r="SWT21" s="4"/>
      <c r="SWU21" s="4"/>
      <c r="SWV21" s="4"/>
      <c r="SWW21" s="4"/>
      <c r="SWX21" s="4"/>
      <c r="SWY21" s="4"/>
      <c r="SWZ21" s="4"/>
      <c r="SXA21" s="4"/>
      <c r="SXB21" s="4"/>
      <c r="SXC21" s="4"/>
      <c r="SXD21" s="4"/>
      <c r="SXE21" s="4"/>
      <c r="SXF21" s="4"/>
      <c r="SXG21" s="4"/>
      <c r="SXH21" s="4"/>
      <c r="SXI21" s="4"/>
      <c r="SXJ21" s="4"/>
      <c r="SXK21" s="4"/>
      <c r="SXL21" s="4"/>
      <c r="SXM21" s="4"/>
      <c r="SXN21" s="4"/>
      <c r="SXO21" s="4"/>
      <c r="SXP21" s="4"/>
      <c r="SXQ21" s="4"/>
      <c r="SXR21" s="4"/>
      <c r="SXS21" s="4"/>
      <c r="SXT21" s="4"/>
      <c r="SXU21" s="4"/>
      <c r="SXV21" s="4"/>
      <c r="SXW21" s="4"/>
      <c r="SXX21" s="4"/>
      <c r="SXY21" s="4"/>
      <c r="SXZ21" s="4"/>
      <c r="SYA21" s="4"/>
      <c r="SYB21" s="4"/>
      <c r="SYC21" s="4"/>
      <c r="SYD21" s="4"/>
      <c r="SYE21" s="4"/>
      <c r="SYF21" s="4"/>
      <c r="SYG21" s="4"/>
      <c r="SYH21" s="4"/>
      <c r="SYI21" s="4"/>
      <c r="SYJ21" s="4"/>
      <c r="SYK21" s="4"/>
      <c r="SYL21" s="4"/>
      <c r="SYM21" s="4"/>
      <c r="SYN21" s="4"/>
      <c r="SYO21" s="4"/>
      <c r="SYP21" s="4"/>
      <c r="SYQ21" s="4"/>
      <c r="SYR21" s="4"/>
      <c r="SYS21" s="4"/>
      <c r="SYT21" s="4"/>
      <c r="SYU21" s="4"/>
      <c r="SYV21" s="4"/>
      <c r="SYW21" s="4"/>
      <c r="SYX21" s="4"/>
      <c r="SYY21" s="4"/>
      <c r="SYZ21" s="4"/>
      <c r="SZA21" s="4"/>
      <c r="SZB21" s="4"/>
      <c r="SZC21" s="4"/>
      <c r="SZD21" s="4"/>
      <c r="SZE21" s="4"/>
      <c r="SZF21" s="4"/>
      <c r="SZG21" s="4"/>
      <c r="SZH21" s="4"/>
      <c r="SZI21" s="4"/>
      <c r="SZJ21" s="4"/>
      <c r="SZK21" s="4"/>
      <c r="SZL21" s="4"/>
      <c r="SZM21" s="4"/>
      <c r="SZN21" s="4"/>
      <c r="SZO21" s="4"/>
      <c r="SZP21" s="4"/>
      <c r="SZQ21" s="4"/>
      <c r="SZR21" s="4"/>
      <c r="SZS21" s="4"/>
      <c r="SZT21" s="4"/>
      <c r="SZU21" s="4"/>
      <c r="SZV21" s="4"/>
      <c r="SZW21" s="4"/>
      <c r="SZX21" s="4"/>
      <c r="SZY21" s="4"/>
      <c r="SZZ21" s="4"/>
      <c r="TAA21" s="4"/>
      <c r="TAB21" s="4"/>
      <c r="TAC21" s="4"/>
      <c r="TAD21" s="4"/>
      <c r="TAE21" s="4"/>
      <c r="TAF21" s="4"/>
      <c r="TAG21" s="4"/>
      <c r="TAH21" s="4"/>
      <c r="TAI21" s="4"/>
      <c r="TAJ21" s="4"/>
      <c r="TAK21" s="4"/>
      <c r="TAL21" s="4"/>
      <c r="TAM21" s="4"/>
      <c r="TAN21" s="4"/>
      <c r="TAO21" s="4"/>
      <c r="TAP21" s="4"/>
      <c r="TAQ21" s="4"/>
      <c r="TAR21" s="4"/>
      <c r="TAS21" s="4"/>
      <c r="TAT21" s="4"/>
      <c r="TAU21" s="4"/>
      <c r="TAV21" s="4"/>
      <c r="TAW21" s="4"/>
      <c r="TAX21" s="4"/>
      <c r="TAY21" s="4"/>
      <c r="TAZ21" s="4"/>
      <c r="TBA21" s="4"/>
      <c r="TBB21" s="4"/>
      <c r="TBC21" s="4"/>
      <c r="TBD21" s="4"/>
      <c r="TBE21" s="4"/>
      <c r="TBF21" s="4"/>
      <c r="TBG21" s="4"/>
      <c r="TBH21" s="4"/>
      <c r="TBI21" s="4"/>
      <c r="TBJ21" s="4"/>
      <c r="TBK21" s="4"/>
      <c r="TBL21" s="4"/>
      <c r="TBM21" s="4"/>
      <c r="TBN21" s="4"/>
      <c r="TBO21" s="4"/>
      <c r="TBP21" s="4"/>
      <c r="TBQ21" s="4"/>
      <c r="TBR21" s="4"/>
      <c r="TBS21" s="4"/>
      <c r="TBT21" s="4"/>
      <c r="TBU21" s="4"/>
      <c r="TBV21" s="4"/>
      <c r="TBW21" s="4"/>
      <c r="TBX21" s="4"/>
      <c r="TBY21" s="4"/>
      <c r="TBZ21" s="4"/>
      <c r="TCA21" s="4"/>
      <c r="TCB21" s="4"/>
      <c r="TCC21" s="4"/>
      <c r="TCD21" s="4"/>
      <c r="TCE21" s="4"/>
      <c r="TCF21" s="4"/>
      <c r="TCG21" s="4"/>
      <c r="TCH21" s="4"/>
      <c r="TCI21" s="4"/>
      <c r="TCJ21" s="4"/>
      <c r="TCK21" s="4"/>
      <c r="TCL21" s="4"/>
      <c r="TCM21" s="4"/>
      <c r="TCN21" s="4"/>
      <c r="TCO21" s="4"/>
      <c r="TCP21" s="4"/>
      <c r="TCQ21" s="4"/>
      <c r="TCR21" s="4"/>
      <c r="TCS21" s="4"/>
      <c r="TCT21" s="4"/>
      <c r="TCU21" s="4"/>
      <c r="TCV21" s="4"/>
      <c r="TCW21" s="4"/>
      <c r="TCX21" s="4"/>
      <c r="TCY21" s="4"/>
      <c r="TCZ21" s="4"/>
      <c r="TDA21" s="4"/>
      <c r="TDB21" s="4"/>
      <c r="TDC21" s="4"/>
      <c r="TDD21" s="4"/>
      <c r="TDE21" s="4"/>
      <c r="TDF21" s="4"/>
      <c r="TDG21" s="4"/>
      <c r="TDH21" s="4"/>
      <c r="TDI21" s="4"/>
      <c r="TDJ21" s="4"/>
      <c r="TDK21" s="4"/>
      <c r="TDL21" s="4"/>
      <c r="TDM21" s="4"/>
      <c r="TDN21" s="4"/>
      <c r="TDO21" s="4"/>
      <c r="TDP21" s="4"/>
      <c r="TDQ21" s="4"/>
      <c r="TDR21" s="4"/>
      <c r="TDS21" s="4"/>
      <c r="TDT21" s="4"/>
      <c r="TDU21" s="4"/>
      <c r="TDV21" s="4"/>
      <c r="TDW21" s="4"/>
      <c r="TDX21" s="4"/>
      <c r="TDY21" s="4"/>
      <c r="TDZ21" s="4"/>
      <c r="TEA21" s="4"/>
      <c r="TEB21" s="4"/>
      <c r="TEC21" s="4"/>
      <c r="TED21" s="4"/>
      <c r="TEE21" s="4"/>
      <c r="TEF21" s="4"/>
      <c r="TEG21" s="4"/>
      <c r="TEH21" s="4"/>
      <c r="TEI21" s="4"/>
      <c r="TEJ21" s="4"/>
      <c r="TEK21" s="4"/>
      <c r="TEL21" s="4"/>
      <c r="TEM21" s="4"/>
      <c r="TEN21" s="4"/>
      <c r="TEO21" s="4"/>
      <c r="TEP21" s="4"/>
      <c r="TEQ21" s="4"/>
      <c r="TER21" s="4"/>
      <c r="TES21" s="4"/>
      <c r="TET21" s="4"/>
      <c r="TEU21" s="4"/>
      <c r="TEV21" s="4"/>
      <c r="TEW21" s="4"/>
      <c r="TEX21" s="4"/>
      <c r="TEY21" s="4"/>
      <c r="TEZ21" s="4"/>
      <c r="TFA21" s="4"/>
      <c r="TFB21" s="4"/>
      <c r="TFC21" s="4"/>
      <c r="TFD21" s="4"/>
      <c r="TFE21" s="4"/>
      <c r="TFF21" s="4"/>
      <c r="TFG21" s="4"/>
      <c r="TFH21" s="4"/>
      <c r="TFI21" s="4"/>
      <c r="TFJ21" s="4"/>
      <c r="TFK21" s="4"/>
      <c r="TFL21" s="4"/>
      <c r="TFM21" s="4"/>
      <c r="TFN21" s="4"/>
      <c r="TFO21" s="4"/>
      <c r="TFP21" s="4"/>
      <c r="TFQ21" s="4"/>
      <c r="TFR21" s="4"/>
      <c r="TFS21" s="4"/>
      <c r="TFT21" s="4"/>
      <c r="TFU21" s="4"/>
      <c r="TFV21" s="4"/>
      <c r="TFW21" s="4"/>
      <c r="TFX21" s="4"/>
      <c r="TFY21" s="4"/>
      <c r="TFZ21" s="4"/>
      <c r="TGA21" s="4"/>
      <c r="TGB21" s="4"/>
      <c r="TGC21" s="4"/>
      <c r="TGD21" s="4"/>
      <c r="TGE21" s="4"/>
      <c r="TGF21" s="4"/>
      <c r="TGG21" s="4"/>
      <c r="TGH21" s="4"/>
      <c r="TGI21" s="4"/>
      <c r="TGJ21" s="4"/>
      <c r="TGK21" s="4"/>
      <c r="TGL21" s="4"/>
      <c r="TGM21" s="4"/>
      <c r="TGN21" s="4"/>
      <c r="TGO21" s="4"/>
      <c r="TGP21" s="4"/>
      <c r="TGQ21" s="4"/>
      <c r="TGR21" s="4"/>
      <c r="TGS21" s="4"/>
      <c r="TGT21" s="4"/>
      <c r="TGU21" s="4"/>
      <c r="TGV21" s="4"/>
      <c r="TGW21" s="4"/>
      <c r="TGX21" s="4"/>
      <c r="TGY21" s="4"/>
      <c r="TGZ21" s="4"/>
      <c r="THA21" s="4"/>
      <c r="THB21" s="4"/>
      <c r="THC21" s="4"/>
      <c r="THD21" s="4"/>
      <c r="THE21" s="4"/>
      <c r="THF21" s="4"/>
      <c r="THG21" s="4"/>
      <c r="THH21" s="4"/>
      <c r="THI21" s="4"/>
      <c r="THJ21" s="4"/>
      <c r="THK21" s="4"/>
      <c r="THL21" s="4"/>
      <c r="THM21" s="4"/>
      <c r="THN21" s="4"/>
      <c r="THO21" s="4"/>
      <c r="THP21" s="4"/>
      <c r="THQ21" s="4"/>
      <c r="THR21" s="4"/>
      <c r="THS21" s="4"/>
      <c r="THT21" s="4"/>
      <c r="THU21" s="4"/>
      <c r="THV21" s="4"/>
      <c r="THW21" s="4"/>
      <c r="THX21" s="4"/>
      <c r="THY21" s="4"/>
      <c r="THZ21" s="4"/>
      <c r="TIA21" s="4"/>
      <c r="TIB21" s="4"/>
      <c r="TIC21" s="4"/>
      <c r="TID21" s="4"/>
      <c r="TIE21" s="4"/>
      <c r="TIF21" s="4"/>
      <c r="TIG21" s="4"/>
      <c r="TIH21" s="4"/>
      <c r="TII21" s="4"/>
      <c r="TIJ21" s="4"/>
      <c r="TIK21" s="4"/>
      <c r="TIL21" s="4"/>
      <c r="TIM21" s="4"/>
      <c r="TIN21" s="4"/>
      <c r="TIO21" s="4"/>
      <c r="TIP21" s="4"/>
      <c r="TIQ21" s="4"/>
      <c r="TIR21" s="4"/>
      <c r="TIS21" s="4"/>
      <c r="TIT21" s="4"/>
      <c r="TIU21" s="4"/>
      <c r="TIV21" s="4"/>
      <c r="TIW21" s="4"/>
      <c r="TIX21" s="4"/>
      <c r="TIY21" s="4"/>
      <c r="TIZ21" s="4"/>
      <c r="TJA21" s="4"/>
      <c r="TJB21" s="4"/>
      <c r="TJC21" s="4"/>
      <c r="TJD21" s="4"/>
      <c r="TJE21" s="4"/>
      <c r="TJF21" s="4"/>
      <c r="TJG21" s="4"/>
      <c r="TJH21" s="4"/>
      <c r="TJI21" s="4"/>
      <c r="TJJ21" s="4"/>
      <c r="TJK21" s="4"/>
      <c r="TJL21" s="4"/>
      <c r="TJM21" s="4"/>
      <c r="TJN21" s="4"/>
      <c r="TJO21" s="4"/>
      <c r="TJP21" s="4"/>
      <c r="TJQ21" s="4"/>
      <c r="TJR21" s="4"/>
      <c r="TJS21" s="4"/>
      <c r="TJT21" s="4"/>
      <c r="TJU21" s="4"/>
      <c r="TJV21" s="4"/>
      <c r="TJW21" s="4"/>
      <c r="TJX21" s="4"/>
      <c r="TJY21" s="4"/>
      <c r="TJZ21" s="4"/>
      <c r="TKA21" s="4"/>
      <c r="TKB21" s="4"/>
      <c r="TKC21" s="4"/>
      <c r="TKD21" s="4"/>
      <c r="TKE21" s="4"/>
      <c r="TKF21" s="4"/>
      <c r="TKG21" s="4"/>
      <c r="TKH21" s="4"/>
      <c r="TKI21" s="4"/>
      <c r="TKJ21" s="4"/>
      <c r="TKK21" s="4"/>
      <c r="TKL21" s="4"/>
      <c r="TKM21" s="4"/>
      <c r="TKN21" s="4"/>
      <c r="TKO21" s="4"/>
      <c r="TKP21" s="4"/>
      <c r="TKQ21" s="4"/>
      <c r="TKR21" s="4"/>
      <c r="TKS21" s="4"/>
      <c r="TKT21" s="4"/>
      <c r="TKU21" s="4"/>
      <c r="TKV21" s="4"/>
      <c r="TKW21" s="4"/>
      <c r="TKX21" s="4"/>
      <c r="TKY21" s="4"/>
      <c r="TKZ21" s="4"/>
      <c r="TLA21" s="4"/>
      <c r="TLB21" s="4"/>
      <c r="TLC21" s="4"/>
      <c r="TLD21" s="4"/>
      <c r="TLE21" s="4"/>
      <c r="TLF21" s="4"/>
      <c r="TLG21" s="4"/>
      <c r="TLH21" s="4"/>
      <c r="TLI21" s="4"/>
      <c r="TLJ21" s="4"/>
      <c r="TLK21" s="4"/>
      <c r="TLL21" s="4"/>
      <c r="TLM21" s="4"/>
      <c r="TLN21" s="4"/>
      <c r="TLO21" s="4"/>
      <c r="TLP21" s="4"/>
      <c r="TLQ21" s="4"/>
      <c r="TLR21" s="4"/>
      <c r="TLS21" s="4"/>
      <c r="TLT21" s="4"/>
      <c r="TLU21" s="4"/>
      <c r="TLV21" s="4"/>
      <c r="TLW21" s="4"/>
      <c r="TLX21" s="4"/>
      <c r="TLY21" s="4"/>
      <c r="TLZ21" s="4"/>
      <c r="TMA21" s="4"/>
      <c r="TMB21" s="4"/>
      <c r="TMC21" s="4"/>
      <c r="TMD21" s="4"/>
      <c r="TME21" s="4"/>
      <c r="TMF21" s="4"/>
      <c r="TMG21" s="4"/>
      <c r="TMH21" s="4"/>
      <c r="TMI21" s="4"/>
      <c r="TMJ21" s="4"/>
      <c r="TMK21" s="4"/>
      <c r="TML21" s="4"/>
      <c r="TMM21" s="4"/>
      <c r="TMN21" s="4"/>
      <c r="TMO21" s="4"/>
      <c r="TMP21" s="4"/>
      <c r="TMQ21" s="4"/>
      <c r="TMR21" s="4"/>
      <c r="TMS21" s="4"/>
      <c r="TMT21" s="4"/>
      <c r="TMU21" s="4"/>
      <c r="TMV21" s="4"/>
      <c r="TMW21" s="4"/>
      <c r="TMX21" s="4"/>
      <c r="TMY21" s="4"/>
      <c r="TMZ21" s="4"/>
      <c r="TNA21" s="4"/>
      <c r="TNB21" s="4"/>
      <c r="TNC21" s="4"/>
      <c r="TND21" s="4"/>
      <c r="TNE21" s="4"/>
      <c r="TNF21" s="4"/>
      <c r="TNG21" s="4"/>
      <c r="TNH21" s="4"/>
      <c r="TNI21" s="4"/>
      <c r="TNJ21" s="4"/>
      <c r="TNK21" s="4"/>
      <c r="TNL21" s="4"/>
      <c r="TNM21" s="4"/>
      <c r="TNN21" s="4"/>
      <c r="TNO21" s="4"/>
      <c r="TNP21" s="4"/>
      <c r="TNQ21" s="4"/>
      <c r="TNR21" s="4"/>
      <c r="TNS21" s="4"/>
      <c r="TNT21" s="4"/>
      <c r="TNU21" s="4"/>
      <c r="TNV21" s="4"/>
      <c r="TNW21" s="4"/>
      <c r="TNX21" s="4"/>
      <c r="TNY21" s="4"/>
      <c r="TNZ21" s="4"/>
      <c r="TOA21" s="4"/>
      <c r="TOB21" s="4"/>
      <c r="TOC21" s="4"/>
      <c r="TOD21" s="4"/>
      <c r="TOE21" s="4"/>
      <c r="TOF21" s="4"/>
      <c r="TOG21" s="4"/>
      <c r="TOH21" s="4"/>
      <c r="TOI21" s="4"/>
      <c r="TOJ21" s="4"/>
      <c r="TOK21" s="4"/>
      <c r="TOL21" s="4"/>
      <c r="TOM21" s="4"/>
      <c r="TON21" s="4"/>
      <c r="TOO21" s="4"/>
      <c r="TOP21" s="4"/>
      <c r="TOQ21" s="4"/>
      <c r="TOR21" s="4"/>
      <c r="TOS21" s="4"/>
      <c r="TOT21" s="4"/>
      <c r="TOU21" s="4"/>
      <c r="TOV21" s="4"/>
      <c r="TOW21" s="4"/>
      <c r="TOX21" s="4"/>
      <c r="TOY21" s="4"/>
      <c r="TOZ21" s="4"/>
      <c r="TPA21" s="4"/>
      <c r="TPB21" s="4"/>
      <c r="TPC21" s="4"/>
      <c r="TPD21" s="4"/>
      <c r="TPE21" s="4"/>
      <c r="TPF21" s="4"/>
      <c r="TPG21" s="4"/>
      <c r="TPH21" s="4"/>
      <c r="TPI21" s="4"/>
      <c r="TPJ21" s="4"/>
      <c r="TPK21" s="4"/>
      <c r="TPL21" s="4"/>
      <c r="TPM21" s="4"/>
      <c r="TPN21" s="4"/>
      <c r="TPO21" s="4"/>
      <c r="TPP21" s="4"/>
      <c r="TPQ21" s="4"/>
      <c r="TPR21" s="4"/>
      <c r="TPS21" s="4"/>
      <c r="TPT21" s="4"/>
      <c r="TPU21" s="4"/>
      <c r="TPV21" s="4"/>
      <c r="TPW21" s="4"/>
      <c r="TPX21" s="4"/>
      <c r="TPY21" s="4"/>
      <c r="TPZ21" s="4"/>
      <c r="TQA21" s="4"/>
      <c r="TQB21" s="4"/>
      <c r="TQC21" s="4"/>
      <c r="TQD21" s="4"/>
      <c r="TQE21" s="4"/>
      <c r="TQF21" s="4"/>
      <c r="TQG21" s="4"/>
      <c r="TQH21" s="4"/>
      <c r="TQI21" s="4"/>
      <c r="TQJ21" s="4"/>
      <c r="TQK21" s="4"/>
      <c r="TQL21" s="4"/>
      <c r="TQM21" s="4"/>
      <c r="TQN21" s="4"/>
      <c r="TQO21" s="4"/>
      <c r="TQP21" s="4"/>
      <c r="TQQ21" s="4"/>
      <c r="TQR21" s="4"/>
      <c r="TQS21" s="4"/>
      <c r="TQT21" s="4"/>
      <c r="TQU21" s="4"/>
      <c r="TQV21" s="4"/>
      <c r="TQW21" s="4"/>
      <c r="TQX21" s="4"/>
      <c r="TQY21" s="4"/>
      <c r="TQZ21" s="4"/>
      <c r="TRA21" s="4"/>
      <c r="TRB21" s="4"/>
      <c r="TRC21" s="4"/>
      <c r="TRD21" s="4"/>
      <c r="TRE21" s="4"/>
      <c r="TRF21" s="4"/>
      <c r="TRG21" s="4"/>
      <c r="TRH21" s="4"/>
      <c r="TRI21" s="4"/>
      <c r="TRJ21" s="4"/>
      <c r="TRK21" s="4"/>
      <c r="TRL21" s="4"/>
      <c r="TRM21" s="4"/>
      <c r="TRN21" s="4"/>
      <c r="TRO21" s="4"/>
      <c r="TRP21" s="4"/>
      <c r="TRQ21" s="4"/>
      <c r="TRR21" s="4"/>
      <c r="TRS21" s="4"/>
      <c r="TRT21" s="4"/>
      <c r="TRU21" s="4"/>
      <c r="TRV21" s="4"/>
      <c r="TRW21" s="4"/>
      <c r="TRX21" s="4"/>
      <c r="TRY21" s="4"/>
      <c r="TRZ21" s="4"/>
      <c r="TSA21" s="4"/>
      <c r="TSB21" s="4"/>
      <c r="TSC21" s="4"/>
      <c r="TSD21" s="4"/>
      <c r="TSE21" s="4"/>
      <c r="TSF21" s="4"/>
      <c r="TSG21" s="4"/>
      <c r="TSH21" s="4"/>
      <c r="TSI21" s="4"/>
      <c r="TSJ21" s="4"/>
      <c r="TSK21" s="4"/>
      <c r="TSL21" s="4"/>
      <c r="TSM21" s="4"/>
      <c r="TSN21" s="4"/>
      <c r="TSO21" s="4"/>
      <c r="TSP21" s="4"/>
      <c r="TSQ21" s="4"/>
      <c r="TSR21" s="4"/>
      <c r="TSS21" s="4"/>
      <c r="TST21" s="4"/>
      <c r="TSU21" s="4"/>
      <c r="TSV21" s="4"/>
      <c r="TSW21" s="4"/>
      <c r="TSX21" s="4"/>
      <c r="TSY21" s="4"/>
      <c r="TSZ21" s="4"/>
      <c r="TTA21" s="4"/>
      <c r="TTB21" s="4"/>
      <c r="TTC21" s="4"/>
      <c r="TTD21" s="4"/>
      <c r="TTE21" s="4"/>
      <c r="TTF21" s="4"/>
      <c r="TTG21" s="4"/>
      <c r="TTH21" s="4"/>
      <c r="TTI21" s="4"/>
      <c r="TTJ21" s="4"/>
      <c r="TTK21" s="4"/>
      <c r="TTL21" s="4"/>
      <c r="TTM21" s="4"/>
      <c r="TTN21" s="4"/>
      <c r="TTO21" s="4"/>
      <c r="TTP21" s="4"/>
      <c r="TTQ21" s="4"/>
      <c r="TTR21" s="4"/>
      <c r="TTS21" s="4"/>
      <c r="TTT21" s="4"/>
      <c r="TTU21" s="4"/>
      <c r="TTV21" s="4"/>
      <c r="TTW21" s="4"/>
      <c r="TTX21" s="4"/>
      <c r="TTY21" s="4"/>
      <c r="TTZ21" s="4"/>
      <c r="TUA21" s="4"/>
      <c r="TUB21" s="4"/>
      <c r="TUC21" s="4"/>
      <c r="TUD21" s="4"/>
      <c r="TUE21" s="4"/>
      <c r="TUF21" s="4"/>
      <c r="TUG21" s="4"/>
      <c r="TUH21" s="4"/>
      <c r="TUI21" s="4"/>
      <c r="TUJ21" s="4"/>
      <c r="TUK21" s="4"/>
      <c r="TUL21" s="4"/>
      <c r="TUM21" s="4"/>
      <c r="TUN21" s="4"/>
      <c r="TUO21" s="4"/>
      <c r="TUP21" s="4"/>
      <c r="TUQ21" s="4"/>
      <c r="TUR21" s="4"/>
      <c r="TUS21" s="4"/>
      <c r="TUT21" s="4"/>
      <c r="TUU21" s="4"/>
      <c r="TUV21" s="4"/>
      <c r="TUW21" s="4"/>
      <c r="TUX21" s="4"/>
      <c r="TUY21" s="4"/>
      <c r="TUZ21" s="4"/>
      <c r="TVA21" s="4"/>
      <c r="TVB21" s="4"/>
      <c r="TVC21" s="4"/>
      <c r="TVD21" s="4"/>
      <c r="TVE21" s="4"/>
      <c r="TVF21" s="4"/>
      <c r="TVG21" s="4"/>
      <c r="TVH21" s="4"/>
      <c r="TVI21" s="4"/>
      <c r="TVJ21" s="4"/>
      <c r="TVK21" s="4"/>
      <c r="TVL21" s="4"/>
      <c r="TVM21" s="4"/>
      <c r="TVN21" s="4"/>
      <c r="TVO21" s="4"/>
      <c r="TVP21" s="4"/>
      <c r="TVQ21" s="4"/>
      <c r="TVR21" s="4"/>
      <c r="TVS21" s="4"/>
      <c r="TVT21" s="4"/>
      <c r="TVU21" s="4"/>
      <c r="TVV21" s="4"/>
      <c r="TVW21" s="4"/>
      <c r="TVX21" s="4"/>
      <c r="TVY21" s="4"/>
      <c r="TVZ21" s="4"/>
      <c r="TWA21" s="4"/>
      <c r="TWB21" s="4"/>
      <c r="TWC21" s="4"/>
      <c r="TWD21" s="4"/>
      <c r="TWE21" s="4"/>
      <c r="TWF21" s="4"/>
      <c r="TWG21" s="4"/>
      <c r="TWH21" s="4"/>
      <c r="TWI21" s="4"/>
      <c r="TWJ21" s="4"/>
      <c r="TWK21" s="4"/>
      <c r="TWL21" s="4"/>
      <c r="TWM21" s="4"/>
      <c r="TWN21" s="4"/>
      <c r="TWO21" s="4"/>
      <c r="TWP21" s="4"/>
      <c r="TWQ21" s="4"/>
      <c r="TWR21" s="4"/>
      <c r="TWS21" s="4"/>
      <c r="TWT21" s="4"/>
      <c r="TWU21" s="4"/>
      <c r="TWV21" s="4"/>
      <c r="TWW21" s="4"/>
      <c r="TWX21" s="4"/>
      <c r="TWY21" s="4"/>
      <c r="TWZ21" s="4"/>
      <c r="TXA21" s="4"/>
      <c r="TXB21" s="4"/>
      <c r="TXC21" s="4"/>
      <c r="TXD21" s="4"/>
      <c r="TXE21" s="4"/>
      <c r="TXF21" s="4"/>
      <c r="TXG21" s="4"/>
      <c r="TXH21" s="4"/>
      <c r="TXI21" s="4"/>
      <c r="TXJ21" s="4"/>
      <c r="TXK21" s="4"/>
      <c r="TXL21" s="4"/>
      <c r="TXM21" s="4"/>
      <c r="TXN21" s="4"/>
      <c r="TXO21" s="4"/>
      <c r="TXP21" s="4"/>
      <c r="TXQ21" s="4"/>
      <c r="TXR21" s="4"/>
      <c r="TXS21" s="4"/>
      <c r="TXT21" s="4"/>
      <c r="TXU21" s="4"/>
      <c r="TXV21" s="4"/>
      <c r="TXW21" s="4"/>
      <c r="TXX21" s="4"/>
      <c r="TXY21" s="4"/>
      <c r="TXZ21" s="4"/>
      <c r="TYA21" s="4"/>
      <c r="TYB21" s="4"/>
      <c r="TYC21" s="4"/>
      <c r="TYD21" s="4"/>
      <c r="TYE21" s="4"/>
      <c r="TYF21" s="4"/>
      <c r="TYG21" s="4"/>
      <c r="TYH21" s="4"/>
      <c r="TYI21" s="4"/>
      <c r="TYJ21" s="4"/>
      <c r="TYK21" s="4"/>
      <c r="TYL21" s="4"/>
      <c r="TYM21" s="4"/>
      <c r="TYN21" s="4"/>
      <c r="TYO21" s="4"/>
      <c r="TYP21" s="4"/>
      <c r="TYQ21" s="4"/>
      <c r="TYR21" s="4"/>
      <c r="TYS21" s="4"/>
      <c r="TYT21" s="4"/>
      <c r="TYU21" s="4"/>
      <c r="TYV21" s="4"/>
      <c r="TYW21" s="4"/>
      <c r="TYX21" s="4"/>
      <c r="TYY21" s="4"/>
      <c r="TYZ21" s="4"/>
      <c r="TZA21" s="4"/>
      <c r="TZB21" s="4"/>
      <c r="TZC21" s="4"/>
      <c r="TZD21" s="4"/>
      <c r="TZE21" s="4"/>
      <c r="TZF21" s="4"/>
      <c r="TZG21" s="4"/>
      <c r="TZH21" s="4"/>
      <c r="TZI21" s="4"/>
      <c r="TZJ21" s="4"/>
      <c r="TZK21" s="4"/>
      <c r="TZL21" s="4"/>
      <c r="TZM21" s="4"/>
      <c r="TZN21" s="4"/>
      <c r="TZO21" s="4"/>
      <c r="TZP21" s="4"/>
      <c r="TZQ21" s="4"/>
      <c r="TZR21" s="4"/>
      <c r="TZS21" s="4"/>
      <c r="TZT21" s="4"/>
      <c r="TZU21" s="4"/>
      <c r="TZV21" s="4"/>
      <c r="TZW21" s="4"/>
      <c r="TZX21" s="4"/>
      <c r="TZY21" s="4"/>
      <c r="TZZ21" s="4"/>
      <c r="UAA21" s="4"/>
      <c r="UAB21" s="4"/>
      <c r="UAC21" s="4"/>
      <c r="UAD21" s="4"/>
      <c r="UAE21" s="4"/>
      <c r="UAF21" s="4"/>
      <c r="UAG21" s="4"/>
      <c r="UAH21" s="4"/>
      <c r="UAI21" s="4"/>
      <c r="UAJ21" s="4"/>
      <c r="UAK21" s="4"/>
      <c r="UAL21" s="4"/>
      <c r="UAM21" s="4"/>
      <c r="UAN21" s="4"/>
      <c r="UAO21" s="4"/>
      <c r="UAP21" s="4"/>
      <c r="UAQ21" s="4"/>
      <c r="UAR21" s="4"/>
      <c r="UAS21" s="4"/>
      <c r="UAT21" s="4"/>
      <c r="UAU21" s="4"/>
      <c r="UAV21" s="4"/>
      <c r="UAW21" s="4"/>
      <c r="UAX21" s="4"/>
      <c r="UAY21" s="4"/>
      <c r="UAZ21" s="4"/>
      <c r="UBA21" s="4"/>
      <c r="UBB21" s="4"/>
      <c r="UBC21" s="4"/>
      <c r="UBD21" s="4"/>
      <c r="UBE21" s="4"/>
      <c r="UBF21" s="4"/>
      <c r="UBG21" s="4"/>
      <c r="UBH21" s="4"/>
      <c r="UBI21" s="4"/>
      <c r="UBJ21" s="4"/>
      <c r="UBK21" s="4"/>
      <c r="UBL21" s="4"/>
      <c r="UBM21" s="4"/>
      <c r="UBN21" s="4"/>
      <c r="UBO21" s="4"/>
      <c r="UBP21" s="4"/>
      <c r="UBQ21" s="4"/>
      <c r="UBR21" s="4"/>
      <c r="UBS21" s="4"/>
      <c r="UBT21" s="4"/>
      <c r="UBU21" s="4"/>
      <c r="UBV21" s="4"/>
      <c r="UBW21" s="4"/>
      <c r="UBX21" s="4"/>
      <c r="UBY21" s="4"/>
      <c r="UBZ21" s="4"/>
      <c r="UCA21" s="4"/>
      <c r="UCB21" s="4"/>
      <c r="UCC21" s="4"/>
      <c r="UCD21" s="4"/>
      <c r="UCE21" s="4"/>
      <c r="UCF21" s="4"/>
      <c r="UCG21" s="4"/>
      <c r="UCH21" s="4"/>
      <c r="UCI21" s="4"/>
      <c r="UCJ21" s="4"/>
      <c r="UCK21" s="4"/>
      <c r="UCL21" s="4"/>
      <c r="UCM21" s="4"/>
      <c r="UCN21" s="4"/>
      <c r="UCO21" s="4"/>
      <c r="UCP21" s="4"/>
      <c r="UCQ21" s="4"/>
      <c r="UCR21" s="4"/>
      <c r="UCS21" s="4"/>
      <c r="UCT21" s="4"/>
      <c r="UCU21" s="4"/>
      <c r="UCV21" s="4"/>
      <c r="UCW21" s="4"/>
      <c r="UCX21" s="4"/>
      <c r="UCY21" s="4"/>
      <c r="UCZ21" s="4"/>
      <c r="UDA21" s="4"/>
      <c r="UDB21" s="4"/>
      <c r="UDC21" s="4"/>
      <c r="UDD21" s="4"/>
      <c r="UDE21" s="4"/>
      <c r="UDF21" s="4"/>
      <c r="UDG21" s="4"/>
      <c r="UDH21" s="4"/>
      <c r="UDI21" s="4"/>
      <c r="UDJ21" s="4"/>
      <c r="UDK21" s="4"/>
      <c r="UDL21" s="4"/>
      <c r="UDM21" s="4"/>
      <c r="UDN21" s="4"/>
      <c r="UDO21" s="4"/>
      <c r="UDP21" s="4"/>
      <c r="UDQ21" s="4"/>
      <c r="UDR21" s="4"/>
      <c r="UDS21" s="4"/>
      <c r="UDT21" s="4"/>
      <c r="UDU21" s="4"/>
      <c r="UDV21" s="4"/>
      <c r="UDW21" s="4"/>
      <c r="UDX21" s="4"/>
      <c r="UDY21" s="4"/>
      <c r="UDZ21" s="4"/>
      <c r="UEA21" s="4"/>
      <c r="UEB21" s="4"/>
      <c r="UEC21" s="4"/>
      <c r="UED21" s="4"/>
      <c r="UEE21" s="4"/>
      <c r="UEF21" s="4"/>
      <c r="UEG21" s="4"/>
      <c r="UEH21" s="4"/>
      <c r="UEI21" s="4"/>
      <c r="UEJ21" s="4"/>
      <c r="UEK21" s="4"/>
      <c r="UEL21" s="4"/>
      <c r="UEM21" s="4"/>
      <c r="UEN21" s="4"/>
      <c r="UEO21" s="4"/>
      <c r="UEP21" s="4"/>
      <c r="UEQ21" s="4"/>
      <c r="UER21" s="4"/>
      <c r="UES21" s="4"/>
      <c r="UET21" s="4"/>
      <c r="UEU21" s="4"/>
      <c r="UEV21" s="4"/>
      <c r="UEW21" s="4"/>
      <c r="UEX21" s="4"/>
      <c r="UEY21" s="4"/>
      <c r="UEZ21" s="4"/>
      <c r="UFA21" s="4"/>
      <c r="UFB21" s="4"/>
      <c r="UFC21" s="4"/>
      <c r="UFD21" s="4"/>
      <c r="UFE21" s="4"/>
      <c r="UFF21" s="4"/>
      <c r="UFG21" s="4"/>
      <c r="UFH21" s="4"/>
      <c r="UFI21" s="4"/>
      <c r="UFJ21" s="4"/>
      <c r="UFK21" s="4"/>
      <c r="UFL21" s="4"/>
      <c r="UFM21" s="4"/>
      <c r="UFN21" s="4"/>
      <c r="UFO21" s="4"/>
      <c r="UFP21" s="4"/>
      <c r="UFQ21" s="4"/>
      <c r="UFR21" s="4"/>
      <c r="UFS21" s="4"/>
      <c r="UFT21" s="4"/>
      <c r="UFU21" s="4"/>
      <c r="UFV21" s="4"/>
      <c r="UFW21" s="4"/>
      <c r="UFX21" s="4"/>
      <c r="UFY21" s="4"/>
      <c r="UFZ21" s="4"/>
      <c r="UGA21" s="4"/>
      <c r="UGB21" s="4"/>
      <c r="UGC21" s="4"/>
      <c r="UGD21" s="4"/>
      <c r="UGE21" s="4"/>
      <c r="UGF21" s="4"/>
      <c r="UGG21" s="4"/>
      <c r="UGH21" s="4"/>
      <c r="UGI21" s="4"/>
      <c r="UGJ21" s="4"/>
      <c r="UGK21" s="4"/>
      <c r="UGL21" s="4"/>
      <c r="UGM21" s="4"/>
      <c r="UGN21" s="4"/>
      <c r="UGO21" s="4"/>
      <c r="UGP21" s="4"/>
      <c r="UGQ21" s="4"/>
      <c r="UGR21" s="4"/>
      <c r="UGS21" s="4"/>
      <c r="UGT21" s="4"/>
      <c r="UGU21" s="4"/>
      <c r="UGV21" s="4"/>
      <c r="UGW21" s="4"/>
      <c r="UGX21" s="4"/>
      <c r="UGY21" s="4"/>
      <c r="UGZ21" s="4"/>
      <c r="UHA21" s="4"/>
      <c r="UHB21" s="4"/>
      <c r="UHC21" s="4"/>
      <c r="UHD21" s="4"/>
      <c r="UHE21" s="4"/>
      <c r="UHF21" s="4"/>
      <c r="UHG21" s="4"/>
      <c r="UHH21" s="4"/>
      <c r="UHI21" s="4"/>
      <c r="UHJ21" s="4"/>
      <c r="UHK21" s="4"/>
      <c r="UHL21" s="4"/>
      <c r="UHM21" s="4"/>
      <c r="UHN21" s="4"/>
      <c r="UHO21" s="4"/>
      <c r="UHP21" s="4"/>
      <c r="UHQ21" s="4"/>
      <c r="UHR21" s="4"/>
      <c r="UHS21" s="4"/>
      <c r="UHT21" s="4"/>
      <c r="UHU21" s="4"/>
      <c r="UHV21" s="4"/>
      <c r="UHW21" s="4"/>
      <c r="UHX21" s="4"/>
      <c r="UHY21" s="4"/>
      <c r="UHZ21" s="4"/>
      <c r="UIA21" s="4"/>
      <c r="UIB21" s="4"/>
      <c r="UIC21" s="4"/>
      <c r="UID21" s="4"/>
      <c r="UIE21" s="4"/>
      <c r="UIF21" s="4"/>
      <c r="UIG21" s="4"/>
      <c r="UIH21" s="4"/>
      <c r="UII21" s="4"/>
      <c r="UIJ21" s="4"/>
      <c r="UIK21" s="4"/>
      <c r="UIL21" s="4"/>
      <c r="UIM21" s="4"/>
      <c r="UIN21" s="4"/>
      <c r="UIO21" s="4"/>
      <c r="UIP21" s="4"/>
      <c r="UIQ21" s="4"/>
      <c r="UIR21" s="4"/>
      <c r="UIS21" s="4"/>
      <c r="UIT21" s="4"/>
      <c r="UIU21" s="4"/>
      <c r="UIV21" s="4"/>
      <c r="UIW21" s="4"/>
      <c r="UIX21" s="4"/>
      <c r="UIY21" s="4"/>
      <c r="UIZ21" s="4"/>
      <c r="UJA21" s="4"/>
      <c r="UJB21" s="4"/>
      <c r="UJC21" s="4"/>
      <c r="UJD21" s="4"/>
      <c r="UJE21" s="4"/>
      <c r="UJF21" s="4"/>
      <c r="UJG21" s="4"/>
      <c r="UJH21" s="4"/>
      <c r="UJI21" s="4"/>
      <c r="UJJ21" s="4"/>
      <c r="UJK21" s="4"/>
      <c r="UJL21" s="4"/>
      <c r="UJM21" s="4"/>
      <c r="UJN21" s="4"/>
      <c r="UJO21" s="4"/>
      <c r="UJP21" s="4"/>
      <c r="UJQ21" s="4"/>
      <c r="UJR21" s="4"/>
      <c r="UJS21" s="4"/>
      <c r="UJT21" s="4"/>
      <c r="UJU21" s="4"/>
      <c r="UJV21" s="4"/>
      <c r="UJW21" s="4"/>
      <c r="UJX21" s="4"/>
      <c r="UJY21" s="4"/>
      <c r="UJZ21" s="4"/>
      <c r="UKA21" s="4"/>
      <c r="UKB21" s="4"/>
      <c r="UKC21" s="4"/>
      <c r="UKD21" s="4"/>
      <c r="UKE21" s="4"/>
      <c r="UKF21" s="4"/>
      <c r="UKG21" s="4"/>
      <c r="UKH21" s="4"/>
      <c r="UKI21" s="4"/>
      <c r="UKJ21" s="4"/>
      <c r="UKK21" s="4"/>
      <c r="UKL21" s="4"/>
      <c r="UKM21" s="4"/>
      <c r="UKN21" s="4"/>
      <c r="UKO21" s="4"/>
      <c r="UKP21" s="4"/>
      <c r="UKQ21" s="4"/>
      <c r="UKR21" s="4"/>
      <c r="UKS21" s="4"/>
      <c r="UKT21" s="4"/>
      <c r="UKU21" s="4"/>
      <c r="UKV21" s="4"/>
      <c r="UKW21" s="4"/>
      <c r="UKX21" s="4"/>
      <c r="UKY21" s="4"/>
      <c r="UKZ21" s="4"/>
      <c r="ULA21" s="4"/>
      <c r="ULB21" s="4"/>
      <c r="ULC21" s="4"/>
      <c r="ULD21" s="4"/>
      <c r="ULE21" s="4"/>
      <c r="ULF21" s="4"/>
      <c r="ULG21" s="4"/>
      <c r="ULH21" s="4"/>
      <c r="ULI21" s="4"/>
      <c r="ULJ21" s="4"/>
      <c r="ULK21" s="4"/>
      <c r="ULL21" s="4"/>
      <c r="ULM21" s="4"/>
      <c r="ULN21" s="4"/>
      <c r="ULO21" s="4"/>
      <c r="ULP21" s="4"/>
      <c r="ULQ21" s="4"/>
      <c r="ULR21" s="4"/>
      <c r="ULS21" s="4"/>
      <c r="ULT21" s="4"/>
      <c r="ULU21" s="4"/>
      <c r="ULV21" s="4"/>
      <c r="ULW21" s="4"/>
      <c r="ULX21" s="4"/>
      <c r="ULY21" s="4"/>
      <c r="ULZ21" s="4"/>
      <c r="UMA21" s="4"/>
      <c r="UMB21" s="4"/>
      <c r="UMC21" s="4"/>
      <c r="UMD21" s="4"/>
      <c r="UME21" s="4"/>
      <c r="UMF21" s="4"/>
      <c r="UMG21" s="4"/>
      <c r="UMH21" s="4"/>
      <c r="UMI21" s="4"/>
      <c r="UMJ21" s="4"/>
      <c r="UMK21" s="4"/>
      <c r="UML21" s="4"/>
      <c r="UMM21" s="4"/>
      <c r="UMN21" s="4"/>
      <c r="UMO21" s="4"/>
      <c r="UMP21" s="4"/>
      <c r="UMQ21" s="4"/>
      <c r="UMR21" s="4"/>
      <c r="UMS21" s="4"/>
      <c r="UMT21" s="4"/>
      <c r="UMU21" s="4"/>
      <c r="UMV21" s="4"/>
      <c r="UMW21" s="4"/>
      <c r="UMX21" s="4"/>
      <c r="UMY21" s="4"/>
      <c r="UMZ21" s="4"/>
      <c r="UNA21" s="4"/>
      <c r="UNB21" s="4"/>
      <c r="UNC21" s="4"/>
      <c r="UND21" s="4"/>
      <c r="UNE21" s="4"/>
      <c r="UNF21" s="4"/>
      <c r="UNG21" s="4"/>
      <c r="UNH21" s="4"/>
      <c r="UNI21" s="4"/>
      <c r="UNJ21" s="4"/>
      <c r="UNK21" s="4"/>
      <c r="UNL21" s="4"/>
      <c r="UNM21" s="4"/>
      <c r="UNN21" s="4"/>
      <c r="UNO21" s="4"/>
      <c r="UNP21" s="4"/>
      <c r="UNQ21" s="4"/>
      <c r="UNR21" s="4"/>
      <c r="UNS21" s="4"/>
      <c r="UNT21" s="4"/>
      <c r="UNU21" s="4"/>
      <c r="UNV21" s="4"/>
      <c r="UNW21" s="4"/>
      <c r="UNX21" s="4"/>
      <c r="UNY21" s="4"/>
      <c r="UNZ21" s="4"/>
      <c r="UOA21" s="4"/>
      <c r="UOB21" s="4"/>
      <c r="UOC21" s="4"/>
      <c r="UOD21" s="4"/>
      <c r="UOE21" s="4"/>
      <c r="UOF21" s="4"/>
      <c r="UOG21" s="4"/>
      <c r="UOH21" s="4"/>
      <c r="UOI21" s="4"/>
      <c r="UOJ21" s="4"/>
      <c r="UOK21" s="4"/>
      <c r="UOL21" s="4"/>
      <c r="UOM21" s="4"/>
      <c r="UON21" s="4"/>
      <c r="UOO21" s="4"/>
      <c r="UOP21" s="4"/>
      <c r="UOQ21" s="4"/>
      <c r="UOR21" s="4"/>
      <c r="UOS21" s="4"/>
      <c r="UOT21" s="4"/>
      <c r="UOU21" s="4"/>
      <c r="UOV21" s="4"/>
      <c r="UOW21" s="4"/>
      <c r="UOX21" s="4"/>
      <c r="UOY21" s="4"/>
      <c r="UOZ21" s="4"/>
      <c r="UPA21" s="4"/>
      <c r="UPB21" s="4"/>
      <c r="UPC21" s="4"/>
      <c r="UPD21" s="4"/>
      <c r="UPE21" s="4"/>
      <c r="UPF21" s="4"/>
      <c r="UPG21" s="4"/>
      <c r="UPH21" s="4"/>
      <c r="UPI21" s="4"/>
      <c r="UPJ21" s="4"/>
      <c r="UPK21" s="4"/>
      <c r="UPL21" s="4"/>
      <c r="UPM21" s="4"/>
      <c r="UPN21" s="4"/>
      <c r="UPO21" s="4"/>
      <c r="UPP21" s="4"/>
      <c r="UPQ21" s="4"/>
      <c r="UPR21" s="4"/>
      <c r="UPS21" s="4"/>
      <c r="UPT21" s="4"/>
      <c r="UPU21" s="4"/>
      <c r="UPV21" s="4"/>
      <c r="UPW21" s="4"/>
      <c r="UPX21" s="4"/>
      <c r="UPY21" s="4"/>
      <c r="UPZ21" s="4"/>
      <c r="UQA21" s="4"/>
      <c r="UQB21" s="4"/>
      <c r="UQC21" s="4"/>
      <c r="UQD21" s="4"/>
      <c r="UQE21" s="4"/>
      <c r="UQF21" s="4"/>
      <c r="UQG21" s="4"/>
      <c r="UQH21" s="4"/>
      <c r="UQI21" s="4"/>
      <c r="UQJ21" s="4"/>
      <c r="UQK21" s="4"/>
      <c r="UQL21" s="4"/>
      <c r="UQM21" s="4"/>
      <c r="UQN21" s="4"/>
      <c r="UQO21" s="4"/>
      <c r="UQP21" s="4"/>
      <c r="UQQ21" s="4"/>
      <c r="UQR21" s="4"/>
      <c r="UQS21" s="4"/>
      <c r="UQT21" s="4"/>
      <c r="UQU21" s="4"/>
      <c r="UQV21" s="4"/>
      <c r="UQW21" s="4"/>
      <c r="UQX21" s="4"/>
      <c r="UQY21" s="4"/>
      <c r="UQZ21" s="4"/>
      <c r="URA21" s="4"/>
      <c r="URB21" s="4"/>
      <c r="URC21" s="4"/>
      <c r="URD21" s="4"/>
      <c r="URE21" s="4"/>
      <c r="URF21" s="4"/>
      <c r="URG21" s="4"/>
      <c r="URH21" s="4"/>
      <c r="URI21" s="4"/>
      <c r="URJ21" s="4"/>
      <c r="URK21" s="4"/>
      <c r="URL21" s="4"/>
      <c r="URM21" s="4"/>
      <c r="URN21" s="4"/>
      <c r="URO21" s="4"/>
      <c r="URP21" s="4"/>
      <c r="URQ21" s="4"/>
      <c r="URR21" s="4"/>
      <c r="URS21" s="4"/>
      <c r="URT21" s="4"/>
      <c r="URU21" s="4"/>
      <c r="URV21" s="4"/>
      <c r="URW21" s="4"/>
      <c r="URX21" s="4"/>
      <c r="URY21" s="4"/>
      <c r="URZ21" s="4"/>
      <c r="USA21" s="4"/>
      <c r="USB21" s="4"/>
      <c r="USC21" s="4"/>
      <c r="USD21" s="4"/>
      <c r="USE21" s="4"/>
      <c r="USF21" s="4"/>
      <c r="USG21" s="4"/>
      <c r="USH21" s="4"/>
      <c r="USI21" s="4"/>
      <c r="USJ21" s="4"/>
      <c r="USK21" s="4"/>
      <c r="USL21" s="4"/>
      <c r="USM21" s="4"/>
      <c r="USN21" s="4"/>
      <c r="USO21" s="4"/>
      <c r="USP21" s="4"/>
      <c r="USQ21" s="4"/>
      <c r="USR21" s="4"/>
      <c r="USS21" s="4"/>
      <c r="UST21" s="4"/>
      <c r="USU21" s="4"/>
      <c r="USV21" s="4"/>
      <c r="USW21" s="4"/>
      <c r="USX21" s="4"/>
      <c r="USY21" s="4"/>
      <c r="USZ21" s="4"/>
      <c r="UTA21" s="4"/>
      <c r="UTB21" s="4"/>
      <c r="UTC21" s="4"/>
      <c r="UTD21" s="4"/>
      <c r="UTE21" s="4"/>
      <c r="UTF21" s="4"/>
      <c r="UTG21" s="4"/>
      <c r="UTH21" s="4"/>
      <c r="UTI21" s="4"/>
      <c r="UTJ21" s="4"/>
      <c r="UTK21" s="4"/>
      <c r="UTL21" s="4"/>
      <c r="UTM21" s="4"/>
      <c r="UTN21" s="4"/>
      <c r="UTO21" s="4"/>
      <c r="UTP21" s="4"/>
      <c r="UTQ21" s="4"/>
      <c r="UTR21" s="4"/>
      <c r="UTS21" s="4"/>
      <c r="UTT21" s="4"/>
      <c r="UTU21" s="4"/>
      <c r="UTV21" s="4"/>
      <c r="UTW21" s="4"/>
      <c r="UTX21" s="4"/>
      <c r="UTY21" s="4"/>
      <c r="UTZ21" s="4"/>
      <c r="UUA21" s="4"/>
      <c r="UUB21" s="4"/>
      <c r="UUC21" s="4"/>
      <c r="UUD21" s="4"/>
      <c r="UUE21" s="4"/>
      <c r="UUF21" s="4"/>
      <c r="UUG21" s="4"/>
      <c r="UUH21" s="4"/>
      <c r="UUI21" s="4"/>
      <c r="UUJ21" s="4"/>
      <c r="UUK21" s="4"/>
      <c r="UUL21" s="4"/>
      <c r="UUM21" s="4"/>
      <c r="UUN21" s="4"/>
      <c r="UUO21" s="4"/>
      <c r="UUP21" s="4"/>
      <c r="UUQ21" s="4"/>
      <c r="UUR21" s="4"/>
      <c r="UUS21" s="4"/>
      <c r="UUT21" s="4"/>
      <c r="UUU21" s="4"/>
      <c r="UUV21" s="4"/>
      <c r="UUW21" s="4"/>
      <c r="UUX21" s="4"/>
      <c r="UUY21" s="4"/>
      <c r="UUZ21" s="4"/>
      <c r="UVA21" s="4"/>
      <c r="UVB21" s="4"/>
      <c r="UVC21" s="4"/>
      <c r="UVD21" s="4"/>
      <c r="UVE21" s="4"/>
      <c r="UVF21" s="4"/>
      <c r="UVG21" s="4"/>
      <c r="UVH21" s="4"/>
      <c r="UVI21" s="4"/>
      <c r="UVJ21" s="4"/>
      <c r="UVK21" s="4"/>
      <c r="UVL21" s="4"/>
      <c r="UVM21" s="4"/>
      <c r="UVN21" s="4"/>
      <c r="UVO21" s="4"/>
      <c r="UVP21" s="4"/>
      <c r="UVQ21" s="4"/>
      <c r="UVR21" s="4"/>
      <c r="UVS21" s="4"/>
      <c r="UVT21" s="4"/>
      <c r="UVU21" s="4"/>
      <c r="UVV21" s="4"/>
      <c r="UVW21" s="4"/>
      <c r="UVX21" s="4"/>
      <c r="UVY21" s="4"/>
      <c r="UVZ21" s="4"/>
      <c r="UWA21" s="4"/>
      <c r="UWB21" s="4"/>
      <c r="UWC21" s="4"/>
      <c r="UWD21" s="4"/>
      <c r="UWE21" s="4"/>
      <c r="UWF21" s="4"/>
      <c r="UWG21" s="4"/>
      <c r="UWH21" s="4"/>
      <c r="UWI21" s="4"/>
      <c r="UWJ21" s="4"/>
      <c r="UWK21" s="4"/>
      <c r="UWL21" s="4"/>
      <c r="UWM21" s="4"/>
      <c r="UWN21" s="4"/>
      <c r="UWO21" s="4"/>
      <c r="UWP21" s="4"/>
      <c r="UWQ21" s="4"/>
      <c r="UWR21" s="4"/>
      <c r="UWS21" s="4"/>
      <c r="UWT21" s="4"/>
      <c r="UWU21" s="4"/>
      <c r="UWV21" s="4"/>
      <c r="UWW21" s="4"/>
      <c r="UWX21" s="4"/>
      <c r="UWY21" s="4"/>
      <c r="UWZ21" s="4"/>
      <c r="UXA21" s="4"/>
      <c r="UXB21" s="4"/>
      <c r="UXC21" s="4"/>
      <c r="UXD21" s="4"/>
      <c r="UXE21" s="4"/>
      <c r="UXF21" s="4"/>
      <c r="UXG21" s="4"/>
      <c r="UXH21" s="4"/>
      <c r="UXI21" s="4"/>
      <c r="UXJ21" s="4"/>
      <c r="UXK21" s="4"/>
      <c r="UXL21" s="4"/>
      <c r="UXM21" s="4"/>
      <c r="UXN21" s="4"/>
      <c r="UXO21" s="4"/>
      <c r="UXP21" s="4"/>
      <c r="UXQ21" s="4"/>
      <c r="UXR21" s="4"/>
      <c r="UXS21" s="4"/>
      <c r="UXT21" s="4"/>
      <c r="UXU21" s="4"/>
      <c r="UXV21" s="4"/>
      <c r="UXW21" s="4"/>
      <c r="UXX21" s="4"/>
      <c r="UXY21" s="4"/>
      <c r="UXZ21" s="4"/>
      <c r="UYA21" s="4"/>
      <c r="UYB21" s="4"/>
      <c r="UYC21" s="4"/>
      <c r="UYD21" s="4"/>
      <c r="UYE21" s="4"/>
      <c r="UYF21" s="4"/>
      <c r="UYG21" s="4"/>
      <c r="UYH21" s="4"/>
      <c r="UYI21" s="4"/>
      <c r="UYJ21" s="4"/>
      <c r="UYK21" s="4"/>
      <c r="UYL21" s="4"/>
      <c r="UYM21" s="4"/>
      <c r="UYN21" s="4"/>
      <c r="UYO21" s="4"/>
      <c r="UYP21" s="4"/>
      <c r="UYQ21" s="4"/>
      <c r="UYR21" s="4"/>
      <c r="UYS21" s="4"/>
      <c r="UYT21" s="4"/>
      <c r="UYU21" s="4"/>
      <c r="UYV21" s="4"/>
      <c r="UYW21" s="4"/>
      <c r="UYX21" s="4"/>
      <c r="UYY21" s="4"/>
      <c r="UYZ21" s="4"/>
      <c r="UZA21" s="4"/>
      <c r="UZB21" s="4"/>
      <c r="UZC21" s="4"/>
      <c r="UZD21" s="4"/>
      <c r="UZE21" s="4"/>
      <c r="UZF21" s="4"/>
      <c r="UZG21" s="4"/>
      <c r="UZH21" s="4"/>
      <c r="UZI21" s="4"/>
      <c r="UZJ21" s="4"/>
      <c r="UZK21" s="4"/>
      <c r="UZL21" s="4"/>
      <c r="UZM21" s="4"/>
      <c r="UZN21" s="4"/>
      <c r="UZO21" s="4"/>
      <c r="UZP21" s="4"/>
      <c r="UZQ21" s="4"/>
      <c r="UZR21" s="4"/>
      <c r="UZS21" s="4"/>
      <c r="UZT21" s="4"/>
      <c r="UZU21" s="4"/>
      <c r="UZV21" s="4"/>
      <c r="UZW21" s="4"/>
      <c r="UZX21" s="4"/>
      <c r="UZY21" s="4"/>
      <c r="UZZ21" s="4"/>
      <c r="VAA21" s="4"/>
      <c r="VAB21" s="4"/>
      <c r="VAC21" s="4"/>
      <c r="VAD21" s="4"/>
      <c r="VAE21" s="4"/>
      <c r="VAF21" s="4"/>
      <c r="VAG21" s="4"/>
      <c r="VAH21" s="4"/>
      <c r="VAI21" s="4"/>
      <c r="VAJ21" s="4"/>
      <c r="VAK21" s="4"/>
      <c r="VAL21" s="4"/>
      <c r="VAM21" s="4"/>
      <c r="VAN21" s="4"/>
      <c r="VAO21" s="4"/>
      <c r="VAP21" s="4"/>
      <c r="VAQ21" s="4"/>
      <c r="VAR21" s="4"/>
      <c r="VAS21" s="4"/>
      <c r="VAT21" s="4"/>
      <c r="VAU21" s="4"/>
      <c r="VAV21" s="4"/>
      <c r="VAW21" s="4"/>
      <c r="VAX21" s="4"/>
      <c r="VAY21" s="4"/>
      <c r="VAZ21" s="4"/>
      <c r="VBA21" s="4"/>
      <c r="VBB21" s="4"/>
      <c r="VBC21" s="4"/>
      <c r="VBD21" s="4"/>
      <c r="VBE21" s="4"/>
      <c r="VBF21" s="4"/>
      <c r="VBG21" s="4"/>
      <c r="VBH21" s="4"/>
      <c r="VBI21" s="4"/>
      <c r="VBJ21" s="4"/>
      <c r="VBK21" s="4"/>
      <c r="VBL21" s="4"/>
      <c r="VBM21" s="4"/>
      <c r="VBN21" s="4"/>
      <c r="VBO21" s="4"/>
      <c r="VBP21" s="4"/>
      <c r="VBQ21" s="4"/>
      <c r="VBR21" s="4"/>
      <c r="VBS21" s="4"/>
      <c r="VBT21" s="4"/>
      <c r="VBU21" s="4"/>
      <c r="VBV21" s="4"/>
      <c r="VBW21" s="4"/>
      <c r="VBX21" s="4"/>
      <c r="VBY21" s="4"/>
      <c r="VBZ21" s="4"/>
      <c r="VCA21" s="4"/>
      <c r="VCB21" s="4"/>
      <c r="VCC21" s="4"/>
      <c r="VCD21" s="4"/>
      <c r="VCE21" s="4"/>
      <c r="VCF21" s="4"/>
      <c r="VCG21" s="4"/>
      <c r="VCH21" s="4"/>
      <c r="VCI21" s="4"/>
      <c r="VCJ21" s="4"/>
      <c r="VCK21" s="4"/>
      <c r="VCL21" s="4"/>
      <c r="VCM21" s="4"/>
      <c r="VCN21" s="4"/>
      <c r="VCO21" s="4"/>
      <c r="VCP21" s="4"/>
      <c r="VCQ21" s="4"/>
      <c r="VCR21" s="4"/>
      <c r="VCS21" s="4"/>
      <c r="VCT21" s="4"/>
      <c r="VCU21" s="4"/>
      <c r="VCV21" s="4"/>
      <c r="VCW21" s="4"/>
      <c r="VCX21" s="4"/>
      <c r="VCY21" s="4"/>
      <c r="VCZ21" s="4"/>
      <c r="VDA21" s="4"/>
      <c r="VDB21" s="4"/>
      <c r="VDC21" s="4"/>
      <c r="VDD21" s="4"/>
      <c r="VDE21" s="4"/>
      <c r="VDF21" s="4"/>
      <c r="VDG21" s="4"/>
      <c r="VDH21" s="4"/>
      <c r="VDI21" s="4"/>
      <c r="VDJ21" s="4"/>
      <c r="VDK21" s="4"/>
      <c r="VDL21" s="4"/>
      <c r="VDM21" s="4"/>
      <c r="VDN21" s="4"/>
      <c r="VDO21" s="4"/>
      <c r="VDP21" s="4"/>
      <c r="VDQ21" s="4"/>
      <c r="VDR21" s="4"/>
      <c r="VDS21" s="4"/>
      <c r="VDT21" s="4"/>
      <c r="VDU21" s="4"/>
      <c r="VDV21" s="4"/>
      <c r="VDW21" s="4"/>
      <c r="VDX21" s="4"/>
      <c r="VDY21" s="4"/>
      <c r="VDZ21" s="4"/>
      <c r="VEA21" s="4"/>
      <c r="VEB21" s="4"/>
      <c r="VEC21" s="4"/>
      <c r="VED21" s="4"/>
      <c r="VEE21" s="4"/>
      <c r="VEF21" s="4"/>
      <c r="VEG21" s="4"/>
      <c r="VEH21" s="4"/>
      <c r="VEI21" s="4"/>
      <c r="VEJ21" s="4"/>
      <c r="VEK21" s="4"/>
      <c r="VEL21" s="4"/>
      <c r="VEM21" s="4"/>
      <c r="VEN21" s="4"/>
      <c r="VEO21" s="4"/>
      <c r="VEP21" s="4"/>
      <c r="VEQ21" s="4"/>
      <c r="VER21" s="4"/>
      <c r="VES21" s="4"/>
      <c r="VET21" s="4"/>
      <c r="VEU21" s="4"/>
      <c r="VEV21" s="4"/>
      <c r="VEW21" s="4"/>
      <c r="VEX21" s="4"/>
      <c r="VEY21" s="4"/>
      <c r="VEZ21" s="4"/>
      <c r="VFA21" s="4"/>
      <c r="VFB21" s="4"/>
      <c r="VFC21" s="4"/>
      <c r="VFD21" s="4"/>
      <c r="VFE21" s="4"/>
      <c r="VFF21" s="4"/>
      <c r="VFG21" s="4"/>
      <c r="VFH21" s="4"/>
      <c r="VFI21" s="4"/>
      <c r="VFJ21" s="4"/>
      <c r="VFK21" s="4"/>
      <c r="VFL21" s="4"/>
      <c r="VFM21" s="4"/>
      <c r="VFN21" s="4"/>
      <c r="VFO21" s="4"/>
      <c r="VFP21" s="4"/>
      <c r="VFQ21" s="4"/>
      <c r="VFR21" s="4"/>
      <c r="VFS21" s="4"/>
      <c r="VFT21" s="4"/>
      <c r="VFU21" s="4"/>
      <c r="VFV21" s="4"/>
      <c r="VFW21" s="4"/>
      <c r="VFX21" s="4"/>
      <c r="VFY21" s="4"/>
      <c r="VFZ21" s="4"/>
      <c r="VGA21" s="4"/>
      <c r="VGB21" s="4"/>
      <c r="VGC21" s="4"/>
      <c r="VGD21" s="4"/>
      <c r="VGE21" s="4"/>
      <c r="VGF21" s="4"/>
      <c r="VGG21" s="4"/>
      <c r="VGH21" s="4"/>
      <c r="VGI21" s="4"/>
      <c r="VGJ21" s="4"/>
      <c r="VGK21" s="4"/>
      <c r="VGL21" s="4"/>
      <c r="VGM21" s="4"/>
      <c r="VGN21" s="4"/>
      <c r="VGO21" s="4"/>
      <c r="VGP21" s="4"/>
      <c r="VGQ21" s="4"/>
      <c r="VGR21" s="4"/>
      <c r="VGS21" s="4"/>
      <c r="VGT21" s="4"/>
      <c r="VGU21" s="4"/>
      <c r="VGV21" s="4"/>
      <c r="VGW21" s="4"/>
      <c r="VGX21" s="4"/>
      <c r="VGY21" s="4"/>
      <c r="VGZ21" s="4"/>
      <c r="VHA21" s="4"/>
      <c r="VHB21" s="4"/>
      <c r="VHC21" s="4"/>
      <c r="VHD21" s="4"/>
      <c r="VHE21" s="4"/>
      <c r="VHF21" s="4"/>
      <c r="VHG21" s="4"/>
      <c r="VHH21" s="4"/>
      <c r="VHI21" s="4"/>
      <c r="VHJ21" s="4"/>
      <c r="VHK21" s="4"/>
      <c r="VHL21" s="4"/>
      <c r="VHM21" s="4"/>
      <c r="VHN21" s="4"/>
      <c r="VHO21" s="4"/>
      <c r="VHP21" s="4"/>
      <c r="VHQ21" s="4"/>
      <c r="VHR21" s="4"/>
      <c r="VHS21" s="4"/>
      <c r="VHT21" s="4"/>
      <c r="VHU21" s="4"/>
      <c r="VHV21" s="4"/>
      <c r="VHW21" s="4"/>
      <c r="VHX21" s="4"/>
      <c r="VHY21" s="4"/>
      <c r="VHZ21" s="4"/>
      <c r="VIA21" s="4"/>
      <c r="VIB21" s="4"/>
      <c r="VIC21" s="4"/>
      <c r="VID21" s="4"/>
      <c r="VIE21" s="4"/>
      <c r="VIF21" s="4"/>
      <c r="VIG21" s="4"/>
      <c r="VIH21" s="4"/>
      <c r="VII21" s="4"/>
      <c r="VIJ21" s="4"/>
      <c r="VIK21" s="4"/>
      <c r="VIL21" s="4"/>
      <c r="VIM21" s="4"/>
      <c r="VIN21" s="4"/>
      <c r="VIO21" s="4"/>
      <c r="VIP21" s="4"/>
      <c r="VIQ21" s="4"/>
      <c r="VIR21" s="4"/>
      <c r="VIS21" s="4"/>
      <c r="VIT21" s="4"/>
      <c r="VIU21" s="4"/>
      <c r="VIV21" s="4"/>
      <c r="VIW21" s="4"/>
      <c r="VIX21" s="4"/>
      <c r="VIY21" s="4"/>
      <c r="VIZ21" s="4"/>
      <c r="VJA21" s="4"/>
      <c r="VJB21" s="4"/>
      <c r="VJC21" s="4"/>
      <c r="VJD21" s="4"/>
      <c r="VJE21" s="4"/>
      <c r="VJF21" s="4"/>
      <c r="VJG21" s="4"/>
      <c r="VJH21" s="4"/>
      <c r="VJI21" s="4"/>
      <c r="VJJ21" s="4"/>
      <c r="VJK21" s="4"/>
      <c r="VJL21" s="4"/>
      <c r="VJM21" s="4"/>
      <c r="VJN21" s="4"/>
      <c r="VJO21" s="4"/>
      <c r="VJP21" s="4"/>
      <c r="VJQ21" s="4"/>
      <c r="VJR21" s="4"/>
      <c r="VJS21" s="4"/>
      <c r="VJT21" s="4"/>
      <c r="VJU21" s="4"/>
      <c r="VJV21" s="4"/>
      <c r="VJW21" s="4"/>
      <c r="VJX21" s="4"/>
      <c r="VJY21" s="4"/>
      <c r="VJZ21" s="4"/>
      <c r="VKA21" s="4"/>
      <c r="VKB21" s="4"/>
      <c r="VKC21" s="4"/>
      <c r="VKD21" s="4"/>
      <c r="VKE21" s="4"/>
      <c r="VKF21" s="4"/>
      <c r="VKG21" s="4"/>
      <c r="VKH21" s="4"/>
      <c r="VKI21" s="4"/>
      <c r="VKJ21" s="4"/>
      <c r="VKK21" s="4"/>
      <c r="VKL21" s="4"/>
      <c r="VKM21" s="4"/>
      <c r="VKN21" s="4"/>
      <c r="VKO21" s="4"/>
      <c r="VKP21" s="4"/>
      <c r="VKQ21" s="4"/>
      <c r="VKR21" s="4"/>
      <c r="VKS21" s="4"/>
      <c r="VKT21" s="4"/>
      <c r="VKU21" s="4"/>
      <c r="VKV21" s="4"/>
      <c r="VKW21" s="4"/>
      <c r="VKX21" s="4"/>
      <c r="VKY21" s="4"/>
      <c r="VKZ21" s="4"/>
      <c r="VLA21" s="4"/>
      <c r="VLB21" s="4"/>
      <c r="VLC21" s="4"/>
      <c r="VLD21" s="4"/>
      <c r="VLE21" s="4"/>
      <c r="VLF21" s="4"/>
      <c r="VLG21" s="4"/>
      <c r="VLH21" s="4"/>
      <c r="VLI21" s="4"/>
      <c r="VLJ21" s="4"/>
      <c r="VLK21" s="4"/>
      <c r="VLL21" s="4"/>
      <c r="VLM21" s="4"/>
      <c r="VLN21" s="4"/>
      <c r="VLO21" s="4"/>
      <c r="VLP21" s="4"/>
      <c r="VLQ21" s="4"/>
      <c r="VLR21" s="4"/>
      <c r="VLS21" s="4"/>
      <c r="VLT21" s="4"/>
      <c r="VLU21" s="4"/>
      <c r="VLV21" s="4"/>
      <c r="VLW21" s="4"/>
      <c r="VLX21" s="4"/>
      <c r="VLY21" s="4"/>
      <c r="VLZ21" s="4"/>
      <c r="VMA21" s="4"/>
      <c r="VMB21" s="4"/>
      <c r="VMC21" s="4"/>
      <c r="VMD21" s="4"/>
      <c r="VME21" s="4"/>
      <c r="VMF21" s="4"/>
      <c r="VMG21" s="4"/>
      <c r="VMH21" s="4"/>
      <c r="VMI21" s="4"/>
      <c r="VMJ21" s="4"/>
      <c r="VMK21" s="4"/>
      <c r="VML21" s="4"/>
      <c r="VMM21" s="4"/>
      <c r="VMN21" s="4"/>
      <c r="VMO21" s="4"/>
      <c r="VMP21" s="4"/>
      <c r="VMQ21" s="4"/>
      <c r="VMR21" s="4"/>
      <c r="VMS21" s="4"/>
      <c r="VMT21" s="4"/>
      <c r="VMU21" s="4"/>
      <c r="VMV21" s="4"/>
      <c r="VMW21" s="4"/>
      <c r="VMX21" s="4"/>
      <c r="VMY21" s="4"/>
      <c r="VMZ21" s="4"/>
      <c r="VNA21" s="4"/>
      <c r="VNB21" s="4"/>
      <c r="VNC21" s="4"/>
      <c r="VND21" s="4"/>
      <c r="VNE21" s="4"/>
      <c r="VNF21" s="4"/>
      <c r="VNG21" s="4"/>
      <c r="VNH21" s="4"/>
      <c r="VNI21" s="4"/>
      <c r="VNJ21" s="4"/>
      <c r="VNK21" s="4"/>
      <c r="VNL21" s="4"/>
      <c r="VNM21" s="4"/>
      <c r="VNN21" s="4"/>
      <c r="VNO21" s="4"/>
      <c r="VNP21" s="4"/>
      <c r="VNQ21" s="4"/>
      <c r="VNR21" s="4"/>
      <c r="VNS21" s="4"/>
      <c r="VNT21" s="4"/>
      <c r="VNU21" s="4"/>
      <c r="VNV21" s="4"/>
      <c r="VNW21" s="4"/>
      <c r="VNX21" s="4"/>
      <c r="VNY21" s="4"/>
      <c r="VNZ21" s="4"/>
      <c r="VOA21" s="4"/>
      <c r="VOB21" s="4"/>
      <c r="VOC21" s="4"/>
      <c r="VOD21" s="4"/>
      <c r="VOE21" s="4"/>
      <c r="VOF21" s="4"/>
      <c r="VOG21" s="4"/>
      <c r="VOH21" s="4"/>
      <c r="VOI21" s="4"/>
      <c r="VOJ21" s="4"/>
      <c r="VOK21" s="4"/>
      <c r="VOL21" s="4"/>
      <c r="VOM21" s="4"/>
      <c r="VON21" s="4"/>
      <c r="VOO21" s="4"/>
      <c r="VOP21" s="4"/>
      <c r="VOQ21" s="4"/>
      <c r="VOR21" s="4"/>
      <c r="VOS21" s="4"/>
      <c r="VOT21" s="4"/>
      <c r="VOU21" s="4"/>
      <c r="VOV21" s="4"/>
      <c r="VOW21" s="4"/>
      <c r="VOX21" s="4"/>
      <c r="VOY21" s="4"/>
      <c r="VOZ21" s="4"/>
      <c r="VPA21" s="4"/>
      <c r="VPB21" s="4"/>
      <c r="VPC21" s="4"/>
      <c r="VPD21" s="4"/>
      <c r="VPE21" s="4"/>
      <c r="VPF21" s="4"/>
      <c r="VPG21" s="4"/>
      <c r="VPH21" s="4"/>
      <c r="VPI21" s="4"/>
      <c r="VPJ21" s="4"/>
      <c r="VPK21" s="4"/>
      <c r="VPL21" s="4"/>
      <c r="VPM21" s="4"/>
      <c r="VPN21" s="4"/>
      <c r="VPO21" s="4"/>
      <c r="VPP21" s="4"/>
      <c r="VPQ21" s="4"/>
      <c r="VPR21" s="4"/>
      <c r="VPS21" s="4"/>
      <c r="VPT21" s="4"/>
      <c r="VPU21" s="4"/>
      <c r="VPV21" s="4"/>
      <c r="VPW21" s="4"/>
      <c r="VPX21" s="4"/>
      <c r="VPY21" s="4"/>
      <c r="VPZ21" s="4"/>
      <c r="VQA21" s="4"/>
      <c r="VQB21" s="4"/>
      <c r="VQC21" s="4"/>
      <c r="VQD21" s="4"/>
      <c r="VQE21" s="4"/>
      <c r="VQF21" s="4"/>
      <c r="VQG21" s="4"/>
      <c r="VQH21" s="4"/>
      <c r="VQI21" s="4"/>
      <c r="VQJ21" s="4"/>
      <c r="VQK21" s="4"/>
      <c r="VQL21" s="4"/>
      <c r="VQM21" s="4"/>
      <c r="VQN21" s="4"/>
      <c r="VQO21" s="4"/>
      <c r="VQP21" s="4"/>
      <c r="VQQ21" s="4"/>
      <c r="VQR21" s="4"/>
      <c r="VQS21" s="4"/>
      <c r="VQT21" s="4"/>
      <c r="VQU21" s="4"/>
      <c r="VQV21" s="4"/>
      <c r="VQW21" s="4"/>
      <c r="VQX21" s="4"/>
      <c r="VQY21" s="4"/>
      <c r="VQZ21" s="4"/>
      <c r="VRA21" s="4"/>
      <c r="VRB21" s="4"/>
      <c r="VRC21" s="4"/>
      <c r="VRD21" s="4"/>
      <c r="VRE21" s="4"/>
      <c r="VRF21" s="4"/>
      <c r="VRG21" s="4"/>
      <c r="VRH21" s="4"/>
      <c r="VRI21" s="4"/>
      <c r="VRJ21" s="4"/>
      <c r="VRK21" s="4"/>
      <c r="VRL21" s="4"/>
      <c r="VRM21" s="4"/>
      <c r="VRN21" s="4"/>
      <c r="VRO21" s="4"/>
      <c r="VRP21" s="4"/>
      <c r="VRQ21" s="4"/>
      <c r="VRR21" s="4"/>
      <c r="VRS21" s="4"/>
      <c r="VRT21" s="4"/>
      <c r="VRU21" s="4"/>
      <c r="VRV21" s="4"/>
      <c r="VRW21" s="4"/>
      <c r="VRX21" s="4"/>
      <c r="VRY21" s="4"/>
      <c r="VRZ21" s="4"/>
      <c r="VSA21" s="4"/>
      <c r="VSB21" s="4"/>
      <c r="VSC21" s="4"/>
      <c r="VSD21" s="4"/>
      <c r="VSE21" s="4"/>
      <c r="VSF21" s="4"/>
      <c r="VSG21" s="4"/>
      <c r="VSH21" s="4"/>
      <c r="VSI21" s="4"/>
      <c r="VSJ21" s="4"/>
      <c r="VSK21" s="4"/>
      <c r="VSL21" s="4"/>
      <c r="VSM21" s="4"/>
      <c r="VSN21" s="4"/>
      <c r="VSO21" s="4"/>
      <c r="VSP21" s="4"/>
      <c r="VSQ21" s="4"/>
      <c r="VSR21" s="4"/>
      <c r="VSS21" s="4"/>
      <c r="VST21" s="4"/>
      <c r="VSU21" s="4"/>
      <c r="VSV21" s="4"/>
      <c r="VSW21" s="4"/>
      <c r="VSX21" s="4"/>
      <c r="VSY21" s="4"/>
      <c r="VSZ21" s="4"/>
      <c r="VTA21" s="4"/>
      <c r="VTB21" s="4"/>
      <c r="VTC21" s="4"/>
      <c r="VTD21" s="4"/>
      <c r="VTE21" s="4"/>
      <c r="VTF21" s="4"/>
      <c r="VTG21" s="4"/>
      <c r="VTH21" s="4"/>
      <c r="VTI21" s="4"/>
      <c r="VTJ21" s="4"/>
      <c r="VTK21" s="4"/>
      <c r="VTL21" s="4"/>
      <c r="VTM21" s="4"/>
      <c r="VTN21" s="4"/>
      <c r="VTO21" s="4"/>
      <c r="VTP21" s="4"/>
      <c r="VTQ21" s="4"/>
      <c r="VTR21" s="4"/>
      <c r="VTS21" s="4"/>
      <c r="VTT21" s="4"/>
      <c r="VTU21" s="4"/>
      <c r="VTV21" s="4"/>
      <c r="VTW21" s="4"/>
      <c r="VTX21" s="4"/>
      <c r="VTY21" s="4"/>
      <c r="VTZ21" s="4"/>
      <c r="VUA21" s="4"/>
      <c r="VUB21" s="4"/>
      <c r="VUC21" s="4"/>
      <c r="VUD21" s="4"/>
      <c r="VUE21" s="4"/>
      <c r="VUF21" s="4"/>
      <c r="VUG21" s="4"/>
      <c r="VUH21" s="4"/>
      <c r="VUI21" s="4"/>
      <c r="VUJ21" s="4"/>
      <c r="VUK21" s="4"/>
      <c r="VUL21" s="4"/>
      <c r="VUM21" s="4"/>
      <c r="VUN21" s="4"/>
      <c r="VUO21" s="4"/>
      <c r="VUP21" s="4"/>
      <c r="VUQ21" s="4"/>
      <c r="VUR21" s="4"/>
      <c r="VUS21" s="4"/>
      <c r="VUT21" s="4"/>
      <c r="VUU21" s="4"/>
      <c r="VUV21" s="4"/>
      <c r="VUW21" s="4"/>
      <c r="VUX21" s="4"/>
      <c r="VUY21" s="4"/>
      <c r="VUZ21" s="4"/>
      <c r="VVA21" s="4"/>
      <c r="VVB21" s="4"/>
      <c r="VVC21" s="4"/>
      <c r="VVD21" s="4"/>
      <c r="VVE21" s="4"/>
      <c r="VVF21" s="4"/>
      <c r="VVG21" s="4"/>
      <c r="VVH21" s="4"/>
      <c r="VVI21" s="4"/>
      <c r="VVJ21" s="4"/>
      <c r="VVK21" s="4"/>
      <c r="VVL21" s="4"/>
      <c r="VVM21" s="4"/>
      <c r="VVN21" s="4"/>
      <c r="VVO21" s="4"/>
      <c r="VVP21" s="4"/>
      <c r="VVQ21" s="4"/>
      <c r="VVR21" s="4"/>
      <c r="VVS21" s="4"/>
      <c r="VVT21" s="4"/>
      <c r="VVU21" s="4"/>
      <c r="VVV21" s="4"/>
      <c r="VVW21" s="4"/>
      <c r="VVX21" s="4"/>
      <c r="VVY21" s="4"/>
      <c r="VVZ21" s="4"/>
      <c r="VWA21" s="4"/>
      <c r="VWB21" s="4"/>
      <c r="VWC21" s="4"/>
      <c r="VWD21" s="4"/>
      <c r="VWE21" s="4"/>
      <c r="VWF21" s="4"/>
      <c r="VWG21" s="4"/>
      <c r="VWH21" s="4"/>
      <c r="VWI21" s="4"/>
      <c r="VWJ21" s="4"/>
      <c r="VWK21" s="4"/>
      <c r="VWL21" s="4"/>
      <c r="VWM21" s="4"/>
      <c r="VWN21" s="4"/>
      <c r="VWO21" s="4"/>
      <c r="VWP21" s="4"/>
      <c r="VWQ21" s="4"/>
      <c r="VWR21" s="4"/>
      <c r="VWS21" s="4"/>
      <c r="VWT21" s="4"/>
      <c r="VWU21" s="4"/>
      <c r="VWV21" s="4"/>
      <c r="VWW21" s="4"/>
      <c r="VWX21" s="4"/>
      <c r="VWY21" s="4"/>
      <c r="VWZ21" s="4"/>
      <c r="VXA21" s="4"/>
      <c r="VXB21" s="4"/>
      <c r="VXC21" s="4"/>
      <c r="VXD21" s="4"/>
      <c r="VXE21" s="4"/>
      <c r="VXF21" s="4"/>
      <c r="VXG21" s="4"/>
      <c r="VXH21" s="4"/>
      <c r="VXI21" s="4"/>
      <c r="VXJ21" s="4"/>
      <c r="VXK21" s="4"/>
      <c r="VXL21" s="4"/>
      <c r="VXM21" s="4"/>
      <c r="VXN21" s="4"/>
      <c r="VXO21" s="4"/>
      <c r="VXP21" s="4"/>
      <c r="VXQ21" s="4"/>
      <c r="VXR21" s="4"/>
      <c r="VXS21" s="4"/>
      <c r="VXT21" s="4"/>
      <c r="VXU21" s="4"/>
      <c r="VXV21" s="4"/>
      <c r="VXW21" s="4"/>
      <c r="VXX21" s="4"/>
      <c r="VXY21" s="4"/>
      <c r="VXZ21" s="4"/>
      <c r="VYA21" s="4"/>
      <c r="VYB21" s="4"/>
      <c r="VYC21" s="4"/>
      <c r="VYD21" s="4"/>
      <c r="VYE21" s="4"/>
      <c r="VYF21" s="4"/>
      <c r="VYG21" s="4"/>
      <c r="VYH21" s="4"/>
      <c r="VYI21" s="4"/>
      <c r="VYJ21" s="4"/>
      <c r="VYK21" s="4"/>
      <c r="VYL21" s="4"/>
      <c r="VYM21" s="4"/>
      <c r="VYN21" s="4"/>
      <c r="VYO21" s="4"/>
      <c r="VYP21" s="4"/>
      <c r="VYQ21" s="4"/>
      <c r="VYR21" s="4"/>
      <c r="VYS21" s="4"/>
      <c r="VYT21" s="4"/>
      <c r="VYU21" s="4"/>
      <c r="VYV21" s="4"/>
      <c r="VYW21" s="4"/>
      <c r="VYX21" s="4"/>
      <c r="VYY21" s="4"/>
      <c r="VYZ21" s="4"/>
      <c r="VZA21" s="4"/>
      <c r="VZB21" s="4"/>
      <c r="VZC21" s="4"/>
      <c r="VZD21" s="4"/>
      <c r="VZE21" s="4"/>
      <c r="VZF21" s="4"/>
      <c r="VZG21" s="4"/>
      <c r="VZH21" s="4"/>
      <c r="VZI21" s="4"/>
      <c r="VZJ21" s="4"/>
      <c r="VZK21" s="4"/>
      <c r="VZL21" s="4"/>
      <c r="VZM21" s="4"/>
      <c r="VZN21" s="4"/>
      <c r="VZO21" s="4"/>
      <c r="VZP21" s="4"/>
      <c r="VZQ21" s="4"/>
      <c r="VZR21" s="4"/>
      <c r="VZS21" s="4"/>
      <c r="VZT21" s="4"/>
      <c r="VZU21" s="4"/>
      <c r="VZV21" s="4"/>
      <c r="VZW21" s="4"/>
      <c r="VZX21" s="4"/>
      <c r="VZY21" s="4"/>
      <c r="VZZ21" s="4"/>
      <c r="WAA21" s="4"/>
      <c r="WAB21" s="4"/>
      <c r="WAC21" s="4"/>
      <c r="WAD21" s="4"/>
      <c r="WAE21" s="4"/>
      <c r="WAF21" s="4"/>
      <c r="WAG21" s="4"/>
      <c r="WAH21" s="4"/>
      <c r="WAI21" s="4"/>
      <c r="WAJ21" s="4"/>
      <c r="WAK21" s="4"/>
      <c r="WAL21" s="4"/>
      <c r="WAM21" s="4"/>
      <c r="WAN21" s="4"/>
      <c r="WAO21" s="4"/>
      <c r="WAP21" s="4"/>
      <c r="WAQ21" s="4"/>
      <c r="WAR21" s="4"/>
      <c r="WAS21" s="4"/>
      <c r="WAT21" s="4"/>
      <c r="WAU21" s="4"/>
      <c r="WAV21" s="4"/>
      <c r="WAW21" s="4"/>
      <c r="WAX21" s="4"/>
      <c r="WAY21" s="4"/>
      <c r="WAZ21" s="4"/>
      <c r="WBA21" s="4"/>
      <c r="WBB21" s="4"/>
      <c r="WBC21" s="4"/>
      <c r="WBD21" s="4"/>
      <c r="WBE21" s="4"/>
      <c r="WBF21" s="4"/>
      <c r="WBG21" s="4"/>
      <c r="WBH21" s="4"/>
      <c r="WBI21" s="4"/>
      <c r="WBJ21" s="4"/>
      <c r="WBK21" s="4"/>
      <c r="WBL21" s="4"/>
      <c r="WBM21" s="4"/>
      <c r="WBN21" s="4"/>
      <c r="WBO21" s="4"/>
      <c r="WBP21" s="4"/>
      <c r="WBQ21" s="4"/>
      <c r="WBR21" s="4"/>
      <c r="WBS21" s="4"/>
      <c r="WBT21" s="4"/>
      <c r="WBU21" s="4"/>
      <c r="WBV21" s="4"/>
      <c r="WBW21" s="4"/>
      <c r="WBX21" s="4"/>
      <c r="WBY21" s="4"/>
      <c r="WBZ21" s="4"/>
      <c r="WCA21" s="4"/>
      <c r="WCB21" s="4"/>
      <c r="WCC21" s="4"/>
      <c r="WCD21" s="4"/>
      <c r="WCE21" s="4"/>
      <c r="WCF21" s="4"/>
      <c r="WCG21" s="4"/>
      <c r="WCH21" s="4"/>
      <c r="WCI21" s="4"/>
      <c r="WCJ21" s="4"/>
      <c r="WCK21" s="4"/>
      <c r="WCL21" s="4"/>
      <c r="WCM21" s="4"/>
      <c r="WCN21" s="4"/>
      <c r="WCO21" s="4"/>
      <c r="WCP21" s="4"/>
      <c r="WCQ21" s="4"/>
      <c r="WCR21" s="4"/>
      <c r="WCS21" s="4"/>
      <c r="WCT21" s="4"/>
      <c r="WCU21" s="4"/>
      <c r="WCV21" s="4"/>
      <c r="WCW21" s="4"/>
      <c r="WCX21" s="4"/>
      <c r="WCY21" s="4"/>
      <c r="WCZ21" s="4"/>
      <c r="WDA21" s="4"/>
      <c r="WDB21" s="4"/>
      <c r="WDC21" s="4"/>
      <c r="WDD21" s="4"/>
      <c r="WDE21" s="4"/>
      <c r="WDF21" s="4"/>
      <c r="WDG21" s="4"/>
      <c r="WDH21" s="4"/>
      <c r="WDI21" s="4"/>
      <c r="WDJ21" s="4"/>
      <c r="WDK21" s="4"/>
      <c r="WDL21" s="4"/>
      <c r="WDM21" s="4"/>
      <c r="WDN21" s="4"/>
      <c r="WDO21" s="4"/>
      <c r="WDP21" s="4"/>
      <c r="WDQ21" s="4"/>
      <c r="WDR21" s="4"/>
      <c r="WDS21" s="4"/>
      <c r="WDT21" s="4"/>
      <c r="WDU21" s="4"/>
      <c r="WDV21" s="4"/>
      <c r="WDW21" s="4"/>
      <c r="WDX21" s="4"/>
      <c r="WDY21" s="4"/>
      <c r="WDZ21" s="4"/>
      <c r="WEA21" s="4"/>
      <c r="WEB21" s="4"/>
      <c r="WEC21" s="4"/>
      <c r="WED21" s="4"/>
      <c r="WEE21" s="4"/>
      <c r="WEF21" s="4"/>
      <c r="WEG21" s="4"/>
      <c r="WEH21" s="4"/>
      <c r="WEI21" s="4"/>
      <c r="WEJ21" s="4"/>
      <c r="WEK21" s="4"/>
      <c r="WEL21" s="4"/>
      <c r="WEM21" s="4"/>
      <c r="WEN21" s="4"/>
      <c r="WEO21" s="4"/>
      <c r="WEP21" s="4"/>
      <c r="WEQ21" s="4"/>
      <c r="WER21" s="4"/>
      <c r="WES21" s="4"/>
      <c r="WET21" s="4"/>
      <c r="WEU21" s="4"/>
      <c r="WEV21" s="4"/>
      <c r="WEW21" s="4"/>
      <c r="WEX21" s="4"/>
      <c r="WEY21" s="4"/>
      <c r="WEZ21" s="4"/>
      <c r="WFA21" s="4"/>
      <c r="WFB21" s="4"/>
      <c r="WFC21" s="4"/>
      <c r="WFD21" s="4"/>
      <c r="WFE21" s="4"/>
      <c r="WFF21" s="4"/>
      <c r="WFG21" s="4"/>
      <c r="WFH21" s="4"/>
      <c r="WFI21" s="4"/>
      <c r="WFJ21" s="4"/>
      <c r="WFK21" s="4"/>
      <c r="WFL21" s="4"/>
      <c r="WFM21" s="4"/>
      <c r="WFN21" s="4"/>
      <c r="WFO21" s="4"/>
      <c r="WFP21" s="4"/>
      <c r="WFQ21" s="4"/>
      <c r="WFR21" s="4"/>
      <c r="WFS21" s="4"/>
      <c r="WFT21" s="4"/>
      <c r="WFU21" s="4"/>
      <c r="WFV21" s="4"/>
      <c r="WFW21" s="4"/>
      <c r="WFX21" s="4"/>
      <c r="WFY21" s="4"/>
      <c r="WFZ21" s="4"/>
      <c r="WGA21" s="4"/>
      <c r="WGB21" s="4"/>
      <c r="WGC21" s="4"/>
      <c r="WGD21" s="4"/>
      <c r="WGE21" s="4"/>
      <c r="WGF21" s="4"/>
      <c r="WGG21" s="4"/>
      <c r="WGH21" s="4"/>
      <c r="WGI21" s="4"/>
      <c r="WGJ21" s="4"/>
      <c r="WGK21" s="4"/>
      <c r="WGL21" s="4"/>
      <c r="WGM21" s="4"/>
      <c r="WGN21" s="4"/>
      <c r="WGO21" s="4"/>
      <c r="WGP21" s="4"/>
      <c r="WGQ21" s="4"/>
      <c r="WGR21" s="4"/>
      <c r="WGS21" s="4"/>
      <c r="WGT21" s="4"/>
      <c r="WGU21" s="4"/>
      <c r="WGV21" s="4"/>
      <c r="WGW21" s="4"/>
      <c r="WGX21" s="4"/>
      <c r="WGY21" s="4"/>
      <c r="WGZ21" s="4"/>
      <c r="WHA21" s="4"/>
      <c r="WHB21" s="4"/>
      <c r="WHC21" s="4"/>
      <c r="WHD21" s="4"/>
      <c r="WHE21" s="4"/>
      <c r="WHF21" s="4"/>
      <c r="WHG21" s="4"/>
      <c r="WHH21" s="4"/>
      <c r="WHI21" s="4"/>
      <c r="WHJ21" s="4"/>
      <c r="WHK21" s="4"/>
      <c r="WHL21" s="4"/>
      <c r="WHM21" s="4"/>
      <c r="WHN21" s="4"/>
      <c r="WHO21" s="4"/>
      <c r="WHP21" s="4"/>
      <c r="WHQ21" s="4"/>
      <c r="WHR21" s="4"/>
      <c r="WHS21" s="4"/>
      <c r="WHT21" s="4"/>
      <c r="WHU21" s="4"/>
      <c r="WHV21" s="4"/>
      <c r="WHW21" s="4"/>
      <c r="WHX21" s="4"/>
      <c r="WHY21" s="4"/>
      <c r="WHZ21" s="4"/>
      <c r="WIA21" s="4"/>
      <c r="WIB21" s="4"/>
      <c r="WIC21" s="4"/>
      <c r="WID21" s="4"/>
      <c r="WIE21" s="4"/>
      <c r="WIF21" s="4"/>
      <c r="WIG21" s="4"/>
      <c r="WIH21" s="4"/>
      <c r="WII21" s="4"/>
      <c r="WIJ21" s="4"/>
      <c r="WIK21" s="4"/>
      <c r="WIL21" s="4"/>
      <c r="WIM21" s="4"/>
      <c r="WIN21" s="4"/>
      <c r="WIO21" s="4"/>
      <c r="WIP21" s="4"/>
      <c r="WIQ21" s="4"/>
      <c r="WIR21" s="4"/>
      <c r="WIS21" s="4"/>
      <c r="WIT21" s="4"/>
      <c r="WIU21" s="4"/>
      <c r="WIV21" s="4"/>
      <c r="WIW21" s="4"/>
      <c r="WIX21" s="4"/>
      <c r="WIY21" s="4"/>
      <c r="WIZ21" s="4"/>
      <c r="WJA21" s="4"/>
      <c r="WJB21" s="4"/>
      <c r="WJC21" s="4"/>
      <c r="WJD21" s="4"/>
      <c r="WJE21" s="4"/>
      <c r="WJF21" s="4"/>
      <c r="WJG21" s="4"/>
      <c r="WJH21" s="4"/>
      <c r="WJI21" s="4"/>
      <c r="WJJ21" s="4"/>
      <c r="WJK21" s="4"/>
      <c r="WJL21" s="4"/>
      <c r="WJM21" s="4"/>
      <c r="WJN21" s="4"/>
      <c r="WJO21" s="4"/>
      <c r="WJP21" s="4"/>
      <c r="WJQ21" s="4"/>
      <c r="WJR21" s="4"/>
      <c r="WJS21" s="4"/>
      <c r="WJT21" s="4"/>
      <c r="WJU21" s="4"/>
      <c r="WJV21" s="4"/>
      <c r="WJW21" s="4"/>
      <c r="WJX21" s="4"/>
      <c r="WJY21" s="4"/>
      <c r="WJZ21" s="4"/>
      <c r="WKA21" s="4"/>
      <c r="WKB21" s="4"/>
      <c r="WKC21" s="4"/>
      <c r="WKD21" s="4"/>
      <c r="WKE21" s="4"/>
      <c r="WKF21" s="4"/>
      <c r="WKG21" s="4"/>
      <c r="WKH21" s="4"/>
      <c r="WKI21" s="4"/>
      <c r="WKJ21" s="4"/>
      <c r="WKK21" s="4"/>
      <c r="WKL21" s="4"/>
      <c r="WKM21" s="4"/>
      <c r="WKN21" s="4"/>
      <c r="WKO21" s="4"/>
      <c r="WKP21" s="4"/>
      <c r="WKQ21" s="4"/>
      <c r="WKR21" s="4"/>
      <c r="WKS21" s="4"/>
      <c r="WKT21" s="4"/>
      <c r="WKU21" s="4"/>
      <c r="WKV21" s="4"/>
      <c r="WKW21" s="4"/>
      <c r="WKX21" s="4"/>
      <c r="WKY21" s="4"/>
      <c r="WKZ21" s="4"/>
      <c r="WLA21" s="4"/>
      <c r="WLB21" s="4"/>
      <c r="WLC21" s="4"/>
      <c r="WLD21" s="4"/>
      <c r="WLE21" s="4"/>
      <c r="WLF21" s="4"/>
      <c r="WLG21" s="4"/>
      <c r="WLH21" s="4"/>
      <c r="WLI21" s="4"/>
      <c r="WLJ21" s="4"/>
      <c r="WLK21" s="4"/>
      <c r="WLL21" s="4"/>
      <c r="WLM21" s="4"/>
      <c r="WLN21" s="4"/>
      <c r="WLO21" s="4"/>
      <c r="WLP21" s="4"/>
      <c r="WLQ21" s="4"/>
      <c r="WLR21" s="4"/>
      <c r="WLS21" s="4"/>
      <c r="WLT21" s="4"/>
      <c r="WLU21" s="4"/>
      <c r="WLV21" s="4"/>
      <c r="WLW21" s="4"/>
      <c r="WLX21" s="4"/>
      <c r="WLY21" s="4"/>
      <c r="WLZ21" s="4"/>
      <c r="WMA21" s="4"/>
      <c r="WMB21" s="4"/>
      <c r="WMC21" s="4"/>
      <c r="WMD21" s="4"/>
      <c r="WME21" s="4"/>
      <c r="WMF21" s="4"/>
      <c r="WMG21" s="4"/>
      <c r="WMH21" s="4"/>
      <c r="WMI21" s="4"/>
      <c r="WMJ21" s="4"/>
      <c r="WMK21" s="4"/>
      <c r="WML21" s="4"/>
      <c r="WMM21" s="4"/>
      <c r="WMN21" s="4"/>
      <c r="WMO21" s="4"/>
      <c r="WMP21" s="4"/>
      <c r="WMQ21" s="4"/>
      <c r="WMR21" s="4"/>
      <c r="WMS21" s="4"/>
      <c r="WMT21" s="4"/>
      <c r="WMU21" s="4"/>
      <c r="WMV21" s="4"/>
      <c r="WMW21" s="4"/>
      <c r="WMX21" s="4"/>
      <c r="WMY21" s="4"/>
      <c r="WMZ21" s="4"/>
      <c r="WNA21" s="4"/>
      <c r="WNB21" s="4"/>
      <c r="WNC21" s="4"/>
      <c r="WND21" s="4"/>
      <c r="WNE21" s="4"/>
      <c r="WNF21" s="4"/>
      <c r="WNG21" s="4"/>
      <c r="WNH21" s="4"/>
      <c r="WNI21" s="4"/>
      <c r="WNJ21" s="4"/>
      <c r="WNK21" s="4"/>
      <c r="WNL21" s="4"/>
      <c r="WNM21" s="4"/>
      <c r="WNN21" s="4"/>
      <c r="WNO21" s="4"/>
      <c r="WNP21" s="4"/>
      <c r="WNQ21" s="4"/>
      <c r="WNR21" s="4"/>
      <c r="WNS21" s="4"/>
      <c r="WNT21" s="4"/>
      <c r="WNU21" s="4"/>
      <c r="WNV21" s="4"/>
      <c r="WNW21" s="4"/>
      <c r="WNX21" s="4"/>
      <c r="WNY21" s="4"/>
      <c r="WNZ21" s="4"/>
      <c r="WOA21" s="4"/>
      <c r="WOB21" s="4"/>
      <c r="WOC21" s="4"/>
      <c r="WOD21" s="4"/>
      <c r="WOE21" s="4"/>
      <c r="WOF21" s="4"/>
      <c r="WOG21" s="4"/>
      <c r="WOH21" s="4"/>
      <c r="WOI21" s="4"/>
      <c r="WOJ21" s="4"/>
      <c r="WOK21" s="4"/>
      <c r="WOL21" s="4"/>
      <c r="WOM21" s="4"/>
      <c r="WON21" s="4"/>
      <c r="WOO21" s="4"/>
      <c r="WOP21" s="4"/>
      <c r="WOQ21" s="4"/>
      <c r="WOR21" s="4"/>
      <c r="WOS21" s="4"/>
      <c r="WOT21" s="4"/>
      <c r="WOU21" s="4"/>
      <c r="WOV21" s="4"/>
      <c r="WOW21" s="4"/>
      <c r="WOX21" s="4"/>
      <c r="WOY21" s="4"/>
      <c r="WOZ21" s="4"/>
      <c r="WPA21" s="4"/>
      <c r="WPB21" s="4"/>
      <c r="WPC21" s="4"/>
      <c r="WPD21" s="4"/>
      <c r="WPE21" s="4"/>
      <c r="WPF21" s="4"/>
      <c r="WPG21" s="4"/>
      <c r="WPH21" s="4"/>
      <c r="WPI21" s="4"/>
      <c r="WPJ21" s="4"/>
      <c r="WPK21" s="4"/>
      <c r="WPL21" s="4"/>
      <c r="WPM21" s="4"/>
      <c r="WPN21" s="4"/>
      <c r="WPO21" s="4"/>
      <c r="WPP21" s="4"/>
      <c r="WPQ21" s="4"/>
      <c r="WPR21" s="4"/>
      <c r="WPS21" s="4"/>
      <c r="WPT21" s="4"/>
      <c r="WPU21" s="4"/>
      <c r="WPV21" s="4"/>
      <c r="WPW21" s="4"/>
      <c r="WPX21" s="4"/>
      <c r="WPY21" s="4"/>
      <c r="WPZ21" s="4"/>
      <c r="WQA21" s="4"/>
      <c r="WQB21" s="4"/>
      <c r="WQC21" s="4"/>
      <c r="WQD21" s="4"/>
      <c r="WQE21" s="4"/>
      <c r="WQF21" s="4"/>
      <c r="WQG21" s="4"/>
      <c r="WQH21" s="4"/>
      <c r="WQI21" s="4"/>
      <c r="WQJ21" s="4"/>
      <c r="WQK21" s="4"/>
      <c r="WQL21" s="4"/>
      <c r="WQM21" s="4"/>
      <c r="WQN21" s="4"/>
      <c r="WQO21" s="4"/>
      <c r="WQP21" s="4"/>
      <c r="WQQ21" s="4"/>
      <c r="WQR21" s="4"/>
      <c r="WQS21" s="4"/>
      <c r="WQT21" s="4"/>
      <c r="WQU21" s="4"/>
      <c r="WQV21" s="4"/>
      <c r="WQW21" s="4"/>
      <c r="WQX21" s="4"/>
      <c r="WQY21" s="4"/>
      <c r="WQZ21" s="4"/>
      <c r="WRA21" s="4"/>
      <c r="WRB21" s="4"/>
      <c r="WRC21" s="4"/>
      <c r="WRD21" s="4"/>
      <c r="WRE21" s="4"/>
      <c r="WRF21" s="4"/>
      <c r="WRG21" s="4"/>
      <c r="WRH21" s="4"/>
      <c r="WRI21" s="4"/>
      <c r="WRJ21" s="4"/>
      <c r="WRK21" s="4"/>
      <c r="WRL21" s="4"/>
      <c r="WRM21" s="4"/>
      <c r="WRN21" s="4"/>
      <c r="WRO21" s="4"/>
      <c r="WRP21" s="4"/>
      <c r="WRQ21" s="4"/>
      <c r="WRR21" s="4"/>
      <c r="WRS21" s="4"/>
      <c r="WRT21" s="4"/>
      <c r="WRU21" s="4"/>
      <c r="WRV21" s="4"/>
      <c r="WRW21" s="4"/>
      <c r="WRX21" s="4"/>
      <c r="WRY21" s="4"/>
      <c r="WRZ21" s="4"/>
      <c r="WSA21" s="4"/>
      <c r="WSB21" s="4"/>
      <c r="WSC21" s="4"/>
      <c r="WSD21" s="4"/>
      <c r="WSE21" s="4"/>
      <c r="WSF21" s="4"/>
      <c r="WSG21" s="4"/>
      <c r="WSH21" s="4"/>
      <c r="WSI21" s="4"/>
      <c r="WSJ21" s="4"/>
      <c r="WSK21" s="4"/>
      <c r="WSL21" s="4"/>
      <c r="WSM21" s="4"/>
      <c r="WSN21" s="4"/>
      <c r="WSO21" s="4"/>
      <c r="WSP21" s="4"/>
      <c r="WSQ21" s="4"/>
      <c r="WSR21" s="4"/>
      <c r="WSS21" s="4"/>
      <c r="WST21" s="4"/>
      <c r="WSU21" s="4"/>
      <c r="WSV21" s="4"/>
      <c r="WSW21" s="4"/>
      <c r="WSX21" s="4"/>
      <c r="WSY21" s="4"/>
      <c r="WSZ21" s="4"/>
      <c r="WTA21" s="4"/>
      <c r="WTB21" s="4"/>
      <c r="WTC21" s="4"/>
      <c r="WTD21" s="4"/>
      <c r="WTE21" s="4"/>
      <c r="WTF21" s="4"/>
      <c r="WTG21" s="4"/>
      <c r="WTH21" s="4"/>
      <c r="WTI21" s="4"/>
      <c r="WTJ21" s="4"/>
      <c r="WTK21" s="4"/>
      <c r="WTL21" s="4"/>
      <c r="WTM21" s="4"/>
      <c r="WTN21" s="4"/>
      <c r="WTO21" s="4"/>
      <c r="WTP21" s="4"/>
      <c r="WTQ21" s="4"/>
      <c r="WTR21" s="4"/>
      <c r="WTS21" s="4"/>
      <c r="WTT21" s="4"/>
      <c r="WTU21" s="4"/>
      <c r="WTV21" s="4"/>
      <c r="WTW21" s="4"/>
      <c r="WTX21" s="4"/>
      <c r="WTY21" s="4"/>
      <c r="WTZ21" s="4"/>
      <c r="WUA21" s="4"/>
      <c r="WUB21" s="4"/>
      <c r="WUC21" s="4"/>
      <c r="WUD21" s="4"/>
      <c r="WUE21" s="4"/>
      <c r="WUF21" s="4"/>
      <c r="WUG21" s="4"/>
      <c r="WUH21" s="4"/>
      <c r="WUI21" s="4"/>
      <c r="WUJ21" s="4"/>
      <c r="WUK21" s="4"/>
      <c r="WUL21" s="4"/>
      <c r="WUM21" s="4"/>
      <c r="WUN21" s="4"/>
      <c r="WUO21" s="4"/>
      <c r="WUP21" s="4"/>
      <c r="WUQ21" s="4"/>
      <c r="WUR21" s="4"/>
      <c r="WUS21" s="4"/>
      <c r="WUT21" s="4"/>
      <c r="WUU21" s="4"/>
      <c r="WUV21" s="4"/>
      <c r="WUW21" s="4"/>
      <c r="WUX21" s="4"/>
      <c r="WUY21" s="4"/>
      <c r="WUZ21" s="4"/>
      <c r="WVA21" s="4"/>
      <c r="WVB21" s="4"/>
      <c r="WVC21" s="4"/>
      <c r="WVD21" s="4"/>
      <c r="WVE21" s="4"/>
      <c r="WVF21" s="4"/>
      <c r="WVG21" s="4"/>
      <c r="WVH21" s="4"/>
      <c r="WVI21" s="4"/>
      <c r="WVJ21" s="4"/>
      <c r="WVK21" s="4"/>
      <c r="WVL21" s="4"/>
      <c r="WVM21" s="4"/>
      <c r="WVN21" s="4"/>
      <c r="WVO21" s="4"/>
      <c r="WVP21" s="4"/>
      <c r="WVQ21" s="4"/>
      <c r="WVR21" s="4"/>
      <c r="WVS21" s="4"/>
      <c r="WVT21" s="4"/>
      <c r="WVU21" s="4"/>
      <c r="WVV21" s="4"/>
      <c r="WVW21" s="4"/>
      <c r="WVX21" s="4"/>
      <c r="WVY21" s="4"/>
      <c r="WVZ21" s="4"/>
      <c r="WWA21" s="4"/>
      <c r="WWB21" s="4"/>
      <c r="WWC21" s="4"/>
      <c r="WWD21" s="4"/>
      <c r="WWE21" s="4"/>
      <c r="WWF21" s="4"/>
      <c r="WWG21" s="4"/>
      <c r="WWH21" s="4"/>
      <c r="WWI21" s="4"/>
      <c r="WWJ21" s="4"/>
      <c r="WWK21" s="4"/>
      <c r="WWL21" s="4"/>
      <c r="WWM21" s="4"/>
      <c r="WWN21" s="4"/>
      <c r="WWO21" s="4"/>
      <c r="WWP21" s="4"/>
      <c r="WWQ21" s="4"/>
      <c r="WWR21" s="4"/>
      <c r="WWS21" s="4"/>
      <c r="WWT21" s="4"/>
      <c r="WWU21" s="4"/>
      <c r="WWV21" s="4"/>
      <c r="WWW21" s="4"/>
      <c r="WWX21" s="4"/>
      <c r="WWY21" s="4"/>
      <c r="WWZ21" s="4"/>
      <c r="WXA21" s="4"/>
      <c r="WXB21" s="4"/>
      <c r="WXC21" s="4"/>
      <c r="WXD21" s="4"/>
      <c r="WXE21" s="4"/>
      <c r="WXF21" s="4"/>
      <c r="WXG21" s="4"/>
      <c r="WXH21" s="4"/>
      <c r="WXI21" s="4"/>
      <c r="WXJ21" s="4"/>
      <c r="WXK21" s="4"/>
      <c r="WXL21" s="4"/>
      <c r="WXM21" s="4"/>
      <c r="WXN21" s="4"/>
      <c r="WXO21" s="4"/>
      <c r="WXP21" s="4"/>
      <c r="WXQ21" s="4"/>
      <c r="WXR21" s="4"/>
      <c r="WXS21" s="4"/>
      <c r="WXT21" s="4"/>
      <c r="WXU21" s="4"/>
      <c r="WXV21" s="4"/>
      <c r="WXW21" s="4"/>
      <c r="WXX21" s="4"/>
      <c r="WXY21" s="4"/>
      <c r="WXZ21" s="4"/>
      <c r="WYA21" s="4"/>
      <c r="WYB21" s="4"/>
      <c r="WYC21" s="4"/>
      <c r="WYD21" s="4"/>
      <c r="WYE21" s="4"/>
      <c r="WYF21" s="4"/>
      <c r="WYG21" s="4"/>
      <c r="WYH21" s="4"/>
      <c r="WYI21" s="4"/>
      <c r="WYJ21" s="4"/>
      <c r="WYK21" s="4"/>
      <c r="WYL21" s="4"/>
      <c r="WYM21" s="4"/>
      <c r="WYN21" s="4"/>
      <c r="WYO21" s="4"/>
      <c r="WYP21" s="4"/>
      <c r="WYQ21" s="4"/>
      <c r="WYR21" s="4"/>
      <c r="WYS21" s="4"/>
      <c r="WYT21" s="4"/>
      <c r="WYU21" s="4"/>
      <c r="WYV21" s="4"/>
      <c r="WYW21" s="4"/>
      <c r="WYX21" s="4"/>
      <c r="WYY21" s="4"/>
      <c r="WYZ21" s="4"/>
      <c r="WZA21" s="4"/>
      <c r="WZB21" s="4"/>
      <c r="WZC21" s="4"/>
      <c r="WZD21" s="4"/>
      <c r="WZE21" s="4"/>
      <c r="WZF21" s="4"/>
      <c r="WZG21" s="4"/>
      <c r="WZH21" s="4"/>
      <c r="WZI21" s="4"/>
      <c r="WZJ21" s="4"/>
      <c r="WZK21" s="4"/>
      <c r="WZL21" s="4"/>
      <c r="WZM21" s="4"/>
      <c r="WZN21" s="4"/>
      <c r="WZO21" s="4"/>
      <c r="WZP21" s="4"/>
      <c r="WZQ21" s="4"/>
      <c r="WZR21" s="4"/>
      <c r="WZS21" s="4"/>
      <c r="WZT21" s="4"/>
      <c r="WZU21" s="4"/>
      <c r="WZV21" s="4"/>
      <c r="WZW21" s="4"/>
      <c r="WZX21" s="4"/>
      <c r="WZY21" s="4"/>
      <c r="WZZ21" s="4"/>
      <c r="XAA21" s="4"/>
      <c r="XAB21" s="4"/>
      <c r="XAC21" s="4"/>
      <c r="XAD21" s="4"/>
      <c r="XAE21" s="4"/>
      <c r="XAF21" s="4"/>
      <c r="XAG21" s="4"/>
      <c r="XAH21" s="4"/>
      <c r="XAI21" s="4"/>
      <c r="XAJ21" s="4"/>
      <c r="XAK21" s="4"/>
      <c r="XAL21" s="4"/>
      <c r="XAM21" s="4"/>
      <c r="XAN21" s="4"/>
      <c r="XAO21" s="4"/>
      <c r="XAP21" s="4"/>
      <c r="XAQ21" s="4"/>
      <c r="XAR21" s="4"/>
      <c r="XAS21" s="4"/>
      <c r="XAT21" s="4"/>
      <c r="XAU21" s="4"/>
      <c r="XAV21" s="4"/>
      <c r="XAW21" s="4"/>
      <c r="XAX21" s="4"/>
      <c r="XAY21" s="4"/>
      <c r="XAZ21" s="4"/>
      <c r="XBA21" s="4"/>
      <c r="XBB21" s="4"/>
      <c r="XBC21" s="4"/>
      <c r="XBD21" s="4"/>
      <c r="XBE21" s="4"/>
      <c r="XBF21" s="4"/>
      <c r="XBG21" s="4"/>
      <c r="XBH21" s="4"/>
      <c r="XBI21" s="4"/>
      <c r="XBJ21" s="4"/>
      <c r="XBK21" s="4"/>
      <c r="XBL21" s="4"/>
      <c r="XBM21" s="4"/>
      <c r="XBN21" s="4"/>
      <c r="XBO21" s="4"/>
      <c r="XBP21" s="4"/>
      <c r="XBQ21" s="4"/>
      <c r="XBR21" s="4"/>
      <c r="XBS21" s="4"/>
      <c r="XBT21" s="4"/>
      <c r="XBU21" s="4"/>
      <c r="XBV21" s="4"/>
      <c r="XBW21" s="4"/>
      <c r="XBX21" s="4"/>
      <c r="XBY21" s="4"/>
      <c r="XBZ21" s="4"/>
      <c r="XCA21" s="4"/>
      <c r="XCB21" s="4"/>
      <c r="XCC21" s="4"/>
      <c r="XCD21" s="4"/>
      <c r="XCE21" s="4"/>
      <c r="XCF21" s="4"/>
      <c r="XCG21" s="4"/>
      <c r="XCH21" s="4"/>
      <c r="XCI21" s="4"/>
      <c r="XCJ21" s="4"/>
      <c r="XCK21" s="4"/>
      <c r="XCL21" s="4"/>
      <c r="XCM21" s="4"/>
      <c r="XCN21" s="4"/>
      <c r="XCO21" s="4"/>
      <c r="XCP21" s="4"/>
      <c r="XCQ21" s="4"/>
      <c r="XCR21" s="4"/>
      <c r="XCS21" s="4"/>
      <c r="XCT21" s="4"/>
      <c r="XCU21" s="4"/>
      <c r="XCV21" s="4"/>
      <c r="XCW21" s="4"/>
      <c r="XCX21" s="4"/>
      <c r="XCY21" s="4"/>
      <c r="XCZ21" s="4"/>
      <c r="XDA21" s="4"/>
      <c r="XDB21" s="4"/>
      <c r="XDC21" s="4"/>
      <c r="XDD21" s="4"/>
      <c r="XDE21" s="4"/>
      <c r="XDF21" s="4"/>
      <c r="XDG21" s="4"/>
      <c r="XDH21" s="4"/>
      <c r="XDI21" s="4"/>
      <c r="XDJ21" s="4"/>
      <c r="XDK21" s="4"/>
      <c r="XDL21" s="4"/>
      <c r="XDM21" s="4"/>
      <c r="XDN21" s="4"/>
      <c r="XDO21" s="4"/>
      <c r="XDP21" s="4"/>
      <c r="XDQ21" s="4"/>
      <c r="XDR21" s="4"/>
      <c r="XDS21" s="4"/>
      <c r="XDT21" s="4"/>
      <c r="XDU21" s="4"/>
      <c r="XDV21" s="4"/>
      <c r="XDW21" s="4"/>
      <c r="XDX21" s="4"/>
      <c r="XDY21" s="4"/>
      <c r="XDZ21" s="4"/>
      <c r="XEA21" s="4"/>
      <c r="XEB21" s="4"/>
      <c r="XEC21" s="4"/>
      <c r="XED21" s="4"/>
      <c r="XEE21" s="4"/>
      <c r="XEF21" s="4"/>
      <c r="XEG21" s="4"/>
      <c r="XEH21" s="4"/>
      <c r="XEI21" s="4"/>
      <c r="XEJ21" s="4"/>
      <c r="XEK21" s="4"/>
      <c r="XEL21" s="4"/>
      <c r="XEM21" s="4"/>
      <c r="XEN21" s="4"/>
      <c r="XEO21" s="4"/>
      <c r="XEP21" s="4"/>
      <c r="XEQ21" s="4"/>
      <c r="XER21" s="4"/>
      <c r="XES21" s="4"/>
      <c r="XET21" s="4"/>
      <c r="XEU21" s="4"/>
      <c r="XEV21" s="4"/>
      <c r="XEW21" s="4"/>
      <c r="XEX21" s="4"/>
      <c r="XEY21" s="4"/>
      <c r="XEZ21" s="4"/>
      <c r="XFA21" s="4"/>
      <c r="XFB21" s="4"/>
      <c r="XFC21" s="4"/>
    </row>
    <row r="22" spans="1:16383" ht="18" x14ac:dyDescent="0.25">
      <c r="A22" s="423" t="s">
        <v>3356</v>
      </c>
      <c r="B22" s="26"/>
    </row>
    <row r="23" spans="1:16383" ht="18" x14ac:dyDescent="0.25">
      <c r="A23" s="434" t="s">
        <v>3367</v>
      </c>
      <c r="B23" s="550">
        <f>+Table15[[#Totals],[Extended price]]</f>
        <v>0</v>
      </c>
    </row>
  </sheetData>
  <sortState xmlns:xlrd2="http://schemas.microsoft.com/office/spreadsheetml/2017/richdata2" ref="A2:H18">
    <sortCondition ref="B2:B18"/>
  </sortState>
  <printOptions gridLines="1"/>
  <pageMargins left="0.5" right="0.5" top="0.5" bottom="0.5" header="0.3" footer="0.3"/>
  <pageSetup scale="65" orientation="landscape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34"/>
  <sheetViews>
    <sheetView zoomScale="90" zoomScaleNormal="90" workbookViewId="0">
      <pane ySplit="1" topLeftCell="A2" activePane="bottomLeft" state="frozen"/>
      <selection activeCell="C26" sqref="C26"/>
      <selection pane="bottomLeft" activeCell="G27" sqref="G2:G27"/>
    </sheetView>
  </sheetViews>
  <sheetFormatPr defaultColWidth="9.140625" defaultRowHeight="15" x14ac:dyDescent="0.2"/>
  <cols>
    <col min="1" max="1" width="65.42578125" style="66" bestFit="1" customWidth="1"/>
    <col min="2" max="2" width="16.5703125" style="125" bestFit="1" customWidth="1"/>
    <col min="3" max="3" width="20.42578125" style="125" bestFit="1" customWidth="1"/>
    <col min="4" max="4" width="20.42578125" style="67" bestFit="1" customWidth="1"/>
    <col min="5" max="5" width="13" style="66" bestFit="1" customWidth="1"/>
    <col min="6" max="6" width="15.85546875" style="66" bestFit="1" customWidth="1"/>
    <col min="7" max="7" width="10.42578125" style="66" bestFit="1" customWidth="1"/>
    <col min="8" max="8" width="11.5703125" style="588" bestFit="1" customWidth="1"/>
    <col min="9" max="9" width="17.5703125" style="588" bestFit="1" customWidth="1"/>
    <col min="10" max="16384" width="9.140625" style="66"/>
  </cols>
  <sheetData>
    <row r="1" spans="1:9" ht="15.75" x14ac:dyDescent="0.25">
      <c r="A1" s="257" t="s">
        <v>0</v>
      </c>
      <c r="B1" s="323" t="s">
        <v>1</v>
      </c>
      <c r="C1" s="367" t="s">
        <v>3373</v>
      </c>
      <c r="D1" s="323" t="s">
        <v>1872</v>
      </c>
      <c r="E1" s="323" t="s">
        <v>1873</v>
      </c>
      <c r="F1" s="323" t="s">
        <v>3372</v>
      </c>
      <c r="G1" s="257" t="s">
        <v>412</v>
      </c>
      <c r="H1" s="528" t="s">
        <v>3368</v>
      </c>
      <c r="I1" s="539" t="s">
        <v>3369</v>
      </c>
    </row>
    <row r="2" spans="1:9" x14ac:dyDescent="0.2">
      <c r="A2" s="46" t="s">
        <v>1665</v>
      </c>
      <c r="B2" s="312" t="s">
        <v>1837</v>
      </c>
      <c r="C2" s="523"/>
      <c r="D2" s="314"/>
      <c r="E2" s="314" t="s">
        <v>1920</v>
      </c>
      <c r="F2" s="523"/>
      <c r="G2" s="268">
        <v>1</v>
      </c>
      <c r="H2" s="567"/>
      <c r="I2" s="588">
        <f>+Table12[[#This Row],[Quantity]]*Table12[[#This Row],[Unit Price]]</f>
        <v>0</v>
      </c>
    </row>
    <row r="3" spans="1:9" x14ac:dyDescent="0.2">
      <c r="A3" s="46" t="s">
        <v>3227</v>
      </c>
      <c r="B3" s="312" t="s">
        <v>2236</v>
      </c>
      <c r="C3" s="523"/>
      <c r="D3" s="314"/>
      <c r="E3" s="314" t="s">
        <v>1920</v>
      </c>
      <c r="F3" s="523"/>
      <c r="G3" s="268">
        <v>1</v>
      </c>
      <c r="H3" s="567"/>
      <c r="I3" s="588">
        <f>+Table12[[#This Row],[Quantity]]*Table12[[#This Row],[Unit Price]]</f>
        <v>0</v>
      </c>
    </row>
    <row r="4" spans="1:9" x14ac:dyDescent="0.2">
      <c r="A4" s="46" t="s">
        <v>17</v>
      </c>
      <c r="B4" s="312" t="s">
        <v>407</v>
      </c>
      <c r="C4" s="523"/>
      <c r="D4" s="314"/>
      <c r="E4" s="314" t="s">
        <v>1920</v>
      </c>
      <c r="F4" s="523"/>
      <c r="G4" s="268">
        <v>1</v>
      </c>
      <c r="H4" s="567"/>
      <c r="I4" s="588">
        <f>+Table12[[#This Row],[Quantity]]*Table12[[#This Row],[Unit Price]]</f>
        <v>0</v>
      </c>
    </row>
    <row r="5" spans="1:9" x14ac:dyDescent="0.2">
      <c r="A5" s="46" t="s">
        <v>1048</v>
      </c>
      <c r="B5" s="312" t="s">
        <v>170</v>
      </c>
      <c r="C5" s="523"/>
      <c r="D5" s="314"/>
      <c r="E5" s="314" t="s">
        <v>1920</v>
      </c>
      <c r="F5" s="523"/>
      <c r="G5" s="268">
        <v>1</v>
      </c>
      <c r="H5" s="567"/>
      <c r="I5" s="588">
        <f>+Table12[[#This Row],[Quantity]]*Table12[[#This Row],[Unit Price]]</f>
        <v>0</v>
      </c>
    </row>
    <row r="6" spans="1:9" x14ac:dyDescent="0.2">
      <c r="A6" s="46" t="s">
        <v>3243</v>
      </c>
      <c r="B6" s="312" t="s">
        <v>82</v>
      </c>
      <c r="C6" s="523"/>
      <c r="D6" s="314"/>
      <c r="E6" s="314" t="s">
        <v>1920</v>
      </c>
      <c r="F6" s="523"/>
      <c r="G6" s="268">
        <v>1</v>
      </c>
      <c r="H6" s="567"/>
      <c r="I6" s="588">
        <f>+Table12[[#This Row],[Quantity]]*Table12[[#This Row],[Unit Price]]</f>
        <v>0</v>
      </c>
    </row>
    <row r="7" spans="1:9" x14ac:dyDescent="0.2">
      <c r="A7" s="46" t="s">
        <v>11</v>
      </c>
      <c r="B7" s="312" t="s">
        <v>278</v>
      </c>
      <c r="C7" s="523"/>
      <c r="D7" s="314"/>
      <c r="E7" s="314" t="s">
        <v>1920</v>
      </c>
      <c r="F7" s="523"/>
      <c r="G7" s="268">
        <v>1</v>
      </c>
      <c r="H7" s="567"/>
      <c r="I7" s="588">
        <f>+Table12[[#This Row],[Quantity]]*Table12[[#This Row],[Unit Price]]</f>
        <v>0</v>
      </c>
    </row>
    <row r="8" spans="1:9" x14ac:dyDescent="0.2">
      <c r="A8" s="46" t="s">
        <v>12</v>
      </c>
      <c r="B8" s="312" t="s">
        <v>171</v>
      </c>
      <c r="C8" s="523"/>
      <c r="D8" s="314"/>
      <c r="E8" s="314" t="s">
        <v>1920</v>
      </c>
      <c r="F8" s="523"/>
      <c r="G8" s="268">
        <v>1</v>
      </c>
      <c r="H8" s="567"/>
      <c r="I8" s="588">
        <f>+Table12[[#This Row],[Quantity]]*Table12[[#This Row],[Unit Price]]</f>
        <v>0</v>
      </c>
    </row>
    <row r="9" spans="1:9" x14ac:dyDescent="0.2">
      <c r="A9" s="46" t="s">
        <v>1058</v>
      </c>
      <c r="B9" s="312" t="s">
        <v>154</v>
      </c>
      <c r="C9" s="523"/>
      <c r="D9" s="314"/>
      <c r="E9" s="314" t="s">
        <v>1920</v>
      </c>
      <c r="F9" s="523"/>
      <c r="G9" s="268">
        <v>1</v>
      </c>
      <c r="H9" s="567"/>
      <c r="I9" s="588">
        <f>+Table12[[#This Row],[Quantity]]*Table12[[#This Row],[Unit Price]]</f>
        <v>0</v>
      </c>
    </row>
    <row r="10" spans="1:9" x14ac:dyDescent="0.2">
      <c r="A10" s="46" t="s">
        <v>6</v>
      </c>
      <c r="B10" s="312" t="s">
        <v>91</v>
      </c>
      <c r="C10" s="523"/>
      <c r="D10" s="314"/>
      <c r="E10" s="314" t="s">
        <v>1920</v>
      </c>
      <c r="F10" s="523"/>
      <c r="G10" s="268">
        <v>1</v>
      </c>
      <c r="H10" s="567"/>
      <c r="I10" s="588">
        <f>+Table12[[#This Row],[Quantity]]*Table12[[#This Row],[Unit Price]]</f>
        <v>0</v>
      </c>
    </row>
    <row r="11" spans="1:9" x14ac:dyDescent="0.2">
      <c r="A11" s="46" t="s">
        <v>44</v>
      </c>
      <c r="B11" s="312" t="s">
        <v>896</v>
      </c>
      <c r="C11" s="523"/>
      <c r="D11" s="314"/>
      <c r="E11" s="314" t="s">
        <v>1920</v>
      </c>
      <c r="F11" s="523"/>
      <c r="G11" s="268">
        <v>1</v>
      </c>
      <c r="H11" s="567"/>
      <c r="I11" s="588">
        <f>+Table12[[#This Row],[Quantity]]*Table12[[#This Row],[Unit Price]]</f>
        <v>0</v>
      </c>
    </row>
    <row r="12" spans="1:9" x14ac:dyDescent="0.2">
      <c r="A12" s="46" t="s">
        <v>3353</v>
      </c>
      <c r="B12" s="312" t="s">
        <v>2754</v>
      </c>
      <c r="C12" s="523"/>
      <c r="D12" s="314"/>
      <c r="E12" s="314" t="s">
        <v>1920</v>
      </c>
      <c r="F12" s="523"/>
      <c r="G12" s="268">
        <v>1</v>
      </c>
      <c r="H12" s="567"/>
      <c r="I12" s="588">
        <f>+Table12[[#This Row],[Quantity]]*Table12[[#This Row],[Unit Price]]</f>
        <v>0</v>
      </c>
    </row>
    <row r="13" spans="1:9" x14ac:dyDescent="0.2">
      <c r="A13" s="379" t="s">
        <v>3352</v>
      </c>
      <c r="B13" s="358" t="s">
        <v>2756</v>
      </c>
      <c r="C13" s="523"/>
      <c r="D13" s="356"/>
      <c r="E13" s="356"/>
      <c r="F13" s="523"/>
      <c r="G13" s="268">
        <v>1</v>
      </c>
      <c r="H13" s="601"/>
      <c r="I13" s="588">
        <f>+Table12[[#This Row],[Quantity]]*Table12[[#This Row],[Unit Price]]</f>
        <v>0</v>
      </c>
    </row>
    <row r="14" spans="1:9" x14ac:dyDescent="0.2">
      <c r="A14" s="379" t="s">
        <v>3351</v>
      </c>
      <c r="B14" s="312" t="s">
        <v>2757</v>
      </c>
      <c r="C14" s="523"/>
      <c r="D14" s="356"/>
      <c r="E14" s="356"/>
      <c r="F14" s="523"/>
      <c r="G14" s="268">
        <v>1</v>
      </c>
      <c r="H14" s="601"/>
      <c r="I14" s="588">
        <f>+Table12[[#This Row],[Quantity]]*Table12[[#This Row],[Unit Price]]</f>
        <v>0</v>
      </c>
    </row>
    <row r="15" spans="1:9" x14ac:dyDescent="0.2">
      <c r="A15" s="46" t="s">
        <v>180</v>
      </c>
      <c r="B15" s="312" t="s">
        <v>479</v>
      </c>
      <c r="C15" s="523"/>
      <c r="D15" s="314"/>
      <c r="E15" s="314" t="s">
        <v>1920</v>
      </c>
      <c r="F15" s="523"/>
      <c r="G15" s="268">
        <v>1</v>
      </c>
      <c r="H15" s="567"/>
      <c r="I15" s="588">
        <f>+Table12[[#This Row],[Quantity]]*Table12[[#This Row],[Unit Price]]</f>
        <v>0</v>
      </c>
    </row>
    <row r="16" spans="1:9" x14ac:dyDescent="0.2">
      <c r="A16" s="46" t="s">
        <v>1186</v>
      </c>
      <c r="B16" s="312" t="s">
        <v>328</v>
      </c>
      <c r="C16" s="523"/>
      <c r="D16" s="314"/>
      <c r="E16" s="314" t="s">
        <v>1920</v>
      </c>
      <c r="F16" s="523"/>
      <c r="G16" s="268">
        <v>1</v>
      </c>
      <c r="H16" s="567"/>
      <c r="I16" s="588">
        <f>+Table12[[#This Row],[Quantity]]*Table12[[#This Row],[Unit Price]]</f>
        <v>0</v>
      </c>
    </row>
    <row r="17" spans="1:9" x14ac:dyDescent="0.2">
      <c r="A17" s="46" t="s">
        <v>1180</v>
      </c>
      <c r="B17" s="312" t="s">
        <v>359</v>
      </c>
      <c r="C17" s="523"/>
      <c r="D17" s="314"/>
      <c r="E17" s="314" t="s">
        <v>1920</v>
      </c>
      <c r="F17" s="523"/>
      <c r="G17" s="268">
        <v>1</v>
      </c>
      <c r="H17" s="567"/>
      <c r="I17" s="588">
        <f>+Table12[[#This Row],[Quantity]]*Table12[[#This Row],[Unit Price]]</f>
        <v>0</v>
      </c>
    </row>
    <row r="18" spans="1:9" x14ac:dyDescent="0.2">
      <c r="A18" s="46" t="s">
        <v>1187</v>
      </c>
      <c r="B18" s="312" t="s">
        <v>360</v>
      </c>
      <c r="C18" s="523"/>
      <c r="D18" s="314"/>
      <c r="E18" s="314" t="s">
        <v>1920</v>
      </c>
      <c r="F18" s="523"/>
      <c r="G18" s="268">
        <v>1</v>
      </c>
      <c r="H18" s="567"/>
      <c r="I18" s="588">
        <f>+Table12[[#This Row],[Quantity]]*Table12[[#This Row],[Unit Price]]</f>
        <v>0</v>
      </c>
    </row>
    <row r="19" spans="1:9" x14ac:dyDescent="0.2">
      <c r="A19" s="46" t="s">
        <v>2897</v>
      </c>
      <c r="B19" s="312" t="s">
        <v>324</v>
      </c>
      <c r="C19" s="523"/>
      <c r="D19" s="314"/>
      <c r="E19" s="314" t="s">
        <v>1920</v>
      </c>
      <c r="F19" s="523"/>
      <c r="G19" s="268">
        <v>1</v>
      </c>
      <c r="H19" s="567"/>
      <c r="I19" s="588">
        <f>+Table12[[#This Row],[Quantity]]*Table12[[#This Row],[Unit Price]]</f>
        <v>0</v>
      </c>
    </row>
    <row r="20" spans="1:9" x14ac:dyDescent="0.2">
      <c r="A20" s="46" t="s">
        <v>1560</v>
      </c>
      <c r="B20" s="312" t="s">
        <v>590</v>
      </c>
      <c r="C20" s="523"/>
      <c r="D20" s="314"/>
      <c r="E20" s="314" t="s">
        <v>1920</v>
      </c>
      <c r="F20" s="523"/>
      <c r="G20" s="268">
        <v>1</v>
      </c>
      <c r="H20" s="567"/>
      <c r="I20" s="588">
        <f>+Table12[[#This Row],[Quantity]]*Table12[[#This Row],[Unit Price]]</f>
        <v>0</v>
      </c>
    </row>
    <row r="21" spans="1:9" x14ac:dyDescent="0.2">
      <c r="A21" s="401" t="s">
        <v>3107</v>
      </c>
      <c r="B21" s="402" t="s">
        <v>3108</v>
      </c>
      <c r="C21" s="523"/>
      <c r="D21" s="402"/>
      <c r="E21" s="402">
        <v>55719</v>
      </c>
      <c r="F21" s="523"/>
      <c r="G21" s="402">
        <v>1</v>
      </c>
      <c r="H21" s="602"/>
      <c r="I21" s="588">
        <f>+Table12[[#This Row],[Quantity]]*Table12[[#This Row],[Unit Price]]</f>
        <v>0</v>
      </c>
    </row>
    <row r="22" spans="1:9" x14ac:dyDescent="0.2">
      <c r="A22" s="46" t="s">
        <v>1275</v>
      </c>
      <c r="B22" s="312" t="s">
        <v>478</v>
      </c>
      <c r="C22" s="523"/>
      <c r="D22" s="314"/>
      <c r="E22" s="314" t="s">
        <v>1920</v>
      </c>
      <c r="F22" s="523"/>
      <c r="G22" s="268">
        <v>1</v>
      </c>
      <c r="H22" s="567"/>
      <c r="I22" s="588">
        <f>+Table12[[#This Row],[Quantity]]*Table12[[#This Row],[Unit Price]]</f>
        <v>0</v>
      </c>
    </row>
    <row r="23" spans="1:9" x14ac:dyDescent="0.2">
      <c r="A23" s="46" t="s">
        <v>2181</v>
      </c>
      <c r="B23" s="312" t="s">
        <v>2249</v>
      </c>
      <c r="C23" s="523"/>
      <c r="D23" s="314"/>
      <c r="E23" s="314" t="s">
        <v>1920</v>
      </c>
      <c r="F23" s="523"/>
      <c r="G23" s="268">
        <v>1</v>
      </c>
      <c r="H23" s="567"/>
      <c r="I23" s="588">
        <f>+Table12[[#This Row],[Quantity]]*Table12[[#This Row],[Unit Price]]</f>
        <v>0</v>
      </c>
    </row>
    <row r="24" spans="1:9" x14ac:dyDescent="0.2">
      <c r="A24" s="46" t="s">
        <v>2133</v>
      </c>
      <c r="B24" s="312" t="s">
        <v>2909</v>
      </c>
      <c r="C24" s="523"/>
      <c r="D24" s="314"/>
      <c r="E24" s="314" t="s">
        <v>1971</v>
      </c>
      <c r="F24" s="523"/>
      <c r="G24" s="268">
        <v>1</v>
      </c>
      <c r="H24" s="567"/>
      <c r="I24" s="588">
        <f>+Table12[[#This Row],[Quantity]]*Table12[[#This Row],[Unit Price]]</f>
        <v>0</v>
      </c>
    </row>
    <row r="25" spans="1:9" x14ac:dyDescent="0.2">
      <c r="A25" s="46" t="s">
        <v>9</v>
      </c>
      <c r="B25" s="312" t="s">
        <v>375</v>
      </c>
      <c r="C25" s="523"/>
      <c r="D25" s="314"/>
      <c r="E25" s="314" t="s">
        <v>1920</v>
      </c>
      <c r="F25" s="523"/>
      <c r="G25" s="268">
        <v>1</v>
      </c>
      <c r="H25" s="567"/>
      <c r="I25" s="588">
        <f>+Table12[[#This Row],[Quantity]]*Table12[[#This Row],[Unit Price]]</f>
        <v>0</v>
      </c>
    </row>
    <row r="26" spans="1:9" x14ac:dyDescent="0.2">
      <c r="A26" s="46" t="s">
        <v>3132</v>
      </c>
      <c r="B26" s="312" t="s">
        <v>2732</v>
      </c>
      <c r="C26" s="523"/>
      <c r="D26" s="314"/>
      <c r="E26" s="314" t="s">
        <v>1920</v>
      </c>
      <c r="F26" s="523"/>
      <c r="G26" s="268">
        <v>2</v>
      </c>
      <c r="H26" s="567"/>
      <c r="I26" s="588">
        <f>+Table12[[#This Row],[Quantity]]*Table12[[#This Row],[Unit Price]]</f>
        <v>0</v>
      </c>
    </row>
    <row r="27" spans="1:9" x14ac:dyDescent="0.2">
      <c r="A27" s="327" t="s">
        <v>4</v>
      </c>
      <c r="B27" s="328" t="s">
        <v>90</v>
      </c>
      <c r="C27" s="523"/>
      <c r="D27" s="329"/>
      <c r="E27" s="329" t="s">
        <v>1920</v>
      </c>
      <c r="F27" s="523"/>
      <c r="G27" s="330">
        <v>1</v>
      </c>
      <c r="H27" s="603"/>
      <c r="I27" s="588">
        <f>+Table12[[#This Row],[Quantity]]*Table12[[#This Row],[Unit Price]]</f>
        <v>0</v>
      </c>
    </row>
    <row r="28" spans="1:9" x14ac:dyDescent="0.2">
      <c r="A28" s="598"/>
      <c r="B28" s="595"/>
      <c r="C28" s="595"/>
      <c r="D28" s="592"/>
      <c r="E28" s="592"/>
      <c r="F28" s="592"/>
      <c r="G28" s="596"/>
      <c r="H28" s="604"/>
      <c r="I28" s="605">
        <f>SUM(I2:I27)</f>
        <v>0</v>
      </c>
    </row>
    <row r="30" spans="1:9" ht="15.75" x14ac:dyDescent="0.25">
      <c r="G30" s="338"/>
    </row>
    <row r="31" spans="1:9" ht="18" x14ac:dyDescent="0.25">
      <c r="A31" s="422" t="s">
        <v>2244</v>
      </c>
      <c r="B31" s="425"/>
      <c r="C31" s="309"/>
      <c r="D31" s="308"/>
      <c r="E31" s="308"/>
      <c r="F31" s="308"/>
      <c r="G31" s="308"/>
      <c r="H31" s="541"/>
    </row>
    <row r="32" spans="1:9" ht="18" x14ac:dyDescent="0.25">
      <c r="A32" s="422" t="s">
        <v>3007</v>
      </c>
      <c r="B32" s="425"/>
      <c r="C32" s="309"/>
      <c r="D32" s="308"/>
      <c r="E32" s="308"/>
      <c r="F32" s="308"/>
      <c r="G32" s="308"/>
    </row>
    <row r="33" spans="1:2" ht="18" x14ac:dyDescent="0.25">
      <c r="A33" s="449" t="s">
        <v>3350</v>
      </c>
      <c r="B33" s="514"/>
    </row>
    <row r="34" spans="1:2" ht="18" x14ac:dyDescent="0.25">
      <c r="A34" s="434" t="s">
        <v>3367</v>
      </c>
      <c r="B34" s="550">
        <f>+Table12[[#Totals],[Extended price]]</f>
        <v>0</v>
      </c>
    </row>
  </sheetData>
  <pageMargins left="0.5" right="0.5" top="0.5" bottom="0.5" header="0.3" footer="0.3"/>
  <pageSetup scale="35" fitToHeight="0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9"/>
  <sheetViews>
    <sheetView workbookViewId="0">
      <pane ySplit="1" topLeftCell="A2" activePane="bottomLeft" state="frozen"/>
      <selection activeCell="C26" sqref="C26"/>
      <selection pane="bottomLeft"/>
    </sheetView>
  </sheetViews>
  <sheetFormatPr defaultColWidth="9.140625" defaultRowHeight="18" customHeight="1" x14ac:dyDescent="0.2"/>
  <cols>
    <col min="1" max="1" width="48.5703125" style="169" bestFit="1" customWidth="1"/>
    <col min="2" max="2" width="14.42578125" style="176" bestFit="1" customWidth="1"/>
    <col min="3" max="3" width="20.42578125" style="164" bestFit="1" customWidth="1"/>
    <col min="4" max="4" width="20.140625" style="164" bestFit="1" customWidth="1"/>
    <col min="5" max="5" width="12.42578125" style="164" bestFit="1" customWidth="1"/>
    <col min="6" max="6" width="15.5703125" style="164" bestFit="1" customWidth="1"/>
    <col min="7" max="7" width="10" style="169" bestFit="1" customWidth="1"/>
    <col min="8" max="8" width="11.42578125" style="169" bestFit="1" customWidth="1"/>
    <col min="9" max="9" width="16.85546875" style="169" bestFit="1" customWidth="1"/>
    <col min="10" max="16384" width="9.140625" style="169"/>
  </cols>
  <sheetData>
    <row r="1" spans="1:9" ht="18" customHeight="1" x14ac:dyDescent="0.25">
      <c r="A1" s="173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174" t="s">
        <v>412</v>
      </c>
      <c r="H1" s="441" t="s">
        <v>3368</v>
      </c>
      <c r="I1" s="418" t="s">
        <v>3369</v>
      </c>
    </row>
    <row r="2" spans="1:9" ht="18" customHeight="1" x14ac:dyDescent="0.2">
      <c r="A2" s="46" t="s">
        <v>193</v>
      </c>
      <c r="B2" s="15" t="s">
        <v>602</v>
      </c>
      <c r="C2" s="430"/>
      <c r="D2" s="129"/>
      <c r="E2" s="129" t="s">
        <v>1930</v>
      </c>
      <c r="F2" s="430"/>
      <c r="G2" s="114">
        <v>1</v>
      </c>
      <c r="H2" s="606"/>
      <c r="I2" s="566">
        <f>+G2*H2</f>
        <v>0</v>
      </c>
    </row>
    <row r="3" spans="1:9" ht="18" customHeight="1" x14ac:dyDescent="0.2">
      <c r="B3" s="169"/>
      <c r="C3" s="254"/>
      <c r="D3" s="169"/>
      <c r="E3" s="169"/>
      <c r="F3" s="169"/>
      <c r="I3" s="607">
        <f>SUM(I2:I2)</f>
        <v>0</v>
      </c>
    </row>
    <row r="4" spans="1:9" ht="18" customHeight="1" x14ac:dyDescent="0.2">
      <c r="G4" s="176"/>
    </row>
    <row r="6" spans="1:9" s="4" customFormat="1" x14ac:dyDescent="0.25">
      <c r="A6" s="422" t="s">
        <v>2971</v>
      </c>
      <c r="B6" s="425"/>
      <c r="C6" s="309"/>
      <c r="D6" s="3"/>
      <c r="E6" s="3"/>
      <c r="F6" s="309"/>
      <c r="G6" s="3"/>
      <c r="H6" s="39"/>
    </row>
    <row r="7" spans="1:9" s="4" customFormat="1" x14ac:dyDescent="0.25">
      <c r="A7" s="422" t="s">
        <v>2984</v>
      </c>
      <c r="B7" s="425"/>
      <c r="C7" s="309"/>
      <c r="D7" s="3"/>
      <c r="E7" s="3"/>
      <c r="F7" s="309"/>
      <c r="G7" s="3"/>
      <c r="H7" s="39"/>
    </row>
    <row r="8" spans="1:9" ht="18" customHeight="1" x14ac:dyDescent="0.25">
      <c r="A8" s="423" t="s">
        <v>3349</v>
      </c>
      <c r="B8" s="175"/>
    </row>
    <row r="9" spans="1:9" ht="18" customHeight="1" x14ac:dyDescent="0.25">
      <c r="A9" s="449" t="s">
        <v>3367</v>
      </c>
      <c r="B9" s="608">
        <f>+I3</f>
        <v>0</v>
      </c>
    </row>
  </sheetData>
  <pageMargins left="0.7" right="0.7" top="0.75" bottom="0.75" header="0.3" footer="0.3"/>
  <pageSetup scale="67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34"/>
  <sheetViews>
    <sheetView workbookViewId="0">
      <pane ySplit="1" topLeftCell="A2" activePane="bottomLeft" state="frozen"/>
      <selection activeCell="C26" sqref="C26"/>
      <selection pane="bottomLeft" activeCell="G27" sqref="G2:G27"/>
    </sheetView>
  </sheetViews>
  <sheetFormatPr defaultColWidth="9.140625" defaultRowHeight="18" customHeight="1" x14ac:dyDescent="0.2"/>
  <cols>
    <col min="1" max="1" width="60.5703125" style="169" bestFit="1" customWidth="1"/>
    <col min="2" max="2" width="15" style="176" bestFit="1" customWidth="1"/>
    <col min="3" max="3" width="20.42578125" style="164" bestFit="1" customWidth="1"/>
    <col min="4" max="4" width="20.140625" style="164" bestFit="1" customWidth="1"/>
    <col min="5" max="5" width="12.42578125" style="164" bestFit="1" customWidth="1"/>
    <col min="6" max="6" width="15.5703125" style="164" bestFit="1" customWidth="1"/>
    <col min="7" max="7" width="10" style="169" bestFit="1" customWidth="1"/>
    <col min="8" max="8" width="11.42578125" style="607" bestFit="1" customWidth="1"/>
    <col min="9" max="9" width="16.85546875" style="607" bestFit="1" customWidth="1"/>
    <col min="10" max="16384" width="9.140625" style="169"/>
  </cols>
  <sheetData>
    <row r="1" spans="1:9" ht="18" customHeight="1" x14ac:dyDescent="0.25">
      <c r="A1" s="173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174" t="s">
        <v>412</v>
      </c>
      <c r="H1" s="528" t="s">
        <v>3368</v>
      </c>
      <c r="I1" s="539" t="s">
        <v>3369</v>
      </c>
    </row>
    <row r="2" spans="1:9" ht="18" customHeight="1" x14ac:dyDescent="0.2">
      <c r="A2" s="214" t="s">
        <v>1125</v>
      </c>
      <c r="B2" s="111">
        <v>8130020</v>
      </c>
      <c r="C2" s="430"/>
      <c r="D2" s="129"/>
      <c r="E2" s="129" t="s">
        <v>1975</v>
      </c>
      <c r="F2" s="523"/>
      <c r="G2" s="28">
        <v>1</v>
      </c>
      <c r="H2" s="609"/>
      <c r="I2" s="610">
        <f>+G2*H2</f>
        <v>0</v>
      </c>
    </row>
    <row r="3" spans="1:9" ht="18" customHeight="1" x14ac:dyDescent="0.2">
      <c r="A3" s="214" t="s">
        <v>3011</v>
      </c>
      <c r="B3" s="111" t="s">
        <v>3236</v>
      </c>
      <c r="C3" s="430"/>
      <c r="D3" s="129"/>
      <c r="E3" s="129">
        <v>57163</v>
      </c>
      <c r="F3" s="523"/>
      <c r="G3" s="28">
        <v>1</v>
      </c>
      <c r="H3" s="609"/>
      <c r="I3" s="610">
        <f t="shared" ref="I3:I27" si="0">+G3*H3</f>
        <v>0</v>
      </c>
    </row>
    <row r="4" spans="1:9" ht="18" customHeight="1" x14ac:dyDescent="0.2">
      <c r="A4" s="214" t="s">
        <v>459</v>
      </c>
      <c r="B4" s="111" t="s">
        <v>1823</v>
      </c>
      <c r="C4" s="430"/>
      <c r="D4" s="129"/>
      <c r="E4" s="129" t="s">
        <v>1920</v>
      </c>
      <c r="F4" s="523"/>
      <c r="G4" s="28">
        <v>1</v>
      </c>
      <c r="H4" s="609"/>
      <c r="I4" s="610">
        <f t="shared" si="0"/>
        <v>0</v>
      </c>
    </row>
    <row r="5" spans="1:9" ht="18" customHeight="1" x14ac:dyDescent="0.2">
      <c r="A5" s="214" t="s">
        <v>5</v>
      </c>
      <c r="B5" s="111" t="s">
        <v>466</v>
      </c>
      <c r="C5" s="430"/>
      <c r="D5" s="129"/>
      <c r="E5" s="129" t="s">
        <v>1920</v>
      </c>
      <c r="F5" s="523"/>
      <c r="G5" s="28">
        <v>1</v>
      </c>
      <c r="H5" s="609"/>
      <c r="I5" s="610">
        <f t="shared" si="0"/>
        <v>0</v>
      </c>
    </row>
    <row r="6" spans="1:9" ht="18" customHeight="1" x14ac:dyDescent="0.2">
      <c r="A6" s="214" t="s">
        <v>2248</v>
      </c>
      <c r="B6" s="111" t="s">
        <v>2167</v>
      </c>
      <c r="C6" s="430"/>
      <c r="D6" s="129"/>
      <c r="E6" s="129" t="s">
        <v>1920</v>
      </c>
      <c r="F6" s="523"/>
      <c r="G6" s="28">
        <v>1</v>
      </c>
      <c r="H6" s="609"/>
      <c r="I6" s="610">
        <f t="shared" si="0"/>
        <v>0</v>
      </c>
    </row>
    <row r="7" spans="1:9" ht="18" customHeight="1" x14ac:dyDescent="0.2">
      <c r="A7" s="214" t="s">
        <v>1639</v>
      </c>
      <c r="B7" s="111" t="s">
        <v>730</v>
      </c>
      <c r="C7" s="430"/>
      <c r="D7" s="129"/>
      <c r="E7" s="129" t="s">
        <v>1920</v>
      </c>
      <c r="F7" s="523"/>
      <c r="G7" s="28">
        <v>1</v>
      </c>
      <c r="H7" s="609"/>
      <c r="I7" s="610">
        <f t="shared" si="0"/>
        <v>0</v>
      </c>
    </row>
    <row r="8" spans="1:9" ht="18" customHeight="1" x14ac:dyDescent="0.2">
      <c r="A8" s="214" t="s">
        <v>1615</v>
      </c>
      <c r="B8" s="111" t="s">
        <v>2002</v>
      </c>
      <c r="C8" s="430"/>
      <c r="D8" s="129"/>
      <c r="E8" s="129" t="s">
        <v>1920</v>
      </c>
      <c r="F8" s="523"/>
      <c r="G8" s="28">
        <v>1</v>
      </c>
      <c r="H8" s="609"/>
      <c r="I8" s="610">
        <f t="shared" si="0"/>
        <v>0</v>
      </c>
    </row>
    <row r="9" spans="1:9" ht="18" customHeight="1" x14ac:dyDescent="0.2">
      <c r="A9" s="214" t="s">
        <v>1642</v>
      </c>
      <c r="B9" s="252" t="s">
        <v>3225</v>
      </c>
      <c r="C9" s="430"/>
      <c r="D9" s="129"/>
      <c r="E9" s="129" t="s">
        <v>1920</v>
      </c>
      <c r="F9" s="523"/>
      <c r="G9" s="28">
        <v>1</v>
      </c>
      <c r="H9" s="609"/>
      <c r="I9" s="610">
        <f t="shared" si="0"/>
        <v>0</v>
      </c>
    </row>
    <row r="10" spans="1:9" ht="18" customHeight="1" x14ac:dyDescent="0.2">
      <c r="A10" s="214" t="s">
        <v>1379</v>
      </c>
      <c r="B10" s="111" t="s">
        <v>63</v>
      </c>
      <c r="C10" s="430"/>
      <c r="D10" s="129"/>
      <c r="E10" s="129" t="s">
        <v>1920</v>
      </c>
      <c r="F10" s="523"/>
      <c r="G10" s="28">
        <v>1</v>
      </c>
      <c r="H10" s="609"/>
      <c r="I10" s="610">
        <f t="shared" si="0"/>
        <v>0</v>
      </c>
    </row>
    <row r="11" spans="1:9" ht="18" customHeight="1" x14ac:dyDescent="0.2">
      <c r="A11" s="214" t="s">
        <v>2003</v>
      </c>
      <c r="B11" s="111" t="s">
        <v>2001</v>
      </c>
      <c r="C11" s="430"/>
      <c r="D11" s="129"/>
      <c r="E11" s="129" t="s">
        <v>1920</v>
      </c>
      <c r="F11" s="523"/>
      <c r="G11" s="28">
        <v>1</v>
      </c>
      <c r="H11" s="609"/>
      <c r="I11" s="610">
        <f t="shared" si="0"/>
        <v>0</v>
      </c>
    </row>
    <row r="12" spans="1:9" ht="18" customHeight="1" x14ac:dyDescent="0.2">
      <c r="A12" s="214" t="s">
        <v>165</v>
      </c>
      <c r="B12" s="111" t="s">
        <v>1894</v>
      </c>
      <c r="C12" s="430"/>
      <c r="D12" s="129"/>
      <c r="E12" s="129" t="s">
        <v>1920</v>
      </c>
      <c r="F12" s="523"/>
      <c r="G12" s="28">
        <v>1</v>
      </c>
      <c r="H12" s="609"/>
      <c r="I12" s="610">
        <f t="shared" si="0"/>
        <v>0</v>
      </c>
    </row>
    <row r="13" spans="1:9" ht="18" customHeight="1" x14ac:dyDescent="0.2">
      <c r="A13" s="214" t="s">
        <v>460</v>
      </c>
      <c r="B13" s="111" t="s">
        <v>461</v>
      </c>
      <c r="C13" s="430"/>
      <c r="D13" s="129"/>
      <c r="E13" s="129" t="s">
        <v>1920</v>
      </c>
      <c r="F13" s="523"/>
      <c r="G13" s="28">
        <v>1</v>
      </c>
      <c r="H13" s="609"/>
      <c r="I13" s="610">
        <f t="shared" si="0"/>
        <v>0</v>
      </c>
    </row>
    <row r="14" spans="1:9" ht="18" customHeight="1" x14ac:dyDescent="0.2">
      <c r="A14" s="335" t="s">
        <v>3261</v>
      </c>
      <c r="B14" s="111" t="s">
        <v>617</v>
      </c>
      <c r="C14" s="430"/>
      <c r="D14" s="129"/>
      <c r="E14" s="129" t="s">
        <v>1920</v>
      </c>
      <c r="F14" s="523"/>
      <c r="G14" s="28">
        <v>1</v>
      </c>
      <c r="H14" s="609"/>
      <c r="I14" s="610">
        <f t="shared" si="0"/>
        <v>0</v>
      </c>
    </row>
    <row r="15" spans="1:9" ht="18" customHeight="1" x14ac:dyDescent="0.2">
      <c r="A15" s="335" t="s">
        <v>3259</v>
      </c>
      <c r="B15" s="111" t="s">
        <v>614</v>
      </c>
      <c r="C15" s="430"/>
      <c r="D15" s="129"/>
      <c r="E15" s="129" t="s">
        <v>1920</v>
      </c>
      <c r="F15" s="523"/>
      <c r="G15" s="28">
        <v>1</v>
      </c>
      <c r="H15" s="609"/>
      <c r="I15" s="610">
        <f t="shared" si="0"/>
        <v>0</v>
      </c>
    </row>
    <row r="16" spans="1:9" ht="18" customHeight="1" x14ac:dyDescent="0.2">
      <c r="A16" s="214" t="s">
        <v>162</v>
      </c>
      <c r="B16" s="111" t="s">
        <v>613</v>
      </c>
      <c r="C16" s="430"/>
      <c r="D16" s="129"/>
      <c r="E16" s="129" t="s">
        <v>1920</v>
      </c>
      <c r="F16" s="523"/>
      <c r="G16" s="28">
        <v>1</v>
      </c>
      <c r="H16" s="609"/>
      <c r="I16" s="610">
        <f t="shared" si="0"/>
        <v>0</v>
      </c>
    </row>
    <row r="17" spans="1:9" ht="18" customHeight="1" x14ac:dyDescent="0.2">
      <c r="A17" s="214" t="s">
        <v>2925</v>
      </c>
      <c r="B17" s="111" t="s">
        <v>612</v>
      </c>
      <c r="C17" s="430"/>
      <c r="D17" s="129"/>
      <c r="E17" s="129" t="s">
        <v>1920</v>
      </c>
      <c r="F17" s="523"/>
      <c r="G17" s="28">
        <v>1</v>
      </c>
      <c r="H17" s="609"/>
      <c r="I17" s="610">
        <f t="shared" si="0"/>
        <v>0</v>
      </c>
    </row>
    <row r="18" spans="1:9" ht="18" customHeight="1" x14ac:dyDescent="0.2">
      <c r="A18" s="214" t="s">
        <v>1121</v>
      </c>
      <c r="B18" s="111" t="s">
        <v>283</v>
      </c>
      <c r="C18" s="430"/>
      <c r="D18" s="129"/>
      <c r="E18" s="129" t="s">
        <v>1920</v>
      </c>
      <c r="F18" s="523"/>
      <c r="G18" s="28">
        <v>1</v>
      </c>
      <c r="H18" s="609"/>
      <c r="I18" s="610">
        <f t="shared" si="0"/>
        <v>0</v>
      </c>
    </row>
    <row r="19" spans="1:9" ht="18" customHeight="1" x14ac:dyDescent="0.2">
      <c r="A19" s="214" t="s">
        <v>1417</v>
      </c>
      <c r="B19" s="111" t="s">
        <v>2182</v>
      </c>
      <c r="C19" s="430"/>
      <c r="D19" s="129"/>
      <c r="E19" s="129" t="s">
        <v>1920</v>
      </c>
      <c r="F19" s="523"/>
      <c r="G19" s="28">
        <v>1</v>
      </c>
      <c r="H19" s="609"/>
      <c r="I19" s="610">
        <f t="shared" si="0"/>
        <v>0</v>
      </c>
    </row>
    <row r="20" spans="1:9" ht="18.75" customHeight="1" x14ac:dyDescent="0.2">
      <c r="A20" s="214" t="s">
        <v>1216</v>
      </c>
      <c r="B20" s="111" t="s">
        <v>481</v>
      </c>
      <c r="C20" s="430"/>
      <c r="D20" s="129"/>
      <c r="E20" s="129" t="s">
        <v>1920</v>
      </c>
      <c r="F20" s="523"/>
      <c r="G20" s="28">
        <v>1</v>
      </c>
      <c r="H20" s="609"/>
      <c r="I20" s="610">
        <f t="shared" si="0"/>
        <v>0</v>
      </c>
    </row>
    <row r="21" spans="1:9" ht="18" customHeight="1" x14ac:dyDescent="0.2">
      <c r="A21" s="214" t="s">
        <v>1164</v>
      </c>
      <c r="B21" s="111" t="s">
        <v>580</v>
      </c>
      <c r="C21" s="430"/>
      <c r="D21" s="129"/>
      <c r="E21" s="129" t="s">
        <v>1920</v>
      </c>
      <c r="F21" s="523"/>
      <c r="G21" s="28">
        <v>1</v>
      </c>
      <c r="H21" s="609"/>
      <c r="I21" s="610">
        <f t="shared" si="0"/>
        <v>0</v>
      </c>
    </row>
    <row r="22" spans="1:9" ht="18" customHeight="1" x14ac:dyDescent="0.2">
      <c r="A22" s="214" t="s">
        <v>1677</v>
      </c>
      <c r="B22" s="111" t="s">
        <v>2022</v>
      </c>
      <c r="C22" s="430"/>
      <c r="D22" s="129"/>
      <c r="E22" s="129">
        <v>56654</v>
      </c>
      <c r="F22" s="523"/>
      <c r="G22" s="28">
        <v>1</v>
      </c>
      <c r="H22" s="611"/>
      <c r="I22" s="610">
        <f t="shared" si="0"/>
        <v>0</v>
      </c>
    </row>
    <row r="23" spans="1:9" ht="18" customHeight="1" x14ac:dyDescent="0.2">
      <c r="A23" s="214" t="s">
        <v>105</v>
      </c>
      <c r="B23" s="111" t="s">
        <v>2118</v>
      </c>
      <c r="C23" s="430"/>
      <c r="D23" s="129"/>
      <c r="E23" s="129" t="s">
        <v>1975</v>
      </c>
      <c r="F23" s="523"/>
      <c r="G23" s="28">
        <v>3</v>
      </c>
      <c r="H23" s="609"/>
      <c r="I23" s="610">
        <f t="shared" si="0"/>
        <v>0</v>
      </c>
    </row>
    <row r="24" spans="1:9" ht="18" customHeight="1" x14ac:dyDescent="0.2">
      <c r="A24" s="214" t="s">
        <v>1221</v>
      </c>
      <c r="B24" s="111" t="s">
        <v>248</v>
      </c>
      <c r="C24" s="430"/>
      <c r="D24" s="129"/>
      <c r="E24" s="129" t="s">
        <v>1920</v>
      </c>
      <c r="F24" s="523"/>
      <c r="G24" s="28">
        <v>1</v>
      </c>
      <c r="H24" s="609"/>
      <c r="I24" s="610">
        <f t="shared" si="0"/>
        <v>0</v>
      </c>
    </row>
    <row r="25" spans="1:9" ht="18" customHeight="1" x14ac:dyDescent="0.2">
      <c r="A25" s="214" t="s">
        <v>85</v>
      </c>
      <c r="B25" s="111" t="s">
        <v>113</v>
      </c>
      <c r="C25" s="430"/>
      <c r="D25" s="129"/>
      <c r="E25" s="129" t="s">
        <v>1920</v>
      </c>
      <c r="F25" s="523"/>
      <c r="G25" s="28">
        <v>1</v>
      </c>
      <c r="H25" s="609"/>
      <c r="I25" s="610">
        <f t="shared" si="0"/>
        <v>0</v>
      </c>
    </row>
    <row r="26" spans="1:9" ht="18" customHeight="1" x14ac:dyDescent="0.2">
      <c r="A26" s="214" t="s">
        <v>2611</v>
      </c>
      <c r="B26" s="111" t="s">
        <v>2356</v>
      </c>
      <c r="C26" s="430"/>
      <c r="D26" s="129"/>
      <c r="E26" s="129" t="s">
        <v>1920</v>
      </c>
      <c r="F26" s="523"/>
      <c r="G26" s="28">
        <v>1</v>
      </c>
      <c r="H26" s="609"/>
      <c r="I26" s="610">
        <f t="shared" si="0"/>
        <v>0</v>
      </c>
    </row>
    <row r="27" spans="1:9" ht="18" customHeight="1" x14ac:dyDescent="0.2">
      <c r="A27" s="214" t="s">
        <v>3192</v>
      </c>
      <c r="B27" s="111" t="s">
        <v>2139</v>
      </c>
      <c r="C27" s="430"/>
      <c r="D27" s="129"/>
      <c r="E27" s="129" t="s">
        <v>1920</v>
      </c>
      <c r="F27" s="523"/>
      <c r="G27" s="28">
        <v>1</v>
      </c>
      <c r="H27" s="609"/>
      <c r="I27" s="610">
        <f t="shared" si="0"/>
        <v>0</v>
      </c>
    </row>
    <row r="28" spans="1:9" ht="18" customHeight="1" x14ac:dyDescent="0.2">
      <c r="I28" s="607">
        <f>SUM(I2:I27)</f>
        <v>0</v>
      </c>
    </row>
    <row r="31" spans="1:9" s="4" customFormat="1" x14ac:dyDescent="0.25">
      <c r="A31" s="4" t="s">
        <v>2140</v>
      </c>
      <c r="B31" s="3"/>
      <c r="C31" s="309"/>
      <c r="D31" s="3"/>
      <c r="E31" s="3"/>
      <c r="F31" s="309"/>
      <c r="G31" s="3"/>
      <c r="H31" s="531"/>
      <c r="I31" s="541"/>
    </row>
    <row r="32" spans="1:9" s="4" customFormat="1" x14ac:dyDescent="0.25">
      <c r="A32" s="4" t="s">
        <v>2983</v>
      </c>
      <c r="B32" s="3"/>
      <c r="C32" s="309"/>
      <c r="D32" s="3"/>
      <c r="E32" s="3"/>
      <c r="F32" s="309"/>
      <c r="G32" s="3"/>
      <c r="H32" s="531"/>
      <c r="I32" s="541"/>
    </row>
    <row r="33" spans="1:2" ht="18" customHeight="1" x14ac:dyDescent="0.25">
      <c r="A33" s="365" t="s">
        <v>3348</v>
      </c>
    </row>
    <row r="34" spans="1:2" ht="18" customHeight="1" x14ac:dyDescent="0.25">
      <c r="A34" s="612" t="s">
        <v>3367</v>
      </c>
      <c r="B34" s="613">
        <f>+I28</f>
        <v>0</v>
      </c>
    </row>
  </sheetData>
  <sortState xmlns:xlrd2="http://schemas.microsoft.com/office/spreadsheetml/2017/richdata2" ref="A4:H19">
    <sortCondition ref="B4:B19"/>
  </sortState>
  <pageMargins left="0.7" right="0.7" top="0.75" bottom="0.75" header="0.3" footer="0.3"/>
  <pageSetup scale="67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"/>
  <sheetViews>
    <sheetView workbookViewId="0">
      <pane ySplit="1" topLeftCell="A2" activePane="bottomLeft" state="frozen"/>
      <selection activeCell="C26" sqref="C26"/>
      <selection pane="bottomLeft" activeCell="C1" sqref="C1:C1048576"/>
    </sheetView>
  </sheetViews>
  <sheetFormatPr defaultRowHeight="15" x14ac:dyDescent="0.25"/>
  <cols>
    <col min="1" max="1" width="64.42578125" bestFit="1" customWidth="1"/>
    <col min="2" max="2" width="15.5703125" bestFit="1" customWidth="1"/>
    <col min="3" max="3" width="20.42578125" style="146" bestFit="1" customWidth="1"/>
    <col min="4" max="4" width="20.140625" bestFit="1" customWidth="1"/>
    <col min="5" max="5" width="12.42578125" bestFit="1" customWidth="1"/>
    <col min="6" max="6" width="15.5703125" style="307" bestFit="1" customWidth="1"/>
    <col min="7" max="7" width="10" bestFit="1" customWidth="1"/>
    <col min="8" max="8" width="11.42578125" style="614" bestFit="1" customWidth="1"/>
    <col min="9" max="9" width="16.85546875" style="614" bestFit="1" customWidth="1"/>
  </cols>
  <sheetData>
    <row r="1" spans="1:9" ht="15.75" x14ac:dyDescent="0.25">
      <c r="A1" s="91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323" t="s">
        <v>3372</v>
      </c>
      <c r="G1" s="91" t="s">
        <v>412</v>
      </c>
      <c r="H1" s="528" t="s">
        <v>3368</v>
      </c>
      <c r="I1" s="539" t="s">
        <v>3369</v>
      </c>
    </row>
    <row r="2" spans="1:9" ht="15.75" x14ac:dyDescent="0.25">
      <c r="A2" s="213" t="s">
        <v>177</v>
      </c>
      <c r="B2" s="111" t="s">
        <v>639</v>
      </c>
      <c r="C2" s="430"/>
      <c r="D2" s="129"/>
      <c r="E2" s="129" t="s">
        <v>1920</v>
      </c>
      <c r="F2" s="523"/>
      <c r="G2" s="28">
        <v>1</v>
      </c>
      <c r="H2" s="609"/>
      <c r="I2" s="558">
        <f>+G2*H2</f>
        <v>0</v>
      </c>
    </row>
    <row r="3" spans="1:9" ht="15.75" x14ac:dyDescent="0.25">
      <c r="A3" s="213" t="s">
        <v>194</v>
      </c>
      <c r="B3" s="111" t="s">
        <v>2542</v>
      </c>
      <c r="C3" s="430"/>
      <c r="D3" s="129"/>
      <c r="E3" s="129"/>
      <c r="F3" s="523"/>
      <c r="G3" s="28">
        <v>1</v>
      </c>
      <c r="H3" s="609"/>
      <c r="I3" s="558">
        <f>+G3*H3</f>
        <v>0</v>
      </c>
    </row>
    <row r="4" spans="1:9" s="20" customFormat="1" x14ac:dyDescent="0.25">
      <c r="C4" s="146"/>
      <c r="F4"/>
      <c r="H4" s="614"/>
      <c r="I4" s="614">
        <f>SUM(I2:I3)</f>
        <v>0</v>
      </c>
    </row>
    <row r="7" spans="1:9" ht="18" x14ac:dyDescent="0.25">
      <c r="A7" s="4" t="s">
        <v>2527</v>
      </c>
      <c r="B7" s="3"/>
      <c r="D7" s="3"/>
      <c r="E7" s="3"/>
      <c r="F7" s="309"/>
      <c r="G7" s="3"/>
      <c r="H7" s="531"/>
    </row>
    <row r="8" spans="1:9" ht="18" x14ac:dyDescent="0.25">
      <c r="A8" s="4" t="s">
        <v>2976</v>
      </c>
      <c r="B8" s="3"/>
      <c r="C8" s="309"/>
      <c r="D8" s="3"/>
      <c r="E8" s="3"/>
      <c r="F8" s="309"/>
      <c r="G8" s="3"/>
      <c r="H8" s="531"/>
    </row>
    <row r="9" spans="1:9" ht="18" x14ac:dyDescent="0.25">
      <c r="A9" s="365" t="s">
        <v>3347</v>
      </c>
    </row>
    <row r="10" spans="1:9" ht="18" x14ac:dyDescent="0.25">
      <c r="A10" s="612" t="s">
        <v>3367</v>
      </c>
      <c r="B10" s="613">
        <f>+I4</f>
        <v>0</v>
      </c>
    </row>
  </sheetData>
  <sortState xmlns:xlrd2="http://schemas.microsoft.com/office/spreadsheetml/2017/richdata2" ref="A2:H3">
    <sortCondition ref="B2:B3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462"/>
  <sheetViews>
    <sheetView workbookViewId="0">
      <pane ySplit="1" topLeftCell="A425" activePane="bottomLeft" state="frozen"/>
      <selection activeCell="C26" sqref="C26"/>
      <selection pane="bottomLeft" activeCell="G2" sqref="G2:G455"/>
    </sheetView>
  </sheetViews>
  <sheetFormatPr defaultRowHeight="15.75" x14ac:dyDescent="0.25"/>
  <cols>
    <col min="1" max="1" width="68.42578125" bestFit="1" customWidth="1"/>
    <col min="2" max="2" width="16.42578125" bestFit="1" customWidth="1"/>
    <col min="3" max="3" width="20.42578125" style="307" bestFit="1" customWidth="1"/>
    <col min="4" max="4" width="20.140625" bestFit="1" customWidth="1"/>
    <col min="5" max="5" width="12.42578125" bestFit="1" customWidth="1"/>
    <col min="6" max="6" width="15.5703125" style="307" bestFit="1" customWidth="1"/>
    <col min="7" max="7" width="10" bestFit="1" customWidth="1"/>
    <col min="8" max="8" width="11.42578125" style="614" bestFit="1" customWidth="1"/>
    <col min="9" max="9" width="16.85546875" style="617" bestFit="1" customWidth="1"/>
    <col min="11" max="11" width="1.5703125" bestFit="1" customWidth="1"/>
  </cols>
  <sheetData>
    <row r="1" spans="1:11" x14ac:dyDescent="0.25">
      <c r="A1" s="281" t="s">
        <v>0</v>
      </c>
      <c r="B1" s="286" t="s">
        <v>1</v>
      </c>
      <c r="C1" s="367" t="s">
        <v>3373</v>
      </c>
      <c r="D1" s="285" t="s">
        <v>1872</v>
      </c>
      <c r="E1" s="285" t="s">
        <v>1873</v>
      </c>
      <c r="F1" s="323" t="s">
        <v>3372</v>
      </c>
      <c r="G1" s="282" t="s">
        <v>412</v>
      </c>
      <c r="H1" s="528" t="s">
        <v>3368</v>
      </c>
      <c r="I1" s="539" t="s">
        <v>3369</v>
      </c>
    </row>
    <row r="2" spans="1:11" x14ac:dyDescent="0.25">
      <c r="A2" s="213" t="s">
        <v>463</v>
      </c>
      <c r="B2" s="111" t="s">
        <v>3086</v>
      </c>
      <c r="C2" s="457"/>
      <c r="D2" s="129"/>
      <c r="E2" s="129"/>
      <c r="F2" s="523"/>
      <c r="G2" s="28">
        <v>1</v>
      </c>
      <c r="H2" s="609"/>
      <c r="I2" s="519">
        <f>+Table10[[#This Row],[Quantity]]*Table10[[#This Row],[Unit Price]]</f>
        <v>0</v>
      </c>
    </row>
    <row r="3" spans="1:11" x14ac:dyDescent="0.25">
      <c r="A3" s="213" t="s">
        <v>834</v>
      </c>
      <c r="B3" s="111">
        <v>2050</v>
      </c>
      <c r="C3" s="457"/>
      <c r="D3" s="129"/>
      <c r="E3" s="129"/>
      <c r="F3" s="523"/>
      <c r="G3" s="28">
        <v>1</v>
      </c>
      <c r="H3" s="609"/>
      <c r="I3" s="519">
        <f>+Table10[[#This Row],[Quantity]]*Table10[[#This Row],[Unit Price]]</f>
        <v>0</v>
      </c>
    </row>
    <row r="4" spans="1:11" x14ac:dyDescent="0.25">
      <c r="A4" s="213" t="s">
        <v>1625</v>
      </c>
      <c r="B4" s="111" t="s">
        <v>1849</v>
      </c>
      <c r="C4" s="457"/>
      <c r="D4" s="129"/>
      <c r="E4" s="129"/>
      <c r="F4" s="523"/>
      <c r="G4" s="28">
        <v>1</v>
      </c>
      <c r="H4" s="609"/>
      <c r="I4" s="519">
        <f>+Table10[[#This Row],[Quantity]]*Table10[[#This Row],[Unit Price]]</f>
        <v>0</v>
      </c>
    </row>
    <row r="5" spans="1:11" x14ac:dyDescent="0.25">
      <c r="A5" s="213" t="s">
        <v>1211</v>
      </c>
      <c r="B5" s="111" t="s">
        <v>1990</v>
      </c>
      <c r="C5" s="457"/>
      <c r="D5" s="129"/>
      <c r="E5" s="129"/>
      <c r="F5" s="622"/>
      <c r="G5" s="28">
        <v>1</v>
      </c>
      <c r="H5" s="609"/>
      <c r="I5" s="519">
        <f>+Table10[[#This Row],[Quantity]]*Table10[[#This Row],[Unit Price]]</f>
        <v>0</v>
      </c>
    </row>
    <row r="6" spans="1:11" x14ac:dyDescent="0.25">
      <c r="A6" s="213" t="s">
        <v>385</v>
      </c>
      <c r="B6" s="111" t="s">
        <v>934</v>
      </c>
      <c r="C6" s="457"/>
      <c r="D6" s="129"/>
      <c r="E6" s="129"/>
      <c r="F6" s="622"/>
      <c r="G6" s="28">
        <v>1</v>
      </c>
      <c r="H6" s="609"/>
      <c r="I6" s="519">
        <f>+Table10[[#This Row],[Quantity]]*Table10[[#This Row],[Unit Price]]</f>
        <v>0</v>
      </c>
    </row>
    <row r="7" spans="1:11" s="117" customFormat="1" ht="15" x14ac:dyDescent="0.2">
      <c r="A7" s="213" t="s">
        <v>2091</v>
      </c>
      <c r="B7" s="111" t="s">
        <v>2090</v>
      </c>
      <c r="C7" s="457"/>
      <c r="D7" s="129"/>
      <c r="E7" s="129"/>
      <c r="F7" s="622"/>
      <c r="G7" s="28">
        <v>2</v>
      </c>
      <c r="H7" s="609"/>
      <c r="I7" s="615">
        <f>+Table10[[#This Row],[Quantity]]*Table10[[#This Row],[Unit Price]]</f>
        <v>0</v>
      </c>
    </row>
    <row r="8" spans="1:11" s="117" customFormat="1" ht="15" x14ac:dyDescent="0.2">
      <c r="A8" s="213" t="s">
        <v>1534</v>
      </c>
      <c r="B8" s="111" t="s">
        <v>432</v>
      </c>
      <c r="C8" s="457"/>
      <c r="D8" s="129"/>
      <c r="E8" s="129"/>
      <c r="F8" s="622"/>
      <c r="G8" s="28">
        <v>1</v>
      </c>
      <c r="H8" s="609"/>
      <c r="I8" s="615">
        <f>+Table10[[#This Row],[Quantity]]*Table10[[#This Row],[Unit Price]]</f>
        <v>0</v>
      </c>
    </row>
    <row r="9" spans="1:11" s="117" customFormat="1" ht="15" x14ac:dyDescent="0.2">
      <c r="A9" s="213" t="s">
        <v>1140</v>
      </c>
      <c r="B9" s="111" t="s">
        <v>204</v>
      </c>
      <c r="C9" s="457"/>
      <c r="D9" s="129"/>
      <c r="E9" s="129"/>
      <c r="F9" s="622"/>
      <c r="G9" s="28">
        <v>1</v>
      </c>
      <c r="H9" s="609"/>
      <c r="I9" s="615">
        <f>+Table10[[#This Row],[Quantity]]*Table10[[#This Row],[Unit Price]]</f>
        <v>0</v>
      </c>
    </row>
    <row r="10" spans="1:11" s="117" customFormat="1" ht="15" x14ac:dyDescent="0.2">
      <c r="A10" s="213" t="s">
        <v>1145</v>
      </c>
      <c r="B10" s="111" t="s">
        <v>333</v>
      </c>
      <c r="C10" s="457"/>
      <c r="D10" s="129"/>
      <c r="E10" s="129"/>
      <c r="F10" s="622"/>
      <c r="G10" s="28">
        <v>1</v>
      </c>
      <c r="H10" s="609"/>
      <c r="I10" s="615">
        <f>+Table10[[#This Row],[Quantity]]*Table10[[#This Row],[Unit Price]]</f>
        <v>0</v>
      </c>
    </row>
    <row r="11" spans="1:11" s="117" customFormat="1" ht="15" x14ac:dyDescent="0.2">
      <c r="A11" s="213" t="s">
        <v>1143</v>
      </c>
      <c r="B11" s="111" t="s">
        <v>332</v>
      </c>
      <c r="C11" s="457"/>
      <c r="D11" s="129"/>
      <c r="E11" s="129"/>
      <c r="F11" s="622"/>
      <c r="G11" s="28">
        <v>1</v>
      </c>
      <c r="H11" s="609"/>
      <c r="I11" s="615">
        <f>+Table10[[#This Row],[Quantity]]*Table10[[#This Row],[Unit Price]]</f>
        <v>0</v>
      </c>
    </row>
    <row r="12" spans="1:11" s="117" customFormat="1" ht="15" x14ac:dyDescent="0.2">
      <c r="A12" s="213" t="s">
        <v>1148</v>
      </c>
      <c r="B12" s="111" t="s">
        <v>335</v>
      </c>
      <c r="C12" s="457"/>
      <c r="D12" s="129"/>
      <c r="E12" s="129"/>
      <c r="F12" s="622"/>
      <c r="G12" s="28">
        <v>1</v>
      </c>
      <c r="H12" s="609"/>
      <c r="I12" s="615">
        <f>+Table10[[#This Row],[Quantity]]*Table10[[#This Row],[Unit Price]]</f>
        <v>0</v>
      </c>
    </row>
    <row r="13" spans="1:11" s="117" customFormat="1" ht="15" x14ac:dyDescent="0.2">
      <c r="A13" s="213" t="s">
        <v>1535</v>
      </c>
      <c r="B13" s="111" t="s">
        <v>433</v>
      </c>
      <c r="C13" s="457"/>
      <c r="D13" s="129"/>
      <c r="E13" s="129"/>
      <c r="F13" s="622"/>
      <c r="G13" s="28">
        <v>1</v>
      </c>
      <c r="H13" s="609"/>
      <c r="I13" s="615">
        <f>+Table10[[#This Row],[Quantity]]*Table10[[#This Row],[Unit Price]]</f>
        <v>0</v>
      </c>
    </row>
    <row r="14" spans="1:11" s="117" customFormat="1" ht="15" x14ac:dyDescent="0.2">
      <c r="A14" s="213" t="s">
        <v>1200</v>
      </c>
      <c r="B14" s="111" t="s">
        <v>100</v>
      </c>
      <c r="C14" s="457"/>
      <c r="D14" s="129"/>
      <c r="E14" s="129"/>
      <c r="F14" s="622"/>
      <c r="G14" s="28">
        <v>1</v>
      </c>
      <c r="H14" s="609"/>
      <c r="I14" s="615">
        <f>+Table10[[#This Row],[Quantity]]*Table10[[#This Row],[Unit Price]]</f>
        <v>0</v>
      </c>
      <c r="K14" s="117" t="s">
        <v>2217</v>
      </c>
    </row>
    <row r="15" spans="1:11" s="117" customFormat="1" ht="15" x14ac:dyDescent="0.2">
      <c r="A15" s="213" t="s">
        <v>2556</v>
      </c>
      <c r="B15" s="111" t="s">
        <v>2475</v>
      </c>
      <c r="C15" s="457"/>
      <c r="D15" s="129"/>
      <c r="E15" s="129"/>
      <c r="F15" s="622"/>
      <c r="G15" s="28">
        <v>1</v>
      </c>
      <c r="H15" s="609"/>
      <c r="I15" s="615">
        <f>+Table10[[#This Row],[Quantity]]*Table10[[#This Row],[Unit Price]]</f>
        <v>0</v>
      </c>
    </row>
    <row r="16" spans="1:11" s="117" customFormat="1" ht="15" x14ac:dyDescent="0.2">
      <c r="A16" s="213" t="s">
        <v>1201</v>
      </c>
      <c r="B16" s="111" t="s">
        <v>863</v>
      </c>
      <c r="C16" s="457"/>
      <c r="D16" s="129"/>
      <c r="E16" s="129"/>
      <c r="F16" s="622"/>
      <c r="G16" s="28">
        <v>1</v>
      </c>
      <c r="H16" s="609"/>
      <c r="I16" s="615">
        <f>+Table10[[#This Row],[Quantity]]*Table10[[#This Row],[Unit Price]]</f>
        <v>0</v>
      </c>
    </row>
    <row r="17" spans="1:9" s="117" customFormat="1" ht="15" x14ac:dyDescent="0.2">
      <c r="A17" s="213" t="s">
        <v>1094</v>
      </c>
      <c r="B17" s="111" t="s">
        <v>508</v>
      </c>
      <c r="C17" s="457"/>
      <c r="D17" s="129"/>
      <c r="E17" s="129"/>
      <c r="F17" s="622"/>
      <c r="G17" s="28">
        <v>1</v>
      </c>
      <c r="H17" s="609"/>
      <c r="I17" s="615">
        <f>+Table10[[#This Row],[Quantity]]*Table10[[#This Row],[Unit Price]]</f>
        <v>0</v>
      </c>
    </row>
    <row r="18" spans="1:9" s="117" customFormat="1" ht="15" x14ac:dyDescent="0.2">
      <c r="A18" s="213" t="s">
        <v>2544</v>
      </c>
      <c r="B18" s="111" t="s">
        <v>2476</v>
      </c>
      <c r="C18" s="457"/>
      <c r="D18" s="129"/>
      <c r="E18" s="129"/>
      <c r="F18" s="622"/>
      <c r="G18" s="28">
        <v>1</v>
      </c>
      <c r="H18" s="609"/>
      <c r="I18" s="615">
        <f>+Table10[[#This Row],[Quantity]]*Table10[[#This Row],[Unit Price]]</f>
        <v>0</v>
      </c>
    </row>
    <row r="19" spans="1:9" s="117" customFormat="1" ht="15" x14ac:dyDescent="0.2">
      <c r="A19" s="213" t="s">
        <v>2545</v>
      </c>
      <c r="B19" s="111" t="s">
        <v>2477</v>
      </c>
      <c r="C19" s="457"/>
      <c r="D19" s="129"/>
      <c r="E19" s="129"/>
      <c r="F19" s="622"/>
      <c r="G19" s="28">
        <v>1</v>
      </c>
      <c r="H19" s="609"/>
      <c r="I19" s="615">
        <f>+Table10[[#This Row],[Quantity]]*Table10[[#This Row],[Unit Price]]</f>
        <v>0</v>
      </c>
    </row>
    <row r="20" spans="1:9" s="117" customFormat="1" ht="15" x14ac:dyDescent="0.2">
      <c r="A20" s="213" t="s">
        <v>2546</v>
      </c>
      <c r="B20" s="111" t="s">
        <v>2478</v>
      </c>
      <c r="C20" s="457"/>
      <c r="D20" s="129"/>
      <c r="E20" s="129"/>
      <c r="F20" s="622"/>
      <c r="G20" s="28">
        <v>1</v>
      </c>
      <c r="H20" s="609"/>
      <c r="I20" s="615">
        <f>+Table10[[#This Row],[Quantity]]*Table10[[#This Row],[Unit Price]]</f>
        <v>0</v>
      </c>
    </row>
    <row r="21" spans="1:9" s="117" customFormat="1" ht="15" x14ac:dyDescent="0.2">
      <c r="A21" s="213" t="s">
        <v>2547</v>
      </c>
      <c r="B21" s="111" t="s">
        <v>2479</v>
      </c>
      <c r="C21" s="457"/>
      <c r="D21" s="129"/>
      <c r="E21" s="129"/>
      <c r="F21" s="622"/>
      <c r="G21" s="28">
        <v>1</v>
      </c>
      <c r="H21" s="609"/>
      <c r="I21" s="615">
        <f>+Table10[[#This Row],[Quantity]]*Table10[[#This Row],[Unit Price]]</f>
        <v>0</v>
      </c>
    </row>
    <row r="22" spans="1:9" s="117" customFormat="1" ht="15" x14ac:dyDescent="0.2">
      <c r="A22" s="213" t="s">
        <v>2548</v>
      </c>
      <c r="B22" s="111" t="s">
        <v>2480</v>
      </c>
      <c r="C22" s="457"/>
      <c r="D22" s="129"/>
      <c r="E22" s="129"/>
      <c r="F22" s="622"/>
      <c r="G22" s="28">
        <v>1</v>
      </c>
      <c r="H22" s="609"/>
      <c r="I22" s="615">
        <f>+Table10[[#This Row],[Quantity]]*Table10[[#This Row],[Unit Price]]</f>
        <v>0</v>
      </c>
    </row>
    <row r="23" spans="1:9" s="117" customFormat="1" ht="15" x14ac:dyDescent="0.2">
      <c r="A23" s="213" t="s">
        <v>2549</v>
      </c>
      <c r="B23" s="111" t="s">
        <v>2481</v>
      </c>
      <c r="C23" s="457"/>
      <c r="D23" s="129"/>
      <c r="E23" s="129"/>
      <c r="F23" s="622"/>
      <c r="G23" s="28">
        <v>1</v>
      </c>
      <c r="H23" s="609"/>
      <c r="I23" s="615">
        <f>+Table10[[#This Row],[Quantity]]*Table10[[#This Row],[Unit Price]]</f>
        <v>0</v>
      </c>
    </row>
    <row r="24" spans="1:9" x14ac:dyDescent="0.25">
      <c r="A24" s="213" t="s">
        <v>2550</v>
      </c>
      <c r="B24" s="111" t="s">
        <v>2482</v>
      </c>
      <c r="C24" s="457"/>
      <c r="D24" s="129"/>
      <c r="E24" s="129"/>
      <c r="F24" s="622"/>
      <c r="G24" s="28">
        <v>1</v>
      </c>
      <c r="H24" s="609"/>
      <c r="I24" s="519">
        <f>+Table10[[#This Row],[Quantity]]*Table10[[#This Row],[Unit Price]]</f>
        <v>0</v>
      </c>
    </row>
    <row r="25" spans="1:9" x14ac:dyDescent="0.25">
      <c r="A25" s="213" t="s">
        <v>1095</v>
      </c>
      <c r="B25" s="111" t="s">
        <v>46</v>
      </c>
      <c r="C25" s="457"/>
      <c r="D25" s="129"/>
      <c r="E25" s="129"/>
      <c r="F25" s="622"/>
      <c r="G25" s="28">
        <v>1</v>
      </c>
      <c r="H25" s="609"/>
      <c r="I25" s="519">
        <f>+Table10[[#This Row],[Quantity]]*Table10[[#This Row],[Unit Price]]</f>
        <v>0</v>
      </c>
    </row>
    <row r="26" spans="1:9" x14ac:dyDescent="0.25">
      <c r="A26" s="213" t="s">
        <v>2551</v>
      </c>
      <c r="B26" s="111" t="s">
        <v>2483</v>
      </c>
      <c r="C26" s="457"/>
      <c r="D26" s="129"/>
      <c r="E26" s="129"/>
      <c r="F26" s="622"/>
      <c r="G26" s="28">
        <v>1</v>
      </c>
      <c r="H26" s="609"/>
      <c r="I26" s="519">
        <f>+Table10[[#This Row],[Quantity]]*Table10[[#This Row],[Unit Price]]</f>
        <v>0</v>
      </c>
    </row>
    <row r="27" spans="1:9" x14ac:dyDescent="0.25">
      <c r="A27" s="213" t="s">
        <v>2552</v>
      </c>
      <c r="B27" s="111" t="s">
        <v>2484</v>
      </c>
      <c r="C27" s="457"/>
      <c r="D27" s="129"/>
      <c r="E27" s="129"/>
      <c r="F27" s="622"/>
      <c r="G27" s="28">
        <v>1</v>
      </c>
      <c r="H27" s="609"/>
      <c r="I27" s="519">
        <f>+Table10[[#This Row],[Quantity]]*Table10[[#This Row],[Unit Price]]</f>
        <v>0</v>
      </c>
    </row>
    <row r="28" spans="1:9" x14ac:dyDescent="0.25">
      <c r="A28" s="213" t="s">
        <v>2553</v>
      </c>
      <c r="B28" s="111" t="s">
        <v>2485</v>
      </c>
      <c r="C28" s="457"/>
      <c r="D28" s="129"/>
      <c r="E28" s="129"/>
      <c r="F28" s="622"/>
      <c r="G28" s="28">
        <v>1</v>
      </c>
      <c r="H28" s="609"/>
      <c r="I28" s="519">
        <f>+Table10[[#This Row],[Quantity]]*Table10[[#This Row],[Unit Price]]</f>
        <v>0</v>
      </c>
    </row>
    <row r="29" spans="1:9" x14ac:dyDescent="0.25">
      <c r="A29" s="213" t="s">
        <v>2554</v>
      </c>
      <c r="B29" s="111" t="s">
        <v>2486</v>
      </c>
      <c r="C29" s="457"/>
      <c r="D29" s="129"/>
      <c r="E29" s="129"/>
      <c r="F29" s="622"/>
      <c r="G29" s="28">
        <v>1</v>
      </c>
      <c r="H29" s="609"/>
      <c r="I29" s="519">
        <f>+Table10[[#This Row],[Quantity]]*Table10[[#This Row],[Unit Price]]</f>
        <v>0</v>
      </c>
    </row>
    <row r="30" spans="1:9" x14ac:dyDescent="0.25">
      <c r="A30" s="213" t="s">
        <v>2555</v>
      </c>
      <c r="B30" s="111" t="s">
        <v>2487</v>
      </c>
      <c r="C30" s="457"/>
      <c r="D30" s="129"/>
      <c r="E30" s="129"/>
      <c r="F30" s="622"/>
      <c r="G30" s="28">
        <v>1</v>
      </c>
      <c r="H30" s="609"/>
      <c r="I30" s="519">
        <f>+Table10[[#This Row],[Quantity]]*Table10[[#This Row],[Unit Price]]</f>
        <v>0</v>
      </c>
    </row>
    <row r="31" spans="1:9" x14ac:dyDescent="0.25">
      <c r="A31" s="213" t="s">
        <v>1137</v>
      </c>
      <c r="B31" s="111" t="s">
        <v>431</v>
      </c>
      <c r="C31" s="457"/>
      <c r="D31" s="129"/>
      <c r="E31" s="129"/>
      <c r="F31" s="622"/>
      <c r="G31" s="28">
        <v>1</v>
      </c>
      <c r="H31" s="609"/>
      <c r="I31" s="519">
        <f>+Table10[[#This Row],[Quantity]]*Table10[[#This Row],[Unit Price]]</f>
        <v>0</v>
      </c>
    </row>
    <row r="32" spans="1:9" x14ac:dyDescent="0.25">
      <c r="A32" s="213" t="s">
        <v>1135</v>
      </c>
      <c r="B32" s="111" t="s">
        <v>331</v>
      </c>
      <c r="C32" s="457"/>
      <c r="D32" s="129"/>
      <c r="E32" s="129"/>
      <c r="F32" s="622"/>
      <c r="G32" s="28">
        <v>1</v>
      </c>
      <c r="H32" s="609"/>
      <c r="I32" s="519">
        <f>+Table10[[#This Row],[Quantity]]*Table10[[#This Row],[Unit Price]]</f>
        <v>0</v>
      </c>
    </row>
    <row r="33" spans="1:9" x14ac:dyDescent="0.25">
      <c r="A33" s="213" t="s">
        <v>1138</v>
      </c>
      <c r="B33" s="111" t="s">
        <v>336</v>
      </c>
      <c r="C33" s="457"/>
      <c r="D33" s="129"/>
      <c r="E33" s="129"/>
      <c r="F33" s="622"/>
      <c r="G33" s="28">
        <v>1</v>
      </c>
      <c r="H33" s="609"/>
      <c r="I33" s="519">
        <f>+Table10[[#This Row],[Quantity]]*Table10[[#This Row],[Unit Price]]</f>
        <v>0</v>
      </c>
    </row>
    <row r="34" spans="1:9" x14ac:dyDescent="0.25">
      <c r="A34" s="213" t="s">
        <v>1639</v>
      </c>
      <c r="B34" s="111" t="s">
        <v>730</v>
      </c>
      <c r="C34" s="457"/>
      <c r="D34" s="129"/>
      <c r="E34" s="129"/>
      <c r="F34" s="622"/>
      <c r="G34" s="28">
        <v>1</v>
      </c>
      <c r="H34" s="609"/>
      <c r="I34" s="519">
        <f>+Table10[[#This Row],[Quantity]]*Table10[[#This Row],[Unit Price]]</f>
        <v>0</v>
      </c>
    </row>
    <row r="35" spans="1:9" x14ac:dyDescent="0.25">
      <c r="A35" s="213" t="s">
        <v>1157</v>
      </c>
      <c r="B35" s="111" t="s">
        <v>2193</v>
      </c>
      <c r="C35" s="457"/>
      <c r="D35" s="129"/>
      <c r="E35" s="129"/>
      <c r="F35" s="622"/>
      <c r="G35" s="28">
        <v>1</v>
      </c>
      <c r="H35" s="609"/>
      <c r="I35" s="519">
        <f>+Table10[[#This Row],[Quantity]]*Table10[[#This Row],[Unit Price]]</f>
        <v>0</v>
      </c>
    </row>
    <row r="36" spans="1:9" x14ac:dyDescent="0.25">
      <c r="A36" s="213" t="s">
        <v>1657</v>
      </c>
      <c r="B36" s="111" t="s">
        <v>854</v>
      </c>
      <c r="C36" s="457"/>
      <c r="D36" s="129"/>
      <c r="E36" s="129"/>
      <c r="F36" s="622"/>
      <c r="G36" s="28">
        <v>1</v>
      </c>
      <c r="H36" s="609"/>
      <c r="I36" s="519">
        <f>+Table10[[#This Row],[Quantity]]*Table10[[#This Row],[Unit Price]]</f>
        <v>0</v>
      </c>
    </row>
    <row r="37" spans="1:9" x14ac:dyDescent="0.25">
      <c r="A37" s="213" t="s">
        <v>2490</v>
      </c>
      <c r="B37" s="111" t="s">
        <v>2491</v>
      </c>
      <c r="C37" s="457"/>
      <c r="D37" s="129"/>
      <c r="E37" s="129"/>
      <c r="F37" s="622"/>
      <c r="G37" s="28">
        <v>1</v>
      </c>
      <c r="H37" s="609"/>
      <c r="I37" s="519">
        <f>+Table10[[#This Row],[Quantity]]*Table10[[#This Row],[Unit Price]]</f>
        <v>0</v>
      </c>
    </row>
    <row r="38" spans="1:9" x14ac:dyDescent="0.25">
      <c r="A38" s="213" t="s">
        <v>1703</v>
      </c>
      <c r="B38" s="111" t="s">
        <v>2011</v>
      </c>
      <c r="C38" s="457"/>
      <c r="D38" s="129"/>
      <c r="E38" s="129">
        <v>89750</v>
      </c>
      <c r="F38" s="622"/>
      <c r="G38" s="28">
        <v>1</v>
      </c>
      <c r="H38" s="609"/>
      <c r="I38" s="519">
        <f>+Table10[[#This Row],[Quantity]]*Table10[[#This Row],[Unit Price]]</f>
        <v>0</v>
      </c>
    </row>
    <row r="39" spans="1:9" x14ac:dyDescent="0.25">
      <c r="A39" s="213" t="s">
        <v>1701</v>
      </c>
      <c r="B39" s="111" t="s">
        <v>2013</v>
      </c>
      <c r="C39" s="457"/>
      <c r="D39" s="129"/>
      <c r="E39" s="129">
        <v>89750</v>
      </c>
      <c r="F39" s="622"/>
      <c r="G39" s="28">
        <v>1</v>
      </c>
      <c r="H39" s="609"/>
      <c r="I39" s="519">
        <f>+Table10[[#This Row],[Quantity]]*Table10[[#This Row],[Unit Price]]</f>
        <v>0</v>
      </c>
    </row>
    <row r="40" spans="1:9" x14ac:dyDescent="0.25">
      <c r="A40" s="213" t="s">
        <v>1702</v>
      </c>
      <c r="B40" s="111" t="s">
        <v>2014</v>
      </c>
      <c r="C40" s="457"/>
      <c r="D40" s="129"/>
      <c r="E40" s="129">
        <v>89750</v>
      </c>
      <c r="F40" s="622"/>
      <c r="G40" s="28">
        <v>1</v>
      </c>
      <c r="H40" s="609"/>
      <c r="I40" s="519">
        <f>+Table10[[#This Row],[Quantity]]*Table10[[#This Row],[Unit Price]]</f>
        <v>0</v>
      </c>
    </row>
    <row r="41" spans="1:9" x14ac:dyDescent="0.25">
      <c r="A41" s="213" t="s">
        <v>3237</v>
      </c>
      <c r="B41" s="111" t="s">
        <v>2015</v>
      </c>
      <c r="C41" s="457"/>
      <c r="D41" s="129"/>
      <c r="E41" s="129">
        <v>89750</v>
      </c>
      <c r="F41" s="622"/>
      <c r="G41" s="28">
        <v>1</v>
      </c>
      <c r="H41" s="609"/>
      <c r="I41" s="519">
        <f>+Table10[[#This Row],[Quantity]]*Table10[[#This Row],[Unit Price]]</f>
        <v>0</v>
      </c>
    </row>
    <row r="42" spans="1:9" x14ac:dyDescent="0.25">
      <c r="A42" s="213" t="s">
        <v>1486</v>
      </c>
      <c r="B42" s="111" t="s">
        <v>1989</v>
      </c>
      <c r="C42" s="457"/>
      <c r="D42" s="129"/>
      <c r="E42" s="129">
        <v>89750</v>
      </c>
      <c r="F42" s="622"/>
      <c r="G42" s="28">
        <v>1</v>
      </c>
      <c r="H42" s="609"/>
      <c r="I42" s="519">
        <f>+Table10[[#This Row],[Quantity]]*Table10[[#This Row],[Unit Price]]</f>
        <v>0</v>
      </c>
    </row>
    <row r="43" spans="1:9" x14ac:dyDescent="0.25">
      <c r="A43" s="213" t="s">
        <v>3238</v>
      </c>
      <c r="B43" s="111" t="s">
        <v>2733</v>
      </c>
      <c r="C43" s="457"/>
      <c r="D43" s="129"/>
      <c r="E43" s="129">
        <v>89750</v>
      </c>
      <c r="F43" s="622"/>
      <c r="G43" s="28">
        <v>1</v>
      </c>
      <c r="H43" s="609"/>
      <c r="I43" s="519">
        <f>+Table10[[#This Row],[Quantity]]*Table10[[#This Row],[Unit Price]]</f>
        <v>0</v>
      </c>
    </row>
    <row r="44" spans="1:9" x14ac:dyDescent="0.25">
      <c r="A44" s="213" t="s">
        <v>1487</v>
      </c>
      <c r="B44" s="111" t="s">
        <v>2019</v>
      </c>
      <c r="C44" s="457"/>
      <c r="D44" s="129"/>
      <c r="E44" s="129">
        <v>89750</v>
      </c>
      <c r="F44" s="622"/>
      <c r="G44" s="28">
        <v>1</v>
      </c>
      <c r="H44" s="609"/>
      <c r="I44" s="519">
        <f>+Table10[[#This Row],[Quantity]]*Table10[[#This Row],[Unit Price]]</f>
        <v>0</v>
      </c>
    </row>
    <row r="45" spans="1:9" x14ac:dyDescent="0.25">
      <c r="A45" s="213" t="s">
        <v>2704</v>
      </c>
      <c r="B45" s="111" t="s">
        <v>2505</v>
      </c>
      <c r="C45" s="457"/>
      <c r="D45" s="129"/>
      <c r="E45" s="129"/>
      <c r="F45" s="622"/>
      <c r="G45" s="28">
        <v>1</v>
      </c>
      <c r="H45" s="609"/>
      <c r="I45" s="519">
        <f>+Table10[[#This Row],[Quantity]]*Table10[[#This Row],[Unit Price]]</f>
        <v>0</v>
      </c>
    </row>
    <row r="46" spans="1:9" x14ac:dyDescent="0.25">
      <c r="A46" s="213" t="s">
        <v>2705</v>
      </c>
      <c r="B46" s="111" t="s">
        <v>2506</v>
      </c>
      <c r="C46" s="457"/>
      <c r="D46" s="129"/>
      <c r="E46" s="129"/>
      <c r="F46" s="622"/>
      <c r="G46" s="28">
        <v>1</v>
      </c>
      <c r="H46" s="609"/>
      <c r="I46" s="519">
        <f>+Table10[[#This Row],[Quantity]]*Table10[[#This Row],[Unit Price]]</f>
        <v>0</v>
      </c>
    </row>
    <row r="47" spans="1:9" x14ac:dyDescent="0.25">
      <c r="A47" s="213" t="s">
        <v>2706</v>
      </c>
      <c r="B47" s="111" t="s">
        <v>2504</v>
      </c>
      <c r="C47" s="457"/>
      <c r="D47" s="129"/>
      <c r="E47" s="129"/>
      <c r="F47" s="622"/>
      <c r="G47" s="28">
        <v>1</v>
      </c>
      <c r="H47" s="609"/>
      <c r="I47" s="519">
        <f>+Table10[[#This Row],[Quantity]]*Table10[[#This Row],[Unit Price]]</f>
        <v>0</v>
      </c>
    </row>
    <row r="48" spans="1:9" x14ac:dyDescent="0.25">
      <c r="A48" s="213" t="s">
        <v>1673</v>
      </c>
      <c r="B48" s="111" t="s">
        <v>709</v>
      </c>
      <c r="C48" s="457"/>
      <c r="D48" s="129"/>
      <c r="E48" s="129"/>
      <c r="F48" s="622"/>
      <c r="G48" s="28">
        <v>1</v>
      </c>
      <c r="H48" s="609"/>
      <c r="I48" s="519">
        <f>+Table10[[#This Row],[Quantity]]*Table10[[#This Row],[Unit Price]]</f>
        <v>0</v>
      </c>
    </row>
    <row r="49" spans="1:9" x14ac:dyDescent="0.25">
      <c r="A49" s="213" t="s">
        <v>1870</v>
      </c>
      <c r="B49" s="111" t="s">
        <v>629</v>
      </c>
      <c r="C49" s="457"/>
      <c r="D49" s="129"/>
      <c r="E49" s="129"/>
      <c r="F49" s="622"/>
      <c r="G49" s="28">
        <v>1</v>
      </c>
      <c r="H49" s="609"/>
      <c r="I49" s="519">
        <f>+Table10[[#This Row],[Quantity]]*Table10[[#This Row],[Unit Price]]</f>
        <v>0</v>
      </c>
    </row>
    <row r="50" spans="1:9" x14ac:dyDescent="0.25">
      <c r="A50" s="213" t="s">
        <v>1039</v>
      </c>
      <c r="B50" s="111" t="s">
        <v>243</v>
      </c>
      <c r="C50" s="457"/>
      <c r="D50" s="129"/>
      <c r="E50" s="129"/>
      <c r="F50" s="622"/>
      <c r="G50" s="28">
        <v>1</v>
      </c>
      <c r="H50" s="609"/>
      <c r="I50" s="519">
        <f>+Table10[[#This Row],[Quantity]]*Table10[[#This Row],[Unit Price]]</f>
        <v>0</v>
      </c>
    </row>
    <row r="51" spans="1:9" x14ac:dyDescent="0.25">
      <c r="A51" s="213" t="s">
        <v>1197</v>
      </c>
      <c r="B51" s="111" t="s">
        <v>80</v>
      </c>
      <c r="C51" s="457"/>
      <c r="D51" s="129"/>
      <c r="E51" s="129">
        <v>55719</v>
      </c>
      <c r="F51" s="622"/>
      <c r="G51" s="28">
        <v>1</v>
      </c>
      <c r="H51" s="609"/>
      <c r="I51" s="519">
        <f>+Table10[[#This Row],[Quantity]]*Table10[[#This Row],[Unit Price]]</f>
        <v>0</v>
      </c>
    </row>
    <row r="52" spans="1:9" x14ac:dyDescent="0.25">
      <c r="A52" s="213" t="s">
        <v>1051</v>
      </c>
      <c r="B52" s="111" t="s">
        <v>317</v>
      </c>
      <c r="C52" s="457"/>
      <c r="D52" s="129"/>
      <c r="E52" s="129">
        <v>55719</v>
      </c>
      <c r="F52" s="622"/>
      <c r="G52" s="28">
        <v>1</v>
      </c>
      <c r="H52" s="609"/>
      <c r="I52" s="519">
        <f>+Table10[[#This Row],[Quantity]]*Table10[[#This Row],[Unit Price]]</f>
        <v>0</v>
      </c>
    </row>
    <row r="53" spans="1:9" x14ac:dyDescent="0.25">
      <c r="A53" s="213" t="s">
        <v>3243</v>
      </c>
      <c r="B53" s="111" t="s">
        <v>82</v>
      </c>
      <c r="C53" s="457"/>
      <c r="D53" s="129"/>
      <c r="E53" s="129">
        <v>55719</v>
      </c>
      <c r="F53" s="622"/>
      <c r="G53" s="28">
        <v>1</v>
      </c>
      <c r="H53" s="609"/>
      <c r="I53" s="519">
        <f>+Table10[[#This Row],[Quantity]]*Table10[[#This Row],[Unit Price]]</f>
        <v>0</v>
      </c>
    </row>
    <row r="54" spans="1:9" x14ac:dyDescent="0.25">
      <c r="A54" s="213" t="s">
        <v>1198</v>
      </c>
      <c r="B54" s="111" t="s">
        <v>257</v>
      </c>
      <c r="C54" s="457"/>
      <c r="D54" s="129"/>
      <c r="E54" s="129">
        <v>55719</v>
      </c>
      <c r="F54" s="622"/>
      <c r="G54" s="28">
        <v>1</v>
      </c>
      <c r="H54" s="609"/>
      <c r="I54" s="519">
        <f>+Table10[[#This Row],[Quantity]]*Table10[[#This Row],[Unit Price]]</f>
        <v>0</v>
      </c>
    </row>
    <row r="55" spans="1:9" x14ac:dyDescent="0.25">
      <c r="A55" s="213" t="s">
        <v>1052</v>
      </c>
      <c r="B55" s="111" t="s">
        <v>312</v>
      </c>
      <c r="C55" s="457"/>
      <c r="D55" s="129"/>
      <c r="E55" s="129">
        <v>55719</v>
      </c>
      <c r="F55" s="622"/>
      <c r="G55" s="28">
        <v>1</v>
      </c>
      <c r="H55" s="609"/>
      <c r="I55" s="519">
        <f>+Table10[[#This Row],[Quantity]]*Table10[[#This Row],[Unit Price]]</f>
        <v>0</v>
      </c>
    </row>
    <row r="56" spans="1:9" x14ac:dyDescent="0.25">
      <c r="A56" s="213" t="s">
        <v>1174</v>
      </c>
      <c r="B56" s="111" t="s">
        <v>309</v>
      </c>
      <c r="C56" s="457"/>
      <c r="D56" s="129"/>
      <c r="E56" s="129">
        <v>55719</v>
      </c>
      <c r="F56" s="622"/>
      <c r="G56" s="28">
        <v>1</v>
      </c>
      <c r="H56" s="609"/>
      <c r="I56" s="519">
        <f>+Table10[[#This Row],[Quantity]]*Table10[[#This Row],[Unit Price]]</f>
        <v>0</v>
      </c>
    </row>
    <row r="57" spans="1:9" x14ac:dyDescent="0.25">
      <c r="A57" s="213" t="s">
        <v>16</v>
      </c>
      <c r="B57" s="111" t="s">
        <v>476</v>
      </c>
      <c r="C57" s="457"/>
      <c r="D57" s="129"/>
      <c r="E57" s="129">
        <v>55719</v>
      </c>
      <c r="F57" s="622"/>
      <c r="G57" s="28">
        <v>1</v>
      </c>
      <c r="H57" s="609"/>
      <c r="I57" s="519">
        <f>+Table10[[#This Row],[Quantity]]*Table10[[#This Row],[Unit Price]]</f>
        <v>0</v>
      </c>
    </row>
    <row r="58" spans="1:9" x14ac:dyDescent="0.25">
      <c r="A58" s="213" t="s">
        <v>1192</v>
      </c>
      <c r="B58" s="111" t="s">
        <v>94</v>
      </c>
      <c r="C58" s="457"/>
      <c r="D58" s="129"/>
      <c r="E58" s="129">
        <v>55719</v>
      </c>
      <c r="F58" s="622"/>
      <c r="G58" s="28">
        <v>1</v>
      </c>
      <c r="H58" s="609"/>
      <c r="I58" s="519">
        <f>+Table10[[#This Row],[Quantity]]*Table10[[#This Row],[Unit Price]]</f>
        <v>0</v>
      </c>
    </row>
    <row r="59" spans="1:9" x14ac:dyDescent="0.25">
      <c r="A59" s="213" t="s">
        <v>1293</v>
      </c>
      <c r="B59" s="111" t="s">
        <v>428</v>
      </c>
      <c r="C59" s="457"/>
      <c r="D59" s="129"/>
      <c r="E59" s="129">
        <v>55719</v>
      </c>
      <c r="F59" s="622"/>
      <c r="G59" s="28">
        <v>1</v>
      </c>
      <c r="H59" s="609"/>
      <c r="I59" s="519">
        <f>+Table10[[#This Row],[Quantity]]*Table10[[#This Row],[Unit Price]]</f>
        <v>0</v>
      </c>
    </row>
    <row r="60" spans="1:9" x14ac:dyDescent="0.25">
      <c r="A60" s="213" t="s">
        <v>1033</v>
      </c>
      <c r="B60" s="111" t="s">
        <v>98</v>
      </c>
      <c r="C60" s="457"/>
      <c r="D60" s="129"/>
      <c r="E60" s="129">
        <v>55719</v>
      </c>
      <c r="F60" s="622"/>
      <c r="G60" s="28">
        <v>1</v>
      </c>
      <c r="H60" s="609"/>
      <c r="I60" s="519">
        <f>+Table10[[#This Row],[Quantity]]*Table10[[#This Row],[Unit Price]]</f>
        <v>0</v>
      </c>
    </row>
    <row r="61" spans="1:9" x14ac:dyDescent="0.25">
      <c r="A61" s="213" t="s">
        <v>1027</v>
      </c>
      <c r="B61" s="111" t="s">
        <v>415</v>
      </c>
      <c r="C61" s="457"/>
      <c r="D61" s="129"/>
      <c r="E61" s="129">
        <v>55719</v>
      </c>
      <c r="F61" s="622"/>
      <c r="G61" s="28">
        <v>1</v>
      </c>
      <c r="H61" s="609"/>
      <c r="I61" s="519">
        <f>+Table10[[#This Row],[Quantity]]*Table10[[#This Row],[Unit Price]]</f>
        <v>0</v>
      </c>
    </row>
    <row r="62" spans="1:9" x14ac:dyDescent="0.25">
      <c r="A62" s="213" t="s">
        <v>1031</v>
      </c>
      <c r="B62" s="111" t="s">
        <v>416</v>
      </c>
      <c r="C62" s="457"/>
      <c r="D62" s="129"/>
      <c r="E62" s="129">
        <v>55719</v>
      </c>
      <c r="F62" s="622"/>
      <c r="G62" s="28">
        <v>1</v>
      </c>
      <c r="H62" s="609"/>
      <c r="I62" s="519">
        <f>+Table10[[#This Row],[Quantity]]*Table10[[#This Row],[Unit Price]]</f>
        <v>0</v>
      </c>
    </row>
    <row r="63" spans="1:9" x14ac:dyDescent="0.25">
      <c r="A63" s="213" t="s">
        <v>1144</v>
      </c>
      <c r="B63" s="111" t="s">
        <v>203</v>
      </c>
      <c r="C63" s="457"/>
      <c r="D63" s="129"/>
      <c r="E63" s="129">
        <v>55719</v>
      </c>
      <c r="F63" s="622"/>
      <c r="G63" s="28">
        <v>1</v>
      </c>
      <c r="H63" s="609"/>
      <c r="I63" s="519">
        <f>+Table10[[#This Row],[Quantity]]*Table10[[#This Row],[Unit Price]]</f>
        <v>0</v>
      </c>
    </row>
    <row r="64" spans="1:9" x14ac:dyDescent="0.25">
      <c r="A64" s="213" t="s">
        <v>1034</v>
      </c>
      <c r="B64" s="111" t="s">
        <v>417</v>
      </c>
      <c r="C64" s="457"/>
      <c r="D64" s="129"/>
      <c r="E64" s="129">
        <v>55719</v>
      </c>
      <c r="F64" s="622"/>
      <c r="G64" s="28">
        <v>1</v>
      </c>
      <c r="H64" s="609"/>
      <c r="I64" s="519">
        <f>+Table10[[#This Row],[Quantity]]*Table10[[#This Row],[Unit Price]]</f>
        <v>0</v>
      </c>
    </row>
    <row r="65" spans="1:9" x14ac:dyDescent="0.25">
      <c r="A65" s="213" t="s">
        <v>1357</v>
      </c>
      <c r="B65" s="111" t="s">
        <v>418</v>
      </c>
      <c r="C65" s="457"/>
      <c r="D65" s="129"/>
      <c r="E65" s="129">
        <v>55719</v>
      </c>
      <c r="F65" s="622"/>
      <c r="G65" s="28">
        <v>1</v>
      </c>
      <c r="H65" s="609"/>
      <c r="I65" s="519">
        <f>+Table10[[#This Row],[Quantity]]*Table10[[#This Row],[Unit Price]]</f>
        <v>0</v>
      </c>
    </row>
    <row r="66" spans="1:9" x14ac:dyDescent="0.25">
      <c r="A66" s="213" t="s">
        <v>1279</v>
      </c>
      <c r="B66" s="111" t="s">
        <v>1833</v>
      </c>
      <c r="C66" s="457"/>
      <c r="D66" s="129"/>
      <c r="E66" s="129">
        <v>55719</v>
      </c>
      <c r="F66" s="622"/>
      <c r="G66" s="28">
        <v>1</v>
      </c>
      <c r="H66" s="609"/>
      <c r="I66" s="519">
        <f>+Table10[[#This Row],[Quantity]]*Table10[[#This Row],[Unit Price]]</f>
        <v>0</v>
      </c>
    </row>
    <row r="67" spans="1:9" x14ac:dyDescent="0.25">
      <c r="A67" s="213" t="s">
        <v>1280</v>
      </c>
      <c r="B67" s="111" t="s">
        <v>1834</v>
      </c>
      <c r="C67" s="457"/>
      <c r="D67" s="129"/>
      <c r="E67" s="129">
        <v>55719</v>
      </c>
      <c r="F67" s="622"/>
      <c r="G67" s="28">
        <v>1</v>
      </c>
      <c r="H67" s="609"/>
      <c r="I67" s="519">
        <f>+Table10[[#This Row],[Quantity]]*Table10[[#This Row],[Unit Price]]</f>
        <v>0</v>
      </c>
    </row>
    <row r="68" spans="1:9" x14ac:dyDescent="0.25">
      <c r="A68" s="213" t="s">
        <v>1278</v>
      </c>
      <c r="B68" s="111" t="s">
        <v>1835</v>
      </c>
      <c r="C68" s="457"/>
      <c r="D68" s="129"/>
      <c r="E68" s="129">
        <v>55719</v>
      </c>
      <c r="F68" s="622"/>
      <c r="G68" s="28">
        <v>1</v>
      </c>
      <c r="H68" s="609"/>
      <c r="I68" s="519">
        <f>+Table10[[#This Row],[Quantity]]*Table10[[#This Row],[Unit Price]]</f>
        <v>0</v>
      </c>
    </row>
    <row r="69" spans="1:9" x14ac:dyDescent="0.25">
      <c r="A69" s="213" t="s">
        <v>35</v>
      </c>
      <c r="B69" s="111" t="s">
        <v>1827</v>
      </c>
      <c r="C69" s="457"/>
      <c r="D69" s="129"/>
      <c r="E69" s="129">
        <v>55719</v>
      </c>
      <c r="F69" s="622"/>
      <c r="G69" s="28">
        <v>1</v>
      </c>
      <c r="H69" s="609"/>
      <c r="I69" s="519">
        <f>+Table10[[#This Row],[Quantity]]*Table10[[#This Row],[Unit Price]]</f>
        <v>0</v>
      </c>
    </row>
    <row r="70" spans="1:9" x14ac:dyDescent="0.25">
      <c r="A70" s="213" t="s">
        <v>36</v>
      </c>
      <c r="B70" s="111" t="s">
        <v>1828</v>
      </c>
      <c r="C70" s="457"/>
      <c r="D70" s="129"/>
      <c r="E70" s="129">
        <v>55719</v>
      </c>
      <c r="F70" s="622"/>
      <c r="G70" s="28">
        <v>1</v>
      </c>
      <c r="H70" s="609"/>
      <c r="I70" s="519">
        <f>+Table10[[#This Row],[Quantity]]*Table10[[#This Row],[Unit Price]]</f>
        <v>0</v>
      </c>
    </row>
    <row r="71" spans="1:9" x14ac:dyDescent="0.25">
      <c r="A71" s="213" t="s">
        <v>34</v>
      </c>
      <c r="B71" s="111" t="s">
        <v>1826</v>
      </c>
      <c r="C71" s="457"/>
      <c r="D71" s="129"/>
      <c r="E71" s="129">
        <v>55719</v>
      </c>
      <c r="F71" s="622"/>
      <c r="G71" s="28">
        <v>1</v>
      </c>
      <c r="H71" s="609"/>
      <c r="I71" s="519">
        <f>+Table10[[#This Row],[Quantity]]*Table10[[#This Row],[Unit Price]]</f>
        <v>0</v>
      </c>
    </row>
    <row r="72" spans="1:9" x14ac:dyDescent="0.25">
      <c r="A72" s="213" t="s">
        <v>985</v>
      </c>
      <c r="B72" s="111" t="s">
        <v>1830</v>
      </c>
      <c r="C72" s="457"/>
      <c r="D72" s="129"/>
      <c r="E72" s="129">
        <v>55719</v>
      </c>
      <c r="F72" s="622"/>
      <c r="G72" s="28">
        <v>1</v>
      </c>
      <c r="H72" s="609"/>
      <c r="I72" s="519">
        <f>+Table10[[#This Row],[Quantity]]*Table10[[#This Row],[Unit Price]]</f>
        <v>0</v>
      </c>
    </row>
    <row r="73" spans="1:9" x14ac:dyDescent="0.25">
      <c r="A73" s="213" t="s">
        <v>1244</v>
      </c>
      <c r="B73" s="111" t="s">
        <v>1831</v>
      </c>
      <c r="C73" s="457"/>
      <c r="D73" s="129"/>
      <c r="E73" s="129">
        <v>55719</v>
      </c>
      <c r="F73" s="622"/>
      <c r="G73" s="28">
        <v>1</v>
      </c>
      <c r="H73" s="609"/>
      <c r="I73" s="519">
        <f>+Table10[[#This Row],[Quantity]]*Table10[[#This Row],[Unit Price]]</f>
        <v>0</v>
      </c>
    </row>
    <row r="74" spans="1:9" x14ac:dyDescent="0.25">
      <c r="A74" s="213" t="s">
        <v>3158</v>
      </c>
      <c r="B74" s="111" t="s">
        <v>799</v>
      </c>
      <c r="C74" s="457"/>
      <c r="D74" s="129"/>
      <c r="E74" s="129"/>
      <c r="F74" s="622"/>
      <c r="G74" s="28">
        <v>1</v>
      </c>
      <c r="H74" s="609"/>
      <c r="I74" s="519">
        <f>+Table10[[#This Row],[Quantity]]*Table10[[#This Row],[Unit Price]]</f>
        <v>0</v>
      </c>
    </row>
    <row r="75" spans="1:9" x14ac:dyDescent="0.25">
      <c r="A75" s="213" t="s">
        <v>3159</v>
      </c>
      <c r="B75" s="111" t="s">
        <v>798</v>
      </c>
      <c r="C75" s="457"/>
      <c r="D75" s="129"/>
      <c r="E75" s="129"/>
      <c r="F75" s="622"/>
      <c r="G75" s="28">
        <v>1</v>
      </c>
      <c r="H75" s="609"/>
      <c r="I75" s="519">
        <f>+Table10[[#This Row],[Quantity]]*Table10[[#This Row],[Unit Price]]</f>
        <v>0</v>
      </c>
    </row>
    <row r="76" spans="1:9" x14ac:dyDescent="0.25">
      <c r="A76" s="213" t="s">
        <v>3160</v>
      </c>
      <c r="B76" s="111" t="s">
        <v>797</v>
      </c>
      <c r="C76" s="457"/>
      <c r="D76" s="129"/>
      <c r="E76" s="129"/>
      <c r="F76" s="622"/>
      <c r="G76" s="28">
        <v>1</v>
      </c>
      <c r="H76" s="609"/>
      <c r="I76" s="519">
        <f>+Table10[[#This Row],[Quantity]]*Table10[[#This Row],[Unit Price]]</f>
        <v>0</v>
      </c>
    </row>
    <row r="77" spans="1:9" x14ac:dyDescent="0.25">
      <c r="A77" s="213" t="s">
        <v>3161</v>
      </c>
      <c r="B77" s="111" t="s">
        <v>796</v>
      </c>
      <c r="C77" s="457"/>
      <c r="D77" s="129"/>
      <c r="E77" s="129"/>
      <c r="F77" s="622"/>
      <c r="G77" s="28">
        <v>1</v>
      </c>
      <c r="H77" s="609"/>
      <c r="I77" s="519">
        <f>+Table10[[#This Row],[Quantity]]*Table10[[#This Row],[Unit Price]]</f>
        <v>0</v>
      </c>
    </row>
    <row r="78" spans="1:9" x14ac:dyDescent="0.25">
      <c r="A78" s="213" t="s">
        <v>3162</v>
      </c>
      <c r="B78" s="111" t="s">
        <v>795</v>
      </c>
      <c r="C78" s="457"/>
      <c r="D78" s="129"/>
      <c r="E78" s="129"/>
      <c r="F78" s="622"/>
      <c r="G78" s="28">
        <v>1</v>
      </c>
      <c r="H78" s="609"/>
      <c r="I78" s="519">
        <f>+Table10[[#This Row],[Quantity]]*Table10[[#This Row],[Unit Price]]</f>
        <v>0</v>
      </c>
    </row>
    <row r="79" spans="1:9" x14ac:dyDescent="0.25">
      <c r="A79" s="213" t="s">
        <v>1084</v>
      </c>
      <c r="B79" s="111" t="s">
        <v>21</v>
      </c>
      <c r="C79" s="457"/>
      <c r="D79" s="129"/>
      <c r="E79" s="129"/>
      <c r="F79" s="622"/>
      <c r="G79" s="28">
        <v>2</v>
      </c>
      <c r="H79" s="609"/>
      <c r="I79" s="519">
        <f>+Table10[[#This Row],[Quantity]]*Table10[[#This Row],[Unit Price]]</f>
        <v>0</v>
      </c>
    </row>
    <row r="80" spans="1:9" x14ac:dyDescent="0.25">
      <c r="A80" s="213" t="s">
        <v>39</v>
      </c>
      <c r="B80" s="111" t="s">
        <v>245</v>
      </c>
      <c r="C80" s="457"/>
      <c r="D80" s="129"/>
      <c r="E80" s="129"/>
      <c r="F80" s="622"/>
      <c r="G80" s="28">
        <v>1</v>
      </c>
      <c r="H80" s="609"/>
      <c r="I80" s="519">
        <f>+Table10[[#This Row],[Quantity]]*Table10[[#This Row],[Unit Price]]</f>
        <v>0</v>
      </c>
    </row>
    <row r="81" spans="1:9" x14ac:dyDescent="0.25">
      <c r="A81" s="213" t="s">
        <v>1037</v>
      </c>
      <c r="B81" s="111" t="s">
        <v>470</v>
      </c>
      <c r="C81" s="457"/>
      <c r="D81" s="129"/>
      <c r="E81" s="129"/>
      <c r="F81" s="622"/>
      <c r="G81" s="28">
        <v>1</v>
      </c>
      <c r="H81" s="609"/>
      <c r="I81" s="519">
        <f>+Table10[[#This Row],[Quantity]]*Table10[[#This Row],[Unit Price]]</f>
        <v>0</v>
      </c>
    </row>
    <row r="82" spans="1:9" x14ac:dyDescent="0.25">
      <c r="A82" s="213" t="s">
        <v>2698</v>
      </c>
      <c r="B82" s="111" t="s">
        <v>2351</v>
      </c>
      <c r="C82" s="457"/>
      <c r="D82" s="129"/>
      <c r="E82" s="129"/>
      <c r="F82" s="622"/>
      <c r="G82" s="28">
        <v>1</v>
      </c>
      <c r="H82" s="609"/>
      <c r="I82" s="519">
        <f>+Table10[[#This Row],[Quantity]]*Table10[[#This Row],[Unit Price]]</f>
        <v>0</v>
      </c>
    </row>
    <row r="83" spans="1:9" x14ac:dyDescent="0.25">
      <c r="A83" s="213" t="s">
        <v>111</v>
      </c>
      <c r="B83" s="111" t="s">
        <v>560</v>
      </c>
      <c r="C83" s="457"/>
      <c r="D83" s="129"/>
      <c r="E83" s="129"/>
      <c r="F83" s="622"/>
      <c r="G83" s="28">
        <v>1</v>
      </c>
      <c r="H83" s="609"/>
      <c r="I83" s="519">
        <f>+Table10[[#This Row],[Quantity]]*Table10[[#This Row],[Unit Price]]</f>
        <v>0</v>
      </c>
    </row>
    <row r="84" spans="1:9" x14ac:dyDescent="0.25">
      <c r="A84" s="213" t="s">
        <v>6</v>
      </c>
      <c r="B84" s="111" t="s">
        <v>91</v>
      </c>
      <c r="C84" s="457"/>
      <c r="D84" s="129"/>
      <c r="E84" s="129"/>
      <c r="F84" s="622"/>
      <c r="G84" s="28">
        <v>2</v>
      </c>
      <c r="H84" s="609"/>
      <c r="I84" s="519">
        <f>+Table10[[#This Row],[Quantity]]*Table10[[#This Row],[Unit Price]]</f>
        <v>0</v>
      </c>
    </row>
    <row r="85" spans="1:9" x14ac:dyDescent="0.25">
      <c r="A85" s="213" t="s">
        <v>202</v>
      </c>
      <c r="B85" s="111" t="s">
        <v>260</v>
      </c>
      <c r="C85" s="457"/>
      <c r="D85" s="129"/>
      <c r="E85" s="129"/>
      <c r="F85" s="622"/>
      <c r="G85" s="28">
        <v>2</v>
      </c>
      <c r="H85" s="609"/>
      <c r="I85" s="519">
        <f>+Table10[[#This Row],[Quantity]]*Table10[[#This Row],[Unit Price]]</f>
        <v>0</v>
      </c>
    </row>
    <row r="86" spans="1:9" x14ac:dyDescent="0.25">
      <c r="A86" s="213" t="s">
        <v>1379</v>
      </c>
      <c r="B86" s="111" t="s">
        <v>63</v>
      </c>
      <c r="C86" s="457"/>
      <c r="D86" s="129"/>
      <c r="E86" s="129"/>
      <c r="F86" s="622"/>
      <c r="G86" s="28">
        <v>2</v>
      </c>
      <c r="H86" s="609"/>
      <c r="I86" s="519">
        <f>+Table10[[#This Row],[Quantity]]*Table10[[#This Row],[Unit Price]]</f>
        <v>0</v>
      </c>
    </row>
    <row r="87" spans="1:9" x14ac:dyDescent="0.25">
      <c r="A87" s="213" t="s">
        <v>3</v>
      </c>
      <c r="B87" s="111" t="s">
        <v>465</v>
      </c>
      <c r="C87" s="457"/>
      <c r="D87" s="129"/>
      <c r="E87" s="129"/>
      <c r="F87" s="622"/>
      <c r="G87" s="28">
        <v>2</v>
      </c>
      <c r="H87" s="609"/>
      <c r="I87" s="519">
        <f>+Table10[[#This Row],[Quantity]]*Table10[[#This Row],[Unit Price]]</f>
        <v>0</v>
      </c>
    </row>
    <row r="88" spans="1:9" x14ac:dyDescent="0.25">
      <c r="A88" s="213" t="s">
        <v>2190</v>
      </c>
      <c r="B88" s="111" t="s">
        <v>2191</v>
      </c>
      <c r="C88" s="457"/>
      <c r="D88" s="129"/>
      <c r="E88" s="129">
        <v>55719</v>
      </c>
      <c r="F88" s="622"/>
      <c r="G88" s="28">
        <v>1</v>
      </c>
      <c r="H88" s="609"/>
      <c r="I88" s="519">
        <f>+Table10[[#This Row],[Quantity]]*Table10[[#This Row],[Unit Price]]</f>
        <v>0</v>
      </c>
    </row>
    <row r="89" spans="1:9" x14ac:dyDescent="0.25">
      <c r="A89" s="305" t="s">
        <v>2864</v>
      </c>
      <c r="B89" s="252" t="s">
        <v>2863</v>
      </c>
      <c r="C89" s="457"/>
      <c r="D89" s="129"/>
      <c r="E89" s="129">
        <v>93389</v>
      </c>
      <c r="F89" s="622"/>
      <c r="G89" s="28">
        <v>1</v>
      </c>
      <c r="H89" s="609"/>
      <c r="I89" s="519">
        <f>+Table10[[#This Row],[Quantity]]*Table10[[#This Row],[Unit Price]]</f>
        <v>0</v>
      </c>
    </row>
    <row r="90" spans="1:9" x14ac:dyDescent="0.25">
      <c r="A90" s="305" t="s">
        <v>3120</v>
      </c>
      <c r="B90" s="252" t="s">
        <v>3119</v>
      </c>
      <c r="C90" s="457"/>
      <c r="D90" s="129"/>
      <c r="E90" s="129" t="s">
        <v>1928</v>
      </c>
      <c r="F90" s="622"/>
      <c r="G90" s="28">
        <v>2</v>
      </c>
      <c r="H90" s="609"/>
      <c r="I90" s="519">
        <f>+Table10[[#This Row],[Quantity]]*Table10[[#This Row],[Unit Price]]</f>
        <v>0</v>
      </c>
    </row>
    <row r="91" spans="1:9" x14ac:dyDescent="0.25">
      <c r="A91" s="213" t="s">
        <v>1631</v>
      </c>
      <c r="B91" s="111" t="s">
        <v>1996</v>
      </c>
      <c r="C91" s="457"/>
      <c r="D91" s="129"/>
      <c r="E91" s="129"/>
      <c r="F91" s="622"/>
      <c r="G91" s="28">
        <v>1</v>
      </c>
      <c r="H91" s="609"/>
      <c r="I91" s="519">
        <f>+Table10[[#This Row],[Quantity]]*Table10[[#This Row],[Unit Price]]</f>
        <v>0</v>
      </c>
    </row>
    <row r="92" spans="1:9" x14ac:dyDescent="0.25">
      <c r="A92" s="213" t="s">
        <v>1501</v>
      </c>
      <c r="B92" s="111" t="s">
        <v>1104</v>
      </c>
      <c r="C92" s="457"/>
      <c r="D92" s="129"/>
      <c r="E92" s="129"/>
      <c r="F92" s="622"/>
      <c r="G92" s="28">
        <v>1</v>
      </c>
      <c r="H92" s="609"/>
      <c r="I92" s="519">
        <f>+Table10[[#This Row],[Quantity]]*Table10[[#This Row],[Unit Price]]</f>
        <v>0</v>
      </c>
    </row>
    <row r="93" spans="1:9" x14ac:dyDescent="0.25">
      <c r="A93" s="213" t="s">
        <v>1514</v>
      </c>
      <c r="B93" s="111" t="s">
        <v>731</v>
      </c>
      <c r="C93" s="457"/>
      <c r="D93" s="129"/>
      <c r="E93" s="129"/>
      <c r="F93" s="622"/>
      <c r="G93" s="28">
        <v>1</v>
      </c>
      <c r="H93" s="609"/>
      <c r="I93" s="519">
        <f>+Table10[[#This Row],[Quantity]]*Table10[[#This Row],[Unit Price]]</f>
        <v>0</v>
      </c>
    </row>
    <row r="94" spans="1:9" x14ac:dyDescent="0.25">
      <c r="A94" s="213" t="s">
        <v>2231</v>
      </c>
      <c r="B94" s="111" t="s">
        <v>357</v>
      </c>
      <c r="C94" s="457"/>
      <c r="D94" s="129"/>
      <c r="E94" s="129"/>
      <c r="F94" s="622"/>
      <c r="G94" s="28">
        <v>1</v>
      </c>
      <c r="H94" s="609"/>
      <c r="I94" s="519">
        <f>+Table10[[#This Row],[Quantity]]*Table10[[#This Row],[Unit Price]]</f>
        <v>0</v>
      </c>
    </row>
    <row r="95" spans="1:9" x14ac:dyDescent="0.25">
      <c r="A95" s="213" t="s">
        <v>1314</v>
      </c>
      <c r="B95" s="111" t="s">
        <v>358</v>
      </c>
      <c r="C95" s="457"/>
      <c r="D95" s="129"/>
      <c r="E95" s="129"/>
      <c r="F95" s="622"/>
      <c r="G95" s="28">
        <v>1</v>
      </c>
      <c r="H95" s="609"/>
      <c r="I95" s="519">
        <f>+Table10[[#This Row],[Quantity]]*Table10[[#This Row],[Unit Price]]</f>
        <v>0</v>
      </c>
    </row>
    <row r="96" spans="1:9" x14ac:dyDescent="0.25">
      <c r="A96" s="213" t="s">
        <v>1184</v>
      </c>
      <c r="B96" s="111" t="s">
        <v>327</v>
      </c>
      <c r="C96" s="457"/>
      <c r="D96" s="129"/>
      <c r="E96" s="129"/>
      <c r="F96" s="622"/>
      <c r="G96" s="28">
        <v>1</v>
      </c>
      <c r="H96" s="609"/>
      <c r="I96" s="519">
        <f>+Table10[[#This Row],[Quantity]]*Table10[[#This Row],[Unit Price]]</f>
        <v>0</v>
      </c>
    </row>
    <row r="97" spans="1:9" x14ac:dyDescent="0.25">
      <c r="A97" s="255" t="s">
        <v>1186</v>
      </c>
      <c r="B97" s="111" t="s">
        <v>328</v>
      </c>
      <c r="C97" s="457"/>
      <c r="D97" s="252"/>
      <c r="E97" s="252"/>
      <c r="F97" s="622"/>
      <c r="G97" s="243">
        <v>1</v>
      </c>
      <c r="H97" s="609"/>
      <c r="I97" s="519">
        <f>+Table10[[#This Row],[Quantity]]*Table10[[#This Row],[Unit Price]]</f>
        <v>0</v>
      </c>
    </row>
    <row r="98" spans="1:9" x14ac:dyDescent="0.25">
      <c r="A98" s="213" t="s">
        <v>1180</v>
      </c>
      <c r="B98" s="111" t="s">
        <v>359</v>
      </c>
      <c r="C98" s="457"/>
      <c r="D98" s="129"/>
      <c r="E98" s="129"/>
      <c r="F98" s="622"/>
      <c r="G98" s="28">
        <v>1</v>
      </c>
      <c r="H98" s="609"/>
      <c r="I98" s="519">
        <f>+Table10[[#This Row],[Quantity]]*Table10[[#This Row],[Unit Price]]</f>
        <v>0</v>
      </c>
    </row>
    <row r="99" spans="1:9" x14ac:dyDescent="0.25">
      <c r="A99" s="213" t="s">
        <v>1187</v>
      </c>
      <c r="B99" s="111" t="s">
        <v>360</v>
      </c>
      <c r="C99" s="457"/>
      <c r="D99" s="129"/>
      <c r="E99" s="129"/>
      <c r="F99" s="622"/>
      <c r="G99" s="28">
        <v>1</v>
      </c>
      <c r="H99" s="609"/>
      <c r="I99" s="519">
        <f>+Table10[[#This Row],[Quantity]]*Table10[[#This Row],[Unit Price]]</f>
        <v>0</v>
      </c>
    </row>
    <row r="100" spans="1:9" x14ac:dyDescent="0.25">
      <c r="A100" s="213" t="s">
        <v>1185</v>
      </c>
      <c r="B100" s="111" t="s">
        <v>330</v>
      </c>
      <c r="C100" s="457"/>
      <c r="D100" s="129"/>
      <c r="E100" s="129"/>
      <c r="F100" s="622"/>
      <c r="G100" s="28">
        <v>1</v>
      </c>
      <c r="H100" s="609"/>
      <c r="I100" s="519">
        <f>+Table10[[#This Row],[Quantity]]*Table10[[#This Row],[Unit Price]]</f>
        <v>0</v>
      </c>
    </row>
    <row r="101" spans="1:9" x14ac:dyDescent="0.25">
      <c r="A101" s="213" t="s">
        <v>1181</v>
      </c>
      <c r="B101" s="111" t="s">
        <v>199</v>
      </c>
      <c r="C101" s="457"/>
      <c r="D101" s="129"/>
      <c r="E101" s="129"/>
      <c r="F101" s="622"/>
      <c r="G101" s="28">
        <v>1</v>
      </c>
      <c r="H101" s="609"/>
      <c r="I101" s="519">
        <f>+Table10[[#This Row],[Quantity]]*Table10[[#This Row],[Unit Price]]</f>
        <v>0</v>
      </c>
    </row>
    <row r="102" spans="1:9" x14ac:dyDescent="0.25">
      <c r="A102" s="213" t="s">
        <v>1054</v>
      </c>
      <c r="B102" s="111" t="s">
        <v>326</v>
      </c>
      <c r="C102" s="457"/>
      <c r="D102" s="129"/>
      <c r="E102" s="129"/>
      <c r="F102" s="622"/>
      <c r="G102" s="28">
        <v>1</v>
      </c>
      <c r="H102" s="609"/>
      <c r="I102" s="519">
        <f>+Table10[[#This Row],[Quantity]]*Table10[[#This Row],[Unit Price]]</f>
        <v>0</v>
      </c>
    </row>
    <row r="103" spans="1:9" x14ac:dyDescent="0.25">
      <c r="A103" s="213" t="s">
        <v>2230</v>
      </c>
      <c r="B103" s="111" t="s">
        <v>325</v>
      </c>
      <c r="C103" s="457"/>
      <c r="D103" s="129"/>
      <c r="E103" s="129"/>
      <c r="F103" s="622"/>
      <c r="G103" s="28">
        <v>1</v>
      </c>
      <c r="H103" s="609"/>
      <c r="I103" s="519">
        <f>+Table10[[#This Row],[Quantity]]*Table10[[#This Row],[Unit Price]]</f>
        <v>0</v>
      </c>
    </row>
    <row r="104" spans="1:9" x14ac:dyDescent="0.25">
      <c r="A104" s="213" t="s">
        <v>2879</v>
      </c>
      <c r="B104" s="111" t="s">
        <v>329</v>
      </c>
      <c r="C104" s="457"/>
      <c r="D104" s="129"/>
      <c r="E104" s="129"/>
      <c r="F104" s="622"/>
      <c r="G104" s="28">
        <v>1</v>
      </c>
      <c r="H104" s="609"/>
      <c r="I104" s="519">
        <f>+Table10[[#This Row],[Quantity]]*Table10[[#This Row],[Unit Price]]</f>
        <v>0</v>
      </c>
    </row>
    <row r="105" spans="1:9" x14ac:dyDescent="0.25">
      <c r="A105" s="213" t="s">
        <v>1183</v>
      </c>
      <c r="B105" s="111" t="s">
        <v>120</v>
      </c>
      <c r="C105" s="457"/>
      <c r="D105" s="129"/>
      <c r="E105" s="129"/>
      <c r="F105" s="622"/>
      <c r="G105" s="28">
        <v>1</v>
      </c>
      <c r="H105" s="609"/>
      <c r="I105" s="519">
        <f>+Table10[[#This Row],[Quantity]]*Table10[[#This Row],[Unit Price]]</f>
        <v>0</v>
      </c>
    </row>
    <row r="106" spans="1:9" x14ac:dyDescent="0.25">
      <c r="A106" s="213" t="s">
        <v>2234</v>
      </c>
      <c r="B106" s="111" t="s">
        <v>119</v>
      </c>
      <c r="C106" s="457"/>
      <c r="D106" s="129"/>
      <c r="E106" s="129"/>
      <c r="F106" s="622"/>
      <c r="G106" s="28">
        <v>1</v>
      </c>
      <c r="H106" s="609"/>
      <c r="I106" s="519">
        <f>+Table10[[#This Row],[Quantity]]*Table10[[#This Row],[Unit Price]]</f>
        <v>0</v>
      </c>
    </row>
    <row r="107" spans="1:9" x14ac:dyDescent="0.25">
      <c r="A107" s="213" t="s">
        <v>1053</v>
      </c>
      <c r="B107" s="111" t="s">
        <v>322</v>
      </c>
      <c r="C107" s="457"/>
      <c r="D107" s="129"/>
      <c r="E107" s="129"/>
      <c r="F107" s="622"/>
      <c r="G107" s="28">
        <v>1</v>
      </c>
      <c r="H107" s="609"/>
      <c r="I107" s="519">
        <f>+Table10[[#This Row],[Quantity]]*Table10[[#This Row],[Unit Price]]</f>
        <v>0</v>
      </c>
    </row>
    <row r="108" spans="1:9" x14ac:dyDescent="0.25">
      <c r="A108" s="213" t="s">
        <v>167</v>
      </c>
      <c r="B108" s="111" t="s">
        <v>323</v>
      </c>
      <c r="C108" s="457"/>
      <c r="D108" s="129"/>
      <c r="E108" s="129"/>
      <c r="F108" s="622"/>
      <c r="G108" s="28">
        <v>1</v>
      </c>
      <c r="H108" s="609"/>
      <c r="I108" s="519">
        <f>+Table10[[#This Row],[Quantity]]*Table10[[#This Row],[Unit Price]]</f>
        <v>0</v>
      </c>
    </row>
    <row r="109" spans="1:9" x14ac:dyDescent="0.25">
      <c r="A109" s="213" t="s">
        <v>1317</v>
      </c>
      <c r="B109" s="111" t="s">
        <v>361</v>
      </c>
      <c r="C109" s="457"/>
      <c r="D109" s="129"/>
      <c r="E109" s="129"/>
      <c r="F109" s="622"/>
      <c r="G109" s="28">
        <v>1</v>
      </c>
      <c r="H109" s="609"/>
      <c r="I109" s="519">
        <f>+Table10[[#This Row],[Quantity]]*Table10[[#This Row],[Unit Price]]</f>
        <v>0</v>
      </c>
    </row>
    <row r="110" spans="1:9" x14ac:dyDescent="0.25">
      <c r="A110" s="213" t="s">
        <v>1316</v>
      </c>
      <c r="B110" s="111" t="s">
        <v>362</v>
      </c>
      <c r="C110" s="457"/>
      <c r="D110" s="129"/>
      <c r="E110" s="129"/>
      <c r="F110" s="622"/>
      <c r="G110" s="28">
        <v>1</v>
      </c>
      <c r="H110" s="609"/>
      <c r="I110" s="519">
        <f>+Table10[[#This Row],[Quantity]]*Table10[[#This Row],[Unit Price]]</f>
        <v>0</v>
      </c>
    </row>
    <row r="111" spans="1:9" x14ac:dyDescent="0.25">
      <c r="A111" s="213" t="s">
        <v>1318</v>
      </c>
      <c r="B111" s="111" t="s">
        <v>363</v>
      </c>
      <c r="C111" s="457"/>
      <c r="D111" s="129"/>
      <c r="E111" s="129"/>
      <c r="F111" s="622"/>
      <c r="G111" s="28">
        <v>1</v>
      </c>
      <c r="H111" s="609"/>
      <c r="I111" s="519">
        <f>+Table10[[#This Row],[Quantity]]*Table10[[#This Row],[Unit Price]]</f>
        <v>0</v>
      </c>
    </row>
    <row r="112" spans="1:9" x14ac:dyDescent="0.25">
      <c r="A112" s="213" t="s">
        <v>1319</v>
      </c>
      <c r="B112" s="111" t="s">
        <v>364</v>
      </c>
      <c r="C112" s="457"/>
      <c r="D112" s="129"/>
      <c r="E112" s="129"/>
      <c r="F112" s="622"/>
      <c r="G112" s="28">
        <v>1</v>
      </c>
      <c r="H112" s="609"/>
      <c r="I112" s="519">
        <f>+Table10[[#This Row],[Quantity]]*Table10[[#This Row],[Unit Price]]</f>
        <v>0</v>
      </c>
    </row>
    <row r="113" spans="1:9" x14ac:dyDescent="0.25">
      <c r="A113" s="213" t="s">
        <v>1068</v>
      </c>
      <c r="B113" s="111" t="s">
        <v>365</v>
      </c>
      <c r="C113" s="457"/>
      <c r="D113" s="129"/>
      <c r="E113" s="129"/>
      <c r="F113" s="622"/>
      <c r="G113" s="28">
        <v>1</v>
      </c>
      <c r="H113" s="609"/>
      <c r="I113" s="519">
        <f>+Table10[[#This Row],[Quantity]]*Table10[[#This Row],[Unit Price]]</f>
        <v>0</v>
      </c>
    </row>
    <row r="114" spans="1:9" x14ac:dyDescent="0.25">
      <c r="A114" s="213" t="s">
        <v>1182</v>
      </c>
      <c r="B114" s="111" t="s">
        <v>366</v>
      </c>
      <c r="C114" s="457"/>
      <c r="D114" s="129"/>
      <c r="E114" s="129"/>
      <c r="F114" s="622"/>
      <c r="G114" s="28">
        <v>1</v>
      </c>
      <c r="H114" s="609"/>
      <c r="I114" s="519">
        <f>+Table10[[#This Row],[Quantity]]*Table10[[#This Row],[Unit Price]]</f>
        <v>0</v>
      </c>
    </row>
    <row r="115" spans="1:9" x14ac:dyDescent="0.25">
      <c r="A115" s="213" t="s">
        <v>2583</v>
      </c>
      <c r="B115" s="111" t="s">
        <v>2417</v>
      </c>
      <c r="C115" s="457"/>
      <c r="D115" s="129"/>
      <c r="E115" s="129"/>
      <c r="F115" s="622"/>
      <c r="G115" s="28">
        <v>1</v>
      </c>
      <c r="H115" s="609"/>
      <c r="I115" s="519">
        <f>+Table10[[#This Row],[Quantity]]*Table10[[#This Row],[Unit Price]]</f>
        <v>0</v>
      </c>
    </row>
    <row r="116" spans="1:9" x14ac:dyDescent="0.25">
      <c r="A116" s="213" t="s">
        <v>2582</v>
      </c>
      <c r="B116" s="111" t="s">
        <v>2418</v>
      </c>
      <c r="C116" s="457"/>
      <c r="D116" s="129"/>
      <c r="E116" s="129"/>
      <c r="F116" s="622"/>
      <c r="G116" s="28">
        <v>1</v>
      </c>
      <c r="H116" s="609"/>
      <c r="I116" s="519">
        <f>+Table10[[#This Row],[Quantity]]*Table10[[#This Row],[Unit Price]]</f>
        <v>0</v>
      </c>
    </row>
    <row r="117" spans="1:9" x14ac:dyDescent="0.25">
      <c r="A117" s="213" t="s">
        <v>2897</v>
      </c>
      <c r="B117" s="111" t="s">
        <v>324</v>
      </c>
      <c r="C117" s="457"/>
      <c r="D117" s="129"/>
      <c r="E117" s="129"/>
      <c r="F117" s="622"/>
      <c r="G117" s="28">
        <v>1</v>
      </c>
      <c r="H117" s="609"/>
      <c r="I117" s="519">
        <f>+Table10[[#This Row],[Quantity]]*Table10[[#This Row],[Unit Price]]</f>
        <v>0</v>
      </c>
    </row>
    <row r="118" spans="1:9" x14ac:dyDescent="0.25">
      <c r="A118" s="213" t="s">
        <v>2557</v>
      </c>
      <c r="B118" s="111" t="s">
        <v>2394</v>
      </c>
      <c r="C118" s="457"/>
      <c r="D118" s="129"/>
      <c r="E118" s="129"/>
      <c r="F118" s="622"/>
      <c r="G118" s="28">
        <v>1</v>
      </c>
      <c r="H118" s="609"/>
      <c r="I118" s="519">
        <f>+Table10[[#This Row],[Quantity]]*Table10[[#This Row],[Unit Price]]</f>
        <v>0</v>
      </c>
    </row>
    <row r="119" spans="1:9" x14ac:dyDescent="0.25">
      <c r="A119" s="213" t="s">
        <v>2581</v>
      </c>
      <c r="B119" s="111" t="s">
        <v>2395</v>
      </c>
      <c r="C119" s="457"/>
      <c r="D119" s="129"/>
      <c r="E119" s="129"/>
      <c r="F119" s="622"/>
      <c r="G119" s="28">
        <v>1</v>
      </c>
      <c r="H119" s="609"/>
      <c r="I119" s="519">
        <f>+Table10[[#This Row],[Quantity]]*Table10[[#This Row],[Unit Price]]</f>
        <v>0</v>
      </c>
    </row>
    <row r="120" spans="1:9" x14ac:dyDescent="0.25">
      <c r="A120" s="213" t="s">
        <v>2580</v>
      </c>
      <c r="B120" s="111" t="s">
        <v>2396</v>
      </c>
      <c r="C120" s="457"/>
      <c r="D120" s="129"/>
      <c r="E120" s="129"/>
      <c r="F120" s="622"/>
      <c r="G120" s="28">
        <v>1</v>
      </c>
      <c r="H120" s="609"/>
      <c r="I120" s="519">
        <f>+Table10[[#This Row],[Quantity]]*Table10[[#This Row],[Unit Price]]</f>
        <v>0</v>
      </c>
    </row>
    <row r="121" spans="1:9" x14ac:dyDescent="0.25">
      <c r="A121" s="213" t="s">
        <v>2579</v>
      </c>
      <c r="B121" s="111" t="s">
        <v>2397</v>
      </c>
      <c r="C121" s="457"/>
      <c r="D121" s="129"/>
      <c r="E121" s="129"/>
      <c r="F121" s="622"/>
      <c r="G121" s="28">
        <v>1</v>
      </c>
      <c r="H121" s="609"/>
      <c r="I121" s="519">
        <f>+Table10[[#This Row],[Quantity]]*Table10[[#This Row],[Unit Price]]</f>
        <v>0</v>
      </c>
    </row>
    <row r="122" spans="1:9" x14ac:dyDescent="0.25">
      <c r="A122" s="213" t="s">
        <v>2578</v>
      </c>
      <c r="B122" s="111" t="s">
        <v>2398</v>
      </c>
      <c r="C122" s="457"/>
      <c r="D122" s="129"/>
      <c r="E122" s="129"/>
      <c r="F122" s="622"/>
      <c r="G122" s="28">
        <v>1</v>
      </c>
      <c r="H122" s="609"/>
      <c r="I122" s="519">
        <f>+Table10[[#This Row],[Quantity]]*Table10[[#This Row],[Unit Price]]</f>
        <v>0</v>
      </c>
    </row>
    <row r="123" spans="1:9" x14ac:dyDescent="0.25">
      <c r="A123" s="213" t="s">
        <v>2577</v>
      </c>
      <c r="B123" s="111" t="s">
        <v>2399</v>
      </c>
      <c r="C123" s="457"/>
      <c r="D123" s="129"/>
      <c r="E123" s="129"/>
      <c r="F123" s="622"/>
      <c r="G123" s="28">
        <v>1</v>
      </c>
      <c r="H123" s="609"/>
      <c r="I123" s="519">
        <f>+Table10[[#This Row],[Quantity]]*Table10[[#This Row],[Unit Price]]</f>
        <v>0</v>
      </c>
    </row>
    <row r="124" spans="1:9" x14ac:dyDescent="0.25">
      <c r="A124" s="213" t="s">
        <v>2576</v>
      </c>
      <c r="B124" s="111" t="s">
        <v>2400</v>
      </c>
      <c r="C124" s="457"/>
      <c r="D124" s="129"/>
      <c r="E124" s="129"/>
      <c r="F124" s="622"/>
      <c r="G124" s="28">
        <v>1</v>
      </c>
      <c r="H124" s="609"/>
      <c r="I124" s="519">
        <f>+Table10[[#This Row],[Quantity]]*Table10[[#This Row],[Unit Price]]</f>
        <v>0</v>
      </c>
    </row>
    <row r="125" spans="1:9" x14ac:dyDescent="0.25">
      <c r="A125" s="213" t="s">
        <v>2575</v>
      </c>
      <c r="B125" s="111" t="s">
        <v>2401</v>
      </c>
      <c r="C125" s="457"/>
      <c r="D125" s="129"/>
      <c r="E125" s="129"/>
      <c r="F125" s="622"/>
      <c r="G125" s="28">
        <v>1</v>
      </c>
      <c r="H125" s="609"/>
      <c r="I125" s="519">
        <f>+Table10[[#This Row],[Quantity]]*Table10[[#This Row],[Unit Price]]</f>
        <v>0</v>
      </c>
    </row>
    <row r="126" spans="1:9" x14ac:dyDescent="0.25">
      <c r="A126" s="213" t="s">
        <v>2574</v>
      </c>
      <c r="B126" s="111" t="s">
        <v>2402</v>
      </c>
      <c r="C126" s="457"/>
      <c r="D126" s="129"/>
      <c r="E126" s="129"/>
      <c r="F126" s="622"/>
      <c r="G126" s="28">
        <v>1</v>
      </c>
      <c r="H126" s="609"/>
      <c r="I126" s="519">
        <f>+Table10[[#This Row],[Quantity]]*Table10[[#This Row],[Unit Price]]</f>
        <v>0</v>
      </c>
    </row>
    <row r="127" spans="1:9" x14ac:dyDescent="0.25">
      <c r="A127" s="213" t="s">
        <v>2573</v>
      </c>
      <c r="B127" s="111" t="s">
        <v>2403</v>
      </c>
      <c r="C127" s="457"/>
      <c r="D127" s="129"/>
      <c r="E127" s="129"/>
      <c r="F127" s="622"/>
      <c r="G127" s="28">
        <v>1</v>
      </c>
      <c r="H127" s="609"/>
      <c r="I127" s="519">
        <f>+Table10[[#This Row],[Quantity]]*Table10[[#This Row],[Unit Price]]</f>
        <v>0</v>
      </c>
    </row>
    <row r="128" spans="1:9" x14ac:dyDescent="0.25">
      <c r="A128" s="213" t="s">
        <v>2572</v>
      </c>
      <c r="B128" s="111" t="s">
        <v>2404</v>
      </c>
      <c r="C128" s="457"/>
      <c r="D128" s="129"/>
      <c r="E128" s="129"/>
      <c r="F128" s="622"/>
      <c r="G128" s="28">
        <v>1</v>
      </c>
      <c r="H128" s="609"/>
      <c r="I128" s="519">
        <f>+Table10[[#This Row],[Quantity]]*Table10[[#This Row],[Unit Price]]</f>
        <v>0</v>
      </c>
    </row>
    <row r="129" spans="1:9" x14ac:dyDescent="0.25">
      <c r="A129" s="213" t="s">
        <v>2571</v>
      </c>
      <c r="B129" s="111" t="s">
        <v>2405</v>
      </c>
      <c r="C129" s="457"/>
      <c r="D129" s="129"/>
      <c r="E129" s="129"/>
      <c r="F129" s="622"/>
      <c r="G129" s="28">
        <v>1</v>
      </c>
      <c r="H129" s="609"/>
      <c r="I129" s="519">
        <f>+Table10[[#This Row],[Quantity]]*Table10[[#This Row],[Unit Price]]</f>
        <v>0</v>
      </c>
    </row>
    <row r="130" spans="1:9" x14ac:dyDescent="0.25">
      <c r="A130" s="213" t="s">
        <v>3179</v>
      </c>
      <c r="B130" s="111" t="s">
        <v>848</v>
      </c>
      <c r="C130" s="457"/>
      <c r="D130" s="129"/>
      <c r="E130" s="129"/>
      <c r="F130" s="622"/>
      <c r="G130" s="28">
        <v>1</v>
      </c>
      <c r="H130" s="609"/>
      <c r="I130" s="519">
        <f>+Table10[[#This Row],[Quantity]]*Table10[[#This Row],[Unit Price]]</f>
        <v>0</v>
      </c>
    </row>
    <row r="131" spans="1:9" x14ac:dyDescent="0.25">
      <c r="A131" s="213" t="s">
        <v>2570</v>
      </c>
      <c r="B131" s="111" t="s">
        <v>2406</v>
      </c>
      <c r="C131" s="457"/>
      <c r="D131" s="129"/>
      <c r="E131" s="129"/>
      <c r="F131" s="622"/>
      <c r="G131" s="28">
        <v>1</v>
      </c>
      <c r="H131" s="609"/>
      <c r="I131" s="519">
        <f>+Table10[[#This Row],[Quantity]]*Table10[[#This Row],[Unit Price]]</f>
        <v>0</v>
      </c>
    </row>
    <row r="132" spans="1:9" x14ac:dyDescent="0.25">
      <c r="A132" s="213" t="s">
        <v>2569</v>
      </c>
      <c r="B132" s="111" t="s">
        <v>2407</v>
      </c>
      <c r="C132" s="457"/>
      <c r="D132" s="129"/>
      <c r="E132" s="129"/>
      <c r="F132" s="622"/>
      <c r="G132" s="28">
        <v>1</v>
      </c>
      <c r="H132" s="609"/>
      <c r="I132" s="519">
        <f>+Table10[[#This Row],[Quantity]]*Table10[[#This Row],[Unit Price]]</f>
        <v>0</v>
      </c>
    </row>
    <row r="133" spans="1:9" x14ac:dyDescent="0.25">
      <c r="A133" s="213" t="s">
        <v>2568</v>
      </c>
      <c r="B133" s="111" t="s">
        <v>2408</v>
      </c>
      <c r="C133" s="457"/>
      <c r="D133" s="129"/>
      <c r="E133" s="129"/>
      <c r="F133" s="622"/>
      <c r="G133" s="28">
        <v>1</v>
      </c>
      <c r="H133" s="609"/>
      <c r="I133" s="519">
        <f>+Table10[[#This Row],[Quantity]]*Table10[[#This Row],[Unit Price]]</f>
        <v>0</v>
      </c>
    </row>
    <row r="134" spans="1:9" x14ac:dyDescent="0.25">
      <c r="A134" s="213" t="s">
        <v>2567</v>
      </c>
      <c r="B134" s="111" t="s">
        <v>2409</v>
      </c>
      <c r="C134" s="457"/>
      <c r="D134" s="129"/>
      <c r="E134" s="129"/>
      <c r="F134" s="622"/>
      <c r="G134" s="28">
        <v>1</v>
      </c>
      <c r="H134" s="609"/>
      <c r="I134" s="519">
        <f>+Table10[[#This Row],[Quantity]]*Table10[[#This Row],[Unit Price]]</f>
        <v>0</v>
      </c>
    </row>
    <row r="135" spans="1:9" x14ac:dyDescent="0.25">
      <c r="A135" s="213" t="s">
        <v>2566</v>
      </c>
      <c r="B135" s="111" t="s">
        <v>2410</v>
      </c>
      <c r="C135" s="457"/>
      <c r="D135" s="129"/>
      <c r="E135" s="129"/>
      <c r="F135" s="622"/>
      <c r="G135" s="28">
        <v>1</v>
      </c>
      <c r="H135" s="609"/>
      <c r="I135" s="519">
        <f>+Table10[[#This Row],[Quantity]]*Table10[[#This Row],[Unit Price]]</f>
        <v>0</v>
      </c>
    </row>
    <row r="136" spans="1:9" x14ac:dyDescent="0.25">
      <c r="A136" s="213" t="s">
        <v>2565</v>
      </c>
      <c r="B136" s="111" t="s">
        <v>2411</v>
      </c>
      <c r="C136" s="457"/>
      <c r="D136" s="129"/>
      <c r="E136" s="129"/>
      <c r="F136" s="622"/>
      <c r="G136" s="28">
        <v>1</v>
      </c>
      <c r="H136" s="609"/>
      <c r="I136" s="519">
        <f>+Table10[[#This Row],[Quantity]]*Table10[[#This Row],[Unit Price]]</f>
        <v>0</v>
      </c>
    </row>
    <row r="137" spans="1:9" x14ac:dyDescent="0.25">
      <c r="A137" s="213" t="s">
        <v>2564</v>
      </c>
      <c r="B137" s="111" t="s">
        <v>2412</v>
      </c>
      <c r="C137" s="457"/>
      <c r="D137" s="129"/>
      <c r="E137" s="129"/>
      <c r="F137" s="622"/>
      <c r="G137" s="28">
        <v>1</v>
      </c>
      <c r="H137" s="609"/>
      <c r="I137" s="519">
        <f>+Table10[[#This Row],[Quantity]]*Table10[[#This Row],[Unit Price]]</f>
        <v>0</v>
      </c>
    </row>
    <row r="138" spans="1:9" x14ac:dyDescent="0.25">
      <c r="A138" s="213" t="s">
        <v>2563</v>
      </c>
      <c r="B138" s="111" t="s">
        <v>2413</v>
      </c>
      <c r="C138" s="457"/>
      <c r="D138" s="129"/>
      <c r="E138" s="129"/>
      <c r="F138" s="622"/>
      <c r="G138" s="28">
        <v>1</v>
      </c>
      <c r="H138" s="609"/>
      <c r="I138" s="519">
        <f>+Table10[[#This Row],[Quantity]]*Table10[[#This Row],[Unit Price]]</f>
        <v>0</v>
      </c>
    </row>
    <row r="139" spans="1:9" x14ac:dyDescent="0.25">
      <c r="A139" s="213" t="s">
        <v>2562</v>
      </c>
      <c r="B139" s="111" t="s">
        <v>2414</v>
      </c>
      <c r="C139" s="457"/>
      <c r="D139" s="129"/>
      <c r="E139" s="129"/>
      <c r="F139" s="622"/>
      <c r="G139" s="28">
        <v>1</v>
      </c>
      <c r="H139" s="609"/>
      <c r="I139" s="519">
        <f>+Table10[[#This Row],[Quantity]]*Table10[[#This Row],[Unit Price]]</f>
        <v>0</v>
      </c>
    </row>
    <row r="140" spans="1:9" x14ac:dyDescent="0.25">
      <c r="A140" s="213" t="s">
        <v>2561</v>
      </c>
      <c r="B140" s="111" t="s">
        <v>2415</v>
      </c>
      <c r="C140" s="457"/>
      <c r="D140" s="129"/>
      <c r="E140" s="129"/>
      <c r="F140" s="622"/>
      <c r="G140" s="28">
        <v>1</v>
      </c>
      <c r="H140" s="609"/>
      <c r="I140" s="519">
        <f>+Table10[[#This Row],[Quantity]]*Table10[[#This Row],[Unit Price]]</f>
        <v>0</v>
      </c>
    </row>
    <row r="141" spans="1:9" x14ac:dyDescent="0.25">
      <c r="A141" s="213" t="s">
        <v>2560</v>
      </c>
      <c r="B141" s="111" t="s">
        <v>2416</v>
      </c>
      <c r="C141" s="457"/>
      <c r="D141" s="129"/>
      <c r="E141" s="129"/>
      <c r="F141" s="622"/>
      <c r="G141" s="28">
        <v>1</v>
      </c>
      <c r="H141" s="609"/>
      <c r="I141" s="519">
        <f>+Table10[[#This Row],[Quantity]]*Table10[[#This Row],[Unit Price]]</f>
        <v>0</v>
      </c>
    </row>
    <row r="142" spans="1:9" x14ac:dyDescent="0.25">
      <c r="A142" s="213" t="s">
        <v>2559</v>
      </c>
      <c r="B142" s="111" t="s">
        <v>2392</v>
      </c>
      <c r="C142" s="457"/>
      <c r="D142" s="129"/>
      <c r="E142" s="129"/>
      <c r="F142" s="622"/>
      <c r="G142" s="28">
        <v>1</v>
      </c>
      <c r="H142" s="609"/>
      <c r="I142" s="519">
        <f>+Table10[[#This Row],[Quantity]]*Table10[[#This Row],[Unit Price]]</f>
        <v>0</v>
      </c>
    </row>
    <row r="143" spans="1:9" x14ac:dyDescent="0.25">
      <c r="A143" s="213" t="s">
        <v>1324</v>
      </c>
      <c r="B143" s="111" t="s">
        <v>351</v>
      </c>
      <c r="C143" s="457"/>
      <c r="D143" s="129"/>
      <c r="E143" s="129"/>
      <c r="F143" s="622"/>
      <c r="G143" s="28">
        <v>1</v>
      </c>
      <c r="H143" s="609"/>
      <c r="I143" s="519">
        <f>+Table10[[#This Row],[Quantity]]*Table10[[#This Row],[Unit Price]]</f>
        <v>0</v>
      </c>
    </row>
    <row r="144" spans="1:9" x14ac:dyDescent="0.25">
      <c r="A144" s="213" t="s">
        <v>1204</v>
      </c>
      <c r="B144" s="111" t="s">
        <v>352</v>
      </c>
      <c r="C144" s="457"/>
      <c r="D144" s="129"/>
      <c r="E144" s="129"/>
      <c r="F144" s="622"/>
      <c r="G144" s="28">
        <v>1</v>
      </c>
      <c r="H144" s="609"/>
      <c r="I144" s="519">
        <f>+Table10[[#This Row],[Quantity]]*Table10[[#This Row],[Unit Price]]</f>
        <v>0</v>
      </c>
    </row>
    <row r="145" spans="1:9" x14ac:dyDescent="0.25">
      <c r="A145" s="213" t="s">
        <v>1325</v>
      </c>
      <c r="B145" s="111" t="s">
        <v>353</v>
      </c>
      <c r="C145" s="457"/>
      <c r="D145" s="129"/>
      <c r="E145" s="129"/>
      <c r="F145" s="622"/>
      <c r="G145" s="28">
        <v>1</v>
      </c>
      <c r="H145" s="609"/>
      <c r="I145" s="519">
        <f>+Table10[[#This Row],[Quantity]]*Table10[[#This Row],[Unit Price]]</f>
        <v>0</v>
      </c>
    </row>
    <row r="146" spans="1:9" x14ac:dyDescent="0.25">
      <c r="A146" s="213" t="s">
        <v>1326</v>
      </c>
      <c r="B146" s="111" t="s">
        <v>354</v>
      </c>
      <c r="C146" s="457"/>
      <c r="D146" s="129"/>
      <c r="E146" s="129"/>
      <c r="F146" s="622"/>
      <c r="G146" s="28">
        <v>1</v>
      </c>
      <c r="H146" s="609"/>
      <c r="I146" s="519">
        <f>+Table10[[#This Row],[Quantity]]*Table10[[#This Row],[Unit Price]]</f>
        <v>0</v>
      </c>
    </row>
    <row r="147" spans="1:9" x14ac:dyDescent="0.25">
      <c r="A147" s="213" t="s">
        <v>1327</v>
      </c>
      <c r="B147" s="111" t="s">
        <v>355</v>
      </c>
      <c r="C147" s="457"/>
      <c r="D147" s="129"/>
      <c r="E147" s="129"/>
      <c r="F147" s="622"/>
      <c r="G147" s="28">
        <v>1</v>
      </c>
      <c r="H147" s="609"/>
      <c r="I147" s="519">
        <f>+Table10[[#This Row],[Quantity]]*Table10[[#This Row],[Unit Price]]</f>
        <v>0</v>
      </c>
    </row>
    <row r="148" spans="1:9" x14ac:dyDescent="0.25">
      <c r="A148" s="213" t="s">
        <v>1189</v>
      </c>
      <c r="B148" s="111" t="s">
        <v>356</v>
      </c>
      <c r="C148" s="457"/>
      <c r="D148" s="129"/>
      <c r="E148" s="129"/>
      <c r="F148" s="622"/>
      <c r="G148" s="28">
        <v>1</v>
      </c>
      <c r="H148" s="609"/>
      <c r="I148" s="519">
        <f>+Table10[[#This Row],[Quantity]]*Table10[[#This Row],[Unit Price]]</f>
        <v>0</v>
      </c>
    </row>
    <row r="149" spans="1:9" x14ac:dyDescent="0.25">
      <c r="A149" s="213" t="s">
        <v>2584</v>
      </c>
      <c r="B149" s="111" t="s">
        <v>2429</v>
      </c>
      <c r="C149" s="457"/>
      <c r="D149" s="129"/>
      <c r="E149" s="129"/>
      <c r="F149" s="622"/>
      <c r="G149" s="28">
        <v>1</v>
      </c>
      <c r="H149" s="609"/>
      <c r="I149" s="519">
        <f>+Table10[[#This Row],[Quantity]]*Table10[[#This Row],[Unit Price]]</f>
        <v>0</v>
      </c>
    </row>
    <row r="150" spans="1:9" x14ac:dyDescent="0.25">
      <c r="A150" s="213" t="s">
        <v>2585</v>
      </c>
      <c r="B150" s="111" t="s">
        <v>2430</v>
      </c>
      <c r="C150" s="457"/>
      <c r="D150" s="129"/>
      <c r="E150" s="129"/>
      <c r="F150" s="622"/>
      <c r="G150" s="28">
        <v>1</v>
      </c>
      <c r="H150" s="609"/>
      <c r="I150" s="519">
        <f>+Table10[[#This Row],[Quantity]]*Table10[[#This Row],[Unit Price]]</f>
        <v>0</v>
      </c>
    </row>
    <row r="151" spans="1:9" x14ac:dyDescent="0.25">
      <c r="A151" s="213" t="s">
        <v>2144</v>
      </c>
      <c r="B151" s="111" t="s">
        <v>2145</v>
      </c>
      <c r="C151" s="457"/>
      <c r="D151" s="129"/>
      <c r="E151" s="129"/>
      <c r="F151" s="622"/>
      <c r="G151" s="28">
        <v>1</v>
      </c>
      <c r="H151" s="609"/>
      <c r="I151" s="519">
        <f>+Table10[[#This Row],[Quantity]]*Table10[[#This Row],[Unit Price]]</f>
        <v>0</v>
      </c>
    </row>
    <row r="152" spans="1:9" x14ac:dyDescent="0.25">
      <c r="A152" s="213" t="s">
        <v>1055</v>
      </c>
      <c r="B152" s="111" t="s">
        <v>347</v>
      </c>
      <c r="C152" s="457"/>
      <c r="D152" s="129"/>
      <c r="E152" s="129"/>
      <c r="F152" s="622"/>
      <c r="G152" s="28">
        <v>2</v>
      </c>
      <c r="H152" s="609"/>
      <c r="I152" s="519">
        <f>+Table10[[#This Row],[Quantity]]*Table10[[#This Row],[Unit Price]]</f>
        <v>0</v>
      </c>
    </row>
    <row r="153" spans="1:9" x14ac:dyDescent="0.25">
      <c r="A153" s="213" t="s">
        <v>1077</v>
      </c>
      <c r="B153" s="111" t="s">
        <v>348</v>
      </c>
      <c r="C153" s="457"/>
      <c r="D153" s="129"/>
      <c r="E153" s="129"/>
      <c r="F153" s="622"/>
      <c r="G153" s="28">
        <v>1</v>
      </c>
      <c r="H153" s="609"/>
      <c r="I153" s="519">
        <f>+Table10[[#This Row],[Quantity]]*Table10[[#This Row],[Unit Price]]</f>
        <v>0</v>
      </c>
    </row>
    <row r="154" spans="1:9" x14ac:dyDescent="0.25">
      <c r="A154" s="213" t="s">
        <v>1328</v>
      </c>
      <c r="B154" s="111" t="s">
        <v>349</v>
      </c>
      <c r="C154" s="457"/>
      <c r="D154" s="129"/>
      <c r="E154" s="129"/>
      <c r="F154" s="622"/>
      <c r="G154" s="28">
        <v>1</v>
      </c>
      <c r="H154" s="609"/>
      <c r="I154" s="519">
        <f>+Table10[[#This Row],[Quantity]]*Table10[[#This Row],[Unit Price]]</f>
        <v>0</v>
      </c>
    </row>
    <row r="155" spans="1:9" x14ac:dyDescent="0.25">
      <c r="A155" s="213" t="s">
        <v>1329</v>
      </c>
      <c r="B155" s="111" t="s">
        <v>350</v>
      </c>
      <c r="C155" s="457"/>
      <c r="D155" s="129"/>
      <c r="E155" s="129"/>
      <c r="F155" s="622"/>
      <c r="G155" s="28">
        <v>1</v>
      </c>
      <c r="H155" s="609"/>
      <c r="I155" s="519">
        <f>+Table10[[#This Row],[Quantity]]*Table10[[#This Row],[Unit Price]]</f>
        <v>0</v>
      </c>
    </row>
    <row r="156" spans="1:9" x14ac:dyDescent="0.25">
      <c r="A156" s="213" t="s">
        <v>2586</v>
      </c>
      <c r="B156" s="111" t="s">
        <v>2419</v>
      </c>
      <c r="C156" s="457"/>
      <c r="D156" s="129"/>
      <c r="E156" s="129"/>
      <c r="F156" s="622"/>
      <c r="G156" s="28">
        <v>1</v>
      </c>
      <c r="H156" s="609"/>
      <c r="I156" s="519">
        <f>+Table10[[#This Row],[Quantity]]*Table10[[#This Row],[Unit Price]]</f>
        <v>0</v>
      </c>
    </row>
    <row r="157" spans="1:9" x14ac:dyDescent="0.25">
      <c r="A157" s="213" t="s">
        <v>2587</v>
      </c>
      <c r="B157" s="111" t="s">
        <v>2420</v>
      </c>
      <c r="C157" s="457"/>
      <c r="D157" s="129"/>
      <c r="E157" s="129"/>
      <c r="F157" s="622"/>
      <c r="G157" s="28">
        <v>1</v>
      </c>
      <c r="H157" s="609"/>
      <c r="I157" s="519">
        <f>+Table10[[#This Row],[Quantity]]*Table10[[#This Row],[Unit Price]]</f>
        <v>0</v>
      </c>
    </row>
    <row r="158" spans="1:9" x14ac:dyDescent="0.25">
      <c r="A158" s="213" t="s">
        <v>2588</v>
      </c>
      <c r="B158" s="111" t="s">
        <v>2421</v>
      </c>
      <c r="C158" s="457"/>
      <c r="D158" s="129"/>
      <c r="E158" s="129"/>
      <c r="F158" s="622"/>
      <c r="G158" s="28">
        <v>1</v>
      </c>
      <c r="H158" s="609"/>
      <c r="I158" s="519">
        <f>+Table10[[#This Row],[Quantity]]*Table10[[#This Row],[Unit Price]]</f>
        <v>0</v>
      </c>
    </row>
    <row r="159" spans="1:9" x14ac:dyDescent="0.25">
      <c r="A159" s="213" t="s">
        <v>2589</v>
      </c>
      <c r="B159" s="111" t="s">
        <v>2422</v>
      </c>
      <c r="C159" s="457"/>
      <c r="D159" s="129"/>
      <c r="E159" s="129"/>
      <c r="F159" s="622"/>
      <c r="G159" s="28">
        <v>1</v>
      </c>
      <c r="H159" s="609"/>
      <c r="I159" s="519">
        <f>+Table10[[#This Row],[Quantity]]*Table10[[#This Row],[Unit Price]]</f>
        <v>0</v>
      </c>
    </row>
    <row r="160" spans="1:9" x14ac:dyDescent="0.25">
      <c r="A160" s="213" t="s">
        <v>2590</v>
      </c>
      <c r="B160" s="111" t="s">
        <v>2423</v>
      </c>
      <c r="C160" s="457"/>
      <c r="D160" s="129"/>
      <c r="E160" s="129"/>
      <c r="F160" s="622"/>
      <c r="G160" s="28">
        <v>1</v>
      </c>
      <c r="H160" s="609"/>
      <c r="I160" s="519">
        <f>+Table10[[#This Row],[Quantity]]*Table10[[#This Row],[Unit Price]]</f>
        <v>0</v>
      </c>
    </row>
    <row r="161" spans="1:9" x14ac:dyDescent="0.25">
      <c r="A161" s="213" t="s">
        <v>2591</v>
      </c>
      <c r="B161" s="111" t="s">
        <v>2424</v>
      </c>
      <c r="C161" s="457"/>
      <c r="D161" s="129"/>
      <c r="E161" s="129"/>
      <c r="F161" s="622"/>
      <c r="G161" s="28">
        <v>1</v>
      </c>
      <c r="H161" s="609"/>
      <c r="I161" s="519">
        <f>+Table10[[#This Row],[Quantity]]*Table10[[#This Row],[Unit Price]]</f>
        <v>0</v>
      </c>
    </row>
    <row r="162" spans="1:9" x14ac:dyDescent="0.25">
      <c r="A162" s="213" t="s">
        <v>2592</v>
      </c>
      <c r="B162" s="111" t="s">
        <v>2425</v>
      </c>
      <c r="C162" s="457"/>
      <c r="D162" s="129"/>
      <c r="E162" s="129"/>
      <c r="F162" s="622"/>
      <c r="G162" s="28">
        <v>1</v>
      </c>
      <c r="H162" s="609"/>
      <c r="I162" s="519">
        <f>+Table10[[#This Row],[Quantity]]*Table10[[#This Row],[Unit Price]]</f>
        <v>0</v>
      </c>
    </row>
    <row r="163" spans="1:9" x14ac:dyDescent="0.25">
      <c r="A163" s="213" t="s">
        <v>2593</v>
      </c>
      <c r="B163" s="111" t="s">
        <v>2426</v>
      </c>
      <c r="C163" s="457"/>
      <c r="D163" s="129"/>
      <c r="E163" s="129"/>
      <c r="F163" s="622"/>
      <c r="G163" s="28">
        <v>1</v>
      </c>
      <c r="H163" s="609"/>
      <c r="I163" s="519">
        <f>+Table10[[#This Row],[Quantity]]*Table10[[#This Row],[Unit Price]]</f>
        <v>0</v>
      </c>
    </row>
    <row r="164" spans="1:9" x14ac:dyDescent="0.25">
      <c r="A164" s="213" t="s">
        <v>2594</v>
      </c>
      <c r="B164" s="111" t="s">
        <v>2427</v>
      </c>
      <c r="C164" s="457"/>
      <c r="D164" s="129"/>
      <c r="E164" s="129"/>
      <c r="F164" s="622"/>
      <c r="G164" s="28">
        <v>1</v>
      </c>
      <c r="H164" s="609"/>
      <c r="I164" s="519">
        <f>+Table10[[#This Row],[Quantity]]*Table10[[#This Row],[Unit Price]]</f>
        <v>0</v>
      </c>
    </row>
    <row r="165" spans="1:9" x14ac:dyDescent="0.25">
      <c r="A165" s="213" t="s">
        <v>2595</v>
      </c>
      <c r="B165" s="111" t="s">
        <v>2428</v>
      </c>
      <c r="C165" s="457"/>
      <c r="D165" s="129"/>
      <c r="E165" s="129"/>
      <c r="F165" s="622"/>
      <c r="G165" s="28">
        <v>1</v>
      </c>
      <c r="H165" s="609"/>
      <c r="I165" s="519">
        <f>+Table10[[#This Row],[Quantity]]*Table10[[#This Row],[Unit Price]]</f>
        <v>0</v>
      </c>
    </row>
    <row r="166" spans="1:9" x14ac:dyDescent="0.25">
      <c r="A166" s="213" t="s">
        <v>2494</v>
      </c>
      <c r="B166" s="111" t="s">
        <v>2495</v>
      </c>
      <c r="C166" s="457"/>
      <c r="D166" s="129"/>
      <c r="E166" s="129"/>
      <c r="F166" s="622"/>
      <c r="G166" s="28">
        <v>1</v>
      </c>
      <c r="H166" s="609"/>
      <c r="I166" s="519">
        <f>+Table10[[#This Row],[Quantity]]*Table10[[#This Row],[Unit Price]]</f>
        <v>0</v>
      </c>
    </row>
    <row r="167" spans="1:9" x14ac:dyDescent="0.25">
      <c r="A167" s="213" t="s">
        <v>2929</v>
      </c>
      <c r="B167" s="111" t="s">
        <v>710</v>
      </c>
      <c r="C167" s="457"/>
      <c r="D167" s="129"/>
      <c r="E167" s="129"/>
      <c r="F167" s="622"/>
      <c r="G167" s="28">
        <v>2</v>
      </c>
      <c r="H167" s="609"/>
      <c r="I167" s="519">
        <f>+Table10[[#This Row],[Quantity]]*Table10[[#This Row],[Unit Price]]</f>
        <v>0</v>
      </c>
    </row>
    <row r="168" spans="1:9" x14ac:dyDescent="0.25">
      <c r="A168" s="213" t="s">
        <v>1561</v>
      </c>
      <c r="B168" s="111" t="s">
        <v>573</v>
      </c>
      <c r="C168" s="457"/>
      <c r="D168" s="129"/>
      <c r="E168" s="129"/>
      <c r="F168" s="622"/>
      <c r="G168" s="28">
        <v>1</v>
      </c>
      <c r="H168" s="609"/>
      <c r="I168" s="519">
        <f>+Table10[[#This Row],[Quantity]]*Table10[[#This Row],[Unit Price]]</f>
        <v>0</v>
      </c>
    </row>
    <row r="169" spans="1:9" x14ac:dyDescent="0.25">
      <c r="A169" s="213" t="s">
        <v>1575</v>
      </c>
      <c r="B169" s="111" t="s">
        <v>571</v>
      </c>
      <c r="C169" s="457"/>
      <c r="D169" s="129"/>
      <c r="E169" s="129"/>
      <c r="F169" s="622"/>
      <c r="G169" s="28">
        <v>1</v>
      </c>
      <c r="H169" s="609"/>
      <c r="I169" s="519">
        <f>+Table10[[#This Row],[Quantity]]*Table10[[#This Row],[Unit Price]]</f>
        <v>0</v>
      </c>
    </row>
    <row r="170" spans="1:9" x14ac:dyDescent="0.25">
      <c r="A170" s="213" t="s">
        <v>1577</v>
      </c>
      <c r="B170" s="111" t="s">
        <v>574</v>
      </c>
      <c r="C170" s="457"/>
      <c r="D170" s="129"/>
      <c r="E170" s="129"/>
      <c r="F170" s="622"/>
      <c r="G170" s="28">
        <v>1</v>
      </c>
      <c r="H170" s="609"/>
      <c r="I170" s="519">
        <f>+Table10[[#This Row],[Quantity]]*Table10[[#This Row],[Unit Price]]</f>
        <v>0</v>
      </c>
    </row>
    <row r="171" spans="1:9" x14ac:dyDescent="0.25">
      <c r="A171" s="213" t="s">
        <v>1578</v>
      </c>
      <c r="B171" s="111" t="s">
        <v>572</v>
      </c>
      <c r="C171" s="457"/>
      <c r="D171" s="129"/>
      <c r="E171" s="129"/>
      <c r="F171" s="622"/>
      <c r="G171" s="28">
        <v>1</v>
      </c>
      <c r="H171" s="609"/>
      <c r="I171" s="519">
        <f>+Table10[[#This Row],[Quantity]]*Table10[[#This Row],[Unit Price]]</f>
        <v>0</v>
      </c>
    </row>
    <row r="172" spans="1:9" x14ac:dyDescent="0.25">
      <c r="A172" s="213" t="s">
        <v>1579</v>
      </c>
      <c r="B172" s="111" t="s">
        <v>570</v>
      </c>
      <c r="C172" s="457"/>
      <c r="D172" s="129"/>
      <c r="E172" s="129"/>
      <c r="F172" s="622"/>
      <c r="G172" s="28">
        <v>1</v>
      </c>
      <c r="H172" s="609"/>
      <c r="I172" s="519">
        <f>+Table10[[#This Row],[Quantity]]*Table10[[#This Row],[Unit Price]]</f>
        <v>0</v>
      </c>
    </row>
    <row r="173" spans="1:9" x14ac:dyDescent="0.25">
      <c r="A173" s="213" t="s">
        <v>2693</v>
      </c>
      <c r="B173" s="111" t="s">
        <v>2501</v>
      </c>
      <c r="C173" s="457"/>
      <c r="D173" s="129"/>
      <c r="E173" s="129"/>
      <c r="F173" s="622"/>
      <c r="G173" s="28">
        <v>1</v>
      </c>
      <c r="H173" s="609"/>
      <c r="I173" s="519">
        <f>+Table10[[#This Row],[Quantity]]*Table10[[#This Row],[Unit Price]]</f>
        <v>0</v>
      </c>
    </row>
    <row r="174" spans="1:9" x14ac:dyDescent="0.25">
      <c r="A174" s="213" t="s">
        <v>2694</v>
      </c>
      <c r="B174" s="111" t="s">
        <v>2503</v>
      </c>
      <c r="C174" s="457"/>
      <c r="D174" s="129"/>
      <c r="E174" s="129"/>
      <c r="F174" s="622"/>
      <c r="G174" s="28">
        <v>1</v>
      </c>
      <c r="H174" s="609"/>
      <c r="I174" s="519">
        <f>+Table10[[#This Row],[Quantity]]*Table10[[#This Row],[Unit Price]]</f>
        <v>0</v>
      </c>
    </row>
    <row r="175" spans="1:9" x14ac:dyDescent="0.25">
      <c r="A175" s="213" t="s">
        <v>2695</v>
      </c>
      <c r="B175" s="111" t="s">
        <v>2500</v>
      </c>
      <c r="C175" s="457"/>
      <c r="D175" s="129"/>
      <c r="E175" s="129"/>
      <c r="F175" s="622"/>
      <c r="G175" s="28">
        <v>1</v>
      </c>
      <c r="H175" s="609"/>
      <c r="I175" s="519">
        <f>+Table10[[#This Row],[Quantity]]*Table10[[#This Row],[Unit Price]]</f>
        <v>0</v>
      </c>
    </row>
    <row r="176" spans="1:9" x14ac:dyDescent="0.25">
      <c r="A176" s="213" t="s">
        <v>2696</v>
      </c>
      <c r="B176" s="111" t="s">
        <v>2499</v>
      </c>
      <c r="C176" s="457"/>
      <c r="D176" s="129"/>
      <c r="E176" s="129"/>
      <c r="F176" s="622"/>
      <c r="G176" s="28">
        <v>1</v>
      </c>
      <c r="H176" s="609"/>
      <c r="I176" s="519">
        <f>+Table10[[#This Row],[Quantity]]*Table10[[#This Row],[Unit Price]]</f>
        <v>0</v>
      </c>
    </row>
    <row r="177" spans="1:9" x14ac:dyDescent="0.25">
      <c r="A177" s="213" t="s">
        <v>2697</v>
      </c>
      <c r="B177" s="111" t="s">
        <v>2502</v>
      </c>
      <c r="C177" s="457"/>
      <c r="D177" s="129"/>
      <c r="E177" s="129"/>
      <c r="F177" s="622"/>
      <c r="G177" s="28">
        <v>1</v>
      </c>
      <c r="H177" s="609"/>
      <c r="I177" s="519">
        <f>+Table10[[#This Row],[Quantity]]*Table10[[#This Row],[Unit Price]]</f>
        <v>0</v>
      </c>
    </row>
    <row r="178" spans="1:9" x14ac:dyDescent="0.25">
      <c r="A178" s="213" t="s">
        <v>1041</v>
      </c>
      <c r="B178" s="111" t="s">
        <v>749</v>
      </c>
      <c r="C178" s="457"/>
      <c r="D178" s="129"/>
      <c r="E178" s="129"/>
      <c r="F178" s="622"/>
      <c r="G178" s="28">
        <v>1</v>
      </c>
      <c r="H178" s="609"/>
      <c r="I178" s="519">
        <f>+Table10[[#This Row],[Quantity]]*Table10[[#This Row],[Unit Price]]</f>
        <v>0</v>
      </c>
    </row>
    <row r="179" spans="1:9" x14ac:dyDescent="0.25">
      <c r="A179" s="213" t="s">
        <v>1580</v>
      </c>
      <c r="B179" s="111" t="s">
        <v>583</v>
      </c>
      <c r="C179" s="457"/>
      <c r="D179" s="129"/>
      <c r="E179" s="129"/>
      <c r="F179" s="622"/>
      <c r="G179" s="28">
        <v>1</v>
      </c>
      <c r="H179" s="609"/>
      <c r="I179" s="519">
        <f>+Table10[[#This Row],[Quantity]]*Table10[[#This Row],[Unit Price]]</f>
        <v>0</v>
      </c>
    </row>
    <row r="180" spans="1:9" x14ac:dyDescent="0.25">
      <c r="A180" s="213" t="s">
        <v>2699</v>
      </c>
      <c r="B180" s="111" t="s">
        <v>2497</v>
      </c>
      <c r="C180" s="457"/>
      <c r="D180" s="129"/>
      <c r="E180" s="129"/>
      <c r="F180" s="622"/>
      <c r="G180" s="28">
        <v>1</v>
      </c>
      <c r="H180" s="609"/>
      <c r="I180" s="519">
        <f>+Table10[[#This Row],[Quantity]]*Table10[[#This Row],[Unit Price]]</f>
        <v>0</v>
      </c>
    </row>
    <row r="181" spans="1:9" x14ac:dyDescent="0.25">
      <c r="A181" s="213" t="s">
        <v>2700</v>
      </c>
      <c r="B181" s="111" t="s">
        <v>2498</v>
      </c>
      <c r="C181" s="457"/>
      <c r="D181" s="129"/>
      <c r="E181" s="129"/>
      <c r="F181" s="622"/>
      <c r="G181" s="28">
        <v>1</v>
      </c>
      <c r="H181" s="609"/>
      <c r="I181" s="519">
        <f>+Table10[[#This Row],[Quantity]]*Table10[[#This Row],[Unit Price]]</f>
        <v>0</v>
      </c>
    </row>
    <row r="182" spans="1:9" x14ac:dyDescent="0.25">
      <c r="A182" s="213" t="s">
        <v>2701</v>
      </c>
      <c r="B182" s="111" t="s">
        <v>2496</v>
      </c>
      <c r="C182" s="457"/>
      <c r="D182" s="129"/>
      <c r="E182" s="129"/>
      <c r="F182" s="622"/>
      <c r="G182" s="28">
        <v>1</v>
      </c>
      <c r="H182" s="609"/>
      <c r="I182" s="519">
        <f>+Table10[[#This Row],[Quantity]]*Table10[[#This Row],[Unit Price]]</f>
        <v>0</v>
      </c>
    </row>
    <row r="183" spans="1:9" x14ac:dyDescent="0.25">
      <c r="A183" s="213" t="s">
        <v>1621</v>
      </c>
      <c r="B183" s="111" t="s">
        <v>288</v>
      </c>
      <c r="C183" s="457"/>
      <c r="D183" s="129"/>
      <c r="E183" s="129"/>
      <c r="F183" s="622"/>
      <c r="G183" s="28">
        <v>1</v>
      </c>
      <c r="H183" s="609"/>
      <c r="I183" s="519">
        <f>+Table10[[#This Row],[Quantity]]*Table10[[#This Row],[Unit Price]]</f>
        <v>0</v>
      </c>
    </row>
    <row r="184" spans="1:9" x14ac:dyDescent="0.25">
      <c r="A184" s="213" t="s">
        <v>2702</v>
      </c>
      <c r="B184" s="111" t="s">
        <v>2489</v>
      </c>
      <c r="C184" s="457"/>
      <c r="D184" s="129"/>
      <c r="E184" s="129"/>
      <c r="F184" s="622"/>
      <c r="G184" s="28">
        <v>1</v>
      </c>
      <c r="H184" s="609"/>
      <c r="I184" s="519">
        <f>+Table10[[#This Row],[Quantity]]*Table10[[#This Row],[Unit Price]]</f>
        <v>0</v>
      </c>
    </row>
    <row r="185" spans="1:9" x14ac:dyDescent="0.25">
      <c r="A185" s="213" t="s">
        <v>2703</v>
      </c>
      <c r="B185" s="111" t="s">
        <v>2488</v>
      </c>
      <c r="C185" s="457"/>
      <c r="D185" s="129"/>
      <c r="E185" s="129"/>
      <c r="F185" s="622"/>
      <c r="G185" s="28">
        <v>1</v>
      </c>
      <c r="H185" s="609"/>
      <c r="I185" s="519">
        <f>+Table10[[#This Row],[Quantity]]*Table10[[#This Row],[Unit Price]]</f>
        <v>0</v>
      </c>
    </row>
    <row r="186" spans="1:9" x14ac:dyDescent="0.25">
      <c r="A186" s="213" t="s">
        <v>1040</v>
      </c>
      <c r="B186" s="111" t="s">
        <v>274</v>
      </c>
      <c r="C186" s="457"/>
      <c r="D186" s="129"/>
      <c r="E186" s="129"/>
      <c r="F186" s="622"/>
      <c r="G186" s="28">
        <v>1</v>
      </c>
      <c r="H186" s="609"/>
      <c r="I186" s="519">
        <f>+Table10[[#This Row],[Quantity]]*Table10[[#This Row],[Unit Price]]</f>
        <v>0</v>
      </c>
    </row>
    <row r="187" spans="1:9" x14ac:dyDescent="0.25">
      <c r="A187" s="213" t="s">
        <v>2708</v>
      </c>
      <c r="B187" s="111" t="s">
        <v>2508</v>
      </c>
      <c r="C187" s="457"/>
      <c r="D187" s="129"/>
      <c r="E187" s="129"/>
      <c r="F187" s="622"/>
      <c r="G187" s="28">
        <v>1</v>
      </c>
      <c r="H187" s="609"/>
      <c r="I187" s="519">
        <f>+Table10[[#This Row],[Quantity]]*Table10[[#This Row],[Unit Price]]</f>
        <v>0</v>
      </c>
    </row>
    <row r="188" spans="1:9" x14ac:dyDescent="0.25">
      <c r="A188" s="213" t="s">
        <v>2680</v>
      </c>
      <c r="B188" s="111" t="s">
        <v>2385</v>
      </c>
      <c r="C188" s="457"/>
      <c r="D188" s="129"/>
      <c r="E188" s="129"/>
      <c r="F188" s="622"/>
      <c r="G188" s="28">
        <v>1</v>
      </c>
      <c r="H188" s="609"/>
      <c r="I188" s="519">
        <f>+Table10[[#This Row],[Quantity]]*Table10[[#This Row],[Unit Price]]</f>
        <v>0</v>
      </c>
    </row>
    <row r="189" spans="1:9" x14ac:dyDescent="0.25">
      <c r="A189" s="213" t="s">
        <v>2681</v>
      </c>
      <c r="B189" s="111" t="s">
        <v>2386</v>
      </c>
      <c r="C189" s="457"/>
      <c r="D189" s="129"/>
      <c r="E189" s="129"/>
      <c r="F189" s="622"/>
      <c r="G189" s="28">
        <v>1</v>
      </c>
      <c r="H189" s="609"/>
      <c r="I189" s="519">
        <f>+Table10[[#This Row],[Quantity]]*Table10[[#This Row],[Unit Price]]</f>
        <v>0</v>
      </c>
    </row>
    <row r="190" spans="1:9" x14ac:dyDescent="0.25">
      <c r="A190" s="213" t="s">
        <v>2682</v>
      </c>
      <c r="B190" s="111" t="s">
        <v>2387</v>
      </c>
      <c r="C190" s="457"/>
      <c r="D190" s="129"/>
      <c r="E190" s="129"/>
      <c r="F190" s="622"/>
      <c r="G190" s="28">
        <v>1</v>
      </c>
      <c r="H190" s="609"/>
      <c r="I190" s="519">
        <f>+Table10[[#This Row],[Quantity]]*Table10[[#This Row],[Unit Price]]</f>
        <v>0</v>
      </c>
    </row>
    <row r="191" spans="1:9" x14ac:dyDescent="0.25">
      <c r="A191" s="213" t="s">
        <v>2683</v>
      </c>
      <c r="B191" s="111" t="s">
        <v>2388</v>
      </c>
      <c r="C191" s="457"/>
      <c r="D191" s="129"/>
      <c r="E191" s="129"/>
      <c r="F191" s="622"/>
      <c r="G191" s="28">
        <v>1</v>
      </c>
      <c r="H191" s="609"/>
      <c r="I191" s="519">
        <f>+Table10[[#This Row],[Quantity]]*Table10[[#This Row],[Unit Price]]</f>
        <v>0</v>
      </c>
    </row>
    <row r="192" spans="1:9" x14ac:dyDescent="0.25">
      <c r="A192" s="213" t="s">
        <v>2684</v>
      </c>
      <c r="B192" s="111" t="s">
        <v>2389</v>
      </c>
      <c r="C192" s="457"/>
      <c r="D192" s="129"/>
      <c r="E192" s="129"/>
      <c r="F192" s="622"/>
      <c r="G192" s="28">
        <v>1</v>
      </c>
      <c r="H192" s="609"/>
      <c r="I192" s="519">
        <f>+Table10[[#This Row],[Quantity]]*Table10[[#This Row],[Unit Price]]</f>
        <v>0</v>
      </c>
    </row>
    <row r="193" spans="1:9" x14ac:dyDescent="0.25">
      <c r="A193" s="213" t="s">
        <v>1696</v>
      </c>
      <c r="B193" s="111" t="s">
        <v>535</v>
      </c>
      <c r="C193" s="457"/>
      <c r="D193" s="129"/>
      <c r="E193" s="129"/>
      <c r="F193" s="622"/>
      <c r="G193" s="28">
        <v>1</v>
      </c>
      <c r="H193" s="609"/>
      <c r="I193" s="519">
        <f>+Table10[[#This Row],[Quantity]]*Table10[[#This Row],[Unit Price]]</f>
        <v>0</v>
      </c>
    </row>
    <row r="194" spans="1:9" x14ac:dyDescent="0.25">
      <c r="A194" s="213" t="s">
        <v>1402</v>
      </c>
      <c r="B194" s="111" t="s">
        <v>718</v>
      </c>
      <c r="C194" s="457"/>
      <c r="D194" s="129"/>
      <c r="E194" s="129"/>
      <c r="F194" s="622"/>
      <c r="G194" s="28">
        <v>1</v>
      </c>
      <c r="H194" s="609"/>
      <c r="I194" s="519">
        <f>+Table10[[#This Row],[Quantity]]*Table10[[#This Row],[Unit Price]]</f>
        <v>0</v>
      </c>
    </row>
    <row r="195" spans="1:9" x14ac:dyDescent="0.25">
      <c r="A195" s="213" t="s">
        <v>1403</v>
      </c>
      <c r="B195" s="111" t="s">
        <v>446</v>
      </c>
      <c r="C195" s="457"/>
      <c r="D195" s="129"/>
      <c r="E195" s="129"/>
      <c r="F195" s="622"/>
      <c r="G195" s="28">
        <v>1</v>
      </c>
      <c r="H195" s="609"/>
      <c r="I195" s="519">
        <f>+Table10[[#This Row],[Quantity]]*Table10[[#This Row],[Unit Price]]</f>
        <v>0</v>
      </c>
    </row>
    <row r="196" spans="1:9" x14ac:dyDescent="0.25">
      <c r="A196" s="213" t="s">
        <v>1078</v>
      </c>
      <c r="B196" s="111" t="s">
        <v>447</v>
      </c>
      <c r="C196" s="457"/>
      <c r="D196" s="129"/>
      <c r="E196" s="129"/>
      <c r="F196" s="622"/>
      <c r="G196" s="28">
        <v>1</v>
      </c>
      <c r="H196" s="609"/>
      <c r="I196" s="519">
        <f>+Table10[[#This Row],[Quantity]]*Table10[[#This Row],[Unit Price]]</f>
        <v>0</v>
      </c>
    </row>
    <row r="197" spans="1:9" x14ac:dyDescent="0.25">
      <c r="A197" s="213" t="s">
        <v>1404</v>
      </c>
      <c r="B197" s="111" t="s">
        <v>448</v>
      </c>
      <c r="C197" s="457"/>
      <c r="D197" s="129"/>
      <c r="E197" s="129"/>
      <c r="F197" s="622"/>
      <c r="G197" s="28">
        <v>1</v>
      </c>
      <c r="H197" s="609"/>
      <c r="I197" s="519">
        <f>+Table10[[#This Row],[Quantity]]*Table10[[#This Row],[Unit Price]]</f>
        <v>0</v>
      </c>
    </row>
    <row r="198" spans="1:9" x14ac:dyDescent="0.25">
      <c r="A198" s="213" t="s">
        <v>50</v>
      </c>
      <c r="B198" s="111" t="s">
        <v>381</v>
      </c>
      <c r="C198" s="457"/>
      <c r="D198" s="129"/>
      <c r="E198" s="129"/>
      <c r="F198" s="622"/>
      <c r="G198" s="28">
        <v>1</v>
      </c>
      <c r="H198" s="609"/>
      <c r="I198" s="519">
        <f>+Table10[[#This Row],[Quantity]]*Table10[[#This Row],[Unit Price]]</f>
        <v>0</v>
      </c>
    </row>
    <row r="199" spans="1:9" x14ac:dyDescent="0.25">
      <c r="A199" s="213" t="s">
        <v>1405</v>
      </c>
      <c r="B199" s="111" t="s">
        <v>449</v>
      </c>
      <c r="C199" s="457"/>
      <c r="D199" s="129"/>
      <c r="E199" s="129"/>
      <c r="F199" s="622"/>
      <c r="G199" s="28">
        <v>1</v>
      </c>
      <c r="H199" s="609"/>
      <c r="I199" s="519">
        <f>+Table10[[#This Row],[Quantity]]*Table10[[#This Row],[Unit Price]]</f>
        <v>0</v>
      </c>
    </row>
    <row r="200" spans="1:9" x14ac:dyDescent="0.25">
      <c r="A200" s="213" t="s">
        <v>2689</v>
      </c>
      <c r="B200" s="111" t="s">
        <v>2381</v>
      </c>
      <c r="C200" s="457"/>
      <c r="D200" s="129"/>
      <c r="E200" s="129"/>
      <c r="F200" s="622"/>
      <c r="G200" s="28">
        <v>1</v>
      </c>
      <c r="H200" s="609"/>
      <c r="I200" s="519">
        <f>+Table10[[#This Row],[Quantity]]*Table10[[#This Row],[Unit Price]]</f>
        <v>0</v>
      </c>
    </row>
    <row r="201" spans="1:9" x14ac:dyDescent="0.25">
      <c r="A201" s="213" t="s">
        <v>1079</v>
      </c>
      <c r="B201" s="111" t="s">
        <v>487</v>
      </c>
      <c r="C201" s="457"/>
      <c r="D201" s="129"/>
      <c r="E201" s="129"/>
      <c r="F201" s="622"/>
      <c r="G201" s="28">
        <v>1</v>
      </c>
      <c r="H201" s="609"/>
      <c r="I201" s="519">
        <f>+Table10[[#This Row],[Quantity]]*Table10[[#This Row],[Unit Price]]</f>
        <v>0</v>
      </c>
    </row>
    <row r="202" spans="1:9" x14ac:dyDescent="0.25">
      <c r="A202" s="213" t="s">
        <v>2690</v>
      </c>
      <c r="B202" s="111" t="s">
        <v>2382</v>
      </c>
      <c r="C202" s="457"/>
      <c r="D202" s="129"/>
      <c r="E202" s="129"/>
      <c r="F202" s="622"/>
      <c r="G202" s="28">
        <v>1</v>
      </c>
      <c r="H202" s="609"/>
      <c r="I202" s="519">
        <f>+Table10[[#This Row],[Quantity]]*Table10[[#This Row],[Unit Price]]</f>
        <v>0</v>
      </c>
    </row>
    <row r="203" spans="1:9" x14ac:dyDescent="0.25">
      <c r="A203" s="213" t="s">
        <v>1406</v>
      </c>
      <c r="B203" s="111" t="s">
        <v>217</v>
      </c>
      <c r="C203" s="457"/>
      <c r="D203" s="129"/>
      <c r="E203" s="129"/>
      <c r="F203" s="622"/>
      <c r="G203" s="28">
        <v>1</v>
      </c>
      <c r="H203" s="609"/>
      <c r="I203" s="519">
        <f>+Table10[[#This Row],[Quantity]]*Table10[[#This Row],[Unit Price]]</f>
        <v>0</v>
      </c>
    </row>
    <row r="204" spans="1:9" x14ac:dyDescent="0.25">
      <c r="A204" s="213" t="s">
        <v>1407</v>
      </c>
      <c r="B204" s="111" t="s">
        <v>377</v>
      </c>
      <c r="C204" s="457"/>
      <c r="D204" s="129"/>
      <c r="E204" s="129"/>
      <c r="F204" s="622"/>
      <c r="G204" s="28">
        <v>1</v>
      </c>
      <c r="H204" s="609"/>
      <c r="I204" s="519">
        <f>+Table10[[#This Row],[Quantity]]*Table10[[#This Row],[Unit Price]]</f>
        <v>0</v>
      </c>
    </row>
    <row r="205" spans="1:9" x14ac:dyDescent="0.25">
      <c r="A205" s="213" t="s">
        <v>1210</v>
      </c>
      <c r="B205" s="111" t="s">
        <v>475</v>
      </c>
      <c r="C205" s="457"/>
      <c r="D205" s="129"/>
      <c r="E205" s="129"/>
      <c r="F205" s="622"/>
      <c r="G205" s="28">
        <v>1</v>
      </c>
      <c r="H205" s="609"/>
      <c r="I205" s="519">
        <f>+Table10[[#This Row],[Quantity]]*Table10[[#This Row],[Unit Price]]</f>
        <v>0</v>
      </c>
    </row>
    <row r="206" spans="1:9" x14ac:dyDescent="0.25">
      <c r="A206" s="213" t="s">
        <v>2691</v>
      </c>
      <c r="B206" s="111" t="s">
        <v>2383</v>
      </c>
      <c r="C206" s="457"/>
      <c r="D206" s="129"/>
      <c r="E206" s="129"/>
      <c r="F206" s="622"/>
      <c r="G206" s="28">
        <v>1</v>
      </c>
      <c r="H206" s="609"/>
      <c r="I206" s="519">
        <f>+Table10[[#This Row],[Quantity]]*Table10[[#This Row],[Unit Price]]</f>
        <v>0</v>
      </c>
    </row>
    <row r="207" spans="1:9" x14ac:dyDescent="0.25">
      <c r="A207" s="213" t="s">
        <v>1408</v>
      </c>
      <c r="B207" s="111" t="s">
        <v>725</v>
      </c>
      <c r="C207" s="457"/>
      <c r="D207" s="129"/>
      <c r="E207" s="129"/>
      <c r="F207" s="622"/>
      <c r="G207" s="28">
        <v>1</v>
      </c>
      <c r="H207" s="609"/>
      <c r="I207" s="519">
        <f>+Table10[[#This Row],[Quantity]]*Table10[[#This Row],[Unit Price]]</f>
        <v>0</v>
      </c>
    </row>
    <row r="208" spans="1:9" x14ac:dyDescent="0.25">
      <c r="A208" s="213" t="s">
        <v>1409</v>
      </c>
      <c r="B208" s="111" t="s">
        <v>726</v>
      </c>
      <c r="C208" s="457"/>
      <c r="D208" s="129"/>
      <c r="E208" s="129"/>
      <c r="F208" s="622"/>
      <c r="G208" s="28">
        <v>1</v>
      </c>
      <c r="H208" s="609"/>
      <c r="I208" s="519">
        <f>+Table10[[#This Row],[Quantity]]*Table10[[#This Row],[Unit Price]]</f>
        <v>0</v>
      </c>
    </row>
    <row r="209" spans="1:9" x14ac:dyDescent="0.25">
      <c r="A209" s="213" t="s">
        <v>1412</v>
      </c>
      <c r="B209" s="111" t="s">
        <v>729</v>
      </c>
      <c r="C209" s="457"/>
      <c r="D209" s="129"/>
      <c r="E209" s="129"/>
      <c r="F209" s="622"/>
      <c r="G209" s="28">
        <v>1</v>
      </c>
      <c r="H209" s="609"/>
      <c r="I209" s="519">
        <f>+Table10[[#This Row],[Quantity]]*Table10[[#This Row],[Unit Price]]</f>
        <v>0</v>
      </c>
    </row>
    <row r="210" spans="1:9" x14ac:dyDescent="0.25">
      <c r="A210" s="213" t="s">
        <v>2692</v>
      </c>
      <c r="B210" s="111" t="s">
        <v>2384</v>
      </c>
      <c r="C210" s="457"/>
      <c r="D210" s="129"/>
      <c r="E210" s="129"/>
      <c r="F210" s="622"/>
      <c r="G210" s="28">
        <v>1</v>
      </c>
      <c r="H210" s="609"/>
      <c r="I210" s="519">
        <f>+Table10[[#This Row],[Quantity]]*Table10[[#This Row],[Unit Price]]</f>
        <v>0</v>
      </c>
    </row>
    <row r="211" spans="1:9" x14ac:dyDescent="0.25">
      <c r="A211" s="213" t="s">
        <v>2671</v>
      </c>
      <c r="B211" s="111" t="s">
        <v>2465</v>
      </c>
      <c r="C211" s="457"/>
      <c r="D211" s="129"/>
      <c r="E211" s="129"/>
      <c r="F211" s="622"/>
      <c r="G211" s="28">
        <v>1</v>
      </c>
      <c r="H211" s="609"/>
      <c r="I211" s="519">
        <f>+Table10[[#This Row],[Quantity]]*Table10[[#This Row],[Unit Price]]</f>
        <v>0</v>
      </c>
    </row>
    <row r="212" spans="1:9" x14ac:dyDescent="0.25">
      <c r="A212" s="213" t="s">
        <v>2672</v>
      </c>
      <c r="B212" s="111" t="s">
        <v>2466</v>
      </c>
      <c r="C212" s="457"/>
      <c r="D212" s="129"/>
      <c r="E212" s="129"/>
      <c r="F212" s="622"/>
      <c r="G212" s="28">
        <v>1</v>
      </c>
      <c r="H212" s="609"/>
      <c r="I212" s="519">
        <f>+Table10[[#This Row],[Quantity]]*Table10[[#This Row],[Unit Price]]</f>
        <v>0</v>
      </c>
    </row>
    <row r="213" spans="1:9" x14ac:dyDescent="0.25">
      <c r="A213" s="213" t="s">
        <v>2673</v>
      </c>
      <c r="B213" s="111" t="s">
        <v>2467</v>
      </c>
      <c r="C213" s="457"/>
      <c r="D213" s="129"/>
      <c r="E213" s="129"/>
      <c r="F213" s="622"/>
      <c r="G213" s="28">
        <v>1</v>
      </c>
      <c r="H213" s="609"/>
      <c r="I213" s="519">
        <f>+Table10[[#This Row],[Quantity]]*Table10[[#This Row],[Unit Price]]</f>
        <v>0</v>
      </c>
    </row>
    <row r="214" spans="1:9" x14ac:dyDescent="0.25">
      <c r="A214" s="213" t="s">
        <v>2674</v>
      </c>
      <c r="B214" s="111" t="s">
        <v>2468</v>
      </c>
      <c r="C214" s="457"/>
      <c r="D214" s="129"/>
      <c r="E214" s="129"/>
      <c r="F214" s="622"/>
      <c r="G214" s="28">
        <v>1</v>
      </c>
      <c r="H214" s="609"/>
      <c r="I214" s="519">
        <f>+Table10[[#This Row],[Quantity]]*Table10[[#This Row],[Unit Price]]</f>
        <v>0</v>
      </c>
    </row>
    <row r="215" spans="1:9" x14ac:dyDescent="0.25">
      <c r="A215" s="213" t="s">
        <v>1024</v>
      </c>
      <c r="B215" s="111" t="s">
        <v>400</v>
      </c>
      <c r="C215" s="457"/>
      <c r="D215" s="129"/>
      <c r="E215" s="129"/>
      <c r="F215" s="622"/>
      <c r="G215" s="28">
        <v>1</v>
      </c>
      <c r="H215" s="609"/>
      <c r="I215" s="519">
        <f>+Table10[[#This Row],[Quantity]]*Table10[[#This Row],[Unit Price]]</f>
        <v>0</v>
      </c>
    </row>
    <row r="216" spans="1:9" x14ac:dyDescent="0.25">
      <c r="A216" s="213" t="s">
        <v>2675</v>
      </c>
      <c r="B216" s="111" t="s">
        <v>2469</v>
      </c>
      <c r="C216" s="457"/>
      <c r="D216" s="129"/>
      <c r="E216" s="129"/>
      <c r="F216" s="622"/>
      <c r="G216" s="28">
        <v>1</v>
      </c>
      <c r="H216" s="609"/>
      <c r="I216" s="519">
        <f>+Table10[[#This Row],[Quantity]]*Table10[[#This Row],[Unit Price]]</f>
        <v>0</v>
      </c>
    </row>
    <row r="217" spans="1:9" x14ac:dyDescent="0.25">
      <c r="A217" s="213" t="s">
        <v>2676</v>
      </c>
      <c r="B217" s="111" t="s">
        <v>2470</v>
      </c>
      <c r="C217" s="457"/>
      <c r="D217" s="129"/>
      <c r="E217" s="129"/>
      <c r="F217" s="622"/>
      <c r="G217" s="28">
        <v>1</v>
      </c>
      <c r="H217" s="609"/>
      <c r="I217" s="519">
        <f>+Table10[[#This Row],[Quantity]]*Table10[[#This Row],[Unit Price]]</f>
        <v>0</v>
      </c>
    </row>
    <row r="218" spans="1:9" x14ac:dyDescent="0.25">
      <c r="A218" s="213" t="s">
        <v>1129</v>
      </c>
      <c r="B218" s="111" t="s">
        <v>107</v>
      </c>
      <c r="C218" s="457"/>
      <c r="D218" s="129"/>
      <c r="E218" s="129"/>
      <c r="F218" s="622"/>
      <c r="G218" s="28">
        <v>1</v>
      </c>
      <c r="H218" s="609"/>
      <c r="I218" s="519">
        <f>+Table10[[#This Row],[Quantity]]*Table10[[#This Row],[Unit Price]]</f>
        <v>0</v>
      </c>
    </row>
    <row r="219" spans="1:9" x14ac:dyDescent="0.25">
      <c r="A219" s="213" t="s">
        <v>2677</v>
      </c>
      <c r="B219" s="111" t="s">
        <v>2471</v>
      </c>
      <c r="C219" s="457"/>
      <c r="D219" s="129"/>
      <c r="E219" s="129"/>
      <c r="F219" s="622"/>
      <c r="G219" s="28">
        <v>1</v>
      </c>
      <c r="H219" s="609"/>
      <c r="I219" s="519">
        <f>+Table10[[#This Row],[Quantity]]*Table10[[#This Row],[Unit Price]]</f>
        <v>0</v>
      </c>
    </row>
    <row r="220" spans="1:9" x14ac:dyDescent="0.25">
      <c r="A220" s="213" t="s">
        <v>1413</v>
      </c>
      <c r="B220" s="111" t="s">
        <v>860</v>
      </c>
      <c r="C220" s="457"/>
      <c r="D220" s="129"/>
      <c r="E220" s="129"/>
      <c r="F220" s="622"/>
      <c r="G220" s="28">
        <v>1</v>
      </c>
      <c r="H220" s="609"/>
      <c r="I220" s="519">
        <f>+Table10[[#This Row],[Quantity]]*Table10[[#This Row],[Unit Price]]</f>
        <v>0</v>
      </c>
    </row>
    <row r="221" spans="1:9" x14ac:dyDescent="0.25">
      <c r="A221" s="213" t="s">
        <v>2678</v>
      </c>
      <c r="B221" s="111" t="s">
        <v>2472</v>
      </c>
      <c r="C221" s="457"/>
      <c r="D221" s="129"/>
      <c r="E221" s="129"/>
      <c r="F221" s="622"/>
      <c r="G221" s="28">
        <v>1</v>
      </c>
      <c r="H221" s="609"/>
      <c r="I221" s="519">
        <f>+Table10[[#This Row],[Quantity]]*Table10[[#This Row],[Unit Price]]</f>
        <v>0</v>
      </c>
    </row>
    <row r="222" spans="1:9" x14ac:dyDescent="0.25">
      <c r="A222" s="213" t="s">
        <v>2679</v>
      </c>
      <c r="B222" s="111" t="s">
        <v>2473</v>
      </c>
      <c r="C222" s="457"/>
      <c r="D222" s="129"/>
      <c r="E222" s="129"/>
      <c r="F222" s="622"/>
      <c r="G222" s="28">
        <v>1</v>
      </c>
      <c r="H222" s="609"/>
      <c r="I222" s="519">
        <f>+Table10[[#This Row],[Quantity]]*Table10[[#This Row],[Unit Price]]</f>
        <v>0</v>
      </c>
    </row>
    <row r="223" spans="1:9" x14ac:dyDescent="0.25">
      <c r="A223" s="213" t="s">
        <v>1130</v>
      </c>
      <c r="B223" s="111" t="s">
        <v>399</v>
      </c>
      <c r="C223" s="457"/>
      <c r="D223" s="129"/>
      <c r="E223" s="129"/>
      <c r="F223" s="622"/>
      <c r="G223" s="28">
        <v>1</v>
      </c>
      <c r="H223" s="609"/>
      <c r="I223" s="519">
        <f>+Table10[[#This Row],[Quantity]]*Table10[[#This Row],[Unit Price]]</f>
        <v>0</v>
      </c>
    </row>
    <row r="224" spans="1:9" x14ac:dyDescent="0.25">
      <c r="A224" s="213" t="s">
        <v>1131</v>
      </c>
      <c r="B224" s="111" t="s">
        <v>582</v>
      </c>
      <c r="C224" s="457"/>
      <c r="D224" s="129"/>
      <c r="E224" s="129"/>
      <c r="F224" s="622"/>
      <c r="G224" s="28">
        <v>1</v>
      </c>
      <c r="H224" s="609"/>
      <c r="I224" s="519">
        <f>+Table10[[#This Row],[Quantity]]*Table10[[#This Row],[Unit Price]]</f>
        <v>0</v>
      </c>
    </row>
    <row r="225" spans="1:9" x14ac:dyDescent="0.25">
      <c r="A225" s="213" t="s">
        <v>1132</v>
      </c>
      <c r="B225" s="111" t="s">
        <v>401</v>
      </c>
      <c r="C225" s="457"/>
      <c r="D225" s="129"/>
      <c r="E225" s="129"/>
      <c r="F225" s="622"/>
      <c r="G225" s="28">
        <v>1</v>
      </c>
      <c r="H225" s="609"/>
      <c r="I225" s="519">
        <f>+Table10[[#This Row],[Quantity]]*Table10[[#This Row],[Unit Price]]</f>
        <v>0</v>
      </c>
    </row>
    <row r="226" spans="1:9" x14ac:dyDescent="0.25">
      <c r="A226" s="213" t="s">
        <v>3115</v>
      </c>
      <c r="B226" s="111" t="s">
        <v>2226</v>
      </c>
      <c r="C226" s="457"/>
      <c r="D226" s="129"/>
      <c r="E226" s="129"/>
      <c r="F226" s="622"/>
      <c r="G226" s="28">
        <v>2</v>
      </c>
      <c r="H226" s="609"/>
      <c r="I226" s="519">
        <f>+Table10[[#This Row],[Quantity]]*Table10[[#This Row],[Unit Price]]</f>
        <v>0</v>
      </c>
    </row>
    <row r="227" spans="1:9" x14ac:dyDescent="0.25">
      <c r="A227" s="213" t="s">
        <v>3116</v>
      </c>
      <c r="B227" s="111" t="s">
        <v>872</v>
      </c>
      <c r="C227" s="457"/>
      <c r="D227" s="129"/>
      <c r="E227" s="129"/>
      <c r="F227" s="622"/>
      <c r="G227" s="28">
        <v>2</v>
      </c>
      <c r="H227" s="609"/>
      <c r="I227" s="519">
        <f>+Table10[[#This Row],[Quantity]]*Table10[[#This Row],[Unit Price]]</f>
        <v>0</v>
      </c>
    </row>
    <row r="228" spans="1:9" x14ac:dyDescent="0.25">
      <c r="A228" s="213" t="s">
        <v>23</v>
      </c>
      <c r="B228" s="111" t="s">
        <v>290</v>
      </c>
      <c r="C228" s="457"/>
      <c r="D228" s="129"/>
      <c r="E228" s="129"/>
      <c r="F228" s="622"/>
      <c r="G228" s="28">
        <v>1</v>
      </c>
      <c r="H228" s="609"/>
      <c r="I228" s="519">
        <f>+Table10[[#This Row],[Quantity]]*Table10[[#This Row],[Unit Price]]</f>
        <v>0</v>
      </c>
    </row>
    <row r="229" spans="1:9" x14ac:dyDescent="0.25">
      <c r="A229" s="213" t="s">
        <v>25</v>
      </c>
      <c r="B229" s="111" t="s">
        <v>300</v>
      </c>
      <c r="C229" s="457"/>
      <c r="D229" s="129"/>
      <c r="E229" s="129"/>
      <c r="F229" s="622"/>
      <c r="G229" s="28">
        <v>1</v>
      </c>
      <c r="H229" s="609"/>
      <c r="I229" s="519">
        <f>+Table10[[#This Row],[Quantity]]*Table10[[#This Row],[Unit Price]]</f>
        <v>0</v>
      </c>
    </row>
    <row r="230" spans="1:9" x14ac:dyDescent="0.25">
      <c r="A230" s="213" t="s">
        <v>1224</v>
      </c>
      <c r="B230" s="111" t="s">
        <v>114</v>
      </c>
      <c r="C230" s="457"/>
      <c r="D230" s="129"/>
      <c r="E230" s="129"/>
      <c r="F230" s="622"/>
      <c r="G230" s="28">
        <v>1</v>
      </c>
      <c r="H230" s="609"/>
      <c r="I230" s="519">
        <f>+Table10[[#This Row],[Quantity]]*Table10[[#This Row],[Unit Price]]</f>
        <v>0</v>
      </c>
    </row>
    <row r="231" spans="1:9" x14ac:dyDescent="0.25">
      <c r="A231" s="213" t="s">
        <v>27</v>
      </c>
      <c r="B231" s="111" t="s">
        <v>302</v>
      </c>
      <c r="C231" s="457"/>
      <c r="D231" s="129"/>
      <c r="E231" s="129"/>
      <c r="F231" s="622"/>
      <c r="G231" s="28">
        <v>1</v>
      </c>
      <c r="H231" s="609"/>
      <c r="I231" s="519">
        <f>+Table10[[#This Row],[Quantity]]*Table10[[#This Row],[Unit Price]]</f>
        <v>0</v>
      </c>
    </row>
    <row r="232" spans="1:9" x14ac:dyDescent="0.25">
      <c r="A232" s="213" t="s">
        <v>24</v>
      </c>
      <c r="B232" s="111" t="s">
        <v>297</v>
      </c>
      <c r="C232" s="457"/>
      <c r="D232" s="129"/>
      <c r="E232" s="129"/>
      <c r="F232" s="622"/>
      <c r="G232" s="28">
        <v>1</v>
      </c>
      <c r="H232" s="609"/>
      <c r="I232" s="519">
        <f>+Table10[[#This Row],[Quantity]]*Table10[[#This Row],[Unit Price]]</f>
        <v>0</v>
      </c>
    </row>
    <row r="233" spans="1:9" x14ac:dyDescent="0.25">
      <c r="A233" s="213" t="s">
        <v>1251</v>
      </c>
      <c r="B233" s="111" t="s">
        <v>81</v>
      </c>
      <c r="C233" s="457"/>
      <c r="D233" s="129"/>
      <c r="E233" s="129"/>
      <c r="F233" s="622"/>
      <c r="G233" s="28">
        <v>1</v>
      </c>
      <c r="H233" s="609"/>
      <c r="I233" s="519">
        <f>+Table10[[#This Row],[Quantity]]*Table10[[#This Row],[Unit Price]]</f>
        <v>0</v>
      </c>
    </row>
    <row r="234" spans="1:9" x14ac:dyDescent="0.25">
      <c r="A234" s="213" t="s">
        <v>1247</v>
      </c>
      <c r="B234" s="111" t="s">
        <v>443</v>
      </c>
      <c r="C234" s="457"/>
      <c r="D234" s="129"/>
      <c r="E234" s="129"/>
      <c r="F234" s="622"/>
      <c r="G234" s="28">
        <v>1</v>
      </c>
      <c r="H234" s="609"/>
      <c r="I234" s="519">
        <f>+Table10[[#This Row],[Quantity]]*Table10[[#This Row],[Unit Price]]</f>
        <v>0</v>
      </c>
    </row>
    <row r="235" spans="1:9" x14ac:dyDescent="0.25">
      <c r="A235" s="213" t="s">
        <v>1175</v>
      </c>
      <c r="B235" s="111" t="s">
        <v>310</v>
      </c>
      <c r="C235" s="457"/>
      <c r="D235" s="129"/>
      <c r="E235" s="129"/>
      <c r="F235" s="622"/>
      <c r="G235" s="28">
        <v>1</v>
      </c>
      <c r="H235" s="609"/>
      <c r="I235" s="519">
        <f>+Table10[[#This Row],[Quantity]]*Table10[[#This Row],[Unit Price]]</f>
        <v>0</v>
      </c>
    </row>
    <row r="236" spans="1:9" x14ac:dyDescent="0.25">
      <c r="A236" s="213" t="s">
        <v>1248</v>
      </c>
      <c r="B236" s="111" t="s">
        <v>444</v>
      </c>
      <c r="C236" s="457"/>
      <c r="D236" s="129"/>
      <c r="E236" s="129"/>
      <c r="F236" s="622"/>
      <c r="G236" s="28">
        <v>1</v>
      </c>
      <c r="H236" s="609"/>
      <c r="I236" s="519">
        <f>+Table10[[#This Row],[Quantity]]*Table10[[#This Row],[Unit Price]]</f>
        <v>0</v>
      </c>
    </row>
    <row r="237" spans="1:9" x14ac:dyDescent="0.25">
      <c r="A237" s="213" t="s">
        <v>1173</v>
      </c>
      <c r="B237" s="111" t="s">
        <v>313</v>
      </c>
      <c r="C237" s="457"/>
      <c r="D237" s="129"/>
      <c r="E237" s="129"/>
      <c r="F237" s="622"/>
      <c r="G237" s="28">
        <v>1</v>
      </c>
      <c r="H237" s="609"/>
      <c r="I237" s="519">
        <f>+Table10[[#This Row],[Quantity]]*Table10[[#This Row],[Unit Price]]</f>
        <v>0</v>
      </c>
    </row>
    <row r="238" spans="1:9" x14ac:dyDescent="0.25">
      <c r="A238" s="213" t="s">
        <v>1249</v>
      </c>
      <c r="B238" s="111" t="s">
        <v>445</v>
      </c>
      <c r="C238" s="457"/>
      <c r="D238" s="129"/>
      <c r="E238" s="129"/>
      <c r="F238" s="622"/>
      <c r="G238" s="28">
        <v>1</v>
      </c>
      <c r="H238" s="609"/>
      <c r="I238" s="519">
        <f>+Table10[[#This Row],[Quantity]]*Table10[[#This Row],[Unit Price]]</f>
        <v>0</v>
      </c>
    </row>
    <row r="239" spans="1:9" x14ac:dyDescent="0.25">
      <c r="A239" s="213" t="s">
        <v>3171</v>
      </c>
      <c r="B239" s="111" t="s">
        <v>809</v>
      </c>
      <c r="C239" s="457"/>
      <c r="D239" s="129"/>
      <c r="E239" s="129"/>
      <c r="F239" s="622"/>
      <c r="G239" s="28">
        <v>1</v>
      </c>
      <c r="H239" s="609"/>
      <c r="I239" s="519">
        <f>+Table10[[#This Row],[Quantity]]*Table10[[#This Row],[Unit Price]]</f>
        <v>0</v>
      </c>
    </row>
    <row r="240" spans="1:9" x14ac:dyDescent="0.25">
      <c r="A240" s="213" t="s">
        <v>3172</v>
      </c>
      <c r="B240" s="111" t="s">
        <v>808</v>
      </c>
      <c r="C240" s="457"/>
      <c r="D240" s="129"/>
      <c r="E240" s="129"/>
      <c r="F240" s="622"/>
      <c r="G240" s="28">
        <v>1</v>
      </c>
      <c r="H240" s="609"/>
      <c r="I240" s="519">
        <f>+Table10[[#This Row],[Quantity]]*Table10[[#This Row],[Unit Price]]</f>
        <v>0</v>
      </c>
    </row>
    <row r="241" spans="1:9" x14ac:dyDescent="0.25">
      <c r="A241" s="213" t="s">
        <v>3173</v>
      </c>
      <c r="B241" s="111" t="s">
        <v>807</v>
      </c>
      <c r="C241" s="457"/>
      <c r="D241" s="129"/>
      <c r="E241" s="129"/>
      <c r="F241" s="622"/>
      <c r="G241" s="28">
        <v>1</v>
      </c>
      <c r="H241" s="609"/>
      <c r="I241" s="519">
        <f>+Table10[[#This Row],[Quantity]]*Table10[[#This Row],[Unit Price]]</f>
        <v>0</v>
      </c>
    </row>
    <row r="242" spans="1:9" x14ac:dyDescent="0.25">
      <c r="A242" s="213" t="s">
        <v>3174</v>
      </c>
      <c r="B242" s="111" t="s">
        <v>806</v>
      </c>
      <c r="C242" s="457"/>
      <c r="D242" s="129"/>
      <c r="E242" s="129"/>
      <c r="F242" s="622"/>
      <c r="G242" s="28">
        <v>1</v>
      </c>
      <c r="H242" s="609"/>
      <c r="I242" s="519">
        <f>+Table10[[#This Row],[Quantity]]*Table10[[#This Row],[Unit Price]]</f>
        <v>0</v>
      </c>
    </row>
    <row r="243" spans="1:9" x14ac:dyDescent="0.25">
      <c r="A243" s="213" t="s">
        <v>3175</v>
      </c>
      <c r="B243" s="111" t="s">
        <v>805</v>
      </c>
      <c r="C243" s="457"/>
      <c r="D243" s="129"/>
      <c r="E243" s="129"/>
      <c r="F243" s="622"/>
      <c r="G243" s="28">
        <v>1</v>
      </c>
      <c r="H243" s="609"/>
      <c r="I243" s="519">
        <f>+Table10[[#This Row],[Quantity]]*Table10[[#This Row],[Unit Price]]</f>
        <v>0</v>
      </c>
    </row>
    <row r="244" spans="1:9" x14ac:dyDescent="0.25">
      <c r="A244" s="213" t="s">
        <v>2709</v>
      </c>
      <c r="B244" s="111" t="s">
        <v>2493</v>
      </c>
      <c r="C244" s="457"/>
      <c r="D244" s="129"/>
      <c r="E244" s="129"/>
      <c r="F244" s="622"/>
      <c r="G244" s="28">
        <v>1</v>
      </c>
      <c r="H244" s="609"/>
      <c r="I244" s="519">
        <f>+Table10[[#This Row],[Quantity]]*Table10[[#This Row],[Unit Price]]</f>
        <v>0</v>
      </c>
    </row>
    <row r="245" spans="1:9" x14ac:dyDescent="0.25">
      <c r="A245" s="213" t="s">
        <v>2596</v>
      </c>
      <c r="B245" s="111" t="s">
        <v>2368</v>
      </c>
      <c r="C245" s="457"/>
      <c r="D245" s="129"/>
      <c r="E245" s="129"/>
      <c r="F245" s="622"/>
      <c r="G245" s="28">
        <v>1</v>
      </c>
      <c r="H245" s="609"/>
      <c r="I245" s="519">
        <f>+Table10[[#This Row],[Quantity]]*Table10[[#This Row],[Unit Price]]</f>
        <v>0</v>
      </c>
    </row>
    <row r="246" spans="1:9" x14ac:dyDescent="0.25">
      <c r="A246" s="213" t="s">
        <v>2597</v>
      </c>
      <c r="B246" s="111" t="s">
        <v>2369</v>
      </c>
      <c r="C246" s="457"/>
      <c r="D246" s="129"/>
      <c r="E246" s="129"/>
      <c r="F246" s="622"/>
      <c r="G246" s="28">
        <v>1</v>
      </c>
      <c r="H246" s="609"/>
      <c r="I246" s="519">
        <f>+Table10[[#This Row],[Quantity]]*Table10[[#This Row],[Unit Price]]</f>
        <v>0</v>
      </c>
    </row>
    <row r="247" spans="1:9" x14ac:dyDescent="0.25">
      <c r="A247" s="213" t="s">
        <v>2598</v>
      </c>
      <c r="B247" s="111" t="s">
        <v>2370</v>
      </c>
      <c r="C247" s="457"/>
      <c r="D247" s="129"/>
      <c r="E247" s="129"/>
      <c r="F247" s="622"/>
      <c r="G247" s="28">
        <v>1</v>
      </c>
      <c r="H247" s="609"/>
      <c r="I247" s="519">
        <f>+Table10[[#This Row],[Quantity]]*Table10[[#This Row],[Unit Price]]</f>
        <v>0</v>
      </c>
    </row>
    <row r="248" spans="1:9" x14ac:dyDescent="0.25">
      <c r="A248" s="213" t="s">
        <v>2599</v>
      </c>
      <c r="B248" s="111" t="s">
        <v>2371</v>
      </c>
      <c r="C248" s="457"/>
      <c r="D248" s="129"/>
      <c r="E248" s="129"/>
      <c r="F248" s="622"/>
      <c r="G248" s="28">
        <v>1</v>
      </c>
      <c r="H248" s="609"/>
      <c r="I248" s="519">
        <f>+Table10[[#This Row],[Quantity]]*Table10[[#This Row],[Unit Price]]</f>
        <v>0</v>
      </c>
    </row>
    <row r="249" spans="1:9" x14ac:dyDescent="0.25">
      <c r="A249" s="213" t="s">
        <v>2600</v>
      </c>
      <c r="B249" s="111" t="s">
        <v>2372</v>
      </c>
      <c r="C249" s="457"/>
      <c r="D249" s="129"/>
      <c r="E249" s="129"/>
      <c r="F249" s="622"/>
      <c r="G249" s="28">
        <v>1</v>
      </c>
      <c r="H249" s="609"/>
      <c r="I249" s="519">
        <f>+Table10[[#This Row],[Quantity]]*Table10[[#This Row],[Unit Price]]</f>
        <v>0</v>
      </c>
    </row>
    <row r="250" spans="1:9" x14ac:dyDescent="0.25">
      <c r="A250" s="213" t="s">
        <v>2601</v>
      </c>
      <c r="B250" s="111" t="s">
        <v>2373</v>
      </c>
      <c r="C250" s="457"/>
      <c r="D250" s="129"/>
      <c r="E250" s="129"/>
      <c r="F250" s="622"/>
      <c r="G250" s="28">
        <v>1</v>
      </c>
      <c r="H250" s="609"/>
      <c r="I250" s="519">
        <f>+Table10[[#This Row],[Quantity]]*Table10[[#This Row],[Unit Price]]</f>
        <v>0</v>
      </c>
    </row>
    <row r="251" spans="1:9" x14ac:dyDescent="0.25">
      <c r="A251" s="213" t="s">
        <v>2602</v>
      </c>
      <c r="B251" s="111" t="s">
        <v>2374</v>
      </c>
      <c r="C251" s="457"/>
      <c r="D251" s="129"/>
      <c r="E251" s="129"/>
      <c r="F251" s="622"/>
      <c r="G251" s="28">
        <v>1</v>
      </c>
      <c r="H251" s="609"/>
      <c r="I251" s="519">
        <f>+Table10[[#This Row],[Quantity]]*Table10[[#This Row],[Unit Price]]</f>
        <v>0</v>
      </c>
    </row>
    <row r="252" spans="1:9" x14ac:dyDescent="0.25">
      <c r="A252" s="213" t="s">
        <v>2603</v>
      </c>
      <c r="B252" s="111" t="s">
        <v>2375</v>
      </c>
      <c r="C252" s="457"/>
      <c r="D252" s="129"/>
      <c r="E252" s="129"/>
      <c r="F252" s="622"/>
      <c r="G252" s="28">
        <v>1</v>
      </c>
      <c r="H252" s="609"/>
      <c r="I252" s="519">
        <f>+Table10[[#This Row],[Quantity]]*Table10[[#This Row],[Unit Price]]</f>
        <v>0</v>
      </c>
    </row>
    <row r="253" spans="1:9" x14ac:dyDescent="0.25">
      <c r="A253" s="213" t="s">
        <v>2604</v>
      </c>
      <c r="B253" s="111" t="s">
        <v>2376</v>
      </c>
      <c r="C253" s="457"/>
      <c r="D253" s="129"/>
      <c r="E253" s="129"/>
      <c r="F253" s="622"/>
      <c r="G253" s="28">
        <v>1</v>
      </c>
      <c r="H253" s="609"/>
      <c r="I253" s="519">
        <f>+Table10[[#This Row],[Quantity]]*Table10[[#This Row],[Unit Price]]</f>
        <v>0</v>
      </c>
    </row>
    <row r="254" spans="1:9" x14ac:dyDescent="0.25">
      <c r="A254" s="213" t="s">
        <v>2605</v>
      </c>
      <c r="B254" s="111" t="s">
        <v>2377</v>
      </c>
      <c r="C254" s="457"/>
      <c r="D254" s="129"/>
      <c r="E254" s="129"/>
      <c r="F254" s="622"/>
      <c r="G254" s="28">
        <v>1</v>
      </c>
      <c r="H254" s="609"/>
      <c r="I254" s="519">
        <f>+Table10[[#This Row],[Quantity]]*Table10[[#This Row],[Unit Price]]</f>
        <v>0</v>
      </c>
    </row>
    <row r="255" spans="1:9" x14ac:dyDescent="0.25">
      <c r="A255" s="213" t="s">
        <v>2606</v>
      </c>
      <c r="B255" s="111" t="s">
        <v>2378</v>
      </c>
      <c r="C255" s="457"/>
      <c r="D255" s="129"/>
      <c r="E255" s="129"/>
      <c r="F255" s="622"/>
      <c r="G255" s="28">
        <v>1</v>
      </c>
      <c r="H255" s="609"/>
      <c r="I255" s="519">
        <f>+Table10[[#This Row],[Quantity]]*Table10[[#This Row],[Unit Price]]</f>
        <v>0</v>
      </c>
    </row>
    <row r="256" spans="1:9" x14ac:dyDescent="0.25">
      <c r="A256" s="213" t="s">
        <v>2607</v>
      </c>
      <c r="B256" s="111" t="s">
        <v>2379</v>
      </c>
      <c r="C256" s="457"/>
      <c r="D256" s="129"/>
      <c r="E256" s="129"/>
      <c r="F256" s="622"/>
      <c r="G256" s="28">
        <v>1</v>
      </c>
      <c r="H256" s="609"/>
      <c r="I256" s="519">
        <f>+Table10[[#This Row],[Quantity]]*Table10[[#This Row],[Unit Price]]</f>
        <v>0</v>
      </c>
    </row>
    <row r="257" spans="1:9" x14ac:dyDescent="0.25">
      <c r="A257" s="213" t="s">
        <v>2608</v>
      </c>
      <c r="B257" s="111" t="s">
        <v>2380</v>
      </c>
      <c r="C257" s="457"/>
      <c r="D257" s="129"/>
      <c r="E257" s="129"/>
      <c r="F257" s="622"/>
      <c r="G257" s="28">
        <v>1</v>
      </c>
      <c r="H257" s="609"/>
      <c r="I257" s="519">
        <f>+Table10[[#This Row],[Quantity]]*Table10[[#This Row],[Unit Price]]</f>
        <v>0</v>
      </c>
    </row>
    <row r="258" spans="1:9" x14ac:dyDescent="0.25">
      <c r="A258" s="213" t="s">
        <v>1155</v>
      </c>
      <c r="B258" s="111" t="s">
        <v>383</v>
      </c>
      <c r="C258" s="457"/>
      <c r="D258" s="129"/>
      <c r="E258" s="129"/>
      <c r="F258" s="622"/>
      <c r="G258" s="28">
        <v>1</v>
      </c>
      <c r="H258" s="609"/>
      <c r="I258" s="519">
        <f>+Table10[[#This Row],[Quantity]]*Table10[[#This Row],[Unit Price]]</f>
        <v>0</v>
      </c>
    </row>
    <row r="259" spans="1:9" x14ac:dyDescent="0.25">
      <c r="A259" s="213" t="s">
        <v>1242</v>
      </c>
      <c r="B259" s="111" t="s">
        <v>305</v>
      </c>
      <c r="C259" s="457"/>
      <c r="D259" s="129"/>
      <c r="E259" s="129"/>
      <c r="F259" s="622"/>
      <c r="G259" s="28">
        <v>1</v>
      </c>
      <c r="H259" s="609"/>
      <c r="I259" s="519">
        <f>+Table10[[#This Row],[Quantity]]*Table10[[#This Row],[Unit Price]]</f>
        <v>0</v>
      </c>
    </row>
    <row r="260" spans="1:9" x14ac:dyDescent="0.25">
      <c r="A260" s="213" t="s">
        <v>1429</v>
      </c>
      <c r="B260" s="111" t="s">
        <v>440</v>
      </c>
      <c r="C260" s="457"/>
      <c r="D260" s="129"/>
      <c r="E260" s="129"/>
      <c r="F260" s="622"/>
      <c r="G260" s="28">
        <v>1</v>
      </c>
      <c r="H260" s="609"/>
      <c r="I260" s="519">
        <f>+Table10[[#This Row],[Quantity]]*Table10[[#This Row],[Unit Price]]</f>
        <v>0</v>
      </c>
    </row>
    <row r="261" spans="1:9" x14ac:dyDescent="0.25">
      <c r="A261" s="213" t="s">
        <v>1171</v>
      </c>
      <c r="B261" s="111" t="s">
        <v>441</v>
      </c>
      <c r="C261" s="457"/>
      <c r="D261" s="129"/>
      <c r="E261" s="129"/>
      <c r="F261" s="622"/>
      <c r="G261" s="28">
        <v>1</v>
      </c>
      <c r="H261" s="609"/>
      <c r="I261" s="519">
        <f>+Table10[[#This Row],[Quantity]]*Table10[[#This Row],[Unit Price]]</f>
        <v>0</v>
      </c>
    </row>
    <row r="262" spans="1:9" x14ac:dyDescent="0.25">
      <c r="A262" s="213" t="s">
        <v>1172</v>
      </c>
      <c r="B262" s="111" t="s">
        <v>340</v>
      </c>
      <c r="C262" s="457"/>
      <c r="D262" s="129"/>
      <c r="E262" s="129"/>
      <c r="F262" s="622"/>
      <c r="G262" s="28">
        <v>1</v>
      </c>
      <c r="H262" s="609"/>
      <c r="I262" s="519">
        <f>+Table10[[#This Row],[Quantity]]*Table10[[#This Row],[Unit Price]]</f>
        <v>0</v>
      </c>
    </row>
    <row r="263" spans="1:9" x14ac:dyDescent="0.25">
      <c r="A263" s="213" t="s">
        <v>1430</v>
      </c>
      <c r="B263" s="111" t="s">
        <v>438</v>
      </c>
      <c r="C263" s="457"/>
      <c r="D263" s="129"/>
      <c r="E263" s="129"/>
      <c r="F263" s="622"/>
      <c r="G263" s="28">
        <v>1</v>
      </c>
      <c r="H263" s="609"/>
      <c r="I263" s="519">
        <f>+Table10[[#This Row],[Quantity]]*Table10[[#This Row],[Unit Price]]</f>
        <v>0</v>
      </c>
    </row>
    <row r="264" spans="1:9" x14ac:dyDescent="0.25">
      <c r="A264" s="213" t="s">
        <v>2670</v>
      </c>
      <c r="B264" s="111" t="s">
        <v>2349</v>
      </c>
      <c r="C264" s="457"/>
      <c r="D264" s="129"/>
      <c r="E264" s="129"/>
      <c r="F264" s="622"/>
      <c r="G264" s="28">
        <v>1</v>
      </c>
      <c r="H264" s="609"/>
      <c r="I264" s="519">
        <f>+Table10[[#This Row],[Quantity]]*Table10[[#This Row],[Unit Price]]</f>
        <v>0</v>
      </c>
    </row>
    <row r="265" spans="1:9" x14ac:dyDescent="0.25">
      <c r="A265" s="213" t="s">
        <v>1241</v>
      </c>
      <c r="B265" s="111" t="s">
        <v>74</v>
      </c>
      <c r="C265" s="457"/>
      <c r="D265" s="129"/>
      <c r="E265" s="129"/>
      <c r="F265" s="622"/>
      <c r="G265" s="28">
        <v>1</v>
      </c>
      <c r="H265" s="609"/>
      <c r="I265" s="519">
        <f>+Table10[[#This Row],[Quantity]]*Table10[[#This Row],[Unit Price]]</f>
        <v>0</v>
      </c>
    </row>
    <row r="266" spans="1:9" x14ac:dyDescent="0.25">
      <c r="A266" s="213" t="s">
        <v>1243</v>
      </c>
      <c r="B266" s="111" t="s">
        <v>307</v>
      </c>
      <c r="C266" s="457"/>
      <c r="D266" s="129"/>
      <c r="E266" s="129"/>
      <c r="F266" s="622"/>
      <c r="G266" s="28">
        <v>1</v>
      </c>
      <c r="H266" s="609"/>
      <c r="I266" s="519">
        <f>+Table10[[#This Row],[Quantity]]*Table10[[#This Row],[Unit Price]]</f>
        <v>0</v>
      </c>
    </row>
    <row r="267" spans="1:9" x14ac:dyDescent="0.25">
      <c r="A267" s="213" t="s">
        <v>1240</v>
      </c>
      <c r="B267" s="111" t="s">
        <v>304</v>
      </c>
      <c r="C267" s="457"/>
      <c r="D267" s="129"/>
      <c r="E267" s="129"/>
      <c r="F267" s="622"/>
      <c r="G267" s="28">
        <v>1</v>
      </c>
      <c r="H267" s="609"/>
      <c r="I267" s="519">
        <f>+Table10[[#This Row],[Quantity]]*Table10[[#This Row],[Unit Price]]</f>
        <v>0</v>
      </c>
    </row>
    <row r="268" spans="1:9" x14ac:dyDescent="0.25">
      <c r="A268" s="213" t="s">
        <v>1431</v>
      </c>
      <c r="B268" s="111" t="s">
        <v>439</v>
      </c>
      <c r="C268" s="457"/>
      <c r="D268" s="129"/>
      <c r="E268" s="129"/>
      <c r="F268" s="622"/>
      <c r="G268" s="28">
        <v>1</v>
      </c>
      <c r="H268" s="609"/>
      <c r="I268" s="519">
        <f>+Table10[[#This Row],[Quantity]]*Table10[[#This Row],[Unit Price]]</f>
        <v>0</v>
      </c>
    </row>
    <row r="269" spans="1:9" x14ac:dyDescent="0.25">
      <c r="A269" s="213" t="s">
        <v>2633</v>
      </c>
      <c r="B269" s="111" t="s">
        <v>2344</v>
      </c>
      <c r="C269" s="457"/>
      <c r="D269" s="129"/>
      <c r="E269" s="129"/>
      <c r="F269" s="622"/>
      <c r="G269" s="28">
        <v>1</v>
      </c>
      <c r="H269" s="609"/>
      <c r="I269" s="519">
        <f>+Table10[[#This Row],[Quantity]]*Table10[[#This Row],[Unit Price]]</f>
        <v>0</v>
      </c>
    </row>
    <row r="270" spans="1:9" x14ac:dyDescent="0.25">
      <c r="A270" s="213" t="s">
        <v>2634</v>
      </c>
      <c r="B270" s="111" t="s">
        <v>2345</v>
      </c>
      <c r="C270" s="457"/>
      <c r="D270" s="129"/>
      <c r="E270" s="129"/>
      <c r="F270" s="622"/>
      <c r="G270" s="28">
        <v>1</v>
      </c>
      <c r="H270" s="609"/>
      <c r="I270" s="519">
        <f>+Table10[[#This Row],[Quantity]]*Table10[[#This Row],[Unit Price]]</f>
        <v>0</v>
      </c>
    </row>
    <row r="271" spans="1:9" x14ac:dyDescent="0.25">
      <c r="A271" s="213" t="s">
        <v>2635</v>
      </c>
      <c r="B271" s="111" t="s">
        <v>2346</v>
      </c>
      <c r="C271" s="457"/>
      <c r="D271" s="129"/>
      <c r="E271" s="129"/>
      <c r="F271" s="622"/>
      <c r="G271" s="28">
        <v>1</v>
      </c>
      <c r="H271" s="609"/>
      <c r="I271" s="519">
        <f>+Table10[[#This Row],[Quantity]]*Table10[[#This Row],[Unit Price]]</f>
        <v>0</v>
      </c>
    </row>
    <row r="272" spans="1:9" x14ac:dyDescent="0.25">
      <c r="A272" s="213" t="s">
        <v>2636</v>
      </c>
      <c r="B272" s="111" t="s">
        <v>2347</v>
      </c>
      <c r="C272" s="457"/>
      <c r="D272" s="129"/>
      <c r="E272" s="129"/>
      <c r="F272" s="622"/>
      <c r="G272" s="28">
        <v>1</v>
      </c>
      <c r="H272" s="609"/>
      <c r="I272" s="519">
        <f>+Table10[[#This Row],[Quantity]]*Table10[[#This Row],[Unit Price]]</f>
        <v>0</v>
      </c>
    </row>
    <row r="273" spans="1:9" x14ac:dyDescent="0.25">
      <c r="A273" s="213" t="s">
        <v>2637</v>
      </c>
      <c r="B273" s="111" t="s">
        <v>2348</v>
      </c>
      <c r="C273" s="457"/>
      <c r="D273" s="129"/>
      <c r="E273" s="129"/>
      <c r="F273" s="622"/>
      <c r="G273" s="28">
        <v>1</v>
      </c>
      <c r="H273" s="609"/>
      <c r="I273" s="519">
        <f>+Table10[[#This Row],[Quantity]]*Table10[[#This Row],[Unit Price]]</f>
        <v>0</v>
      </c>
    </row>
    <row r="274" spans="1:9" x14ac:dyDescent="0.25">
      <c r="A274" s="213" t="s">
        <v>2638</v>
      </c>
      <c r="B274" s="111" t="s">
        <v>2338</v>
      </c>
      <c r="C274" s="457"/>
      <c r="D274" s="129"/>
      <c r="E274" s="129"/>
      <c r="F274" s="622"/>
      <c r="G274" s="28">
        <v>1</v>
      </c>
      <c r="H274" s="609"/>
      <c r="I274" s="519">
        <f>+Table10[[#This Row],[Quantity]]*Table10[[#This Row],[Unit Price]]</f>
        <v>0</v>
      </c>
    </row>
    <row r="275" spans="1:9" x14ac:dyDescent="0.25">
      <c r="A275" s="213" t="s">
        <v>2639</v>
      </c>
      <c r="B275" s="111" t="s">
        <v>2339</v>
      </c>
      <c r="C275" s="457"/>
      <c r="D275" s="129"/>
      <c r="E275" s="129"/>
      <c r="F275" s="622"/>
      <c r="G275" s="28">
        <v>1</v>
      </c>
      <c r="H275" s="609"/>
      <c r="I275" s="519">
        <f>+Table10[[#This Row],[Quantity]]*Table10[[#This Row],[Unit Price]]</f>
        <v>0</v>
      </c>
    </row>
    <row r="276" spans="1:9" x14ac:dyDescent="0.25">
      <c r="A276" s="213" t="s">
        <v>2640</v>
      </c>
      <c r="B276" s="111" t="s">
        <v>2340</v>
      </c>
      <c r="C276" s="457"/>
      <c r="D276" s="129"/>
      <c r="E276" s="129"/>
      <c r="F276" s="622"/>
      <c r="G276" s="28">
        <v>1</v>
      </c>
      <c r="H276" s="609"/>
      <c r="I276" s="519">
        <f>+Table10[[#This Row],[Quantity]]*Table10[[#This Row],[Unit Price]]</f>
        <v>0</v>
      </c>
    </row>
    <row r="277" spans="1:9" x14ac:dyDescent="0.25">
      <c r="A277" s="213" t="s">
        <v>2641</v>
      </c>
      <c r="B277" s="111" t="s">
        <v>2341</v>
      </c>
      <c r="C277" s="457"/>
      <c r="D277" s="129"/>
      <c r="E277" s="129"/>
      <c r="F277" s="622"/>
      <c r="G277" s="28">
        <v>1</v>
      </c>
      <c r="H277" s="609"/>
      <c r="I277" s="519">
        <f>+Table10[[#This Row],[Quantity]]*Table10[[#This Row],[Unit Price]]</f>
        <v>0</v>
      </c>
    </row>
    <row r="278" spans="1:9" x14ac:dyDescent="0.25">
      <c r="A278" s="213" t="s">
        <v>2642</v>
      </c>
      <c r="B278" s="111" t="s">
        <v>2342</v>
      </c>
      <c r="C278" s="457"/>
      <c r="D278" s="129"/>
      <c r="E278" s="129"/>
      <c r="F278" s="622"/>
      <c r="G278" s="28">
        <v>1</v>
      </c>
      <c r="H278" s="609"/>
      <c r="I278" s="519">
        <f>+Table10[[#This Row],[Quantity]]*Table10[[#This Row],[Unit Price]]</f>
        <v>0</v>
      </c>
    </row>
    <row r="279" spans="1:9" x14ac:dyDescent="0.25">
      <c r="A279" s="213" t="s">
        <v>2643</v>
      </c>
      <c r="B279" s="111" t="s">
        <v>2343</v>
      </c>
      <c r="C279" s="457"/>
      <c r="D279" s="129"/>
      <c r="E279" s="129"/>
      <c r="F279" s="622"/>
      <c r="G279" s="28">
        <v>1</v>
      </c>
      <c r="H279" s="609"/>
      <c r="I279" s="519">
        <f>+Table10[[#This Row],[Quantity]]*Table10[[#This Row],[Unit Price]]</f>
        <v>0</v>
      </c>
    </row>
    <row r="280" spans="1:9" x14ac:dyDescent="0.25">
      <c r="A280" s="213" t="s">
        <v>1123</v>
      </c>
      <c r="B280" s="111">
        <v>8130010</v>
      </c>
      <c r="C280" s="457"/>
      <c r="D280" s="129"/>
      <c r="E280" s="129" t="s">
        <v>1975</v>
      </c>
      <c r="F280" s="622"/>
      <c r="G280" s="28">
        <v>2</v>
      </c>
      <c r="H280" s="609"/>
      <c r="I280" s="519">
        <f>+Table10[[#This Row],[Quantity]]*Table10[[#This Row],[Unit Price]]</f>
        <v>0</v>
      </c>
    </row>
    <row r="281" spans="1:9" x14ac:dyDescent="0.25">
      <c r="A281" s="213" t="s">
        <v>1124</v>
      </c>
      <c r="B281" s="111">
        <v>8130015</v>
      </c>
      <c r="C281" s="457"/>
      <c r="D281" s="129"/>
      <c r="E281" s="129" t="s">
        <v>1975</v>
      </c>
      <c r="F281" s="622"/>
      <c r="G281" s="28">
        <v>2</v>
      </c>
      <c r="H281" s="609"/>
      <c r="I281" s="519">
        <f>+Table10[[#This Row],[Quantity]]*Table10[[#This Row],[Unit Price]]</f>
        <v>0</v>
      </c>
    </row>
    <row r="282" spans="1:9" x14ac:dyDescent="0.25">
      <c r="A282" s="213" t="s">
        <v>1125</v>
      </c>
      <c r="B282" s="111">
        <v>8130020</v>
      </c>
      <c r="C282" s="457"/>
      <c r="D282" s="129"/>
      <c r="E282" s="129" t="s">
        <v>1975</v>
      </c>
      <c r="F282" s="622"/>
      <c r="G282" s="28">
        <v>2</v>
      </c>
      <c r="H282" s="609"/>
      <c r="I282" s="519">
        <f>+Table10[[#This Row],[Quantity]]*Table10[[#This Row],[Unit Price]]</f>
        <v>0</v>
      </c>
    </row>
    <row r="283" spans="1:9" x14ac:dyDescent="0.25">
      <c r="A283" s="213" t="s">
        <v>1127</v>
      </c>
      <c r="B283" s="111">
        <v>8130030</v>
      </c>
      <c r="C283" s="457"/>
      <c r="D283" s="129"/>
      <c r="E283" s="129" t="s">
        <v>1975</v>
      </c>
      <c r="F283" s="622"/>
      <c r="G283" s="28">
        <v>2</v>
      </c>
      <c r="H283" s="609"/>
      <c r="I283" s="519">
        <f>+Table10[[#This Row],[Quantity]]*Table10[[#This Row],[Unit Price]]</f>
        <v>0</v>
      </c>
    </row>
    <row r="284" spans="1:9" x14ac:dyDescent="0.25">
      <c r="A284" s="213" t="s">
        <v>1128</v>
      </c>
      <c r="B284" s="111">
        <v>8130040</v>
      </c>
      <c r="C284" s="457"/>
      <c r="D284" s="129"/>
      <c r="E284" s="129" t="s">
        <v>1975</v>
      </c>
      <c r="F284" s="622"/>
      <c r="G284" s="28">
        <v>2</v>
      </c>
      <c r="H284" s="609"/>
      <c r="I284" s="519">
        <f>+Table10[[#This Row],[Quantity]]*Table10[[#This Row],[Unit Price]]</f>
        <v>0</v>
      </c>
    </row>
    <row r="285" spans="1:9" x14ac:dyDescent="0.25">
      <c r="A285" s="213" t="s">
        <v>2710</v>
      </c>
      <c r="B285" s="111" t="s">
        <v>2155</v>
      </c>
      <c r="C285" s="457"/>
      <c r="D285" s="129"/>
      <c r="E285" s="129"/>
      <c r="F285" s="622"/>
      <c r="G285" s="28">
        <v>1</v>
      </c>
      <c r="H285" s="609"/>
      <c r="I285" s="519">
        <f>+Table10[[#This Row],[Quantity]]*Table10[[#This Row],[Unit Price]]</f>
        <v>0</v>
      </c>
    </row>
    <row r="286" spans="1:9" x14ac:dyDescent="0.25">
      <c r="A286" s="213" t="s">
        <v>2718</v>
      </c>
      <c r="B286" s="111" t="s">
        <v>2156</v>
      </c>
      <c r="C286" s="457"/>
      <c r="D286" s="129"/>
      <c r="E286" s="129"/>
      <c r="F286" s="622"/>
      <c r="G286" s="28">
        <v>1</v>
      </c>
      <c r="H286" s="609"/>
      <c r="I286" s="519">
        <f>+Table10[[#This Row],[Quantity]]*Table10[[#This Row],[Unit Price]]</f>
        <v>0</v>
      </c>
    </row>
    <row r="287" spans="1:9" x14ac:dyDescent="0.25">
      <c r="A287" s="213" t="s">
        <v>2717</v>
      </c>
      <c r="B287" s="111" t="s">
        <v>2157</v>
      </c>
      <c r="C287" s="457"/>
      <c r="D287" s="129"/>
      <c r="E287" s="129"/>
      <c r="F287" s="622"/>
      <c r="G287" s="28">
        <v>1</v>
      </c>
      <c r="H287" s="609"/>
      <c r="I287" s="519">
        <f>+Table10[[#This Row],[Quantity]]*Table10[[#This Row],[Unit Price]]</f>
        <v>0</v>
      </c>
    </row>
    <row r="288" spans="1:9" x14ac:dyDescent="0.25">
      <c r="A288" s="213" t="s">
        <v>2716</v>
      </c>
      <c r="B288" s="111" t="s">
        <v>2158</v>
      </c>
      <c r="C288" s="457"/>
      <c r="D288" s="129"/>
      <c r="E288" s="129"/>
      <c r="F288" s="622"/>
      <c r="G288" s="28">
        <v>1</v>
      </c>
      <c r="H288" s="609"/>
      <c r="I288" s="519">
        <f>+Table10[[#This Row],[Quantity]]*Table10[[#This Row],[Unit Price]]</f>
        <v>0</v>
      </c>
    </row>
    <row r="289" spans="1:9" x14ac:dyDescent="0.25">
      <c r="A289" s="213" t="s">
        <v>2715</v>
      </c>
      <c r="B289" s="111" t="s">
        <v>2159</v>
      </c>
      <c r="C289" s="457"/>
      <c r="D289" s="129"/>
      <c r="E289" s="129"/>
      <c r="F289" s="622"/>
      <c r="G289" s="28">
        <v>1</v>
      </c>
      <c r="H289" s="609"/>
      <c r="I289" s="519">
        <f>+Table10[[#This Row],[Quantity]]*Table10[[#This Row],[Unit Price]]</f>
        <v>0</v>
      </c>
    </row>
    <row r="290" spans="1:9" x14ac:dyDescent="0.25">
      <c r="A290" s="213" t="s">
        <v>2714</v>
      </c>
      <c r="B290" s="111" t="s">
        <v>2160</v>
      </c>
      <c r="C290" s="457"/>
      <c r="D290" s="129"/>
      <c r="E290" s="129"/>
      <c r="F290" s="622"/>
      <c r="G290" s="28">
        <v>1</v>
      </c>
      <c r="H290" s="609"/>
      <c r="I290" s="519">
        <f>+Table10[[#This Row],[Quantity]]*Table10[[#This Row],[Unit Price]]</f>
        <v>0</v>
      </c>
    </row>
    <row r="291" spans="1:9" x14ac:dyDescent="0.25">
      <c r="A291" s="213" t="s">
        <v>2713</v>
      </c>
      <c r="B291" s="111" t="s">
        <v>2162</v>
      </c>
      <c r="C291" s="457"/>
      <c r="D291" s="129"/>
      <c r="E291" s="129"/>
      <c r="F291" s="622"/>
      <c r="G291" s="28">
        <v>1</v>
      </c>
      <c r="H291" s="609"/>
      <c r="I291" s="519">
        <f>+Table10[[#This Row],[Quantity]]*Table10[[#This Row],[Unit Price]]</f>
        <v>0</v>
      </c>
    </row>
    <row r="292" spans="1:9" x14ac:dyDescent="0.25">
      <c r="A292" s="213" t="s">
        <v>2712</v>
      </c>
      <c r="B292" s="111" t="s">
        <v>2163</v>
      </c>
      <c r="C292" s="457"/>
      <c r="D292" s="129"/>
      <c r="E292" s="129"/>
      <c r="F292" s="622"/>
      <c r="G292" s="28">
        <v>1</v>
      </c>
      <c r="H292" s="609"/>
      <c r="I292" s="519">
        <f>+Table10[[#This Row],[Quantity]]*Table10[[#This Row],[Unit Price]]</f>
        <v>0</v>
      </c>
    </row>
    <row r="293" spans="1:9" x14ac:dyDescent="0.25">
      <c r="A293" s="213" t="s">
        <v>2711</v>
      </c>
      <c r="B293" s="111" t="s">
        <v>2164</v>
      </c>
      <c r="C293" s="457"/>
      <c r="D293" s="129"/>
      <c r="E293" s="129"/>
      <c r="F293" s="622"/>
      <c r="G293" s="28">
        <v>1</v>
      </c>
      <c r="H293" s="609"/>
      <c r="I293" s="519">
        <f>+Table10[[#This Row],[Quantity]]*Table10[[#This Row],[Unit Price]]</f>
        <v>0</v>
      </c>
    </row>
    <row r="294" spans="1:9" x14ac:dyDescent="0.25">
      <c r="A294" s="213" t="s">
        <v>105</v>
      </c>
      <c r="B294" s="111" t="s">
        <v>2118</v>
      </c>
      <c r="C294" s="457"/>
      <c r="D294" s="129"/>
      <c r="E294" s="129"/>
      <c r="F294" s="622"/>
      <c r="G294" s="28">
        <v>8</v>
      </c>
      <c r="H294" s="609"/>
      <c r="I294" s="519">
        <f>+Table10[[#This Row],[Quantity]]*Table10[[#This Row],[Unit Price]]</f>
        <v>0</v>
      </c>
    </row>
    <row r="295" spans="1:9" x14ac:dyDescent="0.25">
      <c r="A295" s="213" t="s">
        <v>1156</v>
      </c>
      <c r="B295" s="111" t="s">
        <v>2117</v>
      </c>
      <c r="C295" s="457"/>
      <c r="D295" s="129"/>
      <c r="E295" s="129"/>
      <c r="F295" s="622"/>
      <c r="G295" s="28">
        <v>8</v>
      </c>
      <c r="H295" s="609"/>
      <c r="I295" s="519">
        <f>+Table10[[#This Row],[Quantity]]*Table10[[#This Row],[Unit Price]]</f>
        <v>0</v>
      </c>
    </row>
    <row r="296" spans="1:9" x14ac:dyDescent="0.25">
      <c r="A296" s="213" t="s">
        <v>83</v>
      </c>
      <c r="B296" s="111" t="s">
        <v>292</v>
      </c>
      <c r="C296" s="457"/>
      <c r="D296" s="129"/>
      <c r="E296" s="129"/>
      <c r="F296" s="622"/>
      <c r="G296" s="28">
        <v>1</v>
      </c>
      <c r="H296" s="609"/>
      <c r="I296" s="519">
        <f>+Table10[[#This Row],[Quantity]]*Table10[[#This Row],[Unit Price]]</f>
        <v>0</v>
      </c>
    </row>
    <row r="297" spans="1:9" x14ac:dyDescent="0.25">
      <c r="A297" s="213" t="s">
        <v>1221</v>
      </c>
      <c r="B297" s="111" t="s">
        <v>248</v>
      </c>
      <c r="C297" s="457"/>
      <c r="D297" s="129"/>
      <c r="E297" s="129"/>
      <c r="F297" s="622"/>
      <c r="G297" s="28">
        <v>1</v>
      </c>
      <c r="H297" s="609"/>
      <c r="I297" s="519">
        <f>+Table10[[#This Row],[Quantity]]*Table10[[#This Row],[Unit Price]]</f>
        <v>0</v>
      </c>
    </row>
    <row r="298" spans="1:9" x14ac:dyDescent="0.25">
      <c r="A298" s="213" t="s">
        <v>1165</v>
      </c>
      <c r="B298" s="111" t="s">
        <v>294</v>
      </c>
      <c r="C298" s="457"/>
      <c r="D298" s="129"/>
      <c r="E298" s="129"/>
      <c r="F298" s="622"/>
      <c r="G298" s="28">
        <v>1</v>
      </c>
      <c r="H298" s="609"/>
      <c r="I298" s="519">
        <f>+Table10[[#This Row],[Quantity]]*Table10[[#This Row],[Unit Price]]</f>
        <v>0</v>
      </c>
    </row>
    <row r="299" spans="1:9" x14ac:dyDescent="0.25">
      <c r="A299" s="213" t="s">
        <v>1166</v>
      </c>
      <c r="B299" s="111" t="s">
        <v>437</v>
      </c>
      <c r="C299" s="457"/>
      <c r="D299" s="129"/>
      <c r="E299" s="129"/>
      <c r="F299" s="622"/>
      <c r="G299" s="28">
        <v>1</v>
      </c>
      <c r="H299" s="609"/>
      <c r="I299" s="519">
        <f>+Table10[[#This Row],[Quantity]]*Table10[[#This Row],[Unit Price]]</f>
        <v>0</v>
      </c>
    </row>
    <row r="300" spans="1:9" x14ac:dyDescent="0.25">
      <c r="A300" s="213" t="s">
        <v>85</v>
      </c>
      <c r="B300" s="111" t="s">
        <v>113</v>
      </c>
      <c r="C300" s="457"/>
      <c r="D300" s="129"/>
      <c r="E300" s="129"/>
      <c r="F300" s="622"/>
      <c r="G300" s="28">
        <v>1</v>
      </c>
      <c r="H300" s="609"/>
      <c r="I300" s="519">
        <f>+Table10[[#This Row],[Quantity]]*Table10[[#This Row],[Unit Price]]</f>
        <v>0</v>
      </c>
    </row>
    <row r="301" spans="1:9" x14ac:dyDescent="0.25">
      <c r="A301" s="213" t="s">
        <v>1168</v>
      </c>
      <c r="B301" s="111" t="s">
        <v>298</v>
      </c>
      <c r="C301" s="457"/>
      <c r="D301" s="129"/>
      <c r="E301" s="129"/>
      <c r="F301" s="622"/>
      <c r="G301" s="28">
        <v>1</v>
      </c>
      <c r="H301" s="609"/>
      <c r="I301" s="519">
        <f>+Table10[[#This Row],[Quantity]]*Table10[[#This Row],[Unit Price]]</f>
        <v>0</v>
      </c>
    </row>
    <row r="302" spans="1:9" x14ac:dyDescent="0.25">
      <c r="A302" s="213" t="s">
        <v>1167</v>
      </c>
      <c r="B302" s="111" t="s">
        <v>296</v>
      </c>
      <c r="C302" s="457"/>
      <c r="D302" s="129"/>
      <c r="E302" s="129"/>
      <c r="F302" s="622"/>
      <c r="G302" s="28">
        <v>1</v>
      </c>
      <c r="H302" s="609"/>
      <c r="I302" s="519">
        <f>+Table10[[#This Row],[Quantity]]*Table10[[#This Row],[Unit Price]]</f>
        <v>0</v>
      </c>
    </row>
    <row r="303" spans="1:9" x14ac:dyDescent="0.25">
      <c r="A303" s="213" t="s">
        <v>1432</v>
      </c>
      <c r="B303" s="111" t="s">
        <v>873</v>
      </c>
      <c r="C303" s="457"/>
      <c r="D303" s="129"/>
      <c r="E303" s="129"/>
      <c r="F303" s="622"/>
      <c r="G303" s="28">
        <v>1</v>
      </c>
      <c r="H303" s="609"/>
      <c r="I303" s="519">
        <f>+Table10[[#This Row],[Quantity]]*Table10[[#This Row],[Unit Price]]</f>
        <v>0</v>
      </c>
    </row>
    <row r="304" spans="1:9" x14ac:dyDescent="0.25">
      <c r="A304" s="213" t="s">
        <v>2609</v>
      </c>
      <c r="B304" s="111" t="s">
        <v>2367</v>
      </c>
      <c r="C304" s="457"/>
      <c r="D304" s="129"/>
      <c r="E304" s="129"/>
      <c r="F304" s="622"/>
      <c r="G304" s="28">
        <v>1</v>
      </c>
      <c r="H304" s="609"/>
      <c r="I304" s="519">
        <f>+Table10[[#This Row],[Quantity]]*Table10[[#This Row],[Unit Price]]</f>
        <v>0</v>
      </c>
    </row>
    <row r="305" spans="1:9" x14ac:dyDescent="0.25">
      <c r="A305" s="213" t="s">
        <v>2610</v>
      </c>
      <c r="B305" s="111" t="s">
        <v>2355</v>
      </c>
      <c r="C305" s="457"/>
      <c r="D305" s="129"/>
      <c r="E305" s="129"/>
      <c r="F305" s="622"/>
      <c r="G305" s="28">
        <v>1</v>
      </c>
      <c r="H305" s="609"/>
      <c r="I305" s="519">
        <f>+Table10[[#This Row],[Quantity]]*Table10[[#This Row],[Unit Price]]</f>
        <v>0</v>
      </c>
    </row>
    <row r="306" spans="1:9" x14ac:dyDescent="0.25">
      <c r="A306" s="213" t="s">
        <v>2611</v>
      </c>
      <c r="B306" s="111" t="s">
        <v>2356</v>
      </c>
      <c r="C306" s="457"/>
      <c r="D306" s="129"/>
      <c r="E306" s="129"/>
      <c r="F306" s="622"/>
      <c r="G306" s="28">
        <v>1</v>
      </c>
      <c r="H306" s="609"/>
      <c r="I306" s="519">
        <f>+Table10[[#This Row],[Quantity]]*Table10[[#This Row],[Unit Price]]</f>
        <v>0</v>
      </c>
    </row>
    <row r="307" spans="1:9" x14ac:dyDescent="0.25">
      <c r="A307" s="213" t="s">
        <v>2612</v>
      </c>
      <c r="B307" s="111" t="s">
        <v>2357</v>
      </c>
      <c r="C307" s="457"/>
      <c r="D307" s="129"/>
      <c r="E307" s="129"/>
      <c r="F307" s="622"/>
      <c r="G307" s="28">
        <v>1</v>
      </c>
      <c r="H307" s="609"/>
      <c r="I307" s="519">
        <f>+Table10[[#This Row],[Quantity]]*Table10[[#This Row],[Unit Price]]</f>
        <v>0</v>
      </c>
    </row>
    <row r="308" spans="1:9" x14ac:dyDescent="0.25">
      <c r="A308" s="213" t="s">
        <v>2613</v>
      </c>
      <c r="B308" s="111" t="s">
        <v>2358</v>
      </c>
      <c r="C308" s="457"/>
      <c r="D308" s="129"/>
      <c r="E308" s="129"/>
      <c r="F308" s="622"/>
      <c r="G308" s="28">
        <v>1</v>
      </c>
      <c r="H308" s="609"/>
      <c r="I308" s="519">
        <f>+Table10[[#This Row],[Quantity]]*Table10[[#This Row],[Unit Price]]</f>
        <v>0</v>
      </c>
    </row>
    <row r="309" spans="1:9" x14ac:dyDescent="0.25">
      <c r="A309" s="213" t="s">
        <v>2614</v>
      </c>
      <c r="B309" s="111" t="s">
        <v>2359</v>
      </c>
      <c r="C309" s="457"/>
      <c r="D309" s="129"/>
      <c r="E309" s="129"/>
      <c r="F309" s="622"/>
      <c r="G309" s="28">
        <v>1</v>
      </c>
      <c r="H309" s="609"/>
      <c r="I309" s="519">
        <f>+Table10[[#This Row],[Quantity]]*Table10[[#This Row],[Unit Price]]</f>
        <v>0</v>
      </c>
    </row>
    <row r="310" spans="1:9" x14ac:dyDescent="0.25">
      <c r="A310" s="213" t="s">
        <v>2615</v>
      </c>
      <c r="B310" s="111" t="s">
        <v>2360</v>
      </c>
      <c r="C310" s="457"/>
      <c r="D310" s="129"/>
      <c r="E310" s="129"/>
      <c r="F310" s="622"/>
      <c r="G310" s="28">
        <v>1</v>
      </c>
      <c r="H310" s="609"/>
      <c r="I310" s="519">
        <f>+Table10[[#This Row],[Quantity]]*Table10[[#This Row],[Unit Price]]</f>
        <v>0</v>
      </c>
    </row>
    <row r="311" spans="1:9" x14ac:dyDescent="0.25">
      <c r="A311" s="213" t="s">
        <v>2616</v>
      </c>
      <c r="B311" s="111" t="s">
        <v>2361</v>
      </c>
      <c r="C311" s="457"/>
      <c r="D311" s="129"/>
      <c r="E311" s="129"/>
      <c r="F311" s="622"/>
      <c r="G311" s="28">
        <v>1</v>
      </c>
      <c r="H311" s="609"/>
      <c r="I311" s="519">
        <f>+Table10[[#This Row],[Quantity]]*Table10[[#This Row],[Unit Price]]</f>
        <v>0</v>
      </c>
    </row>
    <row r="312" spans="1:9" x14ac:dyDescent="0.25">
      <c r="A312" s="213" t="s">
        <v>2617</v>
      </c>
      <c r="B312" s="111" t="s">
        <v>2362</v>
      </c>
      <c r="C312" s="457"/>
      <c r="D312" s="129"/>
      <c r="E312" s="129"/>
      <c r="F312" s="622"/>
      <c r="G312" s="28">
        <v>1</v>
      </c>
      <c r="H312" s="609"/>
      <c r="I312" s="519">
        <f>+Table10[[#This Row],[Quantity]]*Table10[[#This Row],[Unit Price]]</f>
        <v>0</v>
      </c>
    </row>
    <row r="313" spans="1:9" x14ac:dyDescent="0.25">
      <c r="A313" s="213" t="s">
        <v>2618</v>
      </c>
      <c r="B313" s="111" t="s">
        <v>2363</v>
      </c>
      <c r="C313" s="457"/>
      <c r="D313" s="129"/>
      <c r="E313" s="129"/>
      <c r="F313" s="622"/>
      <c r="G313" s="28">
        <v>1</v>
      </c>
      <c r="H313" s="609"/>
      <c r="I313" s="519">
        <f>+Table10[[#This Row],[Quantity]]*Table10[[#This Row],[Unit Price]]</f>
        <v>0</v>
      </c>
    </row>
    <row r="314" spans="1:9" x14ac:dyDescent="0.25">
      <c r="A314" s="213" t="s">
        <v>2619</v>
      </c>
      <c r="B314" s="111" t="s">
        <v>2364</v>
      </c>
      <c r="C314" s="457"/>
      <c r="D314" s="129"/>
      <c r="E314" s="129"/>
      <c r="F314" s="622"/>
      <c r="G314" s="28">
        <v>1</v>
      </c>
      <c r="H314" s="609"/>
      <c r="I314" s="519">
        <f>+Table10[[#This Row],[Quantity]]*Table10[[#This Row],[Unit Price]]</f>
        <v>0</v>
      </c>
    </row>
    <row r="315" spans="1:9" x14ac:dyDescent="0.25">
      <c r="A315" s="213" t="s">
        <v>2620</v>
      </c>
      <c r="B315" s="111" t="s">
        <v>2365</v>
      </c>
      <c r="C315" s="457"/>
      <c r="D315" s="129"/>
      <c r="E315" s="129"/>
      <c r="F315" s="622"/>
      <c r="G315" s="28">
        <v>1</v>
      </c>
      <c r="H315" s="609"/>
      <c r="I315" s="519">
        <f>+Table10[[#This Row],[Quantity]]*Table10[[#This Row],[Unit Price]]</f>
        <v>0</v>
      </c>
    </row>
    <row r="316" spans="1:9" x14ac:dyDescent="0.25">
      <c r="A316" s="213" t="s">
        <v>2621</v>
      </c>
      <c r="B316" s="111" t="s">
        <v>2366</v>
      </c>
      <c r="C316" s="457"/>
      <c r="D316" s="129"/>
      <c r="E316" s="129"/>
      <c r="F316" s="622"/>
      <c r="G316" s="28">
        <v>1</v>
      </c>
      <c r="H316" s="609"/>
      <c r="I316" s="519">
        <f>+Table10[[#This Row],[Quantity]]*Table10[[#This Row],[Unit Price]]</f>
        <v>0</v>
      </c>
    </row>
    <row r="317" spans="1:9" x14ac:dyDescent="0.25">
      <c r="A317" s="213" t="s">
        <v>2707</v>
      </c>
      <c r="B317" s="111" t="s">
        <v>664</v>
      </c>
      <c r="C317" s="457"/>
      <c r="D317" s="129"/>
      <c r="E317" s="129"/>
      <c r="F317" s="622"/>
      <c r="G317" s="28">
        <v>1</v>
      </c>
      <c r="H317" s="609"/>
      <c r="I317" s="519">
        <f>+Table10[[#This Row],[Quantity]]*Table10[[#This Row],[Unit Price]]</f>
        <v>0</v>
      </c>
    </row>
    <row r="318" spans="1:9" x14ac:dyDescent="0.25">
      <c r="A318" s="213" t="s">
        <v>1642</v>
      </c>
      <c r="B318" s="252" t="s">
        <v>3225</v>
      </c>
      <c r="C318" s="457"/>
      <c r="D318" s="129"/>
      <c r="E318" s="129">
        <v>55719</v>
      </c>
      <c r="F318" s="622"/>
      <c r="G318" s="28">
        <v>1</v>
      </c>
      <c r="H318" s="609"/>
      <c r="I318" s="519">
        <f>+Table10[[#This Row],[Quantity]]*Table10[[#This Row],[Unit Price]]</f>
        <v>0</v>
      </c>
    </row>
    <row r="319" spans="1:9" x14ac:dyDescent="0.25">
      <c r="A319" s="213" t="s">
        <v>2686</v>
      </c>
      <c r="B319" s="111" t="s">
        <v>2352</v>
      </c>
      <c r="C319" s="457"/>
      <c r="D319" s="129"/>
      <c r="E319" s="129"/>
      <c r="F319" s="622"/>
      <c r="G319" s="28">
        <v>1</v>
      </c>
      <c r="H319" s="609"/>
      <c r="I319" s="519">
        <f>+Table10[[#This Row],[Quantity]]*Table10[[#This Row],[Unit Price]]</f>
        <v>0</v>
      </c>
    </row>
    <row r="320" spans="1:9" x14ac:dyDescent="0.25">
      <c r="A320" s="213" t="s">
        <v>1150</v>
      </c>
      <c r="B320" s="111" t="s">
        <v>279</v>
      </c>
      <c r="C320" s="457"/>
      <c r="D320" s="129"/>
      <c r="E320" s="129"/>
      <c r="F320" s="622"/>
      <c r="G320" s="28">
        <v>1</v>
      </c>
      <c r="H320" s="609"/>
      <c r="I320" s="519">
        <f>+Table10[[#This Row],[Quantity]]*Table10[[#This Row],[Unit Price]]</f>
        <v>0</v>
      </c>
    </row>
    <row r="321" spans="1:9" x14ac:dyDescent="0.25">
      <c r="A321" s="213" t="s">
        <v>2687</v>
      </c>
      <c r="B321" s="111" t="s">
        <v>2353</v>
      </c>
      <c r="C321" s="457"/>
      <c r="D321" s="129"/>
      <c r="E321" s="129"/>
      <c r="F321" s="622"/>
      <c r="G321" s="28">
        <v>1</v>
      </c>
      <c r="H321" s="609"/>
      <c r="I321" s="519">
        <f>+Table10[[#This Row],[Quantity]]*Table10[[#This Row],[Unit Price]]</f>
        <v>0</v>
      </c>
    </row>
    <row r="322" spans="1:9" x14ac:dyDescent="0.25">
      <c r="A322" s="213" t="s">
        <v>9</v>
      </c>
      <c r="B322" s="111" t="s">
        <v>375</v>
      </c>
      <c r="C322" s="457"/>
      <c r="D322" s="129"/>
      <c r="E322" s="129"/>
      <c r="F322" s="622"/>
      <c r="G322" s="28">
        <v>1</v>
      </c>
      <c r="H322" s="609"/>
      <c r="I322" s="519">
        <f>+Table10[[#This Row],[Quantity]]*Table10[[#This Row],[Unit Price]]</f>
        <v>0</v>
      </c>
    </row>
    <row r="323" spans="1:9" x14ac:dyDescent="0.25">
      <c r="A323" s="213" t="s">
        <v>2688</v>
      </c>
      <c r="B323" s="111" t="s">
        <v>2354</v>
      </c>
      <c r="C323" s="457"/>
      <c r="D323" s="129"/>
      <c r="E323" s="129"/>
      <c r="F323" s="622"/>
      <c r="G323" s="28">
        <v>1</v>
      </c>
      <c r="H323" s="609"/>
      <c r="I323" s="519">
        <f>+Table10[[#This Row],[Quantity]]*Table10[[#This Row],[Unit Price]]</f>
        <v>0</v>
      </c>
    </row>
    <row r="324" spans="1:9" x14ac:dyDescent="0.25">
      <c r="A324" s="213" t="s">
        <v>1177</v>
      </c>
      <c r="B324" s="111">
        <v>57213</v>
      </c>
      <c r="C324" s="457"/>
      <c r="D324" s="129"/>
      <c r="E324" s="129">
        <v>25795</v>
      </c>
      <c r="F324" s="622"/>
      <c r="G324" s="28">
        <v>1</v>
      </c>
      <c r="H324" s="609"/>
      <c r="I324" s="519">
        <f>+Table10[[#This Row],[Quantity]]*Table10[[#This Row],[Unit Price]]</f>
        <v>0</v>
      </c>
    </row>
    <row r="325" spans="1:9" x14ac:dyDescent="0.25">
      <c r="A325" s="213" t="s">
        <v>1391</v>
      </c>
      <c r="B325" s="111" t="s">
        <v>2020</v>
      </c>
      <c r="C325" s="457"/>
      <c r="D325" s="129"/>
      <c r="E325" s="129"/>
      <c r="F325" s="622"/>
      <c r="G325" s="28">
        <v>1</v>
      </c>
      <c r="H325" s="609"/>
      <c r="I325" s="519">
        <f>+Table10[[#This Row],[Quantity]]*Table10[[#This Row],[Unit Price]]</f>
        <v>0</v>
      </c>
    </row>
    <row r="326" spans="1:9" x14ac:dyDescent="0.25">
      <c r="A326" s="213" t="s">
        <v>1085</v>
      </c>
      <c r="B326" s="111" t="s">
        <v>92</v>
      </c>
      <c r="C326" s="457"/>
      <c r="D326" s="129"/>
      <c r="E326" s="129"/>
      <c r="F326" s="622"/>
      <c r="G326" s="28">
        <v>1</v>
      </c>
      <c r="H326" s="609"/>
      <c r="I326" s="519">
        <f>+Table10[[#This Row],[Quantity]]*Table10[[#This Row],[Unit Price]]</f>
        <v>0</v>
      </c>
    </row>
    <row r="327" spans="1:9" x14ac:dyDescent="0.25">
      <c r="A327" s="213" t="s">
        <v>2719</v>
      </c>
      <c r="B327" s="111" t="s">
        <v>2507</v>
      </c>
      <c r="C327" s="457"/>
      <c r="D327" s="129"/>
      <c r="E327" s="129"/>
      <c r="F327" s="622"/>
      <c r="G327" s="28">
        <v>1</v>
      </c>
      <c r="H327" s="609"/>
      <c r="I327" s="519">
        <f>+Table10[[#This Row],[Quantity]]*Table10[[#This Row],[Unit Price]]</f>
        <v>0</v>
      </c>
    </row>
    <row r="328" spans="1:9" x14ac:dyDescent="0.25">
      <c r="A328" s="213" t="s">
        <v>1435</v>
      </c>
      <c r="B328" s="111" t="s">
        <v>1841</v>
      </c>
      <c r="C328" s="457"/>
      <c r="D328" s="129"/>
      <c r="E328" s="129"/>
      <c r="F328" s="622"/>
      <c r="G328" s="28">
        <v>1</v>
      </c>
      <c r="H328" s="609"/>
      <c r="I328" s="519">
        <f>+Table10[[#This Row],[Quantity]]*Table10[[#This Row],[Unit Price]]</f>
        <v>0</v>
      </c>
    </row>
    <row r="329" spans="1:9" x14ac:dyDescent="0.25">
      <c r="A329" s="213" t="s">
        <v>1436</v>
      </c>
      <c r="B329" s="111" t="s">
        <v>1842</v>
      </c>
      <c r="C329" s="457"/>
      <c r="D329" s="129"/>
      <c r="E329" s="129"/>
      <c r="F329" s="622"/>
      <c r="G329" s="28">
        <v>1</v>
      </c>
      <c r="H329" s="609"/>
      <c r="I329" s="519">
        <f>+Table10[[#This Row],[Quantity]]*Table10[[#This Row],[Unit Price]]</f>
        <v>0</v>
      </c>
    </row>
    <row r="330" spans="1:9" x14ac:dyDescent="0.25">
      <c r="A330" s="213" t="s">
        <v>1437</v>
      </c>
      <c r="B330" s="111" t="s">
        <v>1840</v>
      </c>
      <c r="C330" s="457"/>
      <c r="D330" s="129"/>
      <c r="E330" s="129"/>
      <c r="F330" s="622"/>
      <c r="G330" s="28">
        <v>1</v>
      </c>
      <c r="H330" s="609"/>
      <c r="I330" s="519">
        <f>+Table10[[#This Row],[Quantity]]*Table10[[#This Row],[Unit Price]]</f>
        <v>0</v>
      </c>
    </row>
    <row r="331" spans="1:9" x14ac:dyDescent="0.25">
      <c r="A331" s="213" t="s">
        <v>30</v>
      </c>
      <c r="B331" s="111" t="s">
        <v>1825</v>
      </c>
      <c r="C331" s="457"/>
      <c r="D331" s="129"/>
      <c r="E331" s="129"/>
      <c r="F331" s="622"/>
      <c r="G331" s="28">
        <v>1</v>
      </c>
      <c r="H331" s="609"/>
      <c r="I331" s="519">
        <f>+Table10[[#This Row],[Quantity]]*Table10[[#This Row],[Unit Price]]</f>
        <v>0</v>
      </c>
    </row>
    <row r="332" spans="1:9" x14ac:dyDescent="0.25">
      <c r="A332" s="213" t="s">
        <v>1239</v>
      </c>
      <c r="B332" s="111" t="s">
        <v>1839</v>
      </c>
      <c r="C332" s="457"/>
      <c r="D332" s="129"/>
      <c r="E332" s="129"/>
      <c r="F332" s="622"/>
      <c r="G332" s="28">
        <v>1</v>
      </c>
      <c r="H332" s="609"/>
      <c r="I332" s="519">
        <f>+Table10[[#This Row],[Quantity]]*Table10[[#This Row],[Unit Price]]</f>
        <v>0</v>
      </c>
    </row>
    <row r="333" spans="1:9" x14ac:dyDescent="0.25">
      <c r="A333" s="213" t="s">
        <v>1233</v>
      </c>
      <c r="B333" s="111" t="s">
        <v>1824</v>
      </c>
      <c r="C333" s="457"/>
      <c r="D333" s="129"/>
      <c r="E333" s="129"/>
      <c r="F333" s="622"/>
      <c r="G333" s="28">
        <v>1</v>
      </c>
      <c r="H333" s="609"/>
      <c r="I333" s="519">
        <f>+Table10[[#This Row],[Quantity]]*Table10[[#This Row],[Unit Price]]</f>
        <v>0</v>
      </c>
    </row>
    <row r="334" spans="1:9" x14ac:dyDescent="0.25">
      <c r="A334" s="213" t="s">
        <v>1438</v>
      </c>
      <c r="B334" s="111" t="s">
        <v>1874</v>
      </c>
      <c r="C334" s="457"/>
      <c r="D334" s="129"/>
      <c r="E334" s="129"/>
      <c r="F334" s="622"/>
      <c r="G334" s="28">
        <v>1</v>
      </c>
      <c r="H334" s="609"/>
      <c r="I334" s="519">
        <f>+Table10[[#This Row],[Quantity]]*Table10[[#This Row],[Unit Price]]</f>
        <v>0</v>
      </c>
    </row>
    <row r="335" spans="1:9" x14ac:dyDescent="0.25">
      <c r="A335" s="213" t="s">
        <v>1333</v>
      </c>
      <c r="B335" s="111" t="s">
        <v>65</v>
      </c>
      <c r="C335" s="457"/>
      <c r="D335" s="129"/>
      <c r="E335" s="129">
        <v>55719</v>
      </c>
      <c r="F335" s="622"/>
      <c r="G335" s="28">
        <v>1</v>
      </c>
      <c r="H335" s="609"/>
      <c r="I335" s="519">
        <f>+Table10[[#This Row],[Quantity]]*Table10[[#This Row],[Unit Price]]</f>
        <v>0</v>
      </c>
    </row>
    <row r="336" spans="1:9" x14ac:dyDescent="0.25">
      <c r="A336" s="213" t="s">
        <v>1335</v>
      </c>
      <c r="B336" s="111" t="s">
        <v>540</v>
      </c>
      <c r="C336" s="457"/>
      <c r="D336" s="129"/>
      <c r="E336" s="129"/>
      <c r="F336" s="622"/>
      <c r="G336" s="28">
        <v>1</v>
      </c>
      <c r="H336" s="609"/>
      <c r="I336" s="519">
        <f>+Table10[[#This Row],[Quantity]]*Table10[[#This Row],[Unit Price]]</f>
        <v>0</v>
      </c>
    </row>
    <row r="337" spans="1:9" x14ac:dyDescent="0.25">
      <c r="A337" s="213" t="s">
        <v>1336</v>
      </c>
      <c r="B337" s="111" t="s">
        <v>537</v>
      </c>
      <c r="C337" s="457"/>
      <c r="D337" s="129"/>
      <c r="E337" s="129"/>
      <c r="F337" s="622"/>
      <c r="G337" s="28">
        <v>1</v>
      </c>
      <c r="H337" s="609"/>
      <c r="I337" s="519">
        <f>+Table10[[#This Row],[Quantity]]*Table10[[#This Row],[Unit Price]]</f>
        <v>0</v>
      </c>
    </row>
    <row r="338" spans="1:9" x14ac:dyDescent="0.25">
      <c r="A338" s="213" t="s">
        <v>1086</v>
      </c>
      <c r="B338" s="111" t="s">
        <v>70</v>
      </c>
      <c r="C338" s="457"/>
      <c r="D338" s="129"/>
      <c r="E338" s="129"/>
      <c r="F338" s="622"/>
      <c r="G338" s="28">
        <v>1</v>
      </c>
      <c r="H338" s="609"/>
      <c r="I338" s="519">
        <f>+Table10[[#This Row],[Quantity]]*Table10[[#This Row],[Unit Price]]</f>
        <v>0</v>
      </c>
    </row>
    <row r="339" spans="1:9" x14ac:dyDescent="0.25">
      <c r="A339" s="213" t="s">
        <v>1087</v>
      </c>
      <c r="B339" s="111" t="s">
        <v>484</v>
      </c>
      <c r="C339" s="457"/>
      <c r="D339" s="129"/>
      <c r="E339" s="129"/>
      <c r="F339" s="622"/>
      <c r="G339" s="28">
        <v>1</v>
      </c>
      <c r="H339" s="609"/>
      <c r="I339" s="519">
        <f>+Table10[[#This Row],[Quantity]]*Table10[[#This Row],[Unit Price]]</f>
        <v>0</v>
      </c>
    </row>
    <row r="340" spans="1:9" x14ac:dyDescent="0.25">
      <c r="A340" s="213" t="s">
        <v>1337</v>
      </c>
      <c r="B340" s="111" t="s">
        <v>519</v>
      </c>
      <c r="C340" s="457"/>
      <c r="D340" s="129"/>
      <c r="E340" s="129"/>
      <c r="F340" s="622"/>
      <c r="G340" s="28">
        <v>1</v>
      </c>
      <c r="H340" s="609"/>
      <c r="I340" s="519">
        <f>+Table10[[#This Row],[Quantity]]*Table10[[#This Row],[Unit Price]]</f>
        <v>0</v>
      </c>
    </row>
    <row r="341" spans="1:9" x14ac:dyDescent="0.25">
      <c r="A341" s="213" t="s">
        <v>1338</v>
      </c>
      <c r="B341" s="111" t="s">
        <v>717</v>
      </c>
      <c r="C341" s="457"/>
      <c r="D341" s="129"/>
      <c r="E341" s="129"/>
      <c r="F341" s="622"/>
      <c r="G341" s="28">
        <v>1</v>
      </c>
      <c r="H341" s="609"/>
      <c r="I341" s="519">
        <f>+Table10[[#This Row],[Quantity]]*Table10[[#This Row],[Unit Price]]</f>
        <v>0</v>
      </c>
    </row>
    <row r="342" spans="1:9" x14ac:dyDescent="0.25">
      <c r="A342" s="213" t="s">
        <v>1088</v>
      </c>
      <c r="B342" s="111" t="s">
        <v>485</v>
      </c>
      <c r="C342" s="457"/>
      <c r="D342" s="129"/>
      <c r="E342" s="129"/>
      <c r="F342" s="622"/>
      <c r="G342" s="28">
        <v>1</v>
      </c>
      <c r="H342" s="609"/>
      <c r="I342" s="519">
        <f>+Table10[[#This Row],[Quantity]]*Table10[[#This Row],[Unit Price]]</f>
        <v>0</v>
      </c>
    </row>
    <row r="343" spans="1:9" x14ac:dyDescent="0.25">
      <c r="A343" s="213" t="s">
        <v>1339</v>
      </c>
      <c r="B343" s="111" t="s">
        <v>88</v>
      </c>
      <c r="C343" s="457"/>
      <c r="D343" s="129"/>
      <c r="E343" s="129"/>
      <c r="F343" s="622"/>
      <c r="G343" s="28">
        <v>1</v>
      </c>
      <c r="H343" s="609"/>
      <c r="I343" s="519">
        <f>+Table10[[#This Row],[Quantity]]*Table10[[#This Row],[Unit Price]]</f>
        <v>0</v>
      </c>
    </row>
    <row r="344" spans="1:9" x14ac:dyDescent="0.25">
      <c r="A344" s="213" t="s">
        <v>1089</v>
      </c>
      <c r="B344" s="111" t="s">
        <v>486</v>
      </c>
      <c r="C344" s="457"/>
      <c r="D344" s="129"/>
      <c r="E344" s="129"/>
      <c r="F344" s="622"/>
      <c r="G344" s="28">
        <v>1</v>
      </c>
      <c r="H344" s="609"/>
      <c r="I344" s="519">
        <f>+Table10[[#This Row],[Quantity]]*Table10[[#This Row],[Unit Price]]</f>
        <v>0</v>
      </c>
    </row>
    <row r="345" spans="1:9" x14ac:dyDescent="0.25">
      <c r="A345" s="213" t="s">
        <v>1340</v>
      </c>
      <c r="B345" s="111" t="s">
        <v>87</v>
      </c>
      <c r="C345" s="457"/>
      <c r="D345" s="129"/>
      <c r="E345" s="129"/>
      <c r="F345" s="622"/>
      <c r="G345" s="28">
        <v>1</v>
      </c>
      <c r="H345" s="609"/>
      <c r="I345" s="519">
        <f>+Table10[[#This Row],[Quantity]]*Table10[[#This Row],[Unit Price]]</f>
        <v>0</v>
      </c>
    </row>
    <row r="346" spans="1:9" x14ac:dyDescent="0.25">
      <c r="A346" s="213" t="s">
        <v>2720</v>
      </c>
      <c r="B346" s="111" t="s">
        <v>2350</v>
      </c>
      <c r="C346" s="457"/>
      <c r="D346" s="129"/>
      <c r="E346" s="129"/>
      <c r="F346" s="622"/>
      <c r="G346" s="28">
        <v>1</v>
      </c>
      <c r="H346" s="609"/>
      <c r="I346" s="519">
        <f>+Table10[[#This Row],[Quantity]]*Table10[[#This Row],[Unit Price]]</f>
        <v>0</v>
      </c>
    </row>
    <row r="347" spans="1:9" x14ac:dyDescent="0.25">
      <c r="A347" s="213" t="s">
        <v>1289</v>
      </c>
      <c r="B347" s="111" t="s">
        <v>940</v>
      </c>
      <c r="C347" s="457"/>
      <c r="D347" s="129"/>
      <c r="E347" s="129"/>
      <c r="F347" s="622"/>
      <c r="G347" s="28">
        <v>1</v>
      </c>
      <c r="H347" s="609"/>
      <c r="I347" s="519">
        <f>+Table10[[#This Row],[Quantity]]*Table10[[#This Row],[Unit Price]]</f>
        <v>0</v>
      </c>
    </row>
    <row r="348" spans="1:9" x14ac:dyDescent="0.25">
      <c r="A348" s="213" t="s">
        <v>2285</v>
      </c>
      <c r="B348" s="111" t="s">
        <v>2286</v>
      </c>
      <c r="C348" s="457"/>
      <c r="D348" s="129"/>
      <c r="E348" s="129"/>
      <c r="F348" s="622"/>
      <c r="G348" s="28">
        <v>1</v>
      </c>
      <c r="H348" s="609"/>
      <c r="I348" s="519">
        <f>+Table10[[#This Row],[Quantity]]*Table10[[#This Row],[Unit Price]]</f>
        <v>0</v>
      </c>
    </row>
    <row r="349" spans="1:9" x14ac:dyDescent="0.25">
      <c r="A349" s="213" t="s">
        <v>1291</v>
      </c>
      <c r="B349" s="111" t="s">
        <v>95</v>
      </c>
      <c r="C349" s="457"/>
      <c r="D349" s="129"/>
      <c r="E349" s="129"/>
      <c r="F349" s="622"/>
      <c r="G349" s="28">
        <v>1</v>
      </c>
      <c r="H349" s="609"/>
      <c r="I349" s="519">
        <f>+Table10[[#This Row],[Quantity]]*Table10[[#This Row],[Unit Price]]</f>
        <v>0</v>
      </c>
    </row>
    <row r="350" spans="1:9" x14ac:dyDescent="0.25">
      <c r="A350" s="213" t="s">
        <v>1290</v>
      </c>
      <c r="B350" s="111" t="s">
        <v>96</v>
      </c>
      <c r="C350" s="457"/>
      <c r="D350" s="129"/>
      <c r="E350" s="129"/>
      <c r="F350" s="622"/>
      <c r="G350" s="28">
        <v>1</v>
      </c>
      <c r="H350" s="609"/>
      <c r="I350" s="519">
        <f>+Table10[[#This Row],[Quantity]]*Table10[[#This Row],[Unit Price]]</f>
        <v>0</v>
      </c>
    </row>
    <row r="351" spans="1:9" x14ac:dyDescent="0.25">
      <c r="A351" s="213" t="s">
        <v>1281</v>
      </c>
      <c r="B351" s="111" t="s">
        <v>97</v>
      </c>
      <c r="C351" s="457"/>
      <c r="D351" s="129"/>
      <c r="E351" s="129"/>
      <c r="F351" s="622"/>
      <c r="G351" s="28">
        <v>1</v>
      </c>
      <c r="H351" s="609"/>
      <c r="I351" s="519">
        <f>+Table10[[#This Row],[Quantity]]*Table10[[#This Row],[Unit Price]]</f>
        <v>0</v>
      </c>
    </row>
    <row r="352" spans="1:9" x14ac:dyDescent="0.25">
      <c r="A352" s="213" t="s">
        <v>2685</v>
      </c>
      <c r="B352" s="111" t="s">
        <v>2464</v>
      </c>
      <c r="C352" s="457"/>
      <c r="D352" s="129"/>
      <c r="E352" s="129"/>
      <c r="F352" s="622"/>
      <c r="G352" s="28">
        <v>1</v>
      </c>
      <c r="H352" s="609"/>
      <c r="I352" s="519">
        <f>+Table10[[#This Row],[Quantity]]*Table10[[#This Row],[Unit Price]]</f>
        <v>0</v>
      </c>
    </row>
    <row r="353" spans="1:9" x14ac:dyDescent="0.25">
      <c r="A353" s="213" t="s">
        <v>1236</v>
      </c>
      <c r="B353" s="111" t="s">
        <v>77</v>
      </c>
      <c r="C353" s="457"/>
      <c r="D353" s="129"/>
      <c r="E353" s="129"/>
      <c r="F353" s="622"/>
      <c r="G353" s="28">
        <v>1</v>
      </c>
      <c r="H353" s="609"/>
      <c r="I353" s="519">
        <f>+Table10[[#This Row],[Quantity]]*Table10[[#This Row],[Unit Price]]</f>
        <v>0</v>
      </c>
    </row>
    <row r="354" spans="1:9" x14ac:dyDescent="0.25">
      <c r="A354" s="213" t="s">
        <v>1344</v>
      </c>
      <c r="B354" s="111" t="s">
        <v>435</v>
      </c>
      <c r="C354" s="457"/>
      <c r="D354" s="129"/>
      <c r="E354" s="129"/>
      <c r="F354" s="622"/>
      <c r="G354" s="28">
        <v>1</v>
      </c>
      <c r="H354" s="609"/>
      <c r="I354" s="519">
        <f>+Table10[[#This Row],[Quantity]]*Table10[[#This Row],[Unit Price]]</f>
        <v>0</v>
      </c>
    </row>
    <row r="355" spans="1:9" x14ac:dyDescent="0.25">
      <c r="A355" s="213" t="s">
        <v>1235</v>
      </c>
      <c r="B355" s="111" t="s">
        <v>78</v>
      </c>
      <c r="C355" s="457"/>
      <c r="D355" s="129"/>
      <c r="E355" s="129"/>
      <c r="F355" s="622"/>
      <c r="G355" s="28">
        <v>1</v>
      </c>
      <c r="H355" s="609"/>
      <c r="I355" s="519">
        <f>+Table10[[#This Row],[Quantity]]*Table10[[#This Row],[Unit Price]]</f>
        <v>0</v>
      </c>
    </row>
    <row r="356" spans="1:9" x14ac:dyDescent="0.25">
      <c r="A356" s="213" t="s">
        <v>1237</v>
      </c>
      <c r="B356" s="111" t="s">
        <v>306</v>
      </c>
      <c r="C356" s="457"/>
      <c r="D356" s="129"/>
      <c r="E356" s="129"/>
      <c r="F356" s="622"/>
      <c r="G356" s="28">
        <v>1</v>
      </c>
      <c r="H356" s="609"/>
      <c r="I356" s="519">
        <f>+Table10[[#This Row],[Quantity]]*Table10[[#This Row],[Unit Price]]</f>
        <v>0</v>
      </c>
    </row>
    <row r="357" spans="1:9" x14ac:dyDescent="0.25">
      <c r="A357" s="213" t="s">
        <v>1169</v>
      </c>
      <c r="B357" s="111" t="s">
        <v>436</v>
      </c>
      <c r="C357" s="457"/>
      <c r="D357" s="129"/>
      <c r="E357" s="129"/>
      <c r="F357" s="622"/>
      <c r="G357" s="28">
        <v>1</v>
      </c>
      <c r="H357" s="609"/>
      <c r="I357" s="519">
        <f>+Table10[[#This Row],[Quantity]]*Table10[[#This Row],[Unit Price]]</f>
        <v>0</v>
      </c>
    </row>
    <row r="358" spans="1:9" x14ac:dyDescent="0.25">
      <c r="A358" s="213" t="s">
        <v>1345</v>
      </c>
      <c r="B358" s="111" t="s">
        <v>79</v>
      </c>
      <c r="C358" s="457"/>
      <c r="D358" s="129"/>
      <c r="E358" s="129"/>
      <c r="F358" s="622"/>
      <c r="G358" s="28">
        <v>1</v>
      </c>
      <c r="H358" s="609"/>
      <c r="I358" s="519">
        <f>+Table10[[#This Row],[Quantity]]*Table10[[#This Row],[Unit Price]]</f>
        <v>0</v>
      </c>
    </row>
    <row r="359" spans="1:9" x14ac:dyDescent="0.25">
      <c r="A359" s="213" t="s">
        <v>1234</v>
      </c>
      <c r="B359" s="111" t="s">
        <v>73</v>
      </c>
      <c r="C359" s="457"/>
      <c r="D359" s="129"/>
      <c r="E359" s="129"/>
      <c r="F359" s="622"/>
      <c r="G359" s="28">
        <v>1</v>
      </c>
      <c r="H359" s="609"/>
      <c r="I359" s="519">
        <f>+Table10[[#This Row],[Quantity]]*Table10[[#This Row],[Unit Price]]</f>
        <v>0</v>
      </c>
    </row>
    <row r="360" spans="1:9" x14ac:dyDescent="0.25">
      <c r="A360" s="213" t="s">
        <v>1238</v>
      </c>
      <c r="B360" s="111" t="s">
        <v>75</v>
      </c>
      <c r="C360" s="457"/>
      <c r="D360" s="129"/>
      <c r="E360" s="129"/>
      <c r="F360" s="622"/>
      <c r="G360" s="28">
        <v>1</v>
      </c>
      <c r="H360" s="609"/>
      <c r="I360" s="519">
        <f>+Table10[[#This Row],[Quantity]]*Table10[[#This Row],[Unit Price]]</f>
        <v>0</v>
      </c>
    </row>
    <row r="361" spans="1:9" x14ac:dyDescent="0.25">
      <c r="A361" s="213" t="s">
        <v>1232</v>
      </c>
      <c r="B361" s="111" t="s">
        <v>76</v>
      </c>
      <c r="C361" s="457"/>
      <c r="D361" s="129"/>
      <c r="E361" s="129"/>
      <c r="F361" s="622"/>
      <c r="G361" s="28">
        <v>1</v>
      </c>
      <c r="H361" s="609"/>
      <c r="I361" s="519">
        <f>+Table10[[#This Row],[Quantity]]*Table10[[#This Row],[Unit Price]]</f>
        <v>0</v>
      </c>
    </row>
    <row r="362" spans="1:9" x14ac:dyDescent="0.25">
      <c r="A362" s="213" t="s">
        <v>1441</v>
      </c>
      <c r="B362" s="111" t="s">
        <v>434</v>
      </c>
      <c r="C362" s="457"/>
      <c r="D362" s="129"/>
      <c r="E362" s="129"/>
      <c r="F362" s="622"/>
      <c r="G362" s="28">
        <v>1</v>
      </c>
      <c r="H362" s="609"/>
      <c r="I362" s="519">
        <f>+Table10[[#This Row],[Quantity]]*Table10[[#This Row],[Unit Price]]</f>
        <v>0</v>
      </c>
    </row>
    <row r="363" spans="1:9" x14ac:dyDescent="0.25">
      <c r="A363" s="213" t="s">
        <v>2622</v>
      </c>
      <c r="B363" s="111" t="s">
        <v>2333</v>
      </c>
      <c r="C363" s="457"/>
      <c r="D363" s="129"/>
      <c r="E363" s="129"/>
      <c r="F363" s="622"/>
      <c r="G363" s="28">
        <v>1</v>
      </c>
      <c r="H363" s="609"/>
      <c r="I363" s="519">
        <f>+Table10[[#This Row],[Quantity]]*Table10[[#This Row],[Unit Price]]</f>
        <v>0</v>
      </c>
    </row>
    <row r="364" spans="1:9" x14ac:dyDescent="0.25">
      <c r="A364" s="213" t="s">
        <v>2623</v>
      </c>
      <c r="B364" s="111" t="s">
        <v>2334</v>
      </c>
      <c r="C364" s="457"/>
      <c r="D364" s="129"/>
      <c r="E364" s="129"/>
      <c r="F364" s="622"/>
      <c r="G364" s="28">
        <v>1</v>
      </c>
      <c r="H364" s="609"/>
      <c r="I364" s="519">
        <f>+Table10[[#This Row],[Quantity]]*Table10[[#This Row],[Unit Price]]</f>
        <v>0</v>
      </c>
    </row>
    <row r="365" spans="1:9" x14ac:dyDescent="0.25">
      <c r="A365" s="213" t="s">
        <v>2624</v>
      </c>
      <c r="B365" s="111" t="s">
        <v>2335</v>
      </c>
      <c r="C365" s="457"/>
      <c r="D365" s="129"/>
      <c r="E365" s="129"/>
      <c r="F365" s="622"/>
      <c r="G365" s="28">
        <v>1</v>
      </c>
      <c r="H365" s="609"/>
      <c r="I365" s="519">
        <f>+Table10[[#This Row],[Quantity]]*Table10[[#This Row],[Unit Price]]</f>
        <v>0</v>
      </c>
    </row>
    <row r="366" spans="1:9" x14ac:dyDescent="0.25">
      <c r="A366" s="213" t="s">
        <v>2625</v>
      </c>
      <c r="B366" s="111" t="s">
        <v>2336</v>
      </c>
      <c r="C366" s="457"/>
      <c r="D366" s="129"/>
      <c r="E366" s="129"/>
      <c r="F366" s="622"/>
      <c r="G366" s="28">
        <v>1</v>
      </c>
      <c r="H366" s="609"/>
      <c r="I366" s="519">
        <f>+Table10[[#This Row],[Quantity]]*Table10[[#This Row],[Unit Price]]</f>
        <v>0</v>
      </c>
    </row>
    <row r="367" spans="1:9" x14ac:dyDescent="0.25">
      <c r="A367" s="213" t="s">
        <v>2626</v>
      </c>
      <c r="B367" s="111" t="s">
        <v>2337</v>
      </c>
      <c r="C367" s="457"/>
      <c r="D367" s="129"/>
      <c r="E367" s="129"/>
      <c r="F367" s="622"/>
      <c r="G367" s="28">
        <v>1</v>
      </c>
      <c r="H367" s="609"/>
      <c r="I367" s="519">
        <f>+Table10[[#This Row],[Quantity]]*Table10[[#This Row],[Unit Price]]</f>
        <v>0</v>
      </c>
    </row>
    <row r="368" spans="1:9" x14ac:dyDescent="0.25">
      <c r="A368" s="213" t="s">
        <v>2627</v>
      </c>
      <c r="B368" s="111" t="s">
        <v>2327</v>
      </c>
      <c r="C368" s="457"/>
      <c r="D368" s="129"/>
      <c r="E368" s="129"/>
      <c r="F368" s="622"/>
      <c r="G368" s="28">
        <v>1</v>
      </c>
      <c r="H368" s="609"/>
      <c r="I368" s="519">
        <f>+Table10[[#This Row],[Quantity]]*Table10[[#This Row],[Unit Price]]</f>
        <v>0</v>
      </c>
    </row>
    <row r="369" spans="1:9" x14ac:dyDescent="0.25">
      <c r="A369" s="213" t="s">
        <v>2628</v>
      </c>
      <c r="B369" s="111" t="s">
        <v>2328</v>
      </c>
      <c r="C369" s="457"/>
      <c r="D369" s="129"/>
      <c r="E369" s="129"/>
      <c r="F369" s="622"/>
      <c r="G369" s="28">
        <v>1</v>
      </c>
      <c r="H369" s="609"/>
      <c r="I369" s="519">
        <f>+Table10[[#This Row],[Quantity]]*Table10[[#This Row],[Unit Price]]</f>
        <v>0</v>
      </c>
    </row>
    <row r="370" spans="1:9" x14ac:dyDescent="0.25">
      <c r="A370" s="213" t="s">
        <v>2629</v>
      </c>
      <c r="B370" s="111" t="s">
        <v>2329</v>
      </c>
      <c r="C370" s="457"/>
      <c r="D370" s="129"/>
      <c r="E370" s="129"/>
      <c r="F370" s="622"/>
      <c r="G370" s="28">
        <v>1</v>
      </c>
      <c r="H370" s="609"/>
      <c r="I370" s="519">
        <f>+Table10[[#This Row],[Quantity]]*Table10[[#This Row],[Unit Price]]</f>
        <v>0</v>
      </c>
    </row>
    <row r="371" spans="1:9" x14ac:dyDescent="0.25">
      <c r="A371" s="213" t="s">
        <v>2630</v>
      </c>
      <c r="B371" s="111" t="s">
        <v>2330</v>
      </c>
      <c r="C371" s="457"/>
      <c r="D371" s="129"/>
      <c r="E371" s="129"/>
      <c r="F371" s="622"/>
      <c r="G371" s="28">
        <v>1</v>
      </c>
      <c r="H371" s="609"/>
      <c r="I371" s="519">
        <f>+Table10[[#This Row],[Quantity]]*Table10[[#This Row],[Unit Price]]</f>
        <v>0</v>
      </c>
    </row>
    <row r="372" spans="1:9" x14ac:dyDescent="0.25">
      <c r="A372" s="213" t="s">
        <v>2631</v>
      </c>
      <c r="B372" s="111" t="s">
        <v>2331</v>
      </c>
      <c r="C372" s="457"/>
      <c r="D372" s="129"/>
      <c r="E372" s="129"/>
      <c r="F372" s="622"/>
      <c r="G372" s="28">
        <v>1</v>
      </c>
      <c r="H372" s="609"/>
      <c r="I372" s="519">
        <f>+Table10[[#This Row],[Quantity]]*Table10[[#This Row],[Unit Price]]</f>
        <v>0</v>
      </c>
    </row>
    <row r="373" spans="1:9" x14ac:dyDescent="0.25">
      <c r="A373" s="213" t="s">
        <v>2632</v>
      </c>
      <c r="B373" s="111" t="s">
        <v>2332</v>
      </c>
      <c r="C373" s="457"/>
      <c r="D373" s="129"/>
      <c r="E373" s="129"/>
      <c r="F373" s="622"/>
      <c r="G373" s="28">
        <v>1</v>
      </c>
      <c r="H373" s="609"/>
      <c r="I373" s="519">
        <f>+Table10[[#This Row],[Quantity]]*Table10[[#This Row],[Unit Price]]</f>
        <v>0</v>
      </c>
    </row>
    <row r="374" spans="1:9" x14ac:dyDescent="0.25">
      <c r="A374" s="213" t="s">
        <v>259</v>
      </c>
      <c r="B374" s="111" t="s">
        <v>242</v>
      </c>
      <c r="C374" s="457"/>
      <c r="D374" s="129"/>
      <c r="E374" s="129"/>
      <c r="F374" s="622"/>
      <c r="G374" s="28">
        <v>1</v>
      </c>
      <c r="H374" s="609"/>
      <c r="I374" s="519">
        <f>+Table10[[#This Row],[Quantity]]*Table10[[#This Row],[Unit Price]]</f>
        <v>0</v>
      </c>
    </row>
    <row r="375" spans="1:9" x14ac:dyDescent="0.25">
      <c r="A375" s="213" t="s">
        <v>1025</v>
      </c>
      <c r="B375" s="111" t="s">
        <v>467</v>
      </c>
      <c r="C375" s="457"/>
      <c r="D375" s="129"/>
      <c r="E375" s="129"/>
      <c r="F375" s="622"/>
      <c r="G375" s="28">
        <v>1</v>
      </c>
      <c r="H375" s="609"/>
      <c r="I375" s="519">
        <f>+Table10[[#This Row],[Quantity]]*Table10[[#This Row],[Unit Price]]</f>
        <v>0</v>
      </c>
    </row>
    <row r="376" spans="1:9" x14ac:dyDescent="0.25">
      <c r="A376" s="213" t="s">
        <v>2669</v>
      </c>
      <c r="B376" s="111" t="s">
        <v>2474</v>
      </c>
      <c r="C376" s="457"/>
      <c r="D376" s="129"/>
      <c r="E376" s="129"/>
      <c r="F376" s="622"/>
      <c r="G376" s="28">
        <v>1</v>
      </c>
      <c r="H376" s="609"/>
      <c r="I376" s="519">
        <f>+Table10[[#This Row],[Quantity]]*Table10[[#This Row],[Unit Price]]</f>
        <v>0</v>
      </c>
    </row>
    <row r="377" spans="1:9" x14ac:dyDescent="0.25">
      <c r="A377" s="213" t="s">
        <v>15</v>
      </c>
      <c r="B377" s="111" t="s">
        <v>380</v>
      </c>
      <c r="C377" s="457"/>
      <c r="D377" s="129"/>
      <c r="E377" s="129"/>
      <c r="F377" s="622"/>
      <c r="G377" s="28">
        <v>1</v>
      </c>
      <c r="H377" s="609"/>
      <c r="I377" s="519">
        <f>+Table10[[#This Row],[Quantity]]*Table10[[#This Row],[Unit Price]]</f>
        <v>0</v>
      </c>
    </row>
    <row r="378" spans="1:9" x14ac:dyDescent="0.25">
      <c r="A378" s="213" t="s">
        <v>37</v>
      </c>
      <c r="B378" s="111" t="s">
        <v>38</v>
      </c>
      <c r="C378" s="457"/>
      <c r="D378" s="129"/>
      <c r="E378" s="129"/>
      <c r="F378" s="622"/>
      <c r="G378" s="28">
        <v>1</v>
      </c>
      <c r="H378" s="609"/>
      <c r="I378" s="519">
        <f>+Table10[[#This Row],[Quantity]]*Table10[[#This Row],[Unit Price]]</f>
        <v>0</v>
      </c>
    </row>
    <row r="379" spans="1:9" x14ac:dyDescent="0.25">
      <c r="A379" s="213" t="s">
        <v>108</v>
      </c>
      <c r="B379" s="111" t="s">
        <v>559</v>
      </c>
      <c r="C379" s="457"/>
      <c r="D379" s="129"/>
      <c r="E379" s="129"/>
      <c r="F379" s="622"/>
      <c r="G379" s="28">
        <v>1</v>
      </c>
      <c r="H379" s="609"/>
      <c r="I379" s="519">
        <f>+Table10[[#This Row],[Quantity]]*Table10[[#This Row],[Unit Price]]</f>
        <v>0</v>
      </c>
    </row>
    <row r="380" spans="1:9" x14ac:dyDescent="0.25">
      <c r="A380" s="213" t="s">
        <v>205</v>
      </c>
      <c r="B380" s="111" t="s">
        <v>206</v>
      </c>
      <c r="C380" s="457"/>
      <c r="D380" s="129"/>
      <c r="E380" s="129"/>
      <c r="F380" s="622"/>
      <c r="G380" s="28">
        <v>1</v>
      </c>
      <c r="H380" s="609"/>
      <c r="I380" s="519">
        <f>+Table10[[#This Row],[Quantity]]*Table10[[#This Row],[Unit Price]]</f>
        <v>0</v>
      </c>
    </row>
    <row r="381" spans="1:9" x14ac:dyDescent="0.25">
      <c r="A381" s="213" t="s">
        <v>1036</v>
      </c>
      <c r="B381" s="111" t="s">
        <v>468</v>
      </c>
      <c r="C381" s="457"/>
      <c r="D381" s="129"/>
      <c r="E381" s="129"/>
      <c r="F381" s="622"/>
      <c r="G381" s="28">
        <v>1</v>
      </c>
      <c r="H381" s="609"/>
      <c r="I381" s="519">
        <f>+Table10[[#This Row],[Quantity]]*Table10[[#This Row],[Unit Price]]</f>
        <v>0</v>
      </c>
    </row>
    <row r="382" spans="1:9" x14ac:dyDescent="0.25">
      <c r="A382" s="213" t="s">
        <v>10</v>
      </c>
      <c r="B382" s="111" t="s">
        <v>469</v>
      </c>
      <c r="C382" s="457"/>
      <c r="D382" s="129"/>
      <c r="E382" s="129"/>
      <c r="F382" s="622"/>
      <c r="G382" s="28">
        <v>1</v>
      </c>
      <c r="H382" s="609"/>
      <c r="I382" s="519">
        <f>+Table10[[#This Row],[Quantity]]*Table10[[#This Row],[Unit Price]]</f>
        <v>0</v>
      </c>
    </row>
    <row r="383" spans="1:9" x14ac:dyDescent="0.25">
      <c r="A383" s="213" t="s">
        <v>207</v>
      </c>
      <c r="B383" s="111" t="s">
        <v>208</v>
      </c>
      <c r="C383" s="457"/>
      <c r="D383" s="129"/>
      <c r="E383" s="129"/>
      <c r="F383" s="622"/>
      <c r="G383" s="28">
        <v>1</v>
      </c>
      <c r="H383" s="609"/>
      <c r="I383" s="519">
        <f>+Table10[[#This Row],[Quantity]]*Table10[[#This Row],[Unit Price]]</f>
        <v>0</v>
      </c>
    </row>
    <row r="384" spans="1:9" x14ac:dyDescent="0.25">
      <c r="A384" s="213" t="s">
        <v>1452</v>
      </c>
      <c r="B384" s="111" t="s">
        <v>450</v>
      </c>
      <c r="C384" s="457"/>
      <c r="D384" s="129"/>
      <c r="E384" s="129"/>
      <c r="F384" s="622"/>
      <c r="G384" s="28">
        <v>1</v>
      </c>
      <c r="H384" s="609"/>
      <c r="I384" s="519">
        <f>+Table10[[#This Row],[Quantity]]*Table10[[#This Row],[Unit Price]]</f>
        <v>0</v>
      </c>
    </row>
    <row r="385" spans="1:9" x14ac:dyDescent="0.25">
      <c r="A385" s="213" t="s">
        <v>1159</v>
      </c>
      <c r="B385" s="111" t="s">
        <v>282</v>
      </c>
      <c r="C385" s="457"/>
      <c r="D385" s="129"/>
      <c r="E385" s="129"/>
      <c r="F385" s="622"/>
      <c r="G385" s="28">
        <v>1</v>
      </c>
      <c r="H385" s="609"/>
      <c r="I385" s="519">
        <f>+Table10[[#This Row],[Quantity]]*Table10[[#This Row],[Unit Price]]</f>
        <v>0</v>
      </c>
    </row>
    <row r="386" spans="1:9" x14ac:dyDescent="0.25">
      <c r="A386" s="213" t="s">
        <v>2447</v>
      </c>
      <c r="B386" s="111" t="s">
        <v>2448</v>
      </c>
      <c r="C386" s="457"/>
      <c r="D386" s="129"/>
      <c r="E386" s="129"/>
      <c r="F386" s="622"/>
      <c r="G386" s="28">
        <v>1</v>
      </c>
      <c r="H386" s="609"/>
      <c r="I386" s="519">
        <f>+Table10[[#This Row],[Quantity]]*Table10[[#This Row],[Unit Price]]</f>
        <v>0</v>
      </c>
    </row>
    <row r="387" spans="1:9" x14ac:dyDescent="0.25">
      <c r="A387" s="213" t="s">
        <v>2449</v>
      </c>
      <c r="B387" s="111" t="s">
        <v>2450</v>
      </c>
      <c r="C387" s="457"/>
      <c r="D387" s="129"/>
      <c r="E387" s="129"/>
      <c r="F387" s="622"/>
      <c r="G387" s="28">
        <v>1</v>
      </c>
      <c r="H387" s="609"/>
      <c r="I387" s="519">
        <f>+Table10[[#This Row],[Quantity]]*Table10[[#This Row],[Unit Price]]</f>
        <v>0</v>
      </c>
    </row>
    <row r="388" spans="1:9" x14ac:dyDescent="0.25">
      <c r="A388" s="213" t="s">
        <v>2451</v>
      </c>
      <c r="B388" s="111" t="s">
        <v>2452</v>
      </c>
      <c r="C388" s="457"/>
      <c r="D388" s="129"/>
      <c r="E388" s="129"/>
      <c r="F388" s="622"/>
      <c r="G388" s="28">
        <v>1</v>
      </c>
      <c r="H388" s="609"/>
      <c r="I388" s="519">
        <f>+Table10[[#This Row],[Quantity]]*Table10[[#This Row],[Unit Price]]</f>
        <v>0</v>
      </c>
    </row>
    <row r="389" spans="1:9" x14ac:dyDescent="0.25">
      <c r="A389" s="213" t="s">
        <v>2307</v>
      </c>
      <c r="B389" s="111" t="s">
        <v>2308</v>
      </c>
      <c r="C389" s="457"/>
      <c r="D389" s="129"/>
      <c r="E389" s="129"/>
      <c r="F389" s="622"/>
      <c r="G389" s="28">
        <v>1</v>
      </c>
      <c r="H389" s="609"/>
      <c r="I389" s="519">
        <f>+Table10[[#This Row],[Quantity]]*Table10[[#This Row],[Unit Price]]</f>
        <v>0</v>
      </c>
    </row>
    <row r="390" spans="1:9" x14ac:dyDescent="0.25">
      <c r="A390" s="213" t="s">
        <v>61</v>
      </c>
      <c r="B390" s="111" t="s">
        <v>62</v>
      </c>
      <c r="C390" s="457"/>
      <c r="D390" s="129"/>
      <c r="E390" s="129"/>
      <c r="F390" s="622"/>
      <c r="G390" s="28">
        <v>1</v>
      </c>
      <c r="H390" s="609"/>
      <c r="I390" s="519">
        <f>+Table10[[#This Row],[Quantity]]*Table10[[#This Row],[Unit Price]]</f>
        <v>0</v>
      </c>
    </row>
    <row r="391" spans="1:9" x14ac:dyDescent="0.25">
      <c r="A391" s="213" t="s">
        <v>138</v>
      </c>
      <c r="B391" s="111" t="s">
        <v>139</v>
      </c>
      <c r="C391" s="457"/>
      <c r="D391" s="129"/>
      <c r="E391" s="129"/>
      <c r="F391" s="622"/>
      <c r="G391" s="28">
        <v>1</v>
      </c>
      <c r="H391" s="609"/>
      <c r="I391" s="519">
        <f>+Table10[[#This Row],[Quantity]]*Table10[[#This Row],[Unit Price]]</f>
        <v>0</v>
      </c>
    </row>
    <row r="392" spans="1:9" x14ac:dyDescent="0.25">
      <c r="A392" s="213" t="s">
        <v>185</v>
      </c>
      <c r="B392" s="111" t="s">
        <v>186</v>
      </c>
      <c r="C392" s="457"/>
      <c r="D392" s="129"/>
      <c r="E392" s="129"/>
      <c r="F392" s="622"/>
      <c r="G392" s="28">
        <v>1</v>
      </c>
      <c r="H392" s="609"/>
      <c r="I392" s="519">
        <f>+Table10[[#This Row],[Quantity]]*Table10[[#This Row],[Unit Price]]</f>
        <v>0</v>
      </c>
    </row>
    <row r="393" spans="1:9" x14ac:dyDescent="0.25">
      <c r="A393" s="213" t="s">
        <v>128</v>
      </c>
      <c r="B393" s="111" t="s">
        <v>129</v>
      </c>
      <c r="C393" s="457"/>
      <c r="D393" s="129"/>
      <c r="E393" s="129"/>
      <c r="F393" s="622"/>
      <c r="G393" s="28">
        <v>1</v>
      </c>
      <c r="H393" s="609"/>
      <c r="I393" s="519">
        <f>+Table10[[#This Row],[Quantity]]*Table10[[#This Row],[Unit Price]]</f>
        <v>0</v>
      </c>
    </row>
    <row r="394" spans="1:9" x14ac:dyDescent="0.25">
      <c r="A394" s="213" t="s">
        <v>134</v>
      </c>
      <c r="B394" s="111" t="s">
        <v>135</v>
      </c>
      <c r="C394" s="457"/>
      <c r="D394" s="129"/>
      <c r="E394" s="129"/>
      <c r="F394" s="622"/>
      <c r="G394" s="28">
        <v>1</v>
      </c>
      <c r="H394" s="609"/>
      <c r="I394" s="519">
        <f>+Table10[[#This Row],[Quantity]]*Table10[[#This Row],[Unit Price]]</f>
        <v>0</v>
      </c>
    </row>
    <row r="395" spans="1:9" x14ac:dyDescent="0.25">
      <c r="A395" s="213" t="s">
        <v>183</v>
      </c>
      <c r="B395" s="111" t="s">
        <v>184</v>
      </c>
      <c r="C395" s="457"/>
      <c r="D395" s="129"/>
      <c r="E395" s="129"/>
      <c r="F395" s="622"/>
      <c r="G395" s="28">
        <v>1</v>
      </c>
      <c r="H395" s="609"/>
      <c r="I395" s="519">
        <f>+Table10[[#This Row],[Quantity]]*Table10[[#This Row],[Unit Price]]</f>
        <v>0</v>
      </c>
    </row>
    <row r="396" spans="1:9" x14ac:dyDescent="0.25">
      <c r="A396" s="213" t="s">
        <v>136</v>
      </c>
      <c r="B396" s="111" t="s">
        <v>137</v>
      </c>
      <c r="C396" s="457"/>
      <c r="D396" s="129"/>
      <c r="E396" s="129"/>
      <c r="F396" s="622"/>
      <c r="G396" s="28">
        <v>1</v>
      </c>
      <c r="H396" s="609"/>
      <c r="I396" s="519">
        <f>+Table10[[#This Row],[Quantity]]*Table10[[#This Row],[Unit Price]]</f>
        <v>0</v>
      </c>
    </row>
    <row r="397" spans="1:9" x14ac:dyDescent="0.25">
      <c r="A397" s="213" t="s">
        <v>345</v>
      </c>
      <c r="B397" s="111" t="s">
        <v>346</v>
      </c>
      <c r="C397" s="457"/>
      <c r="D397" s="129"/>
      <c r="E397" s="129"/>
      <c r="F397" s="622"/>
      <c r="G397" s="28">
        <v>1</v>
      </c>
      <c r="H397" s="609"/>
      <c r="I397" s="519">
        <f>+Table10[[#This Row],[Quantity]]*Table10[[#This Row],[Unit Price]]</f>
        <v>0</v>
      </c>
    </row>
    <row r="398" spans="1:9" x14ac:dyDescent="0.25">
      <c r="A398" s="213" t="s">
        <v>126</v>
      </c>
      <c r="B398" s="111" t="s">
        <v>127</v>
      </c>
      <c r="C398" s="457"/>
      <c r="D398" s="129"/>
      <c r="E398" s="129"/>
      <c r="F398" s="622"/>
      <c r="G398" s="28">
        <v>1</v>
      </c>
      <c r="H398" s="609"/>
      <c r="I398" s="519">
        <f>+Table10[[#This Row],[Quantity]]*Table10[[#This Row],[Unit Price]]</f>
        <v>0</v>
      </c>
    </row>
    <row r="399" spans="1:9" x14ac:dyDescent="0.25">
      <c r="A399" s="213" t="s">
        <v>2644</v>
      </c>
      <c r="B399" s="111" t="s">
        <v>2453</v>
      </c>
      <c r="C399" s="457"/>
      <c r="D399" s="129"/>
      <c r="E399" s="129"/>
      <c r="F399" s="622"/>
      <c r="G399" s="28">
        <v>1</v>
      </c>
      <c r="H399" s="609"/>
      <c r="I399" s="519">
        <f>+Table10[[#This Row],[Quantity]]*Table10[[#This Row],[Unit Price]]</f>
        <v>0</v>
      </c>
    </row>
    <row r="400" spans="1:9" x14ac:dyDescent="0.25">
      <c r="A400" s="213" t="s">
        <v>132</v>
      </c>
      <c r="B400" s="111" t="s">
        <v>133</v>
      </c>
      <c r="C400" s="457"/>
      <c r="D400" s="129"/>
      <c r="E400" s="129"/>
      <c r="F400" s="622"/>
      <c r="G400" s="28">
        <v>1</v>
      </c>
      <c r="H400" s="609"/>
      <c r="I400" s="519">
        <f>+Table10[[#This Row],[Quantity]]*Table10[[#This Row],[Unit Price]]</f>
        <v>0</v>
      </c>
    </row>
    <row r="401" spans="1:9" x14ac:dyDescent="0.25">
      <c r="A401" s="213" t="s">
        <v>1458</v>
      </c>
      <c r="B401" s="111" t="s">
        <v>344</v>
      </c>
      <c r="C401" s="457"/>
      <c r="D401" s="129"/>
      <c r="E401" s="129"/>
      <c r="F401" s="622"/>
      <c r="G401" s="28">
        <v>1</v>
      </c>
      <c r="H401" s="609"/>
      <c r="I401" s="519">
        <f>+Table10[[#This Row],[Quantity]]*Table10[[#This Row],[Unit Price]]</f>
        <v>0</v>
      </c>
    </row>
    <row r="402" spans="1:9" x14ac:dyDescent="0.25">
      <c r="A402" s="213" t="s">
        <v>130</v>
      </c>
      <c r="B402" s="111" t="s">
        <v>131</v>
      </c>
      <c r="C402" s="457"/>
      <c r="D402" s="129"/>
      <c r="E402" s="129"/>
      <c r="F402" s="622"/>
      <c r="G402" s="28">
        <v>1</v>
      </c>
      <c r="H402" s="609"/>
      <c r="I402" s="519">
        <f>+Table10[[#This Row],[Quantity]]*Table10[[#This Row],[Unit Price]]</f>
        <v>0</v>
      </c>
    </row>
    <row r="403" spans="1:9" x14ac:dyDescent="0.25">
      <c r="A403" s="213" t="s">
        <v>2645</v>
      </c>
      <c r="B403" s="111" t="s">
        <v>2454</v>
      </c>
      <c r="C403" s="457"/>
      <c r="D403" s="129"/>
      <c r="E403" s="129"/>
      <c r="F403" s="622"/>
      <c r="G403" s="28">
        <v>1</v>
      </c>
      <c r="H403" s="609"/>
      <c r="I403" s="519">
        <f>+Table10[[#This Row],[Quantity]]*Table10[[#This Row],[Unit Price]]</f>
        <v>0</v>
      </c>
    </row>
    <row r="404" spans="1:9" x14ac:dyDescent="0.25">
      <c r="A404" s="213" t="s">
        <v>2646</v>
      </c>
      <c r="B404" s="111" t="s">
        <v>2455</v>
      </c>
      <c r="C404" s="457"/>
      <c r="D404" s="129"/>
      <c r="E404" s="129"/>
      <c r="F404" s="622"/>
      <c r="G404" s="28">
        <v>1</v>
      </c>
      <c r="H404" s="609"/>
      <c r="I404" s="519">
        <f>+Table10[[#This Row],[Quantity]]*Table10[[#This Row],[Unit Price]]</f>
        <v>0</v>
      </c>
    </row>
    <row r="405" spans="1:9" x14ac:dyDescent="0.25">
      <c r="A405" s="213" t="s">
        <v>2647</v>
      </c>
      <c r="B405" s="111" t="s">
        <v>2456</v>
      </c>
      <c r="C405" s="457"/>
      <c r="D405" s="129"/>
      <c r="E405" s="129"/>
      <c r="F405" s="622"/>
      <c r="G405" s="28">
        <v>1</v>
      </c>
      <c r="H405" s="609"/>
      <c r="I405" s="519">
        <f>+Table10[[#This Row],[Quantity]]*Table10[[#This Row],[Unit Price]]</f>
        <v>0</v>
      </c>
    </row>
    <row r="406" spans="1:9" x14ac:dyDescent="0.25">
      <c r="A406" s="213" t="s">
        <v>1459</v>
      </c>
      <c r="B406" s="111" t="s">
        <v>182</v>
      </c>
      <c r="C406" s="457"/>
      <c r="D406" s="129"/>
      <c r="E406" s="129"/>
      <c r="F406" s="622"/>
      <c r="G406" s="28">
        <v>1</v>
      </c>
      <c r="H406" s="609"/>
      <c r="I406" s="519">
        <f>+Table10[[#This Row],[Quantity]]*Table10[[#This Row],[Unit Price]]</f>
        <v>0</v>
      </c>
    </row>
    <row r="407" spans="1:9" x14ac:dyDescent="0.25">
      <c r="A407" s="213" t="s">
        <v>2648</v>
      </c>
      <c r="B407" s="111" t="s">
        <v>2457</v>
      </c>
      <c r="C407" s="457"/>
      <c r="D407" s="129"/>
      <c r="E407" s="129"/>
      <c r="F407" s="622"/>
      <c r="G407" s="28">
        <v>1</v>
      </c>
      <c r="H407" s="609"/>
      <c r="I407" s="519">
        <f>+Table10[[#This Row],[Quantity]]*Table10[[#This Row],[Unit Price]]</f>
        <v>0</v>
      </c>
    </row>
    <row r="408" spans="1:9" x14ac:dyDescent="0.25">
      <c r="A408" s="213" t="s">
        <v>2649</v>
      </c>
      <c r="B408" s="111" t="s">
        <v>2458</v>
      </c>
      <c r="C408" s="457"/>
      <c r="D408" s="129"/>
      <c r="E408" s="129"/>
      <c r="F408" s="622"/>
      <c r="G408" s="28">
        <v>1</v>
      </c>
      <c r="H408" s="609"/>
      <c r="I408" s="519">
        <f>+Table10[[#This Row],[Quantity]]*Table10[[#This Row],[Unit Price]]</f>
        <v>0</v>
      </c>
    </row>
    <row r="409" spans="1:9" x14ac:dyDescent="0.25">
      <c r="A409" s="213" t="s">
        <v>2650</v>
      </c>
      <c r="B409" s="111" t="s">
        <v>2459</v>
      </c>
      <c r="C409" s="457"/>
      <c r="D409" s="129"/>
      <c r="E409" s="129"/>
      <c r="F409" s="622"/>
      <c r="G409" s="28">
        <v>1</v>
      </c>
      <c r="H409" s="609"/>
      <c r="I409" s="519">
        <f>+Table10[[#This Row],[Quantity]]*Table10[[#This Row],[Unit Price]]</f>
        <v>0</v>
      </c>
    </row>
    <row r="410" spans="1:9" x14ac:dyDescent="0.25">
      <c r="A410" s="213" t="s">
        <v>2651</v>
      </c>
      <c r="B410" s="111" t="s">
        <v>2460</v>
      </c>
      <c r="C410" s="457"/>
      <c r="D410" s="129"/>
      <c r="E410" s="129"/>
      <c r="F410" s="622"/>
      <c r="G410" s="28">
        <v>1</v>
      </c>
      <c r="H410" s="609"/>
      <c r="I410" s="519">
        <f>+Table10[[#This Row],[Quantity]]*Table10[[#This Row],[Unit Price]]</f>
        <v>0</v>
      </c>
    </row>
    <row r="411" spans="1:9" x14ac:dyDescent="0.25">
      <c r="A411" s="213" t="s">
        <v>2652</v>
      </c>
      <c r="B411" s="111" t="s">
        <v>2461</v>
      </c>
      <c r="C411" s="457"/>
      <c r="D411" s="129"/>
      <c r="E411" s="129"/>
      <c r="F411" s="622"/>
      <c r="G411" s="28">
        <v>1</v>
      </c>
      <c r="H411" s="609"/>
      <c r="I411" s="519">
        <f>+Table10[[#This Row],[Quantity]]*Table10[[#This Row],[Unit Price]]</f>
        <v>0</v>
      </c>
    </row>
    <row r="412" spans="1:9" x14ac:dyDescent="0.25">
      <c r="A412" s="213" t="s">
        <v>2462</v>
      </c>
      <c r="B412" s="111" t="s">
        <v>2463</v>
      </c>
      <c r="C412" s="457"/>
      <c r="D412" s="129"/>
      <c r="E412" s="129"/>
      <c r="F412" s="622"/>
      <c r="G412" s="28">
        <v>1</v>
      </c>
      <c r="H412" s="609"/>
      <c r="I412" s="519">
        <f>+Table10[[#This Row],[Quantity]]*Table10[[#This Row],[Unit Price]]</f>
        <v>0</v>
      </c>
    </row>
    <row r="413" spans="1:9" x14ac:dyDescent="0.25">
      <c r="A413" s="213" t="s">
        <v>2445</v>
      </c>
      <c r="B413" s="111" t="s">
        <v>2446</v>
      </c>
      <c r="C413" s="457"/>
      <c r="D413" s="129"/>
      <c r="E413" s="129"/>
      <c r="F413" s="622"/>
      <c r="G413" s="28">
        <v>1</v>
      </c>
      <c r="H413" s="609"/>
      <c r="I413" s="519">
        <f>+Table10[[#This Row],[Quantity]]*Table10[[#This Row],[Unit Price]]</f>
        <v>0</v>
      </c>
    </row>
    <row r="414" spans="1:9" x14ac:dyDescent="0.25">
      <c r="A414" s="213" t="s">
        <v>2653</v>
      </c>
      <c r="B414" s="111" t="s">
        <v>2431</v>
      </c>
      <c r="C414" s="457"/>
      <c r="D414" s="129"/>
      <c r="E414" s="129"/>
      <c r="F414" s="622"/>
      <c r="G414" s="28">
        <v>1</v>
      </c>
      <c r="H414" s="609"/>
      <c r="I414" s="519">
        <f>+Table10[[#This Row],[Quantity]]*Table10[[#This Row],[Unit Price]]</f>
        <v>0</v>
      </c>
    </row>
    <row r="415" spans="1:9" x14ac:dyDescent="0.25">
      <c r="A415" s="213" t="s">
        <v>2654</v>
      </c>
      <c r="B415" s="111" t="s">
        <v>2432</v>
      </c>
      <c r="C415" s="457"/>
      <c r="D415" s="129"/>
      <c r="E415" s="129"/>
      <c r="F415" s="622"/>
      <c r="G415" s="28">
        <v>1</v>
      </c>
      <c r="H415" s="609"/>
      <c r="I415" s="519">
        <f>+Table10[[#This Row],[Quantity]]*Table10[[#This Row],[Unit Price]]</f>
        <v>0</v>
      </c>
    </row>
    <row r="416" spans="1:9" x14ac:dyDescent="0.25">
      <c r="A416" s="213" t="s">
        <v>2655</v>
      </c>
      <c r="B416" s="111" t="s">
        <v>2433</v>
      </c>
      <c r="C416" s="457"/>
      <c r="D416" s="129"/>
      <c r="E416" s="129"/>
      <c r="F416" s="622"/>
      <c r="G416" s="28">
        <v>1</v>
      </c>
      <c r="H416" s="609"/>
      <c r="I416" s="519">
        <f>+Table10[[#This Row],[Quantity]]*Table10[[#This Row],[Unit Price]]</f>
        <v>0</v>
      </c>
    </row>
    <row r="417" spans="1:9" x14ac:dyDescent="0.25">
      <c r="A417" s="213" t="s">
        <v>2656</v>
      </c>
      <c r="B417" s="111" t="s">
        <v>2434</v>
      </c>
      <c r="C417" s="457"/>
      <c r="D417" s="129"/>
      <c r="E417" s="129"/>
      <c r="F417" s="622"/>
      <c r="G417" s="28">
        <v>1</v>
      </c>
      <c r="H417" s="609"/>
      <c r="I417" s="519">
        <f>+Table10[[#This Row],[Quantity]]*Table10[[#This Row],[Unit Price]]</f>
        <v>0</v>
      </c>
    </row>
    <row r="418" spans="1:9" x14ac:dyDescent="0.25">
      <c r="A418" s="213" t="s">
        <v>2657</v>
      </c>
      <c r="B418" s="111" t="s">
        <v>2435</v>
      </c>
      <c r="C418" s="457"/>
      <c r="D418" s="129"/>
      <c r="E418" s="129"/>
      <c r="F418" s="622"/>
      <c r="G418" s="28">
        <v>1</v>
      </c>
      <c r="H418" s="609"/>
      <c r="I418" s="519">
        <f>+Table10[[#This Row],[Quantity]]*Table10[[#This Row],[Unit Price]]</f>
        <v>0</v>
      </c>
    </row>
    <row r="419" spans="1:9" x14ac:dyDescent="0.25">
      <c r="A419" s="213" t="s">
        <v>2658</v>
      </c>
      <c r="B419" s="111" t="s">
        <v>2436</v>
      </c>
      <c r="C419" s="457"/>
      <c r="D419" s="129"/>
      <c r="E419" s="129"/>
      <c r="F419" s="622"/>
      <c r="G419" s="28">
        <v>1</v>
      </c>
      <c r="H419" s="609"/>
      <c r="I419" s="519">
        <f>+Table10[[#This Row],[Quantity]]*Table10[[#This Row],[Unit Price]]</f>
        <v>0</v>
      </c>
    </row>
    <row r="420" spans="1:9" x14ac:dyDescent="0.25">
      <c r="A420" s="213" t="s">
        <v>2659</v>
      </c>
      <c r="B420" s="111" t="s">
        <v>2437</v>
      </c>
      <c r="C420" s="457"/>
      <c r="D420" s="129"/>
      <c r="E420" s="129"/>
      <c r="F420" s="622"/>
      <c r="G420" s="28">
        <v>1</v>
      </c>
      <c r="H420" s="609"/>
      <c r="I420" s="519">
        <f>+Table10[[#This Row],[Quantity]]*Table10[[#This Row],[Unit Price]]</f>
        <v>0</v>
      </c>
    </row>
    <row r="421" spans="1:9" x14ac:dyDescent="0.25">
      <c r="A421" s="213" t="s">
        <v>2660</v>
      </c>
      <c r="B421" s="111" t="s">
        <v>2438</v>
      </c>
      <c r="C421" s="457"/>
      <c r="D421" s="129"/>
      <c r="E421" s="129"/>
      <c r="F421" s="622"/>
      <c r="G421" s="28">
        <v>1</v>
      </c>
      <c r="H421" s="609"/>
      <c r="I421" s="519">
        <f>+Table10[[#This Row],[Quantity]]*Table10[[#This Row],[Unit Price]]</f>
        <v>0</v>
      </c>
    </row>
    <row r="422" spans="1:9" x14ac:dyDescent="0.25">
      <c r="A422" s="213" t="s">
        <v>2661</v>
      </c>
      <c r="B422" s="111" t="s">
        <v>2439</v>
      </c>
      <c r="C422" s="457"/>
      <c r="D422" s="129"/>
      <c r="E422" s="129"/>
      <c r="F422" s="622"/>
      <c r="G422" s="28">
        <v>1</v>
      </c>
      <c r="H422" s="609"/>
      <c r="I422" s="519">
        <f>+Table10[[#This Row],[Quantity]]*Table10[[#This Row],[Unit Price]]</f>
        <v>0</v>
      </c>
    </row>
    <row r="423" spans="1:9" x14ac:dyDescent="0.25">
      <c r="A423" s="213" t="s">
        <v>2662</v>
      </c>
      <c r="B423" s="111" t="s">
        <v>2440</v>
      </c>
      <c r="C423" s="457"/>
      <c r="D423" s="129"/>
      <c r="E423" s="129"/>
      <c r="F423" s="622"/>
      <c r="G423" s="28">
        <v>1</v>
      </c>
      <c r="H423" s="609"/>
      <c r="I423" s="519">
        <f>+Table10[[#This Row],[Quantity]]*Table10[[#This Row],[Unit Price]]</f>
        <v>0</v>
      </c>
    </row>
    <row r="424" spans="1:9" x14ac:dyDescent="0.25">
      <c r="A424" s="213" t="s">
        <v>2663</v>
      </c>
      <c r="B424" s="111" t="s">
        <v>2441</v>
      </c>
      <c r="C424" s="457"/>
      <c r="D424" s="129"/>
      <c r="E424" s="129"/>
      <c r="F424" s="622"/>
      <c r="G424" s="28">
        <v>1</v>
      </c>
      <c r="H424" s="609"/>
      <c r="I424" s="519">
        <f>+Table10[[#This Row],[Quantity]]*Table10[[#This Row],[Unit Price]]</f>
        <v>0</v>
      </c>
    </row>
    <row r="425" spans="1:9" x14ac:dyDescent="0.25">
      <c r="A425" s="213" t="s">
        <v>2664</v>
      </c>
      <c r="B425" s="111" t="s">
        <v>2442</v>
      </c>
      <c r="C425" s="457"/>
      <c r="D425" s="129"/>
      <c r="E425" s="129"/>
      <c r="F425" s="622"/>
      <c r="G425" s="28">
        <v>1</v>
      </c>
      <c r="H425" s="609"/>
      <c r="I425" s="519">
        <f>+Table10[[#This Row],[Quantity]]*Table10[[#This Row],[Unit Price]]</f>
        <v>0</v>
      </c>
    </row>
    <row r="426" spans="1:9" x14ac:dyDescent="0.25">
      <c r="A426" s="213" t="s">
        <v>2665</v>
      </c>
      <c r="B426" s="111" t="s">
        <v>2443</v>
      </c>
      <c r="C426" s="457"/>
      <c r="D426" s="129"/>
      <c r="E426" s="129"/>
      <c r="F426" s="622"/>
      <c r="G426" s="28">
        <v>1</v>
      </c>
      <c r="H426" s="609"/>
      <c r="I426" s="519">
        <f>+Table10[[#This Row],[Quantity]]*Table10[[#This Row],[Unit Price]]</f>
        <v>0</v>
      </c>
    </row>
    <row r="427" spans="1:9" x14ac:dyDescent="0.25">
      <c r="A427" s="213" t="s">
        <v>2666</v>
      </c>
      <c r="B427" s="111" t="s">
        <v>2444</v>
      </c>
      <c r="C427" s="457"/>
      <c r="D427" s="129"/>
      <c r="E427" s="129"/>
      <c r="F427" s="622"/>
      <c r="G427" s="28">
        <v>1</v>
      </c>
      <c r="H427" s="609"/>
      <c r="I427" s="519">
        <f>+Table10[[#This Row],[Quantity]]*Table10[[#This Row],[Unit Price]]</f>
        <v>0</v>
      </c>
    </row>
    <row r="428" spans="1:9" x14ac:dyDescent="0.25">
      <c r="A428" s="213" t="s">
        <v>2113</v>
      </c>
      <c r="B428" s="111" t="s">
        <v>2103</v>
      </c>
      <c r="C428" s="457"/>
      <c r="D428" s="129"/>
      <c r="E428" s="129"/>
      <c r="F428" s="622"/>
      <c r="G428" s="28">
        <v>1</v>
      </c>
      <c r="H428" s="609"/>
      <c r="I428" s="519">
        <f>+Table10[[#This Row],[Quantity]]*Table10[[#This Row],[Unit Price]]</f>
        <v>0</v>
      </c>
    </row>
    <row r="429" spans="1:9" x14ac:dyDescent="0.25">
      <c r="A429" s="213" t="s">
        <v>2667</v>
      </c>
      <c r="B429" s="111" t="s">
        <v>2390</v>
      </c>
      <c r="C429" s="457"/>
      <c r="D429" s="129"/>
      <c r="E429" s="129"/>
      <c r="F429" s="622"/>
      <c r="G429" s="28">
        <v>1</v>
      </c>
      <c r="H429" s="609"/>
      <c r="I429" s="519">
        <f>+Table10[[#This Row],[Quantity]]*Table10[[#This Row],[Unit Price]]</f>
        <v>0</v>
      </c>
    </row>
    <row r="430" spans="1:9" x14ac:dyDescent="0.25">
      <c r="A430" s="213" t="s">
        <v>2112</v>
      </c>
      <c r="B430" s="111" t="s">
        <v>2102</v>
      </c>
      <c r="C430" s="457"/>
      <c r="D430" s="129"/>
      <c r="E430" s="129"/>
      <c r="F430" s="622"/>
      <c r="G430" s="28">
        <v>1</v>
      </c>
      <c r="H430" s="609"/>
      <c r="I430" s="519">
        <f>+Table10[[#This Row],[Quantity]]*Table10[[#This Row],[Unit Price]]</f>
        <v>0</v>
      </c>
    </row>
    <row r="431" spans="1:9" x14ac:dyDescent="0.25">
      <c r="A431" s="213" t="s">
        <v>1255</v>
      </c>
      <c r="B431" s="111" t="s">
        <v>679</v>
      </c>
      <c r="C431" s="457"/>
      <c r="D431" s="129"/>
      <c r="E431" s="129"/>
      <c r="F431" s="622"/>
      <c r="G431" s="28">
        <v>1</v>
      </c>
      <c r="H431" s="609"/>
      <c r="I431" s="519">
        <f>+Table10[[#This Row],[Quantity]]*Table10[[#This Row],[Unit Price]]</f>
        <v>0</v>
      </c>
    </row>
    <row r="432" spans="1:9" x14ac:dyDescent="0.25">
      <c r="A432" s="213" t="s">
        <v>1178</v>
      </c>
      <c r="B432" s="111" t="s">
        <v>678</v>
      </c>
      <c r="C432" s="457"/>
      <c r="D432" s="129"/>
      <c r="E432" s="129"/>
      <c r="F432" s="622"/>
      <c r="G432" s="28">
        <v>1</v>
      </c>
      <c r="H432" s="609"/>
      <c r="I432" s="519">
        <f>+Table10[[#This Row],[Quantity]]*Table10[[#This Row],[Unit Price]]</f>
        <v>0</v>
      </c>
    </row>
    <row r="433" spans="1:9" x14ac:dyDescent="0.25">
      <c r="A433" s="213" t="s">
        <v>2668</v>
      </c>
      <c r="B433" s="111" t="s">
        <v>2391</v>
      </c>
      <c r="C433" s="457"/>
      <c r="D433" s="129"/>
      <c r="E433" s="129"/>
      <c r="F433" s="622"/>
      <c r="G433" s="28">
        <v>1</v>
      </c>
      <c r="H433" s="609"/>
      <c r="I433" s="519">
        <f>+Table10[[#This Row],[Quantity]]*Table10[[#This Row],[Unit Price]]</f>
        <v>0</v>
      </c>
    </row>
    <row r="434" spans="1:9" x14ac:dyDescent="0.25">
      <c r="A434" s="213" t="s">
        <v>2111</v>
      </c>
      <c r="B434" s="111" t="s">
        <v>2101</v>
      </c>
      <c r="C434" s="457"/>
      <c r="D434" s="129"/>
      <c r="E434" s="129"/>
      <c r="F434" s="622"/>
      <c r="G434" s="28">
        <v>1</v>
      </c>
      <c r="H434" s="609"/>
      <c r="I434" s="519">
        <f>+Table10[[#This Row],[Quantity]]*Table10[[#This Row],[Unit Price]]</f>
        <v>0</v>
      </c>
    </row>
    <row r="435" spans="1:9" x14ac:dyDescent="0.25">
      <c r="A435" s="213" t="s">
        <v>2110</v>
      </c>
      <c r="B435" s="111" t="s">
        <v>2100</v>
      </c>
      <c r="C435" s="457"/>
      <c r="D435" s="129"/>
      <c r="E435" s="129"/>
      <c r="F435" s="622"/>
      <c r="G435" s="28">
        <v>1</v>
      </c>
      <c r="H435" s="609"/>
      <c r="I435" s="519">
        <f>+Table10[[#This Row],[Quantity]]*Table10[[#This Row],[Unit Price]]</f>
        <v>0</v>
      </c>
    </row>
    <row r="436" spans="1:9" x14ac:dyDescent="0.25">
      <c r="A436" s="213" t="s">
        <v>20</v>
      </c>
      <c r="B436" s="111" t="s">
        <v>287</v>
      </c>
      <c r="C436" s="457"/>
      <c r="D436" s="129"/>
      <c r="E436" s="129"/>
      <c r="F436" s="622"/>
      <c r="G436" s="28">
        <v>2</v>
      </c>
      <c r="H436" s="609"/>
      <c r="I436" s="519">
        <f>+Table10[[#This Row],[Quantity]]*Table10[[#This Row],[Unit Price]]</f>
        <v>0</v>
      </c>
    </row>
    <row r="437" spans="1:9" x14ac:dyDescent="0.25">
      <c r="A437" s="255" t="s">
        <v>13</v>
      </c>
      <c r="B437" s="111" t="s">
        <v>471</v>
      </c>
      <c r="C437" s="457"/>
      <c r="D437" s="252"/>
      <c r="E437" s="252"/>
      <c r="F437" s="622"/>
      <c r="G437" s="243">
        <v>1</v>
      </c>
      <c r="H437" s="609"/>
      <c r="I437" s="519">
        <f>+Table10[[#This Row],[Quantity]]*Table10[[#This Row],[Unit Price]]</f>
        <v>0</v>
      </c>
    </row>
    <row r="438" spans="1:9" x14ac:dyDescent="0.25">
      <c r="A438" s="213" t="s">
        <v>5</v>
      </c>
      <c r="B438" s="111" t="s">
        <v>466</v>
      </c>
      <c r="C438" s="457"/>
      <c r="D438" s="129"/>
      <c r="E438" s="129"/>
      <c r="F438" s="622"/>
      <c r="G438" s="28">
        <v>2</v>
      </c>
      <c r="H438" s="609"/>
      <c r="I438" s="519">
        <f>+Table10[[#This Row],[Quantity]]*Table10[[#This Row],[Unit Price]]</f>
        <v>0</v>
      </c>
    </row>
    <row r="439" spans="1:9" x14ac:dyDescent="0.25">
      <c r="A439" s="213" t="s">
        <v>1026</v>
      </c>
      <c r="B439" s="111" t="s">
        <v>99</v>
      </c>
      <c r="C439" s="457"/>
      <c r="D439" s="129"/>
      <c r="E439" s="129">
        <v>55719</v>
      </c>
      <c r="F439" s="622"/>
      <c r="G439" s="28">
        <v>1</v>
      </c>
      <c r="H439" s="609"/>
      <c r="I439" s="519">
        <f>+Table10[[#This Row],[Quantity]]*Table10[[#This Row],[Unit Price]]</f>
        <v>0</v>
      </c>
    </row>
    <row r="440" spans="1:9" x14ac:dyDescent="0.25">
      <c r="A440" s="213" t="s">
        <v>1277</v>
      </c>
      <c r="B440" s="111" t="s">
        <v>1832</v>
      </c>
      <c r="C440" s="457"/>
      <c r="D440" s="129"/>
      <c r="E440" s="129">
        <v>55719</v>
      </c>
      <c r="F440" s="622"/>
      <c r="G440" s="28">
        <v>1</v>
      </c>
      <c r="H440" s="609"/>
      <c r="I440" s="519">
        <f>+Table10[[#This Row],[Quantity]]*Table10[[#This Row],[Unit Price]]</f>
        <v>0</v>
      </c>
    </row>
    <row r="441" spans="1:9" x14ac:dyDescent="0.25">
      <c r="A441" s="213" t="s">
        <v>209</v>
      </c>
      <c r="B441" s="111" t="s">
        <v>210</v>
      </c>
      <c r="C441" s="457"/>
      <c r="D441" s="129"/>
      <c r="E441" s="129"/>
      <c r="F441" s="622"/>
      <c r="G441" s="28">
        <v>1</v>
      </c>
      <c r="H441" s="609"/>
      <c r="I441" s="519">
        <f>+Table10[[#This Row],[Quantity]]*Table10[[#This Row],[Unit Price]]</f>
        <v>0</v>
      </c>
    </row>
    <row r="442" spans="1:9" x14ac:dyDescent="0.25">
      <c r="A442" s="213" t="s">
        <v>11</v>
      </c>
      <c r="B442" s="111" t="s">
        <v>278</v>
      </c>
      <c r="C442" s="457"/>
      <c r="D442" s="129"/>
      <c r="E442" s="129"/>
      <c r="F442" s="622"/>
      <c r="G442" s="28">
        <v>1</v>
      </c>
      <c r="H442" s="609"/>
      <c r="I442" s="519">
        <f>+Table10[[#This Row],[Quantity]]*Table10[[#This Row],[Unit Price]]</f>
        <v>0</v>
      </c>
    </row>
    <row r="443" spans="1:9" s="20" customFormat="1" x14ac:dyDescent="0.25">
      <c r="A443" s="213" t="s">
        <v>12</v>
      </c>
      <c r="B443" s="111" t="s">
        <v>171</v>
      </c>
      <c r="C443" s="457"/>
      <c r="D443" s="129"/>
      <c r="E443" s="129"/>
      <c r="F443" s="622"/>
      <c r="G443" s="28">
        <v>1</v>
      </c>
      <c r="H443" s="609"/>
      <c r="I443" s="519">
        <f>+Table10[[#This Row],[Quantity]]*Table10[[#This Row],[Unit Price]]</f>
        <v>0</v>
      </c>
    </row>
    <row r="444" spans="1:9" s="20" customFormat="1" x14ac:dyDescent="0.25">
      <c r="A444" s="213" t="s">
        <v>2558</v>
      </c>
      <c r="B444" s="111" t="s">
        <v>2393</v>
      </c>
      <c r="C444" s="457"/>
      <c r="D444" s="129"/>
      <c r="E444" s="129"/>
      <c r="F444" s="622"/>
      <c r="G444" s="28">
        <v>1</v>
      </c>
      <c r="H444" s="609"/>
      <c r="I444" s="519">
        <f>+Table10[[#This Row],[Quantity]]*Table10[[#This Row],[Unit Price]]</f>
        <v>0</v>
      </c>
    </row>
    <row r="445" spans="1:9" x14ac:dyDescent="0.25">
      <c r="A445" s="213" t="s">
        <v>1410</v>
      </c>
      <c r="B445" s="111" t="s">
        <v>727</v>
      </c>
      <c r="C445" s="457"/>
      <c r="D445" s="129"/>
      <c r="E445" s="129"/>
      <c r="F445" s="622"/>
      <c r="G445" s="28">
        <v>1</v>
      </c>
      <c r="H445" s="609"/>
      <c r="I445" s="519">
        <f>+Table10[[#This Row],[Quantity]]*Table10[[#This Row],[Unit Price]]</f>
        <v>0</v>
      </c>
    </row>
    <row r="446" spans="1:9" x14ac:dyDescent="0.25">
      <c r="A446" s="213" t="s">
        <v>1411</v>
      </c>
      <c r="B446" s="111" t="s">
        <v>728</v>
      </c>
      <c r="C446" s="457"/>
      <c r="D446" s="129"/>
      <c r="E446" s="129"/>
      <c r="F446" s="622"/>
      <c r="G446" s="28">
        <v>1</v>
      </c>
      <c r="H446" s="609"/>
      <c r="I446" s="519">
        <f>+Table10[[#This Row],[Quantity]]*Table10[[#This Row],[Unit Price]]</f>
        <v>0</v>
      </c>
    </row>
    <row r="447" spans="1:9" x14ac:dyDescent="0.25">
      <c r="A447" s="213" t="s">
        <v>1427</v>
      </c>
      <c r="B447" s="111" t="s">
        <v>836</v>
      </c>
      <c r="C447" s="457"/>
      <c r="D447" s="129"/>
      <c r="E447" s="129"/>
      <c r="F447" s="622"/>
      <c r="G447" s="28">
        <v>1</v>
      </c>
      <c r="H447" s="609"/>
      <c r="I447" s="519">
        <f>+Table10[[#This Row],[Quantity]]*Table10[[#This Row],[Unit Price]]</f>
        <v>0</v>
      </c>
    </row>
    <row r="448" spans="1:9" x14ac:dyDescent="0.25">
      <c r="A448" s="213" t="s">
        <v>1593</v>
      </c>
      <c r="B448" s="111" t="s">
        <v>455</v>
      </c>
      <c r="C448" s="457"/>
      <c r="D448" s="129"/>
      <c r="E448" s="129"/>
      <c r="F448" s="622"/>
      <c r="G448" s="28">
        <v>1</v>
      </c>
      <c r="H448" s="609"/>
      <c r="I448" s="519">
        <f>+Table10[[#This Row],[Quantity]]*Table10[[#This Row],[Unit Price]]</f>
        <v>0</v>
      </c>
    </row>
    <row r="449" spans="1:9" x14ac:dyDescent="0.25">
      <c r="A449" s="213" t="s">
        <v>1164</v>
      </c>
      <c r="B449" s="111" t="s">
        <v>2492</v>
      </c>
      <c r="C449" s="457"/>
      <c r="D449" s="129"/>
      <c r="E449" s="129"/>
      <c r="F449" s="622"/>
      <c r="G449" s="28">
        <v>1</v>
      </c>
      <c r="H449" s="609"/>
      <c r="I449" s="519">
        <f>+Table10[[#This Row],[Quantity]]*Table10[[#This Row],[Unit Price]]</f>
        <v>0</v>
      </c>
    </row>
    <row r="450" spans="1:9" x14ac:dyDescent="0.25">
      <c r="A450" s="213" t="s">
        <v>68</v>
      </c>
      <c r="B450" s="111" t="s">
        <v>992</v>
      </c>
      <c r="C450" s="457"/>
      <c r="D450" s="129"/>
      <c r="E450" s="129"/>
      <c r="F450" s="622"/>
      <c r="G450" s="28">
        <v>1</v>
      </c>
      <c r="H450" s="609"/>
      <c r="I450" s="519">
        <f>+Table10[[#This Row],[Quantity]]*Table10[[#This Row],[Unit Price]]</f>
        <v>0</v>
      </c>
    </row>
    <row r="451" spans="1:9" x14ac:dyDescent="0.25">
      <c r="A451" s="213" t="s">
        <v>3152</v>
      </c>
      <c r="B451" s="111" t="s">
        <v>1708</v>
      </c>
      <c r="C451" s="457"/>
      <c r="D451" s="129"/>
      <c r="E451" s="129"/>
      <c r="F451" s="622"/>
      <c r="G451" s="28">
        <v>1</v>
      </c>
      <c r="H451" s="609"/>
      <c r="I451" s="519">
        <f>+Table10[[#This Row],[Quantity]]*Table10[[#This Row],[Unit Price]]</f>
        <v>0</v>
      </c>
    </row>
    <row r="452" spans="1:9" x14ac:dyDescent="0.25">
      <c r="A452" s="213" t="s">
        <v>4</v>
      </c>
      <c r="B452" s="111" t="s">
        <v>90</v>
      </c>
      <c r="C452" s="457"/>
      <c r="D452" s="129"/>
      <c r="E452" s="129"/>
      <c r="F452" s="622"/>
      <c r="G452" s="28">
        <v>2</v>
      </c>
      <c r="H452" s="609"/>
      <c r="I452" s="519">
        <f>+Table10[[#This Row],[Quantity]]*Table10[[#This Row],[Unit Price]]</f>
        <v>0</v>
      </c>
    </row>
    <row r="453" spans="1:9" x14ac:dyDescent="0.25">
      <c r="A453" s="255" t="s">
        <v>1442</v>
      </c>
      <c r="B453" s="111" t="s">
        <v>554</v>
      </c>
      <c r="C453" s="457"/>
      <c r="D453" s="252"/>
      <c r="E453" s="252"/>
      <c r="F453" s="622"/>
      <c r="G453" s="243">
        <v>1</v>
      </c>
      <c r="H453" s="609"/>
      <c r="I453" s="519">
        <f>+Table10[[#This Row],[Quantity]]*Table10[[#This Row],[Unit Price]]</f>
        <v>0</v>
      </c>
    </row>
    <row r="454" spans="1:9" x14ac:dyDescent="0.25">
      <c r="A454" s="213" t="s">
        <v>101</v>
      </c>
      <c r="B454" s="111" t="s">
        <v>509</v>
      </c>
      <c r="C454" s="457"/>
      <c r="D454" s="129"/>
      <c r="E454" s="129"/>
      <c r="F454" s="622"/>
      <c r="G454" s="28">
        <v>1</v>
      </c>
      <c r="H454" s="609"/>
      <c r="I454" s="519">
        <f>+Table10[[#This Row],[Quantity]]*Table10[[#This Row],[Unit Price]]</f>
        <v>0</v>
      </c>
    </row>
    <row r="455" spans="1:9" s="283" customFormat="1" x14ac:dyDescent="0.25">
      <c r="A455" s="222" t="s">
        <v>20</v>
      </c>
      <c r="B455" s="223" t="s">
        <v>102</v>
      </c>
      <c r="C455" s="457"/>
      <c r="D455" s="284"/>
      <c r="E455" s="284"/>
      <c r="F455" s="623"/>
      <c r="G455" s="224">
        <v>2</v>
      </c>
      <c r="H455" s="616"/>
      <c r="I455" s="519">
        <f>+Table10[[#This Row],[Quantity]]*Table10[[#This Row],[Unit Price]]</f>
        <v>0</v>
      </c>
    </row>
    <row r="456" spans="1:9" x14ac:dyDescent="0.25">
      <c r="A456" s="594"/>
      <c r="B456" s="618"/>
      <c r="C456" s="624"/>
      <c r="D456" s="619"/>
      <c r="E456" s="619"/>
      <c r="F456" s="619"/>
      <c r="G456" s="596"/>
      <c r="H456" s="621"/>
      <c r="I456" s="620">
        <f>SUM(I2:I455)</f>
        <v>0</v>
      </c>
    </row>
    <row r="459" spans="1:9" ht="18" x14ac:dyDescent="0.25">
      <c r="A459" s="422" t="s">
        <v>2509</v>
      </c>
      <c r="B459" s="425"/>
      <c r="C459" s="309"/>
      <c r="D459" s="3"/>
      <c r="E459" s="3"/>
      <c r="F459" s="309"/>
      <c r="G459" s="3"/>
      <c r="H459" s="531"/>
    </row>
    <row r="460" spans="1:9" ht="18" x14ac:dyDescent="0.25">
      <c r="A460" s="422" t="s">
        <v>3099</v>
      </c>
      <c r="B460" s="425"/>
      <c r="C460" s="309"/>
      <c r="D460" s="3"/>
      <c r="E460" s="3"/>
      <c r="F460" s="309"/>
      <c r="G460" s="3"/>
      <c r="H460" s="531"/>
    </row>
    <row r="461" spans="1:9" ht="18" x14ac:dyDescent="0.25">
      <c r="A461" s="423" t="s">
        <v>3346</v>
      </c>
      <c r="B461" s="456"/>
    </row>
    <row r="462" spans="1:9" ht="18" x14ac:dyDescent="0.25">
      <c r="A462" s="449" t="s">
        <v>3367</v>
      </c>
      <c r="B462" s="608">
        <f>+Table10[[#Totals],[Extended price]]</f>
        <v>0</v>
      </c>
      <c r="D462" t="s">
        <v>1729</v>
      </c>
    </row>
  </sheetData>
  <sortState xmlns:xlrd2="http://schemas.microsoft.com/office/spreadsheetml/2017/richdata2" ref="A5:H473">
    <sortCondition ref="B5:B473"/>
  </sortState>
  <pageMargins left="0.7" right="0.7" top="0.75" bottom="0.75" header="0.3" footer="0.3"/>
  <pageSetup scale="43" fitToHeight="0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2"/>
  <sheetViews>
    <sheetView workbookViewId="0">
      <pane ySplit="1" topLeftCell="A2" activePane="bottomLeft" state="frozen"/>
      <selection activeCell="C26" sqref="C26"/>
      <selection pane="bottomLeft"/>
    </sheetView>
  </sheetViews>
  <sheetFormatPr defaultColWidth="9.140625" defaultRowHeight="15" x14ac:dyDescent="0.2"/>
  <cols>
    <col min="1" max="1" width="55.5703125" style="119" bestFit="1" customWidth="1"/>
    <col min="2" max="2" width="16.42578125" style="119" bestFit="1" customWidth="1"/>
    <col min="3" max="3" width="20.42578125" style="251" bestFit="1" customWidth="1"/>
    <col min="4" max="4" width="20.140625" style="119" bestFit="1" customWidth="1"/>
    <col min="5" max="5" width="12.42578125" style="119" bestFit="1" customWidth="1"/>
    <col min="6" max="6" width="15.5703125" style="251" bestFit="1" customWidth="1"/>
    <col min="7" max="7" width="10.5703125" style="85" customWidth="1"/>
    <col min="8" max="8" width="11.42578125" style="568" bestFit="1" customWidth="1"/>
    <col min="9" max="9" width="16.85546875" style="519" bestFit="1" customWidth="1"/>
    <col min="10" max="16384" width="9.140625" style="119"/>
  </cols>
  <sheetData>
    <row r="1" spans="1:9" ht="15.75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13" t="s">
        <v>412</v>
      </c>
      <c r="H1" s="528" t="s">
        <v>3368</v>
      </c>
      <c r="I1" s="528" t="s">
        <v>3369</v>
      </c>
    </row>
    <row r="2" spans="1:9" x14ac:dyDescent="0.2">
      <c r="A2" s="151" t="s">
        <v>3247</v>
      </c>
      <c r="B2" s="71" t="s">
        <v>1868</v>
      </c>
      <c r="C2" s="430"/>
      <c r="D2" s="71"/>
      <c r="E2" s="71" t="s">
        <v>1920</v>
      </c>
      <c r="F2" s="625"/>
      <c r="G2" s="33">
        <v>1</v>
      </c>
      <c r="H2" s="543"/>
      <c r="I2" s="559">
        <f>+G2*H2</f>
        <v>0</v>
      </c>
    </row>
    <row r="3" spans="1:9" x14ac:dyDescent="0.2">
      <c r="A3" s="43" t="s">
        <v>2885</v>
      </c>
      <c r="B3" s="71" t="s">
        <v>3096</v>
      </c>
      <c r="C3" s="430"/>
      <c r="D3" s="71"/>
      <c r="E3" s="71">
        <v>55719</v>
      </c>
      <c r="F3" s="625"/>
      <c r="G3" s="33">
        <v>1</v>
      </c>
      <c r="H3" s="543"/>
      <c r="I3" s="559">
        <f t="shared" ref="I3:I4" si="0">+G3*H3</f>
        <v>0</v>
      </c>
    </row>
    <row r="4" spans="1:9" x14ac:dyDescent="0.2">
      <c r="A4" s="43" t="s">
        <v>2886</v>
      </c>
      <c r="B4" s="71" t="s">
        <v>2889</v>
      </c>
      <c r="C4" s="430"/>
      <c r="D4" s="71"/>
      <c r="E4" s="71">
        <v>55719</v>
      </c>
      <c r="F4" s="625"/>
      <c r="G4" s="33">
        <v>1</v>
      </c>
      <c r="H4" s="543"/>
      <c r="I4" s="559">
        <f t="shared" si="0"/>
        <v>0</v>
      </c>
    </row>
    <row r="5" spans="1:9" x14ac:dyDescent="0.2">
      <c r="A5" s="81"/>
      <c r="I5" s="519">
        <f>SUM(I2:I4)</f>
        <v>0</v>
      </c>
    </row>
    <row r="6" spans="1:9" x14ac:dyDescent="0.2">
      <c r="A6" s="81"/>
    </row>
    <row r="8" spans="1:9" s="4" customFormat="1" ht="18" x14ac:dyDescent="0.25">
      <c r="A8" s="422" t="s">
        <v>3082</v>
      </c>
      <c r="B8" s="425"/>
      <c r="C8" s="309"/>
      <c r="D8" s="3"/>
      <c r="E8" s="3"/>
      <c r="F8" s="309"/>
      <c r="G8" s="3"/>
      <c r="H8" s="531"/>
      <c r="I8" s="541"/>
    </row>
    <row r="9" spans="1:9" s="4" customFormat="1" ht="18" x14ac:dyDescent="0.25">
      <c r="A9" s="422" t="s">
        <v>3083</v>
      </c>
      <c r="B9" s="425"/>
      <c r="C9" s="309"/>
      <c r="D9" s="3"/>
      <c r="E9" s="3"/>
      <c r="F9" s="309"/>
      <c r="G9" s="3"/>
      <c r="H9" s="531"/>
      <c r="I9" s="541"/>
    </row>
    <row r="10" spans="1:9" ht="18" x14ac:dyDescent="0.25">
      <c r="A10" s="423" t="s">
        <v>3345</v>
      </c>
      <c r="B10" s="245"/>
    </row>
    <row r="11" spans="1:9" ht="18" x14ac:dyDescent="0.25">
      <c r="A11" s="449" t="s">
        <v>3367</v>
      </c>
      <c r="B11" s="608">
        <f>+I5</f>
        <v>0</v>
      </c>
    </row>
    <row r="12" spans="1:9" ht="15.75" x14ac:dyDescent="0.25">
      <c r="A12" s="319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0"/>
  <sheetViews>
    <sheetView workbookViewId="0">
      <pane ySplit="1" topLeftCell="A5" activePane="bottomLeft" state="frozen"/>
      <selection activeCell="C26" sqref="C26"/>
      <selection pane="bottomLeft" activeCell="G2" sqref="G2:G34"/>
    </sheetView>
  </sheetViews>
  <sheetFormatPr defaultColWidth="9.140625" defaultRowHeight="15.75" x14ac:dyDescent="0.25"/>
  <cols>
    <col min="1" max="1" width="68.85546875" style="319" bestFit="1" customWidth="1"/>
    <col min="2" max="2" width="19.42578125" style="319" bestFit="1" customWidth="1"/>
    <col min="3" max="3" width="20.42578125" style="319" bestFit="1" customWidth="1"/>
    <col min="4" max="4" width="20.140625" style="319" bestFit="1" customWidth="1"/>
    <col min="5" max="5" width="26.42578125" style="319" bestFit="1" customWidth="1"/>
    <col min="6" max="6" width="26.42578125" style="319" customWidth="1"/>
    <col min="7" max="7" width="11.140625" style="311" customWidth="1"/>
    <col min="8" max="8" width="11.42578125" style="311" bestFit="1" customWidth="1"/>
    <col min="9" max="9" width="16.85546875" style="311" bestFit="1" customWidth="1"/>
    <col min="10" max="10" width="9.140625" style="311"/>
    <col min="11" max="11" width="14.85546875" style="311" bestFit="1" customWidth="1"/>
    <col min="12" max="13" width="9.140625" style="311"/>
    <col min="14" max="14" width="16.5703125" style="311" bestFit="1" customWidth="1"/>
    <col min="15" max="16384" width="9.140625" style="311"/>
  </cols>
  <sheetData>
    <row r="1" spans="1:9" x14ac:dyDescent="0.25">
      <c r="A1" s="322" t="s">
        <v>0</v>
      </c>
      <c r="B1" s="323" t="s">
        <v>1</v>
      </c>
      <c r="C1" s="367" t="s">
        <v>3373</v>
      </c>
      <c r="D1" s="323" t="s">
        <v>1872</v>
      </c>
      <c r="E1" s="323" t="s">
        <v>1873</v>
      </c>
      <c r="F1" s="367" t="s">
        <v>3372</v>
      </c>
      <c r="G1" s="324" t="s">
        <v>412</v>
      </c>
      <c r="H1" s="441" t="s">
        <v>3368</v>
      </c>
      <c r="I1" s="418" t="s">
        <v>3369</v>
      </c>
    </row>
    <row r="2" spans="1:9" x14ac:dyDescent="0.25">
      <c r="A2" s="320" t="s">
        <v>3247</v>
      </c>
      <c r="B2" s="312" t="s">
        <v>1868</v>
      </c>
      <c r="C2" s="430"/>
      <c r="E2" s="312">
        <v>55719</v>
      </c>
      <c r="F2" s="523"/>
      <c r="G2" s="312">
        <v>1</v>
      </c>
      <c r="H2" s="553"/>
      <c r="I2" s="626">
        <f>+Table116[[#This Row],[Quantity]]*Table116[[#This Row],[Unit Price]]</f>
        <v>0</v>
      </c>
    </row>
    <row r="3" spans="1:9" ht="30.75" x14ac:dyDescent="0.25">
      <c r="A3" s="320" t="s">
        <v>1627</v>
      </c>
      <c r="B3" s="312" t="s">
        <v>452</v>
      </c>
      <c r="C3" s="430"/>
      <c r="E3" s="312"/>
      <c r="F3" s="523"/>
      <c r="G3" s="312">
        <v>1</v>
      </c>
      <c r="H3" s="553"/>
      <c r="I3" s="626">
        <f>+Table116[[#This Row],[Quantity]]*Table116[[#This Row],[Unit Price]]</f>
        <v>0</v>
      </c>
    </row>
    <row r="4" spans="1:9" ht="30.75" x14ac:dyDescent="0.25">
      <c r="A4" s="320" t="s">
        <v>1698</v>
      </c>
      <c r="B4" s="312" t="s">
        <v>451</v>
      </c>
      <c r="C4" s="430"/>
      <c r="E4" s="312"/>
      <c r="F4" s="523"/>
      <c r="G4" s="312">
        <v>1</v>
      </c>
      <c r="H4" s="553"/>
      <c r="I4" s="626">
        <f>+Table116[[#This Row],[Quantity]]*Table116[[#This Row],[Unit Price]]</f>
        <v>0</v>
      </c>
    </row>
    <row r="5" spans="1:9" x14ac:dyDescent="0.25">
      <c r="A5" s="320" t="s">
        <v>1160</v>
      </c>
      <c r="B5" s="312" t="s">
        <v>2751</v>
      </c>
      <c r="C5" s="430"/>
      <c r="E5" s="312">
        <v>55719</v>
      </c>
      <c r="F5" s="523"/>
      <c r="G5" s="312">
        <v>1</v>
      </c>
      <c r="H5" s="553"/>
      <c r="I5" s="626">
        <f>+Table116[[#This Row],[Quantity]]*Table116[[#This Row],[Unit Price]]</f>
        <v>0</v>
      </c>
    </row>
    <row r="6" spans="1:9" x14ac:dyDescent="0.25">
      <c r="A6" s="320" t="s">
        <v>3018</v>
      </c>
      <c r="B6" s="312" t="s">
        <v>3019</v>
      </c>
      <c r="C6" s="430"/>
      <c r="E6" s="312" t="s">
        <v>3020</v>
      </c>
      <c r="F6" s="523"/>
      <c r="G6" s="312">
        <v>1</v>
      </c>
      <c r="H6" s="553"/>
      <c r="I6" s="626">
        <f>+Table116[[#This Row],[Quantity]]*Table116[[#This Row],[Unit Price]]</f>
        <v>0</v>
      </c>
    </row>
    <row r="7" spans="1:9" x14ac:dyDescent="0.25">
      <c r="A7" s="320" t="s">
        <v>1056</v>
      </c>
      <c r="B7" s="312" t="s">
        <v>864</v>
      </c>
      <c r="C7" s="430"/>
      <c r="E7" s="312">
        <v>55719</v>
      </c>
      <c r="F7" s="523"/>
      <c r="G7" s="312">
        <v>1</v>
      </c>
      <c r="H7" s="553"/>
      <c r="I7" s="626">
        <f>+Table116[[#This Row],[Quantity]]*Table116[[#This Row],[Unit Price]]</f>
        <v>0</v>
      </c>
    </row>
    <row r="8" spans="1:9" x14ac:dyDescent="0.25">
      <c r="A8" s="320" t="s">
        <v>3237</v>
      </c>
      <c r="B8" s="312" t="s">
        <v>2015</v>
      </c>
      <c r="C8" s="430"/>
      <c r="E8" s="312">
        <v>89750</v>
      </c>
      <c r="F8" s="523"/>
      <c r="G8" s="312">
        <v>1</v>
      </c>
      <c r="H8" s="553"/>
      <c r="I8" s="626">
        <f>+Table116[[#This Row],[Quantity]]*Table116[[#This Row],[Unit Price]]</f>
        <v>0</v>
      </c>
    </row>
    <row r="9" spans="1:9" x14ac:dyDescent="0.25">
      <c r="A9" s="320" t="s">
        <v>3238</v>
      </c>
      <c r="B9" s="312" t="s">
        <v>2733</v>
      </c>
      <c r="C9" s="430"/>
      <c r="E9" s="312">
        <v>89750</v>
      </c>
      <c r="F9" s="523"/>
      <c r="G9" s="312">
        <v>1</v>
      </c>
      <c r="H9" s="553"/>
      <c r="I9" s="626">
        <f>+Table116[[#This Row],[Quantity]]*Table116[[#This Row],[Unit Price]]</f>
        <v>0</v>
      </c>
    </row>
    <row r="10" spans="1:9" x14ac:dyDescent="0.25">
      <c r="A10" s="320" t="s">
        <v>1051</v>
      </c>
      <c r="B10" s="312" t="s">
        <v>317</v>
      </c>
      <c r="C10" s="430"/>
      <c r="E10" s="312">
        <v>55719</v>
      </c>
      <c r="F10" s="523"/>
      <c r="G10" s="312">
        <v>1</v>
      </c>
      <c r="H10" s="553"/>
      <c r="I10" s="626">
        <f>+Table116[[#This Row],[Quantity]]*Table116[[#This Row],[Unit Price]]</f>
        <v>0</v>
      </c>
    </row>
    <row r="11" spans="1:9" x14ac:dyDescent="0.25">
      <c r="A11" s="320" t="s">
        <v>3212</v>
      </c>
      <c r="B11" s="312" t="s">
        <v>3264</v>
      </c>
      <c r="C11" s="430"/>
      <c r="E11" s="312">
        <v>55719</v>
      </c>
      <c r="F11" s="523"/>
      <c r="G11" s="312">
        <v>1</v>
      </c>
      <c r="H11" s="553"/>
      <c r="I11" s="626">
        <f>+Table116[[#This Row],[Quantity]]*Table116[[#This Row],[Unit Price]]</f>
        <v>0</v>
      </c>
    </row>
    <row r="12" spans="1:9" x14ac:dyDescent="0.25">
      <c r="A12" s="320" t="s">
        <v>3258</v>
      </c>
      <c r="B12" s="312" t="s">
        <v>561</v>
      </c>
      <c r="C12" s="430"/>
      <c r="E12" s="312">
        <v>55719</v>
      </c>
      <c r="F12" s="523"/>
      <c r="G12" s="312">
        <v>1</v>
      </c>
      <c r="H12" s="553"/>
      <c r="I12" s="626">
        <f>+Table116[[#This Row],[Quantity]]*Table116[[#This Row],[Unit Price]]</f>
        <v>0</v>
      </c>
    </row>
    <row r="13" spans="1:9" x14ac:dyDescent="0.25">
      <c r="A13" s="320" t="s">
        <v>1283</v>
      </c>
      <c r="B13" s="312" t="s">
        <v>1992</v>
      </c>
      <c r="C13" s="430"/>
      <c r="E13" s="312">
        <v>55719</v>
      </c>
      <c r="F13" s="523"/>
      <c r="G13" s="312">
        <v>1</v>
      </c>
      <c r="H13" s="553"/>
      <c r="I13" s="626">
        <f>+Table116[[#This Row],[Quantity]]*Table116[[#This Row],[Unit Price]]</f>
        <v>0</v>
      </c>
    </row>
    <row r="14" spans="1:9" x14ac:dyDescent="0.25">
      <c r="A14" s="321" t="s">
        <v>1498</v>
      </c>
      <c r="B14" s="312" t="s">
        <v>883</v>
      </c>
      <c r="C14" s="430"/>
      <c r="E14" s="312">
        <v>55719</v>
      </c>
      <c r="F14" s="523"/>
      <c r="G14" s="312">
        <v>1</v>
      </c>
      <c r="H14" s="553"/>
      <c r="I14" s="626">
        <f>+Table116[[#This Row],[Quantity]]*Table116[[#This Row],[Unit Price]]</f>
        <v>0</v>
      </c>
    </row>
    <row r="15" spans="1:9" x14ac:dyDescent="0.25">
      <c r="A15" s="320" t="s">
        <v>1185</v>
      </c>
      <c r="B15" s="312" t="s">
        <v>330</v>
      </c>
      <c r="C15" s="430"/>
      <c r="E15" s="312">
        <v>55719</v>
      </c>
      <c r="F15" s="523"/>
      <c r="G15" s="312">
        <v>1</v>
      </c>
      <c r="H15" s="553"/>
      <c r="I15" s="626">
        <f>+Table116[[#This Row],[Quantity]]*Table116[[#This Row],[Unit Price]]</f>
        <v>0</v>
      </c>
    </row>
    <row r="16" spans="1:9" x14ac:dyDescent="0.25">
      <c r="A16" s="320" t="s">
        <v>1181</v>
      </c>
      <c r="B16" s="312" t="s">
        <v>199</v>
      </c>
      <c r="C16" s="430"/>
      <c r="E16" s="312">
        <v>55719</v>
      </c>
      <c r="F16" s="523"/>
      <c r="G16" s="312">
        <v>1</v>
      </c>
      <c r="H16" s="553"/>
      <c r="I16" s="626">
        <f>+Table116[[#This Row],[Quantity]]*Table116[[#This Row],[Unit Price]]</f>
        <v>0</v>
      </c>
    </row>
    <row r="17" spans="1:9" x14ac:dyDescent="0.25">
      <c r="A17" s="320" t="s">
        <v>1054</v>
      </c>
      <c r="B17" s="312" t="s">
        <v>326</v>
      </c>
      <c r="C17" s="430"/>
      <c r="E17" s="312">
        <v>55719</v>
      </c>
      <c r="F17" s="523"/>
      <c r="G17" s="312">
        <v>1</v>
      </c>
      <c r="H17" s="553"/>
      <c r="I17" s="626">
        <f>+Table116[[#This Row],[Quantity]]*Table116[[#This Row],[Unit Price]]</f>
        <v>0</v>
      </c>
    </row>
    <row r="18" spans="1:9" x14ac:dyDescent="0.25">
      <c r="A18" s="320" t="s">
        <v>2569</v>
      </c>
      <c r="B18" s="312" t="s">
        <v>2407</v>
      </c>
      <c r="C18" s="430"/>
      <c r="E18" s="312">
        <v>55719</v>
      </c>
      <c r="F18" s="523"/>
      <c r="G18" s="312">
        <v>1</v>
      </c>
      <c r="H18" s="553"/>
      <c r="I18" s="626">
        <f>+Table116[[#This Row],[Quantity]]*Table116[[#This Row],[Unit Price]]</f>
        <v>0</v>
      </c>
    </row>
    <row r="19" spans="1:9" x14ac:dyDescent="0.25">
      <c r="A19" s="320" t="s">
        <v>3215</v>
      </c>
      <c r="B19" s="312" t="s">
        <v>3216</v>
      </c>
      <c r="C19" s="430"/>
      <c r="E19" s="312">
        <v>55719</v>
      </c>
      <c r="F19" s="523"/>
      <c r="G19" s="312">
        <v>1</v>
      </c>
      <c r="H19" s="553"/>
      <c r="I19" s="626">
        <f>+Table116[[#This Row],[Quantity]]*Table116[[#This Row],[Unit Price]]</f>
        <v>0</v>
      </c>
    </row>
    <row r="20" spans="1:9" x14ac:dyDescent="0.25">
      <c r="A20" s="320" t="s">
        <v>3209</v>
      </c>
      <c r="B20" s="312" t="s">
        <v>3210</v>
      </c>
      <c r="C20" s="430"/>
      <c r="E20" s="312">
        <v>55719</v>
      </c>
      <c r="F20" s="523"/>
      <c r="G20" s="312">
        <v>1</v>
      </c>
      <c r="H20" s="553"/>
      <c r="I20" s="626">
        <f>+Table116[[#This Row],[Quantity]]*Table116[[#This Row],[Unit Price]]</f>
        <v>0</v>
      </c>
    </row>
    <row r="21" spans="1:9" x14ac:dyDescent="0.25">
      <c r="A21" s="320" t="s">
        <v>1121</v>
      </c>
      <c r="B21" s="312" t="s">
        <v>283</v>
      </c>
      <c r="C21" s="430"/>
      <c r="E21" s="312">
        <v>55719</v>
      </c>
      <c r="F21" s="523"/>
      <c r="G21" s="312">
        <v>1</v>
      </c>
      <c r="H21" s="553"/>
      <c r="I21" s="626">
        <f>+Table116[[#This Row],[Quantity]]*Table116[[#This Row],[Unit Price]]</f>
        <v>0</v>
      </c>
    </row>
    <row r="22" spans="1:9" x14ac:dyDescent="0.25">
      <c r="A22" s="320" t="s">
        <v>1597</v>
      </c>
      <c r="B22" s="312" t="s">
        <v>793</v>
      </c>
      <c r="C22" s="430"/>
      <c r="E22" s="312">
        <v>55719</v>
      </c>
      <c r="F22" s="523"/>
      <c r="G22" s="312">
        <v>1</v>
      </c>
      <c r="H22" s="553"/>
      <c r="I22" s="626">
        <f>+Table116[[#This Row],[Quantity]]*Table116[[#This Row],[Unit Price]]</f>
        <v>0</v>
      </c>
    </row>
    <row r="23" spans="1:9" x14ac:dyDescent="0.25">
      <c r="A23" s="320" t="s">
        <v>68</v>
      </c>
      <c r="B23" s="312" t="s">
        <v>832</v>
      </c>
      <c r="C23" s="430"/>
      <c r="E23" s="312">
        <v>55719</v>
      </c>
      <c r="F23" s="523"/>
      <c r="G23" s="312">
        <v>1</v>
      </c>
      <c r="H23" s="553"/>
      <c r="I23" s="626">
        <f>+Table116[[#This Row],[Quantity]]*Table116[[#This Row],[Unit Price]]</f>
        <v>0</v>
      </c>
    </row>
    <row r="24" spans="1:9" x14ac:dyDescent="0.25">
      <c r="A24" s="320" t="s">
        <v>105</v>
      </c>
      <c r="B24" s="312" t="s">
        <v>2118</v>
      </c>
      <c r="C24" s="430"/>
      <c r="E24" s="312" t="s">
        <v>1975</v>
      </c>
      <c r="F24" s="523"/>
      <c r="G24" s="312">
        <v>3</v>
      </c>
      <c r="H24" s="553"/>
      <c r="I24" s="626">
        <f>+Table116[[#This Row],[Quantity]]*Table116[[#This Row],[Unit Price]]</f>
        <v>0</v>
      </c>
    </row>
    <row r="25" spans="1:9" x14ac:dyDescent="0.25">
      <c r="A25" s="320" t="s">
        <v>1085</v>
      </c>
      <c r="B25" s="312" t="s">
        <v>92</v>
      </c>
      <c r="C25" s="430"/>
      <c r="E25" s="312">
        <v>55719</v>
      </c>
      <c r="F25" s="523"/>
      <c r="G25" s="312">
        <v>1</v>
      </c>
      <c r="H25" s="553"/>
      <c r="I25" s="626">
        <f>+Table116[[#This Row],[Quantity]]*Table116[[#This Row],[Unit Price]]</f>
        <v>0</v>
      </c>
    </row>
    <row r="26" spans="1:9" x14ac:dyDescent="0.25">
      <c r="A26" s="320" t="s">
        <v>4</v>
      </c>
      <c r="B26" s="312" t="s">
        <v>90</v>
      </c>
      <c r="C26" s="430"/>
      <c r="E26" s="312">
        <v>55719</v>
      </c>
      <c r="F26" s="523"/>
      <c r="G26" s="312">
        <v>1</v>
      </c>
      <c r="H26" s="553"/>
      <c r="I26" s="626">
        <f>+Table116[[#This Row],[Quantity]]*Table116[[#This Row],[Unit Price]]</f>
        <v>0</v>
      </c>
    </row>
    <row r="27" spans="1:9" x14ac:dyDescent="0.25">
      <c r="A27" s="320" t="s">
        <v>3211</v>
      </c>
      <c r="B27" s="312" t="s">
        <v>3123</v>
      </c>
      <c r="C27" s="430"/>
      <c r="E27" s="312">
        <v>55719</v>
      </c>
      <c r="F27" s="523"/>
      <c r="G27" s="312">
        <v>1</v>
      </c>
      <c r="H27" s="553"/>
      <c r="I27" s="626">
        <f>+Table116[[#This Row],[Quantity]]*Table116[[#This Row],[Unit Price]]</f>
        <v>0</v>
      </c>
    </row>
    <row r="28" spans="1:9" x14ac:dyDescent="0.25">
      <c r="A28" s="320" t="s">
        <v>3213</v>
      </c>
      <c r="B28" s="312" t="s">
        <v>3214</v>
      </c>
      <c r="C28" s="430"/>
      <c r="E28" s="312">
        <v>55719</v>
      </c>
      <c r="F28" s="523"/>
      <c r="G28" s="312">
        <v>1</v>
      </c>
      <c r="H28" s="553"/>
      <c r="I28" s="626">
        <f>+Table116[[#This Row],[Quantity]]*Table116[[#This Row],[Unit Price]]</f>
        <v>0</v>
      </c>
    </row>
    <row r="29" spans="1:9" x14ac:dyDescent="0.25">
      <c r="A29" s="320" t="s">
        <v>1344</v>
      </c>
      <c r="B29" s="312" t="s">
        <v>435</v>
      </c>
      <c r="C29" s="430"/>
      <c r="E29" s="312">
        <v>55719</v>
      </c>
      <c r="F29" s="523"/>
      <c r="G29" s="312">
        <v>1</v>
      </c>
      <c r="H29" s="553"/>
      <c r="I29" s="626">
        <f>+Table116[[#This Row],[Quantity]]*Table116[[#This Row],[Unit Price]]</f>
        <v>0</v>
      </c>
    </row>
    <row r="30" spans="1:9" x14ac:dyDescent="0.25">
      <c r="A30" s="320" t="s">
        <v>1169</v>
      </c>
      <c r="B30" s="312" t="s">
        <v>436</v>
      </c>
      <c r="C30" s="430"/>
      <c r="E30" s="312">
        <v>55719</v>
      </c>
      <c r="F30" s="523"/>
      <c r="G30" s="312">
        <v>1</v>
      </c>
      <c r="H30" s="553"/>
      <c r="I30" s="626">
        <f>+Table116[[#This Row],[Quantity]]*Table116[[#This Row],[Unit Price]]</f>
        <v>0</v>
      </c>
    </row>
    <row r="31" spans="1:9" x14ac:dyDescent="0.25">
      <c r="A31" s="320" t="s">
        <v>1345</v>
      </c>
      <c r="B31" s="312" t="s">
        <v>79</v>
      </c>
      <c r="C31" s="430"/>
      <c r="E31" s="312">
        <v>55719</v>
      </c>
      <c r="F31" s="523"/>
      <c r="G31" s="312">
        <v>1</v>
      </c>
      <c r="H31" s="553"/>
      <c r="I31" s="626">
        <f>+Table116[[#This Row],[Quantity]]*Table116[[#This Row],[Unit Price]]</f>
        <v>0</v>
      </c>
    </row>
    <row r="32" spans="1:9" x14ac:dyDescent="0.25">
      <c r="A32" s="320" t="s">
        <v>1234</v>
      </c>
      <c r="B32" s="312" t="s">
        <v>73</v>
      </c>
      <c r="C32" s="430"/>
      <c r="E32" s="312">
        <v>55719</v>
      </c>
      <c r="F32" s="523"/>
      <c r="G32" s="312">
        <v>1</v>
      </c>
      <c r="H32" s="553"/>
      <c r="I32" s="626">
        <f>+Table116[[#This Row],[Quantity]]*Table116[[#This Row],[Unit Price]]</f>
        <v>0</v>
      </c>
    </row>
    <row r="33" spans="1:9" x14ac:dyDescent="0.25">
      <c r="A33" s="320" t="s">
        <v>3207</v>
      </c>
      <c r="B33" s="312" t="s">
        <v>3208</v>
      </c>
      <c r="C33" s="430"/>
      <c r="E33" s="312">
        <v>55719</v>
      </c>
      <c r="F33" s="523"/>
      <c r="G33" s="312">
        <v>1</v>
      </c>
      <c r="H33" s="553"/>
      <c r="I33" s="626">
        <f>+Table116[[#This Row],[Quantity]]*Table116[[#This Row],[Unit Price]]</f>
        <v>0</v>
      </c>
    </row>
    <row r="34" spans="1:9" x14ac:dyDescent="0.25">
      <c r="A34" s="320" t="s">
        <v>10</v>
      </c>
      <c r="B34" s="312" t="s">
        <v>469</v>
      </c>
      <c r="C34" s="430"/>
      <c r="E34" s="312">
        <v>55719</v>
      </c>
      <c r="F34" s="523"/>
      <c r="G34" s="312">
        <v>1</v>
      </c>
      <c r="H34" s="553"/>
      <c r="I34" s="626">
        <f>+Table116[[#This Row],[Quantity]]*Table116[[#This Row],[Unit Price]]</f>
        <v>0</v>
      </c>
    </row>
    <row r="35" spans="1:9" x14ac:dyDescent="0.25">
      <c r="A35" s="627"/>
      <c r="B35" s="595"/>
      <c r="C35" s="628"/>
      <c r="D35" s="629"/>
      <c r="E35" s="595"/>
      <c r="F35" s="595"/>
      <c r="G35" s="595"/>
      <c r="H35" s="630"/>
      <c r="I35" s="631">
        <f>SUM(I2:I34)</f>
        <v>0</v>
      </c>
    </row>
    <row r="36" spans="1:9" x14ac:dyDescent="0.25">
      <c r="A36" s="317"/>
      <c r="B36" s="318"/>
      <c r="C36" s="318"/>
      <c r="D36" s="318"/>
      <c r="E36" s="318"/>
      <c r="F36" s="318"/>
      <c r="G36" s="318"/>
      <c r="H36" s="317"/>
    </row>
    <row r="37" spans="1:9" ht="18" x14ac:dyDescent="0.25">
      <c r="A37" s="422" t="s">
        <v>3205</v>
      </c>
      <c r="B37" s="425"/>
      <c r="C37" s="309"/>
      <c r="D37" s="309"/>
      <c r="E37" s="309"/>
      <c r="F37" s="309"/>
      <c r="G37" s="309"/>
      <c r="H37" s="310"/>
    </row>
    <row r="38" spans="1:9" s="308" customFormat="1" ht="18" x14ac:dyDescent="0.25">
      <c r="A38" s="422" t="s">
        <v>3206</v>
      </c>
      <c r="B38" s="425"/>
      <c r="C38" s="309"/>
      <c r="D38" s="309"/>
      <c r="E38" s="309"/>
      <c r="F38" s="309"/>
      <c r="G38" s="309"/>
      <c r="H38" s="310"/>
    </row>
    <row r="39" spans="1:9" s="308" customFormat="1" ht="18" x14ac:dyDescent="0.25">
      <c r="A39" s="449" t="s">
        <v>3344</v>
      </c>
      <c r="B39" s="424"/>
      <c r="C39" s="319"/>
      <c r="D39" s="319"/>
      <c r="E39" s="319"/>
      <c r="F39" s="319"/>
      <c r="G39" s="311"/>
      <c r="H39" s="311"/>
    </row>
    <row r="40" spans="1:9" ht="18" x14ac:dyDescent="0.25">
      <c r="A40" s="449" t="s">
        <v>3367</v>
      </c>
      <c r="B40" s="608">
        <f>+Table116[[#Totals],[Extended price]]</f>
        <v>0</v>
      </c>
    </row>
  </sheetData>
  <printOptions gridLines="1"/>
  <pageMargins left="0.5" right="0.5" top="0.5" bottom="0.5" header="0.3" footer="0.3"/>
  <pageSetup scale="85" orientation="landscape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43"/>
  <sheetViews>
    <sheetView workbookViewId="0">
      <pane ySplit="1" topLeftCell="A112" activePane="bottomLeft" state="frozen"/>
      <selection activeCell="C26" sqref="C26"/>
      <selection pane="bottomLeft" activeCell="G2" sqref="G2:G137"/>
    </sheetView>
  </sheetViews>
  <sheetFormatPr defaultColWidth="9.140625" defaultRowHeight="18" x14ac:dyDescent="0.25"/>
  <cols>
    <col min="1" max="1" width="63.85546875" style="4" bestFit="1" customWidth="1"/>
    <col min="2" max="2" width="15.85546875" style="3" bestFit="1" customWidth="1"/>
    <col min="3" max="3" width="20.42578125" style="309" bestFit="1" customWidth="1"/>
    <col min="4" max="4" width="20.140625" style="309" bestFit="1" customWidth="1"/>
    <col min="5" max="5" width="14" style="3" customWidth="1"/>
    <col min="6" max="6" width="15.5703125" style="309" bestFit="1" customWidth="1"/>
    <col min="7" max="7" width="11.5703125" style="3" customWidth="1"/>
    <col min="8" max="8" width="11.42578125" style="531" bestFit="1" customWidth="1"/>
    <col min="9" max="9" width="16.85546875" style="541" bestFit="1" customWidth="1"/>
    <col min="10" max="10" width="22.140625" style="4" bestFit="1" customWidth="1"/>
    <col min="11" max="16384" width="9.140625" style="4"/>
  </cols>
  <sheetData>
    <row r="1" spans="1:9" x14ac:dyDescent="0.25">
      <c r="A1" s="5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54" t="s">
        <v>412</v>
      </c>
      <c r="H1" s="528" t="s">
        <v>3368</v>
      </c>
      <c r="I1" s="539" t="s">
        <v>3369</v>
      </c>
    </row>
    <row r="2" spans="1:9" x14ac:dyDescent="0.25">
      <c r="A2" s="53" t="s">
        <v>1090</v>
      </c>
      <c r="B2" s="114">
        <v>56707</v>
      </c>
      <c r="C2" s="430"/>
      <c r="D2" s="267"/>
      <c r="E2" s="114">
        <v>25795</v>
      </c>
      <c r="F2" s="485"/>
      <c r="G2" s="140">
        <v>1</v>
      </c>
      <c r="H2" s="529"/>
      <c r="I2" s="635">
        <f>+G2*H2</f>
        <v>0</v>
      </c>
    </row>
    <row r="3" spans="1:9" x14ac:dyDescent="0.25">
      <c r="A3" s="53" t="s">
        <v>1071</v>
      </c>
      <c r="B3" s="114">
        <v>80038</v>
      </c>
      <c r="C3" s="430"/>
      <c r="D3" s="267"/>
      <c r="E3" s="114">
        <v>25795</v>
      </c>
      <c r="F3" s="485"/>
      <c r="G3" s="140">
        <v>1</v>
      </c>
      <c r="H3" s="529"/>
      <c r="I3" s="635">
        <f t="shared" ref="I3:I66" si="0">+G3*H3</f>
        <v>0</v>
      </c>
    </row>
    <row r="4" spans="1:9" x14ac:dyDescent="0.25">
      <c r="A4" s="53" t="s">
        <v>1072</v>
      </c>
      <c r="B4" s="114">
        <v>80039</v>
      </c>
      <c r="C4" s="430"/>
      <c r="D4" s="267"/>
      <c r="E4" s="114">
        <v>25795</v>
      </c>
      <c r="F4" s="485"/>
      <c r="G4" s="140">
        <v>1</v>
      </c>
      <c r="H4" s="632"/>
      <c r="I4" s="635">
        <f t="shared" si="0"/>
        <v>0</v>
      </c>
    </row>
    <row r="5" spans="1:9" x14ac:dyDescent="0.25">
      <c r="A5" s="53" t="s">
        <v>1073</v>
      </c>
      <c r="B5" s="114">
        <v>80040</v>
      </c>
      <c r="C5" s="430"/>
      <c r="D5" s="267"/>
      <c r="E5" s="114">
        <v>25795</v>
      </c>
      <c r="F5" s="485"/>
      <c r="G5" s="140">
        <v>1</v>
      </c>
      <c r="H5" s="633"/>
      <c r="I5" s="635">
        <f t="shared" si="0"/>
        <v>0</v>
      </c>
    </row>
    <row r="6" spans="1:9" x14ac:dyDescent="0.25">
      <c r="A6" s="53" t="s">
        <v>1074</v>
      </c>
      <c r="B6" s="114">
        <v>80041</v>
      </c>
      <c r="C6" s="430"/>
      <c r="D6" s="267"/>
      <c r="E6" s="114">
        <v>25795</v>
      </c>
      <c r="F6" s="485"/>
      <c r="G6" s="140">
        <v>1</v>
      </c>
      <c r="H6" s="633"/>
      <c r="I6" s="635">
        <f t="shared" si="0"/>
        <v>0</v>
      </c>
    </row>
    <row r="7" spans="1:9" x14ac:dyDescent="0.25">
      <c r="A7" s="53" t="s">
        <v>1075</v>
      </c>
      <c r="B7" s="114">
        <v>80042</v>
      </c>
      <c r="C7" s="430"/>
      <c r="D7" s="267"/>
      <c r="E7" s="114">
        <v>25795</v>
      </c>
      <c r="F7" s="485"/>
      <c r="G7" s="140">
        <v>1</v>
      </c>
      <c r="H7" s="632"/>
      <c r="I7" s="635">
        <f t="shared" si="0"/>
        <v>0</v>
      </c>
    </row>
    <row r="8" spans="1:9" s="162" customFormat="1" ht="15" x14ac:dyDescent="0.2">
      <c r="A8" s="53" t="s">
        <v>1076</v>
      </c>
      <c r="B8" s="114">
        <v>80043</v>
      </c>
      <c r="C8" s="430"/>
      <c r="D8" s="267"/>
      <c r="E8" s="114">
        <v>25795</v>
      </c>
      <c r="F8" s="485"/>
      <c r="G8" s="140">
        <v>1</v>
      </c>
      <c r="H8" s="565"/>
      <c r="I8" s="635">
        <f t="shared" si="0"/>
        <v>0</v>
      </c>
    </row>
    <row r="9" spans="1:9" x14ac:dyDescent="0.25">
      <c r="A9" s="53" t="s">
        <v>1124</v>
      </c>
      <c r="B9" s="114">
        <v>8130015</v>
      </c>
      <c r="C9" s="430"/>
      <c r="D9" s="267"/>
      <c r="E9" s="114" t="s">
        <v>1975</v>
      </c>
      <c r="F9" s="485"/>
      <c r="G9" s="140">
        <v>2</v>
      </c>
      <c r="H9" s="565"/>
      <c r="I9" s="635">
        <f t="shared" si="0"/>
        <v>0</v>
      </c>
    </row>
    <row r="10" spans="1:9" x14ac:dyDescent="0.25">
      <c r="A10" s="53" t="s">
        <v>1125</v>
      </c>
      <c r="B10" s="114">
        <v>8130020</v>
      </c>
      <c r="C10" s="430"/>
      <c r="D10" s="267"/>
      <c r="E10" s="114" t="s">
        <v>1975</v>
      </c>
      <c r="F10" s="485"/>
      <c r="G10" s="140">
        <v>2</v>
      </c>
      <c r="H10" s="565"/>
      <c r="I10" s="635">
        <f t="shared" si="0"/>
        <v>0</v>
      </c>
    </row>
    <row r="11" spans="1:9" x14ac:dyDescent="0.25">
      <c r="A11" s="53" t="s">
        <v>1127</v>
      </c>
      <c r="B11" s="114">
        <v>8130030</v>
      </c>
      <c r="C11" s="430"/>
      <c r="D11" s="267"/>
      <c r="E11" s="114" t="s">
        <v>1975</v>
      </c>
      <c r="F11" s="485"/>
      <c r="G11" s="140">
        <v>2</v>
      </c>
      <c r="H11" s="565"/>
      <c r="I11" s="635">
        <f t="shared" si="0"/>
        <v>0</v>
      </c>
    </row>
    <row r="12" spans="1:9" x14ac:dyDescent="0.25">
      <c r="A12" s="53" t="s">
        <v>1128</v>
      </c>
      <c r="B12" s="114">
        <v>8130040</v>
      </c>
      <c r="C12" s="430"/>
      <c r="D12" s="267"/>
      <c r="E12" s="114" t="s">
        <v>1975</v>
      </c>
      <c r="F12" s="485"/>
      <c r="G12" s="140">
        <v>1</v>
      </c>
      <c r="H12" s="565"/>
      <c r="I12" s="635">
        <f t="shared" si="0"/>
        <v>0</v>
      </c>
    </row>
    <row r="13" spans="1:9" x14ac:dyDescent="0.25">
      <c r="A13" s="53" t="s">
        <v>18</v>
      </c>
      <c r="B13" s="114" t="s">
        <v>3110</v>
      </c>
      <c r="C13" s="430"/>
      <c r="D13" s="267"/>
      <c r="E13" s="114" t="s">
        <v>1920</v>
      </c>
      <c r="F13" s="485"/>
      <c r="G13" s="140">
        <v>1</v>
      </c>
      <c r="H13" s="565"/>
      <c r="I13" s="635">
        <f t="shared" si="0"/>
        <v>0</v>
      </c>
    </row>
    <row r="14" spans="1:9" x14ac:dyDescent="0.25">
      <c r="A14" s="53" t="s">
        <v>1283</v>
      </c>
      <c r="B14" s="114" t="s">
        <v>1992</v>
      </c>
      <c r="C14" s="430"/>
      <c r="D14" s="267"/>
      <c r="E14" s="114">
        <v>57163</v>
      </c>
      <c r="F14" s="485"/>
      <c r="G14" s="140">
        <v>1</v>
      </c>
      <c r="H14" s="565"/>
      <c r="I14" s="635">
        <f t="shared" si="0"/>
        <v>0</v>
      </c>
    </row>
    <row r="15" spans="1:9" x14ac:dyDescent="0.25">
      <c r="A15" s="53" t="s">
        <v>459</v>
      </c>
      <c r="B15" s="114" t="s">
        <v>1823</v>
      </c>
      <c r="C15" s="430"/>
      <c r="D15" s="267"/>
      <c r="E15" s="114" t="s">
        <v>1920</v>
      </c>
      <c r="F15" s="485"/>
      <c r="G15" s="140">
        <v>1</v>
      </c>
      <c r="H15" s="565"/>
      <c r="I15" s="635">
        <f t="shared" si="0"/>
        <v>0</v>
      </c>
    </row>
    <row r="16" spans="1:9" x14ac:dyDescent="0.25">
      <c r="A16" s="53" t="s">
        <v>5</v>
      </c>
      <c r="B16" s="114" t="s">
        <v>466</v>
      </c>
      <c r="C16" s="430"/>
      <c r="D16" s="267"/>
      <c r="E16" s="114" t="s">
        <v>1920</v>
      </c>
      <c r="F16" s="485"/>
      <c r="G16" s="140">
        <v>1</v>
      </c>
      <c r="H16" s="565"/>
      <c r="I16" s="635">
        <f t="shared" si="0"/>
        <v>0</v>
      </c>
    </row>
    <row r="17" spans="1:9" x14ac:dyDescent="0.25">
      <c r="A17" s="53" t="s">
        <v>1056</v>
      </c>
      <c r="B17" s="114" t="s">
        <v>864</v>
      </c>
      <c r="C17" s="430"/>
      <c r="D17" s="267"/>
      <c r="E17" s="114" t="s">
        <v>1920</v>
      </c>
      <c r="F17" s="485"/>
      <c r="G17" s="140">
        <v>1</v>
      </c>
      <c r="H17" s="565"/>
      <c r="I17" s="635">
        <f t="shared" si="0"/>
        <v>0</v>
      </c>
    </row>
    <row r="18" spans="1:9" x14ac:dyDescent="0.25">
      <c r="A18" s="53" t="s">
        <v>1057</v>
      </c>
      <c r="B18" s="114" t="s">
        <v>505</v>
      </c>
      <c r="C18" s="430"/>
      <c r="D18" s="267"/>
      <c r="E18" s="114" t="s">
        <v>1920</v>
      </c>
      <c r="F18" s="485"/>
      <c r="G18" s="140">
        <v>1</v>
      </c>
      <c r="H18" s="565"/>
      <c r="I18" s="635">
        <f t="shared" si="0"/>
        <v>0</v>
      </c>
    </row>
    <row r="19" spans="1:9" x14ac:dyDescent="0.25">
      <c r="A19" s="53" t="s">
        <v>1047</v>
      </c>
      <c r="B19" s="114" t="s">
        <v>492</v>
      </c>
      <c r="C19" s="430"/>
      <c r="D19" s="267"/>
      <c r="E19" s="114" t="s">
        <v>1920</v>
      </c>
      <c r="F19" s="485"/>
      <c r="G19" s="140">
        <v>1</v>
      </c>
      <c r="H19" s="565"/>
      <c r="I19" s="635">
        <f t="shared" si="0"/>
        <v>0</v>
      </c>
    </row>
    <row r="20" spans="1:9" x14ac:dyDescent="0.25">
      <c r="A20" s="53" t="s">
        <v>1049</v>
      </c>
      <c r="B20" s="114" t="s">
        <v>493</v>
      </c>
      <c r="C20" s="430"/>
      <c r="D20" s="267"/>
      <c r="E20" s="114" t="s">
        <v>1920</v>
      </c>
      <c r="F20" s="485"/>
      <c r="G20" s="140">
        <v>1</v>
      </c>
      <c r="H20" s="565"/>
      <c r="I20" s="635">
        <f t="shared" si="0"/>
        <v>0</v>
      </c>
    </row>
    <row r="21" spans="1:9" x14ac:dyDescent="0.25">
      <c r="A21" s="53" t="s">
        <v>1048</v>
      </c>
      <c r="B21" s="114" t="s">
        <v>170</v>
      </c>
      <c r="C21" s="430"/>
      <c r="D21" s="267"/>
      <c r="E21" s="114" t="s">
        <v>1920</v>
      </c>
      <c r="F21" s="485"/>
      <c r="G21" s="140">
        <v>1</v>
      </c>
      <c r="H21" s="565"/>
      <c r="I21" s="635">
        <f t="shared" si="0"/>
        <v>0</v>
      </c>
    </row>
    <row r="22" spans="1:9" x14ac:dyDescent="0.25">
      <c r="A22" s="53" t="s">
        <v>1039</v>
      </c>
      <c r="B22" s="114" t="s">
        <v>243</v>
      </c>
      <c r="C22" s="430"/>
      <c r="D22" s="267"/>
      <c r="E22" s="114" t="s">
        <v>1920</v>
      </c>
      <c r="F22" s="485"/>
      <c r="G22" s="140">
        <v>1</v>
      </c>
      <c r="H22" s="633"/>
      <c r="I22" s="635">
        <f t="shared" si="0"/>
        <v>0</v>
      </c>
    </row>
    <row r="23" spans="1:9" x14ac:dyDescent="0.25">
      <c r="A23" s="53" t="s">
        <v>1050</v>
      </c>
      <c r="B23" s="114" t="s">
        <v>404</v>
      </c>
      <c r="C23" s="430"/>
      <c r="D23" s="267"/>
      <c r="E23" s="114" t="s">
        <v>1920</v>
      </c>
      <c r="F23" s="485"/>
      <c r="G23" s="140">
        <v>1</v>
      </c>
      <c r="H23" s="633"/>
      <c r="I23" s="635">
        <f t="shared" si="0"/>
        <v>0</v>
      </c>
    </row>
    <row r="24" spans="1:9" x14ac:dyDescent="0.25">
      <c r="A24" s="53" t="s">
        <v>1193</v>
      </c>
      <c r="B24" s="114" t="s">
        <v>316</v>
      </c>
      <c r="C24" s="430"/>
      <c r="D24" s="267"/>
      <c r="E24" s="114" t="s">
        <v>1920</v>
      </c>
      <c r="F24" s="485"/>
      <c r="G24" s="140">
        <v>1</v>
      </c>
      <c r="H24" s="633"/>
      <c r="I24" s="635">
        <f t="shared" si="0"/>
        <v>0</v>
      </c>
    </row>
    <row r="25" spans="1:9" x14ac:dyDescent="0.25">
      <c r="A25" s="53" t="s">
        <v>1194</v>
      </c>
      <c r="B25" s="114" t="s">
        <v>314</v>
      </c>
      <c r="C25" s="430"/>
      <c r="D25" s="267"/>
      <c r="E25" s="114" t="s">
        <v>1920</v>
      </c>
      <c r="F25" s="485"/>
      <c r="G25" s="140">
        <v>1</v>
      </c>
      <c r="H25" s="633"/>
      <c r="I25" s="635">
        <f t="shared" si="0"/>
        <v>0</v>
      </c>
    </row>
    <row r="26" spans="1:9" x14ac:dyDescent="0.25">
      <c r="A26" s="53" t="s">
        <v>1197</v>
      </c>
      <c r="B26" s="114" t="s">
        <v>80</v>
      </c>
      <c r="C26" s="430"/>
      <c r="D26" s="267"/>
      <c r="E26" s="114" t="s">
        <v>1920</v>
      </c>
      <c r="F26" s="485"/>
      <c r="G26" s="140">
        <v>1</v>
      </c>
      <c r="H26" s="633"/>
      <c r="I26" s="635">
        <f t="shared" si="0"/>
        <v>0</v>
      </c>
    </row>
    <row r="27" spans="1:9" x14ac:dyDescent="0.25">
      <c r="A27" s="53" t="s">
        <v>1051</v>
      </c>
      <c r="B27" s="114" t="s">
        <v>317</v>
      </c>
      <c r="C27" s="430"/>
      <c r="D27" s="267"/>
      <c r="E27" s="114" t="s">
        <v>1920</v>
      </c>
      <c r="F27" s="485"/>
      <c r="G27" s="140">
        <v>1</v>
      </c>
      <c r="H27" s="633"/>
      <c r="I27" s="635">
        <f t="shared" si="0"/>
        <v>0</v>
      </c>
    </row>
    <row r="28" spans="1:9" x14ac:dyDescent="0.25">
      <c r="A28" s="53" t="s">
        <v>3243</v>
      </c>
      <c r="B28" s="114" t="s">
        <v>82</v>
      </c>
      <c r="C28" s="430"/>
      <c r="D28" s="267"/>
      <c r="E28" s="114" t="s">
        <v>1920</v>
      </c>
      <c r="F28" s="485"/>
      <c r="G28" s="140">
        <v>1</v>
      </c>
      <c r="H28" s="633"/>
      <c r="I28" s="635">
        <f t="shared" si="0"/>
        <v>0</v>
      </c>
    </row>
    <row r="29" spans="1:9" x14ac:dyDescent="0.25">
      <c r="A29" s="53" t="s">
        <v>1052</v>
      </c>
      <c r="B29" s="114" t="s">
        <v>312</v>
      </c>
      <c r="C29" s="430"/>
      <c r="D29" s="267"/>
      <c r="E29" s="114" t="s">
        <v>1920</v>
      </c>
      <c r="F29" s="485"/>
      <c r="G29" s="140">
        <v>1</v>
      </c>
      <c r="H29" s="633"/>
      <c r="I29" s="635">
        <f t="shared" si="0"/>
        <v>0</v>
      </c>
    </row>
    <row r="30" spans="1:9" x14ac:dyDescent="0.25">
      <c r="A30" s="53" t="s">
        <v>3244</v>
      </c>
      <c r="B30" s="114" t="s">
        <v>308</v>
      </c>
      <c r="C30" s="430"/>
      <c r="D30" s="267"/>
      <c r="E30" s="114" t="s">
        <v>1920</v>
      </c>
      <c r="F30" s="485"/>
      <c r="G30" s="140">
        <v>1</v>
      </c>
      <c r="H30" s="633"/>
      <c r="I30" s="635">
        <f t="shared" si="0"/>
        <v>0</v>
      </c>
    </row>
    <row r="31" spans="1:9" x14ac:dyDescent="0.25">
      <c r="A31" s="53" t="s">
        <v>16</v>
      </c>
      <c r="B31" s="114" t="s">
        <v>476</v>
      </c>
      <c r="C31" s="430"/>
      <c r="D31" s="267"/>
      <c r="E31" s="114" t="s">
        <v>1920</v>
      </c>
      <c r="F31" s="485"/>
      <c r="G31" s="140">
        <v>2</v>
      </c>
      <c r="H31" s="633"/>
      <c r="I31" s="635">
        <f t="shared" si="0"/>
        <v>0</v>
      </c>
    </row>
    <row r="32" spans="1:9" x14ac:dyDescent="0.25">
      <c r="A32" s="53" t="s">
        <v>1192</v>
      </c>
      <c r="B32" s="114" t="s">
        <v>94</v>
      </c>
      <c r="C32" s="430"/>
      <c r="D32" s="267"/>
      <c r="E32" s="114" t="s">
        <v>1920</v>
      </c>
      <c r="F32" s="485"/>
      <c r="G32" s="140">
        <v>1</v>
      </c>
      <c r="H32" s="633"/>
      <c r="I32" s="635">
        <f t="shared" si="0"/>
        <v>0</v>
      </c>
    </row>
    <row r="33" spans="1:9" x14ac:dyDescent="0.25">
      <c r="A33" s="53" t="s">
        <v>1260</v>
      </c>
      <c r="B33" s="114" t="s">
        <v>520</v>
      </c>
      <c r="C33" s="430"/>
      <c r="D33" s="267"/>
      <c r="E33" s="114" t="s">
        <v>1920</v>
      </c>
      <c r="F33" s="485"/>
      <c r="G33" s="140">
        <v>1</v>
      </c>
      <c r="H33" s="633"/>
      <c r="I33" s="635">
        <f t="shared" si="0"/>
        <v>0</v>
      </c>
    </row>
    <row r="34" spans="1:9" x14ac:dyDescent="0.25">
      <c r="A34" s="53" t="s">
        <v>1058</v>
      </c>
      <c r="B34" s="114" t="s">
        <v>747</v>
      </c>
      <c r="C34" s="430"/>
      <c r="D34" s="267"/>
      <c r="E34" s="114" t="s">
        <v>1920</v>
      </c>
      <c r="F34" s="485"/>
      <c r="G34" s="140">
        <v>2</v>
      </c>
      <c r="H34" s="633"/>
      <c r="I34" s="635">
        <f t="shared" si="0"/>
        <v>0</v>
      </c>
    </row>
    <row r="35" spans="1:9" x14ac:dyDescent="0.25">
      <c r="A35" s="53" t="s">
        <v>1059</v>
      </c>
      <c r="B35" s="114" t="s">
        <v>607</v>
      </c>
      <c r="C35" s="430"/>
      <c r="D35" s="267"/>
      <c r="E35" s="114" t="s">
        <v>1920</v>
      </c>
      <c r="F35" s="485"/>
      <c r="G35" s="140">
        <v>1</v>
      </c>
      <c r="H35" s="633"/>
      <c r="I35" s="635">
        <f t="shared" si="0"/>
        <v>0</v>
      </c>
    </row>
    <row r="36" spans="1:9" x14ac:dyDescent="0.25">
      <c r="A36" s="53" t="s">
        <v>1038</v>
      </c>
      <c r="B36" s="114" t="s">
        <v>280</v>
      </c>
      <c r="C36" s="430"/>
      <c r="D36" s="267"/>
      <c r="E36" s="114" t="s">
        <v>1920</v>
      </c>
      <c r="F36" s="485"/>
      <c r="G36" s="140">
        <v>1</v>
      </c>
      <c r="H36" s="633"/>
      <c r="I36" s="635">
        <f t="shared" si="0"/>
        <v>0</v>
      </c>
    </row>
    <row r="37" spans="1:9" x14ac:dyDescent="0.25">
      <c r="A37" s="53" t="s">
        <v>35</v>
      </c>
      <c r="B37" s="114" t="s">
        <v>1827</v>
      </c>
      <c r="C37" s="430"/>
      <c r="D37" s="267"/>
      <c r="E37" s="114" t="s">
        <v>1920</v>
      </c>
      <c r="F37" s="485"/>
      <c r="G37" s="140">
        <v>1</v>
      </c>
      <c r="H37" s="633"/>
      <c r="I37" s="635">
        <f t="shared" si="0"/>
        <v>0</v>
      </c>
    </row>
    <row r="38" spans="1:9" x14ac:dyDescent="0.25">
      <c r="A38" s="53" t="s">
        <v>36</v>
      </c>
      <c r="B38" s="114" t="s">
        <v>1828</v>
      </c>
      <c r="C38" s="430"/>
      <c r="D38" s="267"/>
      <c r="E38" s="114" t="s">
        <v>1920</v>
      </c>
      <c r="F38" s="485"/>
      <c r="G38" s="140">
        <v>1</v>
      </c>
      <c r="H38" s="633"/>
      <c r="I38" s="635">
        <f t="shared" si="0"/>
        <v>0</v>
      </c>
    </row>
    <row r="39" spans="1:9" x14ac:dyDescent="0.25">
      <c r="A39" s="53" t="s">
        <v>34</v>
      </c>
      <c r="B39" s="114" t="s">
        <v>1826</v>
      </c>
      <c r="C39" s="430"/>
      <c r="D39" s="267"/>
      <c r="E39" s="114" t="s">
        <v>1920</v>
      </c>
      <c r="F39" s="485"/>
      <c r="G39" s="140">
        <v>1</v>
      </c>
      <c r="H39" s="633"/>
      <c r="I39" s="635">
        <f t="shared" si="0"/>
        <v>0</v>
      </c>
    </row>
    <row r="40" spans="1:9" x14ac:dyDescent="0.25">
      <c r="A40" s="53" t="s">
        <v>1043</v>
      </c>
      <c r="B40" s="114" t="s">
        <v>2</v>
      </c>
      <c r="C40" s="430"/>
      <c r="D40" s="267"/>
      <c r="E40" s="114" t="s">
        <v>1920</v>
      </c>
      <c r="F40" s="485"/>
      <c r="G40" s="140">
        <v>1</v>
      </c>
      <c r="H40" s="633"/>
      <c r="I40" s="635">
        <f t="shared" si="0"/>
        <v>0</v>
      </c>
    </row>
    <row r="41" spans="1:9" x14ac:dyDescent="0.25">
      <c r="A41" s="53" t="s">
        <v>1084</v>
      </c>
      <c r="B41" s="114" t="s">
        <v>21</v>
      </c>
      <c r="C41" s="430"/>
      <c r="D41" s="267"/>
      <c r="E41" s="114" t="s">
        <v>1920</v>
      </c>
      <c r="F41" s="485"/>
      <c r="G41" s="140">
        <v>1</v>
      </c>
      <c r="H41" s="633"/>
      <c r="I41" s="635">
        <f t="shared" si="0"/>
        <v>0</v>
      </c>
    </row>
    <row r="42" spans="1:9" x14ac:dyDescent="0.25">
      <c r="A42" s="53" t="s">
        <v>39</v>
      </c>
      <c r="B42" s="114" t="s">
        <v>245</v>
      </c>
      <c r="C42" s="430"/>
      <c r="D42" s="267"/>
      <c r="E42" s="114" t="s">
        <v>1920</v>
      </c>
      <c r="F42" s="485"/>
      <c r="G42" s="140">
        <v>1</v>
      </c>
      <c r="H42" s="529"/>
      <c r="I42" s="635">
        <f t="shared" si="0"/>
        <v>0</v>
      </c>
    </row>
    <row r="43" spans="1:9" x14ac:dyDescent="0.25">
      <c r="A43" s="53" t="s">
        <v>1037</v>
      </c>
      <c r="B43" s="114" t="s">
        <v>470</v>
      </c>
      <c r="C43" s="430"/>
      <c r="D43" s="267"/>
      <c r="E43" s="114" t="s">
        <v>1920</v>
      </c>
      <c r="F43" s="485"/>
      <c r="G43" s="140">
        <v>1</v>
      </c>
      <c r="H43" s="633"/>
      <c r="I43" s="635">
        <f t="shared" si="0"/>
        <v>0</v>
      </c>
    </row>
    <row r="44" spans="1:9" x14ac:dyDescent="0.25">
      <c r="A44" s="53" t="s">
        <v>211</v>
      </c>
      <c r="B44" s="114" t="s">
        <v>212</v>
      </c>
      <c r="C44" s="430"/>
      <c r="D44" s="267"/>
      <c r="E44" s="114" t="s">
        <v>1920</v>
      </c>
      <c r="F44" s="485"/>
      <c r="G44" s="140">
        <v>1</v>
      </c>
      <c r="H44" s="529"/>
      <c r="I44" s="635">
        <f t="shared" si="0"/>
        <v>0</v>
      </c>
    </row>
    <row r="45" spans="1:9" x14ac:dyDescent="0.25">
      <c r="A45" s="53" t="s">
        <v>209</v>
      </c>
      <c r="B45" s="249" t="s">
        <v>210</v>
      </c>
      <c r="C45" s="430"/>
      <c r="D45" s="267"/>
      <c r="E45" s="114" t="s">
        <v>1920</v>
      </c>
      <c r="F45" s="485"/>
      <c r="G45" s="140">
        <v>1</v>
      </c>
      <c r="H45" s="633"/>
      <c r="I45" s="635">
        <f t="shared" si="0"/>
        <v>0</v>
      </c>
    </row>
    <row r="46" spans="1:9" x14ac:dyDescent="0.25">
      <c r="A46" s="53" t="s">
        <v>11</v>
      </c>
      <c r="B46" s="249" t="s">
        <v>278</v>
      </c>
      <c r="C46" s="430"/>
      <c r="D46" s="267"/>
      <c r="E46" s="114" t="s">
        <v>1920</v>
      </c>
      <c r="F46" s="485"/>
      <c r="G46" s="140">
        <v>1</v>
      </c>
      <c r="H46" s="633"/>
      <c r="I46" s="635">
        <f t="shared" si="0"/>
        <v>0</v>
      </c>
    </row>
    <row r="47" spans="1:9" x14ac:dyDescent="0.25">
      <c r="A47" s="53" t="s">
        <v>12</v>
      </c>
      <c r="B47" s="114" t="s">
        <v>171</v>
      </c>
      <c r="C47" s="430"/>
      <c r="D47" s="267"/>
      <c r="E47" s="114" t="s">
        <v>1920</v>
      </c>
      <c r="F47" s="485"/>
      <c r="G47" s="140">
        <v>1</v>
      </c>
      <c r="H47" s="633"/>
      <c r="I47" s="635">
        <f t="shared" si="0"/>
        <v>0</v>
      </c>
    </row>
    <row r="48" spans="1:9" x14ac:dyDescent="0.25">
      <c r="A48" s="53" t="s">
        <v>17</v>
      </c>
      <c r="B48" s="114" t="s">
        <v>477</v>
      </c>
      <c r="C48" s="430"/>
      <c r="D48" s="267"/>
      <c r="E48" s="114" t="s">
        <v>1920</v>
      </c>
      <c r="F48" s="485"/>
      <c r="G48" s="140">
        <v>1</v>
      </c>
      <c r="H48" s="633"/>
      <c r="I48" s="635">
        <f t="shared" si="0"/>
        <v>0</v>
      </c>
    </row>
    <row r="49" spans="1:9" x14ac:dyDescent="0.25">
      <c r="A49" s="53" t="s">
        <v>6</v>
      </c>
      <c r="B49" s="114" t="s">
        <v>91</v>
      </c>
      <c r="C49" s="430"/>
      <c r="D49" s="267"/>
      <c r="E49" s="114" t="s">
        <v>1920</v>
      </c>
      <c r="F49" s="485"/>
      <c r="G49" s="140">
        <v>2</v>
      </c>
      <c r="H49" s="633"/>
      <c r="I49" s="635">
        <f t="shared" si="0"/>
        <v>0</v>
      </c>
    </row>
    <row r="50" spans="1:9" x14ac:dyDescent="0.25">
      <c r="A50" s="53" t="s">
        <v>202</v>
      </c>
      <c r="B50" s="114" t="s">
        <v>260</v>
      </c>
      <c r="C50" s="430"/>
      <c r="D50" s="267"/>
      <c r="E50" s="114" t="s">
        <v>1920</v>
      </c>
      <c r="F50" s="485"/>
      <c r="G50" s="140">
        <v>1</v>
      </c>
      <c r="H50" s="633"/>
      <c r="I50" s="635">
        <f t="shared" si="0"/>
        <v>0</v>
      </c>
    </row>
    <row r="51" spans="1:9" x14ac:dyDescent="0.25">
      <c r="A51" s="53" t="s">
        <v>44</v>
      </c>
      <c r="B51" s="114" t="s">
        <v>896</v>
      </c>
      <c r="C51" s="430"/>
      <c r="D51" s="267"/>
      <c r="E51" s="114" t="s">
        <v>1920</v>
      </c>
      <c r="F51" s="485"/>
      <c r="G51" s="140">
        <v>1</v>
      </c>
      <c r="H51" s="633"/>
      <c r="I51" s="635">
        <f t="shared" si="0"/>
        <v>0</v>
      </c>
    </row>
    <row r="52" spans="1:9" x14ac:dyDescent="0.25">
      <c r="A52" s="53" t="s">
        <v>3</v>
      </c>
      <c r="B52" s="114" t="s">
        <v>465</v>
      </c>
      <c r="C52" s="430"/>
      <c r="D52" s="267"/>
      <c r="E52" s="114" t="s">
        <v>1920</v>
      </c>
      <c r="F52" s="485"/>
      <c r="G52" s="140">
        <v>1</v>
      </c>
      <c r="H52" s="633"/>
      <c r="I52" s="635">
        <f t="shared" si="0"/>
        <v>0</v>
      </c>
    </row>
    <row r="53" spans="1:9" x14ac:dyDescent="0.25">
      <c r="A53" s="53" t="s">
        <v>1209</v>
      </c>
      <c r="B53" s="114" t="s">
        <v>473</v>
      </c>
      <c r="C53" s="430"/>
      <c r="D53" s="267"/>
      <c r="E53" s="114" t="s">
        <v>1920</v>
      </c>
      <c r="F53" s="485"/>
      <c r="G53" s="140">
        <v>1</v>
      </c>
      <c r="H53" s="633"/>
      <c r="I53" s="635">
        <f t="shared" si="0"/>
        <v>0</v>
      </c>
    </row>
    <row r="54" spans="1:9" x14ac:dyDescent="0.25">
      <c r="A54" s="53" t="s">
        <v>180</v>
      </c>
      <c r="B54" s="114" t="s">
        <v>479</v>
      </c>
      <c r="C54" s="430"/>
      <c r="D54" s="267"/>
      <c r="E54" s="114" t="s">
        <v>1920</v>
      </c>
      <c r="F54" s="485"/>
      <c r="G54" s="140">
        <v>1</v>
      </c>
      <c r="H54" s="633"/>
      <c r="I54" s="635">
        <f t="shared" si="0"/>
        <v>0</v>
      </c>
    </row>
    <row r="55" spans="1:9" x14ac:dyDescent="0.25">
      <c r="A55" s="53" t="s">
        <v>1616</v>
      </c>
      <c r="B55" s="114" t="s">
        <v>3124</v>
      </c>
      <c r="C55" s="430"/>
      <c r="D55" s="267"/>
      <c r="E55" s="114"/>
      <c r="F55" s="485"/>
      <c r="G55" s="140">
        <v>1</v>
      </c>
      <c r="H55" s="633"/>
      <c r="I55" s="635">
        <f t="shared" si="0"/>
        <v>0</v>
      </c>
    </row>
    <row r="56" spans="1:9" x14ac:dyDescent="0.25">
      <c r="A56" s="53" t="s">
        <v>1091</v>
      </c>
      <c r="B56" s="249" t="s">
        <v>2841</v>
      </c>
      <c r="C56" s="430"/>
      <c r="D56" s="267"/>
      <c r="E56" s="114" t="s">
        <v>1928</v>
      </c>
      <c r="F56" s="485"/>
      <c r="G56" s="140">
        <v>1</v>
      </c>
      <c r="H56" s="633"/>
      <c r="I56" s="635">
        <f t="shared" si="0"/>
        <v>0</v>
      </c>
    </row>
    <row r="57" spans="1:9" x14ac:dyDescent="0.25">
      <c r="A57" s="262" t="s">
        <v>3260</v>
      </c>
      <c r="B57" s="249" t="s">
        <v>480</v>
      </c>
      <c r="C57" s="430"/>
      <c r="D57" s="267"/>
      <c r="E57" s="114" t="s">
        <v>1920</v>
      </c>
      <c r="F57" s="485"/>
      <c r="G57" s="140">
        <v>1</v>
      </c>
      <c r="H57" s="633"/>
      <c r="I57" s="635">
        <f t="shared" si="0"/>
        <v>0</v>
      </c>
    </row>
    <row r="58" spans="1:9" x14ac:dyDescent="0.25">
      <c r="A58" s="262" t="s">
        <v>3257</v>
      </c>
      <c r="B58" s="114" t="s">
        <v>888</v>
      </c>
      <c r="C58" s="430"/>
      <c r="D58" s="267"/>
      <c r="E58" s="114" t="s">
        <v>1920</v>
      </c>
      <c r="F58" s="485"/>
      <c r="G58" s="140">
        <v>1</v>
      </c>
      <c r="H58" s="633"/>
      <c r="I58" s="635">
        <f t="shared" si="0"/>
        <v>0</v>
      </c>
    </row>
    <row r="59" spans="1:9" x14ac:dyDescent="0.25">
      <c r="A59" s="53" t="s">
        <v>66</v>
      </c>
      <c r="B59" s="114" t="s">
        <v>1836</v>
      </c>
      <c r="C59" s="430"/>
      <c r="D59" s="267"/>
      <c r="E59" s="114" t="s">
        <v>1947</v>
      </c>
      <c r="F59" s="485"/>
      <c r="G59" s="140">
        <v>1</v>
      </c>
      <c r="H59" s="633"/>
      <c r="I59" s="635">
        <f t="shared" si="0"/>
        <v>0</v>
      </c>
    </row>
    <row r="60" spans="1:9" x14ac:dyDescent="0.25">
      <c r="A60" s="53" t="s">
        <v>1219</v>
      </c>
      <c r="B60" s="114" t="s">
        <v>882</v>
      </c>
      <c r="C60" s="430"/>
      <c r="D60" s="267" t="s">
        <v>1882</v>
      </c>
      <c r="E60" s="114" t="s">
        <v>1928</v>
      </c>
      <c r="F60" s="485"/>
      <c r="G60" s="140">
        <v>1</v>
      </c>
      <c r="H60" s="633"/>
      <c r="I60" s="635">
        <f t="shared" si="0"/>
        <v>0</v>
      </c>
    </row>
    <row r="61" spans="1:9" x14ac:dyDescent="0.25">
      <c r="A61" s="53" t="s">
        <v>2231</v>
      </c>
      <c r="B61" s="114" t="s">
        <v>357</v>
      </c>
      <c r="C61" s="430"/>
      <c r="D61" s="267"/>
      <c r="E61" s="114">
        <v>55719</v>
      </c>
      <c r="F61" s="485"/>
      <c r="G61" s="140">
        <v>1</v>
      </c>
      <c r="H61" s="633"/>
      <c r="I61" s="635">
        <f t="shared" si="0"/>
        <v>0</v>
      </c>
    </row>
    <row r="62" spans="1:9" x14ac:dyDescent="0.25">
      <c r="A62" s="53" t="s">
        <v>1067</v>
      </c>
      <c r="B62" s="114" t="s">
        <v>497</v>
      </c>
      <c r="C62" s="430"/>
      <c r="D62" s="267"/>
      <c r="E62" s="114" t="s">
        <v>1920</v>
      </c>
      <c r="F62" s="485"/>
      <c r="G62" s="140">
        <v>1</v>
      </c>
      <c r="H62" s="633"/>
      <c r="I62" s="635">
        <f t="shared" si="0"/>
        <v>0</v>
      </c>
    </row>
    <row r="63" spans="1:9" x14ac:dyDescent="0.25">
      <c r="A63" s="53" t="s">
        <v>1054</v>
      </c>
      <c r="B63" s="114" t="s">
        <v>326</v>
      </c>
      <c r="C63" s="430"/>
      <c r="D63" s="267"/>
      <c r="E63" s="114" t="s">
        <v>1920</v>
      </c>
      <c r="F63" s="485"/>
      <c r="G63" s="140">
        <v>1</v>
      </c>
      <c r="H63" s="633"/>
      <c r="I63" s="635">
        <f t="shared" si="0"/>
        <v>0</v>
      </c>
    </row>
    <row r="64" spans="1:9" x14ac:dyDescent="0.25">
      <c r="A64" s="53" t="s">
        <v>2230</v>
      </c>
      <c r="B64" s="114" t="s">
        <v>325</v>
      </c>
      <c r="C64" s="430"/>
      <c r="D64" s="267"/>
      <c r="E64" s="114" t="s">
        <v>1920</v>
      </c>
      <c r="F64" s="485"/>
      <c r="G64" s="140">
        <v>1</v>
      </c>
      <c r="H64" s="633"/>
      <c r="I64" s="635">
        <f t="shared" si="0"/>
        <v>0</v>
      </c>
    </row>
    <row r="65" spans="1:9" x14ac:dyDescent="0.25">
      <c r="A65" s="53" t="s">
        <v>2879</v>
      </c>
      <c r="B65" s="114" t="s">
        <v>329</v>
      </c>
      <c r="C65" s="430"/>
      <c r="D65" s="267"/>
      <c r="E65" s="114" t="s">
        <v>1920</v>
      </c>
      <c r="F65" s="485"/>
      <c r="G65" s="140">
        <v>1</v>
      </c>
      <c r="H65" s="633"/>
      <c r="I65" s="635">
        <f t="shared" si="0"/>
        <v>0</v>
      </c>
    </row>
    <row r="66" spans="1:9" x14ac:dyDescent="0.25">
      <c r="A66" s="53" t="s">
        <v>2234</v>
      </c>
      <c r="B66" s="114" t="s">
        <v>119</v>
      </c>
      <c r="C66" s="430"/>
      <c r="D66" s="267"/>
      <c r="E66" s="114" t="s">
        <v>1920</v>
      </c>
      <c r="F66" s="485"/>
      <c r="G66" s="140">
        <v>1</v>
      </c>
      <c r="H66" s="633"/>
      <c r="I66" s="635">
        <f t="shared" si="0"/>
        <v>0</v>
      </c>
    </row>
    <row r="67" spans="1:9" x14ac:dyDescent="0.25">
      <c r="A67" s="53" t="s">
        <v>2897</v>
      </c>
      <c r="B67" s="114" t="s">
        <v>324</v>
      </c>
      <c r="C67" s="430"/>
      <c r="D67" s="267"/>
      <c r="E67" s="114" t="s">
        <v>1920</v>
      </c>
      <c r="F67" s="485"/>
      <c r="G67" s="140">
        <v>1</v>
      </c>
      <c r="H67" s="632"/>
      <c r="I67" s="635">
        <f t="shared" ref="I67:I130" si="1">+G67*H67</f>
        <v>0</v>
      </c>
    </row>
    <row r="68" spans="1:9" x14ac:dyDescent="0.25">
      <c r="A68" s="53" t="s">
        <v>1055</v>
      </c>
      <c r="B68" s="114" t="s">
        <v>347</v>
      </c>
      <c r="C68" s="430"/>
      <c r="D68" s="267"/>
      <c r="E68" s="114" t="s">
        <v>1920</v>
      </c>
      <c r="F68" s="485"/>
      <c r="G68" s="140">
        <v>1</v>
      </c>
      <c r="H68" s="632"/>
      <c r="I68" s="635">
        <f t="shared" si="1"/>
        <v>0</v>
      </c>
    </row>
    <row r="69" spans="1:9" x14ac:dyDescent="0.25">
      <c r="A69" s="53" t="s">
        <v>1285</v>
      </c>
      <c r="B69" s="114" t="s">
        <v>495</v>
      </c>
      <c r="C69" s="430"/>
      <c r="D69" s="267"/>
      <c r="E69" s="114" t="s">
        <v>1920</v>
      </c>
      <c r="F69" s="485"/>
      <c r="G69" s="140">
        <v>1</v>
      </c>
      <c r="H69" s="634"/>
      <c r="I69" s="635">
        <f t="shared" si="1"/>
        <v>0</v>
      </c>
    </row>
    <row r="70" spans="1:9" x14ac:dyDescent="0.25">
      <c r="A70" s="53" t="s">
        <v>14</v>
      </c>
      <c r="B70" s="114" t="s">
        <v>472</v>
      </c>
      <c r="C70" s="430"/>
      <c r="D70" s="267"/>
      <c r="E70" s="114" t="s">
        <v>1971</v>
      </c>
      <c r="F70" s="485"/>
      <c r="G70" s="140">
        <v>1</v>
      </c>
      <c r="H70" s="633"/>
      <c r="I70" s="635">
        <f t="shared" si="1"/>
        <v>0</v>
      </c>
    </row>
    <row r="71" spans="1:9" x14ac:dyDescent="0.25">
      <c r="A71" s="53" t="s">
        <v>1212</v>
      </c>
      <c r="B71" s="114" t="s">
        <v>19</v>
      </c>
      <c r="C71" s="430"/>
      <c r="D71" s="267"/>
      <c r="E71" s="114" t="s">
        <v>1920</v>
      </c>
      <c r="F71" s="485"/>
      <c r="G71" s="140">
        <v>1</v>
      </c>
      <c r="H71" s="633"/>
      <c r="I71" s="635">
        <f t="shared" si="1"/>
        <v>0</v>
      </c>
    </row>
    <row r="72" spans="1:9" x14ac:dyDescent="0.25">
      <c r="A72" s="53" t="s">
        <v>1041</v>
      </c>
      <c r="B72" s="114" t="s">
        <v>749</v>
      </c>
      <c r="C72" s="430"/>
      <c r="D72" s="267"/>
      <c r="E72" s="114" t="s">
        <v>1920</v>
      </c>
      <c r="F72" s="485"/>
      <c r="G72" s="140">
        <v>1</v>
      </c>
      <c r="H72" s="633"/>
      <c r="I72" s="635">
        <f t="shared" si="1"/>
        <v>0</v>
      </c>
    </row>
    <row r="73" spans="1:9" x14ac:dyDescent="0.25">
      <c r="A73" s="53" t="s">
        <v>1040</v>
      </c>
      <c r="B73" s="114" t="s">
        <v>274</v>
      </c>
      <c r="C73" s="430"/>
      <c r="D73" s="267"/>
      <c r="E73" s="114" t="s">
        <v>1920</v>
      </c>
      <c r="F73" s="485"/>
      <c r="G73" s="140">
        <v>1</v>
      </c>
      <c r="H73" s="632"/>
      <c r="I73" s="635">
        <f t="shared" si="1"/>
        <v>0</v>
      </c>
    </row>
    <row r="74" spans="1:9" x14ac:dyDescent="0.25">
      <c r="A74" s="53" t="s">
        <v>3195</v>
      </c>
      <c r="B74" s="114" t="s">
        <v>41</v>
      </c>
      <c r="C74" s="430"/>
      <c r="D74" s="267"/>
      <c r="E74" s="114" t="s">
        <v>1920</v>
      </c>
      <c r="F74" s="485"/>
      <c r="G74" s="140">
        <v>1</v>
      </c>
      <c r="H74" s="634"/>
      <c r="I74" s="635">
        <f t="shared" si="1"/>
        <v>0</v>
      </c>
    </row>
    <row r="75" spans="1:9" x14ac:dyDescent="0.25">
      <c r="A75" s="53" t="s">
        <v>3194</v>
      </c>
      <c r="B75" s="114" t="s">
        <v>40</v>
      </c>
      <c r="C75" s="430"/>
      <c r="D75" s="267"/>
      <c r="E75" s="114" t="s">
        <v>1920</v>
      </c>
      <c r="F75" s="485"/>
      <c r="G75" s="140">
        <v>1</v>
      </c>
      <c r="H75" s="633"/>
      <c r="I75" s="635">
        <f t="shared" si="1"/>
        <v>0</v>
      </c>
    </row>
    <row r="76" spans="1:9" x14ac:dyDescent="0.25">
      <c r="A76" s="53" t="s">
        <v>3196</v>
      </c>
      <c r="B76" s="114" t="s">
        <v>42</v>
      </c>
      <c r="C76" s="430"/>
      <c r="D76" s="267"/>
      <c r="E76" s="114" t="s">
        <v>1920</v>
      </c>
      <c r="F76" s="485"/>
      <c r="G76" s="140">
        <v>1</v>
      </c>
      <c r="H76" s="633"/>
      <c r="I76" s="635">
        <f t="shared" si="1"/>
        <v>0</v>
      </c>
    </row>
    <row r="77" spans="1:9" x14ac:dyDescent="0.25">
      <c r="A77" s="53" t="s">
        <v>3193</v>
      </c>
      <c r="B77" s="114" t="s">
        <v>337</v>
      </c>
      <c r="C77" s="430"/>
      <c r="D77" s="267"/>
      <c r="E77" s="114" t="s">
        <v>1920</v>
      </c>
      <c r="F77" s="485"/>
      <c r="G77" s="140">
        <v>1</v>
      </c>
      <c r="H77" s="633"/>
      <c r="I77" s="635">
        <f t="shared" si="1"/>
        <v>0</v>
      </c>
    </row>
    <row r="78" spans="1:9" x14ac:dyDescent="0.25">
      <c r="A78" s="53" t="s">
        <v>1210</v>
      </c>
      <c r="B78" s="114" t="s">
        <v>475</v>
      </c>
      <c r="C78" s="430"/>
      <c r="D78" s="267"/>
      <c r="E78" s="114" t="s">
        <v>1920</v>
      </c>
      <c r="F78" s="485"/>
      <c r="G78" s="140">
        <v>1</v>
      </c>
      <c r="H78" s="633"/>
      <c r="I78" s="635">
        <f t="shared" si="1"/>
        <v>0</v>
      </c>
    </row>
    <row r="79" spans="1:9" x14ac:dyDescent="0.25">
      <c r="A79" s="53" t="s">
        <v>1420</v>
      </c>
      <c r="B79" s="114" t="s">
        <v>945</v>
      </c>
      <c r="C79" s="430"/>
      <c r="D79" s="267"/>
      <c r="E79" s="114" t="s">
        <v>1920</v>
      </c>
      <c r="F79" s="485"/>
      <c r="G79" s="140">
        <v>1</v>
      </c>
      <c r="H79" s="633"/>
      <c r="I79" s="635">
        <f t="shared" si="1"/>
        <v>0</v>
      </c>
    </row>
    <row r="80" spans="1:9" x14ac:dyDescent="0.25">
      <c r="A80" s="53" t="s">
        <v>3115</v>
      </c>
      <c r="B80" s="114" t="s">
        <v>2226</v>
      </c>
      <c r="C80" s="430"/>
      <c r="D80" s="267"/>
      <c r="E80" s="114" t="s">
        <v>1920</v>
      </c>
      <c r="F80" s="485"/>
      <c r="G80" s="140">
        <v>1</v>
      </c>
      <c r="H80" s="633"/>
      <c r="I80" s="635">
        <f t="shared" si="1"/>
        <v>0</v>
      </c>
    </row>
    <row r="81" spans="1:9" x14ac:dyDescent="0.25">
      <c r="A81" s="53" t="s">
        <v>3116</v>
      </c>
      <c r="B81" s="114" t="s">
        <v>872</v>
      </c>
      <c r="C81" s="430"/>
      <c r="D81" s="267"/>
      <c r="E81" s="114" t="s">
        <v>1920</v>
      </c>
      <c r="F81" s="485"/>
      <c r="G81" s="140">
        <v>1</v>
      </c>
      <c r="H81" s="633"/>
      <c r="I81" s="635">
        <f t="shared" si="1"/>
        <v>0</v>
      </c>
    </row>
    <row r="82" spans="1:9" x14ac:dyDescent="0.25">
      <c r="A82" s="53" t="s">
        <v>28</v>
      </c>
      <c r="B82" s="114" t="s">
        <v>244</v>
      </c>
      <c r="C82" s="430"/>
      <c r="D82" s="267"/>
      <c r="E82" s="114" t="s">
        <v>1920</v>
      </c>
      <c r="F82" s="485"/>
      <c r="G82" s="140">
        <v>1</v>
      </c>
      <c r="H82" s="633"/>
      <c r="I82" s="635">
        <f t="shared" si="1"/>
        <v>0</v>
      </c>
    </row>
    <row r="83" spans="1:9" x14ac:dyDescent="0.25">
      <c r="A83" s="53" t="s">
        <v>26</v>
      </c>
      <c r="B83" s="114" t="s">
        <v>488</v>
      </c>
      <c r="C83" s="430"/>
      <c r="D83" s="267"/>
      <c r="E83" s="114" t="s">
        <v>1920</v>
      </c>
      <c r="F83" s="485"/>
      <c r="G83" s="140">
        <v>1</v>
      </c>
      <c r="H83" s="632"/>
      <c r="I83" s="635">
        <f t="shared" si="1"/>
        <v>0</v>
      </c>
    </row>
    <row r="84" spans="1:9" x14ac:dyDescent="0.25">
      <c r="A84" s="53" t="s">
        <v>23</v>
      </c>
      <c r="B84" s="114" t="s">
        <v>290</v>
      </c>
      <c r="C84" s="430"/>
      <c r="D84" s="267"/>
      <c r="E84" s="114" t="s">
        <v>1920</v>
      </c>
      <c r="F84" s="485"/>
      <c r="G84" s="140">
        <v>1</v>
      </c>
      <c r="H84" s="633"/>
      <c r="I84" s="635">
        <f t="shared" si="1"/>
        <v>0</v>
      </c>
    </row>
    <row r="85" spans="1:9" x14ac:dyDescent="0.25">
      <c r="A85" s="53" t="s">
        <v>25</v>
      </c>
      <c r="B85" s="114" t="s">
        <v>300</v>
      </c>
      <c r="C85" s="430"/>
      <c r="D85" s="267"/>
      <c r="E85" s="114" t="s">
        <v>1920</v>
      </c>
      <c r="F85" s="485"/>
      <c r="G85" s="140">
        <v>1</v>
      </c>
      <c r="H85" s="633"/>
      <c r="I85" s="635">
        <f t="shared" si="1"/>
        <v>0</v>
      </c>
    </row>
    <row r="86" spans="1:9" x14ac:dyDescent="0.25">
      <c r="A86" s="53" t="s">
        <v>27</v>
      </c>
      <c r="B86" s="114" t="s">
        <v>302</v>
      </c>
      <c r="C86" s="430"/>
      <c r="D86" s="267"/>
      <c r="E86" s="114" t="s">
        <v>1920</v>
      </c>
      <c r="F86" s="485"/>
      <c r="G86" s="140">
        <v>1</v>
      </c>
      <c r="H86" s="633"/>
      <c r="I86" s="635">
        <f t="shared" si="1"/>
        <v>0</v>
      </c>
    </row>
    <row r="87" spans="1:9" x14ac:dyDescent="0.25">
      <c r="A87" s="53" t="s">
        <v>24</v>
      </c>
      <c r="B87" s="114" t="s">
        <v>297</v>
      </c>
      <c r="C87" s="430"/>
      <c r="D87" s="267"/>
      <c r="E87" s="114" t="s">
        <v>1920</v>
      </c>
      <c r="F87" s="485"/>
      <c r="G87" s="140">
        <v>1</v>
      </c>
      <c r="H87" s="633"/>
      <c r="I87" s="635">
        <f t="shared" si="1"/>
        <v>0</v>
      </c>
    </row>
    <row r="88" spans="1:9" ht="30.75" x14ac:dyDescent="0.25">
      <c r="A88" s="53" t="s">
        <v>1275</v>
      </c>
      <c r="B88" s="114" t="s">
        <v>478</v>
      </c>
      <c r="C88" s="430"/>
      <c r="D88" s="267"/>
      <c r="E88" s="114" t="s">
        <v>1920</v>
      </c>
      <c r="F88" s="485"/>
      <c r="G88" s="140">
        <v>1</v>
      </c>
      <c r="H88" s="633"/>
      <c r="I88" s="635">
        <f t="shared" si="1"/>
        <v>0</v>
      </c>
    </row>
    <row r="89" spans="1:9" x14ac:dyDescent="0.25">
      <c r="A89" s="53" t="s">
        <v>1250</v>
      </c>
      <c r="B89" s="114" t="s">
        <v>462</v>
      </c>
      <c r="C89" s="430"/>
      <c r="D89" s="267"/>
      <c r="E89" s="114" t="s">
        <v>1920</v>
      </c>
      <c r="F89" s="485"/>
      <c r="G89" s="140">
        <v>1</v>
      </c>
      <c r="H89" s="633"/>
      <c r="I89" s="635">
        <f t="shared" si="1"/>
        <v>0</v>
      </c>
    </row>
    <row r="90" spans="1:9" x14ac:dyDescent="0.25">
      <c r="A90" s="53" t="s">
        <v>1253</v>
      </c>
      <c r="B90" s="114" t="s">
        <v>315</v>
      </c>
      <c r="C90" s="430"/>
      <c r="D90" s="267"/>
      <c r="E90" s="114" t="s">
        <v>1920</v>
      </c>
      <c r="F90" s="485"/>
      <c r="G90" s="140">
        <v>1</v>
      </c>
      <c r="H90" s="633"/>
      <c r="I90" s="635">
        <f t="shared" si="1"/>
        <v>0</v>
      </c>
    </row>
    <row r="91" spans="1:9" x14ac:dyDescent="0.25">
      <c r="A91" s="53" t="s">
        <v>1247</v>
      </c>
      <c r="B91" s="114" t="s">
        <v>443</v>
      </c>
      <c r="C91" s="430"/>
      <c r="D91" s="267"/>
      <c r="E91" s="114" t="s">
        <v>1920</v>
      </c>
      <c r="F91" s="485"/>
      <c r="G91" s="140">
        <v>1</v>
      </c>
      <c r="H91" s="633"/>
      <c r="I91" s="635">
        <f t="shared" si="1"/>
        <v>0</v>
      </c>
    </row>
    <row r="92" spans="1:9" x14ac:dyDescent="0.25">
      <c r="A92" s="53" t="s">
        <v>1175</v>
      </c>
      <c r="B92" s="114" t="s">
        <v>310</v>
      </c>
      <c r="C92" s="430"/>
      <c r="D92" s="267"/>
      <c r="E92" s="114" t="s">
        <v>1920</v>
      </c>
      <c r="F92" s="485"/>
      <c r="G92" s="140">
        <v>1</v>
      </c>
      <c r="H92" s="633"/>
      <c r="I92" s="635">
        <f t="shared" si="1"/>
        <v>0</v>
      </c>
    </row>
    <row r="93" spans="1:9" x14ac:dyDescent="0.25">
      <c r="A93" s="53" t="s">
        <v>1042</v>
      </c>
      <c r="B93" s="114" t="s">
        <v>456</v>
      </c>
      <c r="C93" s="430"/>
      <c r="D93" s="267"/>
      <c r="E93" s="114" t="s">
        <v>1920</v>
      </c>
      <c r="F93" s="485"/>
      <c r="G93" s="140">
        <v>1</v>
      </c>
      <c r="H93" s="633"/>
      <c r="I93" s="635">
        <f t="shared" si="1"/>
        <v>0</v>
      </c>
    </row>
    <row r="94" spans="1:9" x14ac:dyDescent="0.25">
      <c r="A94" s="53" t="s">
        <v>1216</v>
      </c>
      <c r="B94" s="114" t="s">
        <v>481</v>
      </c>
      <c r="C94" s="430"/>
      <c r="D94" s="267"/>
      <c r="E94" s="114" t="s">
        <v>1920</v>
      </c>
      <c r="F94" s="485"/>
      <c r="G94" s="140">
        <v>1</v>
      </c>
      <c r="H94" s="633"/>
      <c r="I94" s="635">
        <f t="shared" si="1"/>
        <v>0</v>
      </c>
    </row>
    <row r="95" spans="1:9" x14ac:dyDescent="0.25">
      <c r="A95" s="53" t="s">
        <v>1286</v>
      </c>
      <c r="B95" s="114" t="s">
        <v>482</v>
      </c>
      <c r="C95" s="430"/>
      <c r="D95" s="267"/>
      <c r="E95" s="114" t="s">
        <v>1920</v>
      </c>
      <c r="F95" s="485"/>
      <c r="G95" s="140">
        <v>1</v>
      </c>
      <c r="H95" s="633"/>
      <c r="I95" s="635">
        <f t="shared" si="1"/>
        <v>0</v>
      </c>
    </row>
    <row r="96" spans="1:9" x14ac:dyDescent="0.25">
      <c r="A96" s="53" t="s">
        <v>410</v>
      </c>
      <c r="B96" s="114" t="s">
        <v>483</v>
      </c>
      <c r="C96" s="430"/>
      <c r="D96" s="267"/>
      <c r="E96" s="114" t="s">
        <v>1920</v>
      </c>
      <c r="F96" s="485"/>
      <c r="G96" s="140">
        <v>1</v>
      </c>
      <c r="H96" s="633"/>
      <c r="I96" s="635">
        <f t="shared" si="1"/>
        <v>0</v>
      </c>
    </row>
    <row r="97" spans="1:9" x14ac:dyDescent="0.25">
      <c r="A97" s="53" t="s">
        <v>1155</v>
      </c>
      <c r="B97" s="114" t="s">
        <v>383</v>
      </c>
      <c r="C97" s="430"/>
      <c r="D97" s="267"/>
      <c r="E97" s="114" t="s">
        <v>1920</v>
      </c>
      <c r="F97" s="485"/>
      <c r="G97" s="140">
        <v>1</v>
      </c>
      <c r="H97" s="633"/>
      <c r="I97" s="635">
        <f t="shared" si="1"/>
        <v>0</v>
      </c>
    </row>
    <row r="98" spans="1:9" x14ac:dyDescent="0.25">
      <c r="A98" s="53" t="s">
        <v>2133</v>
      </c>
      <c r="B98" s="114" t="s">
        <v>2909</v>
      </c>
      <c r="C98" s="430"/>
      <c r="D98" s="267"/>
      <c r="E98" s="114">
        <v>56654</v>
      </c>
      <c r="F98" s="485"/>
      <c r="G98" s="140">
        <v>2</v>
      </c>
      <c r="H98" s="633"/>
      <c r="I98" s="635">
        <f t="shared" si="1"/>
        <v>0</v>
      </c>
    </row>
    <row r="99" spans="1:9" x14ac:dyDescent="0.25">
      <c r="A99" s="53" t="s">
        <v>1829</v>
      </c>
      <c r="B99" s="114" t="s">
        <v>1002</v>
      </c>
      <c r="C99" s="430"/>
      <c r="D99" s="267"/>
      <c r="E99" s="114" t="s">
        <v>1975</v>
      </c>
      <c r="F99" s="485"/>
      <c r="G99" s="140">
        <v>1</v>
      </c>
      <c r="H99" s="633"/>
      <c r="I99" s="635">
        <f t="shared" si="1"/>
        <v>0</v>
      </c>
    </row>
    <row r="100" spans="1:9" x14ac:dyDescent="0.25">
      <c r="A100" s="53" t="s">
        <v>3136</v>
      </c>
      <c r="B100" s="114" t="s">
        <v>2920</v>
      </c>
      <c r="C100" s="430"/>
      <c r="D100" s="267"/>
      <c r="E100" s="114" t="s">
        <v>1975</v>
      </c>
      <c r="F100" s="485"/>
      <c r="G100" s="140">
        <v>1</v>
      </c>
      <c r="H100" s="633"/>
      <c r="I100" s="635">
        <f t="shared" si="1"/>
        <v>0</v>
      </c>
    </row>
    <row r="101" spans="1:9" x14ac:dyDescent="0.25">
      <c r="A101" s="53" t="s">
        <v>105</v>
      </c>
      <c r="B101" s="114" t="s">
        <v>2118</v>
      </c>
      <c r="C101" s="430"/>
      <c r="D101" s="267"/>
      <c r="E101" s="114" t="s">
        <v>1975</v>
      </c>
      <c r="F101" s="485"/>
      <c r="G101" s="140">
        <v>1</v>
      </c>
      <c r="H101" s="633"/>
      <c r="I101" s="635">
        <f t="shared" si="1"/>
        <v>0</v>
      </c>
    </row>
    <row r="102" spans="1:9" x14ac:dyDescent="0.25">
      <c r="A102" s="53" t="s">
        <v>1156</v>
      </c>
      <c r="B102" s="114" t="s">
        <v>2117</v>
      </c>
      <c r="C102" s="430"/>
      <c r="D102" s="267"/>
      <c r="E102" s="114" t="s">
        <v>1975</v>
      </c>
      <c r="F102" s="485"/>
      <c r="G102" s="140">
        <v>4</v>
      </c>
      <c r="H102" s="633"/>
      <c r="I102" s="635">
        <f t="shared" si="1"/>
        <v>0</v>
      </c>
    </row>
    <row r="103" spans="1:9" x14ac:dyDescent="0.25">
      <c r="A103" s="53" t="s">
        <v>1229</v>
      </c>
      <c r="B103" s="114" t="s">
        <v>303</v>
      </c>
      <c r="C103" s="430"/>
      <c r="D103" s="267"/>
      <c r="E103" s="114" t="s">
        <v>1920</v>
      </c>
      <c r="F103" s="485"/>
      <c r="G103" s="140">
        <v>1</v>
      </c>
      <c r="H103" s="633"/>
      <c r="I103" s="635">
        <f t="shared" si="1"/>
        <v>0</v>
      </c>
    </row>
    <row r="104" spans="1:9" x14ac:dyDescent="0.25">
      <c r="A104" s="53" t="s">
        <v>1228</v>
      </c>
      <c r="B104" s="114" t="s">
        <v>489</v>
      </c>
      <c r="C104" s="430"/>
      <c r="D104" s="267"/>
      <c r="E104" s="114" t="s">
        <v>1920</v>
      </c>
      <c r="F104" s="485"/>
      <c r="G104" s="140">
        <v>1</v>
      </c>
      <c r="H104" s="633"/>
      <c r="I104" s="635">
        <f t="shared" si="1"/>
        <v>0</v>
      </c>
    </row>
    <row r="105" spans="1:9" x14ac:dyDescent="0.25">
      <c r="A105" s="53" t="s">
        <v>8</v>
      </c>
      <c r="B105" s="114" t="s">
        <v>256</v>
      </c>
      <c r="C105" s="430"/>
      <c r="D105" s="267"/>
      <c r="E105" s="114" t="s">
        <v>1920</v>
      </c>
      <c r="F105" s="485"/>
      <c r="G105" s="140">
        <v>1</v>
      </c>
      <c r="H105" s="633"/>
      <c r="I105" s="635">
        <f t="shared" si="1"/>
        <v>0</v>
      </c>
    </row>
    <row r="106" spans="1:9" x14ac:dyDescent="0.25">
      <c r="A106" s="53" t="s">
        <v>9</v>
      </c>
      <c r="B106" s="114" t="s">
        <v>375</v>
      </c>
      <c r="C106" s="430"/>
      <c r="D106" s="267"/>
      <c r="E106" s="114" t="s">
        <v>1920</v>
      </c>
      <c r="F106" s="485"/>
      <c r="G106" s="140">
        <v>1</v>
      </c>
      <c r="H106" s="633"/>
      <c r="I106" s="635">
        <f t="shared" si="1"/>
        <v>0</v>
      </c>
    </row>
    <row r="107" spans="1:9" x14ac:dyDescent="0.25">
      <c r="A107" s="53" t="s">
        <v>1085</v>
      </c>
      <c r="B107" s="114" t="s">
        <v>92</v>
      </c>
      <c r="C107" s="430"/>
      <c r="D107" s="267"/>
      <c r="E107" s="114" t="s">
        <v>1920</v>
      </c>
      <c r="F107" s="485"/>
      <c r="G107" s="140">
        <v>1</v>
      </c>
      <c r="H107" s="633"/>
      <c r="I107" s="635">
        <f t="shared" si="1"/>
        <v>0</v>
      </c>
    </row>
    <row r="108" spans="1:9" x14ac:dyDescent="0.25">
      <c r="A108" s="53" t="s">
        <v>4</v>
      </c>
      <c r="B108" s="114" t="s">
        <v>90</v>
      </c>
      <c r="C108" s="430"/>
      <c r="D108" s="267"/>
      <c r="E108" s="114" t="s">
        <v>1920</v>
      </c>
      <c r="F108" s="485"/>
      <c r="G108" s="140">
        <v>1</v>
      </c>
      <c r="H108" s="633"/>
      <c r="I108" s="635">
        <f t="shared" si="1"/>
        <v>0</v>
      </c>
    </row>
    <row r="109" spans="1:9" x14ac:dyDescent="0.25">
      <c r="A109" s="53" t="s">
        <v>30</v>
      </c>
      <c r="B109" s="114" t="s">
        <v>1825</v>
      </c>
      <c r="C109" s="430"/>
      <c r="D109" s="267"/>
      <c r="E109" s="114" t="s">
        <v>1920</v>
      </c>
      <c r="F109" s="485"/>
      <c r="G109" s="140">
        <v>1</v>
      </c>
      <c r="H109" s="633"/>
      <c r="I109" s="635">
        <f t="shared" si="1"/>
        <v>0</v>
      </c>
    </row>
    <row r="110" spans="1:9" x14ac:dyDescent="0.25">
      <c r="A110" s="53" t="s">
        <v>29</v>
      </c>
      <c r="B110" s="114" t="s">
        <v>2758</v>
      </c>
      <c r="C110" s="430"/>
      <c r="D110" s="267"/>
      <c r="E110" s="114" t="s">
        <v>1920</v>
      </c>
      <c r="F110" s="485"/>
      <c r="G110" s="140">
        <v>1</v>
      </c>
      <c r="H110" s="633"/>
      <c r="I110" s="635">
        <f t="shared" si="1"/>
        <v>0</v>
      </c>
    </row>
    <row r="111" spans="1:9" x14ac:dyDescent="0.25">
      <c r="A111" s="53" t="s">
        <v>1233</v>
      </c>
      <c r="B111" s="114" t="s">
        <v>1824</v>
      </c>
      <c r="C111" s="430"/>
      <c r="D111" s="267"/>
      <c r="E111" s="114" t="s">
        <v>1920</v>
      </c>
      <c r="F111" s="485"/>
      <c r="G111" s="140">
        <v>1</v>
      </c>
      <c r="H111" s="633"/>
      <c r="I111" s="635">
        <f t="shared" si="1"/>
        <v>0</v>
      </c>
    </row>
    <row r="112" spans="1:9" x14ac:dyDescent="0.25">
      <c r="A112" s="53" t="s">
        <v>1046</v>
      </c>
      <c r="B112" s="114" t="s">
        <v>31</v>
      </c>
      <c r="C112" s="430"/>
      <c r="D112" s="267"/>
      <c r="E112" s="114" t="s">
        <v>1920</v>
      </c>
      <c r="F112" s="485"/>
      <c r="G112" s="140">
        <v>1</v>
      </c>
      <c r="H112" s="633"/>
      <c r="I112" s="635">
        <f t="shared" si="1"/>
        <v>0</v>
      </c>
    </row>
    <row r="113" spans="1:9" x14ac:dyDescent="0.25">
      <c r="A113" s="53" t="s">
        <v>1086</v>
      </c>
      <c r="B113" s="114" t="s">
        <v>70</v>
      </c>
      <c r="C113" s="430"/>
      <c r="D113" s="267"/>
      <c r="E113" s="114" t="s">
        <v>1920</v>
      </c>
      <c r="F113" s="485"/>
      <c r="G113" s="140">
        <v>1</v>
      </c>
      <c r="H113" s="633"/>
      <c r="I113" s="635">
        <f t="shared" si="1"/>
        <v>0</v>
      </c>
    </row>
    <row r="114" spans="1:9" x14ac:dyDescent="0.25">
      <c r="A114" s="53" t="s">
        <v>1087</v>
      </c>
      <c r="B114" s="114" t="s">
        <v>484</v>
      </c>
      <c r="C114" s="430"/>
      <c r="D114" s="267"/>
      <c r="E114" s="114" t="s">
        <v>1920</v>
      </c>
      <c r="F114" s="485"/>
      <c r="G114" s="140">
        <v>1</v>
      </c>
      <c r="H114" s="529"/>
      <c r="I114" s="635">
        <f t="shared" si="1"/>
        <v>0</v>
      </c>
    </row>
    <row r="115" spans="1:9" x14ac:dyDescent="0.25">
      <c r="A115" s="53" t="s">
        <v>1088</v>
      </c>
      <c r="B115" s="114" t="s">
        <v>485</v>
      </c>
      <c r="C115" s="430"/>
      <c r="D115" s="267"/>
      <c r="E115" s="114" t="s">
        <v>1920</v>
      </c>
      <c r="F115" s="485"/>
      <c r="G115" s="140">
        <v>1</v>
      </c>
      <c r="H115" s="529"/>
      <c r="I115" s="635">
        <f t="shared" si="1"/>
        <v>0</v>
      </c>
    </row>
    <row r="116" spans="1:9" x14ac:dyDescent="0.25">
      <c r="A116" s="53" t="s">
        <v>1089</v>
      </c>
      <c r="B116" s="114" t="s">
        <v>486</v>
      </c>
      <c r="C116" s="430"/>
      <c r="D116" s="267"/>
      <c r="E116" s="114" t="s">
        <v>1920</v>
      </c>
      <c r="F116" s="485"/>
      <c r="G116" s="140">
        <v>1</v>
      </c>
      <c r="H116" s="529"/>
      <c r="I116" s="635">
        <f t="shared" si="1"/>
        <v>0</v>
      </c>
    </row>
    <row r="117" spans="1:9" x14ac:dyDescent="0.25">
      <c r="A117" s="53" t="s">
        <v>1236</v>
      </c>
      <c r="B117" s="114" t="s">
        <v>77</v>
      </c>
      <c r="C117" s="430"/>
      <c r="D117" s="267"/>
      <c r="E117" s="114" t="s">
        <v>1920</v>
      </c>
      <c r="F117" s="485"/>
      <c r="G117" s="140">
        <v>1</v>
      </c>
      <c r="H117" s="529"/>
      <c r="I117" s="635">
        <f t="shared" si="1"/>
        <v>0</v>
      </c>
    </row>
    <row r="118" spans="1:9" x14ac:dyDescent="0.25">
      <c r="A118" s="53" t="s">
        <v>1235</v>
      </c>
      <c r="B118" s="114" t="s">
        <v>78</v>
      </c>
      <c r="C118" s="430"/>
      <c r="D118" s="267"/>
      <c r="E118" s="114" t="s">
        <v>1920</v>
      </c>
      <c r="F118" s="485"/>
      <c r="G118" s="140">
        <v>1</v>
      </c>
      <c r="H118" s="529"/>
      <c r="I118" s="635">
        <f t="shared" si="1"/>
        <v>0</v>
      </c>
    </row>
    <row r="119" spans="1:9" x14ac:dyDescent="0.25">
      <c r="A119" s="53" t="s">
        <v>1237</v>
      </c>
      <c r="B119" s="114" t="s">
        <v>306</v>
      </c>
      <c r="C119" s="430"/>
      <c r="D119" s="267"/>
      <c r="E119" s="114" t="s">
        <v>1920</v>
      </c>
      <c r="F119" s="485"/>
      <c r="G119" s="140">
        <v>1</v>
      </c>
      <c r="H119" s="529"/>
      <c r="I119" s="635">
        <f t="shared" si="1"/>
        <v>0</v>
      </c>
    </row>
    <row r="120" spans="1:9" x14ac:dyDescent="0.25">
      <c r="A120" s="53" t="s">
        <v>1234</v>
      </c>
      <c r="B120" s="114" t="s">
        <v>73</v>
      </c>
      <c r="C120" s="430"/>
      <c r="D120" s="267"/>
      <c r="E120" s="114" t="s">
        <v>1920</v>
      </c>
      <c r="F120" s="485"/>
      <c r="G120" s="140">
        <v>1</v>
      </c>
      <c r="H120" s="633"/>
      <c r="I120" s="635">
        <f t="shared" si="1"/>
        <v>0</v>
      </c>
    </row>
    <row r="121" spans="1:9" x14ac:dyDescent="0.25">
      <c r="A121" s="53" t="s">
        <v>1232</v>
      </c>
      <c r="B121" s="114" t="s">
        <v>76</v>
      </c>
      <c r="C121" s="430"/>
      <c r="D121" s="267"/>
      <c r="E121" s="114" t="s">
        <v>1920</v>
      </c>
      <c r="F121" s="485"/>
      <c r="G121" s="140">
        <v>1</v>
      </c>
      <c r="H121" s="633"/>
      <c r="I121" s="635">
        <f t="shared" si="1"/>
        <v>0</v>
      </c>
    </row>
    <row r="122" spans="1:9" x14ac:dyDescent="0.25">
      <c r="A122" s="53" t="s">
        <v>259</v>
      </c>
      <c r="B122" s="114" t="s">
        <v>242</v>
      </c>
      <c r="C122" s="430"/>
      <c r="D122" s="267"/>
      <c r="E122" s="114" t="s">
        <v>1920</v>
      </c>
      <c r="F122" s="485"/>
      <c r="G122" s="140">
        <v>2</v>
      </c>
      <c r="H122" s="633"/>
      <c r="I122" s="635">
        <f t="shared" si="1"/>
        <v>0</v>
      </c>
    </row>
    <row r="123" spans="1:9" x14ac:dyDescent="0.25">
      <c r="A123" s="53" t="s">
        <v>37</v>
      </c>
      <c r="B123" s="114" t="s">
        <v>38</v>
      </c>
      <c r="C123" s="430"/>
      <c r="D123" s="267"/>
      <c r="E123" s="114" t="s">
        <v>1920</v>
      </c>
      <c r="F123" s="485"/>
      <c r="G123" s="140">
        <v>1</v>
      </c>
      <c r="H123" s="633"/>
      <c r="I123" s="635">
        <f t="shared" si="1"/>
        <v>0</v>
      </c>
    </row>
    <row r="124" spans="1:9" x14ac:dyDescent="0.25">
      <c r="A124" s="53" t="s">
        <v>109</v>
      </c>
      <c r="B124" s="114" t="s">
        <v>110</v>
      </c>
      <c r="C124" s="430"/>
      <c r="D124" s="267"/>
      <c r="E124" s="114" t="s">
        <v>1920</v>
      </c>
      <c r="F124" s="485"/>
      <c r="G124" s="140">
        <v>1</v>
      </c>
      <c r="H124" s="633"/>
      <c r="I124" s="635">
        <f t="shared" si="1"/>
        <v>0</v>
      </c>
    </row>
    <row r="125" spans="1:9" x14ac:dyDescent="0.25">
      <c r="A125" s="53" t="s">
        <v>1036</v>
      </c>
      <c r="B125" s="114" t="s">
        <v>468</v>
      </c>
      <c r="C125" s="430"/>
      <c r="D125" s="267"/>
      <c r="E125" s="114" t="s">
        <v>1920</v>
      </c>
      <c r="F125" s="485"/>
      <c r="G125" s="140">
        <v>1</v>
      </c>
      <c r="H125" s="633"/>
      <c r="I125" s="635">
        <f t="shared" si="1"/>
        <v>0</v>
      </c>
    </row>
    <row r="126" spans="1:9" x14ac:dyDescent="0.25">
      <c r="A126" s="53" t="s">
        <v>10</v>
      </c>
      <c r="B126" s="114" t="s">
        <v>469</v>
      </c>
      <c r="C126" s="430"/>
      <c r="D126" s="267"/>
      <c r="E126" s="114" t="s">
        <v>1920</v>
      </c>
      <c r="F126" s="485"/>
      <c r="G126" s="140">
        <v>1</v>
      </c>
      <c r="H126" s="633"/>
      <c r="I126" s="635">
        <f t="shared" si="1"/>
        <v>0</v>
      </c>
    </row>
    <row r="127" spans="1:9" x14ac:dyDescent="0.25">
      <c r="A127" s="53" t="s">
        <v>101</v>
      </c>
      <c r="B127" s="114" t="s">
        <v>509</v>
      </c>
      <c r="C127" s="430"/>
      <c r="D127" s="267"/>
      <c r="E127" s="114" t="s">
        <v>1920</v>
      </c>
      <c r="F127" s="485"/>
      <c r="G127" s="140">
        <v>1</v>
      </c>
      <c r="H127" s="633"/>
      <c r="I127" s="635">
        <f t="shared" si="1"/>
        <v>0</v>
      </c>
    </row>
    <row r="128" spans="1:9" x14ac:dyDescent="0.25">
      <c r="A128" s="53" t="s">
        <v>1214</v>
      </c>
      <c r="B128" s="114" t="s">
        <v>515</v>
      </c>
      <c r="C128" s="430"/>
      <c r="D128" s="267"/>
      <c r="E128" s="114" t="s">
        <v>1920</v>
      </c>
      <c r="F128" s="485"/>
      <c r="G128" s="140">
        <v>1</v>
      </c>
      <c r="H128" s="633"/>
      <c r="I128" s="635">
        <f t="shared" si="1"/>
        <v>0</v>
      </c>
    </row>
    <row r="129" spans="1:9" x14ac:dyDescent="0.25">
      <c r="A129" s="53" t="s">
        <v>2113</v>
      </c>
      <c r="B129" s="114" t="s">
        <v>2103</v>
      </c>
      <c r="C129" s="430"/>
      <c r="D129" s="267"/>
      <c r="E129" s="114" t="s">
        <v>1920</v>
      </c>
      <c r="F129" s="485"/>
      <c r="G129" s="140">
        <v>1</v>
      </c>
      <c r="H129" s="633"/>
      <c r="I129" s="635">
        <f t="shared" si="1"/>
        <v>0</v>
      </c>
    </row>
    <row r="130" spans="1:9" x14ac:dyDescent="0.25">
      <c r="A130" s="53" t="s">
        <v>2112</v>
      </c>
      <c r="B130" s="114" t="s">
        <v>2102</v>
      </c>
      <c r="C130" s="430"/>
      <c r="D130" s="267"/>
      <c r="E130" s="114" t="s">
        <v>1920</v>
      </c>
      <c r="F130" s="485"/>
      <c r="G130" s="140">
        <v>1</v>
      </c>
      <c r="H130" s="633"/>
      <c r="I130" s="635">
        <f t="shared" si="1"/>
        <v>0</v>
      </c>
    </row>
    <row r="131" spans="1:9" x14ac:dyDescent="0.25">
      <c r="A131" s="53" t="s">
        <v>1255</v>
      </c>
      <c r="B131" s="114" t="s">
        <v>679</v>
      </c>
      <c r="C131" s="430"/>
      <c r="D131" s="267"/>
      <c r="E131" s="114" t="s">
        <v>1920</v>
      </c>
      <c r="F131" s="485"/>
      <c r="G131" s="140">
        <v>1</v>
      </c>
      <c r="H131" s="633"/>
      <c r="I131" s="635">
        <f t="shared" ref="I131:I137" si="2">+G131*H131</f>
        <v>0</v>
      </c>
    </row>
    <row r="132" spans="1:9" x14ac:dyDescent="0.25">
      <c r="A132" s="53" t="s">
        <v>1178</v>
      </c>
      <c r="B132" s="114" t="s">
        <v>678</v>
      </c>
      <c r="C132" s="430"/>
      <c r="D132" s="267"/>
      <c r="E132" s="114" t="s">
        <v>1920</v>
      </c>
      <c r="F132" s="485"/>
      <c r="G132" s="140">
        <v>1</v>
      </c>
      <c r="H132" s="633"/>
      <c r="I132" s="635">
        <f t="shared" si="2"/>
        <v>0</v>
      </c>
    </row>
    <row r="133" spans="1:9" x14ac:dyDescent="0.25">
      <c r="A133" s="53" t="s">
        <v>2111</v>
      </c>
      <c r="B133" s="114" t="s">
        <v>2101</v>
      </c>
      <c r="C133" s="430"/>
      <c r="D133" s="267"/>
      <c r="E133" s="114" t="s">
        <v>1920</v>
      </c>
      <c r="F133" s="485"/>
      <c r="G133" s="140">
        <v>1</v>
      </c>
      <c r="H133" s="633"/>
      <c r="I133" s="635">
        <f t="shared" si="2"/>
        <v>0</v>
      </c>
    </row>
    <row r="134" spans="1:9" x14ac:dyDescent="0.25">
      <c r="A134" s="53" t="s">
        <v>2110</v>
      </c>
      <c r="B134" s="114" t="s">
        <v>2100</v>
      </c>
      <c r="C134" s="430"/>
      <c r="D134" s="267"/>
      <c r="E134" s="114" t="s">
        <v>1920</v>
      </c>
      <c r="F134" s="485"/>
      <c r="G134" s="140">
        <v>1</v>
      </c>
      <c r="H134" s="633"/>
      <c r="I134" s="635">
        <f t="shared" si="2"/>
        <v>0</v>
      </c>
    </row>
    <row r="135" spans="1:9" x14ac:dyDescent="0.25">
      <c r="A135" s="53" t="s">
        <v>20</v>
      </c>
      <c r="B135" s="114" t="s">
        <v>287</v>
      </c>
      <c r="C135" s="430"/>
      <c r="D135" s="267"/>
      <c r="E135" s="114" t="s">
        <v>1920</v>
      </c>
      <c r="F135" s="485"/>
      <c r="G135" s="140">
        <v>2</v>
      </c>
      <c r="H135" s="633"/>
      <c r="I135" s="635">
        <f t="shared" si="2"/>
        <v>0</v>
      </c>
    </row>
    <row r="136" spans="1:9" x14ac:dyDescent="0.25">
      <c r="A136" s="53" t="s">
        <v>13</v>
      </c>
      <c r="B136" s="114" t="s">
        <v>471</v>
      </c>
      <c r="C136" s="430"/>
      <c r="D136" s="267"/>
      <c r="E136" s="114" t="s">
        <v>1920</v>
      </c>
      <c r="F136" s="485"/>
      <c r="G136" s="140">
        <v>1</v>
      </c>
      <c r="H136" s="633"/>
      <c r="I136" s="635">
        <f t="shared" si="2"/>
        <v>0</v>
      </c>
    </row>
    <row r="137" spans="1:9" x14ac:dyDescent="0.25">
      <c r="A137" s="53" t="s">
        <v>3120</v>
      </c>
      <c r="B137" s="267" t="s">
        <v>3119</v>
      </c>
      <c r="C137" s="430"/>
      <c r="D137" s="267"/>
      <c r="E137" s="249" t="s">
        <v>1928</v>
      </c>
      <c r="F137" s="485"/>
      <c r="G137" s="140">
        <v>1</v>
      </c>
      <c r="H137" s="633"/>
      <c r="I137" s="635">
        <f t="shared" si="2"/>
        <v>0</v>
      </c>
    </row>
    <row r="138" spans="1:9" x14ac:dyDescent="0.25">
      <c r="A138" s="57"/>
      <c r="B138" s="58"/>
      <c r="C138" s="264"/>
      <c r="D138" s="264"/>
      <c r="E138" s="58"/>
      <c r="F138" s="264"/>
      <c r="G138" s="58"/>
      <c r="H138" s="590"/>
      <c r="I138" s="587">
        <f>SUM(I2:I137)</f>
        <v>0</v>
      </c>
    </row>
    <row r="139" spans="1:9" x14ac:dyDescent="0.25">
      <c r="A139" s="57"/>
      <c r="B139" s="58"/>
      <c r="C139" s="264"/>
      <c r="D139" s="264"/>
      <c r="E139" s="58"/>
      <c r="F139" s="264"/>
      <c r="G139" s="58"/>
      <c r="H139" s="590"/>
    </row>
    <row r="140" spans="1:9" x14ac:dyDescent="0.25">
      <c r="A140" s="4" t="s">
        <v>3064</v>
      </c>
    </row>
    <row r="141" spans="1:9" x14ac:dyDescent="0.25">
      <c r="A141" s="4" t="s">
        <v>2942</v>
      </c>
    </row>
    <row r="142" spans="1:9" x14ac:dyDescent="0.25">
      <c r="A142" s="178" t="s">
        <v>3343</v>
      </c>
      <c r="B142" s="58"/>
      <c r="C142" s="264"/>
      <c r="D142" s="264"/>
      <c r="E142" s="58"/>
      <c r="F142" s="264"/>
      <c r="G142" s="58"/>
      <c r="H142" s="590"/>
    </row>
    <row r="143" spans="1:9" x14ac:dyDescent="0.25">
      <c r="A143" s="612" t="s">
        <v>3367</v>
      </c>
      <c r="B143" s="613">
        <f>+I138</f>
        <v>0</v>
      </c>
    </row>
  </sheetData>
  <sortState xmlns:xlrd2="http://schemas.microsoft.com/office/spreadsheetml/2017/richdata2" ref="A3:G140">
    <sortCondition ref="B3:B140"/>
  </sortState>
  <printOptions gridLines="1"/>
  <pageMargins left="0.5" right="0.5" top="0.5" bottom="0.5" header="0.3" footer="0.3"/>
  <pageSetup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40"/>
  <sheetViews>
    <sheetView workbookViewId="0">
      <pane ySplit="1" topLeftCell="A102" activePane="bottomLeft" state="frozen"/>
      <selection activeCell="C26" sqref="C26"/>
      <selection pane="bottomLeft" activeCell="G2" sqref="G2:G133"/>
    </sheetView>
  </sheetViews>
  <sheetFormatPr defaultColWidth="9.140625" defaultRowHeight="15" x14ac:dyDescent="0.2"/>
  <cols>
    <col min="1" max="1" width="68.42578125" style="121" bestFit="1" customWidth="1"/>
    <col min="2" max="2" width="15.140625" style="96" bestFit="1" customWidth="1"/>
    <col min="3" max="3" width="20.42578125" style="96" bestFit="1" customWidth="1"/>
    <col min="4" max="4" width="20.140625" style="96" bestFit="1" customWidth="1"/>
    <col min="5" max="5" width="12.42578125" style="96" bestFit="1" customWidth="1"/>
    <col min="6" max="6" width="15.5703125" style="96" bestFit="1" customWidth="1"/>
    <col min="7" max="7" width="12" style="122" customWidth="1"/>
    <col min="8" max="8" width="11.42578125" style="638" bestFit="1" customWidth="1"/>
    <col min="9" max="9" width="16.85546875" style="637" bestFit="1" customWidth="1"/>
    <col min="10" max="10" width="16.42578125" style="121" bestFit="1" customWidth="1"/>
    <col min="11" max="16384" width="9.140625" style="121"/>
  </cols>
  <sheetData>
    <row r="1" spans="1:9" ht="15.75" x14ac:dyDescent="0.25">
      <c r="A1" s="2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24" t="s">
        <v>412</v>
      </c>
      <c r="H1" s="528" t="s">
        <v>3368</v>
      </c>
      <c r="I1" s="539" t="s">
        <v>3369</v>
      </c>
    </row>
    <row r="2" spans="1:9" x14ac:dyDescent="0.2">
      <c r="A2" s="25" t="s">
        <v>1211</v>
      </c>
      <c r="B2" s="6" t="s">
        <v>1990</v>
      </c>
      <c r="C2" s="430"/>
      <c r="D2" s="6"/>
      <c r="E2" s="6" t="s">
        <v>1934</v>
      </c>
      <c r="F2" s="478"/>
      <c r="G2" s="47">
        <v>1</v>
      </c>
      <c r="H2" s="529"/>
      <c r="I2" s="636">
        <f>+G2*H2</f>
        <v>0</v>
      </c>
    </row>
    <row r="3" spans="1:9" x14ac:dyDescent="0.2">
      <c r="A3" s="25" t="s">
        <v>5</v>
      </c>
      <c r="B3" s="6" t="s">
        <v>466</v>
      </c>
      <c r="C3" s="430"/>
      <c r="D3" s="6"/>
      <c r="E3" s="6" t="s">
        <v>1934</v>
      </c>
      <c r="F3" s="478"/>
      <c r="G3" s="47">
        <v>1</v>
      </c>
      <c r="H3" s="529"/>
      <c r="I3" s="636">
        <f t="shared" ref="I3:I66" si="0">+G3*H3</f>
        <v>0</v>
      </c>
    </row>
    <row r="4" spans="1:9" x14ac:dyDescent="0.2">
      <c r="A4" s="25" t="s">
        <v>1648</v>
      </c>
      <c r="B4" s="6" t="s">
        <v>3233</v>
      </c>
      <c r="C4" s="430"/>
      <c r="D4" s="6"/>
      <c r="E4" s="6">
        <v>55719</v>
      </c>
      <c r="F4" s="478"/>
      <c r="G4" s="47">
        <v>1</v>
      </c>
      <c r="H4" s="529"/>
      <c r="I4" s="636">
        <f t="shared" si="0"/>
        <v>0</v>
      </c>
    </row>
    <row r="5" spans="1:9" x14ac:dyDescent="0.2">
      <c r="A5" s="25" t="s">
        <v>1649</v>
      </c>
      <c r="B5" s="6" t="s">
        <v>3234</v>
      </c>
      <c r="C5" s="430"/>
      <c r="D5" s="6"/>
      <c r="E5" s="6" t="s">
        <v>2875</v>
      </c>
      <c r="F5" s="478"/>
      <c r="G5" s="47">
        <v>1</v>
      </c>
      <c r="H5" s="529"/>
      <c r="I5" s="636">
        <f t="shared" si="0"/>
        <v>0</v>
      </c>
    </row>
    <row r="6" spans="1:9" x14ac:dyDescent="0.2">
      <c r="A6" s="25" t="s">
        <v>1051</v>
      </c>
      <c r="B6" s="6" t="s">
        <v>317</v>
      </c>
      <c r="C6" s="430"/>
      <c r="D6" s="6"/>
      <c r="E6" s="6" t="s">
        <v>1920</v>
      </c>
      <c r="F6" s="478"/>
      <c r="G6" s="47">
        <v>1</v>
      </c>
      <c r="H6" s="529"/>
      <c r="I6" s="636">
        <f t="shared" si="0"/>
        <v>0</v>
      </c>
    </row>
    <row r="7" spans="1:9" x14ac:dyDescent="0.2">
      <c r="A7" s="25" t="s">
        <v>3244</v>
      </c>
      <c r="B7" s="6" t="s">
        <v>308</v>
      </c>
      <c r="C7" s="430"/>
      <c r="D7" s="6"/>
      <c r="E7" s="6" t="s">
        <v>1920</v>
      </c>
      <c r="F7" s="478"/>
      <c r="G7" s="47">
        <v>1</v>
      </c>
      <c r="H7" s="529"/>
      <c r="I7" s="636">
        <f t="shared" si="0"/>
        <v>0</v>
      </c>
    </row>
    <row r="8" spans="1:9" x14ac:dyDescent="0.2">
      <c r="A8" s="25" t="s">
        <v>16</v>
      </c>
      <c r="B8" s="6" t="s">
        <v>476</v>
      </c>
      <c r="C8" s="430"/>
      <c r="D8" s="6"/>
      <c r="E8" s="6" t="s">
        <v>1920</v>
      </c>
      <c r="F8" s="478"/>
      <c r="G8" s="47">
        <v>2</v>
      </c>
      <c r="H8" s="529"/>
      <c r="I8" s="636">
        <f t="shared" si="0"/>
        <v>0</v>
      </c>
    </row>
    <row r="9" spans="1:9" x14ac:dyDescent="0.2">
      <c r="A9" s="25" t="s">
        <v>1192</v>
      </c>
      <c r="B9" s="6" t="s">
        <v>94</v>
      </c>
      <c r="C9" s="430"/>
      <c r="D9" s="6"/>
      <c r="E9" s="6" t="s">
        <v>1920</v>
      </c>
      <c r="F9" s="478"/>
      <c r="G9" s="47">
        <v>2</v>
      </c>
      <c r="H9" s="529"/>
      <c r="I9" s="636">
        <f t="shared" si="0"/>
        <v>0</v>
      </c>
    </row>
    <row r="10" spans="1:9" x14ac:dyDescent="0.2">
      <c r="A10" s="25" t="s">
        <v>1297</v>
      </c>
      <c r="B10" s="6" t="s">
        <v>89</v>
      </c>
      <c r="C10" s="430"/>
      <c r="D10" s="6"/>
      <c r="E10" s="6" t="s">
        <v>1920</v>
      </c>
      <c r="F10" s="478"/>
      <c r="G10" s="47">
        <v>1</v>
      </c>
      <c r="H10" s="529"/>
      <c r="I10" s="636">
        <f t="shared" si="0"/>
        <v>0</v>
      </c>
    </row>
    <row r="11" spans="1:9" x14ac:dyDescent="0.2">
      <c r="A11" s="25" t="s">
        <v>1299</v>
      </c>
      <c r="B11" s="6" t="s">
        <v>827</v>
      </c>
      <c r="C11" s="430"/>
      <c r="D11" s="6"/>
      <c r="E11" s="6" t="s">
        <v>1920</v>
      </c>
      <c r="F11" s="478"/>
      <c r="G11" s="47">
        <v>1</v>
      </c>
      <c r="H11" s="529"/>
      <c r="I11" s="636">
        <f t="shared" si="0"/>
        <v>0</v>
      </c>
    </row>
    <row r="12" spans="1:9" s="83" customFormat="1" x14ac:dyDescent="0.2">
      <c r="A12" s="25" t="s">
        <v>2892</v>
      </c>
      <c r="B12" s="6" t="s">
        <v>2893</v>
      </c>
      <c r="C12" s="430"/>
      <c r="D12" s="6"/>
      <c r="E12" s="6">
        <v>55719</v>
      </c>
      <c r="F12" s="478"/>
      <c r="G12" s="47">
        <v>1</v>
      </c>
      <c r="H12" s="529"/>
      <c r="I12" s="636">
        <f t="shared" si="0"/>
        <v>0</v>
      </c>
    </row>
    <row r="13" spans="1:9" x14ac:dyDescent="0.2">
      <c r="A13" s="25" t="s">
        <v>1348</v>
      </c>
      <c r="B13" s="6" t="s">
        <v>419</v>
      </c>
      <c r="C13" s="430"/>
      <c r="D13" s="6"/>
      <c r="E13" s="6" t="s">
        <v>1920</v>
      </c>
      <c r="F13" s="478"/>
      <c r="G13" s="47">
        <v>1</v>
      </c>
      <c r="H13" s="529"/>
      <c r="I13" s="636">
        <f t="shared" si="0"/>
        <v>0</v>
      </c>
    </row>
    <row r="14" spans="1:9" x14ac:dyDescent="0.2">
      <c r="A14" s="25" t="s">
        <v>1142</v>
      </c>
      <c r="B14" s="6" t="s">
        <v>275</v>
      </c>
      <c r="C14" s="430"/>
      <c r="D14" s="6"/>
      <c r="E14" s="6" t="s">
        <v>1920</v>
      </c>
      <c r="F14" s="478"/>
      <c r="G14" s="47">
        <v>1</v>
      </c>
      <c r="H14" s="529"/>
      <c r="I14" s="636">
        <f t="shared" si="0"/>
        <v>0</v>
      </c>
    </row>
    <row r="15" spans="1:9" x14ac:dyDescent="0.2">
      <c r="A15" s="25" t="s">
        <v>1029</v>
      </c>
      <c r="B15" s="6" t="s">
        <v>251</v>
      </c>
      <c r="C15" s="430"/>
      <c r="D15" s="6"/>
      <c r="E15" s="6" t="s">
        <v>1920</v>
      </c>
      <c r="F15" s="478"/>
      <c r="G15" s="47">
        <v>1</v>
      </c>
      <c r="H15" s="529"/>
      <c r="I15" s="636">
        <f t="shared" si="0"/>
        <v>0</v>
      </c>
    </row>
    <row r="16" spans="1:9" x14ac:dyDescent="0.2">
      <c r="A16" s="25" t="s">
        <v>1351</v>
      </c>
      <c r="B16" s="6" t="s">
        <v>1098</v>
      </c>
      <c r="C16" s="430"/>
      <c r="D16" s="6"/>
      <c r="E16" s="6" t="s">
        <v>1920</v>
      </c>
      <c r="F16" s="478"/>
      <c r="G16" s="47">
        <v>1</v>
      </c>
      <c r="H16" s="529"/>
      <c r="I16" s="636">
        <f t="shared" si="0"/>
        <v>0</v>
      </c>
    </row>
    <row r="17" spans="1:9" x14ac:dyDescent="0.2">
      <c r="A17" s="25" t="s">
        <v>1139</v>
      </c>
      <c r="B17" s="6" t="s">
        <v>45</v>
      </c>
      <c r="C17" s="430"/>
      <c r="D17" s="6"/>
      <c r="E17" s="6" t="s">
        <v>1920</v>
      </c>
      <c r="F17" s="478"/>
      <c r="G17" s="47">
        <v>1</v>
      </c>
      <c r="H17" s="529"/>
      <c r="I17" s="636">
        <f t="shared" si="0"/>
        <v>0</v>
      </c>
    </row>
    <row r="18" spans="1:9" x14ac:dyDescent="0.2">
      <c r="A18" s="25" t="s">
        <v>1035</v>
      </c>
      <c r="B18" s="6" t="s">
        <v>414</v>
      </c>
      <c r="C18" s="430"/>
      <c r="D18" s="6"/>
      <c r="E18" s="6" t="s">
        <v>1920</v>
      </c>
      <c r="F18" s="478"/>
      <c r="G18" s="47">
        <v>1</v>
      </c>
      <c r="H18" s="529"/>
      <c r="I18" s="636">
        <f t="shared" si="0"/>
        <v>0</v>
      </c>
    </row>
    <row r="19" spans="1:9" s="162" customFormat="1" x14ac:dyDescent="0.2">
      <c r="A19" s="151" t="s">
        <v>3078</v>
      </c>
      <c r="B19" s="129" t="s">
        <v>3079</v>
      </c>
      <c r="C19" s="430"/>
      <c r="D19" s="129"/>
      <c r="E19" s="129" t="s">
        <v>1920</v>
      </c>
      <c r="F19" s="622"/>
      <c r="G19" s="114">
        <v>1</v>
      </c>
      <c r="H19" s="565"/>
      <c r="I19" s="636">
        <f t="shared" si="0"/>
        <v>0</v>
      </c>
    </row>
    <row r="20" spans="1:9" x14ac:dyDescent="0.2">
      <c r="A20" s="25" t="s">
        <v>1027</v>
      </c>
      <c r="B20" s="6" t="s">
        <v>415</v>
      </c>
      <c r="C20" s="430"/>
      <c r="D20" s="6"/>
      <c r="E20" s="6" t="s">
        <v>1920</v>
      </c>
      <c r="F20" s="478"/>
      <c r="G20" s="47">
        <v>1</v>
      </c>
      <c r="H20" s="529"/>
      <c r="I20" s="636">
        <f t="shared" si="0"/>
        <v>0</v>
      </c>
    </row>
    <row r="21" spans="1:9" x14ac:dyDescent="0.2">
      <c r="A21" s="25" t="s">
        <v>1031</v>
      </c>
      <c r="B21" s="6" t="s">
        <v>416</v>
      </c>
      <c r="C21" s="430"/>
      <c r="D21" s="6"/>
      <c r="E21" s="6" t="s">
        <v>1920</v>
      </c>
      <c r="F21" s="478"/>
      <c r="G21" s="47">
        <v>1</v>
      </c>
      <c r="H21" s="529"/>
      <c r="I21" s="636">
        <f t="shared" si="0"/>
        <v>0</v>
      </c>
    </row>
    <row r="22" spans="1:9" x14ac:dyDescent="0.2">
      <c r="A22" s="25" t="s">
        <v>1034</v>
      </c>
      <c r="B22" s="6" t="s">
        <v>417</v>
      </c>
      <c r="C22" s="430"/>
      <c r="D22" s="6"/>
      <c r="E22" s="6" t="s">
        <v>1920</v>
      </c>
      <c r="F22" s="478"/>
      <c r="G22" s="47">
        <v>1</v>
      </c>
      <c r="H22" s="529"/>
      <c r="I22" s="636">
        <f t="shared" si="0"/>
        <v>0</v>
      </c>
    </row>
    <row r="23" spans="1:9" x14ac:dyDescent="0.2">
      <c r="A23" s="25" t="s">
        <v>1357</v>
      </c>
      <c r="B23" s="6" t="s">
        <v>418</v>
      </c>
      <c r="C23" s="430"/>
      <c r="D23" s="6"/>
      <c r="E23" s="6" t="s">
        <v>1920</v>
      </c>
      <c r="F23" s="478"/>
      <c r="G23" s="47">
        <v>1</v>
      </c>
      <c r="H23" s="529"/>
      <c r="I23" s="636">
        <f t="shared" si="0"/>
        <v>0</v>
      </c>
    </row>
    <row r="24" spans="1:9" x14ac:dyDescent="0.2">
      <c r="A24" s="25" t="s">
        <v>1026</v>
      </c>
      <c r="B24" s="6" t="s">
        <v>99</v>
      </c>
      <c r="C24" s="430"/>
      <c r="D24" s="6"/>
      <c r="E24" s="6" t="s">
        <v>1920</v>
      </c>
      <c r="F24" s="478"/>
      <c r="G24" s="47">
        <v>1</v>
      </c>
      <c r="H24" s="529"/>
      <c r="I24" s="636">
        <f t="shared" si="0"/>
        <v>0</v>
      </c>
    </row>
    <row r="25" spans="1:9" x14ac:dyDescent="0.2">
      <c r="A25" s="25" t="s">
        <v>36</v>
      </c>
      <c r="B25" s="6" t="s">
        <v>1828</v>
      </c>
      <c r="C25" s="430"/>
      <c r="D25" s="6"/>
      <c r="E25" s="6" t="s">
        <v>1920</v>
      </c>
      <c r="F25" s="478"/>
      <c r="G25" s="47">
        <v>1</v>
      </c>
      <c r="H25" s="529"/>
      <c r="I25" s="636">
        <f t="shared" si="0"/>
        <v>0</v>
      </c>
    </row>
    <row r="26" spans="1:9" x14ac:dyDescent="0.2">
      <c r="A26" s="25" t="s">
        <v>1360</v>
      </c>
      <c r="B26" s="6" t="s">
        <v>103</v>
      </c>
      <c r="C26" s="430"/>
      <c r="D26" s="6"/>
      <c r="E26" s="6" t="s">
        <v>1920</v>
      </c>
      <c r="F26" s="478"/>
      <c r="G26" s="47">
        <v>1</v>
      </c>
      <c r="H26" s="529"/>
      <c r="I26" s="636">
        <f t="shared" si="0"/>
        <v>0</v>
      </c>
    </row>
    <row r="27" spans="1:9" x14ac:dyDescent="0.2">
      <c r="A27" s="25" t="s">
        <v>39</v>
      </c>
      <c r="B27" s="6" t="s">
        <v>245</v>
      </c>
      <c r="C27" s="430"/>
      <c r="D27" s="6"/>
      <c r="E27" s="6" t="s">
        <v>1920</v>
      </c>
      <c r="F27" s="478"/>
      <c r="G27" s="47">
        <v>1</v>
      </c>
      <c r="H27" s="529"/>
      <c r="I27" s="636">
        <f t="shared" si="0"/>
        <v>0</v>
      </c>
    </row>
    <row r="28" spans="1:9" x14ac:dyDescent="0.2">
      <c r="A28" s="25" t="s">
        <v>209</v>
      </c>
      <c r="B28" s="6" t="s">
        <v>210</v>
      </c>
      <c r="C28" s="430"/>
      <c r="D28" s="6"/>
      <c r="E28" s="6" t="s">
        <v>1920</v>
      </c>
      <c r="F28" s="478"/>
      <c r="G28" s="47">
        <v>1</v>
      </c>
      <c r="H28" s="529"/>
      <c r="I28" s="636">
        <f t="shared" si="0"/>
        <v>0</v>
      </c>
    </row>
    <row r="29" spans="1:9" x14ac:dyDescent="0.2">
      <c r="A29" s="25" t="s">
        <v>11</v>
      </c>
      <c r="B29" s="6" t="s">
        <v>278</v>
      </c>
      <c r="C29" s="430"/>
      <c r="D29" s="6"/>
      <c r="E29" s="6" t="s">
        <v>1920</v>
      </c>
      <c r="F29" s="478"/>
      <c r="G29" s="47">
        <v>1</v>
      </c>
      <c r="H29" s="529"/>
      <c r="I29" s="636">
        <f t="shared" si="0"/>
        <v>0</v>
      </c>
    </row>
    <row r="30" spans="1:9" x14ac:dyDescent="0.2">
      <c r="A30" s="25" t="s">
        <v>12</v>
      </c>
      <c r="B30" s="6" t="s">
        <v>171</v>
      </c>
      <c r="C30" s="430"/>
      <c r="D30" s="6"/>
      <c r="E30" s="6" t="s">
        <v>1920</v>
      </c>
      <c r="F30" s="478"/>
      <c r="G30" s="47">
        <v>1</v>
      </c>
      <c r="H30" s="529"/>
      <c r="I30" s="636">
        <f t="shared" si="0"/>
        <v>0</v>
      </c>
    </row>
    <row r="31" spans="1:9" x14ac:dyDescent="0.2">
      <c r="A31" s="25" t="s">
        <v>111</v>
      </c>
      <c r="B31" s="6" t="s">
        <v>560</v>
      </c>
      <c r="C31" s="430"/>
      <c r="D31" s="6"/>
      <c r="E31" s="6" t="s">
        <v>1920</v>
      </c>
      <c r="F31" s="478"/>
      <c r="G31" s="47">
        <v>1</v>
      </c>
      <c r="H31" s="529"/>
      <c r="I31" s="636">
        <f t="shared" si="0"/>
        <v>0</v>
      </c>
    </row>
    <row r="32" spans="1:9" x14ac:dyDescent="0.2">
      <c r="A32" s="25" t="s">
        <v>6</v>
      </c>
      <c r="B32" s="6" t="s">
        <v>91</v>
      </c>
      <c r="C32" s="430"/>
      <c r="D32" s="6"/>
      <c r="E32" s="6" t="s">
        <v>1920</v>
      </c>
      <c r="F32" s="478"/>
      <c r="G32" s="47">
        <v>2</v>
      </c>
      <c r="H32" s="529"/>
      <c r="I32" s="636">
        <f t="shared" si="0"/>
        <v>0</v>
      </c>
    </row>
    <row r="33" spans="1:9" x14ac:dyDescent="0.2">
      <c r="A33" s="25" t="s">
        <v>202</v>
      </c>
      <c r="B33" s="6" t="s">
        <v>260</v>
      </c>
      <c r="C33" s="430"/>
      <c r="D33" s="6"/>
      <c r="E33" s="6" t="s">
        <v>1920</v>
      </c>
      <c r="F33" s="478"/>
      <c r="G33" s="47">
        <v>1</v>
      </c>
      <c r="H33" s="529"/>
      <c r="I33" s="636">
        <f t="shared" si="0"/>
        <v>0</v>
      </c>
    </row>
    <row r="34" spans="1:9" x14ac:dyDescent="0.2">
      <c r="A34" s="25" t="s">
        <v>338</v>
      </c>
      <c r="B34" s="6" t="s">
        <v>43</v>
      </c>
      <c r="C34" s="430"/>
      <c r="D34" s="6"/>
      <c r="E34" s="6" t="s">
        <v>1920</v>
      </c>
      <c r="F34" s="478"/>
      <c r="G34" s="47">
        <v>1</v>
      </c>
      <c r="H34" s="529"/>
      <c r="I34" s="636">
        <f t="shared" si="0"/>
        <v>0</v>
      </c>
    </row>
    <row r="35" spans="1:9" x14ac:dyDescent="0.2">
      <c r="A35" s="25" t="s">
        <v>44</v>
      </c>
      <c r="B35" s="6" t="s">
        <v>896</v>
      </c>
      <c r="C35" s="430"/>
      <c r="D35" s="6"/>
      <c r="E35" s="6" t="s">
        <v>1920</v>
      </c>
      <c r="F35" s="478"/>
      <c r="G35" s="47">
        <v>1</v>
      </c>
      <c r="H35" s="529"/>
      <c r="I35" s="636">
        <f t="shared" si="0"/>
        <v>0</v>
      </c>
    </row>
    <row r="36" spans="1:9" x14ac:dyDescent="0.2">
      <c r="A36" s="25" t="s">
        <v>3</v>
      </c>
      <c r="B36" s="6" t="s">
        <v>465</v>
      </c>
      <c r="C36" s="430"/>
      <c r="D36" s="6"/>
      <c r="E36" s="6" t="s">
        <v>1920</v>
      </c>
      <c r="F36" s="478"/>
      <c r="G36" s="47">
        <v>1</v>
      </c>
      <c r="H36" s="529"/>
      <c r="I36" s="636">
        <f t="shared" si="0"/>
        <v>0</v>
      </c>
    </row>
    <row r="37" spans="1:9" s="16" customFormat="1" x14ac:dyDescent="0.2">
      <c r="A37" s="25" t="s">
        <v>1385</v>
      </c>
      <c r="B37" s="6" t="s">
        <v>1997</v>
      </c>
      <c r="C37" s="430"/>
      <c r="D37" s="6"/>
      <c r="E37" s="6" t="s">
        <v>1920</v>
      </c>
      <c r="F37" s="478"/>
      <c r="G37" s="47">
        <v>1</v>
      </c>
      <c r="H37" s="529"/>
      <c r="I37" s="636">
        <f t="shared" si="0"/>
        <v>0</v>
      </c>
    </row>
    <row r="38" spans="1:9" x14ac:dyDescent="0.2">
      <c r="A38" s="25" t="s">
        <v>1274</v>
      </c>
      <c r="B38" s="6" t="s">
        <v>67</v>
      </c>
      <c r="C38" s="430"/>
      <c r="D38" s="6"/>
      <c r="E38" s="6" t="s">
        <v>1920</v>
      </c>
      <c r="F38" s="478"/>
      <c r="G38" s="47">
        <v>1</v>
      </c>
      <c r="H38" s="529"/>
      <c r="I38" s="636">
        <f t="shared" si="0"/>
        <v>0</v>
      </c>
    </row>
    <row r="39" spans="1:9" x14ac:dyDescent="0.2">
      <c r="A39" s="25" t="s">
        <v>3353</v>
      </c>
      <c r="B39" s="6" t="s">
        <v>2754</v>
      </c>
      <c r="C39" s="430"/>
      <c r="D39" s="6"/>
      <c r="E39" s="6" t="s">
        <v>1920</v>
      </c>
      <c r="F39" s="478"/>
      <c r="G39" s="47">
        <v>1</v>
      </c>
      <c r="H39" s="529"/>
      <c r="I39" s="636">
        <f t="shared" si="0"/>
        <v>0</v>
      </c>
    </row>
    <row r="40" spans="1:9" x14ac:dyDescent="0.2">
      <c r="A40" s="25" t="s">
        <v>3352</v>
      </c>
      <c r="B40" s="6" t="s">
        <v>2756</v>
      </c>
      <c r="C40" s="430"/>
      <c r="D40" s="6"/>
      <c r="E40" s="6" t="s">
        <v>1920</v>
      </c>
      <c r="F40" s="478"/>
      <c r="G40" s="47">
        <v>1</v>
      </c>
      <c r="H40" s="529"/>
      <c r="I40" s="636">
        <f t="shared" si="0"/>
        <v>0</v>
      </c>
    </row>
    <row r="41" spans="1:9" x14ac:dyDescent="0.2">
      <c r="A41" s="25" t="s">
        <v>3354</v>
      </c>
      <c r="B41" s="6" t="s">
        <v>2757</v>
      </c>
      <c r="C41" s="430"/>
      <c r="D41" s="6"/>
      <c r="E41" s="6" t="s">
        <v>1920</v>
      </c>
      <c r="F41" s="478"/>
      <c r="G41" s="47">
        <v>1</v>
      </c>
      <c r="H41" s="529"/>
      <c r="I41" s="636">
        <f t="shared" si="0"/>
        <v>0</v>
      </c>
    </row>
    <row r="42" spans="1:9" x14ac:dyDescent="0.2">
      <c r="A42" s="25" t="s">
        <v>165</v>
      </c>
      <c r="B42" s="6" t="s">
        <v>1894</v>
      </c>
      <c r="C42" s="430"/>
      <c r="D42" s="6"/>
      <c r="E42" s="6" t="s">
        <v>1920</v>
      </c>
      <c r="F42" s="478"/>
      <c r="G42" s="47">
        <v>1</v>
      </c>
      <c r="H42" s="529"/>
      <c r="I42" s="636">
        <f t="shared" si="0"/>
        <v>0</v>
      </c>
    </row>
    <row r="43" spans="1:9" x14ac:dyDescent="0.2">
      <c r="A43" s="25" t="s">
        <v>180</v>
      </c>
      <c r="B43" s="6" t="s">
        <v>479</v>
      </c>
      <c r="C43" s="430"/>
      <c r="D43" s="6"/>
      <c r="E43" s="6" t="s">
        <v>1920</v>
      </c>
      <c r="F43" s="478"/>
      <c r="G43" s="47">
        <v>1</v>
      </c>
      <c r="H43" s="529"/>
      <c r="I43" s="636">
        <f t="shared" si="0"/>
        <v>0</v>
      </c>
    </row>
    <row r="44" spans="1:9" x14ac:dyDescent="0.2">
      <c r="A44" s="25" t="s">
        <v>1395</v>
      </c>
      <c r="B44" s="6" t="s">
        <v>390</v>
      </c>
      <c r="C44" s="430"/>
      <c r="D44" s="6"/>
      <c r="E44" s="6" t="s">
        <v>1920</v>
      </c>
      <c r="F44" s="478"/>
      <c r="G44" s="47">
        <v>1</v>
      </c>
      <c r="H44" s="529"/>
      <c r="I44" s="636">
        <f t="shared" si="0"/>
        <v>0</v>
      </c>
    </row>
    <row r="45" spans="1:9" x14ac:dyDescent="0.2">
      <c r="A45" s="25" t="s">
        <v>3258</v>
      </c>
      <c r="B45" s="6" t="s">
        <v>561</v>
      </c>
      <c r="C45" s="430"/>
      <c r="D45" s="6"/>
      <c r="E45" s="6" t="s">
        <v>1920</v>
      </c>
      <c r="F45" s="478"/>
      <c r="G45" s="47">
        <v>1</v>
      </c>
      <c r="H45" s="529"/>
      <c r="I45" s="636">
        <f t="shared" si="0"/>
        <v>0</v>
      </c>
    </row>
    <row r="46" spans="1:9" x14ac:dyDescent="0.2">
      <c r="A46" s="25" t="s">
        <v>1437</v>
      </c>
      <c r="B46" s="6" t="s">
        <v>1101</v>
      </c>
      <c r="C46" s="430"/>
      <c r="D46" s="6" t="s">
        <v>1881</v>
      </c>
      <c r="E46" s="6" t="s">
        <v>1928</v>
      </c>
      <c r="F46" s="478"/>
      <c r="G46" s="47">
        <v>1</v>
      </c>
      <c r="H46" s="529"/>
      <c r="I46" s="636">
        <f t="shared" si="0"/>
        <v>0</v>
      </c>
    </row>
    <row r="47" spans="1:9" x14ac:dyDescent="0.2">
      <c r="A47" s="25" t="s">
        <v>1219</v>
      </c>
      <c r="B47" s="6" t="s">
        <v>882</v>
      </c>
      <c r="C47" s="430"/>
      <c r="D47" s="6" t="s">
        <v>1882</v>
      </c>
      <c r="E47" s="6" t="s">
        <v>1928</v>
      </c>
      <c r="F47" s="478"/>
      <c r="G47" s="47">
        <v>1</v>
      </c>
      <c r="H47" s="529"/>
      <c r="I47" s="636">
        <f t="shared" si="0"/>
        <v>0</v>
      </c>
    </row>
    <row r="48" spans="1:9" x14ac:dyDescent="0.2">
      <c r="A48" s="25" t="s">
        <v>1490</v>
      </c>
      <c r="B48" s="6" t="s">
        <v>932</v>
      </c>
      <c r="C48" s="430"/>
      <c r="D48" s="6" t="s">
        <v>1883</v>
      </c>
      <c r="E48" s="6" t="s">
        <v>1928</v>
      </c>
      <c r="F48" s="478"/>
      <c r="G48" s="47">
        <v>1</v>
      </c>
      <c r="H48" s="529"/>
      <c r="I48" s="636">
        <f t="shared" si="0"/>
        <v>0</v>
      </c>
    </row>
    <row r="49" spans="1:9" x14ac:dyDescent="0.2">
      <c r="A49" s="25" t="s">
        <v>2231</v>
      </c>
      <c r="B49" s="6" t="s">
        <v>357</v>
      </c>
      <c r="C49" s="430"/>
      <c r="D49" s="6"/>
      <c r="E49" s="6" t="s">
        <v>1920</v>
      </c>
      <c r="F49" s="478"/>
      <c r="G49" s="47">
        <v>1</v>
      </c>
      <c r="H49" s="529"/>
      <c r="I49" s="636">
        <f t="shared" si="0"/>
        <v>0</v>
      </c>
    </row>
    <row r="50" spans="1:9" s="57" customFormat="1" x14ac:dyDescent="0.2">
      <c r="A50" s="25" t="s">
        <v>1184</v>
      </c>
      <c r="B50" s="6" t="s">
        <v>327</v>
      </c>
      <c r="C50" s="430"/>
      <c r="D50" s="6"/>
      <c r="E50" s="6" t="s">
        <v>1920</v>
      </c>
      <c r="F50" s="478"/>
      <c r="G50" s="47">
        <v>1</v>
      </c>
      <c r="H50" s="529"/>
      <c r="I50" s="636">
        <f t="shared" si="0"/>
        <v>0</v>
      </c>
    </row>
    <row r="51" spans="1:9" x14ac:dyDescent="0.2">
      <c r="A51" s="25" t="s">
        <v>1191</v>
      </c>
      <c r="B51" s="6" t="s">
        <v>546</v>
      </c>
      <c r="C51" s="430"/>
      <c r="D51" s="6"/>
      <c r="E51" s="6" t="s">
        <v>1920</v>
      </c>
      <c r="F51" s="478"/>
      <c r="G51" s="47">
        <v>1</v>
      </c>
      <c r="H51" s="529"/>
      <c r="I51" s="636">
        <f t="shared" si="0"/>
        <v>0</v>
      </c>
    </row>
    <row r="52" spans="1:9" x14ac:dyDescent="0.2">
      <c r="A52" s="25" t="s">
        <v>1180</v>
      </c>
      <c r="B52" s="6" t="s">
        <v>359</v>
      </c>
      <c r="C52" s="430"/>
      <c r="D52" s="6"/>
      <c r="E52" s="6" t="s">
        <v>1920</v>
      </c>
      <c r="F52" s="478"/>
      <c r="G52" s="47">
        <v>1</v>
      </c>
      <c r="H52" s="529"/>
      <c r="I52" s="636">
        <f t="shared" si="0"/>
        <v>0</v>
      </c>
    </row>
    <row r="53" spans="1:9" x14ac:dyDescent="0.2">
      <c r="A53" s="25" t="s">
        <v>1187</v>
      </c>
      <c r="B53" s="6" t="s">
        <v>360</v>
      </c>
      <c r="C53" s="430"/>
      <c r="D53" s="6"/>
      <c r="E53" s="6" t="s">
        <v>1920</v>
      </c>
      <c r="F53" s="478"/>
      <c r="G53" s="47">
        <v>1</v>
      </c>
      <c r="H53" s="529"/>
      <c r="I53" s="636">
        <f t="shared" si="0"/>
        <v>0</v>
      </c>
    </row>
    <row r="54" spans="1:9" x14ac:dyDescent="0.2">
      <c r="A54" s="25" t="s">
        <v>1185</v>
      </c>
      <c r="B54" s="6" t="s">
        <v>330</v>
      </c>
      <c r="C54" s="430"/>
      <c r="D54" s="6"/>
      <c r="E54" s="6" t="s">
        <v>1920</v>
      </c>
      <c r="F54" s="478"/>
      <c r="G54" s="47">
        <v>1</v>
      </c>
      <c r="H54" s="529"/>
      <c r="I54" s="636">
        <f t="shared" si="0"/>
        <v>0</v>
      </c>
    </row>
    <row r="55" spans="1:9" x14ac:dyDescent="0.2">
      <c r="A55" s="25" t="s">
        <v>1054</v>
      </c>
      <c r="B55" s="6" t="s">
        <v>326</v>
      </c>
      <c r="C55" s="430"/>
      <c r="D55" s="6"/>
      <c r="E55" s="6" t="s">
        <v>1920</v>
      </c>
      <c r="F55" s="478"/>
      <c r="G55" s="47">
        <v>1</v>
      </c>
      <c r="H55" s="529"/>
      <c r="I55" s="636">
        <f t="shared" si="0"/>
        <v>0</v>
      </c>
    </row>
    <row r="56" spans="1:9" x14ac:dyDescent="0.2">
      <c r="A56" s="25" t="s">
        <v>2879</v>
      </c>
      <c r="B56" s="6" t="s">
        <v>329</v>
      </c>
      <c r="C56" s="430"/>
      <c r="D56" s="6"/>
      <c r="E56" s="6" t="s">
        <v>1920</v>
      </c>
      <c r="F56" s="478"/>
      <c r="G56" s="47">
        <v>1</v>
      </c>
      <c r="H56" s="529"/>
      <c r="I56" s="636">
        <f t="shared" si="0"/>
        <v>0</v>
      </c>
    </row>
    <row r="57" spans="1:9" x14ac:dyDescent="0.2">
      <c r="A57" s="25" t="s">
        <v>1183</v>
      </c>
      <c r="B57" s="6" t="s">
        <v>120</v>
      </c>
      <c r="C57" s="430"/>
      <c r="D57" s="6"/>
      <c r="E57" s="6" t="s">
        <v>1920</v>
      </c>
      <c r="F57" s="478"/>
      <c r="G57" s="47">
        <v>1</v>
      </c>
      <c r="H57" s="529"/>
      <c r="I57" s="636">
        <f t="shared" si="0"/>
        <v>0</v>
      </c>
    </row>
    <row r="58" spans="1:9" x14ac:dyDescent="0.2">
      <c r="A58" s="25" t="s">
        <v>2234</v>
      </c>
      <c r="B58" s="6" t="s">
        <v>119</v>
      </c>
      <c r="C58" s="430"/>
      <c r="D58" s="6"/>
      <c r="E58" s="6" t="s">
        <v>1920</v>
      </c>
      <c r="F58" s="478"/>
      <c r="G58" s="47">
        <v>1</v>
      </c>
      <c r="H58" s="529"/>
      <c r="I58" s="636">
        <f t="shared" si="0"/>
        <v>0</v>
      </c>
    </row>
    <row r="59" spans="1:9" x14ac:dyDescent="0.2">
      <c r="A59" s="25" t="s">
        <v>2897</v>
      </c>
      <c r="B59" s="6" t="s">
        <v>324</v>
      </c>
      <c r="C59" s="430"/>
      <c r="D59" s="6"/>
      <c r="E59" s="6" t="s">
        <v>1920</v>
      </c>
      <c r="F59" s="478"/>
      <c r="G59" s="47">
        <v>1</v>
      </c>
      <c r="H59" s="529"/>
      <c r="I59" s="636">
        <f t="shared" si="0"/>
        <v>0</v>
      </c>
    </row>
    <row r="60" spans="1:9" x14ac:dyDescent="0.2">
      <c r="A60" s="25" t="s">
        <v>14</v>
      </c>
      <c r="B60" s="6" t="s">
        <v>472</v>
      </c>
      <c r="C60" s="430"/>
      <c r="D60" s="6"/>
      <c r="E60" s="6" t="s">
        <v>1971</v>
      </c>
      <c r="F60" s="478"/>
      <c r="G60" s="47">
        <v>1</v>
      </c>
      <c r="H60" s="529"/>
      <c r="I60" s="636">
        <f t="shared" si="0"/>
        <v>0</v>
      </c>
    </row>
    <row r="61" spans="1:9" x14ac:dyDescent="0.2">
      <c r="A61" s="25" t="s">
        <v>1621</v>
      </c>
      <c r="B61" s="6" t="s">
        <v>288</v>
      </c>
      <c r="C61" s="430"/>
      <c r="D61" s="6"/>
      <c r="E61" s="6" t="s">
        <v>1920</v>
      </c>
      <c r="F61" s="478"/>
      <c r="G61" s="47">
        <v>1</v>
      </c>
      <c r="H61" s="529"/>
      <c r="I61" s="636">
        <f t="shared" si="0"/>
        <v>0</v>
      </c>
    </row>
    <row r="62" spans="1:9" x14ac:dyDescent="0.2">
      <c r="A62" s="25" t="s">
        <v>1040</v>
      </c>
      <c r="B62" s="6" t="s">
        <v>274</v>
      </c>
      <c r="C62" s="430"/>
      <c r="D62" s="6"/>
      <c r="E62" s="6" t="s">
        <v>1920</v>
      </c>
      <c r="F62" s="478"/>
      <c r="G62" s="47">
        <v>1</v>
      </c>
      <c r="H62" s="529"/>
      <c r="I62" s="636">
        <f t="shared" si="0"/>
        <v>0</v>
      </c>
    </row>
    <row r="63" spans="1:9" x14ac:dyDescent="0.2">
      <c r="A63" s="25" t="s">
        <v>3200</v>
      </c>
      <c r="B63" s="6" t="s">
        <v>118</v>
      </c>
      <c r="C63" s="430"/>
      <c r="D63" s="6"/>
      <c r="E63" s="6" t="s">
        <v>1920</v>
      </c>
      <c r="F63" s="478"/>
      <c r="G63" s="47">
        <v>1</v>
      </c>
      <c r="H63" s="529"/>
      <c r="I63" s="636">
        <f t="shared" si="0"/>
        <v>0</v>
      </c>
    </row>
    <row r="64" spans="1:9" x14ac:dyDescent="0.2">
      <c r="A64" s="25" t="s">
        <v>3198</v>
      </c>
      <c r="B64" s="6" t="s">
        <v>255</v>
      </c>
      <c r="C64" s="430"/>
      <c r="D64" s="6"/>
      <c r="E64" s="6" t="s">
        <v>1920</v>
      </c>
      <c r="F64" s="478"/>
      <c r="G64" s="47">
        <v>1</v>
      </c>
      <c r="H64" s="529"/>
      <c r="I64" s="636">
        <f t="shared" si="0"/>
        <v>0</v>
      </c>
    </row>
    <row r="65" spans="1:9" x14ac:dyDescent="0.2">
      <c r="A65" s="25" t="s">
        <v>1078</v>
      </c>
      <c r="B65" s="6" t="s">
        <v>447</v>
      </c>
      <c r="C65" s="430"/>
      <c r="D65" s="6"/>
      <c r="E65" s="6" t="s">
        <v>1920</v>
      </c>
      <c r="F65" s="478"/>
      <c r="G65" s="47">
        <v>1</v>
      </c>
      <c r="H65" s="529"/>
      <c r="I65" s="636">
        <f t="shared" si="0"/>
        <v>0</v>
      </c>
    </row>
    <row r="66" spans="1:9" x14ac:dyDescent="0.2">
      <c r="A66" s="25" t="s">
        <v>1210</v>
      </c>
      <c r="B66" s="6" t="s">
        <v>475</v>
      </c>
      <c r="C66" s="430"/>
      <c r="D66" s="6"/>
      <c r="E66" s="6" t="s">
        <v>1920</v>
      </c>
      <c r="F66" s="478"/>
      <c r="G66" s="47">
        <v>1</v>
      </c>
      <c r="H66" s="529"/>
      <c r="I66" s="636">
        <f t="shared" si="0"/>
        <v>0</v>
      </c>
    </row>
    <row r="67" spans="1:9" x14ac:dyDescent="0.2">
      <c r="A67" s="25" t="s">
        <v>1129</v>
      </c>
      <c r="B67" s="6" t="s">
        <v>107</v>
      </c>
      <c r="C67" s="430"/>
      <c r="D67" s="6"/>
      <c r="E67" s="6" t="s">
        <v>1920</v>
      </c>
      <c r="F67" s="478"/>
      <c r="G67" s="47">
        <v>1</v>
      </c>
      <c r="H67" s="529"/>
      <c r="I67" s="636">
        <f t="shared" ref="I67:I130" si="1">+G67*H67</f>
        <v>0</v>
      </c>
    </row>
    <row r="68" spans="1:9" x14ac:dyDescent="0.2">
      <c r="A68" s="25" t="s">
        <v>1413</v>
      </c>
      <c r="B68" s="6" t="s">
        <v>860</v>
      </c>
      <c r="C68" s="430"/>
      <c r="D68" s="6"/>
      <c r="E68" s="6" t="s">
        <v>1920</v>
      </c>
      <c r="F68" s="478"/>
      <c r="G68" s="47">
        <v>1</v>
      </c>
      <c r="H68" s="529"/>
      <c r="I68" s="636">
        <f t="shared" si="1"/>
        <v>0</v>
      </c>
    </row>
    <row r="69" spans="1:9" x14ac:dyDescent="0.2">
      <c r="A69" s="25" t="s">
        <v>1131</v>
      </c>
      <c r="B69" s="6" t="s">
        <v>582</v>
      </c>
      <c r="C69" s="430"/>
      <c r="D69" s="6"/>
      <c r="E69" s="6" t="s">
        <v>1920</v>
      </c>
      <c r="F69" s="478"/>
      <c r="G69" s="47">
        <v>1</v>
      </c>
      <c r="H69" s="529"/>
      <c r="I69" s="636">
        <f t="shared" si="1"/>
        <v>0</v>
      </c>
    </row>
    <row r="70" spans="1:9" x14ac:dyDescent="0.2">
      <c r="A70" s="25" t="s">
        <v>1134</v>
      </c>
      <c r="B70" s="6" t="s">
        <v>670</v>
      </c>
      <c r="C70" s="430"/>
      <c r="D70" s="6"/>
      <c r="E70" s="6" t="s">
        <v>1920</v>
      </c>
      <c r="F70" s="478"/>
      <c r="G70" s="47">
        <v>1</v>
      </c>
      <c r="H70" s="529"/>
      <c r="I70" s="636">
        <f t="shared" si="1"/>
        <v>0</v>
      </c>
    </row>
    <row r="71" spans="1:9" x14ac:dyDescent="0.2">
      <c r="A71" s="25" t="s">
        <v>1122</v>
      </c>
      <c r="B71" s="6" t="s">
        <v>284</v>
      </c>
      <c r="C71" s="430"/>
      <c r="D71" s="6"/>
      <c r="E71" s="6" t="s">
        <v>1920</v>
      </c>
      <c r="F71" s="478"/>
      <c r="G71" s="47">
        <v>1</v>
      </c>
      <c r="H71" s="529"/>
      <c r="I71" s="636">
        <f t="shared" si="1"/>
        <v>0</v>
      </c>
    </row>
    <row r="72" spans="1:9" x14ac:dyDescent="0.2">
      <c r="A72" s="25" t="s">
        <v>1125</v>
      </c>
      <c r="B72" s="6">
        <v>8130020</v>
      </c>
      <c r="C72" s="430"/>
      <c r="D72" s="6"/>
      <c r="E72" s="6" t="s">
        <v>1975</v>
      </c>
      <c r="F72" s="478"/>
      <c r="G72" s="47">
        <v>4</v>
      </c>
      <c r="H72" s="529"/>
      <c r="I72" s="636">
        <f t="shared" si="1"/>
        <v>0</v>
      </c>
    </row>
    <row r="73" spans="1:9" x14ac:dyDescent="0.2">
      <c r="A73" s="25" t="s">
        <v>1127</v>
      </c>
      <c r="B73" s="6">
        <v>8130030</v>
      </c>
      <c r="C73" s="430"/>
      <c r="D73" s="6"/>
      <c r="E73" s="6" t="s">
        <v>1975</v>
      </c>
      <c r="F73" s="478"/>
      <c r="G73" s="47">
        <v>2</v>
      </c>
      <c r="H73" s="529"/>
      <c r="I73" s="636">
        <f t="shared" si="1"/>
        <v>0</v>
      </c>
    </row>
    <row r="74" spans="1:9" x14ac:dyDescent="0.2">
      <c r="A74" s="25" t="s">
        <v>1224</v>
      </c>
      <c r="B74" s="6" t="s">
        <v>114</v>
      </c>
      <c r="C74" s="430"/>
      <c r="D74" s="6"/>
      <c r="E74" s="6" t="s">
        <v>1920</v>
      </c>
      <c r="F74" s="478"/>
      <c r="G74" s="47">
        <v>1</v>
      </c>
      <c r="H74" s="529"/>
      <c r="I74" s="636">
        <f t="shared" si="1"/>
        <v>0</v>
      </c>
    </row>
    <row r="75" spans="1:9" x14ac:dyDescent="0.2">
      <c r="A75" s="25" t="s">
        <v>1216</v>
      </c>
      <c r="B75" s="6" t="s">
        <v>481</v>
      </c>
      <c r="C75" s="430"/>
      <c r="D75" s="6"/>
      <c r="E75" s="6" t="s">
        <v>1920</v>
      </c>
      <c r="F75" s="478"/>
      <c r="G75" s="47">
        <v>1</v>
      </c>
      <c r="H75" s="529"/>
      <c r="I75" s="636">
        <f t="shared" si="1"/>
        <v>0</v>
      </c>
    </row>
    <row r="76" spans="1:9" x14ac:dyDescent="0.2">
      <c r="A76" s="25" t="s">
        <v>410</v>
      </c>
      <c r="B76" s="6" t="s">
        <v>483</v>
      </c>
      <c r="C76" s="430"/>
      <c r="D76" s="6"/>
      <c r="E76" s="6" t="s">
        <v>1920</v>
      </c>
      <c r="F76" s="478"/>
      <c r="G76" s="47">
        <v>1</v>
      </c>
      <c r="H76" s="529"/>
      <c r="I76" s="636">
        <f t="shared" si="1"/>
        <v>0</v>
      </c>
    </row>
    <row r="77" spans="1:9" x14ac:dyDescent="0.2">
      <c r="A77" s="25" t="s">
        <v>1287</v>
      </c>
      <c r="B77" s="6" t="s">
        <v>474</v>
      </c>
      <c r="C77" s="430"/>
      <c r="D77" s="6"/>
      <c r="E77" s="6" t="s">
        <v>1920</v>
      </c>
      <c r="F77" s="478"/>
      <c r="G77" s="47">
        <v>1</v>
      </c>
      <c r="H77" s="529"/>
      <c r="I77" s="636">
        <f t="shared" si="1"/>
        <v>0</v>
      </c>
    </row>
    <row r="78" spans="1:9" x14ac:dyDescent="0.2">
      <c r="A78" s="25" t="s">
        <v>3090</v>
      </c>
      <c r="B78" s="6" t="s">
        <v>1982</v>
      </c>
      <c r="C78" s="430"/>
      <c r="D78" s="6"/>
      <c r="E78" s="6" t="s">
        <v>1920</v>
      </c>
      <c r="F78" s="478"/>
      <c r="G78" s="47">
        <v>1</v>
      </c>
      <c r="H78" s="529"/>
      <c r="I78" s="636">
        <f t="shared" si="1"/>
        <v>0</v>
      </c>
    </row>
    <row r="79" spans="1:9" x14ac:dyDescent="0.2">
      <c r="A79" s="25" t="s">
        <v>1424</v>
      </c>
      <c r="B79" s="6" t="s">
        <v>458</v>
      </c>
      <c r="C79" s="430"/>
      <c r="D79" s="6"/>
      <c r="E79" s="6" t="s">
        <v>1920</v>
      </c>
      <c r="F79" s="478"/>
      <c r="G79" s="47">
        <v>1</v>
      </c>
      <c r="H79" s="529"/>
      <c r="I79" s="636">
        <f t="shared" si="1"/>
        <v>0</v>
      </c>
    </row>
    <row r="80" spans="1:9" x14ac:dyDescent="0.2">
      <c r="A80" s="25" t="s">
        <v>2133</v>
      </c>
      <c r="B80" s="6" t="s">
        <v>2909</v>
      </c>
      <c r="C80" s="430"/>
      <c r="D80" s="6"/>
      <c r="E80" s="6">
        <v>56654</v>
      </c>
      <c r="F80" s="478"/>
      <c r="G80" s="47">
        <v>2</v>
      </c>
      <c r="H80" s="529"/>
      <c r="I80" s="636">
        <f t="shared" si="1"/>
        <v>0</v>
      </c>
    </row>
    <row r="81" spans="1:9" x14ac:dyDescent="0.2">
      <c r="A81" s="25" t="s">
        <v>1242</v>
      </c>
      <c r="B81" s="6" t="s">
        <v>305</v>
      </c>
      <c r="C81" s="430"/>
      <c r="D81" s="6"/>
      <c r="E81" s="6" t="s">
        <v>1920</v>
      </c>
      <c r="F81" s="478"/>
      <c r="G81" s="47">
        <v>1</v>
      </c>
      <c r="H81" s="529"/>
      <c r="I81" s="636">
        <f t="shared" si="1"/>
        <v>0</v>
      </c>
    </row>
    <row r="82" spans="1:9" x14ac:dyDescent="0.2">
      <c r="A82" s="25" t="s">
        <v>1171</v>
      </c>
      <c r="B82" s="6" t="s">
        <v>441</v>
      </c>
      <c r="C82" s="430"/>
      <c r="D82" s="6"/>
      <c r="E82" s="6" t="s">
        <v>1920</v>
      </c>
      <c r="F82" s="478"/>
      <c r="G82" s="47">
        <v>1</v>
      </c>
      <c r="H82" s="529"/>
      <c r="I82" s="636">
        <f t="shared" si="1"/>
        <v>0</v>
      </c>
    </row>
    <row r="83" spans="1:9" x14ac:dyDescent="0.2">
      <c r="A83" s="25" t="s">
        <v>1172</v>
      </c>
      <c r="B83" s="6" t="s">
        <v>340</v>
      </c>
      <c r="C83" s="430"/>
      <c r="D83" s="6"/>
      <c r="E83" s="6" t="s">
        <v>1920</v>
      </c>
      <c r="F83" s="478"/>
      <c r="G83" s="47">
        <v>2</v>
      </c>
      <c r="H83" s="529"/>
      <c r="I83" s="636">
        <f t="shared" si="1"/>
        <v>0</v>
      </c>
    </row>
    <row r="84" spans="1:9" x14ac:dyDescent="0.2">
      <c r="A84" s="25" t="s">
        <v>1240</v>
      </c>
      <c r="B84" s="6" t="s">
        <v>304</v>
      </c>
      <c r="C84" s="430"/>
      <c r="D84" s="6"/>
      <c r="E84" s="6" t="s">
        <v>1920</v>
      </c>
      <c r="F84" s="478"/>
      <c r="G84" s="47">
        <v>1</v>
      </c>
      <c r="H84" s="529"/>
      <c r="I84" s="636">
        <f t="shared" si="1"/>
        <v>0</v>
      </c>
    </row>
    <row r="85" spans="1:9" x14ac:dyDescent="0.2">
      <c r="A85" s="25" t="s">
        <v>105</v>
      </c>
      <c r="B85" s="6" t="s">
        <v>2118</v>
      </c>
      <c r="C85" s="430"/>
      <c r="D85" s="6"/>
      <c r="E85" s="6" t="s">
        <v>1975</v>
      </c>
      <c r="F85" s="478"/>
      <c r="G85" s="47">
        <v>5</v>
      </c>
      <c r="H85" s="529"/>
      <c r="I85" s="636">
        <f t="shared" si="1"/>
        <v>0</v>
      </c>
    </row>
    <row r="86" spans="1:9" x14ac:dyDescent="0.2">
      <c r="A86" s="25" t="s">
        <v>1156</v>
      </c>
      <c r="B86" s="6" t="s">
        <v>2117</v>
      </c>
      <c r="C86" s="430"/>
      <c r="D86" s="6"/>
      <c r="E86" s="6" t="s">
        <v>1975</v>
      </c>
      <c r="F86" s="478"/>
      <c r="G86" s="47">
        <v>4</v>
      </c>
      <c r="H86" s="529"/>
      <c r="I86" s="636">
        <f t="shared" si="1"/>
        <v>0</v>
      </c>
    </row>
    <row r="87" spans="1:9" x14ac:dyDescent="0.2">
      <c r="A87" s="25" t="s">
        <v>1165</v>
      </c>
      <c r="B87" s="6" t="s">
        <v>294</v>
      </c>
      <c r="C87" s="430"/>
      <c r="D87" s="6"/>
      <c r="E87" s="6" t="s">
        <v>1920</v>
      </c>
      <c r="F87" s="478"/>
      <c r="G87" s="47">
        <v>1</v>
      </c>
      <c r="H87" s="529"/>
      <c r="I87" s="636">
        <f t="shared" si="1"/>
        <v>0</v>
      </c>
    </row>
    <row r="88" spans="1:9" x14ac:dyDescent="0.2">
      <c r="A88" s="25" t="s">
        <v>85</v>
      </c>
      <c r="B88" s="6" t="s">
        <v>113</v>
      </c>
      <c r="C88" s="430"/>
      <c r="D88" s="6"/>
      <c r="E88" s="6" t="s">
        <v>1920</v>
      </c>
      <c r="F88" s="478"/>
      <c r="G88" s="47">
        <v>1</v>
      </c>
      <c r="H88" s="529"/>
      <c r="I88" s="636">
        <f t="shared" si="1"/>
        <v>0</v>
      </c>
    </row>
    <row r="89" spans="1:9" x14ac:dyDescent="0.2">
      <c r="A89" s="25" t="s">
        <v>8</v>
      </c>
      <c r="B89" s="6" t="s">
        <v>256</v>
      </c>
      <c r="C89" s="430"/>
      <c r="D89" s="6"/>
      <c r="E89" s="6" t="s">
        <v>1920</v>
      </c>
      <c r="F89" s="478"/>
      <c r="G89" s="47">
        <v>1</v>
      </c>
      <c r="H89" s="529"/>
      <c r="I89" s="636">
        <f t="shared" si="1"/>
        <v>0</v>
      </c>
    </row>
    <row r="90" spans="1:9" x14ac:dyDescent="0.2">
      <c r="A90" s="25" t="s">
        <v>9</v>
      </c>
      <c r="B90" s="6" t="s">
        <v>375</v>
      </c>
      <c r="C90" s="430"/>
      <c r="D90" s="6"/>
      <c r="E90" s="6" t="s">
        <v>1920</v>
      </c>
      <c r="F90" s="478"/>
      <c r="G90" s="47">
        <v>1</v>
      </c>
      <c r="H90" s="529"/>
      <c r="I90" s="636">
        <f t="shared" si="1"/>
        <v>0</v>
      </c>
    </row>
    <row r="91" spans="1:9" x14ac:dyDescent="0.2">
      <c r="A91" s="25" t="s">
        <v>1085</v>
      </c>
      <c r="B91" s="6" t="s">
        <v>92</v>
      </c>
      <c r="C91" s="430"/>
      <c r="D91" s="6"/>
      <c r="E91" s="6" t="s">
        <v>1920</v>
      </c>
      <c r="F91" s="478"/>
      <c r="G91" s="47">
        <v>2</v>
      </c>
      <c r="H91" s="529"/>
      <c r="I91" s="636">
        <f t="shared" si="1"/>
        <v>0</v>
      </c>
    </row>
    <row r="92" spans="1:9" x14ac:dyDescent="0.2">
      <c r="A92" s="25" t="s">
        <v>4</v>
      </c>
      <c r="B92" s="6" t="s">
        <v>90</v>
      </c>
      <c r="C92" s="430"/>
      <c r="D92" s="6"/>
      <c r="E92" s="6" t="s">
        <v>1920</v>
      </c>
      <c r="F92" s="478"/>
      <c r="G92" s="47">
        <v>2</v>
      </c>
      <c r="H92" s="529"/>
      <c r="I92" s="636">
        <f t="shared" si="1"/>
        <v>0</v>
      </c>
    </row>
    <row r="93" spans="1:9" x14ac:dyDescent="0.2">
      <c r="A93" s="25" t="s">
        <v>1435</v>
      </c>
      <c r="B93" s="6" t="s">
        <v>1841</v>
      </c>
      <c r="C93" s="430"/>
      <c r="D93" s="6"/>
      <c r="E93" s="6" t="s">
        <v>1920</v>
      </c>
      <c r="F93" s="478"/>
      <c r="G93" s="47">
        <v>1</v>
      </c>
      <c r="H93" s="529"/>
      <c r="I93" s="636">
        <f t="shared" si="1"/>
        <v>0</v>
      </c>
    </row>
    <row r="94" spans="1:9" x14ac:dyDescent="0.2">
      <c r="A94" s="25" t="s">
        <v>30</v>
      </c>
      <c r="B94" s="6" t="s">
        <v>1825</v>
      </c>
      <c r="C94" s="430"/>
      <c r="D94" s="6"/>
      <c r="E94" s="6" t="s">
        <v>1920</v>
      </c>
      <c r="F94" s="478"/>
      <c r="G94" s="47">
        <v>1</v>
      </c>
      <c r="H94" s="529"/>
      <c r="I94" s="636">
        <f t="shared" si="1"/>
        <v>0</v>
      </c>
    </row>
    <row r="95" spans="1:9" x14ac:dyDescent="0.2">
      <c r="A95" s="25" t="s">
        <v>29</v>
      </c>
      <c r="B95" s="6" t="s">
        <v>2758</v>
      </c>
      <c r="C95" s="430"/>
      <c r="D95" s="6"/>
      <c r="E95" s="6" t="s">
        <v>1920</v>
      </c>
      <c r="F95" s="478"/>
      <c r="G95" s="47">
        <v>1</v>
      </c>
      <c r="H95" s="529"/>
      <c r="I95" s="636">
        <f t="shared" si="1"/>
        <v>0</v>
      </c>
    </row>
    <row r="96" spans="1:9" x14ac:dyDescent="0.2">
      <c r="A96" s="25" t="s">
        <v>1230</v>
      </c>
      <c r="B96" s="6" t="s">
        <v>584</v>
      </c>
      <c r="C96" s="430"/>
      <c r="D96" s="6"/>
      <c r="E96" s="6" t="s">
        <v>1920</v>
      </c>
      <c r="F96" s="478"/>
      <c r="G96" s="47">
        <v>1</v>
      </c>
      <c r="H96" s="529"/>
      <c r="I96" s="636">
        <f t="shared" si="1"/>
        <v>0</v>
      </c>
    </row>
    <row r="97" spans="1:9" x14ac:dyDescent="0.2">
      <c r="A97" s="25" t="s">
        <v>1339</v>
      </c>
      <c r="B97" s="6" t="s">
        <v>88</v>
      </c>
      <c r="C97" s="430"/>
      <c r="D97" s="6"/>
      <c r="E97" s="6" t="s">
        <v>1920</v>
      </c>
      <c r="F97" s="478"/>
      <c r="G97" s="47">
        <v>1</v>
      </c>
      <c r="H97" s="529"/>
      <c r="I97" s="636">
        <f t="shared" si="1"/>
        <v>0</v>
      </c>
    </row>
    <row r="98" spans="1:9" x14ac:dyDescent="0.2">
      <c r="A98" s="25" t="s">
        <v>1089</v>
      </c>
      <c r="B98" s="6" t="s">
        <v>486</v>
      </c>
      <c r="C98" s="430"/>
      <c r="D98" s="6"/>
      <c r="E98" s="6" t="s">
        <v>1920</v>
      </c>
      <c r="F98" s="478"/>
      <c r="G98" s="47">
        <v>1</v>
      </c>
      <c r="H98" s="529"/>
      <c r="I98" s="636">
        <f t="shared" si="1"/>
        <v>0</v>
      </c>
    </row>
    <row r="99" spans="1:9" x14ac:dyDescent="0.2">
      <c r="A99" s="25" t="s">
        <v>1340</v>
      </c>
      <c r="B99" s="6" t="s">
        <v>87</v>
      </c>
      <c r="C99" s="430"/>
      <c r="D99" s="6"/>
      <c r="E99" s="6" t="s">
        <v>1920</v>
      </c>
      <c r="F99" s="478"/>
      <c r="G99" s="47">
        <v>1</v>
      </c>
      <c r="H99" s="529"/>
      <c r="I99" s="636">
        <f t="shared" si="1"/>
        <v>0</v>
      </c>
    </row>
    <row r="100" spans="1:9" x14ac:dyDescent="0.2">
      <c r="A100" s="25" t="s">
        <v>1291</v>
      </c>
      <c r="B100" s="6" t="s">
        <v>95</v>
      </c>
      <c r="C100" s="430"/>
      <c r="D100" s="6"/>
      <c r="E100" s="6" t="s">
        <v>1920</v>
      </c>
      <c r="F100" s="478"/>
      <c r="G100" s="47">
        <v>1</v>
      </c>
      <c r="H100" s="529"/>
      <c r="I100" s="636">
        <f t="shared" si="1"/>
        <v>0</v>
      </c>
    </row>
    <row r="101" spans="1:9" x14ac:dyDescent="0.2">
      <c r="A101" s="25" t="s">
        <v>1236</v>
      </c>
      <c r="B101" s="6" t="s">
        <v>77</v>
      </c>
      <c r="C101" s="430"/>
      <c r="D101" s="6"/>
      <c r="E101" s="6" t="s">
        <v>1920</v>
      </c>
      <c r="F101" s="478"/>
      <c r="G101" s="47">
        <v>1</v>
      </c>
      <c r="H101" s="529"/>
      <c r="I101" s="636">
        <f t="shared" si="1"/>
        <v>0</v>
      </c>
    </row>
    <row r="102" spans="1:9" x14ac:dyDescent="0.2">
      <c r="A102" s="25" t="s">
        <v>1235</v>
      </c>
      <c r="B102" s="6" t="s">
        <v>78</v>
      </c>
      <c r="C102" s="430"/>
      <c r="D102" s="6"/>
      <c r="E102" s="6" t="s">
        <v>1920</v>
      </c>
      <c r="F102" s="478"/>
      <c r="G102" s="47">
        <v>1</v>
      </c>
      <c r="H102" s="529"/>
      <c r="I102" s="636">
        <f t="shared" si="1"/>
        <v>0</v>
      </c>
    </row>
    <row r="103" spans="1:9" x14ac:dyDescent="0.2">
      <c r="A103" s="25" t="s">
        <v>1237</v>
      </c>
      <c r="B103" s="6" t="s">
        <v>306</v>
      </c>
      <c r="C103" s="430"/>
      <c r="D103" s="6"/>
      <c r="E103" s="6" t="s">
        <v>1920</v>
      </c>
      <c r="F103" s="478"/>
      <c r="G103" s="47">
        <v>1</v>
      </c>
      <c r="H103" s="529"/>
      <c r="I103" s="636">
        <f t="shared" si="1"/>
        <v>0</v>
      </c>
    </row>
    <row r="104" spans="1:9" x14ac:dyDescent="0.2">
      <c r="A104" s="25" t="s">
        <v>1169</v>
      </c>
      <c r="B104" s="6" t="s">
        <v>436</v>
      </c>
      <c r="C104" s="430"/>
      <c r="D104" s="6"/>
      <c r="E104" s="6" t="s">
        <v>1920</v>
      </c>
      <c r="F104" s="478"/>
      <c r="G104" s="47">
        <v>1</v>
      </c>
      <c r="H104" s="529"/>
      <c r="I104" s="636">
        <f t="shared" si="1"/>
        <v>0</v>
      </c>
    </row>
    <row r="105" spans="1:9" x14ac:dyDescent="0.2">
      <c r="A105" s="25" t="s">
        <v>1345</v>
      </c>
      <c r="B105" s="6" t="s">
        <v>79</v>
      </c>
      <c r="C105" s="430"/>
      <c r="D105" s="6"/>
      <c r="E105" s="6" t="s">
        <v>1920</v>
      </c>
      <c r="F105" s="478"/>
      <c r="G105" s="47">
        <v>1</v>
      </c>
      <c r="H105" s="529"/>
      <c r="I105" s="636">
        <f t="shared" si="1"/>
        <v>0</v>
      </c>
    </row>
    <row r="106" spans="1:9" x14ac:dyDescent="0.2">
      <c r="A106" s="25" t="s">
        <v>1232</v>
      </c>
      <c r="B106" s="6" t="s">
        <v>76</v>
      </c>
      <c r="C106" s="430"/>
      <c r="D106" s="6"/>
      <c r="E106" s="6" t="s">
        <v>1920</v>
      </c>
      <c r="F106" s="478"/>
      <c r="G106" s="47">
        <v>1</v>
      </c>
      <c r="H106" s="529"/>
      <c r="I106" s="636">
        <f t="shared" si="1"/>
        <v>0</v>
      </c>
    </row>
    <row r="107" spans="1:9" x14ac:dyDescent="0.2">
      <c r="A107" s="25" t="s">
        <v>1025</v>
      </c>
      <c r="B107" s="6" t="s">
        <v>467</v>
      </c>
      <c r="C107" s="430"/>
      <c r="D107" s="6"/>
      <c r="E107" s="6" t="s">
        <v>1920</v>
      </c>
      <c r="F107" s="478"/>
      <c r="G107" s="47">
        <v>1</v>
      </c>
      <c r="H107" s="529"/>
      <c r="I107" s="636">
        <f t="shared" si="1"/>
        <v>0</v>
      </c>
    </row>
    <row r="108" spans="1:9" x14ac:dyDescent="0.2">
      <c r="A108" s="25" t="s">
        <v>1442</v>
      </c>
      <c r="B108" s="6" t="s">
        <v>554</v>
      </c>
      <c r="C108" s="430"/>
      <c r="D108" s="6"/>
      <c r="E108" s="6" t="s">
        <v>1920</v>
      </c>
      <c r="F108" s="478"/>
      <c r="G108" s="47">
        <v>1</v>
      </c>
      <c r="H108" s="529"/>
      <c r="I108" s="636">
        <f t="shared" si="1"/>
        <v>0</v>
      </c>
    </row>
    <row r="109" spans="1:9" x14ac:dyDescent="0.2">
      <c r="A109" s="25" t="s">
        <v>15</v>
      </c>
      <c r="B109" s="6" t="s">
        <v>380</v>
      </c>
      <c r="C109" s="430"/>
      <c r="D109" s="6"/>
      <c r="E109" s="6" t="s">
        <v>1920</v>
      </c>
      <c r="F109" s="478"/>
      <c r="G109" s="47">
        <v>2</v>
      </c>
      <c r="H109" s="529"/>
      <c r="I109" s="636">
        <f t="shared" si="1"/>
        <v>0</v>
      </c>
    </row>
    <row r="110" spans="1:9" x14ac:dyDescent="0.2">
      <c r="A110" s="25" t="s">
        <v>394</v>
      </c>
      <c r="B110" s="6" t="s">
        <v>396</v>
      </c>
      <c r="C110" s="430"/>
      <c r="D110" s="6"/>
      <c r="E110" s="6" t="s">
        <v>1920</v>
      </c>
      <c r="F110" s="478"/>
      <c r="G110" s="47">
        <v>1</v>
      </c>
      <c r="H110" s="529"/>
      <c r="I110" s="636">
        <f t="shared" si="1"/>
        <v>0</v>
      </c>
    </row>
    <row r="111" spans="1:9" x14ac:dyDescent="0.2">
      <c r="A111" s="25" t="s">
        <v>393</v>
      </c>
      <c r="B111" s="6" t="s">
        <v>397</v>
      </c>
      <c r="C111" s="430"/>
      <c r="D111" s="6"/>
      <c r="E111" s="6" t="s">
        <v>1920</v>
      </c>
      <c r="F111" s="478"/>
      <c r="G111" s="47">
        <v>1</v>
      </c>
      <c r="H111" s="529"/>
      <c r="I111" s="636">
        <f t="shared" si="1"/>
        <v>0</v>
      </c>
    </row>
    <row r="112" spans="1:9" x14ac:dyDescent="0.2">
      <c r="A112" s="25" t="s">
        <v>395</v>
      </c>
      <c r="B112" s="6" t="s">
        <v>398</v>
      </c>
      <c r="C112" s="430"/>
      <c r="D112" s="6"/>
      <c r="E112" s="6" t="s">
        <v>1920</v>
      </c>
      <c r="F112" s="478"/>
      <c r="G112" s="47">
        <v>1</v>
      </c>
      <c r="H112" s="529"/>
      <c r="I112" s="636">
        <f t="shared" si="1"/>
        <v>0</v>
      </c>
    </row>
    <row r="113" spans="1:9" x14ac:dyDescent="0.2">
      <c r="A113" s="25" t="s">
        <v>392</v>
      </c>
      <c r="B113" s="6" t="s">
        <v>666</v>
      </c>
      <c r="C113" s="430"/>
      <c r="D113" s="6"/>
      <c r="E113" s="6" t="s">
        <v>1920</v>
      </c>
      <c r="F113" s="478"/>
      <c r="G113" s="47">
        <v>1</v>
      </c>
      <c r="H113" s="529"/>
      <c r="I113" s="636">
        <f t="shared" si="1"/>
        <v>0</v>
      </c>
    </row>
    <row r="114" spans="1:9" s="1" customFormat="1" ht="15.75" x14ac:dyDescent="0.25">
      <c r="A114" s="25" t="s">
        <v>37</v>
      </c>
      <c r="B114" s="6" t="s">
        <v>38</v>
      </c>
      <c r="C114" s="430"/>
      <c r="D114" s="6"/>
      <c r="E114" s="6" t="s">
        <v>1920</v>
      </c>
      <c r="F114" s="478"/>
      <c r="G114" s="47">
        <v>1</v>
      </c>
      <c r="H114" s="529"/>
      <c r="I114" s="636">
        <f t="shared" si="1"/>
        <v>0</v>
      </c>
    </row>
    <row r="115" spans="1:9" x14ac:dyDescent="0.2">
      <c r="A115" s="25" t="s">
        <v>109</v>
      </c>
      <c r="B115" s="6" t="s">
        <v>110</v>
      </c>
      <c r="C115" s="430"/>
      <c r="D115" s="6"/>
      <c r="E115" s="6" t="s">
        <v>1920</v>
      </c>
      <c r="F115" s="478"/>
      <c r="G115" s="47">
        <v>1</v>
      </c>
      <c r="H115" s="529"/>
      <c r="I115" s="636">
        <f t="shared" si="1"/>
        <v>0</v>
      </c>
    </row>
    <row r="116" spans="1:9" x14ac:dyDescent="0.2">
      <c r="A116" s="25" t="s">
        <v>1036</v>
      </c>
      <c r="B116" s="6" t="s">
        <v>468</v>
      </c>
      <c r="C116" s="430"/>
      <c r="D116" s="6"/>
      <c r="E116" s="6" t="s">
        <v>1920</v>
      </c>
      <c r="F116" s="478"/>
      <c r="G116" s="47">
        <v>1</v>
      </c>
      <c r="H116" s="529"/>
      <c r="I116" s="636">
        <f t="shared" si="1"/>
        <v>0</v>
      </c>
    </row>
    <row r="117" spans="1:9" x14ac:dyDescent="0.2">
      <c r="A117" s="25" t="s">
        <v>10</v>
      </c>
      <c r="B117" s="6" t="s">
        <v>469</v>
      </c>
      <c r="C117" s="430"/>
      <c r="D117" s="6"/>
      <c r="E117" s="6" t="s">
        <v>1920</v>
      </c>
      <c r="F117" s="478"/>
      <c r="G117" s="47">
        <v>1</v>
      </c>
      <c r="H117" s="529"/>
      <c r="I117" s="636">
        <f t="shared" si="1"/>
        <v>0</v>
      </c>
    </row>
    <row r="118" spans="1:9" x14ac:dyDescent="0.2">
      <c r="A118" s="25" t="s">
        <v>101</v>
      </c>
      <c r="B118" s="6" t="s">
        <v>509</v>
      </c>
      <c r="C118" s="430"/>
      <c r="D118" s="6"/>
      <c r="E118" s="6" t="s">
        <v>1920</v>
      </c>
      <c r="F118" s="478"/>
      <c r="G118" s="47">
        <v>1</v>
      </c>
      <c r="H118" s="529"/>
      <c r="I118" s="636">
        <f t="shared" si="1"/>
        <v>0</v>
      </c>
    </row>
    <row r="119" spans="1:9" x14ac:dyDescent="0.2">
      <c r="A119" s="25" t="s">
        <v>1090</v>
      </c>
      <c r="B119" s="6">
        <v>56707</v>
      </c>
      <c r="C119" s="430"/>
      <c r="D119" s="6"/>
      <c r="E119" s="6">
        <v>25795</v>
      </c>
      <c r="F119" s="478"/>
      <c r="G119" s="47">
        <v>1</v>
      </c>
      <c r="H119" s="529"/>
      <c r="I119" s="636">
        <f t="shared" si="1"/>
        <v>0</v>
      </c>
    </row>
    <row r="120" spans="1:9" x14ac:dyDescent="0.2">
      <c r="A120" s="25" t="s">
        <v>1159</v>
      </c>
      <c r="B120" s="6" t="s">
        <v>282</v>
      </c>
      <c r="C120" s="430"/>
      <c r="D120" s="6"/>
      <c r="E120" s="6" t="s">
        <v>1920</v>
      </c>
      <c r="F120" s="478"/>
      <c r="G120" s="47">
        <v>1</v>
      </c>
      <c r="H120" s="529"/>
      <c r="I120" s="636">
        <f t="shared" si="1"/>
        <v>0</v>
      </c>
    </row>
    <row r="121" spans="1:9" x14ac:dyDescent="0.2">
      <c r="A121" s="25" t="s">
        <v>61</v>
      </c>
      <c r="B121" s="6" t="s">
        <v>62</v>
      </c>
      <c r="C121" s="430"/>
      <c r="D121" s="6"/>
      <c r="E121" s="6" t="s">
        <v>1920</v>
      </c>
      <c r="F121" s="478"/>
      <c r="G121" s="47">
        <v>1</v>
      </c>
      <c r="H121" s="529"/>
      <c r="I121" s="636">
        <f t="shared" si="1"/>
        <v>0</v>
      </c>
    </row>
    <row r="122" spans="1:9" x14ac:dyDescent="0.2">
      <c r="A122" s="25" t="s">
        <v>138</v>
      </c>
      <c r="B122" s="6" t="s">
        <v>139</v>
      </c>
      <c r="C122" s="430"/>
      <c r="D122" s="6"/>
      <c r="E122" s="6" t="s">
        <v>1920</v>
      </c>
      <c r="F122" s="478"/>
      <c r="G122" s="47">
        <v>1</v>
      </c>
      <c r="H122" s="529"/>
      <c r="I122" s="636">
        <f t="shared" si="1"/>
        <v>0</v>
      </c>
    </row>
    <row r="123" spans="1:9" x14ac:dyDescent="0.2">
      <c r="A123" s="25" t="s">
        <v>128</v>
      </c>
      <c r="B123" s="6" t="s">
        <v>129</v>
      </c>
      <c r="C123" s="430"/>
      <c r="D123" s="6"/>
      <c r="E123" s="6" t="s">
        <v>1920</v>
      </c>
      <c r="F123" s="478"/>
      <c r="G123" s="47">
        <v>1</v>
      </c>
      <c r="H123" s="529"/>
      <c r="I123" s="636">
        <f t="shared" si="1"/>
        <v>0</v>
      </c>
    </row>
    <row r="124" spans="1:9" x14ac:dyDescent="0.2">
      <c r="A124" s="25" t="s">
        <v>134</v>
      </c>
      <c r="B124" s="6" t="s">
        <v>135</v>
      </c>
      <c r="C124" s="430"/>
      <c r="D124" s="6"/>
      <c r="E124" s="6" t="s">
        <v>1920</v>
      </c>
      <c r="F124" s="478"/>
      <c r="G124" s="47">
        <v>1</v>
      </c>
      <c r="H124" s="529"/>
      <c r="I124" s="636">
        <f t="shared" si="1"/>
        <v>0</v>
      </c>
    </row>
    <row r="125" spans="1:9" x14ac:dyDescent="0.2">
      <c r="A125" s="25" t="s">
        <v>136</v>
      </c>
      <c r="B125" s="6" t="s">
        <v>137</v>
      </c>
      <c r="C125" s="430"/>
      <c r="D125" s="6"/>
      <c r="E125" s="6" t="s">
        <v>1920</v>
      </c>
      <c r="F125" s="478"/>
      <c r="G125" s="47">
        <v>1</v>
      </c>
      <c r="H125" s="529"/>
      <c r="I125" s="636">
        <f t="shared" si="1"/>
        <v>0</v>
      </c>
    </row>
    <row r="126" spans="1:9" x14ac:dyDescent="0.2">
      <c r="A126" s="25" t="s">
        <v>126</v>
      </c>
      <c r="B126" s="6" t="s">
        <v>127</v>
      </c>
      <c r="C126" s="430"/>
      <c r="D126" s="6"/>
      <c r="E126" s="6" t="s">
        <v>1920</v>
      </c>
      <c r="F126" s="478"/>
      <c r="G126" s="47">
        <v>1</v>
      </c>
      <c r="H126" s="529"/>
      <c r="I126" s="636">
        <f t="shared" si="1"/>
        <v>0</v>
      </c>
    </row>
    <row r="127" spans="1:9" x14ac:dyDescent="0.2">
      <c r="A127" s="25" t="s">
        <v>132</v>
      </c>
      <c r="B127" s="6" t="s">
        <v>133</v>
      </c>
      <c r="C127" s="430"/>
      <c r="D127" s="6"/>
      <c r="E127" s="6" t="s">
        <v>1920</v>
      </c>
      <c r="F127" s="478"/>
      <c r="G127" s="47">
        <v>1</v>
      </c>
      <c r="H127" s="529"/>
      <c r="I127" s="636">
        <f t="shared" si="1"/>
        <v>0</v>
      </c>
    </row>
    <row r="128" spans="1:9" x14ac:dyDescent="0.2">
      <c r="A128" s="25" t="s">
        <v>130</v>
      </c>
      <c r="B128" s="6" t="s">
        <v>131</v>
      </c>
      <c r="C128" s="430"/>
      <c r="D128" s="6"/>
      <c r="E128" s="6" t="s">
        <v>1920</v>
      </c>
      <c r="F128" s="478"/>
      <c r="G128" s="47">
        <v>1</v>
      </c>
      <c r="H128" s="529"/>
      <c r="I128" s="636">
        <f t="shared" si="1"/>
        <v>0</v>
      </c>
    </row>
    <row r="129" spans="1:9" x14ac:dyDescent="0.2">
      <c r="A129" s="25" t="s">
        <v>341</v>
      </c>
      <c r="B129" s="6" t="s">
        <v>2852</v>
      </c>
      <c r="C129" s="430"/>
      <c r="D129" s="6"/>
      <c r="E129" s="6" t="s">
        <v>1928</v>
      </c>
      <c r="F129" s="478"/>
      <c r="G129" s="47">
        <v>1</v>
      </c>
      <c r="H129" s="529"/>
      <c r="I129" s="636">
        <f t="shared" si="1"/>
        <v>0</v>
      </c>
    </row>
    <row r="130" spans="1:9" x14ac:dyDescent="0.2">
      <c r="A130" s="25" t="s">
        <v>2110</v>
      </c>
      <c r="B130" s="6" t="s">
        <v>2100</v>
      </c>
      <c r="C130" s="430"/>
      <c r="D130" s="6"/>
      <c r="E130" s="6" t="s">
        <v>1920</v>
      </c>
      <c r="F130" s="478"/>
      <c r="G130" s="47">
        <v>1</v>
      </c>
      <c r="H130" s="529"/>
      <c r="I130" s="636">
        <f t="shared" si="1"/>
        <v>0</v>
      </c>
    </row>
    <row r="131" spans="1:9" x14ac:dyDescent="0.2">
      <c r="A131" s="25" t="s">
        <v>1179</v>
      </c>
      <c r="B131" s="6" t="s">
        <v>117</v>
      </c>
      <c r="C131" s="430"/>
      <c r="D131" s="6"/>
      <c r="E131" s="6" t="s">
        <v>1920</v>
      </c>
      <c r="F131" s="478"/>
      <c r="G131" s="47">
        <v>1</v>
      </c>
      <c r="H131" s="529"/>
      <c r="I131" s="636">
        <f t="shared" ref="I131:I133" si="2">+G131*H131</f>
        <v>0</v>
      </c>
    </row>
    <row r="132" spans="1:9" x14ac:dyDescent="0.2">
      <c r="A132" s="25" t="s">
        <v>20</v>
      </c>
      <c r="B132" s="6" t="s">
        <v>287</v>
      </c>
      <c r="C132" s="430"/>
      <c r="D132" s="6"/>
      <c r="E132" s="6" t="s">
        <v>1920</v>
      </c>
      <c r="F132" s="478"/>
      <c r="G132" s="47">
        <v>1</v>
      </c>
      <c r="H132" s="529"/>
      <c r="I132" s="636">
        <f t="shared" si="2"/>
        <v>0</v>
      </c>
    </row>
    <row r="133" spans="1:9" x14ac:dyDescent="0.2">
      <c r="A133" s="25" t="s">
        <v>13</v>
      </c>
      <c r="B133" s="6" t="s">
        <v>471</v>
      </c>
      <c r="C133" s="430"/>
      <c r="D133" s="6"/>
      <c r="E133" s="6" t="s">
        <v>1920</v>
      </c>
      <c r="F133" s="478"/>
      <c r="G133" s="47">
        <v>1</v>
      </c>
      <c r="H133" s="529"/>
      <c r="I133" s="636">
        <f t="shared" si="2"/>
        <v>0</v>
      </c>
    </row>
    <row r="134" spans="1:9" x14ac:dyDescent="0.2">
      <c r="A134" s="119"/>
      <c r="B134" s="85"/>
      <c r="C134" s="85"/>
      <c r="D134" s="85"/>
      <c r="E134" s="85"/>
      <c r="F134" s="85"/>
      <c r="G134" s="119"/>
      <c r="H134" s="519"/>
      <c r="I134" s="637">
        <f>SUM(I2:I133)</f>
        <v>0</v>
      </c>
    </row>
    <row r="135" spans="1:9" x14ac:dyDescent="0.2">
      <c r="A135" s="119"/>
      <c r="B135" s="85"/>
      <c r="C135" s="85"/>
      <c r="D135" s="85"/>
      <c r="E135" s="85"/>
      <c r="F135" s="85"/>
      <c r="G135" s="119"/>
      <c r="H135" s="519"/>
    </row>
    <row r="137" spans="1:9" s="4" customFormat="1" ht="18" x14ac:dyDescent="0.25">
      <c r="A137" s="422" t="s">
        <v>1771</v>
      </c>
      <c r="B137" s="425"/>
      <c r="C137" s="309"/>
      <c r="D137" s="16"/>
      <c r="E137" s="16"/>
      <c r="F137" s="226"/>
      <c r="G137" s="16"/>
      <c r="H137" s="531"/>
      <c r="I137" s="541"/>
    </row>
    <row r="138" spans="1:9" s="4" customFormat="1" ht="18" x14ac:dyDescent="0.25">
      <c r="A138" s="422" t="s">
        <v>2945</v>
      </c>
      <c r="B138" s="425"/>
      <c r="C138" s="309"/>
      <c r="D138" s="3"/>
      <c r="E138" s="3"/>
      <c r="F138" s="309"/>
      <c r="G138" s="3"/>
      <c r="H138" s="531"/>
      <c r="I138" s="541"/>
    </row>
    <row r="139" spans="1:9" ht="18" x14ac:dyDescent="0.25">
      <c r="A139" s="491" t="s">
        <v>3342</v>
      </c>
      <c r="B139" s="6"/>
    </row>
    <row r="140" spans="1:9" ht="18" x14ac:dyDescent="0.25">
      <c r="A140" s="449" t="s">
        <v>3367</v>
      </c>
      <c r="B140" s="608">
        <f>+I134</f>
        <v>0</v>
      </c>
    </row>
  </sheetData>
  <sortState xmlns:xlrd2="http://schemas.microsoft.com/office/spreadsheetml/2017/richdata2" ref="A2:H138">
    <sortCondition ref="B2:B138"/>
  </sortState>
  <pageMargins left="0.7" right="0.7" top="0.75" bottom="0.75" header="0.3" footer="0.3"/>
  <pageSetup scale="7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20"/>
  <sheetViews>
    <sheetView workbookViewId="0">
      <pane ySplit="1" topLeftCell="A88" activePane="bottomLeft" state="frozen"/>
      <selection activeCell="C26" sqref="C26"/>
      <selection pane="bottomLeft" activeCell="G2" sqref="G2:G115"/>
    </sheetView>
  </sheetViews>
  <sheetFormatPr defaultColWidth="9.140625" defaultRowHeight="15.75" x14ac:dyDescent="0.25"/>
  <cols>
    <col min="1" max="1" width="69.42578125" style="1" bestFit="1" customWidth="1"/>
    <col min="2" max="2" width="16.140625" style="2" bestFit="1" customWidth="1"/>
    <col min="3" max="3" width="20.42578125" style="325" bestFit="1" customWidth="1"/>
    <col min="4" max="4" width="20.140625" style="2" bestFit="1" customWidth="1"/>
    <col min="5" max="5" width="12.42578125" style="2" bestFit="1" customWidth="1"/>
    <col min="6" max="6" width="15.5703125" style="325" bestFit="1" customWidth="1"/>
    <col min="7" max="7" width="11.42578125" style="87" customWidth="1"/>
    <col min="8" max="8" width="11.42578125" style="640" bestFit="1" customWidth="1"/>
    <col min="9" max="9" width="16.85546875" style="640" bestFit="1" customWidth="1"/>
    <col min="10" max="16384" width="9.140625" style="1"/>
  </cols>
  <sheetData>
    <row r="1" spans="1:9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13" t="s">
        <v>412</v>
      </c>
      <c r="H1" s="528" t="s">
        <v>3368</v>
      </c>
      <c r="I1" s="528" t="s">
        <v>3369</v>
      </c>
    </row>
    <row r="2" spans="1:9" x14ac:dyDescent="0.25">
      <c r="A2" s="27" t="s">
        <v>3076</v>
      </c>
      <c r="B2" s="244">
        <v>45455</v>
      </c>
      <c r="C2" s="430"/>
      <c r="D2" s="71"/>
      <c r="E2" s="71" t="s">
        <v>1951</v>
      </c>
      <c r="F2" s="625"/>
      <c r="G2" s="28">
        <v>1</v>
      </c>
      <c r="H2" s="546"/>
      <c r="I2" s="639">
        <f>+G2*H2</f>
        <v>0</v>
      </c>
    </row>
    <row r="3" spans="1:9" x14ac:dyDescent="0.25">
      <c r="A3" s="27" t="s">
        <v>3190</v>
      </c>
      <c r="B3" s="33">
        <v>80005</v>
      </c>
      <c r="C3" s="430"/>
      <c r="D3" s="71"/>
      <c r="E3" s="71">
        <v>25795</v>
      </c>
      <c r="F3" s="625"/>
      <c r="G3" s="28">
        <v>1</v>
      </c>
      <c r="H3" s="546"/>
      <c r="I3" s="639">
        <f t="shared" ref="I3:I66" si="0">+G3*H3</f>
        <v>0</v>
      </c>
    </row>
    <row r="4" spans="1:9" x14ac:dyDescent="0.25">
      <c r="A4" s="27" t="s">
        <v>1125</v>
      </c>
      <c r="B4" s="33">
        <v>8130020</v>
      </c>
      <c r="C4" s="430"/>
      <c r="D4" s="71"/>
      <c r="E4" s="71" t="s">
        <v>1975</v>
      </c>
      <c r="F4" s="625"/>
      <c r="G4" s="28">
        <v>2</v>
      </c>
      <c r="H4" s="546"/>
      <c r="I4" s="639">
        <f t="shared" si="0"/>
        <v>0</v>
      </c>
    </row>
    <row r="5" spans="1:9" x14ac:dyDescent="0.25">
      <c r="A5" s="27" t="s">
        <v>1128</v>
      </c>
      <c r="B5" s="33">
        <v>8130040</v>
      </c>
      <c r="C5" s="430"/>
      <c r="D5" s="71"/>
      <c r="E5" s="71" t="s">
        <v>1975</v>
      </c>
      <c r="F5" s="625"/>
      <c r="G5" s="28">
        <v>1</v>
      </c>
      <c r="H5" s="546"/>
      <c r="I5" s="639">
        <f t="shared" si="0"/>
        <v>0</v>
      </c>
    </row>
    <row r="6" spans="1:9" x14ac:dyDescent="0.25">
      <c r="A6" s="27" t="s">
        <v>1160</v>
      </c>
      <c r="B6" s="33" t="s">
        <v>2751</v>
      </c>
      <c r="C6" s="430"/>
      <c r="D6" s="71"/>
      <c r="E6" s="71" t="s">
        <v>1920</v>
      </c>
      <c r="F6" s="625"/>
      <c r="G6" s="28">
        <v>1</v>
      </c>
      <c r="H6" s="546"/>
      <c r="I6" s="639">
        <f t="shared" si="0"/>
        <v>0</v>
      </c>
    </row>
    <row r="7" spans="1:9" x14ac:dyDescent="0.25">
      <c r="A7" s="27" t="s">
        <v>5</v>
      </c>
      <c r="B7" s="33" t="s">
        <v>466</v>
      </c>
      <c r="C7" s="430"/>
      <c r="D7" s="71"/>
      <c r="E7" s="71" t="s">
        <v>1920</v>
      </c>
      <c r="F7" s="625"/>
      <c r="G7" s="28">
        <v>1</v>
      </c>
      <c r="H7" s="546"/>
      <c r="I7" s="639">
        <f t="shared" si="0"/>
        <v>0</v>
      </c>
    </row>
    <row r="8" spans="1:9" x14ac:dyDescent="0.25">
      <c r="A8" s="27" t="s">
        <v>1193</v>
      </c>
      <c r="B8" s="33" t="s">
        <v>316</v>
      </c>
      <c r="C8" s="430"/>
      <c r="D8" s="71"/>
      <c r="E8" s="71" t="s">
        <v>1920</v>
      </c>
      <c r="F8" s="625"/>
      <c r="G8" s="28">
        <v>1</v>
      </c>
      <c r="H8" s="546"/>
      <c r="I8" s="639">
        <f t="shared" si="0"/>
        <v>0</v>
      </c>
    </row>
    <row r="9" spans="1:9" x14ac:dyDescent="0.25">
      <c r="A9" s="27" t="s">
        <v>1195</v>
      </c>
      <c r="B9" s="33" t="s">
        <v>314</v>
      </c>
      <c r="C9" s="430"/>
      <c r="D9" s="71"/>
      <c r="E9" s="71" t="s">
        <v>1920</v>
      </c>
      <c r="F9" s="625"/>
      <c r="G9" s="28">
        <v>1</v>
      </c>
      <c r="H9" s="546"/>
      <c r="I9" s="639">
        <f t="shared" si="0"/>
        <v>0</v>
      </c>
    </row>
    <row r="10" spans="1:9" x14ac:dyDescent="0.25">
      <c r="A10" s="27" t="s">
        <v>1051</v>
      </c>
      <c r="B10" s="33" t="s">
        <v>317</v>
      </c>
      <c r="C10" s="430"/>
      <c r="D10" s="71"/>
      <c r="E10" s="71" t="s">
        <v>1920</v>
      </c>
      <c r="F10" s="625"/>
      <c r="G10" s="28">
        <v>1</v>
      </c>
      <c r="H10" s="546"/>
      <c r="I10" s="639">
        <f t="shared" si="0"/>
        <v>0</v>
      </c>
    </row>
    <row r="11" spans="1:9" x14ac:dyDescent="0.25">
      <c r="A11" s="27" t="s">
        <v>3243</v>
      </c>
      <c r="B11" s="33" t="s">
        <v>82</v>
      </c>
      <c r="C11" s="430"/>
      <c r="D11" s="71"/>
      <c r="E11" s="71" t="s">
        <v>1920</v>
      </c>
      <c r="F11" s="625"/>
      <c r="G11" s="28">
        <v>1</v>
      </c>
      <c r="H11" s="546"/>
      <c r="I11" s="639">
        <f t="shared" si="0"/>
        <v>0</v>
      </c>
    </row>
    <row r="12" spans="1:9" x14ac:dyDescent="0.25">
      <c r="A12" s="27" t="s">
        <v>3244</v>
      </c>
      <c r="B12" s="33" t="s">
        <v>308</v>
      </c>
      <c r="C12" s="430"/>
      <c r="D12" s="71"/>
      <c r="E12" s="71" t="s">
        <v>1920</v>
      </c>
      <c r="F12" s="625"/>
      <c r="G12" s="28">
        <v>1</v>
      </c>
      <c r="H12" s="546"/>
      <c r="I12" s="639">
        <f t="shared" si="0"/>
        <v>0</v>
      </c>
    </row>
    <row r="13" spans="1:9" x14ac:dyDescent="0.25">
      <c r="A13" s="27" t="s">
        <v>16</v>
      </c>
      <c r="B13" s="33" t="s">
        <v>476</v>
      </c>
      <c r="C13" s="430"/>
      <c r="D13" s="71"/>
      <c r="E13" s="71" t="s">
        <v>1920</v>
      </c>
      <c r="F13" s="625"/>
      <c r="G13" s="28">
        <v>1</v>
      </c>
      <c r="H13" s="546"/>
      <c r="I13" s="639">
        <f t="shared" si="0"/>
        <v>0</v>
      </c>
    </row>
    <row r="14" spans="1:9" x14ac:dyDescent="0.25">
      <c r="A14" s="27" t="s">
        <v>1192</v>
      </c>
      <c r="B14" s="33" t="s">
        <v>94</v>
      </c>
      <c r="C14" s="430"/>
      <c r="D14" s="71"/>
      <c r="E14" s="71" t="s">
        <v>1920</v>
      </c>
      <c r="F14" s="625"/>
      <c r="G14" s="28">
        <v>2</v>
      </c>
      <c r="H14" s="546"/>
      <c r="I14" s="639">
        <f t="shared" si="0"/>
        <v>0</v>
      </c>
    </row>
    <row r="15" spans="1:9" x14ac:dyDescent="0.25">
      <c r="A15" s="27" t="s">
        <v>1297</v>
      </c>
      <c r="B15" s="33" t="s">
        <v>89</v>
      </c>
      <c r="C15" s="430"/>
      <c r="D15" s="71"/>
      <c r="E15" s="71" t="s">
        <v>1920</v>
      </c>
      <c r="F15" s="625"/>
      <c r="G15" s="28">
        <v>1</v>
      </c>
      <c r="H15" s="546"/>
      <c r="I15" s="639">
        <f t="shared" si="0"/>
        <v>0</v>
      </c>
    </row>
    <row r="16" spans="1:9" x14ac:dyDescent="0.25">
      <c r="A16" s="27" t="s">
        <v>1305</v>
      </c>
      <c r="B16" s="33" t="s">
        <v>659</v>
      </c>
      <c r="C16" s="430"/>
      <c r="D16" s="71"/>
      <c r="E16" s="71" t="s">
        <v>1920</v>
      </c>
      <c r="F16" s="625"/>
      <c r="G16" s="28">
        <v>1</v>
      </c>
      <c r="H16" s="546"/>
      <c r="I16" s="639">
        <f t="shared" si="0"/>
        <v>0</v>
      </c>
    </row>
    <row r="17" spans="1:9" x14ac:dyDescent="0.25">
      <c r="A17" s="27" t="s">
        <v>1519</v>
      </c>
      <c r="B17" s="33" t="s">
        <v>660</v>
      </c>
      <c r="C17" s="430"/>
      <c r="D17" s="71"/>
      <c r="E17" s="71" t="s">
        <v>1920</v>
      </c>
      <c r="F17" s="625"/>
      <c r="G17" s="28">
        <v>1</v>
      </c>
      <c r="H17" s="546"/>
      <c r="I17" s="639">
        <f t="shared" si="0"/>
        <v>0</v>
      </c>
    </row>
    <row r="18" spans="1:9" x14ac:dyDescent="0.25">
      <c r="A18" s="27" t="s">
        <v>1520</v>
      </c>
      <c r="B18" s="33" t="s">
        <v>661</v>
      </c>
      <c r="C18" s="430"/>
      <c r="D18" s="71"/>
      <c r="E18" s="71" t="s">
        <v>1920</v>
      </c>
      <c r="F18" s="625"/>
      <c r="G18" s="28">
        <v>1</v>
      </c>
      <c r="H18" s="546"/>
      <c r="I18" s="639">
        <f t="shared" si="0"/>
        <v>0</v>
      </c>
    </row>
    <row r="19" spans="1:9" x14ac:dyDescent="0.25">
      <c r="A19" s="27" t="s">
        <v>1029</v>
      </c>
      <c r="B19" s="33" t="s">
        <v>251</v>
      </c>
      <c r="C19" s="430"/>
      <c r="D19" s="71"/>
      <c r="E19" s="71" t="s">
        <v>1920</v>
      </c>
      <c r="F19" s="625"/>
      <c r="G19" s="28">
        <v>1</v>
      </c>
      <c r="H19" s="546"/>
      <c r="I19" s="639">
        <f t="shared" si="0"/>
        <v>0</v>
      </c>
    </row>
    <row r="20" spans="1:9" x14ac:dyDescent="0.25">
      <c r="A20" s="27" t="s">
        <v>1292</v>
      </c>
      <c r="B20" s="33" t="s">
        <v>421</v>
      </c>
      <c r="C20" s="430"/>
      <c r="D20" s="71"/>
      <c r="E20" s="71" t="s">
        <v>1920</v>
      </c>
      <c r="F20" s="625"/>
      <c r="G20" s="28">
        <v>1</v>
      </c>
      <c r="H20" s="546"/>
      <c r="I20" s="639">
        <f t="shared" si="0"/>
        <v>0</v>
      </c>
    </row>
    <row r="21" spans="1:9" x14ac:dyDescent="0.25">
      <c r="A21" s="27" t="s">
        <v>1355</v>
      </c>
      <c r="B21" s="33" t="s">
        <v>427</v>
      </c>
      <c r="C21" s="430"/>
      <c r="D21" s="71"/>
      <c r="E21" s="71" t="s">
        <v>1920</v>
      </c>
      <c r="F21" s="625"/>
      <c r="G21" s="28">
        <v>1</v>
      </c>
      <c r="H21" s="546"/>
      <c r="I21" s="639">
        <f t="shared" si="0"/>
        <v>0</v>
      </c>
    </row>
    <row r="22" spans="1:9" x14ac:dyDescent="0.25">
      <c r="A22" s="27" t="s">
        <v>1293</v>
      </c>
      <c r="B22" s="33" t="s">
        <v>428</v>
      </c>
      <c r="C22" s="430"/>
      <c r="D22" s="71"/>
      <c r="E22" s="71" t="s">
        <v>1920</v>
      </c>
      <c r="F22" s="625"/>
      <c r="G22" s="28">
        <v>1</v>
      </c>
      <c r="H22" s="546"/>
      <c r="I22" s="639">
        <f t="shared" si="0"/>
        <v>0</v>
      </c>
    </row>
    <row r="23" spans="1:9" x14ac:dyDescent="0.25">
      <c r="A23" s="27" t="s">
        <v>1356</v>
      </c>
      <c r="B23" s="33" t="s">
        <v>7</v>
      </c>
      <c r="C23" s="430"/>
      <c r="D23" s="71"/>
      <c r="E23" s="71" t="s">
        <v>1920</v>
      </c>
      <c r="F23" s="625"/>
      <c r="G23" s="28">
        <v>1</v>
      </c>
      <c r="H23" s="546"/>
      <c r="I23" s="639">
        <f t="shared" si="0"/>
        <v>0</v>
      </c>
    </row>
    <row r="24" spans="1:9" x14ac:dyDescent="0.25">
      <c r="A24" s="27" t="s">
        <v>1139</v>
      </c>
      <c r="B24" s="33" t="s">
        <v>45</v>
      </c>
      <c r="C24" s="430"/>
      <c r="D24" s="71"/>
      <c r="E24" s="71" t="s">
        <v>1920</v>
      </c>
      <c r="F24" s="625"/>
      <c r="G24" s="28">
        <v>1</v>
      </c>
      <c r="H24" s="546"/>
      <c r="I24" s="639">
        <f t="shared" si="0"/>
        <v>0</v>
      </c>
    </row>
    <row r="25" spans="1:9" x14ac:dyDescent="0.25">
      <c r="A25" s="27" t="s">
        <v>1035</v>
      </c>
      <c r="B25" s="33" t="s">
        <v>414</v>
      </c>
      <c r="C25" s="430"/>
      <c r="D25" s="71"/>
      <c r="E25" s="71" t="s">
        <v>1920</v>
      </c>
      <c r="F25" s="625"/>
      <c r="G25" s="28">
        <v>1</v>
      </c>
      <c r="H25" s="546"/>
      <c r="I25" s="639">
        <f t="shared" si="0"/>
        <v>0</v>
      </c>
    </row>
    <row r="26" spans="1:9" x14ac:dyDescent="0.25">
      <c r="A26" s="27" t="s">
        <v>1033</v>
      </c>
      <c r="B26" s="33" t="s">
        <v>98</v>
      </c>
      <c r="C26" s="430"/>
      <c r="D26" s="71"/>
      <c r="E26" s="71" t="s">
        <v>1920</v>
      </c>
      <c r="F26" s="625"/>
      <c r="G26" s="28">
        <v>1</v>
      </c>
      <c r="H26" s="546"/>
      <c r="I26" s="639">
        <f t="shared" si="0"/>
        <v>0</v>
      </c>
    </row>
    <row r="27" spans="1:9" x14ac:dyDescent="0.25">
      <c r="A27" s="27" t="s">
        <v>1027</v>
      </c>
      <c r="B27" s="33" t="s">
        <v>415</v>
      </c>
      <c r="C27" s="430"/>
      <c r="D27" s="71"/>
      <c r="E27" s="71" t="s">
        <v>1920</v>
      </c>
      <c r="F27" s="625"/>
      <c r="G27" s="28">
        <v>1</v>
      </c>
      <c r="H27" s="546"/>
      <c r="I27" s="639">
        <f t="shared" si="0"/>
        <v>0</v>
      </c>
    </row>
    <row r="28" spans="1:9" x14ac:dyDescent="0.25">
      <c r="A28" s="27" t="s">
        <v>1031</v>
      </c>
      <c r="B28" s="33" t="s">
        <v>416</v>
      </c>
      <c r="C28" s="430"/>
      <c r="D28" s="71"/>
      <c r="E28" s="71" t="s">
        <v>1920</v>
      </c>
      <c r="F28" s="625"/>
      <c r="G28" s="28">
        <v>1</v>
      </c>
      <c r="H28" s="546"/>
      <c r="I28" s="639">
        <f t="shared" si="0"/>
        <v>0</v>
      </c>
    </row>
    <row r="29" spans="1:9" x14ac:dyDescent="0.25">
      <c r="A29" s="27" t="s">
        <v>1144</v>
      </c>
      <c r="B29" s="33" t="s">
        <v>203</v>
      </c>
      <c r="C29" s="430"/>
      <c r="D29" s="71"/>
      <c r="E29" s="71" t="s">
        <v>1920</v>
      </c>
      <c r="F29" s="625"/>
      <c r="G29" s="28">
        <v>1</v>
      </c>
      <c r="H29" s="546"/>
      <c r="I29" s="639">
        <f t="shared" si="0"/>
        <v>0</v>
      </c>
    </row>
    <row r="30" spans="1:9" x14ac:dyDescent="0.25">
      <c r="A30" s="27" t="s">
        <v>1034</v>
      </c>
      <c r="B30" s="33" t="s">
        <v>417</v>
      </c>
      <c r="C30" s="430"/>
      <c r="D30" s="71"/>
      <c r="E30" s="71" t="s">
        <v>1920</v>
      </c>
      <c r="F30" s="625"/>
      <c r="G30" s="28">
        <v>1</v>
      </c>
      <c r="H30" s="546"/>
      <c r="I30" s="639">
        <f t="shared" si="0"/>
        <v>0</v>
      </c>
    </row>
    <row r="31" spans="1:9" x14ac:dyDescent="0.25">
      <c r="A31" s="27" t="s">
        <v>1357</v>
      </c>
      <c r="B31" s="33" t="s">
        <v>418</v>
      </c>
      <c r="C31" s="430"/>
      <c r="D31" s="71"/>
      <c r="E31" s="71" t="s">
        <v>1920</v>
      </c>
      <c r="F31" s="625"/>
      <c r="G31" s="28">
        <v>1</v>
      </c>
      <c r="H31" s="546"/>
      <c r="I31" s="639">
        <f t="shared" si="0"/>
        <v>0</v>
      </c>
    </row>
    <row r="32" spans="1:9" x14ac:dyDescent="0.25">
      <c r="A32" s="27" t="s">
        <v>1026</v>
      </c>
      <c r="B32" s="33" t="s">
        <v>99</v>
      </c>
      <c r="C32" s="430"/>
      <c r="D32" s="71"/>
      <c r="E32" s="71" t="s">
        <v>1920</v>
      </c>
      <c r="F32" s="625"/>
      <c r="G32" s="28">
        <v>1</v>
      </c>
      <c r="H32" s="546"/>
      <c r="I32" s="639">
        <f t="shared" si="0"/>
        <v>0</v>
      </c>
    </row>
    <row r="33" spans="1:9" x14ac:dyDescent="0.25">
      <c r="A33" s="27" t="s">
        <v>34</v>
      </c>
      <c r="B33" s="33" t="s">
        <v>1826</v>
      </c>
      <c r="C33" s="430"/>
      <c r="D33" s="71"/>
      <c r="E33" s="71" t="s">
        <v>1920</v>
      </c>
      <c r="F33" s="625"/>
      <c r="G33" s="28">
        <v>1</v>
      </c>
      <c r="H33" s="546"/>
      <c r="I33" s="639">
        <f t="shared" si="0"/>
        <v>0</v>
      </c>
    </row>
    <row r="34" spans="1:9" x14ac:dyDescent="0.25">
      <c r="A34" s="27" t="s">
        <v>3156</v>
      </c>
      <c r="B34" s="33" t="s">
        <v>801</v>
      </c>
      <c r="C34" s="430"/>
      <c r="D34" s="71"/>
      <c r="E34" s="71" t="s">
        <v>1920</v>
      </c>
      <c r="F34" s="625"/>
      <c r="G34" s="28">
        <v>1</v>
      </c>
      <c r="H34" s="546"/>
      <c r="I34" s="639">
        <f t="shared" si="0"/>
        <v>0</v>
      </c>
    </row>
    <row r="35" spans="1:9" x14ac:dyDescent="0.25">
      <c r="A35" s="27" t="s">
        <v>1084</v>
      </c>
      <c r="B35" s="33" t="s">
        <v>21</v>
      </c>
      <c r="C35" s="430"/>
      <c r="D35" s="71"/>
      <c r="E35" s="71" t="s">
        <v>1920</v>
      </c>
      <c r="F35" s="625"/>
      <c r="G35" s="28">
        <v>2</v>
      </c>
      <c r="H35" s="546"/>
      <c r="I35" s="639">
        <f t="shared" si="0"/>
        <v>0</v>
      </c>
    </row>
    <row r="36" spans="1:9" x14ac:dyDescent="0.25">
      <c r="A36" s="27" t="s">
        <v>39</v>
      </c>
      <c r="B36" s="33" t="s">
        <v>245</v>
      </c>
      <c r="C36" s="430"/>
      <c r="D36" s="71"/>
      <c r="E36" s="71" t="s">
        <v>1920</v>
      </c>
      <c r="F36" s="625"/>
      <c r="G36" s="28">
        <v>1</v>
      </c>
      <c r="H36" s="546"/>
      <c r="I36" s="639">
        <f t="shared" si="0"/>
        <v>0</v>
      </c>
    </row>
    <row r="37" spans="1:9" x14ac:dyDescent="0.25">
      <c r="A37" s="27" t="s">
        <v>211</v>
      </c>
      <c r="B37" s="33" t="s">
        <v>212</v>
      </c>
      <c r="C37" s="430"/>
      <c r="D37" s="71"/>
      <c r="E37" s="71" t="s">
        <v>1920</v>
      </c>
      <c r="F37" s="625"/>
      <c r="G37" s="28">
        <v>1</v>
      </c>
      <c r="H37" s="546"/>
      <c r="I37" s="639">
        <f t="shared" si="0"/>
        <v>0</v>
      </c>
    </row>
    <row r="38" spans="1:9" x14ac:dyDescent="0.25">
      <c r="A38" s="27" t="s">
        <v>209</v>
      </c>
      <c r="B38" s="33" t="s">
        <v>210</v>
      </c>
      <c r="C38" s="430"/>
      <c r="D38" s="71"/>
      <c r="E38" s="71" t="s">
        <v>1920</v>
      </c>
      <c r="F38" s="625"/>
      <c r="G38" s="28">
        <v>1</v>
      </c>
      <c r="H38" s="546"/>
      <c r="I38" s="639">
        <f t="shared" si="0"/>
        <v>0</v>
      </c>
    </row>
    <row r="39" spans="1:9" x14ac:dyDescent="0.25">
      <c r="A39" s="27" t="s">
        <v>11</v>
      </c>
      <c r="B39" s="33" t="s">
        <v>278</v>
      </c>
      <c r="C39" s="430"/>
      <c r="D39" s="71"/>
      <c r="E39" s="71" t="s">
        <v>1920</v>
      </c>
      <c r="F39" s="625"/>
      <c r="G39" s="28">
        <v>1</v>
      </c>
      <c r="H39" s="546"/>
      <c r="I39" s="639">
        <f t="shared" si="0"/>
        <v>0</v>
      </c>
    </row>
    <row r="40" spans="1:9" x14ac:dyDescent="0.25">
      <c r="A40" s="27" t="s">
        <v>12</v>
      </c>
      <c r="B40" s="33" t="s">
        <v>171</v>
      </c>
      <c r="C40" s="430"/>
      <c r="D40" s="71"/>
      <c r="E40" s="71" t="s">
        <v>1920</v>
      </c>
      <c r="F40" s="625"/>
      <c r="G40" s="28">
        <v>1</v>
      </c>
      <c r="H40" s="546"/>
      <c r="I40" s="639">
        <f t="shared" si="0"/>
        <v>0</v>
      </c>
    </row>
    <row r="41" spans="1:9" x14ac:dyDescent="0.25">
      <c r="A41" s="27" t="s">
        <v>111</v>
      </c>
      <c r="B41" s="33" t="s">
        <v>560</v>
      </c>
      <c r="C41" s="430"/>
      <c r="D41" s="71"/>
      <c r="E41" s="71" t="s">
        <v>1920</v>
      </c>
      <c r="F41" s="625"/>
      <c r="G41" s="28">
        <v>1</v>
      </c>
      <c r="H41" s="546"/>
      <c r="I41" s="639">
        <f t="shared" si="0"/>
        <v>0</v>
      </c>
    </row>
    <row r="42" spans="1:9" x14ac:dyDescent="0.25">
      <c r="A42" s="27" t="s">
        <v>1058</v>
      </c>
      <c r="B42" s="33" t="s">
        <v>154</v>
      </c>
      <c r="C42" s="430"/>
      <c r="D42" s="71"/>
      <c r="E42" s="71" t="s">
        <v>1920</v>
      </c>
      <c r="F42" s="625"/>
      <c r="G42" s="28">
        <v>1</v>
      </c>
      <c r="H42" s="546"/>
      <c r="I42" s="639">
        <f t="shared" si="0"/>
        <v>0</v>
      </c>
    </row>
    <row r="43" spans="1:9" x14ac:dyDescent="0.25">
      <c r="A43" s="27" t="s">
        <v>6</v>
      </c>
      <c r="B43" s="33" t="s">
        <v>91</v>
      </c>
      <c r="C43" s="430"/>
      <c r="D43" s="71"/>
      <c r="E43" s="71" t="s">
        <v>1920</v>
      </c>
      <c r="F43" s="625"/>
      <c r="G43" s="28">
        <v>1</v>
      </c>
      <c r="H43" s="546"/>
      <c r="I43" s="639">
        <f t="shared" si="0"/>
        <v>0</v>
      </c>
    </row>
    <row r="44" spans="1:9" x14ac:dyDescent="0.25">
      <c r="A44" s="27" t="s">
        <v>202</v>
      </c>
      <c r="B44" s="33" t="s">
        <v>260</v>
      </c>
      <c r="C44" s="430"/>
      <c r="D44" s="71"/>
      <c r="E44" s="71" t="s">
        <v>1920</v>
      </c>
      <c r="F44" s="625"/>
      <c r="G44" s="28">
        <v>1</v>
      </c>
      <c r="H44" s="546"/>
      <c r="I44" s="639">
        <f t="shared" si="0"/>
        <v>0</v>
      </c>
    </row>
    <row r="45" spans="1:9" x14ac:dyDescent="0.25">
      <c r="A45" s="27" t="s">
        <v>44</v>
      </c>
      <c r="B45" s="33" t="s">
        <v>896</v>
      </c>
      <c r="C45" s="430"/>
      <c r="D45" s="71"/>
      <c r="E45" s="71" t="s">
        <v>1920</v>
      </c>
      <c r="F45" s="625"/>
      <c r="G45" s="28">
        <v>1</v>
      </c>
      <c r="H45" s="546"/>
      <c r="I45" s="639">
        <f t="shared" si="0"/>
        <v>0</v>
      </c>
    </row>
    <row r="46" spans="1:9" x14ac:dyDescent="0.25">
      <c r="A46" s="27" t="s">
        <v>1379</v>
      </c>
      <c r="B46" s="33" t="s">
        <v>63</v>
      </c>
      <c r="C46" s="430"/>
      <c r="D46" s="71"/>
      <c r="E46" s="71" t="s">
        <v>1920</v>
      </c>
      <c r="F46" s="625"/>
      <c r="G46" s="28">
        <v>1</v>
      </c>
      <c r="H46" s="546"/>
      <c r="I46" s="639">
        <f t="shared" si="0"/>
        <v>0</v>
      </c>
    </row>
    <row r="47" spans="1:9" x14ac:dyDescent="0.25">
      <c r="A47" s="27" t="s">
        <v>3</v>
      </c>
      <c r="B47" s="33" t="s">
        <v>465</v>
      </c>
      <c r="C47" s="430"/>
      <c r="D47" s="71"/>
      <c r="E47" s="71" t="s">
        <v>1920</v>
      </c>
      <c r="F47" s="625"/>
      <c r="G47" s="28">
        <v>1</v>
      </c>
      <c r="H47" s="546"/>
      <c r="I47" s="639">
        <f t="shared" si="0"/>
        <v>0</v>
      </c>
    </row>
    <row r="48" spans="1:9" x14ac:dyDescent="0.25">
      <c r="A48" s="27" t="s">
        <v>1622</v>
      </c>
      <c r="B48" s="33" t="s">
        <v>681</v>
      </c>
      <c r="C48" s="430"/>
      <c r="D48" s="71"/>
      <c r="E48" s="71" t="s">
        <v>1920</v>
      </c>
      <c r="F48" s="625"/>
      <c r="G48" s="28">
        <v>1</v>
      </c>
      <c r="H48" s="546"/>
      <c r="I48" s="639">
        <f t="shared" si="0"/>
        <v>0</v>
      </c>
    </row>
    <row r="49" spans="1:9" x14ac:dyDescent="0.25">
      <c r="A49" s="27" t="s">
        <v>1388</v>
      </c>
      <c r="B49" s="33" t="s">
        <v>630</v>
      </c>
      <c r="C49" s="430"/>
      <c r="D49" s="71"/>
      <c r="E49" s="71" t="s">
        <v>1920</v>
      </c>
      <c r="F49" s="625"/>
      <c r="G49" s="28">
        <v>1</v>
      </c>
      <c r="H49" s="546"/>
      <c r="I49" s="639">
        <f t="shared" si="0"/>
        <v>0</v>
      </c>
    </row>
    <row r="50" spans="1:9" x14ac:dyDescent="0.25">
      <c r="A50" s="27" t="s">
        <v>1528</v>
      </c>
      <c r="B50" s="33" t="s">
        <v>663</v>
      </c>
      <c r="C50" s="430"/>
      <c r="D50" s="71"/>
      <c r="E50" s="71" t="s">
        <v>1920</v>
      </c>
      <c r="F50" s="625"/>
      <c r="G50" s="28">
        <v>1</v>
      </c>
      <c r="H50" s="546"/>
      <c r="I50" s="639">
        <f t="shared" si="0"/>
        <v>0</v>
      </c>
    </row>
    <row r="51" spans="1:9" x14ac:dyDescent="0.25">
      <c r="A51" s="27" t="s">
        <v>180</v>
      </c>
      <c r="B51" s="33" t="s">
        <v>479</v>
      </c>
      <c r="C51" s="430"/>
      <c r="D51" s="71"/>
      <c r="E51" s="71" t="s">
        <v>1920</v>
      </c>
      <c r="F51" s="625"/>
      <c r="G51" s="28">
        <v>1</v>
      </c>
      <c r="H51" s="546"/>
      <c r="I51" s="639">
        <f t="shared" si="0"/>
        <v>0</v>
      </c>
    </row>
    <row r="52" spans="1:9" x14ac:dyDescent="0.25">
      <c r="A52" s="27" t="s">
        <v>1091</v>
      </c>
      <c r="B52" s="33" t="s">
        <v>2841</v>
      </c>
      <c r="C52" s="430"/>
      <c r="D52" s="71"/>
      <c r="E52" s="71" t="s">
        <v>1928</v>
      </c>
      <c r="F52" s="625"/>
      <c r="G52" s="28">
        <v>1</v>
      </c>
      <c r="H52" s="546"/>
      <c r="I52" s="639">
        <f t="shared" si="0"/>
        <v>0</v>
      </c>
    </row>
    <row r="53" spans="1:9" x14ac:dyDescent="0.25">
      <c r="A53" s="27" t="s">
        <v>3245</v>
      </c>
      <c r="B53" s="33" t="s">
        <v>2842</v>
      </c>
      <c r="C53" s="430"/>
      <c r="D53" s="71"/>
      <c r="E53" s="71" t="s">
        <v>1928</v>
      </c>
      <c r="F53" s="625"/>
      <c r="G53" s="28">
        <v>1</v>
      </c>
      <c r="H53" s="546"/>
      <c r="I53" s="639">
        <f t="shared" si="0"/>
        <v>0</v>
      </c>
    </row>
    <row r="54" spans="1:9" x14ac:dyDescent="0.25">
      <c r="A54" s="27" t="s">
        <v>3246</v>
      </c>
      <c r="B54" s="33" t="s">
        <v>2843</v>
      </c>
      <c r="C54" s="430"/>
      <c r="D54" s="71"/>
      <c r="E54" s="71" t="s">
        <v>1928</v>
      </c>
      <c r="F54" s="625"/>
      <c r="G54" s="28">
        <v>1</v>
      </c>
      <c r="H54" s="546"/>
      <c r="I54" s="639">
        <f t="shared" si="0"/>
        <v>0</v>
      </c>
    </row>
    <row r="55" spans="1:9" x14ac:dyDescent="0.25">
      <c r="A55" s="27" t="s">
        <v>2205</v>
      </c>
      <c r="B55" s="33" t="s">
        <v>2844</v>
      </c>
      <c r="C55" s="430"/>
      <c r="D55" s="71"/>
      <c r="E55" s="71" t="s">
        <v>1928</v>
      </c>
      <c r="F55" s="625"/>
      <c r="G55" s="28">
        <v>1</v>
      </c>
      <c r="H55" s="546"/>
      <c r="I55" s="639">
        <f t="shared" si="0"/>
        <v>0</v>
      </c>
    </row>
    <row r="56" spans="1:9" x14ac:dyDescent="0.25">
      <c r="A56" s="27" t="s">
        <v>2206</v>
      </c>
      <c r="B56" s="33" t="s">
        <v>2845</v>
      </c>
      <c r="C56" s="430"/>
      <c r="D56" s="71"/>
      <c r="E56" s="71" t="s">
        <v>1928</v>
      </c>
      <c r="F56" s="625"/>
      <c r="G56" s="28">
        <v>1</v>
      </c>
      <c r="H56" s="546"/>
      <c r="I56" s="639">
        <f t="shared" si="0"/>
        <v>0</v>
      </c>
    </row>
    <row r="57" spans="1:9" x14ac:dyDescent="0.25">
      <c r="A57" s="27" t="s">
        <v>2204</v>
      </c>
      <c r="B57" s="33" t="s">
        <v>2846</v>
      </c>
      <c r="C57" s="430"/>
      <c r="D57" s="71"/>
      <c r="E57" s="71" t="s">
        <v>1928</v>
      </c>
      <c r="F57" s="625"/>
      <c r="G57" s="28">
        <v>1</v>
      </c>
      <c r="H57" s="546"/>
      <c r="I57" s="639">
        <f t="shared" si="0"/>
        <v>0</v>
      </c>
    </row>
    <row r="58" spans="1:9" x14ac:dyDescent="0.25">
      <c r="A58" s="27" t="s">
        <v>1203</v>
      </c>
      <c r="B58" s="33" t="s">
        <v>2847</v>
      </c>
      <c r="C58" s="430"/>
      <c r="D58" s="71"/>
      <c r="E58" s="71" t="s">
        <v>1928</v>
      </c>
      <c r="F58" s="625"/>
      <c r="G58" s="28">
        <v>1</v>
      </c>
      <c r="H58" s="546"/>
      <c r="I58" s="639">
        <f t="shared" si="0"/>
        <v>0</v>
      </c>
    </row>
    <row r="59" spans="1:9" x14ac:dyDescent="0.25">
      <c r="A59" s="27" t="s">
        <v>66</v>
      </c>
      <c r="B59" s="33" t="s">
        <v>1836</v>
      </c>
      <c r="C59" s="430"/>
      <c r="D59" s="71"/>
      <c r="E59" s="71" t="s">
        <v>1947</v>
      </c>
      <c r="F59" s="625"/>
      <c r="G59" s="28">
        <v>1</v>
      </c>
      <c r="H59" s="546"/>
      <c r="I59" s="639">
        <f t="shared" si="0"/>
        <v>0</v>
      </c>
    </row>
    <row r="60" spans="1:9" x14ac:dyDescent="0.25">
      <c r="A60" s="27" t="s">
        <v>36</v>
      </c>
      <c r="B60" s="33" t="s">
        <v>869</v>
      </c>
      <c r="C60" s="430"/>
      <c r="D60" s="71" t="s">
        <v>1877</v>
      </c>
      <c r="E60" s="71" t="s">
        <v>1928</v>
      </c>
      <c r="F60" s="625"/>
      <c r="G60" s="28">
        <v>1</v>
      </c>
      <c r="H60" s="546"/>
      <c r="I60" s="639">
        <f t="shared" si="0"/>
        <v>0</v>
      </c>
    </row>
    <row r="61" spans="1:9" x14ac:dyDescent="0.25">
      <c r="A61" s="27" t="s">
        <v>1490</v>
      </c>
      <c r="B61" s="33" t="s">
        <v>932</v>
      </c>
      <c r="C61" s="430"/>
      <c r="D61" s="71" t="s">
        <v>1883</v>
      </c>
      <c r="E61" s="71" t="s">
        <v>1928</v>
      </c>
      <c r="F61" s="625"/>
      <c r="G61" s="28">
        <v>1</v>
      </c>
      <c r="H61" s="546"/>
      <c r="I61" s="639">
        <f t="shared" si="0"/>
        <v>0</v>
      </c>
    </row>
    <row r="62" spans="1:9" x14ac:dyDescent="0.25">
      <c r="A62" s="27" t="s">
        <v>1491</v>
      </c>
      <c r="B62" s="33" t="s">
        <v>870</v>
      </c>
      <c r="C62" s="430"/>
      <c r="D62" s="71" t="s">
        <v>1884</v>
      </c>
      <c r="E62" s="71" t="s">
        <v>1928</v>
      </c>
      <c r="F62" s="625"/>
      <c r="G62" s="28">
        <v>1</v>
      </c>
      <c r="H62" s="546"/>
      <c r="I62" s="639">
        <f t="shared" si="0"/>
        <v>0</v>
      </c>
    </row>
    <row r="63" spans="1:9" x14ac:dyDescent="0.25">
      <c r="A63" s="27" t="s">
        <v>1381</v>
      </c>
      <c r="B63" s="33" t="s">
        <v>1838</v>
      </c>
      <c r="C63" s="430"/>
      <c r="D63" s="71" t="s">
        <v>1885</v>
      </c>
      <c r="E63" s="71" t="s">
        <v>1928</v>
      </c>
      <c r="F63" s="625"/>
      <c r="G63" s="28">
        <v>1</v>
      </c>
      <c r="H63" s="546"/>
      <c r="I63" s="639">
        <f t="shared" si="0"/>
        <v>0</v>
      </c>
    </row>
    <row r="64" spans="1:9" x14ac:dyDescent="0.25">
      <c r="A64" s="27" t="s">
        <v>1492</v>
      </c>
      <c r="B64" s="33" t="s">
        <v>871</v>
      </c>
      <c r="C64" s="430"/>
      <c r="D64" s="71" t="s">
        <v>1887</v>
      </c>
      <c r="E64" s="71" t="s">
        <v>1928</v>
      </c>
      <c r="F64" s="625"/>
      <c r="G64" s="28">
        <v>1</v>
      </c>
      <c r="H64" s="546"/>
      <c r="I64" s="639">
        <f t="shared" si="0"/>
        <v>0</v>
      </c>
    </row>
    <row r="65" spans="1:9" x14ac:dyDescent="0.25">
      <c r="A65" s="27" t="s">
        <v>1493</v>
      </c>
      <c r="B65" s="33" t="s">
        <v>526</v>
      </c>
      <c r="C65" s="430"/>
      <c r="D65" s="71" t="s">
        <v>1888</v>
      </c>
      <c r="E65" s="71" t="s">
        <v>1928</v>
      </c>
      <c r="F65" s="625"/>
      <c r="G65" s="28">
        <v>1</v>
      </c>
      <c r="H65" s="546"/>
      <c r="I65" s="639">
        <f t="shared" si="0"/>
        <v>0</v>
      </c>
    </row>
    <row r="66" spans="1:9" x14ac:dyDescent="0.25">
      <c r="A66" s="27" t="s">
        <v>3250</v>
      </c>
      <c r="B66" s="33" t="s">
        <v>318</v>
      </c>
      <c r="C66" s="430"/>
      <c r="D66" s="71"/>
      <c r="E66" s="71" t="s">
        <v>1920</v>
      </c>
      <c r="F66" s="625"/>
      <c r="G66" s="28">
        <v>1</v>
      </c>
      <c r="H66" s="546"/>
      <c r="I66" s="639">
        <f t="shared" si="0"/>
        <v>0</v>
      </c>
    </row>
    <row r="67" spans="1:9" x14ac:dyDescent="0.25">
      <c r="A67" s="27" t="s">
        <v>1182</v>
      </c>
      <c r="B67" s="33" t="s">
        <v>366</v>
      </c>
      <c r="C67" s="430"/>
      <c r="D67" s="71"/>
      <c r="E67" s="71" t="s">
        <v>1920</v>
      </c>
      <c r="F67" s="625"/>
      <c r="G67" s="28">
        <v>1</v>
      </c>
      <c r="H67" s="546"/>
      <c r="I67" s="639">
        <f t="shared" ref="I67:I115" si="1">+G67*H67</f>
        <v>0</v>
      </c>
    </row>
    <row r="68" spans="1:9" x14ac:dyDescent="0.25">
      <c r="A68" s="27" t="s">
        <v>1076</v>
      </c>
      <c r="B68" s="33" t="s">
        <v>502</v>
      </c>
      <c r="C68" s="430"/>
      <c r="D68" s="71"/>
      <c r="E68" s="71" t="s">
        <v>1920</v>
      </c>
      <c r="F68" s="625"/>
      <c r="G68" s="28">
        <v>1</v>
      </c>
      <c r="H68" s="546"/>
      <c r="I68" s="639">
        <f t="shared" si="1"/>
        <v>0</v>
      </c>
    </row>
    <row r="69" spans="1:9" x14ac:dyDescent="0.25">
      <c r="A69" s="27" t="s">
        <v>14</v>
      </c>
      <c r="B69" s="33" t="s">
        <v>472</v>
      </c>
      <c r="C69" s="430"/>
      <c r="D69" s="71"/>
      <c r="E69" s="71" t="s">
        <v>1971</v>
      </c>
      <c r="F69" s="625"/>
      <c r="G69" s="28">
        <v>2</v>
      </c>
      <c r="H69" s="546"/>
      <c r="I69" s="639">
        <f t="shared" si="1"/>
        <v>0</v>
      </c>
    </row>
    <row r="70" spans="1:9" x14ac:dyDescent="0.25">
      <c r="A70" s="27" t="s">
        <v>1040</v>
      </c>
      <c r="B70" s="33" t="s">
        <v>274</v>
      </c>
      <c r="C70" s="430"/>
      <c r="D70" s="71"/>
      <c r="E70" s="71" t="s">
        <v>1920</v>
      </c>
      <c r="F70" s="625"/>
      <c r="G70" s="28">
        <v>1</v>
      </c>
      <c r="H70" s="546"/>
      <c r="I70" s="639">
        <f t="shared" si="1"/>
        <v>0</v>
      </c>
    </row>
    <row r="71" spans="1:9" x14ac:dyDescent="0.25">
      <c r="A71" s="27" t="s">
        <v>1406</v>
      </c>
      <c r="B71" s="33" t="s">
        <v>217</v>
      </c>
      <c r="C71" s="430"/>
      <c r="D71" s="71"/>
      <c r="E71" s="71" t="s">
        <v>1920</v>
      </c>
      <c r="F71" s="625"/>
      <c r="G71" s="28">
        <v>1</v>
      </c>
      <c r="H71" s="546"/>
      <c r="I71" s="639">
        <f t="shared" si="1"/>
        <v>0</v>
      </c>
    </row>
    <row r="72" spans="1:9" x14ac:dyDescent="0.25">
      <c r="A72" s="27" t="s">
        <v>1210</v>
      </c>
      <c r="B72" s="33" t="s">
        <v>475</v>
      </c>
      <c r="C72" s="430"/>
      <c r="D72" s="71"/>
      <c r="E72" s="71" t="s">
        <v>1920</v>
      </c>
      <c r="F72" s="625"/>
      <c r="G72" s="28">
        <v>2</v>
      </c>
      <c r="H72" s="546"/>
      <c r="I72" s="639">
        <f t="shared" si="1"/>
        <v>0</v>
      </c>
    </row>
    <row r="73" spans="1:9" x14ac:dyDescent="0.25">
      <c r="A73" s="27" t="s">
        <v>1129</v>
      </c>
      <c r="B73" s="33" t="s">
        <v>107</v>
      </c>
      <c r="C73" s="430"/>
      <c r="D73" s="71"/>
      <c r="E73" s="71" t="s">
        <v>1920</v>
      </c>
      <c r="F73" s="625"/>
      <c r="G73" s="28">
        <v>1</v>
      </c>
      <c r="H73" s="546"/>
      <c r="I73" s="639">
        <f t="shared" si="1"/>
        <v>0</v>
      </c>
    </row>
    <row r="74" spans="1:9" x14ac:dyDescent="0.25">
      <c r="A74" s="27" t="s">
        <v>3116</v>
      </c>
      <c r="B74" s="33" t="s">
        <v>872</v>
      </c>
      <c r="C74" s="430"/>
      <c r="D74" s="71"/>
      <c r="E74" s="71" t="s">
        <v>1920</v>
      </c>
      <c r="F74" s="625"/>
      <c r="G74" s="28">
        <v>2</v>
      </c>
      <c r="H74" s="546"/>
      <c r="I74" s="639">
        <f t="shared" si="1"/>
        <v>0</v>
      </c>
    </row>
    <row r="75" spans="1:9" x14ac:dyDescent="0.25">
      <c r="A75" s="27" t="s">
        <v>25</v>
      </c>
      <c r="B75" s="33" t="s">
        <v>300</v>
      </c>
      <c r="C75" s="430"/>
      <c r="D75" s="71"/>
      <c r="E75" s="71" t="s">
        <v>1920</v>
      </c>
      <c r="F75" s="625"/>
      <c r="G75" s="28">
        <v>1</v>
      </c>
      <c r="H75" s="546"/>
      <c r="I75" s="639">
        <f t="shared" si="1"/>
        <v>0</v>
      </c>
    </row>
    <row r="76" spans="1:9" x14ac:dyDescent="0.25">
      <c r="A76" s="27" t="s">
        <v>24</v>
      </c>
      <c r="B76" s="33" t="s">
        <v>297</v>
      </c>
      <c r="C76" s="430"/>
      <c r="D76" s="71"/>
      <c r="E76" s="71" t="s">
        <v>1920</v>
      </c>
      <c r="F76" s="625"/>
      <c r="G76" s="28">
        <v>1</v>
      </c>
      <c r="H76" s="546"/>
      <c r="I76" s="639">
        <f t="shared" si="1"/>
        <v>0</v>
      </c>
    </row>
    <row r="77" spans="1:9" x14ac:dyDescent="0.25">
      <c r="A77" s="27" t="s">
        <v>1275</v>
      </c>
      <c r="B77" s="33" t="s">
        <v>478</v>
      </c>
      <c r="C77" s="430"/>
      <c r="D77" s="71"/>
      <c r="E77" s="71" t="s">
        <v>1920</v>
      </c>
      <c r="F77" s="625"/>
      <c r="G77" s="28">
        <v>1</v>
      </c>
      <c r="H77" s="546"/>
      <c r="I77" s="639">
        <f t="shared" si="1"/>
        <v>0</v>
      </c>
    </row>
    <row r="78" spans="1:9" x14ac:dyDescent="0.25">
      <c r="A78" s="27" t="s">
        <v>1250</v>
      </c>
      <c r="B78" s="33" t="s">
        <v>462</v>
      </c>
      <c r="C78" s="430"/>
      <c r="D78" s="71"/>
      <c r="E78" s="71" t="s">
        <v>1920</v>
      </c>
      <c r="F78" s="625"/>
      <c r="G78" s="28">
        <v>1</v>
      </c>
      <c r="H78" s="546"/>
      <c r="I78" s="639">
        <f t="shared" si="1"/>
        <v>0</v>
      </c>
    </row>
    <row r="79" spans="1:9" x14ac:dyDescent="0.25">
      <c r="A79" s="27" t="s">
        <v>1245</v>
      </c>
      <c r="B79" s="33" t="s">
        <v>662</v>
      </c>
      <c r="C79" s="430"/>
      <c r="D79" s="71"/>
      <c r="E79" s="71" t="s">
        <v>1920</v>
      </c>
      <c r="F79" s="625"/>
      <c r="G79" s="28">
        <v>1</v>
      </c>
      <c r="H79" s="546"/>
      <c r="I79" s="639">
        <f t="shared" si="1"/>
        <v>0</v>
      </c>
    </row>
    <row r="80" spans="1:9" x14ac:dyDescent="0.25">
      <c r="A80" s="27" t="s">
        <v>1253</v>
      </c>
      <c r="B80" s="33" t="s">
        <v>315</v>
      </c>
      <c r="C80" s="430"/>
      <c r="D80" s="71"/>
      <c r="E80" s="71" t="s">
        <v>1920</v>
      </c>
      <c r="F80" s="625"/>
      <c r="G80" s="28">
        <v>1</v>
      </c>
      <c r="H80" s="546"/>
      <c r="I80" s="639">
        <f t="shared" si="1"/>
        <v>0</v>
      </c>
    </row>
    <row r="81" spans="1:9" x14ac:dyDescent="0.25">
      <c r="A81" s="27" t="s">
        <v>1247</v>
      </c>
      <c r="B81" s="33" t="s">
        <v>443</v>
      </c>
      <c r="C81" s="430"/>
      <c r="D81" s="71"/>
      <c r="E81" s="71" t="s">
        <v>1920</v>
      </c>
      <c r="F81" s="625"/>
      <c r="G81" s="28">
        <v>1</v>
      </c>
      <c r="H81" s="546"/>
      <c r="I81" s="639">
        <f t="shared" si="1"/>
        <v>0</v>
      </c>
    </row>
    <row r="82" spans="1:9" x14ac:dyDescent="0.25">
      <c r="A82" s="27" t="s">
        <v>1216</v>
      </c>
      <c r="B82" s="33" t="s">
        <v>391</v>
      </c>
      <c r="C82" s="430"/>
      <c r="D82" s="71"/>
      <c r="E82" s="71" t="s">
        <v>1920</v>
      </c>
      <c r="F82" s="625"/>
      <c r="G82" s="28">
        <v>1</v>
      </c>
      <c r="H82" s="546"/>
      <c r="I82" s="639">
        <f t="shared" si="1"/>
        <v>0</v>
      </c>
    </row>
    <row r="83" spans="1:9" x14ac:dyDescent="0.25">
      <c r="A83" s="27" t="s">
        <v>1164</v>
      </c>
      <c r="B83" s="33" t="s">
        <v>665</v>
      </c>
      <c r="C83" s="430"/>
      <c r="D83" s="71"/>
      <c r="E83" s="71" t="s">
        <v>1920</v>
      </c>
      <c r="F83" s="625"/>
      <c r="G83" s="28">
        <v>1</v>
      </c>
      <c r="H83" s="546"/>
      <c r="I83" s="639">
        <f t="shared" si="1"/>
        <v>0</v>
      </c>
    </row>
    <row r="84" spans="1:9" x14ac:dyDescent="0.25">
      <c r="A84" s="27" t="s">
        <v>1426</v>
      </c>
      <c r="B84" s="33" t="s">
        <v>534</v>
      </c>
      <c r="C84" s="430"/>
      <c r="D84" s="71"/>
      <c r="E84" s="71" t="s">
        <v>1920</v>
      </c>
      <c r="F84" s="625"/>
      <c r="G84" s="28">
        <v>1</v>
      </c>
      <c r="H84" s="546"/>
      <c r="I84" s="639">
        <f t="shared" si="1"/>
        <v>0</v>
      </c>
    </row>
    <row r="85" spans="1:9" x14ac:dyDescent="0.25">
      <c r="A85" s="27" t="s">
        <v>2133</v>
      </c>
      <c r="B85" s="33" t="s">
        <v>2909</v>
      </c>
      <c r="C85" s="430"/>
      <c r="D85" s="71"/>
      <c r="E85" s="71" t="s">
        <v>1971</v>
      </c>
      <c r="F85" s="625"/>
      <c r="G85" s="28">
        <v>2</v>
      </c>
      <c r="H85" s="546"/>
      <c r="I85" s="639">
        <f t="shared" si="1"/>
        <v>0</v>
      </c>
    </row>
    <row r="86" spans="1:9" x14ac:dyDescent="0.25">
      <c r="A86" s="27" t="s">
        <v>1242</v>
      </c>
      <c r="B86" s="33" t="s">
        <v>305</v>
      </c>
      <c r="C86" s="430"/>
      <c r="D86" s="71"/>
      <c r="E86" s="71" t="s">
        <v>1920</v>
      </c>
      <c r="F86" s="625"/>
      <c r="G86" s="28">
        <v>1</v>
      </c>
      <c r="H86" s="546"/>
      <c r="I86" s="639">
        <f t="shared" si="1"/>
        <v>0</v>
      </c>
    </row>
    <row r="87" spans="1:9" x14ac:dyDescent="0.25">
      <c r="A87" s="27" t="s">
        <v>105</v>
      </c>
      <c r="B87" s="33" t="s">
        <v>2118</v>
      </c>
      <c r="C87" s="430"/>
      <c r="D87" s="71"/>
      <c r="E87" s="71" t="s">
        <v>1920</v>
      </c>
      <c r="F87" s="625"/>
      <c r="G87" s="28">
        <v>2</v>
      </c>
      <c r="H87" s="546"/>
      <c r="I87" s="639">
        <f t="shared" si="1"/>
        <v>0</v>
      </c>
    </row>
    <row r="88" spans="1:9" x14ac:dyDescent="0.25">
      <c r="A88" s="27" t="s">
        <v>1156</v>
      </c>
      <c r="B88" s="33" t="s">
        <v>2117</v>
      </c>
      <c r="C88" s="430"/>
      <c r="D88" s="71"/>
      <c r="E88" s="71" t="s">
        <v>1920</v>
      </c>
      <c r="F88" s="625"/>
      <c r="G88" s="28">
        <v>1</v>
      </c>
      <c r="H88" s="546"/>
      <c r="I88" s="639">
        <f t="shared" si="1"/>
        <v>0</v>
      </c>
    </row>
    <row r="89" spans="1:9" x14ac:dyDescent="0.25">
      <c r="A89" s="27" t="s">
        <v>1432</v>
      </c>
      <c r="B89" s="33" t="s">
        <v>873</v>
      </c>
      <c r="C89" s="430"/>
      <c r="D89" s="71"/>
      <c r="E89" s="71" t="s">
        <v>1920</v>
      </c>
      <c r="F89" s="625"/>
      <c r="G89" s="28">
        <v>1</v>
      </c>
      <c r="H89" s="546"/>
      <c r="I89" s="639">
        <f t="shared" si="1"/>
        <v>0</v>
      </c>
    </row>
    <row r="90" spans="1:9" x14ac:dyDescent="0.25">
      <c r="A90" s="27" t="s">
        <v>1467</v>
      </c>
      <c r="B90" s="33" t="s">
        <v>548</v>
      </c>
      <c r="C90" s="430"/>
      <c r="D90" s="71"/>
      <c r="E90" s="71" t="s">
        <v>1920</v>
      </c>
      <c r="F90" s="625"/>
      <c r="G90" s="28">
        <v>1</v>
      </c>
      <c r="H90" s="546"/>
      <c r="I90" s="639">
        <f t="shared" si="1"/>
        <v>0</v>
      </c>
    </row>
    <row r="91" spans="1:9" x14ac:dyDescent="0.25">
      <c r="A91" s="27" t="s">
        <v>1085</v>
      </c>
      <c r="B91" s="33" t="s">
        <v>92</v>
      </c>
      <c r="C91" s="430"/>
      <c r="D91" s="71"/>
      <c r="E91" s="71" t="s">
        <v>1920</v>
      </c>
      <c r="F91" s="625"/>
      <c r="G91" s="28">
        <v>2</v>
      </c>
      <c r="H91" s="546"/>
      <c r="I91" s="639">
        <f t="shared" si="1"/>
        <v>0</v>
      </c>
    </row>
    <row r="92" spans="1:9" x14ac:dyDescent="0.25">
      <c r="A92" s="27" t="s">
        <v>1339</v>
      </c>
      <c r="B92" s="33" t="s">
        <v>88</v>
      </c>
      <c r="C92" s="430"/>
      <c r="D92" s="71"/>
      <c r="E92" s="71" t="s">
        <v>1920</v>
      </c>
      <c r="F92" s="625"/>
      <c r="G92" s="28">
        <v>1</v>
      </c>
      <c r="H92" s="546"/>
      <c r="I92" s="639">
        <f t="shared" si="1"/>
        <v>0</v>
      </c>
    </row>
    <row r="93" spans="1:9" x14ac:dyDescent="0.25">
      <c r="A93" s="27" t="s">
        <v>1236</v>
      </c>
      <c r="B93" s="33" t="s">
        <v>77</v>
      </c>
      <c r="C93" s="430"/>
      <c r="D93" s="71"/>
      <c r="E93" s="71" t="s">
        <v>1920</v>
      </c>
      <c r="F93" s="625"/>
      <c r="G93" s="28">
        <v>1</v>
      </c>
      <c r="H93" s="546"/>
      <c r="I93" s="639">
        <f t="shared" si="1"/>
        <v>0</v>
      </c>
    </row>
    <row r="94" spans="1:9" x14ac:dyDescent="0.25">
      <c r="A94" s="27" t="s">
        <v>1235</v>
      </c>
      <c r="B94" s="33" t="s">
        <v>78</v>
      </c>
      <c r="C94" s="430"/>
      <c r="D94" s="71"/>
      <c r="E94" s="71" t="s">
        <v>1920</v>
      </c>
      <c r="F94" s="625"/>
      <c r="G94" s="28">
        <v>1</v>
      </c>
      <c r="H94" s="546"/>
      <c r="I94" s="639">
        <f t="shared" si="1"/>
        <v>0</v>
      </c>
    </row>
    <row r="95" spans="1:9" x14ac:dyDescent="0.25">
      <c r="A95" s="27" t="s">
        <v>1237</v>
      </c>
      <c r="B95" s="33" t="s">
        <v>306</v>
      </c>
      <c r="C95" s="430"/>
      <c r="D95" s="71"/>
      <c r="E95" s="71" t="s">
        <v>1920</v>
      </c>
      <c r="F95" s="625"/>
      <c r="G95" s="28">
        <v>1</v>
      </c>
      <c r="H95" s="546"/>
      <c r="I95" s="639">
        <f t="shared" si="1"/>
        <v>0</v>
      </c>
    </row>
    <row r="96" spans="1:9" x14ac:dyDescent="0.25">
      <c r="A96" s="27" t="s">
        <v>1232</v>
      </c>
      <c r="B96" s="33" t="s">
        <v>76</v>
      </c>
      <c r="C96" s="430"/>
      <c r="D96" s="71"/>
      <c r="E96" s="71" t="s">
        <v>1920</v>
      </c>
      <c r="F96" s="625"/>
      <c r="G96" s="28">
        <v>1</v>
      </c>
      <c r="H96" s="546"/>
      <c r="I96" s="639">
        <f t="shared" si="1"/>
        <v>0</v>
      </c>
    </row>
    <row r="97" spans="1:9" x14ac:dyDescent="0.25">
      <c r="A97" s="27" t="s">
        <v>15</v>
      </c>
      <c r="B97" s="33" t="s">
        <v>380</v>
      </c>
      <c r="C97" s="430"/>
      <c r="D97" s="71"/>
      <c r="E97" s="71" t="s">
        <v>1920</v>
      </c>
      <c r="F97" s="625"/>
      <c r="G97" s="28">
        <v>1</v>
      </c>
      <c r="H97" s="546"/>
      <c r="I97" s="639">
        <f t="shared" si="1"/>
        <v>0</v>
      </c>
    </row>
    <row r="98" spans="1:9" x14ac:dyDescent="0.25">
      <c r="A98" s="27" t="s">
        <v>394</v>
      </c>
      <c r="B98" s="33" t="s">
        <v>396</v>
      </c>
      <c r="C98" s="430"/>
      <c r="D98" s="71"/>
      <c r="E98" s="71" t="s">
        <v>1920</v>
      </c>
      <c r="F98" s="625"/>
      <c r="G98" s="28">
        <v>1</v>
      </c>
      <c r="H98" s="546"/>
      <c r="I98" s="639">
        <f t="shared" si="1"/>
        <v>0</v>
      </c>
    </row>
    <row r="99" spans="1:9" x14ac:dyDescent="0.25">
      <c r="A99" s="27" t="s">
        <v>393</v>
      </c>
      <c r="B99" s="33" t="s">
        <v>397</v>
      </c>
      <c r="C99" s="430"/>
      <c r="D99" s="71"/>
      <c r="E99" s="71" t="s">
        <v>1920</v>
      </c>
      <c r="F99" s="625"/>
      <c r="G99" s="28">
        <v>1</v>
      </c>
      <c r="H99" s="546"/>
      <c r="I99" s="639">
        <f t="shared" si="1"/>
        <v>0</v>
      </c>
    </row>
    <row r="100" spans="1:9" x14ac:dyDescent="0.25">
      <c r="A100" s="27" t="s">
        <v>395</v>
      </c>
      <c r="B100" s="33" t="s">
        <v>398</v>
      </c>
      <c r="C100" s="430"/>
      <c r="D100" s="71"/>
      <c r="E100" s="71" t="s">
        <v>1920</v>
      </c>
      <c r="F100" s="625"/>
      <c r="G100" s="28">
        <v>1</v>
      </c>
      <c r="H100" s="546"/>
      <c r="I100" s="639">
        <f t="shared" si="1"/>
        <v>0</v>
      </c>
    </row>
    <row r="101" spans="1:9" x14ac:dyDescent="0.25">
      <c r="A101" s="27" t="s">
        <v>392</v>
      </c>
      <c r="B101" s="33" t="s">
        <v>666</v>
      </c>
      <c r="C101" s="430"/>
      <c r="D101" s="71"/>
      <c r="E101" s="71" t="s">
        <v>1920</v>
      </c>
      <c r="F101" s="625"/>
      <c r="G101" s="28">
        <v>1</v>
      </c>
      <c r="H101" s="546"/>
      <c r="I101" s="639">
        <f t="shared" si="1"/>
        <v>0</v>
      </c>
    </row>
    <row r="102" spans="1:9" x14ac:dyDescent="0.25">
      <c r="A102" s="27" t="s">
        <v>37</v>
      </c>
      <c r="B102" s="33" t="s">
        <v>38</v>
      </c>
      <c r="C102" s="430"/>
      <c r="D102" s="71"/>
      <c r="E102" s="71" t="s">
        <v>1920</v>
      </c>
      <c r="F102" s="625"/>
      <c r="G102" s="28">
        <v>1</v>
      </c>
      <c r="H102" s="546"/>
      <c r="I102" s="639">
        <f t="shared" si="1"/>
        <v>0</v>
      </c>
    </row>
    <row r="103" spans="1:9" x14ac:dyDescent="0.25">
      <c r="A103" s="27" t="s">
        <v>205</v>
      </c>
      <c r="B103" s="33" t="s">
        <v>206</v>
      </c>
      <c r="C103" s="430"/>
      <c r="D103" s="71"/>
      <c r="E103" s="71" t="s">
        <v>1920</v>
      </c>
      <c r="F103" s="625"/>
      <c r="G103" s="28">
        <v>1</v>
      </c>
      <c r="H103" s="546"/>
      <c r="I103" s="639">
        <f t="shared" si="1"/>
        <v>0</v>
      </c>
    </row>
    <row r="104" spans="1:9" x14ac:dyDescent="0.25">
      <c r="A104" s="27" t="s">
        <v>109</v>
      </c>
      <c r="B104" s="33" t="s">
        <v>110</v>
      </c>
      <c r="C104" s="430"/>
      <c r="D104" s="71"/>
      <c r="E104" s="71" t="s">
        <v>1920</v>
      </c>
      <c r="F104" s="625"/>
      <c r="G104" s="28">
        <v>2</v>
      </c>
      <c r="H104" s="546"/>
      <c r="I104" s="639">
        <f t="shared" si="1"/>
        <v>0</v>
      </c>
    </row>
    <row r="105" spans="1:9" x14ac:dyDescent="0.25">
      <c r="A105" s="27" t="s">
        <v>1036</v>
      </c>
      <c r="B105" s="33" t="s">
        <v>468</v>
      </c>
      <c r="C105" s="430"/>
      <c r="D105" s="71"/>
      <c r="E105" s="71" t="s">
        <v>1920</v>
      </c>
      <c r="F105" s="625"/>
      <c r="G105" s="28">
        <v>1</v>
      </c>
      <c r="H105" s="546"/>
      <c r="I105" s="639">
        <f t="shared" si="1"/>
        <v>0</v>
      </c>
    </row>
    <row r="106" spans="1:9" x14ac:dyDescent="0.25">
      <c r="A106" s="27" t="s">
        <v>10</v>
      </c>
      <c r="B106" s="33" t="s">
        <v>469</v>
      </c>
      <c r="C106" s="430"/>
      <c r="D106" s="71"/>
      <c r="E106" s="71" t="s">
        <v>1920</v>
      </c>
      <c r="F106" s="625"/>
      <c r="G106" s="28">
        <v>1</v>
      </c>
      <c r="H106" s="546"/>
      <c r="I106" s="639">
        <f t="shared" si="1"/>
        <v>0</v>
      </c>
    </row>
    <row r="107" spans="1:9" x14ac:dyDescent="0.25">
      <c r="A107" s="27" t="s">
        <v>101</v>
      </c>
      <c r="B107" s="33" t="s">
        <v>509</v>
      </c>
      <c r="C107" s="430"/>
      <c r="D107" s="71"/>
      <c r="E107" s="71" t="s">
        <v>1920</v>
      </c>
      <c r="F107" s="625"/>
      <c r="G107" s="28">
        <v>1</v>
      </c>
      <c r="H107" s="546"/>
      <c r="I107" s="639">
        <f t="shared" si="1"/>
        <v>0</v>
      </c>
    </row>
    <row r="108" spans="1:9" x14ac:dyDescent="0.25">
      <c r="A108" s="27" t="s">
        <v>207</v>
      </c>
      <c r="B108" s="33" t="s">
        <v>208</v>
      </c>
      <c r="C108" s="430"/>
      <c r="D108" s="71"/>
      <c r="E108" s="71" t="s">
        <v>1920</v>
      </c>
      <c r="F108" s="625"/>
      <c r="G108" s="28">
        <v>1</v>
      </c>
      <c r="H108" s="546"/>
      <c r="I108" s="639">
        <f t="shared" si="1"/>
        <v>0</v>
      </c>
    </row>
    <row r="109" spans="1:9" x14ac:dyDescent="0.25">
      <c r="A109" s="27" t="s">
        <v>1448</v>
      </c>
      <c r="B109" s="33" t="s">
        <v>216</v>
      </c>
      <c r="C109" s="430"/>
      <c r="D109" s="71"/>
      <c r="E109" s="71" t="s">
        <v>1920</v>
      </c>
      <c r="F109" s="625"/>
      <c r="G109" s="28">
        <v>1</v>
      </c>
      <c r="H109" s="546"/>
      <c r="I109" s="639">
        <f t="shared" si="1"/>
        <v>0</v>
      </c>
    </row>
    <row r="110" spans="1:9" x14ac:dyDescent="0.25">
      <c r="A110" s="27" t="s">
        <v>1463</v>
      </c>
      <c r="B110" s="33" t="s">
        <v>220</v>
      </c>
      <c r="C110" s="430"/>
      <c r="D110" s="71"/>
      <c r="E110" s="71" t="s">
        <v>1920</v>
      </c>
      <c r="F110" s="625"/>
      <c r="G110" s="28">
        <v>1</v>
      </c>
      <c r="H110" s="546"/>
      <c r="I110" s="639">
        <f t="shared" si="1"/>
        <v>0</v>
      </c>
    </row>
    <row r="111" spans="1:9" x14ac:dyDescent="0.25">
      <c r="A111" s="27" t="s">
        <v>1462</v>
      </c>
      <c r="B111" s="33" t="s">
        <v>219</v>
      </c>
      <c r="C111" s="430"/>
      <c r="D111" s="71"/>
      <c r="E111" s="71" t="s">
        <v>1920</v>
      </c>
      <c r="F111" s="625"/>
      <c r="G111" s="28">
        <v>1</v>
      </c>
      <c r="H111" s="546"/>
      <c r="I111" s="639">
        <f t="shared" si="1"/>
        <v>0</v>
      </c>
    </row>
    <row r="112" spans="1:9" x14ac:dyDescent="0.25">
      <c r="A112" s="27" t="s">
        <v>2200</v>
      </c>
      <c r="B112" s="33" t="s">
        <v>2201</v>
      </c>
      <c r="C112" s="430"/>
      <c r="D112" s="71"/>
      <c r="E112" s="71" t="s">
        <v>1920</v>
      </c>
      <c r="F112" s="625"/>
      <c r="G112" s="28">
        <v>1</v>
      </c>
      <c r="H112" s="546"/>
      <c r="I112" s="639">
        <f t="shared" si="1"/>
        <v>0</v>
      </c>
    </row>
    <row r="113" spans="1:9" x14ac:dyDescent="0.25">
      <c r="A113" s="27" t="s">
        <v>2202</v>
      </c>
      <c r="B113" s="33" t="s">
        <v>2203</v>
      </c>
      <c r="C113" s="430"/>
      <c r="D113" s="71"/>
      <c r="E113" s="71" t="s">
        <v>1920</v>
      </c>
      <c r="F113" s="625"/>
      <c r="G113" s="28">
        <v>1</v>
      </c>
      <c r="H113" s="546"/>
      <c r="I113" s="639">
        <f t="shared" si="1"/>
        <v>0</v>
      </c>
    </row>
    <row r="114" spans="1:9" x14ac:dyDescent="0.25">
      <c r="A114" s="27" t="s">
        <v>1461</v>
      </c>
      <c r="B114" s="33" t="s">
        <v>218</v>
      </c>
      <c r="C114" s="430"/>
      <c r="D114" s="71"/>
      <c r="E114" s="71" t="s">
        <v>1920</v>
      </c>
      <c r="F114" s="625"/>
      <c r="G114" s="28">
        <v>1</v>
      </c>
      <c r="H114" s="546"/>
      <c r="I114" s="639">
        <f t="shared" si="1"/>
        <v>0</v>
      </c>
    </row>
    <row r="115" spans="1:9" x14ac:dyDescent="0.25">
      <c r="A115" s="262" t="s">
        <v>3120</v>
      </c>
      <c r="B115" s="267" t="s">
        <v>3119</v>
      </c>
      <c r="C115" s="430"/>
      <c r="D115" s="267"/>
      <c r="E115" s="267" t="s">
        <v>1928</v>
      </c>
      <c r="F115" s="485"/>
      <c r="G115" s="268">
        <v>2</v>
      </c>
      <c r="H115" s="546"/>
      <c r="I115" s="639">
        <f t="shared" si="1"/>
        <v>0</v>
      </c>
    </row>
    <row r="116" spans="1:9" x14ac:dyDescent="0.25">
      <c r="I116" s="640">
        <f>SUM(I2:I115)</f>
        <v>0</v>
      </c>
    </row>
    <row r="117" spans="1:9" s="4" customFormat="1" ht="18" x14ac:dyDescent="0.25">
      <c r="A117" s="422" t="s">
        <v>1783</v>
      </c>
      <c r="B117" s="425"/>
      <c r="C117" s="309"/>
      <c r="D117" s="3"/>
      <c r="E117" s="3"/>
      <c r="F117" s="309"/>
      <c r="G117" s="3"/>
      <c r="H117" s="541"/>
      <c r="I117" s="541"/>
    </row>
    <row r="118" spans="1:9" s="4" customFormat="1" ht="18" x14ac:dyDescent="0.25">
      <c r="A118" s="422" t="s">
        <v>2946</v>
      </c>
      <c r="B118" s="425"/>
      <c r="C118" s="309"/>
      <c r="D118" s="3"/>
      <c r="E118" s="3"/>
      <c r="F118" s="309"/>
      <c r="G118" s="3"/>
      <c r="H118" s="531"/>
      <c r="I118" s="541"/>
    </row>
    <row r="119" spans="1:9" ht="18" x14ac:dyDescent="0.25">
      <c r="A119" s="491" t="s">
        <v>3341</v>
      </c>
      <c r="B119" s="424"/>
    </row>
    <row r="120" spans="1:9" ht="18" x14ac:dyDescent="0.25">
      <c r="A120" s="449" t="s">
        <v>3367</v>
      </c>
      <c r="B120" s="608">
        <f>+I116</f>
        <v>0</v>
      </c>
    </row>
  </sheetData>
  <sortState xmlns:xlrd2="http://schemas.microsoft.com/office/spreadsheetml/2017/richdata2" ref="A3:H115">
    <sortCondition ref="B3:B115"/>
  </sortState>
  <pageMargins left="0.5" right="0.5" top="0.5" bottom="0.5" header="0.3" footer="0.3"/>
  <pageSetup scale="8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23"/>
  <sheetViews>
    <sheetView workbookViewId="0">
      <pane ySplit="1" topLeftCell="A75" activePane="bottomLeft" state="frozen"/>
      <selection activeCell="C26" sqref="C26"/>
      <selection pane="bottomLeft" activeCell="G2" sqref="G2:G106"/>
    </sheetView>
  </sheetViews>
  <sheetFormatPr defaultColWidth="9.140625" defaultRowHeight="15" x14ac:dyDescent="0.2"/>
  <cols>
    <col min="1" max="1" width="63.85546875" style="104" bestFit="1" customWidth="1"/>
    <col min="2" max="2" width="16.5703125" style="64" bestFit="1" customWidth="1"/>
    <col min="3" max="3" width="20.42578125" style="64" bestFit="1" customWidth="1"/>
    <col min="4" max="4" width="20.140625" style="64" bestFit="1" customWidth="1"/>
    <col min="5" max="5" width="12.42578125" style="64" bestFit="1" customWidth="1"/>
    <col min="6" max="6" width="15.5703125" style="64" bestFit="1" customWidth="1"/>
    <col min="7" max="7" width="11.5703125" style="64" customWidth="1"/>
    <col min="8" max="8" width="11.42578125" style="643" bestFit="1" customWidth="1"/>
    <col min="9" max="9" width="16.85546875" style="644" bestFit="1" customWidth="1"/>
    <col min="10" max="10" width="17" style="102" bestFit="1" customWidth="1"/>
    <col min="11" max="16384" width="9.140625" style="102"/>
  </cols>
  <sheetData>
    <row r="1" spans="1:9" ht="15.75" x14ac:dyDescent="0.25">
      <c r="A1" s="101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101" t="s">
        <v>412</v>
      </c>
      <c r="H1" s="528" t="s">
        <v>3368</v>
      </c>
      <c r="I1" s="528" t="s">
        <v>3369</v>
      </c>
    </row>
    <row r="2" spans="1:9" x14ac:dyDescent="0.2">
      <c r="A2" s="213" t="s">
        <v>1869</v>
      </c>
      <c r="B2" s="71" t="s">
        <v>3269</v>
      </c>
      <c r="C2" s="430"/>
      <c r="D2" s="71"/>
      <c r="E2" s="71"/>
      <c r="F2" s="625"/>
      <c r="G2" s="62">
        <v>1</v>
      </c>
      <c r="H2" s="641"/>
      <c r="I2" s="642">
        <f>+G2*H2</f>
        <v>0</v>
      </c>
    </row>
    <row r="3" spans="1:9" x14ac:dyDescent="0.2">
      <c r="A3" s="213" t="s">
        <v>1266</v>
      </c>
      <c r="B3" s="71" t="s">
        <v>1987</v>
      </c>
      <c r="C3" s="430"/>
      <c r="D3" s="71"/>
      <c r="E3" s="71" t="s">
        <v>1920</v>
      </c>
      <c r="F3" s="625"/>
      <c r="G3" s="62">
        <v>1</v>
      </c>
      <c r="H3" s="641"/>
      <c r="I3" s="642">
        <f t="shared" ref="I3:I66" si="0">+G3*H3</f>
        <v>0</v>
      </c>
    </row>
    <row r="4" spans="1:9" x14ac:dyDescent="0.2">
      <c r="A4" s="213" t="s">
        <v>1629</v>
      </c>
      <c r="B4" s="71" t="s">
        <v>880</v>
      </c>
      <c r="C4" s="430"/>
      <c r="D4" s="71"/>
      <c r="E4" s="71" t="s">
        <v>1920</v>
      </c>
      <c r="F4" s="625"/>
      <c r="G4" s="62">
        <v>1</v>
      </c>
      <c r="H4" s="641"/>
      <c r="I4" s="642">
        <f t="shared" si="0"/>
        <v>0</v>
      </c>
    </row>
    <row r="5" spans="1:9" x14ac:dyDescent="0.2">
      <c r="A5" s="213" t="s">
        <v>18</v>
      </c>
      <c r="B5" s="71" t="s">
        <v>3110</v>
      </c>
      <c r="C5" s="430"/>
      <c r="D5" s="71"/>
      <c r="E5" s="71" t="s">
        <v>1920</v>
      </c>
      <c r="F5" s="625"/>
      <c r="G5" s="62">
        <v>1</v>
      </c>
      <c r="H5" s="641"/>
      <c r="I5" s="642">
        <f t="shared" si="0"/>
        <v>0</v>
      </c>
    </row>
    <row r="6" spans="1:9" x14ac:dyDescent="0.2">
      <c r="A6" s="213" t="s">
        <v>1160</v>
      </c>
      <c r="B6" s="71" t="s">
        <v>2751</v>
      </c>
      <c r="C6" s="430"/>
      <c r="D6" s="71"/>
      <c r="E6" s="71" t="s">
        <v>1920</v>
      </c>
      <c r="F6" s="625"/>
      <c r="G6" s="62">
        <v>1</v>
      </c>
      <c r="H6" s="641"/>
      <c r="I6" s="642">
        <f t="shared" si="0"/>
        <v>0</v>
      </c>
    </row>
    <row r="7" spans="1:9" x14ac:dyDescent="0.2">
      <c r="A7" s="213" t="s">
        <v>5</v>
      </c>
      <c r="B7" s="71" t="s">
        <v>466</v>
      </c>
      <c r="C7" s="430"/>
      <c r="D7" s="71"/>
      <c r="E7" s="71" t="s">
        <v>1920</v>
      </c>
      <c r="F7" s="625"/>
      <c r="G7" s="62">
        <v>1</v>
      </c>
      <c r="H7" s="641"/>
      <c r="I7" s="642">
        <f t="shared" si="0"/>
        <v>0</v>
      </c>
    </row>
    <row r="8" spans="1:9" x14ac:dyDescent="0.2">
      <c r="A8" s="213" t="s">
        <v>1200</v>
      </c>
      <c r="B8" s="71" t="s">
        <v>100</v>
      </c>
      <c r="C8" s="430"/>
      <c r="D8" s="71"/>
      <c r="E8" s="71" t="s">
        <v>1920</v>
      </c>
      <c r="F8" s="625"/>
      <c r="G8" s="62">
        <v>1</v>
      </c>
      <c r="H8" s="641"/>
      <c r="I8" s="642">
        <f t="shared" si="0"/>
        <v>0</v>
      </c>
    </row>
    <row r="9" spans="1:9" x14ac:dyDescent="0.2">
      <c r="A9" s="213" t="s">
        <v>17</v>
      </c>
      <c r="B9" s="71" t="s">
        <v>407</v>
      </c>
      <c r="C9" s="430"/>
      <c r="D9" s="71"/>
      <c r="E9" s="71" t="s">
        <v>1920</v>
      </c>
      <c r="F9" s="625"/>
      <c r="G9" s="62">
        <v>1</v>
      </c>
      <c r="H9" s="641"/>
      <c r="I9" s="642">
        <f t="shared" si="0"/>
        <v>0</v>
      </c>
    </row>
    <row r="10" spans="1:9" x14ac:dyDescent="0.2">
      <c r="A10" s="213" t="s">
        <v>1591</v>
      </c>
      <c r="B10" s="71" t="s">
        <v>166</v>
      </c>
      <c r="C10" s="430"/>
      <c r="D10" s="71"/>
      <c r="E10" s="71">
        <v>55719</v>
      </c>
      <c r="F10" s="625"/>
      <c r="G10" s="62">
        <v>1</v>
      </c>
      <c r="H10" s="641"/>
      <c r="I10" s="642">
        <f t="shared" si="0"/>
        <v>0</v>
      </c>
    </row>
    <row r="11" spans="1:9" x14ac:dyDescent="0.2">
      <c r="A11" s="213" t="s">
        <v>1486</v>
      </c>
      <c r="B11" s="71" t="s">
        <v>1989</v>
      </c>
      <c r="C11" s="430"/>
      <c r="D11" s="71"/>
      <c r="E11" s="71" t="s">
        <v>1920</v>
      </c>
      <c r="F11" s="625"/>
      <c r="G11" s="62">
        <v>1</v>
      </c>
      <c r="H11" s="641"/>
      <c r="I11" s="642">
        <f t="shared" si="0"/>
        <v>0</v>
      </c>
    </row>
    <row r="12" spans="1:9" x14ac:dyDescent="0.2">
      <c r="A12" s="213" t="s">
        <v>1194</v>
      </c>
      <c r="B12" s="71" t="s">
        <v>314</v>
      </c>
      <c r="C12" s="430"/>
      <c r="D12" s="71"/>
      <c r="E12" s="71" t="s">
        <v>1920</v>
      </c>
      <c r="F12" s="625"/>
      <c r="G12" s="62">
        <v>1</v>
      </c>
      <c r="H12" s="641"/>
      <c r="I12" s="642">
        <f t="shared" si="0"/>
        <v>0</v>
      </c>
    </row>
    <row r="13" spans="1:9" x14ac:dyDescent="0.2">
      <c r="A13" s="213" t="s">
        <v>1197</v>
      </c>
      <c r="B13" s="71" t="s">
        <v>80</v>
      </c>
      <c r="C13" s="430"/>
      <c r="D13" s="71"/>
      <c r="E13" s="71" t="s">
        <v>1920</v>
      </c>
      <c r="F13" s="625"/>
      <c r="G13" s="62">
        <v>1</v>
      </c>
      <c r="H13" s="641"/>
      <c r="I13" s="642">
        <f t="shared" si="0"/>
        <v>0</v>
      </c>
    </row>
    <row r="14" spans="1:9" x14ac:dyDescent="0.2">
      <c r="A14" s="213" t="s">
        <v>3243</v>
      </c>
      <c r="B14" s="71" t="s">
        <v>82</v>
      </c>
      <c r="C14" s="430"/>
      <c r="D14" s="71"/>
      <c r="E14" s="71" t="s">
        <v>1920</v>
      </c>
      <c r="F14" s="625"/>
      <c r="G14" s="62">
        <v>1</v>
      </c>
      <c r="H14" s="641"/>
      <c r="I14" s="642">
        <f t="shared" si="0"/>
        <v>0</v>
      </c>
    </row>
    <row r="15" spans="1:9" x14ac:dyDescent="0.2">
      <c r="A15" s="213" t="s">
        <v>48</v>
      </c>
      <c r="B15" s="71" t="s">
        <v>252</v>
      </c>
      <c r="C15" s="430"/>
      <c r="D15" s="71"/>
      <c r="E15" s="71" t="s">
        <v>1920</v>
      </c>
      <c r="F15" s="625"/>
      <c r="G15" s="62">
        <v>2</v>
      </c>
      <c r="H15" s="641"/>
      <c r="I15" s="642">
        <f t="shared" si="0"/>
        <v>0</v>
      </c>
    </row>
    <row r="16" spans="1:9" x14ac:dyDescent="0.2">
      <c r="A16" s="213" t="s">
        <v>1192</v>
      </c>
      <c r="B16" s="71" t="s">
        <v>94</v>
      </c>
      <c r="C16" s="430"/>
      <c r="D16" s="71"/>
      <c r="E16" s="71" t="s">
        <v>1920</v>
      </c>
      <c r="F16" s="625"/>
      <c r="G16" s="62">
        <v>1</v>
      </c>
      <c r="H16" s="641"/>
      <c r="I16" s="642">
        <f t="shared" si="0"/>
        <v>0</v>
      </c>
    </row>
    <row r="17" spans="1:9" x14ac:dyDescent="0.2">
      <c r="A17" s="213" t="s">
        <v>1297</v>
      </c>
      <c r="B17" s="71" t="s">
        <v>89</v>
      </c>
      <c r="C17" s="430"/>
      <c r="D17" s="71"/>
      <c r="E17" s="71" t="s">
        <v>1920</v>
      </c>
      <c r="F17" s="625"/>
      <c r="G17" s="62">
        <v>1</v>
      </c>
      <c r="H17" s="641"/>
      <c r="I17" s="642">
        <f t="shared" si="0"/>
        <v>0</v>
      </c>
    </row>
    <row r="18" spans="1:9" x14ac:dyDescent="0.2">
      <c r="A18" s="213" t="s">
        <v>1298</v>
      </c>
      <c r="B18" s="71" t="s">
        <v>855</v>
      </c>
      <c r="C18" s="430"/>
      <c r="D18" s="71"/>
      <c r="E18" s="71" t="s">
        <v>1920</v>
      </c>
      <c r="F18" s="625"/>
      <c r="G18" s="62">
        <v>1</v>
      </c>
      <c r="H18" s="641"/>
      <c r="I18" s="642">
        <f t="shared" si="0"/>
        <v>0</v>
      </c>
    </row>
    <row r="19" spans="1:9" x14ac:dyDescent="0.2">
      <c r="A19" s="213" t="s">
        <v>1302</v>
      </c>
      <c r="B19" s="71" t="s">
        <v>828</v>
      </c>
      <c r="C19" s="430"/>
      <c r="D19" s="71"/>
      <c r="E19" s="71" t="s">
        <v>1920</v>
      </c>
      <c r="F19" s="625"/>
      <c r="G19" s="62">
        <v>1</v>
      </c>
      <c r="H19" s="641"/>
      <c r="I19" s="642">
        <f t="shared" si="0"/>
        <v>0</v>
      </c>
    </row>
    <row r="20" spans="1:9" x14ac:dyDescent="0.2">
      <c r="A20" s="213" t="s">
        <v>1029</v>
      </c>
      <c r="B20" s="71" t="s">
        <v>251</v>
      </c>
      <c r="C20" s="430"/>
      <c r="D20" s="71"/>
      <c r="E20" s="71" t="s">
        <v>1920</v>
      </c>
      <c r="F20" s="625"/>
      <c r="G20" s="62">
        <v>1</v>
      </c>
      <c r="H20" s="641"/>
      <c r="I20" s="642">
        <f t="shared" si="0"/>
        <v>0</v>
      </c>
    </row>
    <row r="21" spans="1:9" x14ac:dyDescent="0.2">
      <c r="A21" s="213" t="s">
        <v>1147</v>
      </c>
      <c r="B21" s="71" t="s">
        <v>403</v>
      </c>
      <c r="C21" s="430"/>
      <c r="D21" s="71"/>
      <c r="E21" s="71" t="s">
        <v>1920</v>
      </c>
      <c r="F21" s="625"/>
      <c r="G21" s="62">
        <v>1</v>
      </c>
      <c r="H21" s="641"/>
      <c r="I21" s="642">
        <f t="shared" si="0"/>
        <v>0</v>
      </c>
    </row>
    <row r="22" spans="1:9" x14ac:dyDescent="0.2">
      <c r="A22" s="213" t="s">
        <v>1035</v>
      </c>
      <c r="B22" s="71" t="s">
        <v>414</v>
      </c>
      <c r="C22" s="430"/>
      <c r="D22" s="71"/>
      <c r="E22" s="71" t="s">
        <v>1920</v>
      </c>
      <c r="F22" s="625"/>
      <c r="G22" s="62">
        <v>1</v>
      </c>
      <c r="H22" s="641"/>
      <c r="I22" s="642">
        <f t="shared" si="0"/>
        <v>0</v>
      </c>
    </row>
    <row r="23" spans="1:9" x14ac:dyDescent="0.2">
      <c r="A23" s="213" t="s">
        <v>1033</v>
      </c>
      <c r="B23" s="71" t="s">
        <v>98</v>
      </c>
      <c r="C23" s="430"/>
      <c r="D23" s="71"/>
      <c r="E23" s="71" t="s">
        <v>1920</v>
      </c>
      <c r="F23" s="625"/>
      <c r="G23" s="62">
        <v>1</v>
      </c>
      <c r="H23" s="641"/>
      <c r="I23" s="642">
        <f t="shared" si="0"/>
        <v>0</v>
      </c>
    </row>
    <row r="24" spans="1:9" x14ac:dyDescent="0.2">
      <c r="A24" s="213" t="s">
        <v>1026</v>
      </c>
      <c r="B24" s="71" t="s">
        <v>99</v>
      </c>
      <c r="C24" s="430"/>
      <c r="D24" s="71"/>
      <c r="E24" s="71" t="s">
        <v>1920</v>
      </c>
      <c r="F24" s="625"/>
      <c r="G24" s="62">
        <v>1</v>
      </c>
      <c r="H24" s="641"/>
      <c r="I24" s="642">
        <f t="shared" si="0"/>
        <v>0</v>
      </c>
    </row>
    <row r="25" spans="1:9" x14ac:dyDescent="0.2">
      <c r="A25" s="213" t="s">
        <v>1359</v>
      </c>
      <c r="B25" s="71" t="s">
        <v>857</v>
      </c>
      <c r="C25" s="430"/>
      <c r="D25" s="71"/>
      <c r="E25" s="71" t="s">
        <v>1920</v>
      </c>
      <c r="F25" s="625"/>
      <c r="G25" s="62">
        <v>1</v>
      </c>
      <c r="H25" s="641"/>
      <c r="I25" s="642">
        <f t="shared" si="0"/>
        <v>0</v>
      </c>
    </row>
    <row r="26" spans="1:9" x14ac:dyDescent="0.2">
      <c r="A26" s="213" t="s">
        <v>1360</v>
      </c>
      <c r="B26" s="71" t="s">
        <v>103</v>
      </c>
      <c r="C26" s="430"/>
      <c r="D26" s="71"/>
      <c r="E26" s="71" t="s">
        <v>1920</v>
      </c>
      <c r="F26" s="625"/>
      <c r="G26" s="62">
        <v>1</v>
      </c>
      <c r="H26" s="641"/>
      <c r="I26" s="642">
        <f t="shared" si="0"/>
        <v>0</v>
      </c>
    </row>
    <row r="27" spans="1:9" x14ac:dyDescent="0.2">
      <c r="A27" s="213" t="s">
        <v>1364</v>
      </c>
      <c r="B27" s="71" t="s">
        <v>84</v>
      </c>
      <c r="C27" s="430"/>
      <c r="D27" s="71"/>
      <c r="E27" s="71" t="s">
        <v>1920</v>
      </c>
      <c r="F27" s="625"/>
      <c r="G27" s="62">
        <v>1</v>
      </c>
      <c r="H27" s="641"/>
      <c r="I27" s="642">
        <f t="shared" si="0"/>
        <v>0</v>
      </c>
    </row>
    <row r="28" spans="1:9" x14ac:dyDescent="0.2">
      <c r="A28" s="213" t="s">
        <v>211</v>
      </c>
      <c r="B28" s="71" t="s">
        <v>212</v>
      </c>
      <c r="C28" s="430"/>
      <c r="D28" s="71"/>
      <c r="E28" s="71" t="s">
        <v>1920</v>
      </c>
      <c r="F28" s="625"/>
      <c r="G28" s="62">
        <v>2</v>
      </c>
      <c r="H28" s="641"/>
      <c r="I28" s="642">
        <f t="shared" si="0"/>
        <v>0</v>
      </c>
    </row>
    <row r="29" spans="1:9" x14ac:dyDescent="0.2">
      <c r="A29" s="213" t="s">
        <v>11</v>
      </c>
      <c r="B29" s="71" t="s">
        <v>278</v>
      </c>
      <c r="C29" s="430"/>
      <c r="D29" s="71"/>
      <c r="E29" s="71" t="s">
        <v>1920</v>
      </c>
      <c r="F29" s="625"/>
      <c r="G29" s="62">
        <v>1</v>
      </c>
      <c r="H29" s="641"/>
      <c r="I29" s="642">
        <f t="shared" si="0"/>
        <v>0</v>
      </c>
    </row>
    <row r="30" spans="1:9" x14ac:dyDescent="0.2">
      <c r="A30" s="213" t="s">
        <v>12</v>
      </c>
      <c r="B30" s="71" t="s">
        <v>171</v>
      </c>
      <c r="C30" s="430"/>
      <c r="D30" s="71"/>
      <c r="E30" s="71" t="s">
        <v>1920</v>
      </c>
      <c r="F30" s="625"/>
      <c r="G30" s="62">
        <v>1</v>
      </c>
      <c r="H30" s="641"/>
      <c r="I30" s="642">
        <f t="shared" si="0"/>
        <v>0</v>
      </c>
    </row>
    <row r="31" spans="1:9" x14ac:dyDescent="0.2">
      <c r="A31" s="213" t="s">
        <v>6</v>
      </c>
      <c r="B31" s="71" t="s">
        <v>91</v>
      </c>
      <c r="C31" s="430"/>
      <c r="D31" s="71"/>
      <c r="E31" s="71" t="s">
        <v>1920</v>
      </c>
      <c r="F31" s="625"/>
      <c r="G31" s="62">
        <v>1</v>
      </c>
      <c r="H31" s="641"/>
      <c r="I31" s="642">
        <f t="shared" si="0"/>
        <v>0</v>
      </c>
    </row>
    <row r="32" spans="1:9" x14ac:dyDescent="0.2">
      <c r="A32" s="213" t="s">
        <v>3</v>
      </c>
      <c r="B32" s="71" t="s">
        <v>465</v>
      </c>
      <c r="C32" s="430"/>
      <c r="D32" s="71"/>
      <c r="E32" s="71" t="s">
        <v>1920</v>
      </c>
      <c r="F32" s="625"/>
      <c r="G32" s="62">
        <v>1</v>
      </c>
      <c r="H32" s="641"/>
      <c r="I32" s="642">
        <f t="shared" si="0"/>
        <v>0</v>
      </c>
    </row>
    <row r="33" spans="1:9" x14ac:dyDescent="0.2">
      <c r="A33" s="213" t="s">
        <v>1985</v>
      </c>
      <c r="B33" s="71" t="s">
        <v>1986</v>
      </c>
      <c r="C33" s="430"/>
      <c r="D33" s="71"/>
      <c r="E33" s="71" t="s">
        <v>1920</v>
      </c>
      <c r="F33" s="625"/>
      <c r="G33" s="62">
        <v>1</v>
      </c>
      <c r="H33" s="641"/>
      <c r="I33" s="642">
        <f t="shared" si="0"/>
        <v>0</v>
      </c>
    </row>
    <row r="34" spans="1:9" x14ac:dyDescent="0.2">
      <c r="A34" s="213" t="s">
        <v>180</v>
      </c>
      <c r="B34" s="71" t="s">
        <v>479</v>
      </c>
      <c r="C34" s="430"/>
      <c r="D34" s="71"/>
      <c r="E34" s="71" t="s">
        <v>1920</v>
      </c>
      <c r="F34" s="625"/>
      <c r="G34" s="62">
        <v>1</v>
      </c>
      <c r="H34" s="641"/>
      <c r="I34" s="642">
        <f t="shared" si="0"/>
        <v>0</v>
      </c>
    </row>
    <row r="35" spans="1:9" x14ac:dyDescent="0.2">
      <c r="A35" s="305" t="s">
        <v>3260</v>
      </c>
      <c r="B35" s="71" t="s">
        <v>480</v>
      </c>
      <c r="C35" s="430"/>
      <c r="D35" s="71"/>
      <c r="E35" s="71" t="s">
        <v>1920</v>
      </c>
      <c r="F35" s="625"/>
      <c r="G35" s="62">
        <v>1</v>
      </c>
      <c r="H35" s="641"/>
      <c r="I35" s="642">
        <f t="shared" si="0"/>
        <v>0</v>
      </c>
    </row>
    <row r="36" spans="1:9" x14ac:dyDescent="0.2">
      <c r="A36" s="213" t="s">
        <v>66</v>
      </c>
      <c r="B36" s="71" t="s">
        <v>1836</v>
      </c>
      <c r="C36" s="430"/>
      <c r="D36" s="71"/>
      <c r="E36" s="71" t="s">
        <v>1947</v>
      </c>
      <c r="F36" s="625"/>
      <c r="G36" s="62">
        <v>1</v>
      </c>
      <c r="H36" s="641"/>
      <c r="I36" s="642">
        <f t="shared" si="0"/>
        <v>0</v>
      </c>
    </row>
    <row r="37" spans="1:9" x14ac:dyDescent="0.2">
      <c r="A37" s="213" t="s">
        <v>3132</v>
      </c>
      <c r="B37" s="71" t="s">
        <v>2732</v>
      </c>
      <c r="C37" s="430"/>
      <c r="D37" s="71"/>
      <c r="E37" s="71" t="s">
        <v>1920</v>
      </c>
      <c r="F37" s="625"/>
      <c r="G37" s="62">
        <v>1</v>
      </c>
      <c r="H37" s="641"/>
      <c r="I37" s="642">
        <f t="shared" si="0"/>
        <v>0</v>
      </c>
    </row>
    <row r="38" spans="1:9" x14ac:dyDescent="0.2">
      <c r="A38" s="213" t="s">
        <v>2231</v>
      </c>
      <c r="B38" s="71" t="s">
        <v>357</v>
      </c>
      <c r="C38" s="430"/>
      <c r="D38" s="71"/>
      <c r="E38" s="71" t="s">
        <v>1920</v>
      </c>
      <c r="F38" s="625"/>
      <c r="G38" s="62">
        <v>1</v>
      </c>
      <c r="H38" s="641"/>
      <c r="I38" s="642">
        <f t="shared" si="0"/>
        <v>0</v>
      </c>
    </row>
    <row r="39" spans="1:9" x14ac:dyDescent="0.2">
      <c r="A39" s="213" t="s">
        <v>1314</v>
      </c>
      <c r="B39" s="71" t="s">
        <v>358</v>
      </c>
      <c r="C39" s="430"/>
      <c r="D39" s="71"/>
      <c r="E39" s="71" t="s">
        <v>1920</v>
      </c>
      <c r="F39" s="625"/>
      <c r="G39" s="62">
        <v>1</v>
      </c>
      <c r="H39" s="641"/>
      <c r="I39" s="642">
        <f t="shared" si="0"/>
        <v>0</v>
      </c>
    </row>
    <row r="40" spans="1:9" x14ac:dyDescent="0.2">
      <c r="A40" s="213" t="s">
        <v>1184</v>
      </c>
      <c r="B40" s="71" t="s">
        <v>327</v>
      </c>
      <c r="C40" s="430"/>
      <c r="D40" s="71"/>
      <c r="E40" s="71" t="s">
        <v>1920</v>
      </c>
      <c r="F40" s="625"/>
      <c r="G40" s="62">
        <v>1</v>
      </c>
      <c r="H40" s="641"/>
      <c r="I40" s="642">
        <f t="shared" si="0"/>
        <v>0</v>
      </c>
    </row>
    <row r="41" spans="1:9" x14ac:dyDescent="0.2">
      <c r="A41" s="213" t="s">
        <v>1186</v>
      </c>
      <c r="B41" s="71" t="s">
        <v>328</v>
      </c>
      <c r="C41" s="430"/>
      <c r="D41" s="71"/>
      <c r="E41" s="71" t="s">
        <v>1920</v>
      </c>
      <c r="F41" s="625"/>
      <c r="G41" s="62">
        <v>1</v>
      </c>
      <c r="H41" s="641"/>
      <c r="I41" s="642">
        <f t="shared" si="0"/>
        <v>0</v>
      </c>
    </row>
    <row r="42" spans="1:9" x14ac:dyDescent="0.2">
      <c r="A42" s="213" t="s">
        <v>1180</v>
      </c>
      <c r="B42" s="71" t="s">
        <v>359</v>
      </c>
      <c r="C42" s="430"/>
      <c r="D42" s="71"/>
      <c r="E42" s="71" t="s">
        <v>1920</v>
      </c>
      <c r="F42" s="625"/>
      <c r="G42" s="62">
        <v>1</v>
      </c>
      <c r="H42" s="641"/>
      <c r="I42" s="642">
        <f t="shared" si="0"/>
        <v>0</v>
      </c>
    </row>
    <row r="43" spans="1:9" x14ac:dyDescent="0.2">
      <c r="A43" s="213" t="s">
        <v>1187</v>
      </c>
      <c r="B43" s="71" t="s">
        <v>360</v>
      </c>
      <c r="C43" s="430"/>
      <c r="D43" s="71"/>
      <c r="E43" s="71" t="s">
        <v>1920</v>
      </c>
      <c r="F43" s="625"/>
      <c r="G43" s="62">
        <v>1</v>
      </c>
      <c r="H43" s="641"/>
      <c r="I43" s="642">
        <f t="shared" si="0"/>
        <v>0</v>
      </c>
    </row>
    <row r="44" spans="1:9" x14ac:dyDescent="0.2">
      <c r="A44" s="213" t="s">
        <v>1185</v>
      </c>
      <c r="B44" s="71" t="s">
        <v>330</v>
      </c>
      <c r="C44" s="430"/>
      <c r="D44" s="71"/>
      <c r="E44" s="71" t="s">
        <v>1920</v>
      </c>
      <c r="F44" s="625"/>
      <c r="G44" s="62">
        <v>1</v>
      </c>
      <c r="H44" s="641"/>
      <c r="I44" s="642">
        <f t="shared" si="0"/>
        <v>0</v>
      </c>
    </row>
    <row r="45" spans="1:9" x14ac:dyDescent="0.2">
      <c r="A45" s="213" t="s">
        <v>1181</v>
      </c>
      <c r="B45" s="71" t="s">
        <v>199</v>
      </c>
      <c r="C45" s="430"/>
      <c r="D45" s="71"/>
      <c r="E45" s="71" t="s">
        <v>1920</v>
      </c>
      <c r="F45" s="625"/>
      <c r="G45" s="62">
        <v>1</v>
      </c>
      <c r="H45" s="641"/>
      <c r="I45" s="642">
        <f t="shared" si="0"/>
        <v>0</v>
      </c>
    </row>
    <row r="46" spans="1:9" x14ac:dyDescent="0.2">
      <c r="A46" s="213" t="s">
        <v>1054</v>
      </c>
      <c r="B46" s="71" t="s">
        <v>326</v>
      </c>
      <c r="C46" s="430"/>
      <c r="D46" s="71"/>
      <c r="E46" s="71" t="s">
        <v>1920</v>
      </c>
      <c r="F46" s="625"/>
      <c r="G46" s="62">
        <v>1</v>
      </c>
      <c r="H46" s="641"/>
      <c r="I46" s="642">
        <f t="shared" si="0"/>
        <v>0</v>
      </c>
    </row>
    <row r="47" spans="1:9" x14ac:dyDescent="0.2">
      <c r="A47" s="213" t="s">
        <v>2879</v>
      </c>
      <c r="B47" s="71" t="s">
        <v>329</v>
      </c>
      <c r="C47" s="430"/>
      <c r="D47" s="71"/>
      <c r="E47" s="71" t="s">
        <v>1920</v>
      </c>
      <c r="F47" s="625"/>
      <c r="G47" s="62">
        <v>1</v>
      </c>
      <c r="H47" s="641"/>
      <c r="I47" s="642">
        <f t="shared" si="0"/>
        <v>0</v>
      </c>
    </row>
    <row r="48" spans="1:9" x14ac:dyDescent="0.2">
      <c r="A48" s="213" t="s">
        <v>2234</v>
      </c>
      <c r="B48" s="71" t="s">
        <v>119</v>
      </c>
      <c r="C48" s="430"/>
      <c r="D48" s="71"/>
      <c r="E48" s="71" t="s">
        <v>1920</v>
      </c>
      <c r="F48" s="625"/>
      <c r="G48" s="62">
        <v>1</v>
      </c>
      <c r="H48" s="641"/>
      <c r="I48" s="642">
        <f t="shared" si="0"/>
        <v>0</v>
      </c>
    </row>
    <row r="49" spans="1:9" x14ac:dyDescent="0.2">
      <c r="A49" s="213" t="s">
        <v>1316</v>
      </c>
      <c r="B49" s="71" t="s">
        <v>362</v>
      </c>
      <c r="C49" s="430"/>
      <c r="D49" s="71"/>
      <c r="E49" s="71" t="s">
        <v>1920</v>
      </c>
      <c r="F49" s="625"/>
      <c r="G49" s="62">
        <v>1</v>
      </c>
      <c r="H49" s="641"/>
      <c r="I49" s="642">
        <f t="shared" si="0"/>
        <v>0</v>
      </c>
    </row>
    <row r="50" spans="1:9" x14ac:dyDescent="0.2">
      <c r="A50" s="213" t="s">
        <v>2897</v>
      </c>
      <c r="B50" s="71" t="s">
        <v>324</v>
      </c>
      <c r="C50" s="430"/>
      <c r="D50" s="71"/>
      <c r="E50" s="71" t="s">
        <v>1920</v>
      </c>
      <c r="F50" s="625"/>
      <c r="G50" s="62">
        <v>1</v>
      </c>
      <c r="H50" s="641"/>
      <c r="I50" s="642">
        <f t="shared" si="0"/>
        <v>0</v>
      </c>
    </row>
    <row r="51" spans="1:9" x14ac:dyDescent="0.2">
      <c r="A51" s="213" t="s">
        <v>1071</v>
      </c>
      <c r="B51" s="71" t="s">
        <v>503</v>
      </c>
      <c r="C51" s="430"/>
      <c r="D51" s="71"/>
      <c r="E51" s="71" t="s">
        <v>1920</v>
      </c>
      <c r="F51" s="625"/>
      <c r="G51" s="62">
        <v>1</v>
      </c>
      <c r="H51" s="641"/>
      <c r="I51" s="642">
        <f t="shared" si="0"/>
        <v>0</v>
      </c>
    </row>
    <row r="52" spans="1:9" x14ac:dyDescent="0.2">
      <c r="A52" s="213" t="s">
        <v>1072</v>
      </c>
      <c r="B52" s="71" t="s">
        <v>504</v>
      </c>
      <c r="C52" s="430"/>
      <c r="D52" s="71"/>
      <c r="E52" s="71" t="s">
        <v>1920</v>
      </c>
      <c r="F52" s="625"/>
      <c r="G52" s="62">
        <v>1</v>
      </c>
      <c r="H52" s="641"/>
      <c r="I52" s="642">
        <f t="shared" si="0"/>
        <v>0</v>
      </c>
    </row>
    <row r="53" spans="1:9" x14ac:dyDescent="0.2">
      <c r="A53" s="213" t="s">
        <v>1073</v>
      </c>
      <c r="B53" s="71" t="s">
        <v>501</v>
      </c>
      <c r="C53" s="430"/>
      <c r="D53" s="71"/>
      <c r="E53" s="71" t="s">
        <v>1920</v>
      </c>
      <c r="F53" s="625"/>
      <c r="G53" s="62">
        <v>1</v>
      </c>
      <c r="H53" s="641"/>
      <c r="I53" s="642">
        <f t="shared" si="0"/>
        <v>0</v>
      </c>
    </row>
    <row r="54" spans="1:9" x14ac:dyDescent="0.2">
      <c r="A54" s="213" t="s">
        <v>1074</v>
      </c>
      <c r="B54" s="71" t="s">
        <v>499</v>
      </c>
      <c r="C54" s="430"/>
      <c r="D54" s="71"/>
      <c r="E54" s="71" t="s">
        <v>1920</v>
      </c>
      <c r="F54" s="625"/>
      <c r="G54" s="62">
        <v>1</v>
      </c>
      <c r="H54" s="641"/>
      <c r="I54" s="642">
        <f t="shared" si="0"/>
        <v>0</v>
      </c>
    </row>
    <row r="55" spans="1:9" x14ac:dyDescent="0.2">
      <c r="A55" s="213" t="s">
        <v>1075</v>
      </c>
      <c r="B55" s="71" t="s">
        <v>498</v>
      </c>
      <c r="C55" s="430"/>
      <c r="D55" s="71"/>
      <c r="E55" s="71" t="s">
        <v>1920</v>
      </c>
      <c r="F55" s="625"/>
      <c r="G55" s="62">
        <v>1</v>
      </c>
      <c r="H55" s="641"/>
      <c r="I55" s="642">
        <f t="shared" si="0"/>
        <v>0</v>
      </c>
    </row>
    <row r="56" spans="1:9" x14ac:dyDescent="0.2">
      <c r="A56" s="213" t="s">
        <v>1055</v>
      </c>
      <c r="B56" s="71" t="s">
        <v>347</v>
      </c>
      <c r="C56" s="430"/>
      <c r="D56" s="71"/>
      <c r="E56" s="71" t="s">
        <v>1920</v>
      </c>
      <c r="F56" s="625"/>
      <c r="G56" s="62">
        <v>1</v>
      </c>
      <c r="H56" s="641"/>
      <c r="I56" s="642">
        <f t="shared" si="0"/>
        <v>0</v>
      </c>
    </row>
    <row r="57" spans="1:9" x14ac:dyDescent="0.2">
      <c r="A57" s="213" t="s">
        <v>1077</v>
      </c>
      <c r="B57" s="71" t="s">
        <v>348</v>
      </c>
      <c r="C57" s="430"/>
      <c r="D57" s="71"/>
      <c r="E57" s="71" t="s">
        <v>1920</v>
      </c>
      <c r="F57" s="625"/>
      <c r="G57" s="62">
        <v>1</v>
      </c>
      <c r="H57" s="641"/>
      <c r="I57" s="642">
        <f t="shared" si="0"/>
        <v>0</v>
      </c>
    </row>
    <row r="58" spans="1:9" x14ac:dyDescent="0.2">
      <c r="A58" s="213" t="s">
        <v>1040</v>
      </c>
      <c r="B58" s="71" t="s">
        <v>274</v>
      </c>
      <c r="C58" s="430"/>
      <c r="D58" s="71"/>
      <c r="E58" s="71" t="s">
        <v>1920</v>
      </c>
      <c r="F58" s="625"/>
      <c r="G58" s="62">
        <v>1</v>
      </c>
      <c r="H58" s="641"/>
      <c r="I58" s="642">
        <f t="shared" si="0"/>
        <v>0</v>
      </c>
    </row>
    <row r="59" spans="1:9" x14ac:dyDescent="0.2">
      <c r="A59" s="213" t="s">
        <v>2092</v>
      </c>
      <c r="B59" s="71" t="s">
        <v>2093</v>
      </c>
      <c r="C59" s="430"/>
      <c r="D59" s="71"/>
      <c r="E59" s="71">
        <v>55719</v>
      </c>
      <c r="F59" s="625"/>
      <c r="G59" s="62">
        <v>1</v>
      </c>
      <c r="H59" s="641"/>
      <c r="I59" s="642">
        <f t="shared" si="0"/>
        <v>0</v>
      </c>
    </row>
    <row r="60" spans="1:9" x14ac:dyDescent="0.2">
      <c r="A60" s="213" t="s">
        <v>1416</v>
      </c>
      <c r="B60" s="71" t="s">
        <v>550</v>
      </c>
      <c r="C60" s="430"/>
      <c r="D60" s="71"/>
      <c r="E60" s="71" t="s">
        <v>1920</v>
      </c>
      <c r="F60" s="625"/>
      <c r="G60" s="62">
        <v>1</v>
      </c>
      <c r="H60" s="641"/>
      <c r="I60" s="642">
        <f t="shared" si="0"/>
        <v>0</v>
      </c>
    </row>
    <row r="61" spans="1:9" x14ac:dyDescent="0.2">
      <c r="A61" s="213" t="s">
        <v>1275</v>
      </c>
      <c r="B61" s="71" t="s">
        <v>478</v>
      </c>
      <c r="C61" s="430"/>
      <c r="D61" s="71"/>
      <c r="E61" s="71" t="s">
        <v>1920</v>
      </c>
      <c r="F61" s="625"/>
      <c r="G61" s="62">
        <v>1</v>
      </c>
      <c r="H61" s="641"/>
      <c r="I61" s="642">
        <f t="shared" si="0"/>
        <v>0</v>
      </c>
    </row>
    <row r="62" spans="1:9" x14ac:dyDescent="0.2">
      <c r="A62" s="213" t="s">
        <v>1251</v>
      </c>
      <c r="B62" s="71" t="s">
        <v>81</v>
      </c>
      <c r="C62" s="430"/>
      <c r="D62" s="71"/>
      <c r="E62" s="71" t="s">
        <v>1920</v>
      </c>
      <c r="F62" s="625"/>
      <c r="G62" s="62">
        <v>1</v>
      </c>
      <c r="H62" s="641"/>
      <c r="I62" s="642">
        <f t="shared" si="0"/>
        <v>0</v>
      </c>
    </row>
    <row r="63" spans="1:9" x14ac:dyDescent="0.2">
      <c r="A63" s="213" t="s">
        <v>1871</v>
      </c>
      <c r="B63" s="71" t="s">
        <v>3074</v>
      </c>
      <c r="C63" s="430"/>
      <c r="D63" s="71"/>
      <c r="E63" s="71" t="s">
        <v>1920</v>
      </c>
      <c r="F63" s="625"/>
      <c r="G63" s="62">
        <v>1</v>
      </c>
      <c r="H63" s="641"/>
      <c r="I63" s="642">
        <f t="shared" si="0"/>
        <v>0</v>
      </c>
    </row>
    <row r="64" spans="1:9" x14ac:dyDescent="0.2">
      <c r="A64" s="213" t="s">
        <v>1286</v>
      </c>
      <c r="B64" s="71" t="s">
        <v>387</v>
      </c>
      <c r="C64" s="430"/>
      <c r="D64" s="71"/>
      <c r="E64" s="71" t="s">
        <v>1920</v>
      </c>
      <c r="F64" s="625"/>
      <c r="G64" s="62">
        <v>1</v>
      </c>
      <c r="H64" s="641"/>
      <c r="I64" s="642">
        <f t="shared" si="0"/>
        <v>0</v>
      </c>
    </row>
    <row r="65" spans="1:9" x14ac:dyDescent="0.2">
      <c r="A65" s="213" t="s">
        <v>68</v>
      </c>
      <c r="B65" s="71" t="s">
        <v>551</v>
      </c>
      <c r="C65" s="430"/>
      <c r="D65" s="71"/>
      <c r="E65" s="71" t="s">
        <v>1920</v>
      </c>
      <c r="F65" s="625"/>
      <c r="G65" s="62">
        <v>1</v>
      </c>
      <c r="H65" s="641"/>
      <c r="I65" s="642">
        <f t="shared" si="0"/>
        <v>0</v>
      </c>
    </row>
    <row r="66" spans="1:9" x14ac:dyDescent="0.2">
      <c r="A66" s="213" t="s">
        <v>1599</v>
      </c>
      <c r="B66" s="71" t="s">
        <v>552</v>
      </c>
      <c r="C66" s="430"/>
      <c r="D66" s="71"/>
      <c r="E66" s="71" t="s">
        <v>1920</v>
      </c>
      <c r="F66" s="625"/>
      <c r="G66" s="62">
        <v>1</v>
      </c>
      <c r="H66" s="641"/>
      <c r="I66" s="642">
        <f t="shared" si="0"/>
        <v>0</v>
      </c>
    </row>
    <row r="67" spans="1:9" x14ac:dyDescent="0.2">
      <c r="A67" s="213" t="s">
        <v>1426</v>
      </c>
      <c r="B67" s="71" t="s">
        <v>534</v>
      </c>
      <c r="C67" s="430"/>
      <c r="D67" s="71"/>
      <c r="E67" s="71" t="s">
        <v>1920</v>
      </c>
      <c r="F67" s="625"/>
      <c r="G67" s="62">
        <v>1</v>
      </c>
      <c r="H67" s="641"/>
      <c r="I67" s="642">
        <f t="shared" ref="I67:I106" si="1">+G67*H67</f>
        <v>0</v>
      </c>
    </row>
    <row r="68" spans="1:9" x14ac:dyDescent="0.2">
      <c r="A68" s="213" t="s">
        <v>1427</v>
      </c>
      <c r="B68" s="71" t="s">
        <v>549</v>
      </c>
      <c r="C68" s="430"/>
      <c r="D68" s="71"/>
      <c r="E68" s="71" t="s">
        <v>1920</v>
      </c>
      <c r="F68" s="625"/>
      <c r="G68" s="62">
        <v>1</v>
      </c>
      <c r="H68" s="641"/>
      <c r="I68" s="642">
        <f t="shared" si="1"/>
        <v>0</v>
      </c>
    </row>
    <row r="69" spans="1:9" x14ac:dyDescent="0.2">
      <c r="A69" s="213" t="s">
        <v>2133</v>
      </c>
      <c r="B69" s="71" t="s">
        <v>2909</v>
      </c>
      <c r="C69" s="430"/>
      <c r="D69" s="71"/>
      <c r="E69" s="71">
        <v>56654</v>
      </c>
      <c r="F69" s="625"/>
      <c r="G69" s="62">
        <v>1</v>
      </c>
      <c r="H69" s="641"/>
      <c r="I69" s="642">
        <f t="shared" si="1"/>
        <v>0</v>
      </c>
    </row>
    <row r="70" spans="1:9" x14ac:dyDescent="0.2">
      <c r="A70" s="213" t="s">
        <v>1428</v>
      </c>
      <c r="B70" s="71" t="s">
        <v>104</v>
      </c>
      <c r="C70" s="430"/>
      <c r="D70" s="71"/>
      <c r="E70" s="71" t="s">
        <v>1920</v>
      </c>
      <c r="F70" s="625"/>
      <c r="G70" s="62">
        <v>1</v>
      </c>
      <c r="H70" s="641"/>
      <c r="I70" s="642">
        <f t="shared" si="1"/>
        <v>0</v>
      </c>
    </row>
    <row r="71" spans="1:9" x14ac:dyDescent="0.2">
      <c r="A71" s="213" t="s">
        <v>1241</v>
      </c>
      <c r="B71" s="71" t="s">
        <v>74</v>
      </c>
      <c r="C71" s="430"/>
      <c r="D71" s="71"/>
      <c r="E71" s="71" t="s">
        <v>1920</v>
      </c>
      <c r="F71" s="625"/>
      <c r="G71" s="62">
        <v>1</v>
      </c>
      <c r="H71" s="641"/>
      <c r="I71" s="642">
        <f t="shared" si="1"/>
        <v>0</v>
      </c>
    </row>
    <row r="72" spans="1:9" x14ac:dyDescent="0.2">
      <c r="A72" s="213" t="s">
        <v>105</v>
      </c>
      <c r="B72" s="71" t="s">
        <v>2118</v>
      </c>
      <c r="C72" s="430"/>
      <c r="D72" s="71"/>
      <c r="E72" s="71" t="s">
        <v>1975</v>
      </c>
      <c r="F72" s="625"/>
      <c r="G72" s="62">
        <v>5</v>
      </c>
      <c r="H72" s="641"/>
      <c r="I72" s="642">
        <f t="shared" si="1"/>
        <v>0</v>
      </c>
    </row>
    <row r="73" spans="1:9" x14ac:dyDescent="0.2">
      <c r="A73" s="213" t="s">
        <v>1346</v>
      </c>
      <c r="B73" s="71" t="s">
        <v>1988</v>
      </c>
      <c r="C73" s="430"/>
      <c r="D73" s="71"/>
      <c r="E73" s="71" t="s">
        <v>1920</v>
      </c>
      <c r="F73" s="625"/>
      <c r="G73" s="62">
        <v>1</v>
      </c>
      <c r="H73" s="641"/>
      <c r="I73" s="642">
        <f t="shared" si="1"/>
        <v>0</v>
      </c>
    </row>
    <row r="74" spans="1:9" x14ac:dyDescent="0.2">
      <c r="A74" s="213" t="s">
        <v>1085</v>
      </c>
      <c r="B74" s="71" t="s">
        <v>92</v>
      </c>
      <c r="C74" s="430"/>
      <c r="D74" s="314"/>
      <c r="E74" s="71" t="s">
        <v>1920</v>
      </c>
      <c r="F74" s="625"/>
      <c r="G74" s="62">
        <v>1</v>
      </c>
      <c r="H74" s="641"/>
      <c r="I74" s="642">
        <f t="shared" si="1"/>
        <v>0</v>
      </c>
    </row>
    <row r="75" spans="1:9" x14ac:dyDescent="0.2">
      <c r="A75" s="213" t="s">
        <v>4</v>
      </c>
      <c r="B75" s="71" t="s">
        <v>90</v>
      </c>
      <c r="C75" s="430"/>
      <c r="D75" s="71"/>
      <c r="E75" s="71" t="s">
        <v>1920</v>
      </c>
      <c r="F75" s="625"/>
      <c r="G75" s="62">
        <v>1</v>
      </c>
      <c r="H75" s="641"/>
      <c r="I75" s="642">
        <f t="shared" si="1"/>
        <v>0</v>
      </c>
    </row>
    <row r="76" spans="1:9" x14ac:dyDescent="0.2">
      <c r="A76" s="213" t="s">
        <v>1085</v>
      </c>
      <c r="B76" s="71" t="s">
        <v>93</v>
      </c>
      <c r="C76" s="430"/>
      <c r="D76" s="71"/>
      <c r="E76" s="71" t="s">
        <v>1920</v>
      </c>
      <c r="F76" s="625"/>
      <c r="G76" s="62">
        <v>1</v>
      </c>
      <c r="H76" s="641"/>
      <c r="I76" s="642">
        <f t="shared" si="1"/>
        <v>0</v>
      </c>
    </row>
    <row r="77" spans="1:9" x14ac:dyDescent="0.2">
      <c r="A77" s="213" t="s">
        <v>1334</v>
      </c>
      <c r="B77" s="71" t="s">
        <v>746</v>
      </c>
      <c r="C77" s="430"/>
      <c r="D77" s="71"/>
      <c r="E77" s="71" t="s">
        <v>1920</v>
      </c>
      <c r="F77" s="625"/>
      <c r="G77" s="62">
        <v>1</v>
      </c>
      <c r="H77" s="641"/>
      <c r="I77" s="642">
        <f t="shared" si="1"/>
        <v>0</v>
      </c>
    </row>
    <row r="78" spans="1:9" x14ac:dyDescent="0.2">
      <c r="A78" s="213" t="s">
        <v>1086</v>
      </c>
      <c r="B78" s="71" t="s">
        <v>70</v>
      </c>
      <c r="C78" s="430"/>
      <c r="D78" s="71"/>
      <c r="E78" s="71" t="s">
        <v>1920</v>
      </c>
      <c r="F78" s="625"/>
      <c r="G78" s="62">
        <v>1</v>
      </c>
      <c r="H78" s="641"/>
      <c r="I78" s="642">
        <f t="shared" si="1"/>
        <v>0</v>
      </c>
    </row>
    <row r="79" spans="1:9" x14ac:dyDescent="0.2">
      <c r="A79" s="213" t="s">
        <v>1338</v>
      </c>
      <c r="B79" s="71" t="s">
        <v>717</v>
      </c>
      <c r="C79" s="430"/>
      <c r="D79" s="71"/>
      <c r="E79" s="71" t="s">
        <v>1920</v>
      </c>
      <c r="F79" s="625"/>
      <c r="G79" s="62">
        <v>1</v>
      </c>
      <c r="H79" s="641"/>
      <c r="I79" s="642">
        <f t="shared" si="1"/>
        <v>0</v>
      </c>
    </row>
    <row r="80" spans="1:9" x14ac:dyDescent="0.2">
      <c r="A80" s="213" t="s">
        <v>1088</v>
      </c>
      <c r="B80" s="71" t="s">
        <v>485</v>
      </c>
      <c r="C80" s="430"/>
      <c r="D80" s="71"/>
      <c r="E80" s="71" t="s">
        <v>1920</v>
      </c>
      <c r="F80" s="625"/>
      <c r="G80" s="62">
        <v>1</v>
      </c>
      <c r="H80" s="641"/>
      <c r="I80" s="642">
        <f t="shared" si="1"/>
        <v>0</v>
      </c>
    </row>
    <row r="81" spans="1:9" x14ac:dyDescent="0.2">
      <c r="A81" s="213" t="s">
        <v>1339</v>
      </c>
      <c r="B81" s="71" t="s">
        <v>88</v>
      </c>
      <c r="C81" s="430"/>
      <c r="D81" s="71"/>
      <c r="E81" s="71" t="s">
        <v>1920</v>
      </c>
      <c r="F81" s="625"/>
      <c r="G81" s="62">
        <v>1</v>
      </c>
      <c r="H81" s="641"/>
      <c r="I81" s="642">
        <f t="shared" si="1"/>
        <v>0</v>
      </c>
    </row>
    <row r="82" spans="1:9" x14ac:dyDescent="0.2">
      <c r="A82" s="213" t="s">
        <v>1340</v>
      </c>
      <c r="B82" s="71" t="s">
        <v>87</v>
      </c>
      <c r="C82" s="430"/>
      <c r="D82" s="71"/>
      <c r="E82" s="71" t="s">
        <v>1920</v>
      </c>
      <c r="F82" s="625"/>
      <c r="G82" s="62">
        <v>1</v>
      </c>
      <c r="H82" s="641"/>
      <c r="I82" s="642">
        <f t="shared" si="1"/>
        <v>0</v>
      </c>
    </row>
    <row r="83" spans="1:9" x14ac:dyDescent="0.2">
      <c r="A83" s="213" t="s">
        <v>1343</v>
      </c>
      <c r="B83" s="71" t="s">
        <v>538</v>
      </c>
      <c r="C83" s="430"/>
      <c r="D83" s="71"/>
      <c r="E83" s="71" t="s">
        <v>1920</v>
      </c>
      <c r="F83" s="625"/>
      <c r="G83" s="62">
        <v>1</v>
      </c>
      <c r="H83" s="641"/>
      <c r="I83" s="642">
        <f t="shared" si="1"/>
        <v>0</v>
      </c>
    </row>
    <row r="84" spans="1:9" x14ac:dyDescent="0.2">
      <c r="A84" s="213" t="s">
        <v>1291</v>
      </c>
      <c r="B84" s="71" t="s">
        <v>95</v>
      </c>
      <c r="C84" s="430"/>
      <c r="D84" s="71"/>
      <c r="E84" s="71" t="s">
        <v>1920</v>
      </c>
      <c r="F84" s="625"/>
      <c r="G84" s="62">
        <v>1</v>
      </c>
      <c r="H84" s="641"/>
      <c r="I84" s="642">
        <f t="shared" si="1"/>
        <v>0</v>
      </c>
    </row>
    <row r="85" spans="1:9" x14ac:dyDescent="0.2">
      <c r="A85" s="213" t="s">
        <v>1290</v>
      </c>
      <c r="B85" s="71" t="s">
        <v>96</v>
      </c>
      <c r="C85" s="430"/>
      <c r="D85" s="71"/>
      <c r="E85" s="71" t="s">
        <v>1920</v>
      </c>
      <c r="F85" s="625"/>
      <c r="G85" s="62">
        <v>1</v>
      </c>
      <c r="H85" s="641"/>
      <c r="I85" s="642">
        <f t="shared" si="1"/>
        <v>0</v>
      </c>
    </row>
    <row r="86" spans="1:9" x14ac:dyDescent="0.2">
      <c r="A86" s="213" t="s">
        <v>1281</v>
      </c>
      <c r="B86" s="71" t="s">
        <v>97</v>
      </c>
      <c r="C86" s="430"/>
      <c r="D86" s="71"/>
      <c r="E86" s="71" t="s">
        <v>1920</v>
      </c>
      <c r="F86" s="625"/>
      <c r="G86" s="62">
        <v>1</v>
      </c>
      <c r="H86" s="641"/>
      <c r="I86" s="642">
        <f t="shared" si="1"/>
        <v>0</v>
      </c>
    </row>
    <row r="87" spans="1:9" x14ac:dyDescent="0.2">
      <c r="A87" s="213" t="s">
        <v>1236</v>
      </c>
      <c r="B87" s="71" t="s">
        <v>77</v>
      </c>
      <c r="C87" s="430"/>
      <c r="D87" s="71"/>
      <c r="E87" s="71" t="s">
        <v>1920</v>
      </c>
      <c r="F87" s="625"/>
      <c r="G87" s="62">
        <v>1</v>
      </c>
      <c r="H87" s="641"/>
      <c r="I87" s="642">
        <f t="shared" si="1"/>
        <v>0</v>
      </c>
    </row>
    <row r="88" spans="1:9" x14ac:dyDescent="0.2">
      <c r="A88" s="213" t="s">
        <v>1235</v>
      </c>
      <c r="B88" s="71" t="s">
        <v>78</v>
      </c>
      <c r="C88" s="430"/>
      <c r="D88" s="71"/>
      <c r="E88" s="71" t="s">
        <v>1920</v>
      </c>
      <c r="F88" s="625"/>
      <c r="G88" s="62">
        <v>1</v>
      </c>
      <c r="H88" s="641"/>
      <c r="I88" s="642">
        <f t="shared" si="1"/>
        <v>0</v>
      </c>
    </row>
    <row r="89" spans="1:9" x14ac:dyDescent="0.2">
      <c r="A89" s="213" t="s">
        <v>1237</v>
      </c>
      <c r="B89" s="71" t="s">
        <v>306</v>
      </c>
      <c r="C89" s="430"/>
      <c r="D89" s="71"/>
      <c r="E89" s="71" t="s">
        <v>1920</v>
      </c>
      <c r="F89" s="625"/>
      <c r="G89" s="62">
        <v>1</v>
      </c>
      <c r="H89" s="641"/>
      <c r="I89" s="642">
        <f t="shared" si="1"/>
        <v>0</v>
      </c>
    </row>
    <row r="90" spans="1:9" x14ac:dyDescent="0.2">
      <c r="A90" s="213" t="s">
        <v>1169</v>
      </c>
      <c r="B90" s="71" t="s">
        <v>436</v>
      </c>
      <c r="C90" s="430"/>
      <c r="D90" s="71"/>
      <c r="E90" s="71" t="s">
        <v>1920</v>
      </c>
      <c r="F90" s="625"/>
      <c r="G90" s="62">
        <v>1</v>
      </c>
      <c r="H90" s="641"/>
      <c r="I90" s="642">
        <f t="shared" si="1"/>
        <v>0</v>
      </c>
    </row>
    <row r="91" spans="1:9" x14ac:dyDescent="0.2">
      <c r="A91" s="213" t="s">
        <v>1345</v>
      </c>
      <c r="B91" s="71" t="s">
        <v>79</v>
      </c>
      <c r="C91" s="430"/>
      <c r="D91" s="71"/>
      <c r="E91" s="71" t="s">
        <v>1920</v>
      </c>
      <c r="F91" s="625"/>
      <c r="G91" s="62">
        <v>1</v>
      </c>
      <c r="H91" s="641"/>
      <c r="I91" s="642">
        <f t="shared" si="1"/>
        <v>0</v>
      </c>
    </row>
    <row r="92" spans="1:9" x14ac:dyDescent="0.2">
      <c r="A92" s="213" t="s">
        <v>1234</v>
      </c>
      <c r="B92" s="71" t="s">
        <v>73</v>
      </c>
      <c r="C92" s="430"/>
      <c r="D92" s="71"/>
      <c r="E92" s="71" t="s">
        <v>1920</v>
      </c>
      <c r="F92" s="625"/>
      <c r="G92" s="62">
        <v>1</v>
      </c>
      <c r="H92" s="641"/>
      <c r="I92" s="642">
        <f t="shared" si="1"/>
        <v>0</v>
      </c>
    </row>
    <row r="93" spans="1:9" x14ac:dyDescent="0.2">
      <c r="A93" s="213" t="s">
        <v>1238</v>
      </c>
      <c r="B93" s="71" t="s">
        <v>75</v>
      </c>
      <c r="C93" s="430"/>
      <c r="D93" s="71"/>
      <c r="E93" s="71" t="s">
        <v>1920</v>
      </c>
      <c r="F93" s="625"/>
      <c r="G93" s="62">
        <v>1</v>
      </c>
      <c r="H93" s="641"/>
      <c r="I93" s="642">
        <f t="shared" si="1"/>
        <v>0</v>
      </c>
    </row>
    <row r="94" spans="1:9" x14ac:dyDescent="0.2">
      <c r="A94" s="213" t="s">
        <v>1232</v>
      </c>
      <c r="B94" s="71" t="s">
        <v>76</v>
      </c>
      <c r="C94" s="430"/>
      <c r="D94" s="71"/>
      <c r="E94" s="71" t="s">
        <v>1920</v>
      </c>
      <c r="F94" s="625"/>
      <c r="G94" s="62">
        <v>1</v>
      </c>
      <c r="H94" s="641"/>
      <c r="I94" s="642">
        <f t="shared" si="1"/>
        <v>0</v>
      </c>
    </row>
    <row r="95" spans="1:9" x14ac:dyDescent="0.2">
      <c r="A95" s="213" t="s">
        <v>1332</v>
      </c>
      <c r="B95" s="71" t="s">
        <v>939</v>
      </c>
      <c r="C95" s="430"/>
      <c r="D95" s="71"/>
      <c r="E95" s="71" t="s">
        <v>1920</v>
      </c>
      <c r="F95" s="625"/>
      <c r="G95" s="62">
        <v>1</v>
      </c>
      <c r="H95" s="641"/>
      <c r="I95" s="642">
        <f t="shared" si="1"/>
        <v>0</v>
      </c>
    </row>
    <row r="96" spans="1:9" x14ac:dyDescent="0.2">
      <c r="A96" s="213" t="s">
        <v>37</v>
      </c>
      <c r="B96" s="71" t="s">
        <v>38</v>
      </c>
      <c r="C96" s="430"/>
      <c r="D96" s="71"/>
      <c r="E96" s="71" t="s">
        <v>1920</v>
      </c>
      <c r="F96" s="625"/>
      <c r="G96" s="62">
        <v>1</v>
      </c>
      <c r="H96" s="641"/>
      <c r="I96" s="642">
        <f t="shared" si="1"/>
        <v>0</v>
      </c>
    </row>
    <row r="97" spans="1:9" x14ac:dyDescent="0.2">
      <c r="A97" s="213" t="s">
        <v>10</v>
      </c>
      <c r="B97" s="71" t="s">
        <v>469</v>
      </c>
      <c r="C97" s="430"/>
      <c r="D97" s="71"/>
      <c r="E97" s="71" t="s">
        <v>1920</v>
      </c>
      <c r="F97" s="625"/>
      <c r="G97" s="62">
        <v>1</v>
      </c>
      <c r="H97" s="641"/>
      <c r="I97" s="642">
        <f t="shared" si="1"/>
        <v>0</v>
      </c>
    </row>
    <row r="98" spans="1:9" x14ac:dyDescent="0.2">
      <c r="A98" s="213" t="s">
        <v>101</v>
      </c>
      <c r="B98" s="71" t="s">
        <v>509</v>
      </c>
      <c r="C98" s="430"/>
      <c r="D98" s="71"/>
      <c r="E98" s="71" t="s">
        <v>1920</v>
      </c>
      <c r="F98" s="625"/>
      <c r="G98" s="62">
        <v>1</v>
      </c>
      <c r="H98" s="641"/>
      <c r="I98" s="642">
        <f t="shared" si="1"/>
        <v>0</v>
      </c>
    </row>
    <row r="99" spans="1:9" x14ac:dyDescent="0.2">
      <c r="A99" s="213" t="s">
        <v>2922</v>
      </c>
      <c r="B99" s="71" t="s">
        <v>405</v>
      </c>
      <c r="C99" s="430"/>
      <c r="D99" s="71"/>
      <c r="E99" s="71" t="s">
        <v>1920</v>
      </c>
      <c r="F99" s="625"/>
      <c r="G99" s="62">
        <v>1</v>
      </c>
      <c r="H99" s="641"/>
      <c r="I99" s="642">
        <f t="shared" si="1"/>
        <v>0</v>
      </c>
    </row>
    <row r="100" spans="1:9" x14ac:dyDescent="0.2">
      <c r="A100" s="213" t="s">
        <v>2923</v>
      </c>
      <c r="B100" s="71" t="s">
        <v>241</v>
      </c>
      <c r="C100" s="430"/>
      <c r="D100" s="71"/>
      <c r="E100" s="71" t="s">
        <v>1920</v>
      </c>
      <c r="F100" s="625"/>
      <c r="G100" s="62">
        <v>1</v>
      </c>
      <c r="H100" s="641"/>
      <c r="I100" s="642">
        <f t="shared" si="1"/>
        <v>0</v>
      </c>
    </row>
    <row r="101" spans="1:9" x14ac:dyDescent="0.2">
      <c r="A101" s="213" t="s">
        <v>2924</v>
      </c>
      <c r="B101" s="71" t="s">
        <v>856</v>
      </c>
      <c r="C101" s="430"/>
      <c r="D101" s="71"/>
      <c r="E101" s="71" t="s">
        <v>1920</v>
      </c>
      <c r="F101" s="625"/>
      <c r="G101" s="62">
        <v>1</v>
      </c>
      <c r="H101" s="641"/>
      <c r="I101" s="642">
        <f t="shared" si="1"/>
        <v>0</v>
      </c>
    </row>
    <row r="102" spans="1:9" x14ac:dyDescent="0.2">
      <c r="A102" s="213" t="s">
        <v>1451</v>
      </c>
      <c r="B102" s="71" t="s">
        <v>86</v>
      </c>
      <c r="C102" s="430"/>
      <c r="D102" s="71"/>
      <c r="E102" s="71" t="s">
        <v>1920</v>
      </c>
      <c r="F102" s="625"/>
      <c r="G102" s="62">
        <v>1</v>
      </c>
      <c r="H102" s="641"/>
      <c r="I102" s="642">
        <f t="shared" si="1"/>
        <v>0</v>
      </c>
    </row>
    <row r="103" spans="1:9" x14ac:dyDescent="0.2">
      <c r="A103" s="213" t="s">
        <v>136</v>
      </c>
      <c r="B103" s="71" t="s">
        <v>137</v>
      </c>
      <c r="C103" s="430"/>
      <c r="D103" s="71"/>
      <c r="E103" s="71" t="s">
        <v>1920</v>
      </c>
      <c r="F103" s="625"/>
      <c r="G103" s="62">
        <v>1</v>
      </c>
      <c r="H103" s="641"/>
      <c r="I103" s="642">
        <f t="shared" si="1"/>
        <v>0</v>
      </c>
    </row>
    <row r="104" spans="1:9" x14ac:dyDescent="0.2">
      <c r="A104" s="213" t="s">
        <v>1465</v>
      </c>
      <c r="B104" s="71" t="s">
        <v>174</v>
      </c>
      <c r="C104" s="430"/>
      <c r="D104" s="71"/>
      <c r="E104" s="71" t="s">
        <v>1920</v>
      </c>
      <c r="F104" s="625"/>
      <c r="G104" s="62">
        <v>1</v>
      </c>
      <c r="H104" s="641"/>
      <c r="I104" s="642">
        <f t="shared" si="1"/>
        <v>0</v>
      </c>
    </row>
    <row r="105" spans="1:9" x14ac:dyDescent="0.2">
      <c r="A105" s="213" t="s">
        <v>20</v>
      </c>
      <c r="B105" s="71" t="s">
        <v>102</v>
      </c>
      <c r="C105" s="430"/>
      <c r="D105" s="71"/>
      <c r="E105" s="71" t="s">
        <v>1920</v>
      </c>
      <c r="F105" s="625"/>
      <c r="G105" s="62">
        <v>1</v>
      </c>
      <c r="H105" s="641"/>
      <c r="I105" s="642">
        <f t="shared" si="1"/>
        <v>0</v>
      </c>
    </row>
    <row r="106" spans="1:9" x14ac:dyDescent="0.2">
      <c r="A106" s="213" t="s">
        <v>20</v>
      </c>
      <c r="B106" s="71" t="s">
        <v>287</v>
      </c>
      <c r="C106" s="430"/>
      <c r="D106" s="71"/>
      <c r="E106" s="71" t="s">
        <v>1920</v>
      </c>
      <c r="F106" s="625"/>
      <c r="G106" s="62">
        <v>1</v>
      </c>
      <c r="H106" s="641"/>
      <c r="I106" s="642">
        <f t="shared" si="1"/>
        <v>0</v>
      </c>
    </row>
    <row r="107" spans="1:9" x14ac:dyDescent="0.2">
      <c r="A107" s="102"/>
      <c r="G107" s="95"/>
      <c r="I107" s="644">
        <f>SUM(I2:I106)</f>
        <v>0</v>
      </c>
    </row>
    <row r="108" spans="1:9" x14ac:dyDescent="0.2">
      <c r="A108" s="102"/>
    </row>
    <row r="109" spans="1:9" ht="15.75" hidden="1" x14ac:dyDescent="0.25">
      <c r="A109" s="103" t="s">
        <v>858</v>
      </c>
      <c r="B109" s="37"/>
      <c r="C109" s="37"/>
      <c r="D109" s="37"/>
      <c r="E109" s="37"/>
      <c r="F109" s="37"/>
      <c r="G109" s="37"/>
      <c r="H109" s="645"/>
    </row>
    <row r="110" spans="1:9" hidden="1" x14ac:dyDescent="0.2">
      <c r="A110" s="38" t="s">
        <v>750</v>
      </c>
      <c r="B110" s="37" t="s">
        <v>751</v>
      </c>
      <c r="C110" s="37"/>
      <c r="D110" s="37"/>
      <c r="E110" s="37"/>
      <c r="F110" s="37"/>
      <c r="G110" s="37"/>
      <c r="H110" s="645"/>
    </row>
    <row r="111" spans="1:9" hidden="1" x14ac:dyDescent="0.2">
      <c r="A111" s="38" t="s">
        <v>752</v>
      </c>
      <c r="B111" s="37" t="s">
        <v>753</v>
      </c>
      <c r="C111" s="37"/>
      <c r="D111" s="37"/>
      <c r="E111" s="37"/>
      <c r="F111" s="37"/>
      <c r="G111" s="37"/>
      <c r="H111" s="645"/>
    </row>
    <row r="112" spans="1:9" hidden="1" x14ac:dyDescent="0.2">
      <c r="A112" s="38" t="s">
        <v>754</v>
      </c>
      <c r="B112" s="37" t="s">
        <v>755</v>
      </c>
      <c r="C112" s="37"/>
      <c r="D112" s="37"/>
      <c r="E112" s="37"/>
      <c r="F112" s="37"/>
      <c r="G112" s="37"/>
      <c r="H112" s="645"/>
    </row>
    <row r="113" spans="1:9" hidden="1" x14ac:dyDescent="0.2">
      <c r="A113" s="38" t="s">
        <v>756</v>
      </c>
      <c r="B113" s="37" t="s">
        <v>757</v>
      </c>
      <c r="C113" s="37"/>
      <c r="D113" s="37"/>
      <c r="E113" s="37"/>
      <c r="F113" s="37"/>
      <c r="G113" s="37"/>
      <c r="H113" s="645"/>
    </row>
    <row r="114" spans="1:9" hidden="1" x14ac:dyDescent="0.2">
      <c r="A114" s="38" t="s">
        <v>758</v>
      </c>
      <c r="B114" s="37" t="s">
        <v>759</v>
      </c>
      <c r="C114" s="37"/>
      <c r="D114" s="37"/>
      <c r="E114" s="37"/>
      <c r="F114" s="37"/>
      <c r="G114" s="37"/>
      <c r="H114" s="645"/>
    </row>
    <row r="115" spans="1:9" hidden="1" x14ac:dyDescent="0.2">
      <c r="A115" s="38" t="s">
        <v>760</v>
      </c>
      <c r="B115" s="37">
        <v>37031</v>
      </c>
      <c r="C115" s="37"/>
      <c r="D115" s="37"/>
      <c r="E115" s="37"/>
      <c r="F115" s="37"/>
      <c r="G115" s="37"/>
      <c r="H115" s="645"/>
    </row>
    <row r="116" spans="1:9" hidden="1" x14ac:dyDescent="0.2">
      <c r="A116" s="38" t="s">
        <v>761</v>
      </c>
      <c r="B116" s="37" t="s">
        <v>762</v>
      </c>
      <c r="C116" s="37"/>
      <c r="D116" s="37"/>
      <c r="E116" s="37"/>
      <c r="F116" s="37"/>
      <c r="G116" s="37"/>
      <c r="H116" s="645"/>
    </row>
    <row r="117" spans="1:9" hidden="1" x14ac:dyDescent="0.2"/>
    <row r="118" spans="1:9" hidden="1" x14ac:dyDescent="0.2"/>
    <row r="119" spans="1:9" x14ac:dyDescent="0.2">
      <c r="A119" s="339"/>
      <c r="G119" s="95"/>
    </row>
    <row r="120" spans="1:9" s="4" customFormat="1" ht="18" x14ac:dyDescent="0.25">
      <c r="A120" s="422" t="s">
        <v>1764</v>
      </c>
      <c r="B120" s="425"/>
      <c r="C120" s="309"/>
      <c r="D120" s="3"/>
      <c r="E120" s="3"/>
      <c r="F120" s="309"/>
      <c r="G120" s="3"/>
      <c r="H120" s="531"/>
      <c r="I120" s="541"/>
    </row>
    <row r="121" spans="1:9" s="4" customFormat="1" ht="18" x14ac:dyDescent="0.25">
      <c r="A121" s="422" t="s">
        <v>2949</v>
      </c>
      <c r="B121" s="425"/>
      <c r="C121" s="309"/>
      <c r="D121" s="3"/>
      <c r="E121" s="3"/>
      <c r="F121" s="309"/>
      <c r="G121" s="3"/>
      <c r="H121" s="531"/>
      <c r="I121" s="541"/>
    </row>
    <row r="122" spans="1:9" ht="18" x14ac:dyDescent="0.25">
      <c r="A122" s="491" t="s">
        <v>3340</v>
      </c>
      <c r="B122" s="37"/>
    </row>
    <row r="123" spans="1:9" ht="18" x14ac:dyDescent="0.25">
      <c r="A123" s="449" t="s">
        <v>3367</v>
      </c>
      <c r="B123" s="608">
        <f>+I107</f>
        <v>0</v>
      </c>
    </row>
  </sheetData>
  <pageMargins left="0.5" right="0.5" top="0.5" bottom="0.5" header="0.3" footer="0.3"/>
  <pageSetup scale="65" fitToWidth="0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17"/>
  <sheetViews>
    <sheetView workbookViewId="0">
      <pane ySplit="1" topLeftCell="A2" activePane="bottomLeft" state="frozen"/>
      <selection activeCell="C26" sqref="C26"/>
      <selection pane="bottomLeft" activeCell="G112" sqref="G2:G112"/>
    </sheetView>
  </sheetViews>
  <sheetFormatPr defaultColWidth="9.140625" defaultRowHeight="15" x14ac:dyDescent="0.2"/>
  <cols>
    <col min="1" max="1" width="63.85546875" style="104" bestFit="1" customWidth="1"/>
    <col min="2" max="2" width="17.42578125" style="64" bestFit="1" customWidth="1"/>
    <col min="3" max="3" width="20.42578125" style="64" bestFit="1" customWidth="1"/>
    <col min="4" max="4" width="20.85546875" style="64" bestFit="1" customWidth="1"/>
    <col min="5" max="5" width="12.42578125" style="64" bestFit="1" customWidth="1"/>
    <col min="6" max="6" width="15.5703125" style="64" bestFit="1" customWidth="1"/>
    <col min="7" max="7" width="11.5703125" style="64" customWidth="1"/>
    <col min="8" max="8" width="11.42578125" style="643" bestFit="1" customWidth="1"/>
    <col min="9" max="9" width="16.85546875" style="644" bestFit="1" customWidth="1"/>
    <col min="10" max="16384" width="9.140625" style="102"/>
  </cols>
  <sheetData>
    <row r="1" spans="1:9" ht="15.75" x14ac:dyDescent="0.25">
      <c r="A1" s="101" t="s">
        <v>0</v>
      </c>
      <c r="B1" s="22" t="s">
        <v>1</v>
      </c>
      <c r="C1" s="367" t="s">
        <v>3373</v>
      </c>
      <c r="D1" s="22" t="s">
        <v>2300</v>
      </c>
      <c r="E1" s="22" t="s">
        <v>1873</v>
      </c>
      <c r="F1" s="367" t="s">
        <v>3372</v>
      </c>
      <c r="G1" s="101" t="s">
        <v>412</v>
      </c>
      <c r="H1" s="528" t="s">
        <v>3368</v>
      </c>
      <c r="I1" s="539" t="s">
        <v>3369</v>
      </c>
    </row>
    <row r="2" spans="1:9" x14ac:dyDescent="0.2">
      <c r="A2" s="61" t="s">
        <v>18</v>
      </c>
      <c r="B2" s="71" t="s">
        <v>3110</v>
      </c>
      <c r="C2" s="430"/>
      <c r="D2" s="71"/>
      <c r="E2" s="71" t="s">
        <v>1920</v>
      </c>
      <c r="F2" s="625"/>
      <c r="G2" s="62">
        <v>1</v>
      </c>
      <c r="H2" s="529"/>
      <c r="I2" s="642">
        <f>+G2*H2</f>
        <v>0</v>
      </c>
    </row>
    <row r="3" spans="1:9" x14ac:dyDescent="0.2">
      <c r="A3" s="61" t="s">
        <v>1160</v>
      </c>
      <c r="B3" s="71" t="s">
        <v>2751</v>
      </c>
      <c r="C3" s="430"/>
      <c r="D3" s="71"/>
      <c r="E3" s="71" t="s">
        <v>1920</v>
      </c>
      <c r="F3" s="625"/>
      <c r="G3" s="62">
        <v>1</v>
      </c>
      <c r="H3" s="529"/>
      <c r="I3" s="642">
        <f t="shared" ref="I3:I66" si="0">+G3*H3</f>
        <v>0</v>
      </c>
    </row>
    <row r="4" spans="1:9" x14ac:dyDescent="0.2">
      <c r="A4" s="61" t="s">
        <v>1200</v>
      </c>
      <c r="B4" s="71" t="s">
        <v>100</v>
      </c>
      <c r="C4" s="430"/>
      <c r="D4" s="71"/>
      <c r="E4" s="71" t="s">
        <v>1920</v>
      </c>
      <c r="F4" s="625"/>
      <c r="G4" s="62">
        <v>1</v>
      </c>
      <c r="H4" s="529"/>
      <c r="I4" s="642">
        <f t="shared" si="0"/>
        <v>0</v>
      </c>
    </row>
    <row r="5" spans="1:9" x14ac:dyDescent="0.2">
      <c r="A5" s="61" t="s">
        <v>17</v>
      </c>
      <c r="B5" s="71" t="s">
        <v>407</v>
      </c>
      <c r="C5" s="430"/>
      <c r="D5" s="71"/>
      <c r="E5" s="71" t="s">
        <v>1920</v>
      </c>
      <c r="F5" s="625"/>
      <c r="G5" s="62">
        <v>1</v>
      </c>
      <c r="H5" s="529"/>
      <c r="I5" s="642">
        <f t="shared" si="0"/>
        <v>0</v>
      </c>
    </row>
    <row r="6" spans="1:9" x14ac:dyDescent="0.2">
      <c r="A6" s="61" t="s">
        <v>1701</v>
      </c>
      <c r="B6" s="71" t="s">
        <v>2013</v>
      </c>
      <c r="C6" s="430"/>
      <c r="D6" s="71"/>
      <c r="E6" s="71" t="s">
        <v>1920</v>
      </c>
      <c r="F6" s="625"/>
      <c r="G6" s="62">
        <v>1</v>
      </c>
      <c r="H6" s="529"/>
      <c r="I6" s="642">
        <f t="shared" si="0"/>
        <v>0</v>
      </c>
    </row>
    <row r="7" spans="1:9" x14ac:dyDescent="0.2">
      <c r="A7" s="61" t="s">
        <v>1486</v>
      </c>
      <c r="B7" s="71" t="s">
        <v>1989</v>
      </c>
      <c r="C7" s="430"/>
      <c r="D7" s="71"/>
      <c r="E7" s="71" t="s">
        <v>1920</v>
      </c>
      <c r="F7" s="625"/>
      <c r="G7" s="62">
        <v>1</v>
      </c>
      <c r="H7" s="529"/>
      <c r="I7" s="642">
        <f t="shared" si="0"/>
        <v>0</v>
      </c>
    </row>
    <row r="8" spans="1:9" x14ac:dyDescent="0.2">
      <c r="A8" s="61" t="s">
        <v>1194</v>
      </c>
      <c r="B8" s="71" t="s">
        <v>314</v>
      </c>
      <c r="C8" s="430"/>
      <c r="D8" s="71"/>
      <c r="E8" s="71" t="s">
        <v>1920</v>
      </c>
      <c r="F8" s="625"/>
      <c r="G8" s="62">
        <v>1</v>
      </c>
      <c r="H8" s="529"/>
      <c r="I8" s="642">
        <f t="shared" si="0"/>
        <v>0</v>
      </c>
    </row>
    <row r="9" spans="1:9" x14ac:dyDescent="0.2">
      <c r="A9" s="61" t="s">
        <v>1197</v>
      </c>
      <c r="B9" s="71" t="s">
        <v>80</v>
      </c>
      <c r="C9" s="430"/>
      <c r="D9" s="71"/>
      <c r="E9" s="71" t="s">
        <v>1920</v>
      </c>
      <c r="F9" s="625"/>
      <c r="G9" s="62">
        <v>1</v>
      </c>
      <c r="H9" s="529"/>
      <c r="I9" s="642">
        <f t="shared" si="0"/>
        <v>0</v>
      </c>
    </row>
    <row r="10" spans="1:9" x14ac:dyDescent="0.2">
      <c r="A10" s="61" t="s">
        <v>1052</v>
      </c>
      <c r="B10" s="71" t="s">
        <v>312</v>
      </c>
      <c r="C10" s="430"/>
      <c r="D10" s="71"/>
      <c r="E10" s="71" t="s">
        <v>1920</v>
      </c>
      <c r="F10" s="625"/>
      <c r="G10" s="62">
        <v>1</v>
      </c>
      <c r="H10" s="529"/>
      <c r="I10" s="642">
        <f t="shared" si="0"/>
        <v>0</v>
      </c>
    </row>
    <row r="11" spans="1:9" x14ac:dyDescent="0.2">
      <c r="A11" s="61" t="s">
        <v>16</v>
      </c>
      <c r="B11" s="71" t="s">
        <v>476</v>
      </c>
      <c r="C11" s="430"/>
      <c r="D11" s="71"/>
      <c r="E11" s="71" t="s">
        <v>1920</v>
      </c>
      <c r="F11" s="625"/>
      <c r="G11" s="62">
        <v>1</v>
      </c>
      <c r="H11" s="529"/>
      <c r="I11" s="642">
        <f t="shared" si="0"/>
        <v>0</v>
      </c>
    </row>
    <row r="12" spans="1:9" x14ac:dyDescent="0.2">
      <c r="A12" s="61" t="s">
        <v>1192</v>
      </c>
      <c r="B12" s="71" t="s">
        <v>94</v>
      </c>
      <c r="C12" s="430"/>
      <c r="D12" s="71"/>
      <c r="E12" s="71" t="s">
        <v>1920</v>
      </c>
      <c r="F12" s="625"/>
      <c r="G12" s="62">
        <v>1</v>
      </c>
      <c r="H12" s="529"/>
      <c r="I12" s="642">
        <f t="shared" si="0"/>
        <v>0</v>
      </c>
    </row>
    <row r="13" spans="1:9" x14ac:dyDescent="0.2">
      <c r="A13" s="61" t="s">
        <v>1297</v>
      </c>
      <c r="B13" s="71" t="s">
        <v>89</v>
      </c>
      <c r="C13" s="430"/>
      <c r="D13" s="71"/>
      <c r="E13" s="71" t="s">
        <v>1920</v>
      </c>
      <c r="F13" s="625"/>
      <c r="G13" s="62">
        <v>1</v>
      </c>
      <c r="H13" s="529"/>
      <c r="I13" s="642">
        <f t="shared" si="0"/>
        <v>0</v>
      </c>
    </row>
    <row r="14" spans="1:9" x14ac:dyDescent="0.2">
      <c r="A14" s="61" t="s">
        <v>1302</v>
      </c>
      <c r="B14" s="71" t="s">
        <v>828</v>
      </c>
      <c r="C14" s="430"/>
      <c r="D14" s="71"/>
      <c r="E14" s="71" t="s">
        <v>1920</v>
      </c>
      <c r="F14" s="625"/>
      <c r="G14" s="62">
        <v>1</v>
      </c>
      <c r="H14" s="529"/>
      <c r="I14" s="642">
        <f t="shared" si="0"/>
        <v>0</v>
      </c>
    </row>
    <row r="15" spans="1:9" x14ac:dyDescent="0.2">
      <c r="A15" s="61" t="s">
        <v>1029</v>
      </c>
      <c r="B15" s="71" t="s">
        <v>251</v>
      </c>
      <c r="C15" s="430"/>
      <c r="D15" s="71"/>
      <c r="E15" s="71" t="s">
        <v>1920</v>
      </c>
      <c r="F15" s="625"/>
      <c r="G15" s="62">
        <v>1</v>
      </c>
      <c r="H15" s="529"/>
      <c r="I15" s="642">
        <f t="shared" si="0"/>
        <v>0</v>
      </c>
    </row>
    <row r="16" spans="1:9" x14ac:dyDescent="0.2">
      <c r="A16" s="61" t="s">
        <v>1147</v>
      </c>
      <c r="B16" s="71" t="s">
        <v>403</v>
      </c>
      <c r="C16" s="430"/>
      <c r="D16" s="71"/>
      <c r="E16" s="71" t="s">
        <v>1920</v>
      </c>
      <c r="F16" s="625"/>
      <c r="G16" s="62">
        <v>1</v>
      </c>
      <c r="H16" s="529"/>
      <c r="I16" s="642">
        <f t="shared" si="0"/>
        <v>0</v>
      </c>
    </row>
    <row r="17" spans="1:9" x14ac:dyDescent="0.2">
      <c r="A17" s="61" t="s">
        <v>1035</v>
      </c>
      <c r="B17" s="71" t="s">
        <v>414</v>
      </c>
      <c r="C17" s="430"/>
      <c r="D17" s="71"/>
      <c r="E17" s="71" t="s">
        <v>1920</v>
      </c>
      <c r="F17" s="625"/>
      <c r="G17" s="62">
        <v>1</v>
      </c>
      <c r="H17" s="529"/>
      <c r="I17" s="642">
        <f t="shared" si="0"/>
        <v>0</v>
      </c>
    </row>
    <row r="18" spans="1:9" x14ac:dyDescent="0.2">
      <c r="A18" s="61" t="s">
        <v>1033</v>
      </c>
      <c r="B18" s="71" t="s">
        <v>98</v>
      </c>
      <c r="C18" s="430"/>
      <c r="D18" s="71"/>
      <c r="E18" s="71" t="s">
        <v>1920</v>
      </c>
      <c r="F18" s="625"/>
      <c r="G18" s="62">
        <v>1</v>
      </c>
      <c r="H18" s="529"/>
      <c r="I18" s="642">
        <f t="shared" si="0"/>
        <v>0</v>
      </c>
    </row>
    <row r="19" spans="1:9" x14ac:dyDescent="0.2">
      <c r="A19" s="61" t="s">
        <v>1026</v>
      </c>
      <c r="B19" s="71" t="s">
        <v>99</v>
      </c>
      <c r="C19" s="430"/>
      <c r="D19" s="71"/>
      <c r="E19" s="71" t="s">
        <v>1920</v>
      </c>
      <c r="F19" s="625"/>
      <c r="G19" s="62">
        <v>1</v>
      </c>
      <c r="H19" s="529"/>
      <c r="I19" s="642">
        <f t="shared" si="0"/>
        <v>0</v>
      </c>
    </row>
    <row r="20" spans="1:9" x14ac:dyDescent="0.2">
      <c r="A20" s="61" t="s">
        <v>1359</v>
      </c>
      <c r="B20" s="71" t="s">
        <v>857</v>
      </c>
      <c r="C20" s="430"/>
      <c r="D20" s="71"/>
      <c r="E20" s="71" t="s">
        <v>1920</v>
      </c>
      <c r="F20" s="625"/>
      <c r="G20" s="62">
        <v>1</v>
      </c>
      <c r="H20" s="529"/>
      <c r="I20" s="642">
        <f t="shared" si="0"/>
        <v>0</v>
      </c>
    </row>
    <row r="21" spans="1:9" x14ac:dyDescent="0.2">
      <c r="A21" s="61" t="s">
        <v>1360</v>
      </c>
      <c r="B21" s="71" t="s">
        <v>103</v>
      </c>
      <c r="C21" s="430"/>
      <c r="D21" s="71"/>
      <c r="E21" s="71" t="s">
        <v>1920</v>
      </c>
      <c r="F21" s="625"/>
      <c r="G21" s="62">
        <v>1</v>
      </c>
      <c r="H21" s="529"/>
      <c r="I21" s="642">
        <f t="shared" si="0"/>
        <v>0</v>
      </c>
    </row>
    <row r="22" spans="1:9" x14ac:dyDescent="0.2">
      <c r="A22" s="61" t="s">
        <v>1363</v>
      </c>
      <c r="B22" s="71" t="s">
        <v>223</v>
      </c>
      <c r="C22" s="430"/>
      <c r="D22" s="71"/>
      <c r="E22" s="71" t="s">
        <v>1920</v>
      </c>
      <c r="F22" s="625"/>
      <c r="G22" s="62">
        <v>1</v>
      </c>
      <c r="H22" s="529"/>
      <c r="I22" s="642">
        <f t="shared" si="0"/>
        <v>0</v>
      </c>
    </row>
    <row r="23" spans="1:9" x14ac:dyDescent="0.2">
      <c r="A23" s="61" t="s">
        <v>2302</v>
      </c>
      <c r="B23" s="71" t="s">
        <v>2301</v>
      </c>
      <c r="C23" s="430"/>
      <c r="D23" s="71"/>
      <c r="E23" s="71" t="s">
        <v>1920</v>
      </c>
      <c r="F23" s="625"/>
      <c r="G23" s="62">
        <v>1</v>
      </c>
      <c r="H23" s="529"/>
      <c r="I23" s="642">
        <f t="shared" si="0"/>
        <v>0</v>
      </c>
    </row>
    <row r="24" spans="1:9" x14ac:dyDescent="0.2">
      <c r="A24" s="61" t="s">
        <v>1364</v>
      </c>
      <c r="B24" s="71" t="s">
        <v>84</v>
      </c>
      <c r="C24" s="430"/>
      <c r="D24" s="71"/>
      <c r="E24" s="71" t="s">
        <v>1920</v>
      </c>
      <c r="F24" s="625"/>
      <c r="G24" s="62">
        <v>1</v>
      </c>
      <c r="H24" s="529"/>
      <c r="I24" s="642">
        <f t="shared" si="0"/>
        <v>0</v>
      </c>
    </row>
    <row r="25" spans="1:9" x14ac:dyDescent="0.2">
      <c r="A25" s="61" t="s">
        <v>6</v>
      </c>
      <c r="B25" s="71" t="s">
        <v>91</v>
      </c>
      <c r="C25" s="430"/>
      <c r="D25" s="71"/>
      <c r="E25" s="71" t="s">
        <v>1920</v>
      </c>
      <c r="F25" s="625"/>
      <c r="G25" s="62">
        <v>1</v>
      </c>
      <c r="H25" s="529"/>
      <c r="I25" s="642">
        <f t="shared" si="0"/>
        <v>0</v>
      </c>
    </row>
    <row r="26" spans="1:9" x14ac:dyDescent="0.2">
      <c r="A26" s="61" t="s">
        <v>1261</v>
      </c>
      <c r="B26" s="71" t="s">
        <v>898</v>
      </c>
      <c r="C26" s="430"/>
      <c r="D26" s="71"/>
      <c r="E26" s="71" t="s">
        <v>1920</v>
      </c>
      <c r="F26" s="625"/>
      <c r="G26" s="62">
        <v>1</v>
      </c>
      <c r="H26" s="529"/>
      <c r="I26" s="642">
        <f t="shared" si="0"/>
        <v>0</v>
      </c>
    </row>
    <row r="27" spans="1:9" x14ac:dyDescent="0.2">
      <c r="A27" s="61" t="s">
        <v>3260</v>
      </c>
      <c r="B27" s="71" t="s">
        <v>480</v>
      </c>
      <c r="C27" s="430"/>
      <c r="D27" s="71"/>
      <c r="E27" s="71" t="s">
        <v>1920</v>
      </c>
      <c r="F27" s="625"/>
      <c r="G27" s="62">
        <v>1</v>
      </c>
      <c r="H27" s="529"/>
      <c r="I27" s="642">
        <f t="shared" si="0"/>
        <v>0</v>
      </c>
    </row>
    <row r="28" spans="1:9" x14ac:dyDescent="0.2">
      <c r="A28" s="61" t="s">
        <v>66</v>
      </c>
      <c r="B28" s="71" t="s">
        <v>1836</v>
      </c>
      <c r="C28" s="430"/>
      <c r="D28" s="71"/>
      <c r="E28" s="71" t="s">
        <v>1947</v>
      </c>
      <c r="F28" s="625"/>
      <c r="G28" s="62">
        <v>1</v>
      </c>
      <c r="H28" s="529"/>
      <c r="I28" s="642">
        <f t="shared" si="0"/>
        <v>0</v>
      </c>
    </row>
    <row r="29" spans="1:9" x14ac:dyDescent="0.2">
      <c r="A29" s="61" t="s">
        <v>1071</v>
      </c>
      <c r="B29" s="71">
        <v>80038</v>
      </c>
      <c r="C29" s="430"/>
      <c r="D29" s="71"/>
      <c r="E29" s="71">
        <v>25795</v>
      </c>
      <c r="F29" s="625"/>
      <c r="G29" s="62">
        <v>1</v>
      </c>
      <c r="H29" s="529"/>
      <c r="I29" s="642">
        <f t="shared" si="0"/>
        <v>0</v>
      </c>
    </row>
    <row r="30" spans="1:9" x14ac:dyDescent="0.2">
      <c r="A30" s="61" t="s">
        <v>1072</v>
      </c>
      <c r="B30" s="71">
        <v>80039</v>
      </c>
      <c r="C30" s="430"/>
      <c r="D30" s="71"/>
      <c r="E30" s="71">
        <v>25795</v>
      </c>
      <c r="F30" s="625"/>
      <c r="G30" s="62">
        <v>1</v>
      </c>
      <c r="H30" s="529"/>
      <c r="I30" s="642">
        <f t="shared" si="0"/>
        <v>0</v>
      </c>
    </row>
    <row r="31" spans="1:9" x14ac:dyDescent="0.2">
      <c r="A31" s="61" t="s">
        <v>1073</v>
      </c>
      <c r="B31" s="71">
        <v>80040</v>
      </c>
      <c r="C31" s="430"/>
      <c r="D31" s="71"/>
      <c r="E31" s="71">
        <v>25795</v>
      </c>
      <c r="F31" s="625"/>
      <c r="G31" s="62">
        <v>1</v>
      </c>
      <c r="H31" s="529"/>
      <c r="I31" s="642">
        <f t="shared" si="0"/>
        <v>0</v>
      </c>
    </row>
    <row r="32" spans="1:9" x14ac:dyDescent="0.2">
      <c r="A32" s="61" t="s">
        <v>1074</v>
      </c>
      <c r="B32" s="71">
        <v>80041</v>
      </c>
      <c r="C32" s="430"/>
      <c r="D32" s="71"/>
      <c r="E32" s="71">
        <v>25795</v>
      </c>
      <c r="F32" s="625"/>
      <c r="G32" s="62">
        <v>1</v>
      </c>
      <c r="H32" s="529"/>
      <c r="I32" s="642">
        <f t="shared" si="0"/>
        <v>0</v>
      </c>
    </row>
    <row r="33" spans="1:9" x14ac:dyDescent="0.2">
      <c r="A33" s="61" t="s">
        <v>1075</v>
      </c>
      <c r="B33" s="71">
        <v>80042</v>
      </c>
      <c r="C33" s="430"/>
      <c r="D33" s="71"/>
      <c r="E33" s="71">
        <v>25795</v>
      </c>
      <c r="F33" s="625"/>
      <c r="G33" s="62">
        <v>1</v>
      </c>
      <c r="H33" s="529"/>
      <c r="I33" s="642">
        <f t="shared" si="0"/>
        <v>0</v>
      </c>
    </row>
    <row r="34" spans="1:9" x14ac:dyDescent="0.2">
      <c r="A34" s="61" t="s">
        <v>2231</v>
      </c>
      <c r="B34" s="71" t="s">
        <v>357</v>
      </c>
      <c r="C34" s="430"/>
      <c r="D34" s="71"/>
      <c r="E34" s="71" t="s">
        <v>1920</v>
      </c>
      <c r="F34" s="625"/>
      <c r="G34" s="62">
        <v>1</v>
      </c>
      <c r="H34" s="529"/>
      <c r="I34" s="642">
        <f t="shared" si="0"/>
        <v>0</v>
      </c>
    </row>
    <row r="35" spans="1:9" x14ac:dyDescent="0.2">
      <c r="A35" s="61" t="s">
        <v>1314</v>
      </c>
      <c r="B35" s="71" t="s">
        <v>358</v>
      </c>
      <c r="C35" s="430"/>
      <c r="D35" s="71"/>
      <c r="E35" s="71" t="s">
        <v>1920</v>
      </c>
      <c r="F35" s="625"/>
      <c r="G35" s="62">
        <v>1</v>
      </c>
      <c r="H35" s="529"/>
      <c r="I35" s="642">
        <f t="shared" si="0"/>
        <v>0</v>
      </c>
    </row>
    <row r="36" spans="1:9" x14ac:dyDescent="0.2">
      <c r="A36" s="247" t="s">
        <v>1184</v>
      </c>
      <c r="B36" s="71" t="s">
        <v>327</v>
      </c>
      <c r="C36" s="430"/>
      <c r="D36" s="71"/>
      <c r="E36" s="71" t="s">
        <v>1920</v>
      </c>
      <c r="F36" s="625"/>
      <c r="G36" s="62">
        <v>1</v>
      </c>
      <c r="H36" s="529"/>
      <c r="I36" s="642">
        <f t="shared" si="0"/>
        <v>0</v>
      </c>
    </row>
    <row r="37" spans="1:9" x14ac:dyDescent="0.2">
      <c r="A37" s="61" t="s">
        <v>1186</v>
      </c>
      <c r="B37" s="71" t="s">
        <v>328</v>
      </c>
      <c r="C37" s="430"/>
      <c r="D37" s="71"/>
      <c r="E37" s="71" t="s">
        <v>1920</v>
      </c>
      <c r="F37" s="625"/>
      <c r="G37" s="62">
        <v>1</v>
      </c>
      <c r="H37" s="529"/>
      <c r="I37" s="642">
        <f t="shared" si="0"/>
        <v>0</v>
      </c>
    </row>
    <row r="38" spans="1:9" x14ac:dyDescent="0.2">
      <c r="A38" s="61" t="s">
        <v>3250</v>
      </c>
      <c r="B38" s="71" t="s">
        <v>318</v>
      </c>
      <c r="C38" s="430"/>
      <c r="D38" s="71"/>
      <c r="E38" s="71" t="s">
        <v>1920</v>
      </c>
      <c r="F38" s="625"/>
      <c r="G38" s="62">
        <v>1</v>
      </c>
      <c r="H38" s="529"/>
      <c r="I38" s="642">
        <f t="shared" si="0"/>
        <v>0</v>
      </c>
    </row>
    <row r="39" spans="1:9" x14ac:dyDescent="0.2">
      <c r="A39" s="61" t="s">
        <v>2277</v>
      </c>
      <c r="B39" s="71" t="s">
        <v>680</v>
      </c>
      <c r="C39" s="430"/>
      <c r="D39" s="71"/>
      <c r="E39" s="71" t="s">
        <v>1920</v>
      </c>
      <c r="F39" s="625"/>
      <c r="G39" s="62">
        <v>1</v>
      </c>
      <c r="H39" s="529"/>
      <c r="I39" s="642">
        <f t="shared" si="0"/>
        <v>0</v>
      </c>
    </row>
    <row r="40" spans="1:9" x14ac:dyDescent="0.2">
      <c r="A40" s="61" t="s">
        <v>1187</v>
      </c>
      <c r="B40" s="71" t="s">
        <v>360</v>
      </c>
      <c r="C40" s="430"/>
      <c r="D40" s="71"/>
      <c r="E40" s="71" t="s">
        <v>1920</v>
      </c>
      <c r="F40" s="625"/>
      <c r="G40" s="62">
        <v>1</v>
      </c>
      <c r="H40" s="529"/>
      <c r="I40" s="642">
        <f t="shared" si="0"/>
        <v>0</v>
      </c>
    </row>
    <row r="41" spans="1:9" x14ac:dyDescent="0.2">
      <c r="A41" s="61" t="s">
        <v>1185</v>
      </c>
      <c r="B41" s="71" t="s">
        <v>330</v>
      </c>
      <c r="C41" s="430"/>
      <c r="D41" s="71"/>
      <c r="E41" s="71" t="s">
        <v>1920</v>
      </c>
      <c r="F41" s="625"/>
      <c r="G41" s="62">
        <v>1</v>
      </c>
      <c r="H41" s="529"/>
      <c r="I41" s="642">
        <f t="shared" si="0"/>
        <v>0</v>
      </c>
    </row>
    <row r="42" spans="1:9" x14ac:dyDescent="0.2">
      <c r="A42" s="61" t="s">
        <v>1181</v>
      </c>
      <c r="B42" s="71" t="s">
        <v>199</v>
      </c>
      <c r="C42" s="430"/>
      <c r="D42" s="71"/>
      <c r="E42" s="71" t="s">
        <v>1920</v>
      </c>
      <c r="F42" s="625"/>
      <c r="G42" s="62">
        <v>1</v>
      </c>
      <c r="H42" s="529"/>
      <c r="I42" s="642">
        <f t="shared" si="0"/>
        <v>0</v>
      </c>
    </row>
    <row r="43" spans="1:9" x14ac:dyDescent="0.2">
      <c r="A43" s="61" t="s">
        <v>1054</v>
      </c>
      <c r="B43" s="71" t="s">
        <v>326</v>
      </c>
      <c r="C43" s="430"/>
      <c r="D43" s="71"/>
      <c r="E43" s="71" t="s">
        <v>1920</v>
      </c>
      <c r="F43" s="625"/>
      <c r="G43" s="62">
        <v>1</v>
      </c>
      <c r="H43" s="529"/>
      <c r="I43" s="642">
        <f t="shared" si="0"/>
        <v>0</v>
      </c>
    </row>
    <row r="44" spans="1:9" x14ac:dyDescent="0.2">
      <c r="A44" s="61" t="s">
        <v>2879</v>
      </c>
      <c r="B44" s="71" t="s">
        <v>329</v>
      </c>
      <c r="C44" s="430"/>
      <c r="D44" s="71"/>
      <c r="E44" s="71" t="s">
        <v>1920</v>
      </c>
      <c r="F44" s="625"/>
      <c r="G44" s="62">
        <v>1</v>
      </c>
      <c r="H44" s="529"/>
      <c r="I44" s="642">
        <f t="shared" si="0"/>
        <v>0</v>
      </c>
    </row>
    <row r="45" spans="1:9" x14ac:dyDescent="0.2">
      <c r="A45" s="61" t="s">
        <v>2306</v>
      </c>
      <c r="B45" s="71" t="s">
        <v>2303</v>
      </c>
      <c r="C45" s="430"/>
      <c r="D45" s="71"/>
      <c r="E45" s="71" t="s">
        <v>1920</v>
      </c>
      <c r="F45" s="625"/>
      <c r="G45" s="62">
        <v>1</v>
      </c>
      <c r="H45" s="529"/>
      <c r="I45" s="642">
        <f t="shared" si="0"/>
        <v>0</v>
      </c>
    </row>
    <row r="46" spans="1:9" x14ac:dyDescent="0.2">
      <c r="A46" s="61" t="s">
        <v>2305</v>
      </c>
      <c r="B46" s="71" t="s">
        <v>2304</v>
      </c>
      <c r="C46" s="430"/>
      <c r="D46" s="71"/>
      <c r="E46" s="71" t="s">
        <v>1920</v>
      </c>
      <c r="F46" s="625"/>
      <c r="G46" s="62">
        <v>1</v>
      </c>
      <c r="H46" s="529"/>
      <c r="I46" s="642">
        <f t="shared" si="0"/>
        <v>0</v>
      </c>
    </row>
    <row r="47" spans="1:9" x14ac:dyDescent="0.2">
      <c r="A47" s="61" t="s">
        <v>2897</v>
      </c>
      <c r="B47" s="71" t="s">
        <v>324</v>
      </c>
      <c r="C47" s="430"/>
      <c r="D47" s="71"/>
      <c r="E47" s="71" t="s">
        <v>1920</v>
      </c>
      <c r="F47" s="625"/>
      <c r="G47" s="62">
        <v>1</v>
      </c>
      <c r="H47" s="529"/>
      <c r="I47" s="642">
        <f t="shared" si="0"/>
        <v>0</v>
      </c>
    </row>
    <row r="48" spans="1:9" x14ac:dyDescent="0.2">
      <c r="A48" s="61" t="s">
        <v>1188</v>
      </c>
      <c r="B48" s="71" t="s">
        <v>342</v>
      </c>
      <c r="C48" s="430"/>
      <c r="D48" s="71"/>
      <c r="E48" s="71" t="s">
        <v>1920</v>
      </c>
      <c r="F48" s="625"/>
      <c r="G48" s="62">
        <v>1</v>
      </c>
      <c r="H48" s="529"/>
      <c r="I48" s="642">
        <f t="shared" si="0"/>
        <v>0</v>
      </c>
    </row>
    <row r="49" spans="1:9" x14ac:dyDescent="0.2">
      <c r="A49" s="61" t="s">
        <v>1055</v>
      </c>
      <c r="B49" s="71" t="s">
        <v>347</v>
      </c>
      <c r="C49" s="430"/>
      <c r="D49" s="71"/>
      <c r="E49" s="71" t="s">
        <v>1920</v>
      </c>
      <c r="F49" s="625"/>
      <c r="G49" s="62">
        <v>1</v>
      </c>
      <c r="H49" s="529"/>
      <c r="I49" s="642">
        <f t="shared" si="0"/>
        <v>0</v>
      </c>
    </row>
    <row r="50" spans="1:9" x14ac:dyDescent="0.2">
      <c r="A50" s="61" t="s">
        <v>1077</v>
      </c>
      <c r="B50" s="71" t="s">
        <v>348</v>
      </c>
      <c r="C50" s="430"/>
      <c r="D50" s="71"/>
      <c r="E50" s="71" t="s">
        <v>1920</v>
      </c>
      <c r="F50" s="625"/>
      <c r="G50" s="62">
        <v>1</v>
      </c>
      <c r="H50" s="529"/>
      <c r="I50" s="642">
        <f t="shared" si="0"/>
        <v>0</v>
      </c>
    </row>
    <row r="51" spans="1:9" x14ac:dyDescent="0.2">
      <c r="A51" s="61" t="s">
        <v>1040</v>
      </c>
      <c r="B51" s="71" t="s">
        <v>274</v>
      </c>
      <c r="C51" s="430"/>
      <c r="D51" s="71"/>
      <c r="E51" s="71" t="s">
        <v>1920</v>
      </c>
      <c r="F51" s="625"/>
      <c r="G51" s="62">
        <v>1</v>
      </c>
      <c r="H51" s="529"/>
      <c r="I51" s="642">
        <f t="shared" si="0"/>
        <v>0</v>
      </c>
    </row>
    <row r="52" spans="1:9" x14ac:dyDescent="0.2">
      <c r="A52" s="61" t="s">
        <v>2310</v>
      </c>
      <c r="B52" s="71" t="s">
        <v>2309</v>
      </c>
      <c r="C52" s="430"/>
      <c r="D52" s="71"/>
      <c r="E52" s="71" t="s">
        <v>1920</v>
      </c>
      <c r="F52" s="625"/>
      <c r="G52" s="62">
        <v>1</v>
      </c>
      <c r="H52" s="529"/>
      <c r="I52" s="642">
        <f t="shared" si="0"/>
        <v>0</v>
      </c>
    </row>
    <row r="53" spans="1:9" ht="30" x14ac:dyDescent="0.2">
      <c r="A53" s="61" t="s">
        <v>1275</v>
      </c>
      <c r="B53" s="71" t="s">
        <v>478</v>
      </c>
      <c r="C53" s="430"/>
      <c r="D53" s="71"/>
      <c r="E53" s="71" t="s">
        <v>1920</v>
      </c>
      <c r="F53" s="625"/>
      <c r="G53" s="62">
        <v>1</v>
      </c>
      <c r="H53" s="529"/>
      <c r="I53" s="642">
        <f t="shared" si="0"/>
        <v>0</v>
      </c>
    </row>
    <row r="54" spans="1:9" x14ac:dyDescent="0.2">
      <c r="A54" s="61" t="s">
        <v>1251</v>
      </c>
      <c r="B54" s="71" t="s">
        <v>81</v>
      </c>
      <c r="C54" s="430"/>
      <c r="D54" s="71"/>
      <c r="E54" s="71" t="s">
        <v>1920</v>
      </c>
      <c r="F54" s="625"/>
      <c r="G54" s="62">
        <v>1</v>
      </c>
      <c r="H54" s="529"/>
      <c r="I54" s="642">
        <f t="shared" si="0"/>
        <v>0</v>
      </c>
    </row>
    <row r="55" spans="1:9" x14ac:dyDescent="0.2">
      <c r="A55" s="61" t="s">
        <v>1871</v>
      </c>
      <c r="B55" s="71" t="s">
        <v>3074</v>
      </c>
      <c r="C55" s="430"/>
      <c r="D55" s="71"/>
      <c r="E55" s="71" t="s">
        <v>1920</v>
      </c>
      <c r="F55" s="625"/>
      <c r="G55" s="62">
        <v>1</v>
      </c>
      <c r="H55" s="529"/>
      <c r="I55" s="642">
        <f t="shared" si="0"/>
        <v>0</v>
      </c>
    </row>
    <row r="56" spans="1:9" x14ac:dyDescent="0.2">
      <c r="A56" s="61" t="s">
        <v>1591</v>
      </c>
      <c r="B56" s="71" t="s">
        <v>166</v>
      </c>
      <c r="C56" s="430"/>
      <c r="D56" s="71"/>
      <c r="E56" s="71">
        <v>55719</v>
      </c>
      <c r="F56" s="625"/>
      <c r="G56" s="62">
        <v>1</v>
      </c>
      <c r="H56" s="529"/>
      <c r="I56" s="642">
        <f t="shared" si="0"/>
        <v>0</v>
      </c>
    </row>
    <row r="57" spans="1:9" x14ac:dyDescent="0.2">
      <c r="A57" s="61" t="s">
        <v>1599</v>
      </c>
      <c r="B57" s="71" t="s">
        <v>552</v>
      </c>
      <c r="C57" s="430"/>
      <c r="D57" s="71"/>
      <c r="E57" s="71" t="s">
        <v>1920</v>
      </c>
      <c r="F57" s="625"/>
      <c r="G57" s="62">
        <v>1</v>
      </c>
      <c r="H57" s="529"/>
      <c r="I57" s="642">
        <f t="shared" si="0"/>
        <v>0</v>
      </c>
    </row>
    <row r="58" spans="1:9" x14ac:dyDescent="0.2">
      <c r="A58" s="61" t="s">
        <v>1426</v>
      </c>
      <c r="B58" s="71" t="s">
        <v>534</v>
      </c>
      <c r="C58" s="430"/>
      <c r="D58" s="71"/>
      <c r="E58" s="71" t="s">
        <v>1920</v>
      </c>
      <c r="F58" s="625"/>
      <c r="G58" s="62">
        <v>1</v>
      </c>
      <c r="H58" s="529"/>
      <c r="I58" s="642">
        <f t="shared" si="0"/>
        <v>0</v>
      </c>
    </row>
    <row r="59" spans="1:9" x14ac:dyDescent="0.2">
      <c r="A59" s="61" t="s">
        <v>1428</v>
      </c>
      <c r="B59" s="71" t="s">
        <v>104</v>
      </c>
      <c r="C59" s="430"/>
      <c r="D59" s="71"/>
      <c r="E59" s="71" t="s">
        <v>1920</v>
      </c>
      <c r="F59" s="625"/>
      <c r="G59" s="62">
        <v>1</v>
      </c>
      <c r="H59" s="529"/>
      <c r="I59" s="642">
        <f t="shared" si="0"/>
        <v>0</v>
      </c>
    </row>
    <row r="60" spans="1:9" s="178" customFormat="1" ht="18" x14ac:dyDescent="0.25">
      <c r="A60" s="61" t="s">
        <v>1241</v>
      </c>
      <c r="B60" s="71" t="s">
        <v>74</v>
      </c>
      <c r="C60" s="430"/>
      <c r="D60" s="71"/>
      <c r="E60" s="71" t="s">
        <v>1920</v>
      </c>
      <c r="F60" s="625"/>
      <c r="G60" s="62">
        <v>1</v>
      </c>
      <c r="H60" s="529"/>
      <c r="I60" s="642">
        <f t="shared" si="0"/>
        <v>0</v>
      </c>
    </row>
    <row r="61" spans="1:9" x14ac:dyDescent="0.2">
      <c r="A61" s="61" t="s">
        <v>105</v>
      </c>
      <c r="B61" s="71" t="s">
        <v>2118</v>
      </c>
      <c r="C61" s="430"/>
      <c r="D61" s="71"/>
      <c r="E61" s="71" t="s">
        <v>1975</v>
      </c>
      <c r="F61" s="625"/>
      <c r="G61" s="62">
        <v>5</v>
      </c>
      <c r="H61" s="529"/>
      <c r="I61" s="642">
        <f t="shared" si="0"/>
        <v>0</v>
      </c>
    </row>
    <row r="62" spans="1:9" x14ac:dyDescent="0.2">
      <c r="A62" s="61" t="s">
        <v>1156</v>
      </c>
      <c r="B62" s="71" t="s">
        <v>2117</v>
      </c>
      <c r="C62" s="430"/>
      <c r="D62" s="71"/>
      <c r="E62" s="71" t="s">
        <v>1975</v>
      </c>
      <c r="F62" s="625"/>
      <c r="G62" s="62">
        <v>2</v>
      </c>
      <c r="H62" s="529"/>
      <c r="I62" s="642">
        <f t="shared" si="0"/>
        <v>0</v>
      </c>
    </row>
    <row r="63" spans="1:9" x14ac:dyDescent="0.2">
      <c r="A63" s="61" t="s">
        <v>1346</v>
      </c>
      <c r="B63" s="71" t="s">
        <v>1988</v>
      </c>
      <c r="C63" s="430"/>
      <c r="D63" s="71"/>
      <c r="E63" s="71" t="s">
        <v>1920</v>
      </c>
      <c r="F63" s="625"/>
      <c r="G63" s="62">
        <v>1</v>
      </c>
      <c r="H63" s="529"/>
      <c r="I63" s="642">
        <f t="shared" si="0"/>
        <v>0</v>
      </c>
    </row>
    <row r="64" spans="1:9" x14ac:dyDescent="0.2">
      <c r="A64" s="61" t="s">
        <v>1085</v>
      </c>
      <c r="B64" s="71" t="s">
        <v>92</v>
      </c>
      <c r="C64" s="430"/>
      <c r="D64" s="71"/>
      <c r="E64" s="71" t="s">
        <v>1920</v>
      </c>
      <c r="F64" s="625"/>
      <c r="G64" s="62">
        <v>1</v>
      </c>
      <c r="H64" s="529"/>
      <c r="I64" s="642">
        <f t="shared" si="0"/>
        <v>0</v>
      </c>
    </row>
    <row r="65" spans="1:9" x14ac:dyDescent="0.2">
      <c r="A65" s="61" t="s">
        <v>2865</v>
      </c>
      <c r="B65" s="71" t="s">
        <v>2870</v>
      </c>
      <c r="C65" s="430"/>
      <c r="D65" s="71"/>
      <c r="E65" s="71">
        <v>99532</v>
      </c>
      <c r="F65" s="625"/>
      <c r="G65" s="62">
        <v>1</v>
      </c>
      <c r="H65" s="529"/>
      <c r="I65" s="642">
        <f t="shared" si="0"/>
        <v>0</v>
      </c>
    </row>
    <row r="66" spans="1:9" x14ac:dyDescent="0.2">
      <c r="A66" s="61" t="s">
        <v>2868</v>
      </c>
      <c r="B66" s="71" t="s">
        <v>2873</v>
      </c>
      <c r="C66" s="430"/>
      <c r="D66" s="71"/>
      <c r="E66" s="71">
        <v>99532</v>
      </c>
      <c r="F66" s="625"/>
      <c r="G66" s="62">
        <v>1</v>
      </c>
      <c r="H66" s="529"/>
      <c r="I66" s="642">
        <f t="shared" si="0"/>
        <v>0</v>
      </c>
    </row>
    <row r="67" spans="1:9" x14ac:dyDescent="0.2">
      <c r="A67" s="61" t="s">
        <v>2869</v>
      </c>
      <c r="B67" s="71" t="s">
        <v>2874</v>
      </c>
      <c r="C67" s="430"/>
      <c r="D67" s="71"/>
      <c r="E67" s="71">
        <v>99532</v>
      </c>
      <c r="F67" s="625"/>
      <c r="G67" s="62">
        <v>1</v>
      </c>
      <c r="H67" s="529"/>
      <c r="I67" s="642">
        <f t="shared" ref="I67:I112" si="1">+G67*H67</f>
        <v>0</v>
      </c>
    </row>
    <row r="68" spans="1:9" x14ac:dyDescent="0.2">
      <c r="A68" s="61" t="s">
        <v>2297</v>
      </c>
      <c r="B68" s="71" t="s">
        <v>2298</v>
      </c>
      <c r="C68" s="430"/>
      <c r="D68" s="71"/>
      <c r="E68" s="71" t="s">
        <v>1920</v>
      </c>
      <c r="F68" s="625"/>
      <c r="G68" s="62">
        <v>1</v>
      </c>
      <c r="H68" s="529"/>
      <c r="I68" s="642">
        <f t="shared" si="1"/>
        <v>0</v>
      </c>
    </row>
    <row r="69" spans="1:9" x14ac:dyDescent="0.2">
      <c r="A69" s="61" t="s">
        <v>1230</v>
      </c>
      <c r="B69" s="71" t="s">
        <v>584</v>
      </c>
      <c r="C69" s="430"/>
      <c r="D69" s="71"/>
      <c r="E69" s="71" t="s">
        <v>1920</v>
      </c>
      <c r="F69" s="625"/>
      <c r="G69" s="62">
        <v>1</v>
      </c>
      <c r="H69" s="529"/>
      <c r="I69" s="642">
        <f t="shared" si="1"/>
        <v>0</v>
      </c>
    </row>
    <row r="70" spans="1:9" x14ac:dyDescent="0.2">
      <c r="A70" s="61" t="s">
        <v>1334</v>
      </c>
      <c r="B70" s="71" t="s">
        <v>746</v>
      </c>
      <c r="C70" s="430"/>
      <c r="D70" s="71"/>
      <c r="E70" s="71" t="s">
        <v>1920</v>
      </c>
      <c r="F70" s="625"/>
      <c r="G70" s="62">
        <v>1</v>
      </c>
      <c r="H70" s="529"/>
      <c r="I70" s="642">
        <f t="shared" si="1"/>
        <v>0</v>
      </c>
    </row>
    <row r="71" spans="1:9" x14ac:dyDescent="0.2">
      <c r="A71" s="61" t="s">
        <v>1086</v>
      </c>
      <c r="B71" s="71" t="s">
        <v>70</v>
      </c>
      <c r="C71" s="430"/>
      <c r="D71" s="71"/>
      <c r="E71" s="71" t="s">
        <v>1920</v>
      </c>
      <c r="F71" s="625"/>
      <c r="G71" s="62">
        <v>1</v>
      </c>
      <c r="H71" s="529"/>
      <c r="I71" s="642">
        <f t="shared" si="1"/>
        <v>0</v>
      </c>
    </row>
    <row r="72" spans="1:9" x14ac:dyDescent="0.2">
      <c r="A72" s="61" t="s">
        <v>1337</v>
      </c>
      <c r="B72" s="71" t="s">
        <v>519</v>
      </c>
      <c r="C72" s="430"/>
      <c r="D72" s="71"/>
      <c r="E72" s="71" t="s">
        <v>1920</v>
      </c>
      <c r="F72" s="625"/>
      <c r="G72" s="62">
        <v>1</v>
      </c>
      <c r="H72" s="529"/>
      <c r="I72" s="642">
        <f t="shared" si="1"/>
        <v>0</v>
      </c>
    </row>
    <row r="73" spans="1:9" x14ac:dyDescent="0.2">
      <c r="A73" s="61" t="s">
        <v>1338</v>
      </c>
      <c r="B73" s="71" t="s">
        <v>717</v>
      </c>
      <c r="C73" s="430"/>
      <c r="D73" s="71"/>
      <c r="E73" s="71" t="s">
        <v>1920</v>
      </c>
      <c r="F73" s="625"/>
      <c r="G73" s="62">
        <v>1</v>
      </c>
      <c r="H73" s="529"/>
      <c r="I73" s="642">
        <f t="shared" si="1"/>
        <v>0</v>
      </c>
    </row>
    <row r="74" spans="1:9" x14ac:dyDescent="0.2">
      <c r="A74" s="61" t="s">
        <v>1088</v>
      </c>
      <c r="B74" s="71" t="s">
        <v>485</v>
      </c>
      <c r="C74" s="430"/>
      <c r="D74" s="71"/>
      <c r="E74" s="71" t="s">
        <v>1920</v>
      </c>
      <c r="F74" s="625"/>
      <c r="G74" s="62">
        <v>1</v>
      </c>
      <c r="H74" s="529"/>
      <c r="I74" s="642">
        <f t="shared" si="1"/>
        <v>0</v>
      </c>
    </row>
    <row r="75" spans="1:9" x14ac:dyDescent="0.2">
      <c r="A75" s="61" t="s">
        <v>1339</v>
      </c>
      <c r="B75" s="71" t="s">
        <v>88</v>
      </c>
      <c r="C75" s="430"/>
      <c r="D75" s="71"/>
      <c r="E75" s="71" t="s">
        <v>1920</v>
      </c>
      <c r="F75" s="625"/>
      <c r="G75" s="62">
        <v>1</v>
      </c>
      <c r="H75" s="529"/>
      <c r="I75" s="642">
        <f t="shared" si="1"/>
        <v>0</v>
      </c>
    </row>
    <row r="76" spans="1:9" x14ac:dyDescent="0.2">
      <c r="A76" s="61" t="s">
        <v>1340</v>
      </c>
      <c r="B76" s="71" t="s">
        <v>87</v>
      </c>
      <c r="C76" s="430"/>
      <c r="D76" s="71"/>
      <c r="E76" s="71" t="s">
        <v>1920</v>
      </c>
      <c r="F76" s="625"/>
      <c r="G76" s="62">
        <v>1</v>
      </c>
      <c r="H76" s="529"/>
      <c r="I76" s="642">
        <f t="shared" si="1"/>
        <v>0</v>
      </c>
    </row>
    <row r="77" spans="1:9" x14ac:dyDescent="0.2">
      <c r="A77" s="61" t="s">
        <v>1291</v>
      </c>
      <c r="B77" s="71" t="s">
        <v>95</v>
      </c>
      <c r="C77" s="430"/>
      <c r="D77" s="71"/>
      <c r="E77" s="71" t="s">
        <v>1920</v>
      </c>
      <c r="F77" s="625"/>
      <c r="G77" s="62">
        <v>1</v>
      </c>
      <c r="H77" s="529"/>
      <c r="I77" s="642">
        <f t="shared" si="1"/>
        <v>0</v>
      </c>
    </row>
    <row r="78" spans="1:9" x14ac:dyDescent="0.2">
      <c r="A78" s="61" t="s">
        <v>1290</v>
      </c>
      <c r="B78" s="71" t="s">
        <v>96</v>
      </c>
      <c r="C78" s="430"/>
      <c r="D78" s="71"/>
      <c r="E78" s="71" t="s">
        <v>1920</v>
      </c>
      <c r="F78" s="625"/>
      <c r="G78" s="62">
        <v>1</v>
      </c>
      <c r="H78" s="529"/>
      <c r="I78" s="642">
        <f t="shared" si="1"/>
        <v>0</v>
      </c>
    </row>
    <row r="79" spans="1:9" x14ac:dyDescent="0.2">
      <c r="A79" s="61" t="s">
        <v>1281</v>
      </c>
      <c r="B79" s="71" t="s">
        <v>97</v>
      </c>
      <c r="C79" s="430"/>
      <c r="D79" s="71"/>
      <c r="E79" s="71" t="s">
        <v>1920</v>
      </c>
      <c r="F79" s="625"/>
      <c r="G79" s="62">
        <v>1</v>
      </c>
      <c r="H79" s="529"/>
      <c r="I79" s="642">
        <f t="shared" si="1"/>
        <v>0</v>
      </c>
    </row>
    <row r="80" spans="1:9" x14ac:dyDescent="0.2">
      <c r="A80" s="61" t="s">
        <v>1236</v>
      </c>
      <c r="B80" s="71" t="s">
        <v>77</v>
      </c>
      <c r="C80" s="430"/>
      <c r="D80" s="71"/>
      <c r="E80" s="71" t="s">
        <v>1920</v>
      </c>
      <c r="F80" s="625"/>
      <c r="G80" s="62">
        <v>1</v>
      </c>
      <c r="H80" s="529"/>
      <c r="I80" s="642">
        <f t="shared" si="1"/>
        <v>0</v>
      </c>
    </row>
    <row r="81" spans="1:9" x14ac:dyDescent="0.2">
      <c r="A81" s="61" t="s">
        <v>1235</v>
      </c>
      <c r="B81" s="71" t="s">
        <v>78</v>
      </c>
      <c r="C81" s="430"/>
      <c r="D81" s="71"/>
      <c r="E81" s="71" t="s">
        <v>1920</v>
      </c>
      <c r="F81" s="625"/>
      <c r="G81" s="62">
        <v>1</v>
      </c>
      <c r="H81" s="529"/>
      <c r="I81" s="642">
        <f t="shared" si="1"/>
        <v>0</v>
      </c>
    </row>
    <row r="82" spans="1:9" x14ac:dyDescent="0.2">
      <c r="A82" s="61" t="s">
        <v>1237</v>
      </c>
      <c r="B82" s="71" t="s">
        <v>306</v>
      </c>
      <c r="C82" s="430"/>
      <c r="D82" s="71"/>
      <c r="E82" s="71" t="s">
        <v>1920</v>
      </c>
      <c r="F82" s="625"/>
      <c r="G82" s="62">
        <v>1</v>
      </c>
      <c r="H82" s="529"/>
      <c r="I82" s="642">
        <f t="shared" si="1"/>
        <v>0</v>
      </c>
    </row>
    <row r="83" spans="1:9" x14ac:dyDescent="0.2">
      <c r="A83" s="61" t="s">
        <v>1169</v>
      </c>
      <c r="B83" s="71" t="s">
        <v>436</v>
      </c>
      <c r="C83" s="430"/>
      <c r="D83" s="71"/>
      <c r="E83" s="71" t="s">
        <v>1920</v>
      </c>
      <c r="F83" s="625"/>
      <c r="G83" s="62">
        <v>1</v>
      </c>
      <c r="H83" s="529"/>
      <c r="I83" s="642">
        <f t="shared" si="1"/>
        <v>0</v>
      </c>
    </row>
    <row r="84" spans="1:9" x14ac:dyDescent="0.2">
      <c r="A84" s="61" t="s">
        <v>1345</v>
      </c>
      <c r="B84" s="71" t="s">
        <v>79</v>
      </c>
      <c r="C84" s="430"/>
      <c r="D84" s="71"/>
      <c r="E84" s="71" t="s">
        <v>1920</v>
      </c>
      <c r="F84" s="625"/>
      <c r="G84" s="62">
        <v>1</v>
      </c>
      <c r="H84" s="529"/>
      <c r="I84" s="642">
        <f t="shared" si="1"/>
        <v>0</v>
      </c>
    </row>
    <row r="85" spans="1:9" x14ac:dyDescent="0.2">
      <c r="A85" s="61" t="s">
        <v>1234</v>
      </c>
      <c r="B85" s="71" t="s">
        <v>73</v>
      </c>
      <c r="C85" s="430"/>
      <c r="D85" s="71"/>
      <c r="E85" s="71" t="s">
        <v>1920</v>
      </c>
      <c r="F85" s="625"/>
      <c r="G85" s="62">
        <v>1</v>
      </c>
      <c r="H85" s="529"/>
      <c r="I85" s="642">
        <f t="shared" si="1"/>
        <v>0</v>
      </c>
    </row>
    <row r="86" spans="1:9" x14ac:dyDescent="0.2">
      <c r="A86" s="61" t="s">
        <v>1238</v>
      </c>
      <c r="B86" s="71" t="s">
        <v>75</v>
      </c>
      <c r="C86" s="430"/>
      <c r="D86" s="71"/>
      <c r="E86" s="71" t="s">
        <v>1920</v>
      </c>
      <c r="F86" s="625"/>
      <c r="G86" s="62">
        <v>1</v>
      </c>
      <c r="H86" s="529"/>
      <c r="I86" s="642">
        <f t="shared" si="1"/>
        <v>0</v>
      </c>
    </row>
    <row r="87" spans="1:9" x14ac:dyDescent="0.2">
      <c r="A87" s="61" t="s">
        <v>1232</v>
      </c>
      <c r="B87" s="71" t="s">
        <v>76</v>
      </c>
      <c r="C87" s="430"/>
      <c r="D87" s="71"/>
      <c r="E87" s="71" t="s">
        <v>1920</v>
      </c>
      <c r="F87" s="625"/>
      <c r="G87" s="62">
        <v>1</v>
      </c>
      <c r="H87" s="529"/>
      <c r="I87" s="642">
        <f t="shared" si="1"/>
        <v>0</v>
      </c>
    </row>
    <row r="88" spans="1:9" x14ac:dyDescent="0.2">
      <c r="A88" s="61" t="s">
        <v>15</v>
      </c>
      <c r="B88" s="71" t="s">
        <v>380</v>
      </c>
      <c r="C88" s="430"/>
      <c r="D88" s="71"/>
      <c r="E88" s="71" t="s">
        <v>1920</v>
      </c>
      <c r="F88" s="625"/>
      <c r="G88" s="62">
        <v>1</v>
      </c>
      <c r="H88" s="529"/>
      <c r="I88" s="642">
        <f t="shared" si="1"/>
        <v>0</v>
      </c>
    </row>
    <row r="89" spans="1:9" x14ac:dyDescent="0.2">
      <c r="A89" s="61" t="s">
        <v>37</v>
      </c>
      <c r="B89" s="71" t="s">
        <v>38</v>
      </c>
      <c r="C89" s="430"/>
      <c r="D89" s="71"/>
      <c r="E89" s="71" t="s">
        <v>1920</v>
      </c>
      <c r="F89" s="625"/>
      <c r="G89" s="62">
        <v>1</v>
      </c>
      <c r="H89" s="529"/>
      <c r="I89" s="642">
        <f t="shared" si="1"/>
        <v>0</v>
      </c>
    </row>
    <row r="90" spans="1:9" x14ac:dyDescent="0.2">
      <c r="A90" s="61" t="s">
        <v>108</v>
      </c>
      <c r="B90" s="71" t="s">
        <v>559</v>
      </c>
      <c r="C90" s="430"/>
      <c r="D90" s="71"/>
      <c r="E90" s="71" t="s">
        <v>1920</v>
      </c>
      <c r="F90" s="625"/>
      <c r="G90" s="62">
        <v>1</v>
      </c>
      <c r="H90" s="529"/>
      <c r="I90" s="642">
        <f t="shared" si="1"/>
        <v>0</v>
      </c>
    </row>
    <row r="91" spans="1:9" x14ac:dyDescent="0.2">
      <c r="A91" s="61" t="s">
        <v>1036</v>
      </c>
      <c r="B91" s="71" t="s">
        <v>468</v>
      </c>
      <c r="C91" s="430"/>
      <c r="D91" s="71"/>
      <c r="E91" s="71" t="s">
        <v>1920</v>
      </c>
      <c r="F91" s="625"/>
      <c r="G91" s="62">
        <v>1</v>
      </c>
      <c r="H91" s="529"/>
      <c r="I91" s="642">
        <f t="shared" si="1"/>
        <v>0</v>
      </c>
    </row>
    <row r="92" spans="1:9" x14ac:dyDescent="0.2">
      <c r="A92" s="61" t="s">
        <v>10</v>
      </c>
      <c r="B92" s="71" t="s">
        <v>469</v>
      </c>
      <c r="C92" s="430"/>
      <c r="D92" s="71"/>
      <c r="E92" s="71" t="s">
        <v>1920</v>
      </c>
      <c r="F92" s="625"/>
      <c r="G92" s="62">
        <v>1</v>
      </c>
      <c r="H92" s="529"/>
      <c r="I92" s="642">
        <f t="shared" si="1"/>
        <v>0</v>
      </c>
    </row>
    <row r="93" spans="1:9" x14ac:dyDescent="0.2">
      <c r="A93" s="61" t="s">
        <v>2922</v>
      </c>
      <c r="B93" s="71" t="s">
        <v>405</v>
      </c>
      <c r="C93" s="430"/>
      <c r="D93" s="71"/>
      <c r="E93" s="71" t="s">
        <v>1920</v>
      </c>
      <c r="F93" s="625"/>
      <c r="G93" s="62">
        <v>1</v>
      </c>
      <c r="H93" s="529"/>
      <c r="I93" s="642">
        <f t="shared" si="1"/>
        <v>0</v>
      </c>
    </row>
    <row r="94" spans="1:9" x14ac:dyDescent="0.2">
      <c r="A94" s="61" t="s">
        <v>2923</v>
      </c>
      <c r="B94" s="71" t="s">
        <v>241</v>
      </c>
      <c r="C94" s="430"/>
      <c r="D94" s="71"/>
      <c r="E94" s="71" t="s">
        <v>1920</v>
      </c>
      <c r="F94" s="625"/>
      <c r="G94" s="62">
        <v>1</v>
      </c>
      <c r="H94" s="529"/>
      <c r="I94" s="642">
        <f t="shared" si="1"/>
        <v>0</v>
      </c>
    </row>
    <row r="95" spans="1:9" x14ac:dyDescent="0.2">
      <c r="A95" s="61" t="s">
        <v>2924</v>
      </c>
      <c r="B95" s="71" t="s">
        <v>856</v>
      </c>
      <c r="C95" s="430"/>
      <c r="D95" s="71"/>
      <c r="E95" s="71" t="s">
        <v>1920</v>
      </c>
      <c r="F95" s="625"/>
      <c r="G95" s="62">
        <v>1</v>
      </c>
      <c r="H95" s="529"/>
      <c r="I95" s="642">
        <f t="shared" si="1"/>
        <v>0</v>
      </c>
    </row>
    <row r="96" spans="1:9" x14ac:dyDescent="0.2">
      <c r="A96" s="61" t="s">
        <v>1447</v>
      </c>
      <c r="B96" s="71" t="s">
        <v>879</v>
      </c>
      <c r="C96" s="430"/>
      <c r="D96" s="71"/>
      <c r="E96" s="71" t="s">
        <v>1920</v>
      </c>
      <c r="F96" s="625"/>
      <c r="G96" s="62">
        <v>1</v>
      </c>
      <c r="H96" s="529"/>
      <c r="I96" s="642">
        <f t="shared" si="1"/>
        <v>0</v>
      </c>
    </row>
    <row r="97" spans="1:9" x14ac:dyDescent="0.2">
      <c r="A97" s="61" t="s">
        <v>2120</v>
      </c>
      <c r="B97" s="71" t="s">
        <v>2119</v>
      </c>
      <c r="C97" s="430"/>
      <c r="D97" s="71"/>
      <c r="E97" s="71" t="s">
        <v>1920</v>
      </c>
      <c r="F97" s="625"/>
      <c r="G97" s="62">
        <v>1</v>
      </c>
      <c r="H97" s="529"/>
      <c r="I97" s="642">
        <f t="shared" si="1"/>
        <v>0</v>
      </c>
    </row>
    <row r="98" spans="1:9" x14ac:dyDescent="0.2">
      <c r="A98" s="61" t="s">
        <v>1451</v>
      </c>
      <c r="B98" s="71" t="s">
        <v>86</v>
      </c>
      <c r="C98" s="430"/>
      <c r="D98" s="71"/>
      <c r="E98" s="71" t="s">
        <v>1920</v>
      </c>
      <c r="F98" s="625"/>
      <c r="G98" s="62">
        <v>1</v>
      </c>
      <c r="H98" s="529"/>
      <c r="I98" s="642">
        <f t="shared" si="1"/>
        <v>0</v>
      </c>
    </row>
    <row r="99" spans="1:9" x14ac:dyDescent="0.2">
      <c r="A99" s="61" t="s">
        <v>2307</v>
      </c>
      <c r="B99" s="71" t="s">
        <v>2308</v>
      </c>
      <c r="C99" s="430"/>
      <c r="D99" s="71"/>
      <c r="E99" s="71" t="s">
        <v>1920</v>
      </c>
      <c r="F99" s="625"/>
      <c r="G99" s="62">
        <v>1</v>
      </c>
      <c r="H99" s="529"/>
      <c r="I99" s="642">
        <f t="shared" si="1"/>
        <v>0</v>
      </c>
    </row>
    <row r="100" spans="1:9" x14ac:dyDescent="0.2">
      <c r="A100" s="61" t="s">
        <v>138</v>
      </c>
      <c r="B100" s="71" t="s">
        <v>139</v>
      </c>
      <c r="C100" s="430"/>
      <c r="D100" s="71"/>
      <c r="E100" s="71" t="s">
        <v>1920</v>
      </c>
      <c r="F100" s="625"/>
      <c r="G100" s="62">
        <v>1</v>
      </c>
      <c r="H100" s="529"/>
      <c r="I100" s="642">
        <f t="shared" si="1"/>
        <v>0</v>
      </c>
    </row>
    <row r="101" spans="1:9" x14ac:dyDescent="0.2">
      <c r="A101" s="61" t="s">
        <v>20</v>
      </c>
      <c r="B101" s="71" t="s">
        <v>287</v>
      </c>
      <c r="C101" s="430"/>
      <c r="D101" s="71"/>
      <c r="E101" s="71" t="s">
        <v>1920</v>
      </c>
      <c r="F101" s="625"/>
      <c r="G101" s="62">
        <v>1</v>
      </c>
      <c r="H101" s="529"/>
      <c r="I101" s="642">
        <f t="shared" si="1"/>
        <v>0</v>
      </c>
    </row>
    <row r="102" spans="1:9" x14ac:dyDescent="0.2">
      <c r="A102" s="61" t="s">
        <v>5</v>
      </c>
      <c r="B102" s="71" t="s">
        <v>466</v>
      </c>
      <c r="C102" s="430"/>
      <c r="D102" s="71"/>
      <c r="E102" s="71" t="s">
        <v>1920</v>
      </c>
      <c r="F102" s="625"/>
      <c r="G102" s="62">
        <v>1</v>
      </c>
      <c r="H102" s="529"/>
      <c r="I102" s="642">
        <f t="shared" si="1"/>
        <v>0</v>
      </c>
    </row>
    <row r="103" spans="1:9" x14ac:dyDescent="0.2">
      <c r="A103" s="61" t="s">
        <v>11</v>
      </c>
      <c r="B103" s="71" t="s">
        <v>278</v>
      </c>
      <c r="C103" s="430"/>
      <c r="D103" s="71"/>
      <c r="E103" s="71" t="s">
        <v>1920</v>
      </c>
      <c r="F103" s="625"/>
      <c r="G103" s="62">
        <v>1</v>
      </c>
      <c r="H103" s="529"/>
      <c r="I103" s="642">
        <f t="shared" si="1"/>
        <v>0</v>
      </c>
    </row>
    <row r="104" spans="1:9" x14ac:dyDescent="0.2">
      <c r="A104" s="61" t="s">
        <v>12</v>
      </c>
      <c r="B104" s="71" t="s">
        <v>171</v>
      </c>
      <c r="C104" s="430"/>
      <c r="D104" s="71"/>
      <c r="E104" s="71" t="s">
        <v>1920</v>
      </c>
      <c r="F104" s="625"/>
      <c r="G104" s="62">
        <v>1</v>
      </c>
      <c r="H104" s="529"/>
      <c r="I104" s="642">
        <f t="shared" si="1"/>
        <v>0</v>
      </c>
    </row>
    <row r="105" spans="1:9" s="178" customFormat="1" ht="18" x14ac:dyDescent="0.25">
      <c r="A105" s="61" t="s">
        <v>1662</v>
      </c>
      <c r="B105" s="71" t="s">
        <v>2299</v>
      </c>
      <c r="C105" s="430"/>
      <c r="D105" s="71"/>
      <c r="E105" s="71">
        <v>55719</v>
      </c>
      <c r="F105" s="625"/>
      <c r="G105" s="62">
        <v>1</v>
      </c>
      <c r="H105" s="529"/>
      <c r="I105" s="642">
        <f t="shared" si="1"/>
        <v>0</v>
      </c>
    </row>
    <row r="106" spans="1:9" s="178" customFormat="1" ht="18" x14ac:dyDescent="0.25">
      <c r="A106" s="61" t="s">
        <v>68</v>
      </c>
      <c r="B106" s="71" t="s">
        <v>551</v>
      </c>
      <c r="C106" s="430"/>
      <c r="D106" s="71"/>
      <c r="E106" s="71" t="s">
        <v>1920</v>
      </c>
      <c r="F106" s="625"/>
      <c r="G106" s="62">
        <v>1</v>
      </c>
      <c r="H106" s="529"/>
      <c r="I106" s="642">
        <f t="shared" si="1"/>
        <v>0</v>
      </c>
    </row>
    <row r="107" spans="1:9" s="178" customFormat="1" ht="18" x14ac:dyDescent="0.25">
      <c r="A107" s="61" t="s">
        <v>1427</v>
      </c>
      <c r="B107" s="71" t="s">
        <v>549</v>
      </c>
      <c r="C107" s="430"/>
      <c r="D107" s="71"/>
      <c r="E107" s="71" t="s">
        <v>1920</v>
      </c>
      <c r="F107" s="625"/>
      <c r="G107" s="62">
        <v>1</v>
      </c>
      <c r="H107" s="529"/>
      <c r="I107" s="642">
        <f t="shared" si="1"/>
        <v>0</v>
      </c>
    </row>
    <row r="108" spans="1:9" s="178" customFormat="1" ht="18" x14ac:dyDescent="0.25">
      <c r="A108" s="61" t="s">
        <v>2133</v>
      </c>
      <c r="B108" s="71" t="s">
        <v>2909</v>
      </c>
      <c r="C108" s="430"/>
      <c r="D108" s="71"/>
      <c r="E108" s="71">
        <v>56654</v>
      </c>
      <c r="F108" s="625"/>
      <c r="G108" s="62">
        <v>1</v>
      </c>
      <c r="H108" s="529"/>
      <c r="I108" s="642">
        <f t="shared" si="1"/>
        <v>0</v>
      </c>
    </row>
    <row r="109" spans="1:9" s="178" customFormat="1" ht="18" x14ac:dyDescent="0.25">
      <c r="A109" s="61" t="s">
        <v>4</v>
      </c>
      <c r="B109" s="71" t="s">
        <v>90</v>
      </c>
      <c r="C109" s="430"/>
      <c r="D109" s="71"/>
      <c r="E109" s="71" t="s">
        <v>1920</v>
      </c>
      <c r="F109" s="625"/>
      <c r="G109" s="62">
        <v>1</v>
      </c>
      <c r="H109" s="529"/>
      <c r="I109" s="642">
        <f t="shared" si="1"/>
        <v>0</v>
      </c>
    </row>
    <row r="110" spans="1:9" x14ac:dyDescent="0.2">
      <c r="A110" s="247" t="s">
        <v>101</v>
      </c>
      <c r="B110" s="314" t="s">
        <v>509</v>
      </c>
      <c r="C110" s="430"/>
      <c r="D110" s="314"/>
      <c r="E110" s="314" t="s">
        <v>1920</v>
      </c>
      <c r="F110" s="625"/>
      <c r="G110" s="62">
        <v>1</v>
      </c>
      <c r="H110" s="529"/>
      <c r="I110" s="642">
        <f t="shared" si="1"/>
        <v>0</v>
      </c>
    </row>
    <row r="111" spans="1:9" x14ac:dyDescent="0.2">
      <c r="A111" s="247" t="s">
        <v>20</v>
      </c>
      <c r="B111" s="314" t="s">
        <v>102</v>
      </c>
      <c r="C111" s="430"/>
      <c r="D111" s="314"/>
      <c r="E111" s="314" t="s">
        <v>1920</v>
      </c>
      <c r="F111" s="625"/>
      <c r="G111" s="62">
        <v>1</v>
      </c>
      <c r="H111" s="529"/>
      <c r="I111" s="642">
        <f t="shared" si="1"/>
        <v>0</v>
      </c>
    </row>
    <row r="112" spans="1:9" x14ac:dyDescent="0.2">
      <c r="A112" s="61" t="s">
        <v>180</v>
      </c>
      <c r="B112" s="71" t="s">
        <v>479</v>
      </c>
      <c r="C112" s="430"/>
      <c r="D112" s="71"/>
      <c r="E112" s="71" t="s">
        <v>1920</v>
      </c>
      <c r="F112" s="625"/>
      <c r="G112" s="62">
        <v>1</v>
      </c>
      <c r="H112" s="529"/>
      <c r="I112" s="642">
        <f t="shared" si="1"/>
        <v>0</v>
      </c>
    </row>
    <row r="113" spans="1:9" x14ac:dyDescent="0.2">
      <c r="A113" s="105"/>
      <c r="B113" s="95"/>
      <c r="C113" s="95"/>
      <c r="D113" s="95"/>
      <c r="E113" s="95"/>
      <c r="F113" s="95"/>
      <c r="G113" s="95"/>
      <c r="H113" s="646"/>
      <c r="I113" s="644">
        <f>SUM(I2:I112)</f>
        <v>0</v>
      </c>
    </row>
    <row r="114" spans="1:9" s="4" customFormat="1" ht="18" x14ac:dyDescent="0.25">
      <c r="A114" s="422" t="s">
        <v>1765</v>
      </c>
      <c r="B114" s="425"/>
      <c r="C114" s="309"/>
      <c r="D114" s="3"/>
      <c r="E114" s="3"/>
      <c r="F114" s="309"/>
      <c r="G114" s="3"/>
      <c r="H114" s="531"/>
      <c r="I114" s="541"/>
    </row>
    <row r="115" spans="1:9" s="4" customFormat="1" ht="18" x14ac:dyDescent="0.25">
      <c r="A115" s="422" t="s">
        <v>2950</v>
      </c>
      <c r="B115" s="425"/>
      <c r="C115" s="309"/>
      <c r="D115" s="3"/>
      <c r="E115" s="3"/>
      <c r="F115" s="309"/>
      <c r="H115" s="541"/>
      <c r="I115" s="541"/>
    </row>
    <row r="116" spans="1:9" ht="18" x14ac:dyDescent="0.25">
      <c r="A116" s="491" t="s">
        <v>3339</v>
      </c>
      <c r="B116" s="74"/>
      <c r="C116" s="95"/>
      <c r="D116" s="95"/>
      <c r="E116" s="95"/>
      <c r="F116" s="95"/>
      <c r="G116" s="95"/>
      <c r="H116" s="646"/>
    </row>
    <row r="117" spans="1:9" ht="18" x14ac:dyDescent="0.25">
      <c r="A117" s="449" t="s">
        <v>3367</v>
      </c>
      <c r="B117" s="608">
        <f>+I113</f>
        <v>0</v>
      </c>
      <c r="C117" s="95"/>
      <c r="D117" s="95"/>
      <c r="E117" s="95"/>
      <c r="F117" s="95"/>
      <c r="G117" s="95"/>
      <c r="H117" s="646"/>
    </row>
  </sheetData>
  <pageMargins left="0.5" right="0.5" top="0.5" bottom="0.5" header="0.3" footer="0.3"/>
  <pageSetup scale="65" fitToWidth="0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46"/>
  <sheetViews>
    <sheetView workbookViewId="0">
      <pane ySplit="1" topLeftCell="A8" activePane="bottomLeft" state="frozen"/>
      <selection activeCell="C26" sqref="C26"/>
      <selection pane="bottomLeft" activeCell="G2" sqref="G2:G39"/>
    </sheetView>
  </sheetViews>
  <sheetFormatPr defaultColWidth="9.140625" defaultRowHeight="15" x14ac:dyDescent="0.2"/>
  <cols>
    <col min="1" max="1" width="67.140625" style="7" bestFit="1" customWidth="1"/>
    <col min="2" max="2" width="14.42578125" style="72" bestFit="1" customWidth="1"/>
    <col min="3" max="3" width="20.42578125" style="72" bestFit="1" customWidth="1"/>
    <col min="4" max="4" width="20.140625" style="72" bestFit="1" customWidth="1"/>
    <col min="5" max="5" width="12.42578125" style="72" bestFit="1" customWidth="1"/>
    <col min="6" max="6" width="15.5703125" style="72" bestFit="1" customWidth="1"/>
    <col min="7" max="7" width="10" style="216" bestFit="1" customWidth="1"/>
    <col min="8" max="8" width="11.42578125" style="651" bestFit="1" customWidth="1"/>
    <col min="9" max="9" width="16.85546875" style="651" bestFit="1" customWidth="1"/>
    <col min="10" max="10" width="14.140625" style="7" bestFit="1" customWidth="1"/>
    <col min="11" max="16384" width="9.140625" style="7"/>
  </cols>
  <sheetData>
    <row r="1" spans="1:9" ht="15.75" x14ac:dyDescent="0.25">
      <c r="A1" s="220" t="s">
        <v>0</v>
      </c>
      <c r="B1" s="220" t="s">
        <v>1</v>
      </c>
      <c r="C1" s="367" t="s">
        <v>3373</v>
      </c>
      <c r="D1" s="221" t="s">
        <v>1872</v>
      </c>
      <c r="E1" s="221" t="s">
        <v>1873</v>
      </c>
      <c r="F1" s="367" t="s">
        <v>3372</v>
      </c>
      <c r="G1" s="218" t="s">
        <v>412</v>
      </c>
      <c r="H1" s="528" t="s">
        <v>3368</v>
      </c>
      <c r="I1" s="648" t="s">
        <v>3369</v>
      </c>
    </row>
    <row r="2" spans="1:9" x14ac:dyDescent="0.2">
      <c r="A2" s="76" t="s">
        <v>464</v>
      </c>
      <c r="B2" s="71">
        <v>1490</v>
      </c>
      <c r="C2" s="457"/>
      <c r="D2" s="71"/>
      <c r="E2" s="71"/>
      <c r="F2" s="625"/>
      <c r="G2" s="217">
        <v>1</v>
      </c>
      <c r="H2" s="540"/>
      <c r="I2" s="649">
        <f>+Table4[[#This Row],[Quantity]]*Table4[[#This Row],[Unit Price]]</f>
        <v>0</v>
      </c>
    </row>
    <row r="3" spans="1:9" x14ac:dyDescent="0.2">
      <c r="A3" s="76" t="s">
        <v>1473</v>
      </c>
      <c r="B3" s="71">
        <v>809504</v>
      </c>
      <c r="C3" s="457"/>
      <c r="D3" s="71"/>
      <c r="E3" s="71" t="s">
        <v>1972</v>
      </c>
      <c r="F3" s="625"/>
      <c r="G3" s="217">
        <v>1</v>
      </c>
      <c r="H3" s="540"/>
      <c r="I3" s="649">
        <f>+Table4[[#This Row],[Quantity]]*Table4[[#This Row],[Unit Price]]</f>
        <v>0</v>
      </c>
    </row>
    <row r="4" spans="1:9" x14ac:dyDescent="0.2">
      <c r="A4" s="76" t="s">
        <v>1474</v>
      </c>
      <c r="B4" s="71">
        <v>809505</v>
      </c>
      <c r="C4" s="457"/>
      <c r="D4" s="71"/>
      <c r="E4" s="71" t="s">
        <v>1972</v>
      </c>
      <c r="F4" s="625"/>
      <c r="G4" s="217">
        <v>1</v>
      </c>
      <c r="H4" s="540"/>
      <c r="I4" s="649">
        <f>+Table4[[#This Row],[Quantity]]*Table4[[#This Row],[Unit Price]]</f>
        <v>0</v>
      </c>
    </row>
    <row r="5" spans="1:9" x14ac:dyDescent="0.2">
      <c r="A5" s="76" t="s">
        <v>1475</v>
      </c>
      <c r="B5" s="71">
        <v>819005</v>
      </c>
      <c r="C5" s="457"/>
      <c r="D5" s="71"/>
      <c r="E5" s="71" t="s">
        <v>1972</v>
      </c>
      <c r="F5" s="625"/>
      <c r="G5" s="217">
        <v>1</v>
      </c>
      <c r="H5" s="540"/>
      <c r="I5" s="649">
        <f>+Table4[[#This Row],[Quantity]]*Table4[[#This Row],[Unit Price]]</f>
        <v>0</v>
      </c>
    </row>
    <row r="6" spans="1:9" x14ac:dyDescent="0.2">
      <c r="A6" s="76" t="s">
        <v>1476</v>
      </c>
      <c r="B6" s="71">
        <v>819007</v>
      </c>
      <c r="C6" s="457"/>
      <c r="D6" s="71"/>
      <c r="E6" s="71" t="s">
        <v>1972</v>
      </c>
      <c r="F6" s="625"/>
      <c r="G6" s="217">
        <v>1</v>
      </c>
      <c r="H6" s="540"/>
      <c r="I6" s="649">
        <f>+Table4[[#This Row],[Quantity]]*Table4[[#This Row],[Unit Price]]</f>
        <v>0</v>
      </c>
    </row>
    <row r="7" spans="1:9" x14ac:dyDescent="0.2">
      <c r="A7" s="76" t="s">
        <v>1477</v>
      </c>
      <c r="B7" s="71">
        <v>819010</v>
      </c>
      <c r="C7" s="457"/>
      <c r="D7" s="71"/>
      <c r="E7" s="71" t="s">
        <v>1972</v>
      </c>
      <c r="F7" s="625"/>
      <c r="G7" s="217">
        <v>1</v>
      </c>
      <c r="H7" s="540"/>
      <c r="I7" s="649">
        <f>+Table4[[#This Row],[Quantity]]*Table4[[#This Row],[Unit Price]]</f>
        <v>0</v>
      </c>
    </row>
    <row r="8" spans="1:9" x14ac:dyDescent="0.2">
      <c r="A8" s="76" t="s">
        <v>1478</v>
      </c>
      <c r="B8" s="71">
        <v>819036</v>
      </c>
      <c r="C8" s="457"/>
      <c r="D8" s="71"/>
      <c r="E8" s="71" t="s">
        <v>1972</v>
      </c>
      <c r="F8" s="625"/>
      <c r="G8" s="217">
        <v>1</v>
      </c>
      <c r="H8" s="540"/>
      <c r="I8" s="649">
        <f>+Table4[[#This Row],[Quantity]]*Table4[[#This Row],[Unit Price]]</f>
        <v>0</v>
      </c>
    </row>
    <row r="9" spans="1:9" x14ac:dyDescent="0.2">
      <c r="A9" s="76" t="s">
        <v>1479</v>
      </c>
      <c r="B9" s="71">
        <v>819061</v>
      </c>
      <c r="C9" s="457"/>
      <c r="D9" s="71"/>
      <c r="E9" s="71" t="s">
        <v>1972</v>
      </c>
      <c r="F9" s="625"/>
      <c r="G9" s="217">
        <v>1</v>
      </c>
      <c r="H9" s="540"/>
      <c r="I9" s="649">
        <f>+Table4[[#This Row],[Quantity]]*Table4[[#This Row],[Unit Price]]</f>
        <v>0</v>
      </c>
    </row>
    <row r="10" spans="1:9" x14ac:dyDescent="0.2">
      <c r="A10" s="76" t="s">
        <v>1480</v>
      </c>
      <c r="B10" s="71">
        <v>819062</v>
      </c>
      <c r="C10" s="457"/>
      <c r="D10" s="71"/>
      <c r="E10" s="71" t="s">
        <v>1972</v>
      </c>
      <c r="F10" s="625"/>
      <c r="G10" s="217">
        <v>1</v>
      </c>
      <c r="H10" s="540"/>
      <c r="I10" s="649">
        <f>+Table4[[#This Row],[Quantity]]*Table4[[#This Row],[Unit Price]]</f>
        <v>0</v>
      </c>
    </row>
    <row r="11" spans="1:9" x14ac:dyDescent="0.2">
      <c r="A11" s="76" t="s">
        <v>1481</v>
      </c>
      <c r="B11" s="71">
        <v>819073</v>
      </c>
      <c r="C11" s="457"/>
      <c r="D11" s="71"/>
      <c r="E11" s="71" t="s">
        <v>1972</v>
      </c>
      <c r="F11" s="625"/>
      <c r="G11" s="217">
        <v>1</v>
      </c>
      <c r="H11" s="540"/>
      <c r="I11" s="649">
        <f>+Table4[[#This Row],[Quantity]]*Table4[[#This Row],[Unit Price]]</f>
        <v>0</v>
      </c>
    </row>
    <row r="12" spans="1:9" x14ac:dyDescent="0.2">
      <c r="A12" s="76" t="s">
        <v>2091</v>
      </c>
      <c r="B12" s="71" t="s">
        <v>2090</v>
      </c>
      <c r="C12" s="457"/>
      <c r="D12" s="71"/>
      <c r="E12" s="71">
        <v>55719</v>
      </c>
      <c r="F12" s="625"/>
      <c r="G12" s="217">
        <v>1</v>
      </c>
      <c r="H12" s="540"/>
      <c r="I12" s="649">
        <f>+Table4[[#This Row],[Quantity]]*Table4[[#This Row],[Unit Price]]</f>
        <v>0</v>
      </c>
    </row>
    <row r="13" spans="1:9" x14ac:dyDescent="0.2">
      <c r="A13" s="76" t="s">
        <v>1360</v>
      </c>
      <c r="B13" s="71" t="s">
        <v>103</v>
      </c>
      <c r="C13" s="457"/>
      <c r="D13" s="71"/>
      <c r="E13" s="71" t="s">
        <v>1920</v>
      </c>
      <c r="F13" s="625"/>
      <c r="G13" s="217">
        <v>1</v>
      </c>
      <c r="H13" s="540"/>
      <c r="I13" s="649">
        <f>+Table4[[#This Row],[Quantity]]*Table4[[#This Row],[Unit Price]]</f>
        <v>0</v>
      </c>
    </row>
    <row r="14" spans="1:9" x14ac:dyDescent="0.2">
      <c r="A14" s="76" t="s">
        <v>1361</v>
      </c>
      <c r="B14" s="71" t="s">
        <v>686</v>
      </c>
      <c r="C14" s="457"/>
      <c r="D14" s="71"/>
      <c r="E14" s="71" t="s">
        <v>1920</v>
      </c>
      <c r="F14" s="625"/>
      <c r="G14" s="217">
        <v>1</v>
      </c>
      <c r="H14" s="540"/>
      <c r="I14" s="649">
        <f>+Table4[[#This Row],[Quantity]]*Table4[[#This Row],[Unit Price]]</f>
        <v>0</v>
      </c>
    </row>
    <row r="15" spans="1:9" x14ac:dyDescent="0.2">
      <c r="A15" s="76" t="s">
        <v>1362</v>
      </c>
      <c r="B15" s="71" t="s">
        <v>687</v>
      </c>
      <c r="C15" s="457"/>
      <c r="D15" s="71"/>
      <c r="E15" s="71" t="s">
        <v>1920</v>
      </c>
      <c r="F15" s="625"/>
      <c r="G15" s="217">
        <v>1</v>
      </c>
      <c r="H15" s="540"/>
      <c r="I15" s="649">
        <f>+Table4[[#This Row],[Quantity]]*Table4[[#This Row],[Unit Price]]</f>
        <v>0</v>
      </c>
    </row>
    <row r="16" spans="1:9" x14ac:dyDescent="0.2">
      <c r="A16" s="76" t="s">
        <v>2878</v>
      </c>
      <c r="B16" s="71" t="s">
        <v>2319</v>
      </c>
      <c r="C16" s="457"/>
      <c r="D16" s="71"/>
      <c r="E16" s="71" t="s">
        <v>1920</v>
      </c>
      <c r="F16" s="625"/>
      <c r="G16" s="217">
        <v>1</v>
      </c>
      <c r="H16" s="540"/>
      <c r="I16" s="649">
        <f>+Table4[[#This Row],[Quantity]]*Table4[[#This Row],[Unit Price]]</f>
        <v>0</v>
      </c>
    </row>
    <row r="17" spans="1:9" x14ac:dyDescent="0.2">
      <c r="A17" s="76" t="s">
        <v>1363</v>
      </c>
      <c r="B17" s="71" t="s">
        <v>223</v>
      </c>
      <c r="C17" s="457"/>
      <c r="D17" s="71"/>
      <c r="E17" s="71" t="s">
        <v>1920</v>
      </c>
      <c r="F17" s="625"/>
      <c r="G17" s="217">
        <v>1</v>
      </c>
      <c r="H17" s="540"/>
      <c r="I17" s="649">
        <f>+Table4[[#This Row],[Quantity]]*Table4[[#This Row],[Unit Price]]</f>
        <v>0</v>
      </c>
    </row>
    <row r="18" spans="1:9" x14ac:dyDescent="0.2">
      <c r="A18" s="76" t="s">
        <v>2900</v>
      </c>
      <c r="B18" s="71" t="s">
        <v>2320</v>
      </c>
      <c r="C18" s="457"/>
      <c r="D18" s="71"/>
      <c r="E18" s="71" t="s">
        <v>1920</v>
      </c>
      <c r="F18" s="625"/>
      <c r="G18" s="217">
        <v>1</v>
      </c>
      <c r="H18" s="540"/>
      <c r="I18" s="649">
        <f>+Table4[[#This Row],[Quantity]]*Table4[[#This Row],[Unit Price]]</f>
        <v>0</v>
      </c>
    </row>
    <row r="19" spans="1:9" x14ac:dyDescent="0.2">
      <c r="A19" s="76" t="s">
        <v>2901</v>
      </c>
      <c r="B19" s="71" t="s">
        <v>2321</v>
      </c>
      <c r="C19" s="457"/>
      <c r="D19" s="71"/>
      <c r="E19" s="71" t="s">
        <v>1920</v>
      </c>
      <c r="F19" s="625"/>
      <c r="G19" s="217">
        <v>1</v>
      </c>
      <c r="H19" s="540"/>
      <c r="I19" s="649">
        <f>+Table4[[#This Row],[Quantity]]*Table4[[#This Row],[Unit Price]]</f>
        <v>0</v>
      </c>
    </row>
    <row r="20" spans="1:9" x14ac:dyDescent="0.2">
      <c r="A20" s="76" t="s">
        <v>1063</v>
      </c>
      <c r="B20" s="71" t="s">
        <v>876</v>
      </c>
      <c r="C20" s="457"/>
      <c r="D20" s="71"/>
      <c r="E20" s="71" t="s">
        <v>1920</v>
      </c>
      <c r="F20" s="625"/>
      <c r="G20" s="217">
        <v>1</v>
      </c>
      <c r="H20" s="540"/>
      <c r="I20" s="649">
        <f>+Table4[[#This Row],[Quantity]]*Table4[[#This Row],[Unit Price]]</f>
        <v>0</v>
      </c>
    </row>
    <row r="21" spans="1:9" x14ac:dyDescent="0.2">
      <c r="A21" s="76" t="s">
        <v>2106</v>
      </c>
      <c r="B21" s="71" t="s">
        <v>2096</v>
      </c>
      <c r="C21" s="457"/>
      <c r="D21" s="71"/>
      <c r="E21" s="71" t="s">
        <v>1920</v>
      </c>
      <c r="F21" s="625"/>
      <c r="G21" s="217">
        <v>1</v>
      </c>
      <c r="H21" s="540"/>
      <c r="I21" s="649">
        <f>+Table4[[#This Row],[Quantity]]*Table4[[#This Row],[Unit Price]]</f>
        <v>0</v>
      </c>
    </row>
    <row r="22" spans="1:9" x14ac:dyDescent="0.2">
      <c r="A22" s="76" t="s">
        <v>2107</v>
      </c>
      <c r="B22" s="71" t="s">
        <v>2097</v>
      </c>
      <c r="C22" s="457"/>
      <c r="D22" s="71"/>
      <c r="E22" s="71" t="s">
        <v>1920</v>
      </c>
      <c r="F22" s="625"/>
      <c r="G22" s="217">
        <v>1</v>
      </c>
      <c r="H22" s="540"/>
      <c r="I22" s="649">
        <f>+Table4[[#This Row],[Quantity]]*Table4[[#This Row],[Unit Price]]</f>
        <v>0</v>
      </c>
    </row>
    <row r="23" spans="1:9" x14ac:dyDescent="0.2">
      <c r="A23" s="76" t="s">
        <v>2105</v>
      </c>
      <c r="B23" s="71" t="s">
        <v>2095</v>
      </c>
      <c r="C23" s="457"/>
      <c r="D23" s="71"/>
      <c r="E23" s="71" t="s">
        <v>1920</v>
      </c>
      <c r="F23" s="625"/>
      <c r="G23" s="217">
        <v>1</v>
      </c>
      <c r="H23" s="540"/>
      <c r="I23" s="649">
        <f>+Table4[[#This Row],[Quantity]]*Table4[[#This Row],[Unit Price]]</f>
        <v>0</v>
      </c>
    </row>
    <row r="24" spans="1:9" x14ac:dyDescent="0.2">
      <c r="A24" s="76" t="s">
        <v>2104</v>
      </c>
      <c r="B24" s="71" t="s">
        <v>2094</v>
      </c>
      <c r="C24" s="457"/>
      <c r="D24" s="71"/>
      <c r="E24" s="71" t="s">
        <v>1920</v>
      </c>
      <c r="F24" s="625"/>
      <c r="G24" s="217">
        <v>1</v>
      </c>
      <c r="H24" s="540"/>
      <c r="I24" s="649">
        <f>+Table4[[#This Row],[Quantity]]*Table4[[#This Row],[Unit Price]]</f>
        <v>0</v>
      </c>
    </row>
    <row r="25" spans="1:9" x14ac:dyDescent="0.2">
      <c r="A25" s="76" t="s">
        <v>1706</v>
      </c>
      <c r="B25" s="71" t="s">
        <v>1705</v>
      </c>
      <c r="C25" s="457"/>
      <c r="D25" s="71"/>
      <c r="E25" s="71">
        <v>55719</v>
      </c>
      <c r="F25" s="625"/>
      <c r="G25" s="217">
        <v>1</v>
      </c>
      <c r="H25" s="540"/>
      <c r="I25" s="649">
        <f>+Table4[[#This Row],[Quantity]]*Table4[[#This Row],[Unit Price]]</f>
        <v>0</v>
      </c>
    </row>
    <row r="26" spans="1:9" x14ac:dyDescent="0.2">
      <c r="A26" s="76" t="s">
        <v>2109</v>
      </c>
      <c r="B26" s="71" t="s">
        <v>2099</v>
      </c>
      <c r="C26" s="457"/>
      <c r="D26" s="71"/>
      <c r="E26" s="71" t="s">
        <v>1920</v>
      </c>
      <c r="F26" s="625"/>
      <c r="G26" s="217">
        <v>1</v>
      </c>
      <c r="H26" s="540"/>
      <c r="I26" s="649">
        <f>+Table4[[#This Row],[Quantity]]*Table4[[#This Row],[Unit Price]]</f>
        <v>0</v>
      </c>
    </row>
    <row r="27" spans="1:9" x14ac:dyDescent="0.2">
      <c r="A27" s="76" t="s">
        <v>2108</v>
      </c>
      <c r="B27" s="71" t="s">
        <v>2098</v>
      </c>
      <c r="C27" s="457"/>
      <c r="D27" s="71"/>
      <c r="E27" s="71">
        <v>55719</v>
      </c>
      <c r="F27" s="625"/>
      <c r="G27" s="217">
        <v>1</v>
      </c>
      <c r="H27" s="540"/>
      <c r="I27" s="649">
        <f>+Table4[[#This Row],[Quantity]]*Table4[[#This Row],[Unit Price]]</f>
        <v>0</v>
      </c>
    </row>
    <row r="28" spans="1:9" x14ac:dyDescent="0.2">
      <c r="A28" s="76" t="s">
        <v>2312</v>
      </c>
      <c r="B28" s="71" t="s">
        <v>2311</v>
      </c>
      <c r="C28" s="457"/>
      <c r="D28" s="71"/>
      <c r="E28" s="71" t="s">
        <v>1920</v>
      </c>
      <c r="F28" s="625"/>
      <c r="G28" s="217">
        <v>1</v>
      </c>
      <c r="H28" s="540"/>
      <c r="I28" s="649">
        <f>+Table4[[#This Row],[Quantity]]*Table4[[#This Row],[Unit Price]]</f>
        <v>0</v>
      </c>
    </row>
    <row r="29" spans="1:9" x14ac:dyDescent="0.2">
      <c r="A29" s="76" t="s">
        <v>1379</v>
      </c>
      <c r="B29" s="71" t="s">
        <v>63</v>
      </c>
      <c r="C29" s="457"/>
      <c r="D29" s="71"/>
      <c r="E29" s="71" t="s">
        <v>1920</v>
      </c>
      <c r="F29" s="625"/>
      <c r="G29" s="217">
        <v>1</v>
      </c>
      <c r="H29" s="540"/>
      <c r="I29" s="649">
        <f>+Table4[[#This Row],[Quantity]]*Table4[[#This Row],[Unit Price]]</f>
        <v>0</v>
      </c>
    </row>
    <row r="30" spans="1:9" x14ac:dyDescent="0.2">
      <c r="A30" s="30" t="s">
        <v>3107</v>
      </c>
      <c r="B30" s="18" t="s">
        <v>3108</v>
      </c>
      <c r="C30" s="457"/>
      <c r="D30" s="18"/>
      <c r="E30" s="18">
        <v>55719</v>
      </c>
      <c r="F30" s="503"/>
      <c r="G30" s="298">
        <v>1</v>
      </c>
      <c r="H30" s="540"/>
      <c r="I30" s="649">
        <f>+Table4[[#This Row],[Quantity]]*Table4[[#This Row],[Unit Price]]</f>
        <v>0</v>
      </c>
    </row>
    <row r="31" spans="1:9" x14ac:dyDescent="0.2">
      <c r="A31" s="30" t="s">
        <v>3105</v>
      </c>
      <c r="B31" s="18" t="s">
        <v>3106</v>
      </c>
      <c r="C31" s="457"/>
      <c r="D31" s="18"/>
      <c r="E31" s="18">
        <v>55719</v>
      </c>
      <c r="F31" s="503"/>
      <c r="G31" s="300">
        <v>1</v>
      </c>
      <c r="H31" s="540"/>
      <c r="I31" s="649">
        <f>+Table4[[#This Row],[Quantity]]*Table4[[#This Row],[Unit Price]]</f>
        <v>0</v>
      </c>
    </row>
    <row r="32" spans="1:9" x14ac:dyDescent="0.2">
      <c r="A32" s="30" t="s">
        <v>3103</v>
      </c>
      <c r="B32" s="18" t="s">
        <v>3104</v>
      </c>
      <c r="C32" s="457"/>
      <c r="D32" s="18"/>
      <c r="E32" s="18">
        <v>55719</v>
      </c>
      <c r="F32" s="503"/>
      <c r="G32" s="298">
        <v>1</v>
      </c>
      <c r="H32" s="540"/>
      <c r="I32" s="649">
        <f>+Table4[[#This Row],[Quantity]]*Table4[[#This Row],[Unit Price]]</f>
        <v>0</v>
      </c>
    </row>
    <row r="33" spans="1:9" x14ac:dyDescent="0.2">
      <c r="A33" s="46" t="s">
        <v>3113</v>
      </c>
      <c r="B33" s="44" t="s">
        <v>3114</v>
      </c>
      <c r="C33" s="457"/>
      <c r="D33" s="44"/>
      <c r="E33" s="44">
        <v>55719</v>
      </c>
      <c r="F33" s="503"/>
      <c r="G33" s="298">
        <v>1</v>
      </c>
      <c r="H33" s="540"/>
      <c r="I33" s="649">
        <f>+Table4[[#This Row],[Quantity]]*Table4[[#This Row],[Unit Price]]</f>
        <v>0</v>
      </c>
    </row>
    <row r="34" spans="1:9" x14ac:dyDescent="0.2">
      <c r="A34" s="76" t="s">
        <v>2313</v>
      </c>
      <c r="B34" s="71" t="s">
        <v>2316</v>
      </c>
      <c r="C34" s="457"/>
      <c r="D34" s="71"/>
      <c r="E34" s="71" t="s">
        <v>1920</v>
      </c>
      <c r="F34" s="625"/>
      <c r="G34" s="217">
        <v>1</v>
      </c>
      <c r="H34" s="540"/>
      <c r="I34" s="649">
        <f>+Table4[[#This Row],[Quantity]]*Table4[[#This Row],[Unit Price]]</f>
        <v>0</v>
      </c>
    </row>
    <row r="35" spans="1:9" x14ac:dyDescent="0.2">
      <c r="A35" s="76" t="s">
        <v>2314</v>
      </c>
      <c r="B35" s="71" t="s">
        <v>2315</v>
      </c>
      <c r="C35" s="457"/>
      <c r="D35" s="71"/>
      <c r="E35" s="71" t="s">
        <v>1920</v>
      </c>
      <c r="F35" s="625"/>
      <c r="G35" s="217">
        <v>1</v>
      </c>
      <c r="H35" s="540"/>
      <c r="I35" s="649">
        <f>+Table4[[#This Row],[Quantity]]*Table4[[#This Row],[Unit Price]]</f>
        <v>0</v>
      </c>
    </row>
    <row r="36" spans="1:9" x14ac:dyDescent="0.2">
      <c r="A36" s="297" t="s">
        <v>2317</v>
      </c>
      <c r="B36" s="144" t="s">
        <v>2318</v>
      </c>
      <c r="C36" s="457"/>
      <c r="D36" s="144"/>
      <c r="E36" s="144" t="s">
        <v>1920</v>
      </c>
      <c r="F36" s="647"/>
      <c r="G36" s="299">
        <v>1</v>
      </c>
      <c r="H36" s="650"/>
      <c r="I36" s="649">
        <f>+Table4[[#This Row],[Quantity]]*Table4[[#This Row],[Unit Price]]</f>
        <v>0</v>
      </c>
    </row>
    <row r="37" spans="1:9" x14ac:dyDescent="0.2">
      <c r="A37" s="297" t="s">
        <v>1082</v>
      </c>
      <c r="B37" s="144" t="s">
        <v>909</v>
      </c>
      <c r="C37" s="457"/>
      <c r="D37" s="144"/>
      <c r="E37" s="144" t="s">
        <v>1920</v>
      </c>
      <c r="F37" s="647"/>
      <c r="G37" s="299">
        <v>1</v>
      </c>
      <c r="H37" s="650"/>
      <c r="I37" s="649">
        <f>+Table4[[#This Row],[Quantity]]*Table4[[#This Row],[Unit Price]]</f>
        <v>0</v>
      </c>
    </row>
    <row r="38" spans="1:9" x14ac:dyDescent="0.2">
      <c r="A38" s="297" t="s">
        <v>1424</v>
      </c>
      <c r="B38" s="144" t="s">
        <v>458</v>
      </c>
      <c r="C38" s="457"/>
      <c r="D38" s="144"/>
      <c r="E38" s="144" t="s">
        <v>1920</v>
      </c>
      <c r="F38" s="647"/>
      <c r="G38" s="299">
        <v>1</v>
      </c>
      <c r="H38" s="650"/>
      <c r="I38" s="649">
        <f>+Table4[[#This Row],[Quantity]]*Table4[[#This Row],[Unit Price]]</f>
        <v>0</v>
      </c>
    </row>
    <row r="39" spans="1:9" x14ac:dyDescent="0.2">
      <c r="A39" s="297" t="s">
        <v>1083</v>
      </c>
      <c r="B39" s="144" t="s">
        <v>910</v>
      </c>
      <c r="C39" s="457"/>
      <c r="D39" s="144"/>
      <c r="E39" s="144" t="s">
        <v>1920</v>
      </c>
      <c r="F39" s="647"/>
      <c r="G39" s="299">
        <v>1</v>
      </c>
      <c r="H39" s="650"/>
      <c r="I39" s="649">
        <f>+Table4[[#This Row],[Quantity]]*Table4[[#This Row],[Unit Price]]</f>
        <v>0</v>
      </c>
    </row>
    <row r="40" spans="1:9" x14ac:dyDescent="0.2">
      <c r="A40" s="45"/>
      <c r="B40" s="403"/>
      <c r="C40" s="652"/>
      <c r="D40" s="653"/>
      <c r="E40" s="403"/>
      <c r="F40" s="654"/>
      <c r="H40" s="655"/>
      <c r="I40" s="656">
        <f>SUM(I2:I39)</f>
        <v>0</v>
      </c>
    </row>
    <row r="43" spans="1:9" s="4" customFormat="1" ht="18" x14ac:dyDescent="0.25">
      <c r="A43" s="422" t="s">
        <v>1788</v>
      </c>
      <c r="B43" s="425"/>
      <c r="C43" s="309"/>
      <c r="D43" s="3"/>
      <c r="E43" s="3"/>
      <c r="F43" s="309"/>
      <c r="G43" s="219"/>
      <c r="H43" s="531"/>
      <c r="I43" s="541"/>
    </row>
    <row r="44" spans="1:9" s="4" customFormat="1" ht="18" x14ac:dyDescent="0.25">
      <c r="A44" s="422" t="s">
        <v>2951</v>
      </c>
      <c r="B44" s="425"/>
      <c r="C44" s="309"/>
      <c r="D44" s="3"/>
      <c r="E44" s="3"/>
      <c r="F44" s="309"/>
      <c r="G44" s="219"/>
      <c r="H44" s="531"/>
      <c r="I44" s="541"/>
    </row>
    <row r="45" spans="1:9" ht="18" x14ac:dyDescent="0.25">
      <c r="A45" s="491" t="s">
        <v>3337</v>
      </c>
      <c r="B45" s="18"/>
    </row>
    <row r="46" spans="1:9" ht="18" x14ac:dyDescent="0.25">
      <c r="A46" s="449" t="s">
        <v>3367</v>
      </c>
      <c r="B46" s="608">
        <f>+Table4[[#Totals],[Extended price]]</f>
        <v>0</v>
      </c>
    </row>
  </sheetData>
  <sortState xmlns:xlrd2="http://schemas.microsoft.com/office/spreadsheetml/2017/richdata2" ref="A3:H35">
    <sortCondition ref="B3:B35"/>
  </sortState>
  <pageMargins left="0.7" right="0.7" top="0.75" bottom="0.75" header="0.3" footer="0.3"/>
  <pageSetup scale="90" orientation="landscape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42"/>
  <sheetViews>
    <sheetView topLeftCell="A2" workbookViewId="0">
      <pane ySplit="1" topLeftCell="A104" activePane="bottomLeft" state="frozen"/>
      <selection activeCell="C26" sqref="C26"/>
      <selection pane="bottomLeft" activeCell="G3" sqref="G3:G136"/>
    </sheetView>
  </sheetViews>
  <sheetFormatPr defaultColWidth="9.140625" defaultRowHeight="15" x14ac:dyDescent="0.2"/>
  <cols>
    <col min="1" max="1" width="64" style="16" bestFit="1" customWidth="1"/>
    <col min="2" max="2" width="16.42578125" style="124" bestFit="1" customWidth="1"/>
    <col min="3" max="3" width="21.140625" style="124" bestFit="1" customWidth="1"/>
    <col min="4" max="4" width="20.140625" style="124" bestFit="1" customWidth="1"/>
    <col min="5" max="5" width="12.42578125" style="124" bestFit="1" customWidth="1"/>
    <col min="6" max="6" width="15.5703125" style="124" bestFit="1" customWidth="1"/>
    <col min="7" max="7" width="10.85546875" style="17" customWidth="1"/>
    <col min="8" max="8" width="11.42578125" style="549" bestFit="1" customWidth="1"/>
    <col min="9" max="9" width="16.85546875" style="549" bestFit="1" customWidth="1"/>
    <col min="10" max="10" width="19.140625" style="16" bestFit="1" customWidth="1"/>
    <col min="11" max="16384" width="9.140625" style="16"/>
  </cols>
  <sheetData>
    <row r="1" spans="1:9" s="4" customFormat="1" ht="18" x14ac:dyDescent="0.25">
      <c r="A1" s="4" t="s">
        <v>1781</v>
      </c>
      <c r="B1" s="3"/>
      <c r="C1" s="309"/>
      <c r="D1" s="3"/>
      <c r="E1" s="3"/>
      <c r="F1" s="309"/>
      <c r="G1" s="3"/>
      <c r="H1" s="531"/>
      <c r="I1" s="541"/>
    </row>
    <row r="2" spans="1:9" ht="15.75" x14ac:dyDescent="0.25">
      <c r="A2" s="13" t="s">
        <v>0</v>
      </c>
      <c r="B2" s="123" t="s">
        <v>1</v>
      </c>
      <c r="C2" s="367" t="s">
        <v>3373</v>
      </c>
      <c r="D2" s="22" t="s">
        <v>1872</v>
      </c>
      <c r="E2" s="22" t="s">
        <v>1873</v>
      </c>
      <c r="F2" s="367" t="s">
        <v>3372</v>
      </c>
      <c r="G2" s="13" t="s">
        <v>412</v>
      </c>
      <c r="H2" s="528" t="s">
        <v>3368</v>
      </c>
      <c r="I2" s="528" t="s">
        <v>3369</v>
      </c>
    </row>
    <row r="3" spans="1:9" x14ac:dyDescent="0.2">
      <c r="A3" s="151" t="s">
        <v>2948</v>
      </c>
      <c r="B3" s="71" t="s">
        <v>931</v>
      </c>
      <c r="C3" s="430"/>
      <c r="D3" s="71"/>
      <c r="E3" s="71"/>
      <c r="F3" s="625"/>
      <c r="G3" s="28">
        <v>1</v>
      </c>
      <c r="H3" s="546"/>
      <c r="I3" s="547">
        <f>+G3*H3</f>
        <v>0</v>
      </c>
    </row>
    <row r="4" spans="1:9" x14ac:dyDescent="0.2">
      <c r="A4" s="151" t="s">
        <v>770</v>
      </c>
      <c r="B4" s="71" t="s">
        <v>771</v>
      </c>
      <c r="C4" s="430"/>
      <c r="D4" s="71"/>
      <c r="E4" s="71" t="s">
        <v>1923</v>
      </c>
      <c r="F4" s="625"/>
      <c r="G4" s="28">
        <v>1</v>
      </c>
      <c r="H4" s="546"/>
      <c r="I4" s="547">
        <f t="shared" ref="I4:I67" si="0">+G4*H4</f>
        <v>0</v>
      </c>
    </row>
    <row r="5" spans="1:9" x14ac:dyDescent="0.2">
      <c r="A5" s="151" t="s">
        <v>1589</v>
      </c>
      <c r="B5" s="71" t="s">
        <v>2750</v>
      </c>
      <c r="C5" s="430"/>
      <c r="D5" s="71"/>
      <c r="E5" s="71" t="s">
        <v>1920</v>
      </c>
      <c r="F5" s="625"/>
      <c r="G5" s="28">
        <v>1</v>
      </c>
      <c r="H5" s="546"/>
      <c r="I5" s="547">
        <f t="shared" si="0"/>
        <v>0</v>
      </c>
    </row>
    <row r="6" spans="1:9" x14ac:dyDescent="0.2">
      <c r="A6" s="151" t="s">
        <v>18</v>
      </c>
      <c r="B6" s="71" t="s">
        <v>3110</v>
      </c>
      <c r="C6" s="430"/>
      <c r="D6" s="71"/>
      <c r="E6" s="71" t="s">
        <v>1920</v>
      </c>
      <c r="F6" s="625"/>
      <c r="G6" s="28">
        <v>1</v>
      </c>
      <c r="H6" s="546"/>
      <c r="I6" s="547">
        <f t="shared" si="0"/>
        <v>0</v>
      </c>
    </row>
    <row r="7" spans="1:9" x14ac:dyDescent="0.2">
      <c r="A7" s="151" t="s">
        <v>459</v>
      </c>
      <c r="B7" s="71" t="s">
        <v>1823</v>
      </c>
      <c r="C7" s="430"/>
      <c r="D7" s="71"/>
      <c r="E7" s="71" t="s">
        <v>1920</v>
      </c>
      <c r="F7" s="625"/>
      <c r="G7" s="28">
        <v>1</v>
      </c>
      <c r="H7" s="546"/>
      <c r="I7" s="547">
        <f t="shared" si="0"/>
        <v>0</v>
      </c>
    </row>
    <row r="8" spans="1:9" x14ac:dyDescent="0.2">
      <c r="A8" s="151" t="s">
        <v>1536</v>
      </c>
      <c r="B8" s="71" t="s">
        <v>937</v>
      </c>
      <c r="C8" s="430"/>
      <c r="D8" s="71"/>
      <c r="E8" s="71" t="s">
        <v>1920</v>
      </c>
      <c r="F8" s="625"/>
      <c r="G8" s="28">
        <v>1</v>
      </c>
      <c r="H8" s="546"/>
      <c r="I8" s="547">
        <f t="shared" si="0"/>
        <v>0</v>
      </c>
    </row>
    <row r="9" spans="1:9" x14ac:dyDescent="0.2">
      <c r="A9" s="151" t="s">
        <v>1634</v>
      </c>
      <c r="B9" s="71" t="s">
        <v>957</v>
      </c>
      <c r="C9" s="430"/>
      <c r="D9" s="71"/>
      <c r="E9" s="71" t="s">
        <v>1920</v>
      </c>
      <c r="F9" s="625"/>
      <c r="G9" s="28">
        <v>1</v>
      </c>
      <c r="H9" s="546"/>
      <c r="I9" s="547">
        <f t="shared" si="0"/>
        <v>0</v>
      </c>
    </row>
    <row r="10" spans="1:9" x14ac:dyDescent="0.2">
      <c r="A10" s="151" t="s">
        <v>17</v>
      </c>
      <c r="B10" s="71" t="s">
        <v>407</v>
      </c>
      <c r="C10" s="430"/>
      <c r="D10" s="71"/>
      <c r="E10" s="71" t="s">
        <v>1920</v>
      </c>
      <c r="F10" s="625"/>
      <c r="G10" s="28">
        <v>2</v>
      </c>
      <c r="H10" s="546"/>
      <c r="I10" s="547">
        <f t="shared" si="0"/>
        <v>0</v>
      </c>
    </row>
    <row r="11" spans="1:9" x14ac:dyDescent="0.2">
      <c r="A11" s="151" t="s">
        <v>197</v>
      </c>
      <c r="B11" s="71" t="s">
        <v>645</v>
      </c>
      <c r="C11" s="430"/>
      <c r="D11" s="71"/>
      <c r="E11" s="71" t="s">
        <v>1920</v>
      </c>
      <c r="F11" s="625"/>
      <c r="G11" s="28">
        <v>1</v>
      </c>
      <c r="H11" s="546"/>
      <c r="I11" s="547">
        <f t="shared" si="0"/>
        <v>0</v>
      </c>
    </row>
    <row r="12" spans="1:9" x14ac:dyDescent="0.2">
      <c r="A12" s="151" t="s">
        <v>1638</v>
      </c>
      <c r="B12" s="71" t="s">
        <v>970</v>
      </c>
      <c r="C12" s="430"/>
      <c r="D12" s="71"/>
      <c r="E12" s="71" t="s">
        <v>1920</v>
      </c>
      <c r="F12" s="625"/>
      <c r="G12" s="28">
        <v>1</v>
      </c>
      <c r="H12" s="546"/>
      <c r="I12" s="547">
        <f t="shared" si="0"/>
        <v>0</v>
      </c>
    </row>
    <row r="13" spans="1:9" ht="15" customHeight="1" x14ac:dyDescent="0.2">
      <c r="A13" s="151" t="s">
        <v>198</v>
      </c>
      <c r="B13" s="71" t="s">
        <v>646</v>
      </c>
      <c r="C13" s="430"/>
      <c r="D13" s="71"/>
      <c r="E13" s="71" t="s">
        <v>1920</v>
      </c>
      <c r="F13" s="625"/>
      <c r="G13" s="28">
        <v>1</v>
      </c>
      <c r="H13" s="546"/>
      <c r="I13" s="547">
        <f t="shared" si="0"/>
        <v>0</v>
      </c>
    </row>
    <row r="14" spans="1:9" x14ac:dyDescent="0.2">
      <c r="A14" s="151" t="s">
        <v>1703</v>
      </c>
      <c r="B14" s="71" t="s">
        <v>2011</v>
      </c>
      <c r="C14" s="430"/>
      <c r="D14" s="71"/>
      <c r="E14" s="71">
        <v>89750</v>
      </c>
      <c r="F14" s="625"/>
      <c r="G14" s="28">
        <v>1</v>
      </c>
      <c r="H14" s="546"/>
      <c r="I14" s="547">
        <f t="shared" si="0"/>
        <v>0</v>
      </c>
    </row>
    <row r="15" spans="1:9" x14ac:dyDescent="0.2">
      <c r="A15" s="151" t="s">
        <v>1700</v>
      </c>
      <c r="B15" s="71" t="s">
        <v>2012</v>
      </c>
      <c r="C15" s="430"/>
      <c r="D15" s="71"/>
      <c r="E15" s="71">
        <v>89750</v>
      </c>
      <c r="F15" s="625"/>
      <c r="G15" s="28">
        <v>1</v>
      </c>
      <c r="H15" s="546"/>
      <c r="I15" s="547">
        <f t="shared" si="0"/>
        <v>0</v>
      </c>
    </row>
    <row r="16" spans="1:9" s="119" customFormat="1" x14ac:dyDescent="0.2">
      <c r="A16" s="253" t="s">
        <v>1701</v>
      </c>
      <c r="B16" s="71" t="s">
        <v>2013</v>
      </c>
      <c r="C16" s="430"/>
      <c r="D16" s="71"/>
      <c r="E16" s="71">
        <v>89750</v>
      </c>
      <c r="F16" s="625"/>
      <c r="G16" s="243">
        <v>1</v>
      </c>
      <c r="H16" s="546"/>
      <c r="I16" s="547">
        <f t="shared" si="0"/>
        <v>0</v>
      </c>
    </row>
    <row r="17" spans="1:9" x14ac:dyDescent="0.2">
      <c r="A17" s="151" t="s">
        <v>1702</v>
      </c>
      <c r="B17" s="71" t="s">
        <v>2014</v>
      </c>
      <c r="C17" s="430"/>
      <c r="D17" s="71"/>
      <c r="E17" s="71">
        <v>89750</v>
      </c>
      <c r="F17" s="625"/>
      <c r="G17" s="28">
        <v>1</v>
      </c>
      <c r="H17" s="546"/>
      <c r="I17" s="547">
        <f t="shared" si="0"/>
        <v>0</v>
      </c>
    </row>
    <row r="18" spans="1:9" x14ac:dyDescent="0.2">
      <c r="A18" s="151" t="s">
        <v>3237</v>
      </c>
      <c r="B18" s="71" t="s">
        <v>2015</v>
      </c>
      <c r="C18" s="430"/>
      <c r="D18" s="71"/>
      <c r="E18" s="71">
        <v>89750</v>
      </c>
      <c r="F18" s="625"/>
      <c r="G18" s="28">
        <v>1</v>
      </c>
      <c r="H18" s="546"/>
      <c r="I18" s="547">
        <f t="shared" si="0"/>
        <v>0</v>
      </c>
    </row>
    <row r="19" spans="1:9" x14ac:dyDescent="0.2">
      <c r="A19" s="151" t="s">
        <v>1486</v>
      </c>
      <c r="B19" s="71" t="s">
        <v>1989</v>
      </c>
      <c r="C19" s="430"/>
      <c r="D19" s="71"/>
      <c r="E19" s="71">
        <v>89750</v>
      </c>
      <c r="F19" s="625"/>
      <c r="G19" s="28">
        <v>1</v>
      </c>
      <c r="H19" s="546"/>
      <c r="I19" s="547">
        <f t="shared" si="0"/>
        <v>0</v>
      </c>
    </row>
    <row r="20" spans="1:9" x14ac:dyDescent="0.2">
      <c r="A20" s="151" t="s">
        <v>3239</v>
      </c>
      <c r="B20" s="71" t="s">
        <v>2017</v>
      </c>
      <c r="C20" s="430"/>
      <c r="D20" s="71"/>
      <c r="E20" s="71">
        <v>89750</v>
      </c>
      <c r="F20" s="625"/>
      <c r="G20" s="28">
        <v>1</v>
      </c>
      <c r="H20" s="546"/>
      <c r="I20" s="547">
        <f t="shared" si="0"/>
        <v>0</v>
      </c>
    </row>
    <row r="21" spans="1:9" x14ac:dyDescent="0.2">
      <c r="A21" s="151" t="s">
        <v>3240</v>
      </c>
      <c r="B21" s="71" t="s">
        <v>2016</v>
      </c>
      <c r="C21" s="430"/>
      <c r="D21" s="71"/>
      <c r="E21" s="71">
        <v>89750</v>
      </c>
      <c r="F21" s="625"/>
      <c r="G21" s="28">
        <v>1</v>
      </c>
      <c r="H21" s="546"/>
      <c r="I21" s="547">
        <f t="shared" si="0"/>
        <v>0</v>
      </c>
    </row>
    <row r="22" spans="1:9" x14ac:dyDescent="0.2">
      <c r="A22" s="151" t="s">
        <v>1487</v>
      </c>
      <c r="B22" s="71" t="s">
        <v>2019</v>
      </c>
      <c r="C22" s="430"/>
      <c r="D22" s="71"/>
      <c r="E22" s="71">
        <v>89750</v>
      </c>
      <c r="F22" s="625"/>
      <c r="G22" s="28">
        <v>1</v>
      </c>
      <c r="H22" s="546"/>
      <c r="I22" s="547">
        <f t="shared" si="0"/>
        <v>0</v>
      </c>
    </row>
    <row r="23" spans="1:9" x14ac:dyDescent="0.2">
      <c r="A23" s="151" t="s">
        <v>3241</v>
      </c>
      <c r="B23" s="71" t="s">
        <v>2018</v>
      </c>
      <c r="C23" s="430"/>
      <c r="D23" s="71"/>
      <c r="E23" s="71">
        <v>89750</v>
      </c>
      <c r="F23" s="625"/>
      <c r="G23" s="28">
        <v>1</v>
      </c>
      <c r="H23" s="546"/>
      <c r="I23" s="547">
        <f t="shared" si="0"/>
        <v>0</v>
      </c>
    </row>
    <row r="24" spans="1:9" x14ac:dyDescent="0.2">
      <c r="A24" s="151" t="s">
        <v>1662</v>
      </c>
      <c r="B24" s="71" t="s">
        <v>402</v>
      </c>
      <c r="C24" s="430"/>
      <c r="D24" s="71"/>
      <c r="E24" s="71" t="s">
        <v>1920</v>
      </c>
      <c r="F24" s="625"/>
      <c r="G24" s="28">
        <v>1</v>
      </c>
      <c r="H24" s="546"/>
      <c r="I24" s="547">
        <f t="shared" si="0"/>
        <v>0</v>
      </c>
    </row>
    <row r="25" spans="1:9" x14ac:dyDescent="0.2">
      <c r="A25" s="151" t="s">
        <v>1048</v>
      </c>
      <c r="B25" s="71" t="s">
        <v>170</v>
      </c>
      <c r="C25" s="430"/>
      <c r="D25" s="71"/>
      <c r="E25" s="71" t="s">
        <v>1920</v>
      </c>
      <c r="F25" s="625"/>
      <c r="G25" s="28">
        <v>2</v>
      </c>
      <c r="H25" s="546"/>
      <c r="I25" s="547">
        <f t="shared" si="0"/>
        <v>0</v>
      </c>
    </row>
    <row r="26" spans="1:9" x14ac:dyDescent="0.2">
      <c r="A26" s="151" t="s">
        <v>1050</v>
      </c>
      <c r="B26" s="71" t="s">
        <v>404</v>
      </c>
      <c r="C26" s="430"/>
      <c r="D26" s="71"/>
      <c r="E26" s="71" t="s">
        <v>1920</v>
      </c>
      <c r="F26" s="625"/>
      <c r="G26" s="28">
        <v>2</v>
      </c>
      <c r="H26" s="546"/>
      <c r="I26" s="547">
        <f t="shared" si="0"/>
        <v>0</v>
      </c>
    </row>
    <row r="27" spans="1:9" x14ac:dyDescent="0.2">
      <c r="A27" s="151" t="s">
        <v>1193</v>
      </c>
      <c r="B27" s="71" t="s">
        <v>316</v>
      </c>
      <c r="C27" s="430"/>
      <c r="D27" s="71"/>
      <c r="E27" s="71" t="s">
        <v>1920</v>
      </c>
      <c r="F27" s="625"/>
      <c r="G27" s="28">
        <v>1</v>
      </c>
      <c r="H27" s="546"/>
      <c r="I27" s="547">
        <f t="shared" si="0"/>
        <v>0</v>
      </c>
    </row>
    <row r="28" spans="1:9" x14ac:dyDescent="0.2">
      <c r="A28" s="151" t="s">
        <v>1051</v>
      </c>
      <c r="B28" s="71" t="s">
        <v>317</v>
      </c>
      <c r="C28" s="430"/>
      <c r="D28" s="71"/>
      <c r="E28" s="71" t="s">
        <v>1920</v>
      </c>
      <c r="F28" s="625"/>
      <c r="G28" s="28">
        <v>1</v>
      </c>
      <c r="H28" s="546"/>
      <c r="I28" s="547">
        <f t="shared" si="0"/>
        <v>0</v>
      </c>
    </row>
    <row r="29" spans="1:9" x14ac:dyDescent="0.2">
      <c r="A29" s="151" t="s">
        <v>48</v>
      </c>
      <c r="B29" s="71" t="s">
        <v>252</v>
      </c>
      <c r="C29" s="430"/>
      <c r="D29" s="71"/>
      <c r="E29" s="71" t="s">
        <v>1920</v>
      </c>
      <c r="F29" s="625"/>
      <c r="G29" s="28">
        <v>4</v>
      </c>
      <c r="H29" s="546"/>
      <c r="I29" s="547">
        <f t="shared" si="0"/>
        <v>0</v>
      </c>
    </row>
    <row r="30" spans="1:9" x14ac:dyDescent="0.2">
      <c r="A30" s="151" t="s">
        <v>1192</v>
      </c>
      <c r="B30" s="71" t="s">
        <v>94</v>
      </c>
      <c r="C30" s="430"/>
      <c r="D30" s="71"/>
      <c r="E30" s="71" t="s">
        <v>1920</v>
      </c>
      <c r="F30" s="625"/>
      <c r="G30" s="28">
        <v>1</v>
      </c>
      <c r="H30" s="546"/>
      <c r="I30" s="547">
        <f t="shared" si="0"/>
        <v>0</v>
      </c>
    </row>
    <row r="31" spans="1:9" x14ac:dyDescent="0.2">
      <c r="A31" s="151" t="s">
        <v>1038</v>
      </c>
      <c r="B31" s="71" t="s">
        <v>280</v>
      </c>
      <c r="C31" s="430"/>
      <c r="D31" s="71"/>
      <c r="E31" s="71" t="s">
        <v>1920</v>
      </c>
      <c r="F31" s="625"/>
      <c r="G31" s="28">
        <v>1</v>
      </c>
      <c r="H31" s="546"/>
      <c r="I31" s="547">
        <f t="shared" si="0"/>
        <v>0</v>
      </c>
    </row>
    <row r="32" spans="1:9" x14ac:dyDescent="0.2">
      <c r="A32" s="151" t="s">
        <v>1147</v>
      </c>
      <c r="B32" s="71" t="s">
        <v>403</v>
      </c>
      <c r="C32" s="430"/>
      <c r="D32" s="71"/>
      <c r="E32" s="71" t="s">
        <v>1920</v>
      </c>
      <c r="F32" s="625"/>
      <c r="G32" s="28">
        <v>1</v>
      </c>
      <c r="H32" s="546"/>
      <c r="I32" s="547">
        <f t="shared" si="0"/>
        <v>0</v>
      </c>
    </row>
    <row r="33" spans="1:9" x14ac:dyDescent="0.2">
      <c r="A33" s="151" t="s">
        <v>1027</v>
      </c>
      <c r="B33" s="71" t="s">
        <v>415</v>
      </c>
      <c r="C33" s="430"/>
      <c r="D33" s="71"/>
      <c r="E33" s="71" t="s">
        <v>1920</v>
      </c>
      <c r="F33" s="625"/>
      <c r="G33" s="28">
        <v>1</v>
      </c>
      <c r="H33" s="546"/>
      <c r="I33" s="547">
        <f t="shared" si="0"/>
        <v>0</v>
      </c>
    </row>
    <row r="34" spans="1:9" x14ac:dyDescent="0.2">
      <c r="A34" s="151" t="s">
        <v>1144</v>
      </c>
      <c r="B34" s="71" t="s">
        <v>203</v>
      </c>
      <c r="C34" s="430"/>
      <c r="D34" s="71"/>
      <c r="E34" s="71" t="s">
        <v>1920</v>
      </c>
      <c r="F34" s="625"/>
      <c r="G34" s="28">
        <v>1</v>
      </c>
      <c r="H34" s="546"/>
      <c r="I34" s="547">
        <f t="shared" si="0"/>
        <v>0</v>
      </c>
    </row>
    <row r="35" spans="1:9" x14ac:dyDescent="0.2">
      <c r="A35" s="253" t="s">
        <v>34</v>
      </c>
      <c r="B35" s="71" t="s">
        <v>1826</v>
      </c>
      <c r="C35" s="430"/>
      <c r="D35" s="71"/>
      <c r="E35" s="71" t="s">
        <v>1920</v>
      </c>
      <c r="F35" s="625"/>
      <c r="G35" s="243">
        <v>1</v>
      </c>
      <c r="H35" s="546"/>
      <c r="I35" s="547">
        <f t="shared" si="0"/>
        <v>0</v>
      </c>
    </row>
    <row r="36" spans="1:9" x14ac:dyDescent="0.2">
      <c r="A36" s="151" t="s">
        <v>1092</v>
      </c>
      <c r="B36" s="71" t="s">
        <v>406</v>
      </c>
      <c r="C36" s="430"/>
      <c r="D36" s="71"/>
      <c r="E36" s="71" t="s">
        <v>1920</v>
      </c>
      <c r="F36" s="625"/>
      <c r="G36" s="28">
        <v>4</v>
      </c>
      <c r="H36" s="546"/>
      <c r="I36" s="547">
        <f t="shared" si="0"/>
        <v>0</v>
      </c>
    </row>
    <row r="37" spans="1:9" x14ac:dyDescent="0.2">
      <c r="A37" s="151" t="s">
        <v>1093</v>
      </c>
      <c r="B37" s="71" t="s">
        <v>215</v>
      </c>
      <c r="C37" s="430"/>
      <c r="D37" s="71"/>
      <c r="E37" s="71" t="s">
        <v>1920</v>
      </c>
      <c r="F37" s="625"/>
      <c r="G37" s="28">
        <v>4</v>
      </c>
      <c r="H37" s="546"/>
      <c r="I37" s="547">
        <f t="shared" si="0"/>
        <v>0</v>
      </c>
    </row>
    <row r="38" spans="1:9" x14ac:dyDescent="0.2">
      <c r="A38" s="151" t="s">
        <v>39</v>
      </c>
      <c r="B38" s="71" t="s">
        <v>245</v>
      </c>
      <c r="C38" s="430"/>
      <c r="D38" s="71"/>
      <c r="E38" s="71" t="s">
        <v>1920</v>
      </c>
      <c r="F38" s="625"/>
      <c r="G38" s="28">
        <v>1</v>
      </c>
      <c r="H38" s="546"/>
      <c r="I38" s="547">
        <f t="shared" si="0"/>
        <v>0</v>
      </c>
    </row>
    <row r="39" spans="1:9" x14ac:dyDescent="0.2">
      <c r="A39" s="151" t="s">
        <v>1037</v>
      </c>
      <c r="B39" s="71" t="s">
        <v>470</v>
      </c>
      <c r="C39" s="430"/>
      <c r="D39" s="71"/>
      <c r="E39" s="71" t="s">
        <v>1920</v>
      </c>
      <c r="F39" s="625"/>
      <c r="G39" s="28">
        <v>1</v>
      </c>
      <c r="H39" s="546"/>
      <c r="I39" s="547">
        <f t="shared" si="0"/>
        <v>0</v>
      </c>
    </row>
    <row r="40" spans="1:9" x14ac:dyDescent="0.2">
      <c r="A40" s="151" t="s">
        <v>111</v>
      </c>
      <c r="B40" s="71" t="s">
        <v>560</v>
      </c>
      <c r="C40" s="430"/>
      <c r="D40" s="71"/>
      <c r="E40" s="71" t="s">
        <v>1920</v>
      </c>
      <c r="F40" s="625"/>
      <c r="G40" s="28">
        <v>1</v>
      </c>
      <c r="H40" s="546"/>
      <c r="I40" s="547">
        <f t="shared" si="0"/>
        <v>0</v>
      </c>
    </row>
    <row r="41" spans="1:9" x14ac:dyDescent="0.2">
      <c r="A41" s="151" t="s">
        <v>6</v>
      </c>
      <c r="B41" s="71" t="s">
        <v>91</v>
      </c>
      <c r="C41" s="430"/>
      <c r="D41" s="71"/>
      <c r="E41" s="71" t="s">
        <v>1920</v>
      </c>
      <c r="F41" s="625"/>
      <c r="G41" s="28">
        <v>4</v>
      </c>
      <c r="H41" s="546"/>
      <c r="I41" s="547">
        <f t="shared" si="0"/>
        <v>0</v>
      </c>
    </row>
    <row r="42" spans="1:9" x14ac:dyDescent="0.2">
      <c r="A42" s="151" t="s">
        <v>202</v>
      </c>
      <c r="B42" s="71" t="s">
        <v>260</v>
      </c>
      <c r="C42" s="430"/>
      <c r="D42" s="71"/>
      <c r="E42" s="71" t="s">
        <v>1920</v>
      </c>
      <c r="F42" s="625"/>
      <c r="G42" s="28">
        <v>1</v>
      </c>
      <c r="H42" s="546"/>
      <c r="I42" s="547">
        <f t="shared" si="0"/>
        <v>0</v>
      </c>
    </row>
    <row r="43" spans="1:9" x14ac:dyDescent="0.2">
      <c r="A43" s="151" t="s">
        <v>1259</v>
      </c>
      <c r="B43" s="71" t="s">
        <v>615</v>
      </c>
      <c r="C43" s="430"/>
      <c r="D43" s="71"/>
      <c r="E43" s="71" t="s">
        <v>1920</v>
      </c>
      <c r="F43" s="625"/>
      <c r="G43" s="28">
        <v>2</v>
      </c>
      <c r="H43" s="546"/>
      <c r="I43" s="547">
        <f t="shared" si="0"/>
        <v>0</v>
      </c>
    </row>
    <row r="44" spans="1:9" x14ac:dyDescent="0.2">
      <c r="A44" s="151" t="s">
        <v>1208</v>
      </c>
      <c r="B44" s="71" t="s">
        <v>942</v>
      </c>
      <c r="C44" s="430"/>
      <c r="D44" s="71"/>
      <c r="E44" s="71" t="s">
        <v>1920</v>
      </c>
      <c r="F44" s="625"/>
      <c r="G44" s="28">
        <v>4</v>
      </c>
      <c r="H44" s="546"/>
      <c r="I44" s="547">
        <f t="shared" si="0"/>
        <v>0</v>
      </c>
    </row>
    <row r="45" spans="1:9" x14ac:dyDescent="0.2">
      <c r="A45" s="151" t="s">
        <v>1064</v>
      </c>
      <c r="B45" s="71" t="s">
        <v>112</v>
      </c>
      <c r="C45" s="430"/>
      <c r="D45" s="71"/>
      <c r="E45" s="71" t="s">
        <v>1920</v>
      </c>
      <c r="F45" s="625"/>
      <c r="G45" s="28">
        <v>1</v>
      </c>
      <c r="H45" s="546"/>
      <c r="I45" s="547">
        <f t="shared" si="0"/>
        <v>0</v>
      </c>
    </row>
    <row r="46" spans="1:9" x14ac:dyDescent="0.2">
      <c r="A46" s="151" t="s">
        <v>1472</v>
      </c>
      <c r="B46" s="71" t="s">
        <v>1991</v>
      </c>
      <c r="C46" s="430"/>
      <c r="D46" s="71"/>
      <c r="E46" s="71" t="s">
        <v>1920</v>
      </c>
      <c r="F46" s="625"/>
      <c r="G46" s="28">
        <v>1</v>
      </c>
      <c r="H46" s="546"/>
      <c r="I46" s="547">
        <f t="shared" si="0"/>
        <v>0</v>
      </c>
    </row>
    <row r="47" spans="1:9" x14ac:dyDescent="0.2">
      <c r="A47" s="151" t="s">
        <v>196</v>
      </c>
      <c r="B47" s="71" t="s">
        <v>884</v>
      </c>
      <c r="C47" s="430"/>
      <c r="D47" s="71"/>
      <c r="E47" s="71" t="s">
        <v>1920</v>
      </c>
      <c r="F47" s="625"/>
      <c r="G47" s="28">
        <v>1</v>
      </c>
      <c r="H47" s="546"/>
      <c r="I47" s="547">
        <f t="shared" si="0"/>
        <v>0</v>
      </c>
    </row>
    <row r="48" spans="1:9" x14ac:dyDescent="0.2">
      <c r="A48" s="151" t="s">
        <v>180</v>
      </c>
      <c r="B48" s="71" t="s">
        <v>479</v>
      </c>
      <c r="C48" s="430"/>
      <c r="D48" s="71"/>
      <c r="E48" s="71" t="s">
        <v>1920</v>
      </c>
      <c r="F48" s="625"/>
      <c r="G48" s="28">
        <v>1</v>
      </c>
      <c r="H48" s="546"/>
      <c r="I48" s="547">
        <f t="shared" si="0"/>
        <v>0</v>
      </c>
    </row>
    <row r="49" spans="1:9" x14ac:dyDescent="0.2">
      <c r="A49" s="151" t="s">
        <v>1393</v>
      </c>
      <c r="B49" s="71" t="s">
        <v>653</v>
      </c>
      <c r="C49" s="430"/>
      <c r="D49" s="71"/>
      <c r="E49" s="71" t="s">
        <v>1920</v>
      </c>
      <c r="F49" s="625"/>
      <c r="G49" s="28">
        <v>1</v>
      </c>
      <c r="H49" s="546"/>
      <c r="I49" s="547">
        <f t="shared" si="0"/>
        <v>0</v>
      </c>
    </row>
    <row r="50" spans="1:9" x14ac:dyDescent="0.2">
      <c r="A50" s="151" t="s">
        <v>55</v>
      </c>
      <c r="B50" s="71" t="s">
        <v>524</v>
      </c>
      <c r="C50" s="430"/>
      <c r="D50" s="71"/>
      <c r="E50" s="71" t="s">
        <v>1920</v>
      </c>
      <c r="F50" s="625"/>
      <c r="G50" s="28">
        <v>1</v>
      </c>
      <c r="H50" s="546"/>
      <c r="I50" s="547">
        <f t="shared" si="0"/>
        <v>0</v>
      </c>
    </row>
    <row r="51" spans="1:9" x14ac:dyDescent="0.2">
      <c r="A51" s="151" t="s">
        <v>161</v>
      </c>
      <c r="B51" s="71" t="s">
        <v>774</v>
      </c>
      <c r="C51" s="430"/>
      <c r="D51" s="71"/>
      <c r="E51" s="71" t="s">
        <v>1920</v>
      </c>
      <c r="F51" s="625"/>
      <c r="G51" s="28">
        <v>1</v>
      </c>
      <c r="H51" s="546"/>
      <c r="I51" s="547">
        <f t="shared" si="0"/>
        <v>0</v>
      </c>
    </row>
    <row r="52" spans="1:9" x14ac:dyDescent="0.2">
      <c r="A52" s="151" t="s">
        <v>3260</v>
      </c>
      <c r="B52" s="71" t="s">
        <v>480</v>
      </c>
      <c r="C52" s="430"/>
      <c r="D52" s="71"/>
      <c r="E52" s="71" t="s">
        <v>1920</v>
      </c>
      <c r="F52" s="625"/>
      <c r="G52" s="28">
        <v>1</v>
      </c>
      <c r="H52" s="546"/>
      <c r="I52" s="547">
        <f t="shared" si="0"/>
        <v>0</v>
      </c>
    </row>
    <row r="53" spans="1:9" x14ac:dyDescent="0.2">
      <c r="A53" s="151" t="s">
        <v>3257</v>
      </c>
      <c r="B53" s="71" t="s">
        <v>888</v>
      </c>
      <c r="C53" s="430"/>
      <c r="D53" s="71"/>
      <c r="E53" s="71" t="s">
        <v>1920</v>
      </c>
      <c r="F53" s="625"/>
      <c r="G53" s="28">
        <v>1</v>
      </c>
      <c r="H53" s="546"/>
      <c r="I53" s="547">
        <f t="shared" si="0"/>
        <v>0</v>
      </c>
    </row>
    <row r="54" spans="1:9" x14ac:dyDescent="0.2">
      <c r="A54" s="151" t="s">
        <v>1482</v>
      </c>
      <c r="B54" s="71" t="s">
        <v>654</v>
      </c>
      <c r="C54" s="430"/>
      <c r="D54" s="71"/>
      <c r="E54" s="71" t="s">
        <v>1920</v>
      </c>
      <c r="F54" s="625"/>
      <c r="G54" s="28">
        <v>1</v>
      </c>
      <c r="H54" s="546"/>
      <c r="I54" s="547">
        <f t="shared" si="0"/>
        <v>0</v>
      </c>
    </row>
    <row r="55" spans="1:9" x14ac:dyDescent="0.2">
      <c r="A55" s="151" t="s">
        <v>1485</v>
      </c>
      <c r="B55" s="71" t="s">
        <v>794</v>
      </c>
      <c r="C55" s="430"/>
      <c r="D55" s="71" t="s">
        <v>1878</v>
      </c>
      <c r="E55" s="71" t="s">
        <v>1950</v>
      </c>
      <c r="F55" s="625"/>
      <c r="G55" s="28">
        <v>1</v>
      </c>
      <c r="H55" s="546"/>
      <c r="I55" s="547">
        <f t="shared" si="0"/>
        <v>0</v>
      </c>
    </row>
    <row r="56" spans="1:9" x14ac:dyDescent="0.2">
      <c r="A56" s="151" t="s">
        <v>2857</v>
      </c>
      <c r="B56" s="71" t="s">
        <v>2850</v>
      </c>
      <c r="C56" s="430"/>
      <c r="D56" s="71"/>
      <c r="E56" s="71" t="s">
        <v>1928</v>
      </c>
      <c r="F56" s="625"/>
      <c r="G56" s="28">
        <v>1</v>
      </c>
      <c r="H56" s="546"/>
      <c r="I56" s="547">
        <f t="shared" si="0"/>
        <v>0</v>
      </c>
    </row>
    <row r="57" spans="1:9" x14ac:dyDescent="0.2">
      <c r="A57" s="151" t="s">
        <v>1257</v>
      </c>
      <c r="B57" s="71" t="s">
        <v>319</v>
      </c>
      <c r="C57" s="430"/>
      <c r="D57" s="71"/>
      <c r="E57" s="71" t="s">
        <v>1920</v>
      </c>
      <c r="F57" s="625"/>
      <c r="G57" s="28">
        <v>1</v>
      </c>
      <c r="H57" s="546"/>
      <c r="I57" s="547">
        <f t="shared" si="0"/>
        <v>0</v>
      </c>
    </row>
    <row r="58" spans="1:9" x14ac:dyDescent="0.2">
      <c r="A58" s="151" t="s">
        <v>1256</v>
      </c>
      <c r="B58" s="71" t="s">
        <v>321</v>
      </c>
      <c r="C58" s="430"/>
      <c r="D58" s="71"/>
      <c r="E58" s="71" t="s">
        <v>1920</v>
      </c>
      <c r="F58" s="625"/>
      <c r="G58" s="28">
        <v>1</v>
      </c>
      <c r="H58" s="546"/>
      <c r="I58" s="547">
        <f t="shared" si="0"/>
        <v>0</v>
      </c>
    </row>
    <row r="59" spans="1:9" x14ac:dyDescent="0.2">
      <c r="A59" s="151" t="s">
        <v>1184</v>
      </c>
      <c r="B59" s="71" t="s">
        <v>327</v>
      </c>
      <c r="C59" s="430"/>
      <c r="D59" s="71"/>
      <c r="E59" s="71" t="s">
        <v>1920</v>
      </c>
      <c r="F59" s="625"/>
      <c r="G59" s="28">
        <v>1</v>
      </c>
      <c r="H59" s="546"/>
      <c r="I59" s="547">
        <f t="shared" si="0"/>
        <v>0</v>
      </c>
    </row>
    <row r="60" spans="1:9" x14ac:dyDescent="0.2">
      <c r="A60" s="151" t="s">
        <v>1186</v>
      </c>
      <c r="B60" s="71" t="s">
        <v>328</v>
      </c>
      <c r="C60" s="430"/>
      <c r="D60" s="71"/>
      <c r="E60" s="71" t="s">
        <v>1920</v>
      </c>
      <c r="F60" s="625"/>
      <c r="G60" s="28">
        <v>1</v>
      </c>
      <c r="H60" s="546"/>
      <c r="I60" s="547">
        <f t="shared" si="0"/>
        <v>0</v>
      </c>
    </row>
    <row r="61" spans="1:9" x14ac:dyDescent="0.2">
      <c r="A61" s="253" t="s">
        <v>3250</v>
      </c>
      <c r="B61" s="71" t="s">
        <v>318</v>
      </c>
      <c r="C61" s="430"/>
      <c r="D61" s="71"/>
      <c r="E61" s="71" t="s">
        <v>1920</v>
      </c>
      <c r="F61" s="625"/>
      <c r="G61" s="28">
        <v>1</v>
      </c>
      <c r="H61" s="546"/>
      <c r="I61" s="547">
        <f t="shared" si="0"/>
        <v>0</v>
      </c>
    </row>
    <row r="62" spans="1:9" x14ac:dyDescent="0.2">
      <c r="A62" s="253" t="s">
        <v>1181</v>
      </c>
      <c r="B62" s="71" t="s">
        <v>199</v>
      </c>
      <c r="C62" s="430"/>
      <c r="D62" s="71"/>
      <c r="E62" s="71" t="s">
        <v>1920</v>
      </c>
      <c r="F62" s="625"/>
      <c r="G62" s="28">
        <v>1</v>
      </c>
      <c r="H62" s="546"/>
      <c r="I62" s="547">
        <f t="shared" si="0"/>
        <v>0</v>
      </c>
    </row>
    <row r="63" spans="1:9" ht="15" customHeight="1" x14ac:dyDescent="0.2">
      <c r="A63" s="151" t="s">
        <v>1054</v>
      </c>
      <c r="B63" s="71" t="s">
        <v>326</v>
      </c>
      <c r="C63" s="430"/>
      <c r="D63" s="71"/>
      <c r="E63" s="71" t="s">
        <v>1920</v>
      </c>
      <c r="F63" s="625"/>
      <c r="G63" s="28">
        <v>1</v>
      </c>
      <c r="H63" s="546"/>
      <c r="I63" s="547">
        <f t="shared" si="0"/>
        <v>0</v>
      </c>
    </row>
    <row r="64" spans="1:9" x14ac:dyDescent="0.2">
      <c r="A64" s="151" t="s">
        <v>2230</v>
      </c>
      <c r="B64" s="71" t="s">
        <v>325</v>
      </c>
      <c r="C64" s="430"/>
      <c r="D64" s="71"/>
      <c r="E64" s="71" t="s">
        <v>1920</v>
      </c>
      <c r="F64" s="625"/>
      <c r="G64" s="28">
        <v>1</v>
      </c>
      <c r="H64" s="546"/>
      <c r="I64" s="547">
        <f t="shared" si="0"/>
        <v>0</v>
      </c>
    </row>
    <row r="65" spans="1:9" x14ac:dyDescent="0.2">
      <c r="A65" s="151" t="s">
        <v>2879</v>
      </c>
      <c r="B65" s="71" t="s">
        <v>329</v>
      </c>
      <c r="C65" s="430"/>
      <c r="D65" s="71"/>
      <c r="E65" s="71" t="s">
        <v>1920</v>
      </c>
      <c r="F65" s="625"/>
      <c r="G65" s="28">
        <v>1</v>
      </c>
      <c r="H65" s="546"/>
      <c r="I65" s="547">
        <f t="shared" si="0"/>
        <v>0</v>
      </c>
    </row>
    <row r="66" spans="1:9" x14ac:dyDescent="0.2">
      <c r="A66" s="151" t="s">
        <v>2234</v>
      </c>
      <c r="B66" s="71" t="s">
        <v>119</v>
      </c>
      <c r="C66" s="430"/>
      <c r="D66" s="71"/>
      <c r="E66" s="71" t="s">
        <v>1920</v>
      </c>
      <c r="F66" s="625"/>
      <c r="G66" s="28">
        <v>1</v>
      </c>
      <c r="H66" s="546"/>
      <c r="I66" s="547">
        <f t="shared" si="0"/>
        <v>0</v>
      </c>
    </row>
    <row r="67" spans="1:9" ht="15" customHeight="1" x14ac:dyDescent="0.2">
      <c r="A67" s="151" t="s">
        <v>167</v>
      </c>
      <c r="B67" s="71" t="s">
        <v>323</v>
      </c>
      <c r="C67" s="430"/>
      <c r="D67" s="71"/>
      <c r="E67" s="71" t="s">
        <v>1920</v>
      </c>
      <c r="F67" s="625"/>
      <c r="G67" s="28">
        <v>1</v>
      </c>
      <c r="H67" s="546"/>
      <c r="I67" s="547">
        <f t="shared" si="0"/>
        <v>0</v>
      </c>
    </row>
    <row r="68" spans="1:9" x14ac:dyDescent="0.2">
      <c r="A68" s="151" t="s">
        <v>1069</v>
      </c>
      <c r="B68" s="71" t="s">
        <v>496</v>
      </c>
      <c r="C68" s="430"/>
      <c r="D68" s="71"/>
      <c r="E68" s="71" t="s">
        <v>1920</v>
      </c>
      <c r="F68" s="625"/>
      <c r="G68" s="28">
        <v>1</v>
      </c>
      <c r="H68" s="546"/>
      <c r="I68" s="547">
        <f t="shared" ref="I68:I131" si="1">+G68*H68</f>
        <v>0</v>
      </c>
    </row>
    <row r="69" spans="1:9" x14ac:dyDescent="0.2">
      <c r="A69" s="151" t="s">
        <v>1204</v>
      </c>
      <c r="B69" s="71" t="s">
        <v>352</v>
      </c>
      <c r="C69" s="430"/>
      <c r="D69" s="71"/>
      <c r="E69" s="71" t="s">
        <v>1920</v>
      </c>
      <c r="F69" s="625"/>
      <c r="G69" s="28">
        <v>1</v>
      </c>
      <c r="H69" s="546"/>
      <c r="I69" s="547">
        <f t="shared" si="1"/>
        <v>0</v>
      </c>
    </row>
    <row r="70" spans="1:9" x14ac:dyDescent="0.2">
      <c r="A70" s="151" t="s">
        <v>1055</v>
      </c>
      <c r="B70" s="71" t="s">
        <v>347</v>
      </c>
      <c r="C70" s="430"/>
      <c r="D70" s="71"/>
      <c r="E70" s="71" t="s">
        <v>1920</v>
      </c>
      <c r="F70" s="625"/>
      <c r="G70" s="28">
        <v>1</v>
      </c>
      <c r="H70" s="546"/>
      <c r="I70" s="547">
        <f t="shared" si="1"/>
        <v>0</v>
      </c>
    </row>
    <row r="71" spans="1:9" x14ac:dyDescent="0.2">
      <c r="A71" s="151" t="s">
        <v>14</v>
      </c>
      <c r="B71" s="71" t="s">
        <v>472</v>
      </c>
      <c r="C71" s="430"/>
      <c r="D71" s="71"/>
      <c r="E71" s="71" t="s">
        <v>1971</v>
      </c>
      <c r="F71" s="625"/>
      <c r="G71" s="28">
        <v>2</v>
      </c>
      <c r="H71" s="546"/>
      <c r="I71" s="547">
        <f t="shared" si="1"/>
        <v>0</v>
      </c>
    </row>
    <row r="72" spans="1:9" x14ac:dyDescent="0.2">
      <c r="A72" s="151" t="s">
        <v>1517</v>
      </c>
      <c r="B72" s="71" t="s">
        <v>955</v>
      </c>
      <c r="C72" s="430"/>
      <c r="D72" s="71"/>
      <c r="E72" s="71" t="s">
        <v>1920</v>
      </c>
      <c r="F72" s="625"/>
      <c r="G72" s="28">
        <v>2</v>
      </c>
      <c r="H72" s="546"/>
      <c r="I72" s="547">
        <f t="shared" si="1"/>
        <v>0</v>
      </c>
    </row>
    <row r="73" spans="1:9" x14ac:dyDescent="0.2">
      <c r="A73" s="151" t="s">
        <v>1562</v>
      </c>
      <c r="B73" s="71" t="s">
        <v>652</v>
      </c>
      <c r="C73" s="430"/>
      <c r="D73" s="71"/>
      <c r="E73" s="71" t="s">
        <v>1920</v>
      </c>
      <c r="F73" s="625"/>
      <c r="G73" s="28">
        <v>1</v>
      </c>
      <c r="H73" s="546"/>
      <c r="I73" s="547">
        <f t="shared" si="1"/>
        <v>0</v>
      </c>
    </row>
    <row r="74" spans="1:9" x14ac:dyDescent="0.2">
      <c r="A74" s="151" t="s">
        <v>1563</v>
      </c>
      <c r="B74" s="71" t="s">
        <v>513</v>
      </c>
      <c r="C74" s="430"/>
      <c r="D74" s="71"/>
      <c r="E74" s="71" t="s">
        <v>1920</v>
      </c>
      <c r="F74" s="625"/>
      <c r="G74" s="28">
        <v>1</v>
      </c>
      <c r="H74" s="546"/>
      <c r="I74" s="547">
        <f t="shared" si="1"/>
        <v>0</v>
      </c>
    </row>
    <row r="75" spans="1:9" x14ac:dyDescent="0.2">
      <c r="A75" s="151" t="s">
        <v>1564</v>
      </c>
      <c r="B75" s="71" t="s">
        <v>647</v>
      </c>
      <c r="C75" s="430"/>
      <c r="D75" s="71"/>
      <c r="E75" s="71" t="s">
        <v>1920</v>
      </c>
      <c r="F75" s="625"/>
      <c r="G75" s="28">
        <v>1</v>
      </c>
      <c r="H75" s="546"/>
      <c r="I75" s="547">
        <f t="shared" si="1"/>
        <v>0</v>
      </c>
    </row>
    <row r="76" spans="1:9" ht="15" customHeight="1" x14ac:dyDescent="0.2">
      <c r="A76" s="151" t="s">
        <v>1565</v>
      </c>
      <c r="B76" s="71" t="s">
        <v>648</v>
      </c>
      <c r="C76" s="430"/>
      <c r="D76" s="71"/>
      <c r="E76" s="71" t="s">
        <v>1920</v>
      </c>
      <c r="F76" s="625"/>
      <c r="G76" s="28">
        <v>1</v>
      </c>
      <c r="H76" s="546"/>
      <c r="I76" s="547">
        <f t="shared" si="1"/>
        <v>0</v>
      </c>
    </row>
    <row r="77" spans="1:9" x14ac:dyDescent="0.2">
      <c r="A77" s="151" t="s">
        <v>1566</v>
      </c>
      <c r="B77" s="71" t="s">
        <v>514</v>
      </c>
      <c r="C77" s="430"/>
      <c r="D77" s="71"/>
      <c r="E77" s="71" t="s">
        <v>1920</v>
      </c>
      <c r="F77" s="625"/>
      <c r="G77" s="28">
        <v>1</v>
      </c>
      <c r="H77" s="546"/>
      <c r="I77" s="547">
        <f t="shared" si="1"/>
        <v>0</v>
      </c>
    </row>
    <row r="78" spans="1:9" ht="15" customHeight="1" x14ac:dyDescent="0.2">
      <c r="A78" s="151" t="s">
        <v>1567</v>
      </c>
      <c r="B78" s="71" t="s">
        <v>649</v>
      </c>
      <c r="C78" s="430"/>
      <c r="D78" s="71"/>
      <c r="E78" s="71" t="s">
        <v>1920</v>
      </c>
      <c r="F78" s="625"/>
      <c r="G78" s="28">
        <v>1</v>
      </c>
      <c r="H78" s="546"/>
      <c r="I78" s="547">
        <f t="shared" si="1"/>
        <v>0</v>
      </c>
    </row>
    <row r="79" spans="1:9" ht="15" customHeight="1" x14ac:dyDescent="0.2">
      <c r="A79" s="151" t="s">
        <v>1568</v>
      </c>
      <c r="B79" s="71" t="s">
        <v>650</v>
      </c>
      <c r="C79" s="430"/>
      <c r="D79" s="71"/>
      <c r="E79" s="71" t="s">
        <v>1920</v>
      </c>
      <c r="F79" s="625"/>
      <c r="G79" s="28">
        <v>1</v>
      </c>
      <c r="H79" s="546"/>
      <c r="I79" s="547">
        <f t="shared" si="1"/>
        <v>0</v>
      </c>
    </row>
    <row r="80" spans="1:9" x14ac:dyDescent="0.2">
      <c r="A80" s="151" t="s">
        <v>1569</v>
      </c>
      <c r="B80" s="71" t="s">
        <v>651</v>
      </c>
      <c r="C80" s="430"/>
      <c r="D80" s="71"/>
      <c r="E80" s="71" t="s">
        <v>1920</v>
      </c>
      <c r="F80" s="625"/>
      <c r="G80" s="28">
        <v>1</v>
      </c>
      <c r="H80" s="546"/>
      <c r="I80" s="547">
        <f t="shared" si="1"/>
        <v>0</v>
      </c>
    </row>
    <row r="81" spans="1:9" x14ac:dyDescent="0.2">
      <c r="A81" s="151" t="s">
        <v>1570</v>
      </c>
      <c r="B81" s="71" t="s">
        <v>575</v>
      </c>
      <c r="C81" s="430"/>
      <c r="D81" s="71"/>
      <c r="E81" s="71" t="s">
        <v>1920</v>
      </c>
      <c r="F81" s="625"/>
      <c r="G81" s="28">
        <v>1</v>
      </c>
      <c r="H81" s="546"/>
      <c r="I81" s="547">
        <f t="shared" si="1"/>
        <v>0</v>
      </c>
    </row>
    <row r="82" spans="1:9" x14ac:dyDescent="0.2">
      <c r="A82" s="151" t="s">
        <v>1040</v>
      </c>
      <c r="B82" s="71" t="s">
        <v>274</v>
      </c>
      <c r="C82" s="430"/>
      <c r="D82" s="71"/>
      <c r="E82" s="71" t="s">
        <v>1920</v>
      </c>
      <c r="F82" s="625"/>
      <c r="G82" s="28">
        <v>1</v>
      </c>
      <c r="H82" s="546"/>
      <c r="I82" s="547">
        <f t="shared" si="1"/>
        <v>0</v>
      </c>
    </row>
    <row r="83" spans="1:9" x14ac:dyDescent="0.2">
      <c r="A83" s="151" t="s">
        <v>3199</v>
      </c>
      <c r="B83" s="71" t="s">
        <v>253</v>
      </c>
      <c r="C83" s="430"/>
      <c r="D83" s="71"/>
      <c r="E83" s="71" t="s">
        <v>1920</v>
      </c>
      <c r="F83" s="625"/>
      <c r="G83" s="28">
        <v>1</v>
      </c>
      <c r="H83" s="546"/>
      <c r="I83" s="547">
        <f t="shared" si="1"/>
        <v>0</v>
      </c>
    </row>
    <row r="84" spans="1:9" x14ac:dyDescent="0.2">
      <c r="A84" s="151" t="s">
        <v>1685</v>
      </c>
      <c r="B84" s="71" t="s">
        <v>956</v>
      </c>
      <c r="C84" s="430"/>
      <c r="D84" s="71"/>
      <c r="E84" s="71" t="s">
        <v>1920</v>
      </c>
      <c r="F84" s="625"/>
      <c r="G84" s="28">
        <v>1</v>
      </c>
      <c r="H84" s="546"/>
      <c r="I84" s="547">
        <f t="shared" si="1"/>
        <v>0</v>
      </c>
    </row>
    <row r="85" spans="1:9" x14ac:dyDescent="0.2">
      <c r="A85" s="151" t="s">
        <v>1692</v>
      </c>
      <c r="B85" s="71" t="s">
        <v>958</v>
      </c>
      <c r="C85" s="430"/>
      <c r="D85" s="71"/>
      <c r="E85" s="71" t="s">
        <v>1920</v>
      </c>
      <c r="F85" s="625"/>
      <c r="G85" s="28">
        <v>1</v>
      </c>
      <c r="H85" s="546"/>
      <c r="I85" s="547">
        <f t="shared" si="1"/>
        <v>0</v>
      </c>
    </row>
    <row r="86" spans="1:9" x14ac:dyDescent="0.2">
      <c r="A86" s="151" t="s">
        <v>1693</v>
      </c>
      <c r="B86" s="71" t="s">
        <v>527</v>
      </c>
      <c r="C86" s="430"/>
      <c r="D86" s="71"/>
      <c r="E86" s="71" t="s">
        <v>1920</v>
      </c>
      <c r="F86" s="625"/>
      <c r="G86" s="28">
        <v>1</v>
      </c>
      <c r="H86" s="546"/>
      <c r="I86" s="547">
        <f t="shared" si="1"/>
        <v>0</v>
      </c>
    </row>
    <row r="87" spans="1:9" x14ac:dyDescent="0.2">
      <c r="A87" s="151" t="s">
        <v>24</v>
      </c>
      <c r="B87" s="71" t="s">
        <v>297</v>
      </c>
      <c r="C87" s="430"/>
      <c r="D87" s="71"/>
      <c r="E87" s="71" t="s">
        <v>1920</v>
      </c>
      <c r="F87" s="625"/>
      <c r="G87" s="28">
        <v>1</v>
      </c>
      <c r="H87" s="546"/>
      <c r="I87" s="547">
        <f t="shared" si="1"/>
        <v>0</v>
      </c>
    </row>
    <row r="88" spans="1:9" ht="15" customHeight="1" x14ac:dyDescent="0.2">
      <c r="A88" s="151" t="s">
        <v>1275</v>
      </c>
      <c r="B88" s="71" t="s">
        <v>478</v>
      </c>
      <c r="C88" s="430"/>
      <c r="D88" s="71"/>
      <c r="E88" s="71" t="s">
        <v>1920</v>
      </c>
      <c r="F88" s="625"/>
      <c r="G88" s="28">
        <v>1</v>
      </c>
      <c r="H88" s="546"/>
      <c r="I88" s="547">
        <f t="shared" si="1"/>
        <v>0</v>
      </c>
    </row>
    <row r="89" spans="1:9" ht="15" customHeight="1" x14ac:dyDescent="0.2">
      <c r="A89" s="151" t="s">
        <v>1250</v>
      </c>
      <c r="B89" s="71" t="s">
        <v>462</v>
      </c>
      <c r="C89" s="430"/>
      <c r="D89" s="71"/>
      <c r="E89" s="71" t="s">
        <v>1920</v>
      </c>
      <c r="F89" s="625"/>
      <c r="G89" s="28">
        <v>2</v>
      </c>
      <c r="H89" s="546"/>
      <c r="I89" s="547">
        <f t="shared" si="1"/>
        <v>0</v>
      </c>
    </row>
    <row r="90" spans="1:9" x14ac:dyDescent="0.2">
      <c r="A90" s="151" t="s">
        <v>1252</v>
      </c>
      <c r="B90" s="71" t="s">
        <v>311</v>
      </c>
      <c r="C90" s="430"/>
      <c r="D90" s="71"/>
      <c r="E90" s="71" t="s">
        <v>1920</v>
      </c>
      <c r="F90" s="625"/>
      <c r="G90" s="28">
        <v>2</v>
      </c>
      <c r="H90" s="546"/>
      <c r="I90" s="547">
        <f t="shared" si="1"/>
        <v>0</v>
      </c>
    </row>
    <row r="91" spans="1:9" x14ac:dyDescent="0.2">
      <c r="A91" s="151" t="s">
        <v>1042</v>
      </c>
      <c r="B91" s="71" t="s">
        <v>456</v>
      </c>
      <c r="C91" s="430"/>
      <c r="D91" s="71"/>
      <c r="E91" s="71" t="s">
        <v>1920</v>
      </c>
      <c r="F91" s="625"/>
      <c r="G91" s="28">
        <v>1</v>
      </c>
      <c r="H91" s="546"/>
      <c r="I91" s="547">
        <f t="shared" si="1"/>
        <v>0</v>
      </c>
    </row>
    <row r="92" spans="1:9" x14ac:dyDescent="0.2">
      <c r="A92" s="151" t="s">
        <v>1597</v>
      </c>
      <c r="B92" s="71" t="s">
        <v>793</v>
      </c>
      <c r="C92" s="430"/>
      <c r="D92" s="71"/>
      <c r="E92" s="71" t="s">
        <v>1920</v>
      </c>
      <c r="F92" s="625"/>
      <c r="G92" s="28">
        <v>1</v>
      </c>
      <c r="H92" s="546"/>
      <c r="I92" s="547">
        <f t="shared" si="1"/>
        <v>0</v>
      </c>
    </row>
    <row r="93" spans="1:9" x14ac:dyDescent="0.2">
      <c r="A93" s="151" t="s">
        <v>410</v>
      </c>
      <c r="B93" s="71" t="s">
        <v>483</v>
      </c>
      <c r="C93" s="430"/>
      <c r="D93" s="71"/>
      <c r="E93" s="71" t="s">
        <v>1920</v>
      </c>
      <c r="F93" s="625"/>
      <c r="G93" s="28">
        <v>1</v>
      </c>
      <c r="H93" s="546"/>
      <c r="I93" s="547">
        <f t="shared" si="1"/>
        <v>0</v>
      </c>
    </row>
    <row r="94" spans="1:9" x14ac:dyDescent="0.2">
      <c r="A94" s="151" t="s">
        <v>1287</v>
      </c>
      <c r="B94" s="71" t="s">
        <v>474</v>
      </c>
      <c r="C94" s="430"/>
      <c r="D94" s="71"/>
      <c r="E94" s="71" t="s">
        <v>1920</v>
      </c>
      <c r="F94" s="625"/>
      <c r="G94" s="28">
        <v>1</v>
      </c>
      <c r="H94" s="546"/>
      <c r="I94" s="547">
        <f t="shared" si="1"/>
        <v>0</v>
      </c>
    </row>
    <row r="95" spans="1:9" x14ac:dyDescent="0.2">
      <c r="A95" s="151" t="s">
        <v>2133</v>
      </c>
      <c r="B95" s="71" t="s">
        <v>2909</v>
      </c>
      <c r="C95" s="430"/>
      <c r="D95" s="71"/>
      <c r="E95" s="71">
        <v>56654</v>
      </c>
      <c r="F95" s="625"/>
      <c r="G95" s="28">
        <v>2</v>
      </c>
      <c r="H95" s="546"/>
      <c r="I95" s="547">
        <f t="shared" si="1"/>
        <v>0</v>
      </c>
    </row>
    <row r="96" spans="1:9" x14ac:dyDescent="0.2">
      <c r="A96" s="151" t="s">
        <v>1171</v>
      </c>
      <c r="B96" s="71" t="s">
        <v>441</v>
      </c>
      <c r="C96" s="430"/>
      <c r="D96" s="71"/>
      <c r="E96" s="71" t="s">
        <v>1920</v>
      </c>
      <c r="F96" s="625"/>
      <c r="G96" s="28">
        <v>2</v>
      </c>
      <c r="H96" s="546"/>
      <c r="I96" s="547">
        <f t="shared" si="1"/>
        <v>0</v>
      </c>
    </row>
    <row r="97" spans="1:9" x14ac:dyDescent="0.2">
      <c r="A97" s="151" t="s">
        <v>1172</v>
      </c>
      <c r="B97" s="71" t="s">
        <v>340</v>
      </c>
      <c r="C97" s="430"/>
      <c r="D97" s="71"/>
      <c r="E97" s="71" t="s">
        <v>1920</v>
      </c>
      <c r="F97" s="625"/>
      <c r="G97" s="28">
        <v>2</v>
      </c>
      <c r="H97" s="546"/>
      <c r="I97" s="547">
        <f t="shared" si="1"/>
        <v>0</v>
      </c>
    </row>
    <row r="98" spans="1:9" x14ac:dyDescent="0.2">
      <c r="A98" s="151" t="s">
        <v>2748</v>
      </c>
      <c r="B98" s="71" t="s">
        <v>2749</v>
      </c>
      <c r="C98" s="430"/>
      <c r="D98" s="71"/>
      <c r="E98" s="71" t="s">
        <v>1975</v>
      </c>
      <c r="F98" s="625"/>
      <c r="G98" s="28">
        <v>1</v>
      </c>
      <c r="H98" s="546"/>
      <c r="I98" s="547">
        <f t="shared" si="1"/>
        <v>0</v>
      </c>
    </row>
    <row r="99" spans="1:9" x14ac:dyDescent="0.2">
      <c r="A99" s="151" t="s">
        <v>9</v>
      </c>
      <c r="B99" s="71" t="s">
        <v>375</v>
      </c>
      <c r="C99" s="430"/>
      <c r="D99" s="71"/>
      <c r="E99" s="71" t="s">
        <v>1920</v>
      </c>
      <c r="F99" s="625"/>
      <c r="G99" s="28">
        <v>1</v>
      </c>
      <c r="H99" s="546"/>
      <c r="I99" s="547">
        <f t="shared" si="1"/>
        <v>0</v>
      </c>
    </row>
    <row r="100" spans="1:9" x14ac:dyDescent="0.2">
      <c r="A100" s="151" t="s">
        <v>195</v>
      </c>
      <c r="B100" s="71" t="s">
        <v>1984</v>
      </c>
      <c r="C100" s="430"/>
      <c r="D100" s="71"/>
      <c r="E100" s="71" t="s">
        <v>1920</v>
      </c>
      <c r="F100" s="625"/>
      <c r="G100" s="28">
        <v>2</v>
      </c>
      <c r="H100" s="546"/>
      <c r="I100" s="547">
        <f t="shared" si="1"/>
        <v>0</v>
      </c>
    </row>
    <row r="101" spans="1:9" x14ac:dyDescent="0.2">
      <c r="A101" s="151" t="s">
        <v>1085</v>
      </c>
      <c r="B101" s="71" t="s">
        <v>92</v>
      </c>
      <c r="C101" s="430"/>
      <c r="D101" s="71"/>
      <c r="E101" s="71" t="s">
        <v>1920</v>
      </c>
      <c r="F101" s="625"/>
      <c r="G101" s="28">
        <v>2</v>
      </c>
      <c r="H101" s="546"/>
      <c r="I101" s="547">
        <f t="shared" si="1"/>
        <v>0</v>
      </c>
    </row>
    <row r="102" spans="1:9" x14ac:dyDescent="0.2">
      <c r="A102" s="151" t="s">
        <v>2865</v>
      </c>
      <c r="B102" s="71" t="s">
        <v>2870</v>
      </c>
      <c r="C102" s="430"/>
      <c r="D102" s="71"/>
      <c r="E102" s="71">
        <v>99532</v>
      </c>
      <c r="F102" s="625"/>
      <c r="G102" s="28">
        <v>1</v>
      </c>
      <c r="H102" s="546"/>
      <c r="I102" s="547">
        <f t="shared" si="1"/>
        <v>0</v>
      </c>
    </row>
    <row r="103" spans="1:9" x14ac:dyDescent="0.2">
      <c r="A103" s="151" t="s">
        <v>2868</v>
      </c>
      <c r="B103" s="71" t="s">
        <v>2873</v>
      </c>
      <c r="C103" s="430"/>
      <c r="D103" s="71"/>
      <c r="E103" s="71">
        <v>99532</v>
      </c>
      <c r="F103" s="625"/>
      <c r="G103" s="28">
        <v>1</v>
      </c>
      <c r="H103" s="546"/>
      <c r="I103" s="547">
        <f t="shared" si="1"/>
        <v>0</v>
      </c>
    </row>
    <row r="104" spans="1:9" x14ac:dyDescent="0.2">
      <c r="A104" s="151" t="s">
        <v>2869</v>
      </c>
      <c r="B104" s="71" t="s">
        <v>2874</v>
      </c>
      <c r="C104" s="430"/>
      <c r="D104" s="71"/>
      <c r="E104" s="71">
        <v>99532</v>
      </c>
      <c r="F104" s="625"/>
      <c r="G104" s="28">
        <v>1</v>
      </c>
      <c r="H104" s="546"/>
      <c r="I104" s="547">
        <f t="shared" si="1"/>
        <v>0</v>
      </c>
    </row>
    <row r="105" spans="1:9" x14ac:dyDescent="0.2">
      <c r="A105" s="151" t="s">
        <v>2866</v>
      </c>
      <c r="B105" s="71" t="s">
        <v>2871</v>
      </c>
      <c r="C105" s="430"/>
      <c r="D105" s="71"/>
      <c r="E105" s="71">
        <v>99532</v>
      </c>
      <c r="F105" s="625"/>
      <c r="G105" s="28">
        <v>1</v>
      </c>
      <c r="H105" s="546"/>
      <c r="I105" s="547">
        <f t="shared" si="1"/>
        <v>0</v>
      </c>
    </row>
    <row r="106" spans="1:9" x14ac:dyDescent="0.2">
      <c r="A106" s="151" t="s">
        <v>2867</v>
      </c>
      <c r="B106" s="71" t="s">
        <v>2872</v>
      </c>
      <c r="C106" s="430"/>
      <c r="D106" s="71"/>
      <c r="E106" s="71">
        <v>99532</v>
      </c>
      <c r="F106" s="625"/>
      <c r="G106" s="28">
        <v>1</v>
      </c>
      <c r="H106" s="546"/>
      <c r="I106" s="547">
        <f t="shared" si="1"/>
        <v>0</v>
      </c>
    </row>
    <row r="107" spans="1:9" x14ac:dyDescent="0.2">
      <c r="A107" s="151" t="s">
        <v>30</v>
      </c>
      <c r="B107" s="71" t="s">
        <v>1825</v>
      </c>
      <c r="C107" s="430"/>
      <c r="D107" s="71"/>
      <c r="E107" s="71" t="s">
        <v>1920</v>
      </c>
      <c r="F107" s="625"/>
      <c r="G107" s="28">
        <v>1</v>
      </c>
      <c r="H107" s="546"/>
      <c r="I107" s="547">
        <f t="shared" si="1"/>
        <v>0</v>
      </c>
    </row>
    <row r="108" spans="1:9" x14ac:dyDescent="0.2">
      <c r="A108" s="151" t="s">
        <v>29</v>
      </c>
      <c r="B108" s="71" t="s">
        <v>2758</v>
      </c>
      <c r="C108" s="430"/>
      <c r="D108" s="71"/>
      <c r="E108" s="71" t="s">
        <v>1920</v>
      </c>
      <c r="F108" s="625"/>
      <c r="G108" s="28">
        <v>1</v>
      </c>
      <c r="H108" s="546"/>
      <c r="I108" s="547">
        <f t="shared" si="1"/>
        <v>0</v>
      </c>
    </row>
    <row r="109" spans="1:9" x14ac:dyDescent="0.2">
      <c r="A109" s="151" t="s">
        <v>1233</v>
      </c>
      <c r="B109" s="71" t="s">
        <v>1824</v>
      </c>
      <c r="C109" s="430"/>
      <c r="D109" s="71"/>
      <c r="E109" s="71" t="s">
        <v>1920</v>
      </c>
      <c r="F109" s="625"/>
      <c r="G109" s="28">
        <v>1</v>
      </c>
      <c r="H109" s="546"/>
      <c r="I109" s="547">
        <f t="shared" si="1"/>
        <v>0</v>
      </c>
    </row>
    <row r="110" spans="1:9" x14ac:dyDescent="0.2">
      <c r="A110" s="151" t="s">
        <v>1086</v>
      </c>
      <c r="B110" s="71" t="s">
        <v>70</v>
      </c>
      <c r="C110" s="430"/>
      <c r="D110" s="71"/>
      <c r="E110" s="71" t="s">
        <v>1920</v>
      </c>
      <c r="F110" s="625"/>
      <c r="G110" s="28">
        <v>1</v>
      </c>
      <c r="H110" s="546"/>
      <c r="I110" s="547">
        <f t="shared" si="1"/>
        <v>0</v>
      </c>
    </row>
    <row r="111" spans="1:9" x14ac:dyDescent="0.2">
      <c r="A111" s="151" t="s">
        <v>1236</v>
      </c>
      <c r="B111" s="71" t="s">
        <v>77</v>
      </c>
      <c r="C111" s="430"/>
      <c r="D111" s="71"/>
      <c r="E111" s="71" t="s">
        <v>1920</v>
      </c>
      <c r="F111" s="625"/>
      <c r="G111" s="28">
        <v>1</v>
      </c>
      <c r="H111" s="546"/>
      <c r="I111" s="547">
        <f t="shared" si="1"/>
        <v>0</v>
      </c>
    </row>
    <row r="112" spans="1:9" x14ac:dyDescent="0.2">
      <c r="A112" s="151" t="s">
        <v>1235</v>
      </c>
      <c r="B112" s="71" t="s">
        <v>78</v>
      </c>
      <c r="C112" s="430"/>
      <c r="D112" s="71"/>
      <c r="E112" s="71" t="s">
        <v>1920</v>
      </c>
      <c r="F112" s="625"/>
      <c r="G112" s="28">
        <v>3</v>
      </c>
      <c r="H112" s="546"/>
      <c r="I112" s="547">
        <f t="shared" si="1"/>
        <v>0</v>
      </c>
    </row>
    <row r="113" spans="1:9" x14ac:dyDescent="0.2">
      <c r="A113" s="151" t="s">
        <v>1237</v>
      </c>
      <c r="B113" s="71" t="s">
        <v>306</v>
      </c>
      <c r="C113" s="430"/>
      <c r="D113" s="71"/>
      <c r="E113" s="71" t="s">
        <v>1920</v>
      </c>
      <c r="F113" s="625"/>
      <c r="G113" s="28">
        <v>3</v>
      </c>
      <c r="H113" s="546"/>
      <c r="I113" s="547">
        <f t="shared" si="1"/>
        <v>0</v>
      </c>
    </row>
    <row r="114" spans="1:9" x14ac:dyDescent="0.2">
      <c r="A114" s="151" t="s">
        <v>1345</v>
      </c>
      <c r="B114" s="71" t="s">
        <v>79</v>
      </c>
      <c r="C114" s="430"/>
      <c r="D114" s="71"/>
      <c r="E114" s="71" t="s">
        <v>1920</v>
      </c>
      <c r="F114" s="625"/>
      <c r="G114" s="28">
        <v>1</v>
      </c>
      <c r="H114" s="546"/>
      <c r="I114" s="547">
        <f t="shared" si="1"/>
        <v>0</v>
      </c>
    </row>
    <row r="115" spans="1:9" x14ac:dyDescent="0.2">
      <c r="A115" s="151" t="s">
        <v>15</v>
      </c>
      <c r="B115" s="71" t="s">
        <v>380</v>
      </c>
      <c r="C115" s="430"/>
      <c r="D115" s="71"/>
      <c r="E115" s="71" t="s">
        <v>1920</v>
      </c>
      <c r="F115" s="625"/>
      <c r="G115" s="28">
        <v>1</v>
      </c>
      <c r="H115" s="546"/>
      <c r="I115" s="547">
        <f t="shared" si="1"/>
        <v>0</v>
      </c>
    </row>
    <row r="116" spans="1:9" x14ac:dyDescent="0.2">
      <c r="A116" s="151" t="s">
        <v>37</v>
      </c>
      <c r="B116" s="71" t="s">
        <v>38</v>
      </c>
      <c r="C116" s="430"/>
      <c r="D116" s="71"/>
      <c r="E116" s="71" t="s">
        <v>1920</v>
      </c>
      <c r="F116" s="625"/>
      <c r="G116" s="28">
        <v>1</v>
      </c>
      <c r="H116" s="546"/>
      <c r="I116" s="547">
        <f t="shared" si="1"/>
        <v>0</v>
      </c>
    </row>
    <row r="117" spans="1:9" x14ac:dyDescent="0.2">
      <c r="A117" s="151" t="s">
        <v>205</v>
      </c>
      <c r="B117" s="71" t="s">
        <v>206</v>
      </c>
      <c r="C117" s="430"/>
      <c r="D117" s="71"/>
      <c r="E117" s="71" t="s">
        <v>1920</v>
      </c>
      <c r="F117" s="625"/>
      <c r="G117" s="28">
        <v>1</v>
      </c>
      <c r="H117" s="546"/>
      <c r="I117" s="547">
        <f t="shared" si="1"/>
        <v>0</v>
      </c>
    </row>
    <row r="118" spans="1:9" x14ac:dyDescent="0.2">
      <c r="A118" s="151" t="s">
        <v>1036</v>
      </c>
      <c r="B118" s="71" t="s">
        <v>468</v>
      </c>
      <c r="C118" s="430"/>
      <c r="D118" s="71"/>
      <c r="E118" s="71" t="s">
        <v>1920</v>
      </c>
      <c r="F118" s="625"/>
      <c r="G118" s="28">
        <v>1</v>
      </c>
      <c r="H118" s="546"/>
      <c r="I118" s="547">
        <f t="shared" si="1"/>
        <v>0</v>
      </c>
    </row>
    <row r="119" spans="1:9" x14ac:dyDescent="0.2">
      <c r="A119" s="151" t="s">
        <v>10</v>
      </c>
      <c r="B119" s="71" t="s">
        <v>469</v>
      </c>
      <c r="C119" s="430"/>
      <c r="D119" s="71"/>
      <c r="E119" s="71" t="s">
        <v>1920</v>
      </c>
      <c r="F119" s="625"/>
      <c r="G119" s="28">
        <v>1</v>
      </c>
      <c r="H119" s="546"/>
      <c r="I119" s="547">
        <f t="shared" si="1"/>
        <v>0</v>
      </c>
    </row>
    <row r="120" spans="1:9" x14ac:dyDescent="0.2">
      <c r="A120" s="151" t="s">
        <v>3026</v>
      </c>
      <c r="B120" s="71" t="s">
        <v>3012</v>
      </c>
      <c r="C120" s="430"/>
      <c r="D120" s="71"/>
      <c r="E120" s="71" t="s">
        <v>3022</v>
      </c>
      <c r="F120" s="625"/>
      <c r="G120" s="28">
        <v>1</v>
      </c>
      <c r="H120" s="546"/>
      <c r="I120" s="547">
        <f t="shared" si="1"/>
        <v>0</v>
      </c>
    </row>
    <row r="121" spans="1:9" ht="15" customHeight="1" x14ac:dyDescent="0.2">
      <c r="A121" s="151" t="s">
        <v>3023</v>
      </c>
      <c r="B121" s="71" t="s">
        <v>3016</v>
      </c>
      <c r="C121" s="430"/>
      <c r="D121" s="71"/>
      <c r="E121" s="71" t="s">
        <v>3022</v>
      </c>
      <c r="F121" s="625"/>
      <c r="G121" s="28">
        <v>1</v>
      </c>
      <c r="H121" s="546"/>
      <c r="I121" s="547">
        <f t="shared" si="1"/>
        <v>0</v>
      </c>
    </row>
    <row r="122" spans="1:9" x14ac:dyDescent="0.2">
      <c r="A122" s="151" t="s">
        <v>3024</v>
      </c>
      <c r="B122" s="71" t="s">
        <v>3015</v>
      </c>
      <c r="C122" s="430"/>
      <c r="D122" s="71"/>
      <c r="E122" s="71" t="s">
        <v>3022</v>
      </c>
      <c r="F122" s="625"/>
      <c r="G122" s="28">
        <v>1</v>
      </c>
      <c r="H122" s="546"/>
      <c r="I122" s="547">
        <f t="shared" si="1"/>
        <v>0</v>
      </c>
    </row>
    <row r="123" spans="1:9" ht="15" customHeight="1" x14ac:dyDescent="0.2">
      <c r="A123" s="151" t="s">
        <v>3027</v>
      </c>
      <c r="B123" s="71" t="s">
        <v>3014</v>
      </c>
      <c r="C123" s="430"/>
      <c r="D123" s="71"/>
      <c r="E123" s="71" t="s">
        <v>3022</v>
      </c>
      <c r="F123" s="625"/>
      <c r="G123" s="28">
        <v>1</v>
      </c>
      <c r="H123" s="546"/>
      <c r="I123" s="547">
        <f t="shared" si="1"/>
        <v>0</v>
      </c>
    </row>
    <row r="124" spans="1:9" x14ac:dyDescent="0.2">
      <c r="A124" s="151" t="s">
        <v>3025</v>
      </c>
      <c r="B124" s="71" t="s">
        <v>3013</v>
      </c>
      <c r="C124" s="430"/>
      <c r="D124" s="71"/>
      <c r="E124" s="71" t="s">
        <v>3022</v>
      </c>
      <c r="F124" s="625"/>
      <c r="G124" s="28">
        <v>1</v>
      </c>
      <c r="H124" s="546"/>
      <c r="I124" s="547">
        <f t="shared" si="1"/>
        <v>0</v>
      </c>
    </row>
    <row r="125" spans="1:9" x14ac:dyDescent="0.2">
      <c r="A125" s="151" t="s">
        <v>2922</v>
      </c>
      <c r="B125" s="71" t="s">
        <v>405</v>
      </c>
      <c r="C125" s="430"/>
      <c r="D125" s="71"/>
      <c r="E125" s="71" t="s">
        <v>1920</v>
      </c>
      <c r="F125" s="625"/>
      <c r="G125" s="28">
        <v>1</v>
      </c>
      <c r="H125" s="546"/>
      <c r="I125" s="547">
        <f t="shared" si="1"/>
        <v>0</v>
      </c>
    </row>
    <row r="126" spans="1:9" x14ac:dyDescent="0.2">
      <c r="A126" s="151" t="s">
        <v>2923</v>
      </c>
      <c r="B126" s="71" t="s">
        <v>241</v>
      </c>
      <c r="C126" s="430"/>
      <c r="D126" s="71"/>
      <c r="E126" s="71" t="s">
        <v>1920</v>
      </c>
      <c r="F126" s="625"/>
      <c r="G126" s="28">
        <v>4</v>
      </c>
      <c r="H126" s="546"/>
      <c r="I126" s="547">
        <f t="shared" si="1"/>
        <v>0</v>
      </c>
    </row>
    <row r="127" spans="1:9" x14ac:dyDescent="0.2">
      <c r="A127" s="151" t="s">
        <v>20</v>
      </c>
      <c r="B127" s="71" t="s">
        <v>287</v>
      </c>
      <c r="C127" s="430"/>
      <c r="D127" s="71"/>
      <c r="E127" s="71" t="s">
        <v>1920</v>
      </c>
      <c r="F127" s="625"/>
      <c r="G127" s="28">
        <v>2</v>
      </c>
      <c r="H127" s="546"/>
      <c r="I127" s="547">
        <f t="shared" si="1"/>
        <v>0</v>
      </c>
    </row>
    <row r="128" spans="1:9" ht="15.75" customHeight="1" x14ac:dyDescent="0.2">
      <c r="A128" s="151" t="s">
        <v>13</v>
      </c>
      <c r="B128" s="71" t="s">
        <v>471</v>
      </c>
      <c r="C128" s="430"/>
      <c r="D128" s="71"/>
      <c r="E128" s="71" t="s">
        <v>1920</v>
      </c>
      <c r="F128" s="625"/>
      <c r="G128" s="28">
        <v>1</v>
      </c>
      <c r="H128" s="546"/>
      <c r="I128" s="547">
        <f t="shared" si="1"/>
        <v>0</v>
      </c>
    </row>
    <row r="129" spans="1:9" ht="15.75" customHeight="1" x14ac:dyDescent="0.2">
      <c r="A129" s="151" t="s">
        <v>3059</v>
      </c>
      <c r="B129" s="71" t="s">
        <v>3060</v>
      </c>
      <c r="C129" s="430"/>
      <c r="D129" s="71"/>
      <c r="E129" s="71" t="s">
        <v>3022</v>
      </c>
      <c r="F129" s="625"/>
      <c r="G129" s="28">
        <v>1</v>
      </c>
      <c r="H129" s="546"/>
      <c r="I129" s="547">
        <f t="shared" si="1"/>
        <v>0</v>
      </c>
    </row>
    <row r="130" spans="1:9" ht="15.75" customHeight="1" x14ac:dyDescent="0.2">
      <c r="A130" s="246" t="s">
        <v>3080</v>
      </c>
      <c r="B130" s="71" t="s">
        <v>3081</v>
      </c>
      <c r="C130" s="430"/>
      <c r="D130" s="71"/>
      <c r="E130" s="71" t="s">
        <v>3022</v>
      </c>
      <c r="F130" s="625"/>
      <c r="G130" s="244">
        <v>1</v>
      </c>
      <c r="H130" s="551"/>
      <c r="I130" s="547">
        <f t="shared" si="1"/>
        <v>0</v>
      </c>
    </row>
    <row r="131" spans="1:9" x14ac:dyDescent="0.2">
      <c r="A131" s="151" t="s">
        <v>209</v>
      </c>
      <c r="B131" s="71" t="s">
        <v>210</v>
      </c>
      <c r="C131" s="430"/>
      <c r="D131" s="71"/>
      <c r="E131" s="71" t="s">
        <v>1920</v>
      </c>
      <c r="F131" s="625"/>
      <c r="G131" s="28">
        <v>1</v>
      </c>
      <c r="H131" s="546"/>
      <c r="I131" s="547">
        <f t="shared" si="1"/>
        <v>0</v>
      </c>
    </row>
    <row r="132" spans="1:9" x14ac:dyDescent="0.2">
      <c r="A132" s="151" t="s">
        <v>11</v>
      </c>
      <c r="B132" s="71" t="s">
        <v>278</v>
      </c>
      <c r="C132" s="430"/>
      <c r="D132" s="71"/>
      <c r="E132" s="71" t="s">
        <v>1920</v>
      </c>
      <c r="F132" s="625"/>
      <c r="G132" s="28">
        <v>1</v>
      </c>
      <c r="H132" s="546"/>
      <c r="I132" s="547">
        <f t="shared" ref="I132:I136" si="2">+G132*H132</f>
        <v>0</v>
      </c>
    </row>
    <row r="133" spans="1:9" ht="15.75" customHeight="1" x14ac:dyDescent="0.2">
      <c r="A133" s="151" t="s">
        <v>12</v>
      </c>
      <c r="B133" s="71" t="s">
        <v>171</v>
      </c>
      <c r="C133" s="430"/>
      <c r="D133" s="71"/>
      <c r="E133" s="71" t="s">
        <v>1920</v>
      </c>
      <c r="F133" s="625"/>
      <c r="G133" s="28">
        <v>1</v>
      </c>
      <c r="H133" s="546"/>
      <c r="I133" s="547">
        <f t="shared" si="2"/>
        <v>0</v>
      </c>
    </row>
    <row r="134" spans="1:9" ht="15.75" customHeight="1" x14ac:dyDescent="0.2">
      <c r="A134" s="151" t="s">
        <v>1216</v>
      </c>
      <c r="B134" s="71" t="s">
        <v>481</v>
      </c>
      <c r="C134" s="430"/>
      <c r="D134" s="71"/>
      <c r="E134" s="71" t="s">
        <v>1920</v>
      </c>
      <c r="F134" s="625"/>
      <c r="G134" s="28">
        <v>1</v>
      </c>
      <c r="H134" s="546"/>
      <c r="I134" s="547">
        <f t="shared" si="2"/>
        <v>0</v>
      </c>
    </row>
    <row r="135" spans="1:9" ht="15.75" customHeight="1" x14ac:dyDescent="0.2">
      <c r="A135" s="151" t="s">
        <v>1286</v>
      </c>
      <c r="B135" s="71" t="s">
        <v>387</v>
      </c>
      <c r="C135" s="430"/>
      <c r="D135" s="71"/>
      <c r="E135" s="71" t="s">
        <v>1920</v>
      </c>
      <c r="F135" s="625"/>
      <c r="G135" s="28">
        <v>1</v>
      </c>
      <c r="H135" s="546"/>
      <c r="I135" s="547">
        <f t="shared" si="2"/>
        <v>0</v>
      </c>
    </row>
    <row r="136" spans="1:9" x14ac:dyDescent="0.2">
      <c r="A136" s="151" t="s">
        <v>4</v>
      </c>
      <c r="B136" s="71" t="s">
        <v>90</v>
      </c>
      <c r="C136" s="430"/>
      <c r="D136" s="71"/>
      <c r="E136" s="71" t="s">
        <v>1920</v>
      </c>
      <c r="F136" s="625"/>
      <c r="G136" s="28">
        <v>2</v>
      </c>
      <c r="H136" s="546"/>
      <c r="I136" s="547">
        <f t="shared" si="2"/>
        <v>0</v>
      </c>
    </row>
    <row r="139" spans="1:9" ht="18" x14ac:dyDescent="0.25">
      <c r="A139" s="422" t="s">
        <v>1781</v>
      </c>
      <c r="B139" s="236"/>
    </row>
    <row r="140" spans="1:9" s="4" customFormat="1" ht="18" x14ac:dyDescent="0.25">
      <c r="A140" s="422" t="s">
        <v>2952</v>
      </c>
      <c r="B140" s="425"/>
      <c r="C140" s="309"/>
      <c r="D140" s="3"/>
      <c r="E140" s="3"/>
      <c r="F140" s="309"/>
      <c r="G140" s="3"/>
      <c r="H140" s="531"/>
      <c r="I140" s="541"/>
    </row>
    <row r="141" spans="1:9" ht="18" x14ac:dyDescent="0.25">
      <c r="A141" s="491" t="s">
        <v>3336</v>
      </c>
      <c r="B141" s="236"/>
    </row>
    <row r="142" spans="1:9" ht="18" x14ac:dyDescent="0.25">
      <c r="A142" s="449" t="s">
        <v>3367</v>
      </c>
      <c r="B142" s="608">
        <f>+I136</f>
        <v>0</v>
      </c>
    </row>
  </sheetData>
  <pageMargins left="0.5" right="0.5" top="0.5" bottom="0.5" header="0.3" footer="0.3"/>
  <pageSetup scale="7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29"/>
  <sheetViews>
    <sheetView workbookViewId="0">
      <pane ySplit="1" topLeftCell="A91" activePane="bottomLeft" state="frozen"/>
      <selection activeCell="C26" sqref="C26"/>
      <selection pane="bottomLeft" activeCell="G2" sqref="G2:G123"/>
    </sheetView>
  </sheetViews>
  <sheetFormatPr defaultColWidth="9.140625" defaultRowHeight="15" x14ac:dyDescent="0.2"/>
  <cols>
    <col min="1" max="1" width="63.85546875" style="16" bestFit="1" customWidth="1"/>
    <col min="2" max="2" width="15.85546875" style="17" bestFit="1" customWidth="1"/>
    <col min="3" max="3" width="21.140625" style="17" bestFit="1" customWidth="1"/>
    <col min="4" max="4" width="20.140625" style="17" bestFit="1" customWidth="1"/>
    <col min="5" max="5" width="12.42578125" style="17" bestFit="1" customWidth="1"/>
    <col min="6" max="6" width="15.5703125" style="17" bestFit="1" customWidth="1"/>
    <col min="7" max="7" width="12" style="17" customWidth="1"/>
    <col min="8" max="8" width="11.42578125" style="549" bestFit="1" customWidth="1"/>
    <col min="9" max="9" width="16.85546875" style="549" bestFit="1" customWidth="1"/>
    <col min="10" max="10" width="1.5703125" style="16" bestFit="1" customWidth="1"/>
    <col min="11" max="11" width="9.140625" style="16"/>
    <col min="12" max="12" width="3" style="16" bestFit="1" customWidth="1"/>
    <col min="13" max="16384" width="9.140625" style="16"/>
  </cols>
  <sheetData>
    <row r="1" spans="1:9" ht="15.75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13" t="s">
        <v>412</v>
      </c>
      <c r="H1" s="528" t="s">
        <v>3368</v>
      </c>
      <c r="I1" s="528" t="s">
        <v>3369</v>
      </c>
    </row>
    <row r="2" spans="1:9" x14ac:dyDescent="0.2">
      <c r="A2" s="8" t="s">
        <v>202</v>
      </c>
      <c r="B2" s="143" t="s">
        <v>260</v>
      </c>
      <c r="C2" s="430"/>
      <c r="D2" s="143"/>
      <c r="E2" s="143" t="s">
        <v>1920</v>
      </c>
      <c r="F2" s="657"/>
      <c r="G2" s="10">
        <v>1</v>
      </c>
      <c r="H2" s="546"/>
      <c r="I2" s="547">
        <f>+G2*H2</f>
        <v>0</v>
      </c>
    </row>
    <row r="3" spans="1:9" x14ac:dyDescent="0.2">
      <c r="A3" s="14" t="s">
        <v>4</v>
      </c>
      <c r="B3" s="143" t="s">
        <v>90</v>
      </c>
      <c r="C3" s="430"/>
      <c r="D3" s="143"/>
      <c r="E3" s="143" t="s">
        <v>1920</v>
      </c>
      <c r="F3" s="657"/>
      <c r="G3" s="15">
        <v>2</v>
      </c>
      <c r="H3" s="546"/>
      <c r="I3" s="547">
        <f t="shared" ref="I3:I66" si="0">+G3*H3</f>
        <v>0</v>
      </c>
    </row>
    <row r="4" spans="1:9" x14ac:dyDescent="0.2">
      <c r="A4" s="14" t="s">
        <v>6</v>
      </c>
      <c r="B4" s="143" t="s">
        <v>91</v>
      </c>
      <c r="C4" s="430"/>
      <c r="D4" s="143"/>
      <c r="E4" s="143" t="s">
        <v>1920</v>
      </c>
      <c r="F4" s="657"/>
      <c r="G4" s="15">
        <v>4</v>
      </c>
      <c r="H4" s="572"/>
      <c r="I4" s="547">
        <f t="shared" si="0"/>
        <v>0</v>
      </c>
    </row>
    <row r="5" spans="1:9" x14ac:dyDescent="0.2">
      <c r="A5" s="148" t="s">
        <v>1124</v>
      </c>
      <c r="B5" s="143">
        <v>8130015</v>
      </c>
      <c r="C5" s="430"/>
      <c r="D5" s="143"/>
      <c r="E5" s="143" t="s">
        <v>1975</v>
      </c>
      <c r="F5" s="657"/>
      <c r="G5" s="15">
        <v>2</v>
      </c>
      <c r="H5" s="546"/>
      <c r="I5" s="547">
        <f t="shared" si="0"/>
        <v>0</v>
      </c>
    </row>
    <row r="6" spans="1:9" x14ac:dyDescent="0.2">
      <c r="A6" s="148" t="s">
        <v>1125</v>
      </c>
      <c r="B6" s="143">
        <v>8130020</v>
      </c>
      <c r="C6" s="430"/>
      <c r="D6" s="143"/>
      <c r="E6" s="143" t="s">
        <v>1975</v>
      </c>
      <c r="F6" s="657"/>
      <c r="G6" s="10">
        <v>4</v>
      </c>
      <c r="H6" s="546"/>
      <c r="I6" s="547">
        <f t="shared" si="0"/>
        <v>0</v>
      </c>
    </row>
    <row r="7" spans="1:9" x14ac:dyDescent="0.2">
      <c r="A7" s="148" t="s">
        <v>1127</v>
      </c>
      <c r="B7" s="143">
        <v>8130030</v>
      </c>
      <c r="C7" s="430"/>
      <c r="D7" s="143"/>
      <c r="E7" s="143" t="s">
        <v>1975</v>
      </c>
      <c r="F7" s="657"/>
      <c r="G7" s="10">
        <v>4</v>
      </c>
      <c r="H7" s="632"/>
      <c r="I7" s="547">
        <f t="shared" si="0"/>
        <v>0</v>
      </c>
    </row>
    <row r="8" spans="1:9" ht="15" customHeight="1" x14ac:dyDescent="0.2">
      <c r="A8" s="148" t="s">
        <v>1128</v>
      </c>
      <c r="B8" s="143">
        <v>8130040</v>
      </c>
      <c r="C8" s="430"/>
      <c r="D8" s="143" t="s">
        <v>2217</v>
      </c>
      <c r="E8" s="143" t="s">
        <v>1975</v>
      </c>
      <c r="F8" s="657"/>
      <c r="G8" s="15">
        <v>4</v>
      </c>
      <c r="H8" s="632"/>
      <c r="I8" s="547">
        <f t="shared" si="0"/>
        <v>0</v>
      </c>
    </row>
    <row r="9" spans="1:9" x14ac:dyDescent="0.2">
      <c r="A9" s="8" t="s">
        <v>2868</v>
      </c>
      <c r="B9" s="71" t="s">
        <v>2873</v>
      </c>
      <c r="C9" s="430"/>
      <c r="D9" s="71"/>
      <c r="E9" s="71">
        <v>99532</v>
      </c>
      <c r="F9" s="625"/>
      <c r="G9" s="10">
        <v>1</v>
      </c>
      <c r="H9" s="572"/>
      <c r="I9" s="547">
        <f t="shared" si="0"/>
        <v>0</v>
      </c>
    </row>
    <row r="10" spans="1:9" x14ac:dyDescent="0.2">
      <c r="A10" s="8" t="s">
        <v>2869</v>
      </c>
      <c r="B10" s="71" t="s">
        <v>2874</v>
      </c>
      <c r="C10" s="430"/>
      <c r="D10" s="71"/>
      <c r="E10" s="71">
        <v>99532</v>
      </c>
      <c r="F10" s="625"/>
      <c r="G10" s="10">
        <v>1</v>
      </c>
      <c r="H10" s="572"/>
      <c r="I10" s="547">
        <f t="shared" si="0"/>
        <v>0</v>
      </c>
    </row>
    <row r="11" spans="1:9" x14ac:dyDescent="0.2">
      <c r="A11" s="8" t="s">
        <v>2866</v>
      </c>
      <c r="B11" s="71" t="s">
        <v>2871</v>
      </c>
      <c r="C11" s="430"/>
      <c r="D11" s="71"/>
      <c r="E11" s="71">
        <v>99532</v>
      </c>
      <c r="F11" s="625"/>
      <c r="G11" s="10">
        <v>1</v>
      </c>
      <c r="H11" s="546"/>
      <c r="I11" s="547">
        <f t="shared" si="0"/>
        <v>0</v>
      </c>
    </row>
    <row r="12" spans="1:9" x14ac:dyDescent="0.2">
      <c r="A12" s="8" t="s">
        <v>2867</v>
      </c>
      <c r="B12" s="71" t="s">
        <v>2872</v>
      </c>
      <c r="C12" s="430"/>
      <c r="D12" s="71"/>
      <c r="E12" s="71">
        <v>99532</v>
      </c>
      <c r="F12" s="625"/>
      <c r="G12" s="10">
        <v>1</v>
      </c>
      <c r="H12" s="546"/>
      <c r="I12" s="547">
        <f t="shared" si="0"/>
        <v>0</v>
      </c>
    </row>
    <row r="13" spans="1:9" x14ac:dyDescent="0.2">
      <c r="A13" s="8" t="s">
        <v>1027</v>
      </c>
      <c r="B13" s="143" t="s">
        <v>415</v>
      </c>
      <c r="C13" s="430"/>
      <c r="D13" s="143"/>
      <c r="E13" s="143" t="s">
        <v>1920</v>
      </c>
      <c r="F13" s="657"/>
      <c r="G13" s="10">
        <v>1</v>
      </c>
      <c r="H13" s="546"/>
      <c r="I13" s="547">
        <f t="shared" si="0"/>
        <v>0</v>
      </c>
    </row>
    <row r="14" spans="1:9" x14ac:dyDescent="0.2">
      <c r="A14" s="8" t="s">
        <v>1144</v>
      </c>
      <c r="B14" s="143" t="s">
        <v>203</v>
      </c>
      <c r="C14" s="430"/>
      <c r="D14" s="143"/>
      <c r="E14" s="143" t="s">
        <v>1920</v>
      </c>
      <c r="F14" s="657"/>
      <c r="G14" s="10">
        <v>1</v>
      </c>
      <c r="H14" s="546"/>
      <c r="I14" s="547">
        <f t="shared" si="0"/>
        <v>0</v>
      </c>
    </row>
    <row r="15" spans="1:9" x14ac:dyDescent="0.2">
      <c r="A15" s="14" t="s">
        <v>1147</v>
      </c>
      <c r="B15" s="143" t="s">
        <v>403</v>
      </c>
      <c r="C15" s="430"/>
      <c r="D15" s="143"/>
      <c r="E15" s="143" t="s">
        <v>1920</v>
      </c>
      <c r="F15" s="657"/>
      <c r="G15" s="15">
        <v>1</v>
      </c>
      <c r="H15" s="546"/>
      <c r="I15" s="547">
        <f t="shared" si="0"/>
        <v>0</v>
      </c>
    </row>
    <row r="16" spans="1:9" x14ac:dyDescent="0.2">
      <c r="A16" s="8" t="s">
        <v>9</v>
      </c>
      <c r="B16" s="143" t="s">
        <v>375</v>
      </c>
      <c r="C16" s="430"/>
      <c r="D16" s="143"/>
      <c r="E16" s="143" t="s">
        <v>1920</v>
      </c>
      <c r="F16" s="657"/>
      <c r="G16" s="10">
        <v>1</v>
      </c>
      <c r="H16" s="546"/>
      <c r="I16" s="547">
        <f t="shared" si="0"/>
        <v>0</v>
      </c>
    </row>
    <row r="17" spans="1:9" x14ac:dyDescent="0.2">
      <c r="A17" s="14" t="s">
        <v>205</v>
      </c>
      <c r="B17" s="143" t="s">
        <v>206</v>
      </c>
      <c r="C17" s="430"/>
      <c r="D17" s="143"/>
      <c r="E17" s="143" t="s">
        <v>1920</v>
      </c>
      <c r="F17" s="657"/>
      <c r="G17" s="15">
        <v>2</v>
      </c>
      <c r="H17" s="546"/>
      <c r="I17" s="547">
        <f t="shared" si="0"/>
        <v>0</v>
      </c>
    </row>
    <row r="18" spans="1:9" s="119" customFormat="1" x14ac:dyDescent="0.2">
      <c r="A18" s="55" t="s">
        <v>3080</v>
      </c>
      <c r="B18" s="71" t="s">
        <v>3081</v>
      </c>
      <c r="C18" s="430"/>
      <c r="D18" s="71"/>
      <c r="E18" s="71" t="s">
        <v>3022</v>
      </c>
      <c r="F18" s="625"/>
      <c r="G18" s="33">
        <v>1</v>
      </c>
      <c r="H18" s="551"/>
      <c r="I18" s="547">
        <f t="shared" si="0"/>
        <v>0</v>
      </c>
    </row>
    <row r="19" spans="1:9" x14ac:dyDescent="0.2">
      <c r="A19" s="8" t="s">
        <v>10</v>
      </c>
      <c r="B19" s="143" t="s">
        <v>469</v>
      </c>
      <c r="C19" s="430"/>
      <c r="D19" s="143"/>
      <c r="E19" s="143" t="s">
        <v>1920</v>
      </c>
      <c r="F19" s="657"/>
      <c r="G19" s="10">
        <v>1</v>
      </c>
      <c r="H19" s="546"/>
      <c r="I19" s="547">
        <f t="shared" si="0"/>
        <v>0</v>
      </c>
    </row>
    <row r="20" spans="1:9" x14ac:dyDescent="0.2">
      <c r="A20" s="8" t="s">
        <v>1036</v>
      </c>
      <c r="B20" s="143" t="s">
        <v>468</v>
      </c>
      <c r="C20" s="430"/>
      <c r="D20" s="143"/>
      <c r="E20" s="143" t="s">
        <v>1920</v>
      </c>
      <c r="F20" s="657"/>
      <c r="G20" s="10">
        <v>1</v>
      </c>
      <c r="H20" s="546"/>
      <c r="I20" s="547">
        <f t="shared" si="0"/>
        <v>0</v>
      </c>
    </row>
    <row r="21" spans="1:9" x14ac:dyDescent="0.2">
      <c r="A21" s="8" t="s">
        <v>209</v>
      </c>
      <c r="B21" s="143" t="s">
        <v>210</v>
      </c>
      <c r="C21" s="430"/>
      <c r="D21" s="143"/>
      <c r="E21" s="143" t="s">
        <v>1920</v>
      </c>
      <c r="F21" s="657"/>
      <c r="G21" s="10">
        <v>2</v>
      </c>
      <c r="H21" s="572"/>
      <c r="I21" s="547">
        <f t="shared" si="0"/>
        <v>0</v>
      </c>
    </row>
    <row r="22" spans="1:9" x14ac:dyDescent="0.2">
      <c r="A22" s="8" t="s">
        <v>1037</v>
      </c>
      <c r="B22" s="143" t="s">
        <v>470</v>
      </c>
      <c r="C22" s="430"/>
      <c r="D22" s="143"/>
      <c r="E22" s="143" t="s">
        <v>1920</v>
      </c>
      <c r="F22" s="657"/>
      <c r="G22" s="10">
        <v>1</v>
      </c>
      <c r="H22" s="572"/>
      <c r="I22" s="547">
        <f t="shared" si="0"/>
        <v>0</v>
      </c>
    </row>
    <row r="23" spans="1:9" x14ac:dyDescent="0.2">
      <c r="A23" s="8" t="s">
        <v>11</v>
      </c>
      <c r="B23" s="143" t="s">
        <v>278</v>
      </c>
      <c r="C23" s="430"/>
      <c r="D23" s="143"/>
      <c r="E23" s="143" t="s">
        <v>1920</v>
      </c>
      <c r="F23" s="657"/>
      <c r="G23" s="10">
        <v>1</v>
      </c>
      <c r="H23" s="546"/>
      <c r="I23" s="547">
        <f t="shared" si="0"/>
        <v>0</v>
      </c>
    </row>
    <row r="24" spans="1:9" x14ac:dyDescent="0.2">
      <c r="A24" s="8" t="s">
        <v>12</v>
      </c>
      <c r="B24" s="143" t="s">
        <v>171</v>
      </c>
      <c r="C24" s="430"/>
      <c r="D24" s="143"/>
      <c r="E24" s="143" t="s">
        <v>1920</v>
      </c>
      <c r="F24" s="657"/>
      <c r="G24" s="10">
        <v>1</v>
      </c>
      <c r="H24" s="572"/>
      <c r="I24" s="547">
        <f t="shared" si="0"/>
        <v>0</v>
      </c>
    </row>
    <row r="25" spans="1:9" x14ac:dyDescent="0.2">
      <c r="A25" s="8" t="s">
        <v>111</v>
      </c>
      <c r="B25" s="143" t="s">
        <v>560</v>
      </c>
      <c r="C25" s="430"/>
      <c r="D25" s="143"/>
      <c r="E25" s="143" t="s">
        <v>1920</v>
      </c>
      <c r="F25" s="657"/>
      <c r="G25" s="10">
        <v>1</v>
      </c>
      <c r="H25" s="572"/>
      <c r="I25" s="547">
        <f t="shared" si="0"/>
        <v>0</v>
      </c>
    </row>
    <row r="26" spans="1:9" x14ac:dyDescent="0.2">
      <c r="A26" s="8" t="s">
        <v>13</v>
      </c>
      <c r="B26" s="143" t="s">
        <v>471</v>
      </c>
      <c r="C26" s="430"/>
      <c r="D26" s="143"/>
      <c r="E26" s="143" t="s">
        <v>1920</v>
      </c>
      <c r="F26" s="657"/>
      <c r="G26" s="10">
        <v>1</v>
      </c>
      <c r="H26" s="572"/>
      <c r="I26" s="547">
        <f t="shared" si="0"/>
        <v>0</v>
      </c>
    </row>
    <row r="27" spans="1:9" x14ac:dyDescent="0.2">
      <c r="A27" s="201" t="s">
        <v>2133</v>
      </c>
      <c r="B27" s="199" t="s">
        <v>2909</v>
      </c>
      <c r="C27" s="430"/>
      <c r="D27" s="143"/>
      <c r="E27" s="143" t="s">
        <v>1971</v>
      </c>
      <c r="F27" s="657"/>
      <c r="G27" s="10">
        <v>2</v>
      </c>
      <c r="H27" s="572"/>
      <c r="I27" s="547">
        <f t="shared" si="0"/>
        <v>0</v>
      </c>
    </row>
    <row r="28" spans="1:9" x14ac:dyDescent="0.2">
      <c r="A28" s="8" t="s">
        <v>14</v>
      </c>
      <c r="B28" s="143" t="s">
        <v>472</v>
      </c>
      <c r="C28" s="430"/>
      <c r="D28" s="143"/>
      <c r="E28" s="143" t="s">
        <v>1971</v>
      </c>
      <c r="F28" s="657"/>
      <c r="G28" s="10">
        <v>2</v>
      </c>
      <c r="H28" s="572"/>
      <c r="I28" s="547">
        <f t="shared" si="0"/>
        <v>0</v>
      </c>
    </row>
    <row r="29" spans="1:9" x14ac:dyDescent="0.2">
      <c r="A29" s="192" t="s">
        <v>1038</v>
      </c>
      <c r="B29" s="143" t="s">
        <v>280</v>
      </c>
      <c r="C29" s="430"/>
      <c r="D29" s="143"/>
      <c r="E29" s="143" t="s">
        <v>1920</v>
      </c>
      <c r="F29" s="657"/>
      <c r="G29" s="10">
        <v>1</v>
      </c>
      <c r="H29" s="572"/>
      <c r="I29" s="547">
        <f t="shared" si="0"/>
        <v>0</v>
      </c>
    </row>
    <row r="30" spans="1:9" x14ac:dyDescent="0.2">
      <c r="A30" s="8" t="s">
        <v>1064</v>
      </c>
      <c r="B30" s="143" t="s">
        <v>112</v>
      </c>
      <c r="C30" s="430"/>
      <c r="D30" s="143"/>
      <c r="E30" s="143" t="s">
        <v>1920</v>
      </c>
      <c r="F30" s="657"/>
      <c r="G30" s="10">
        <v>1</v>
      </c>
      <c r="H30" s="572"/>
      <c r="I30" s="547">
        <f t="shared" si="0"/>
        <v>0</v>
      </c>
    </row>
    <row r="31" spans="1:9" x14ac:dyDescent="0.2">
      <c r="A31" s="151" t="s">
        <v>3059</v>
      </c>
      <c r="B31" s="71" t="s">
        <v>3060</v>
      </c>
      <c r="C31" s="430"/>
      <c r="D31" s="71"/>
      <c r="E31" s="71" t="s">
        <v>3022</v>
      </c>
      <c r="F31" s="625"/>
      <c r="G31" s="28">
        <v>1</v>
      </c>
      <c r="H31" s="572"/>
      <c r="I31" s="547">
        <f t="shared" si="0"/>
        <v>0</v>
      </c>
    </row>
    <row r="32" spans="1:9" x14ac:dyDescent="0.2">
      <c r="A32" s="8" t="s">
        <v>2865</v>
      </c>
      <c r="B32" s="71" t="s">
        <v>2870</v>
      </c>
      <c r="C32" s="430"/>
      <c r="D32" s="71"/>
      <c r="E32" s="71">
        <v>99532</v>
      </c>
      <c r="F32" s="625"/>
      <c r="G32" s="10">
        <v>1</v>
      </c>
      <c r="H32" s="572"/>
      <c r="I32" s="547">
        <f t="shared" si="0"/>
        <v>0</v>
      </c>
    </row>
    <row r="33" spans="1:9" x14ac:dyDescent="0.2">
      <c r="A33" s="151" t="s">
        <v>770</v>
      </c>
      <c r="B33" s="71" t="s">
        <v>771</v>
      </c>
      <c r="C33" s="430"/>
      <c r="D33" s="71"/>
      <c r="E33" s="71" t="s">
        <v>1923</v>
      </c>
      <c r="F33" s="625"/>
      <c r="G33" s="28">
        <v>1</v>
      </c>
      <c r="H33" s="546"/>
      <c r="I33" s="547">
        <f t="shared" si="0"/>
        <v>0</v>
      </c>
    </row>
    <row r="34" spans="1:9" x14ac:dyDescent="0.2">
      <c r="A34" s="8" t="s">
        <v>1287</v>
      </c>
      <c r="B34" s="143" t="s">
        <v>474</v>
      </c>
      <c r="C34" s="430"/>
      <c r="D34" s="143"/>
      <c r="E34" s="143" t="s">
        <v>1920</v>
      </c>
      <c r="F34" s="657"/>
      <c r="G34" s="10">
        <v>1</v>
      </c>
      <c r="H34" s="572"/>
      <c r="I34" s="547">
        <f t="shared" si="0"/>
        <v>0</v>
      </c>
    </row>
    <row r="35" spans="1:9" x14ac:dyDescent="0.2">
      <c r="A35" s="8" t="s">
        <v>196</v>
      </c>
      <c r="B35" s="143" t="s">
        <v>884</v>
      </c>
      <c r="C35" s="430"/>
      <c r="D35" s="143"/>
      <c r="E35" s="143" t="s">
        <v>1920</v>
      </c>
      <c r="F35" s="657"/>
      <c r="G35" s="10">
        <v>1</v>
      </c>
      <c r="H35" s="572"/>
      <c r="I35" s="547">
        <f t="shared" si="0"/>
        <v>0</v>
      </c>
    </row>
    <row r="36" spans="1:9" x14ac:dyDescent="0.2">
      <c r="A36" s="8" t="s">
        <v>1085</v>
      </c>
      <c r="B36" s="143" t="s">
        <v>92</v>
      </c>
      <c r="C36" s="430"/>
      <c r="D36" s="143"/>
      <c r="E36" s="143" t="s">
        <v>1920</v>
      </c>
      <c r="F36" s="657"/>
      <c r="G36" s="10">
        <v>2</v>
      </c>
      <c r="H36" s="572"/>
      <c r="I36" s="547">
        <f t="shared" si="0"/>
        <v>0</v>
      </c>
    </row>
    <row r="37" spans="1:9" ht="15.75" x14ac:dyDescent="0.25">
      <c r="A37" s="8" t="s">
        <v>1192</v>
      </c>
      <c r="B37" s="143" t="s">
        <v>94</v>
      </c>
      <c r="C37" s="430"/>
      <c r="D37" s="143"/>
      <c r="E37" s="143" t="s">
        <v>1920</v>
      </c>
      <c r="F37" s="657"/>
      <c r="G37" s="10">
        <v>2</v>
      </c>
      <c r="H37" s="658"/>
      <c r="I37" s="547">
        <f t="shared" si="0"/>
        <v>0</v>
      </c>
    </row>
    <row r="38" spans="1:9" x14ac:dyDescent="0.2">
      <c r="A38" s="8" t="s">
        <v>15</v>
      </c>
      <c r="B38" s="143" t="s">
        <v>380</v>
      </c>
      <c r="C38" s="430"/>
      <c r="D38" s="143"/>
      <c r="E38" s="143" t="s">
        <v>1920</v>
      </c>
      <c r="F38" s="657"/>
      <c r="G38" s="15">
        <v>2</v>
      </c>
      <c r="H38" s="572"/>
      <c r="I38" s="547">
        <f t="shared" si="0"/>
        <v>0</v>
      </c>
    </row>
    <row r="39" spans="1:9" x14ac:dyDescent="0.2">
      <c r="A39" s="8" t="s">
        <v>16</v>
      </c>
      <c r="B39" s="143" t="s">
        <v>476</v>
      </c>
      <c r="C39" s="430"/>
      <c r="D39" s="143"/>
      <c r="E39" s="143" t="s">
        <v>1920</v>
      </c>
      <c r="F39" s="657"/>
      <c r="G39" s="10">
        <v>4</v>
      </c>
      <c r="H39" s="572"/>
      <c r="I39" s="547">
        <f t="shared" si="0"/>
        <v>0</v>
      </c>
    </row>
    <row r="40" spans="1:9" x14ac:dyDescent="0.2">
      <c r="A40" s="148" t="s">
        <v>105</v>
      </c>
      <c r="B40" s="143" t="s">
        <v>2118</v>
      </c>
      <c r="C40" s="430"/>
      <c r="D40" s="143"/>
      <c r="E40" s="143" t="s">
        <v>1920</v>
      </c>
      <c r="F40" s="657"/>
      <c r="G40" s="10">
        <v>2</v>
      </c>
      <c r="H40" s="572"/>
      <c r="I40" s="547">
        <f t="shared" si="0"/>
        <v>0</v>
      </c>
    </row>
    <row r="41" spans="1:9" ht="15.75" x14ac:dyDescent="0.25">
      <c r="A41" s="148" t="s">
        <v>1156</v>
      </c>
      <c r="B41" s="143" t="s">
        <v>2117</v>
      </c>
      <c r="C41" s="430"/>
      <c r="D41" s="143"/>
      <c r="E41" s="143" t="s">
        <v>1920</v>
      </c>
      <c r="F41" s="657"/>
      <c r="G41" s="10">
        <v>4</v>
      </c>
      <c r="H41" s="658"/>
      <c r="I41" s="547">
        <f t="shared" si="0"/>
        <v>0</v>
      </c>
    </row>
    <row r="42" spans="1:9" x14ac:dyDescent="0.2">
      <c r="A42" s="193" t="s">
        <v>2192</v>
      </c>
      <c r="B42" s="32" t="s">
        <v>2193</v>
      </c>
      <c r="C42" s="430"/>
      <c r="D42" s="143"/>
      <c r="E42" s="143" t="s">
        <v>1920</v>
      </c>
      <c r="F42" s="657"/>
      <c r="G42" s="15">
        <v>1</v>
      </c>
      <c r="H42" s="572"/>
      <c r="I42" s="547">
        <f t="shared" si="0"/>
        <v>0</v>
      </c>
    </row>
    <row r="43" spans="1:9" x14ac:dyDescent="0.2">
      <c r="A43" s="8" t="s">
        <v>197</v>
      </c>
      <c r="B43" s="143" t="s">
        <v>645</v>
      </c>
      <c r="C43" s="430"/>
      <c r="D43" s="143"/>
      <c r="E43" s="143" t="s">
        <v>1920</v>
      </c>
      <c r="F43" s="657"/>
      <c r="G43" s="10">
        <v>1</v>
      </c>
      <c r="H43" s="572"/>
      <c r="I43" s="547">
        <f t="shared" si="0"/>
        <v>0</v>
      </c>
    </row>
    <row r="44" spans="1:9" x14ac:dyDescent="0.2">
      <c r="A44" s="193" t="s">
        <v>1639</v>
      </c>
      <c r="B44" s="32" t="s">
        <v>730</v>
      </c>
      <c r="C44" s="430"/>
      <c r="D44" s="143"/>
      <c r="E44" s="143" t="s">
        <v>1920</v>
      </c>
      <c r="F44" s="657"/>
      <c r="G44" s="10">
        <v>1</v>
      </c>
      <c r="H44" s="572"/>
      <c r="I44" s="547">
        <f t="shared" si="0"/>
        <v>0</v>
      </c>
    </row>
    <row r="45" spans="1:9" x14ac:dyDescent="0.2">
      <c r="A45" s="8" t="s">
        <v>17</v>
      </c>
      <c r="B45" s="143" t="s">
        <v>407</v>
      </c>
      <c r="C45" s="430"/>
      <c r="D45" s="143"/>
      <c r="E45" s="143" t="s">
        <v>1920</v>
      </c>
      <c r="F45" s="657"/>
      <c r="G45" s="10">
        <v>1</v>
      </c>
      <c r="H45" s="572"/>
      <c r="I45" s="547">
        <f t="shared" si="0"/>
        <v>0</v>
      </c>
    </row>
    <row r="46" spans="1:9" ht="30" x14ac:dyDescent="0.2">
      <c r="A46" s="8" t="s">
        <v>1275</v>
      </c>
      <c r="B46" s="143" t="s">
        <v>478</v>
      </c>
      <c r="C46" s="430"/>
      <c r="D46" s="143"/>
      <c r="E46" s="143" t="s">
        <v>1920</v>
      </c>
      <c r="F46" s="657"/>
      <c r="G46" s="10">
        <v>1</v>
      </c>
      <c r="H46" s="572"/>
      <c r="I46" s="547">
        <f t="shared" si="0"/>
        <v>0</v>
      </c>
    </row>
    <row r="47" spans="1:9" x14ac:dyDescent="0.2">
      <c r="A47" s="8" t="s">
        <v>459</v>
      </c>
      <c r="B47" s="143" t="s">
        <v>1823</v>
      </c>
      <c r="C47" s="430"/>
      <c r="D47" s="143"/>
      <c r="E47" s="143" t="s">
        <v>1920</v>
      </c>
      <c r="F47" s="657"/>
      <c r="G47" s="10">
        <v>1</v>
      </c>
      <c r="H47" s="659"/>
      <c r="I47" s="547">
        <f t="shared" si="0"/>
        <v>0</v>
      </c>
    </row>
    <row r="48" spans="1:9" x14ac:dyDescent="0.2">
      <c r="A48" s="8" t="s">
        <v>18</v>
      </c>
      <c r="B48" s="143" t="s">
        <v>3110</v>
      </c>
      <c r="C48" s="430"/>
      <c r="D48" s="143"/>
      <c r="E48" s="143" t="s">
        <v>1920</v>
      </c>
      <c r="F48" s="657"/>
      <c r="G48" s="10">
        <v>1</v>
      </c>
      <c r="H48" s="659"/>
      <c r="I48" s="547">
        <f t="shared" si="0"/>
        <v>0</v>
      </c>
    </row>
    <row r="49" spans="1:9" x14ac:dyDescent="0.2">
      <c r="A49" s="8" t="s">
        <v>198</v>
      </c>
      <c r="B49" s="143" t="s">
        <v>646</v>
      </c>
      <c r="C49" s="430"/>
      <c r="D49" s="143"/>
      <c r="E49" s="143" t="s">
        <v>1920</v>
      </c>
      <c r="F49" s="657"/>
      <c r="G49" s="10">
        <v>1</v>
      </c>
      <c r="H49" s="572"/>
      <c r="I49" s="547">
        <f t="shared" si="0"/>
        <v>0</v>
      </c>
    </row>
    <row r="50" spans="1:9" x14ac:dyDescent="0.2">
      <c r="A50" s="8" t="s">
        <v>180</v>
      </c>
      <c r="B50" s="143" t="s">
        <v>479</v>
      </c>
      <c r="C50" s="430"/>
      <c r="D50" s="143"/>
      <c r="E50" s="143" t="s">
        <v>1920</v>
      </c>
      <c r="F50" s="657"/>
      <c r="G50" s="10">
        <v>1</v>
      </c>
      <c r="H50" s="572"/>
      <c r="I50" s="547">
        <f t="shared" si="0"/>
        <v>0</v>
      </c>
    </row>
    <row r="51" spans="1:9" x14ac:dyDescent="0.2">
      <c r="A51" s="8" t="s">
        <v>1589</v>
      </c>
      <c r="B51" s="143" t="s">
        <v>2750</v>
      </c>
      <c r="C51" s="430"/>
      <c r="D51" s="143"/>
      <c r="E51" s="143" t="s">
        <v>1920</v>
      </c>
      <c r="F51" s="657"/>
      <c r="G51" s="10">
        <v>1</v>
      </c>
      <c r="H51" s="572"/>
      <c r="I51" s="547">
        <f t="shared" si="0"/>
        <v>0</v>
      </c>
    </row>
    <row r="52" spans="1:9" x14ac:dyDescent="0.2">
      <c r="A52" s="8" t="s">
        <v>1040</v>
      </c>
      <c r="B52" s="143" t="s">
        <v>274</v>
      </c>
      <c r="C52" s="430"/>
      <c r="D52" s="143"/>
      <c r="E52" s="143" t="s">
        <v>1920</v>
      </c>
      <c r="F52" s="657"/>
      <c r="G52" s="10">
        <v>1</v>
      </c>
      <c r="H52" s="572"/>
      <c r="I52" s="547">
        <f t="shared" si="0"/>
        <v>0</v>
      </c>
    </row>
    <row r="53" spans="1:9" x14ac:dyDescent="0.2">
      <c r="A53" s="14" t="s">
        <v>1662</v>
      </c>
      <c r="B53" s="143" t="s">
        <v>402</v>
      </c>
      <c r="C53" s="430"/>
      <c r="D53" s="143"/>
      <c r="E53" s="143" t="s">
        <v>1920</v>
      </c>
      <c r="F53" s="657"/>
      <c r="G53" s="15">
        <v>1</v>
      </c>
      <c r="H53" s="572"/>
      <c r="I53" s="547">
        <f t="shared" si="0"/>
        <v>0</v>
      </c>
    </row>
    <row r="54" spans="1:9" x14ac:dyDescent="0.2">
      <c r="A54" s="154" t="s">
        <v>3260</v>
      </c>
      <c r="B54" s="143" t="s">
        <v>480</v>
      </c>
      <c r="C54" s="430"/>
      <c r="D54" s="143"/>
      <c r="E54" s="143" t="s">
        <v>1920</v>
      </c>
      <c r="F54" s="657"/>
      <c r="G54" s="10">
        <v>1</v>
      </c>
      <c r="H54" s="572"/>
      <c r="I54" s="547">
        <f t="shared" si="0"/>
        <v>0</v>
      </c>
    </row>
    <row r="55" spans="1:9" x14ac:dyDescent="0.2">
      <c r="A55" s="8" t="s">
        <v>3257</v>
      </c>
      <c r="B55" s="143" t="s">
        <v>888</v>
      </c>
      <c r="C55" s="430"/>
      <c r="D55" s="143"/>
      <c r="E55" s="143" t="s">
        <v>1920</v>
      </c>
      <c r="F55" s="657"/>
      <c r="G55" s="10">
        <v>1</v>
      </c>
      <c r="H55" s="572"/>
      <c r="I55" s="547">
        <f t="shared" si="0"/>
        <v>0</v>
      </c>
    </row>
    <row r="56" spans="1:9" ht="15.75" x14ac:dyDescent="0.25">
      <c r="A56" s="151" t="s">
        <v>3023</v>
      </c>
      <c r="B56" s="71" t="s">
        <v>3016</v>
      </c>
      <c r="C56" s="430"/>
      <c r="D56" s="71"/>
      <c r="E56" s="71" t="s">
        <v>3022</v>
      </c>
      <c r="F56" s="625"/>
      <c r="G56" s="28">
        <v>1</v>
      </c>
      <c r="H56" s="658"/>
      <c r="I56" s="547">
        <f t="shared" si="0"/>
        <v>0</v>
      </c>
    </row>
    <row r="57" spans="1:9" x14ac:dyDescent="0.2">
      <c r="A57" s="151" t="s">
        <v>3024</v>
      </c>
      <c r="B57" s="71" t="s">
        <v>3015</v>
      </c>
      <c r="C57" s="430"/>
      <c r="D57" s="71"/>
      <c r="E57" s="71" t="s">
        <v>3022</v>
      </c>
      <c r="F57" s="625"/>
      <c r="G57" s="28">
        <v>1</v>
      </c>
      <c r="H57" s="546"/>
      <c r="I57" s="547">
        <f t="shared" si="0"/>
        <v>0</v>
      </c>
    </row>
    <row r="58" spans="1:9" x14ac:dyDescent="0.2">
      <c r="A58" s="151" t="s">
        <v>3027</v>
      </c>
      <c r="B58" s="71" t="s">
        <v>3014</v>
      </c>
      <c r="C58" s="430"/>
      <c r="D58" s="71"/>
      <c r="E58" s="71" t="s">
        <v>3022</v>
      </c>
      <c r="F58" s="625"/>
      <c r="G58" s="28">
        <v>1</v>
      </c>
      <c r="H58" s="546"/>
      <c r="I58" s="547">
        <f t="shared" si="0"/>
        <v>0</v>
      </c>
    </row>
    <row r="59" spans="1:9" x14ac:dyDescent="0.2">
      <c r="A59" s="151" t="s">
        <v>3025</v>
      </c>
      <c r="B59" s="71" t="s">
        <v>3013</v>
      </c>
      <c r="C59" s="430"/>
      <c r="D59" s="71"/>
      <c r="E59" s="71" t="s">
        <v>3022</v>
      </c>
      <c r="F59" s="625"/>
      <c r="G59" s="28">
        <v>1</v>
      </c>
      <c r="H59" s="546"/>
      <c r="I59" s="547">
        <f t="shared" si="0"/>
        <v>0</v>
      </c>
    </row>
    <row r="60" spans="1:9" x14ac:dyDescent="0.2">
      <c r="A60" s="151" t="s">
        <v>3026</v>
      </c>
      <c r="B60" s="71" t="s">
        <v>3012</v>
      </c>
      <c r="C60" s="430"/>
      <c r="D60" s="71"/>
      <c r="E60" s="71" t="s">
        <v>3022</v>
      </c>
      <c r="F60" s="625"/>
      <c r="G60" s="28">
        <v>1</v>
      </c>
      <c r="H60" s="546"/>
      <c r="I60" s="547">
        <f t="shared" si="0"/>
        <v>0</v>
      </c>
    </row>
    <row r="61" spans="1:9" ht="15" customHeight="1" x14ac:dyDescent="0.2">
      <c r="A61" s="8" t="s">
        <v>1517</v>
      </c>
      <c r="B61" s="143" t="s">
        <v>955</v>
      </c>
      <c r="C61" s="430"/>
      <c r="D61" s="143"/>
      <c r="E61" s="143" t="s">
        <v>1920</v>
      </c>
      <c r="F61" s="657"/>
      <c r="G61" s="15">
        <v>1</v>
      </c>
      <c r="H61" s="546"/>
      <c r="I61" s="547">
        <f t="shared" si="0"/>
        <v>0</v>
      </c>
    </row>
    <row r="62" spans="1:9" x14ac:dyDescent="0.2">
      <c r="A62" s="8" t="s">
        <v>1216</v>
      </c>
      <c r="B62" s="143" t="s">
        <v>481</v>
      </c>
      <c r="C62" s="430"/>
      <c r="D62" s="143"/>
      <c r="E62" s="143" t="s">
        <v>1920</v>
      </c>
      <c r="F62" s="657"/>
      <c r="G62" s="10">
        <v>1</v>
      </c>
      <c r="H62" s="546"/>
      <c r="I62" s="547">
        <f t="shared" si="0"/>
        <v>0</v>
      </c>
    </row>
    <row r="63" spans="1:9" x14ac:dyDescent="0.2">
      <c r="A63" s="148" t="s">
        <v>1703</v>
      </c>
      <c r="B63" s="143" t="s">
        <v>2011</v>
      </c>
      <c r="C63" s="430"/>
      <c r="D63" s="143"/>
      <c r="E63" s="143">
        <v>89750</v>
      </c>
      <c r="F63" s="657"/>
      <c r="G63" s="15">
        <v>1</v>
      </c>
      <c r="H63" s="546"/>
      <c r="I63" s="547">
        <f t="shared" si="0"/>
        <v>0</v>
      </c>
    </row>
    <row r="64" spans="1:9" x14ac:dyDescent="0.2">
      <c r="A64" s="148" t="s">
        <v>1700</v>
      </c>
      <c r="B64" s="143" t="s">
        <v>2012</v>
      </c>
      <c r="C64" s="430"/>
      <c r="D64" s="143"/>
      <c r="E64" s="143">
        <v>89750</v>
      </c>
      <c r="F64" s="657"/>
      <c r="G64" s="15">
        <v>1</v>
      </c>
      <c r="H64" s="546"/>
      <c r="I64" s="547">
        <f t="shared" si="0"/>
        <v>0</v>
      </c>
    </row>
    <row r="65" spans="1:12" x14ac:dyDescent="0.2">
      <c r="A65" s="148" t="s">
        <v>1702</v>
      </c>
      <c r="B65" s="143" t="s">
        <v>2014</v>
      </c>
      <c r="C65" s="430"/>
      <c r="D65" s="143"/>
      <c r="E65" s="143">
        <v>89750</v>
      </c>
      <c r="F65" s="657"/>
      <c r="G65" s="15">
        <v>1</v>
      </c>
      <c r="H65" s="546"/>
      <c r="I65" s="547">
        <f t="shared" si="0"/>
        <v>0</v>
      </c>
    </row>
    <row r="66" spans="1:12" x14ac:dyDescent="0.2">
      <c r="A66" s="148" t="s">
        <v>1701</v>
      </c>
      <c r="B66" s="143" t="s">
        <v>2013</v>
      </c>
      <c r="C66" s="430"/>
      <c r="D66" s="143"/>
      <c r="E66" s="143">
        <v>89750</v>
      </c>
      <c r="F66" s="657"/>
      <c r="G66" s="15">
        <v>1</v>
      </c>
      <c r="H66" s="546"/>
      <c r="I66" s="547">
        <f t="shared" si="0"/>
        <v>0</v>
      </c>
      <c r="J66" s="16" t="s">
        <v>2217</v>
      </c>
    </row>
    <row r="67" spans="1:12" ht="15" customHeight="1" x14ac:dyDescent="0.2">
      <c r="A67" s="148" t="s">
        <v>3240</v>
      </c>
      <c r="B67" s="143" t="s">
        <v>2016</v>
      </c>
      <c r="C67" s="430"/>
      <c r="D67" s="143"/>
      <c r="E67" s="143">
        <v>89750</v>
      </c>
      <c r="F67" s="657"/>
      <c r="G67" s="15">
        <v>1</v>
      </c>
      <c r="H67" s="546"/>
      <c r="I67" s="547">
        <f t="shared" ref="I67:I123" si="1">+G67*H67</f>
        <v>0</v>
      </c>
      <c r="L67" s="16" t="s">
        <v>1729</v>
      </c>
    </row>
    <row r="68" spans="1:12" x14ac:dyDescent="0.2">
      <c r="A68" s="148" t="s">
        <v>3237</v>
      </c>
      <c r="B68" s="143" t="s">
        <v>2015</v>
      </c>
      <c r="C68" s="430"/>
      <c r="D68" s="143"/>
      <c r="E68" s="143">
        <v>89750</v>
      </c>
      <c r="F68" s="657"/>
      <c r="G68" s="15">
        <v>1</v>
      </c>
      <c r="H68" s="546"/>
      <c r="I68" s="547">
        <f t="shared" si="1"/>
        <v>0</v>
      </c>
      <c r="L68" s="16" t="s">
        <v>2217</v>
      </c>
    </row>
    <row r="69" spans="1:12" x14ac:dyDescent="0.2">
      <c r="A69" s="148" t="s">
        <v>3239</v>
      </c>
      <c r="B69" s="143" t="s">
        <v>2017</v>
      </c>
      <c r="C69" s="430"/>
      <c r="D69" s="143"/>
      <c r="E69" s="143">
        <v>89750</v>
      </c>
      <c r="F69" s="657"/>
      <c r="G69" s="15">
        <v>1</v>
      </c>
      <c r="H69" s="572"/>
      <c r="I69" s="547">
        <f t="shared" si="1"/>
        <v>0</v>
      </c>
    </row>
    <row r="70" spans="1:12" x14ac:dyDescent="0.2">
      <c r="A70" s="148" t="s">
        <v>3241</v>
      </c>
      <c r="B70" s="143" t="s">
        <v>2018</v>
      </c>
      <c r="C70" s="430"/>
      <c r="D70" s="143"/>
      <c r="E70" s="143">
        <v>89750</v>
      </c>
      <c r="F70" s="657"/>
      <c r="G70" s="15">
        <v>1</v>
      </c>
      <c r="H70" s="572"/>
      <c r="I70" s="547">
        <f t="shared" si="1"/>
        <v>0</v>
      </c>
    </row>
    <row r="71" spans="1:12" ht="15" customHeight="1" x14ac:dyDescent="0.2">
      <c r="A71" s="148" t="s">
        <v>1486</v>
      </c>
      <c r="B71" s="143" t="s">
        <v>1989</v>
      </c>
      <c r="C71" s="430"/>
      <c r="D71" s="143"/>
      <c r="E71" s="143">
        <v>89750</v>
      </c>
      <c r="F71" s="657"/>
      <c r="G71" s="15">
        <v>1</v>
      </c>
      <c r="H71" s="572"/>
      <c r="I71" s="547">
        <f t="shared" si="1"/>
        <v>0</v>
      </c>
    </row>
    <row r="72" spans="1:12" ht="15" customHeight="1" x14ac:dyDescent="0.2">
      <c r="A72" s="148" t="s">
        <v>1487</v>
      </c>
      <c r="B72" s="143" t="s">
        <v>2019</v>
      </c>
      <c r="C72" s="430"/>
      <c r="D72" s="143"/>
      <c r="E72" s="143">
        <v>89750</v>
      </c>
      <c r="F72" s="657"/>
      <c r="G72" s="15">
        <v>1</v>
      </c>
      <c r="H72" s="572"/>
      <c r="I72" s="547">
        <f t="shared" si="1"/>
        <v>0</v>
      </c>
    </row>
    <row r="73" spans="1:12" ht="15" customHeight="1" x14ac:dyDescent="0.2">
      <c r="A73" s="148" t="s">
        <v>1485</v>
      </c>
      <c r="B73" s="143" t="s">
        <v>794</v>
      </c>
      <c r="C73" s="430"/>
      <c r="D73" s="143" t="s">
        <v>1878</v>
      </c>
      <c r="E73" s="143" t="s">
        <v>1950</v>
      </c>
      <c r="F73" s="657"/>
      <c r="G73" s="15">
        <v>1</v>
      </c>
      <c r="H73" s="572"/>
      <c r="I73" s="547">
        <f t="shared" si="1"/>
        <v>0</v>
      </c>
    </row>
    <row r="74" spans="1:12" x14ac:dyDescent="0.2">
      <c r="A74" s="8" t="s">
        <v>410</v>
      </c>
      <c r="B74" s="143" t="s">
        <v>483</v>
      </c>
      <c r="C74" s="430"/>
      <c r="D74" s="143"/>
      <c r="E74" s="143" t="s">
        <v>1920</v>
      </c>
      <c r="F74" s="657"/>
      <c r="G74" s="10">
        <v>1</v>
      </c>
      <c r="H74" s="572"/>
      <c r="I74" s="547">
        <f t="shared" si="1"/>
        <v>0</v>
      </c>
    </row>
    <row r="75" spans="1:12" x14ac:dyDescent="0.2">
      <c r="A75" s="8" t="s">
        <v>20</v>
      </c>
      <c r="B75" s="143" t="s">
        <v>287</v>
      </c>
      <c r="C75" s="430"/>
      <c r="D75" s="143"/>
      <c r="E75" s="143" t="s">
        <v>1920</v>
      </c>
      <c r="F75" s="657"/>
      <c r="G75" s="10">
        <v>2</v>
      </c>
      <c r="H75" s="572"/>
      <c r="I75" s="547">
        <f t="shared" si="1"/>
        <v>0</v>
      </c>
    </row>
    <row r="76" spans="1:12" x14ac:dyDescent="0.2">
      <c r="A76" s="8" t="s">
        <v>1086</v>
      </c>
      <c r="B76" s="143" t="s">
        <v>70</v>
      </c>
      <c r="C76" s="430"/>
      <c r="D76" s="143"/>
      <c r="E76" s="143" t="s">
        <v>1920</v>
      </c>
      <c r="F76" s="657"/>
      <c r="G76" s="10">
        <v>1</v>
      </c>
      <c r="H76" s="572"/>
      <c r="I76" s="547">
        <f t="shared" si="1"/>
        <v>0</v>
      </c>
    </row>
    <row r="77" spans="1:12" x14ac:dyDescent="0.2">
      <c r="A77" s="148" t="s">
        <v>24</v>
      </c>
      <c r="B77" s="143" t="s">
        <v>297</v>
      </c>
      <c r="C77" s="430"/>
      <c r="D77" s="143"/>
      <c r="E77" s="143" t="s">
        <v>1920</v>
      </c>
      <c r="F77" s="657"/>
      <c r="G77" s="10">
        <v>1</v>
      </c>
      <c r="H77" s="572"/>
      <c r="I77" s="547">
        <f t="shared" si="1"/>
        <v>0</v>
      </c>
    </row>
    <row r="78" spans="1:12" x14ac:dyDescent="0.2">
      <c r="A78" s="148" t="s">
        <v>1233</v>
      </c>
      <c r="B78" s="143" t="s">
        <v>1824</v>
      </c>
      <c r="C78" s="430"/>
      <c r="D78" s="143"/>
      <c r="E78" s="143" t="s">
        <v>1920</v>
      </c>
      <c r="F78" s="657"/>
      <c r="G78" s="10">
        <v>1</v>
      </c>
      <c r="H78" s="572"/>
      <c r="I78" s="547">
        <f t="shared" si="1"/>
        <v>0</v>
      </c>
    </row>
    <row r="79" spans="1:12" x14ac:dyDescent="0.2">
      <c r="A79" s="14" t="s">
        <v>1235</v>
      </c>
      <c r="B79" s="143" t="s">
        <v>78</v>
      </c>
      <c r="C79" s="430"/>
      <c r="D79" s="143"/>
      <c r="E79" s="143" t="s">
        <v>1920</v>
      </c>
      <c r="F79" s="657"/>
      <c r="G79" s="15">
        <v>3</v>
      </c>
      <c r="H79" s="572"/>
      <c r="I79" s="547">
        <f t="shared" si="1"/>
        <v>0</v>
      </c>
    </row>
    <row r="80" spans="1:12" x14ac:dyDescent="0.2">
      <c r="A80" s="8" t="s">
        <v>29</v>
      </c>
      <c r="B80" s="143" t="s">
        <v>2758</v>
      </c>
      <c r="C80" s="430"/>
      <c r="D80" s="143"/>
      <c r="E80" s="143" t="s">
        <v>1920</v>
      </c>
      <c r="F80" s="657"/>
      <c r="G80" s="10">
        <v>1</v>
      </c>
      <c r="H80" s="572"/>
      <c r="I80" s="547">
        <f t="shared" si="1"/>
        <v>0</v>
      </c>
    </row>
    <row r="81" spans="1:9" x14ac:dyDescent="0.2">
      <c r="A81" s="8" t="s">
        <v>1236</v>
      </c>
      <c r="B81" s="143" t="s">
        <v>77</v>
      </c>
      <c r="C81" s="430"/>
      <c r="D81" s="143"/>
      <c r="E81" s="143" t="s">
        <v>1920</v>
      </c>
      <c r="F81" s="657"/>
      <c r="G81" s="10">
        <v>1</v>
      </c>
      <c r="H81" s="572"/>
      <c r="I81" s="547">
        <f t="shared" si="1"/>
        <v>0</v>
      </c>
    </row>
    <row r="82" spans="1:9" x14ac:dyDescent="0.2">
      <c r="A82" s="8" t="s">
        <v>30</v>
      </c>
      <c r="B82" s="143" t="s">
        <v>1825</v>
      </c>
      <c r="C82" s="430"/>
      <c r="D82" s="143"/>
      <c r="E82" s="143" t="s">
        <v>1920</v>
      </c>
      <c r="F82" s="657"/>
      <c r="G82" s="10">
        <v>1</v>
      </c>
      <c r="H82" s="572"/>
      <c r="I82" s="547">
        <f t="shared" si="1"/>
        <v>0</v>
      </c>
    </row>
    <row r="83" spans="1:9" x14ac:dyDescent="0.2">
      <c r="A83" s="8" t="s">
        <v>1237</v>
      </c>
      <c r="B83" s="143" t="s">
        <v>306</v>
      </c>
      <c r="C83" s="430"/>
      <c r="D83" s="143"/>
      <c r="E83" s="143" t="s">
        <v>1920</v>
      </c>
      <c r="F83" s="657"/>
      <c r="G83" s="10">
        <v>3</v>
      </c>
      <c r="H83" s="572"/>
      <c r="I83" s="547">
        <f t="shared" si="1"/>
        <v>0</v>
      </c>
    </row>
    <row r="84" spans="1:9" x14ac:dyDescent="0.2">
      <c r="A84" s="8" t="s">
        <v>1345</v>
      </c>
      <c r="B84" s="143" t="s">
        <v>79</v>
      </c>
      <c r="C84" s="430"/>
      <c r="D84" s="143"/>
      <c r="E84" s="143" t="s">
        <v>1920</v>
      </c>
      <c r="F84" s="657"/>
      <c r="G84" s="10">
        <v>1</v>
      </c>
      <c r="H84" s="572"/>
      <c r="I84" s="547">
        <f t="shared" si="1"/>
        <v>0</v>
      </c>
    </row>
    <row r="85" spans="1:9" x14ac:dyDescent="0.2">
      <c r="A85" s="14" t="s">
        <v>1171</v>
      </c>
      <c r="B85" s="143" t="s">
        <v>441</v>
      </c>
      <c r="C85" s="430"/>
      <c r="D85" s="143"/>
      <c r="E85" s="143" t="s">
        <v>1920</v>
      </c>
      <c r="F85" s="657"/>
      <c r="G85" s="15">
        <v>2</v>
      </c>
      <c r="H85" s="572"/>
      <c r="I85" s="547">
        <f t="shared" si="1"/>
        <v>0</v>
      </c>
    </row>
    <row r="86" spans="1:9" ht="15" customHeight="1" x14ac:dyDescent="0.2">
      <c r="A86" s="194" t="s">
        <v>1242</v>
      </c>
      <c r="B86" s="32" t="s">
        <v>305</v>
      </c>
      <c r="C86" s="430"/>
      <c r="D86" s="143"/>
      <c r="E86" s="143" t="s">
        <v>1920</v>
      </c>
      <c r="F86" s="657"/>
      <c r="G86" s="10">
        <v>1</v>
      </c>
      <c r="H86" s="572"/>
      <c r="I86" s="547">
        <f t="shared" si="1"/>
        <v>0</v>
      </c>
    </row>
    <row r="87" spans="1:9" ht="15" customHeight="1" x14ac:dyDescent="0.2">
      <c r="A87" s="14" t="s">
        <v>1172</v>
      </c>
      <c r="B87" s="143" t="s">
        <v>340</v>
      </c>
      <c r="C87" s="430"/>
      <c r="D87" s="143"/>
      <c r="E87" s="143" t="s">
        <v>1920</v>
      </c>
      <c r="F87" s="657"/>
      <c r="G87" s="15">
        <v>2</v>
      </c>
      <c r="H87" s="572"/>
      <c r="I87" s="547">
        <f t="shared" si="1"/>
        <v>0</v>
      </c>
    </row>
    <row r="88" spans="1:9" x14ac:dyDescent="0.2">
      <c r="A88" s="8" t="s">
        <v>55</v>
      </c>
      <c r="B88" s="143" t="s">
        <v>524</v>
      </c>
      <c r="C88" s="430"/>
      <c r="D88" s="143"/>
      <c r="E88" s="143" t="s">
        <v>1920</v>
      </c>
      <c r="F88" s="657"/>
      <c r="G88" s="10">
        <v>1</v>
      </c>
      <c r="H88" s="572"/>
      <c r="I88" s="547">
        <f t="shared" si="1"/>
        <v>0</v>
      </c>
    </row>
    <row r="89" spans="1:9" x14ac:dyDescent="0.2">
      <c r="A89" s="8" t="s">
        <v>1393</v>
      </c>
      <c r="B89" s="143" t="s">
        <v>653</v>
      </c>
      <c r="C89" s="430"/>
      <c r="D89" s="143"/>
      <c r="E89" s="143" t="s">
        <v>1920</v>
      </c>
      <c r="F89" s="657"/>
      <c r="G89" s="10">
        <v>1</v>
      </c>
      <c r="H89" s="546"/>
      <c r="I89" s="547">
        <f t="shared" si="1"/>
        <v>0</v>
      </c>
    </row>
    <row r="90" spans="1:9" x14ac:dyDescent="0.2">
      <c r="A90" s="204" t="s">
        <v>1472</v>
      </c>
      <c r="B90" s="143" t="s">
        <v>1991</v>
      </c>
      <c r="C90" s="430"/>
      <c r="D90" s="143"/>
      <c r="E90" s="143" t="s">
        <v>1920</v>
      </c>
      <c r="F90" s="657"/>
      <c r="G90" s="10">
        <v>1</v>
      </c>
      <c r="H90" s="546"/>
      <c r="I90" s="547">
        <f t="shared" si="1"/>
        <v>0</v>
      </c>
    </row>
    <row r="91" spans="1:9" x14ac:dyDescent="0.2">
      <c r="A91" s="8" t="s">
        <v>1193</v>
      </c>
      <c r="B91" s="143" t="s">
        <v>316</v>
      </c>
      <c r="C91" s="430"/>
      <c r="D91" s="143"/>
      <c r="E91" s="143" t="s">
        <v>1920</v>
      </c>
      <c r="F91" s="657"/>
      <c r="G91" s="10">
        <v>1</v>
      </c>
      <c r="H91" s="572"/>
      <c r="I91" s="547">
        <f t="shared" si="1"/>
        <v>0</v>
      </c>
    </row>
    <row r="92" spans="1:9" x14ac:dyDescent="0.2">
      <c r="A92" s="8" t="s">
        <v>34</v>
      </c>
      <c r="B92" s="143" t="s">
        <v>1826</v>
      </c>
      <c r="C92" s="430"/>
      <c r="D92" s="143"/>
      <c r="E92" s="143" t="s">
        <v>1920</v>
      </c>
      <c r="F92" s="657"/>
      <c r="G92" s="10">
        <v>1</v>
      </c>
      <c r="H92" s="572"/>
      <c r="I92" s="547">
        <f t="shared" si="1"/>
        <v>0</v>
      </c>
    </row>
    <row r="93" spans="1:9" x14ac:dyDescent="0.2">
      <c r="A93" s="192" t="s">
        <v>1048</v>
      </c>
      <c r="B93" s="143" t="s">
        <v>170</v>
      </c>
      <c r="C93" s="430"/>
      <c r="D93" s="143"/>
      <c r="E93" s="143" t="s">
        <v>1920</v>
      </c>
      <c r="F93" s="657"/>
      <c r="G93" s="15">
        <v>2</v>
      </c>
      <c r="H93" s="572"/>
      <c r="I93" s="547">
        <f t="shared" si="1"/>
        <v>0</v>
      </c>
    </row>
    <row r="94" spans="1:9" x14ac:dyDescent="0.2">
      <c r="A94" s="192" t="s">
        <v>1050</v>
      </c>
      <c r="B94" s="143" t="s">
        <v>404</v>
      </c>
      <c r="C94" s="430"/>
      <c r="D94" s="143"/>
      <c r="E94" s="143" t="s">
        <v>1920</v>
      </c>
      <c r="F94" s="657"/>
      <c r="G94" s="15">
        <v>2</v>
      </c>
      <c r="H94" s="572"/>
      <c r="I94" s="547">
        <f t="shared" si="1"/>
        <v>0</v>
      </c>
    </row>
    <row r="95" spans="1:9" x14ac:dyDescent="0.2">
      <c r="A95" s="14" t="s">
        <v>1250</v>
      </c>
      <c r="B95" s="143" t="s">
        <v>462</v>
      </c>
      <c r="C95" s="430"/>
      <c r="D95" s="143"/>
      <c r="E95" s="143" t="s">
        <v>1920</v>
      </c>
      <c r="F95" s="657"/>
      <c r="G95" s="15">
        <v>2</v>
      </c>
      <c r="H95" s="572"/>
      <c r="I95" s="547">
        <f t="shared" si="1"/>
        <v>0</v>
      </c>
    </row>
    <row r="96" spans="1:9" x14ac:dyDescent="0.2">
      <c r="A96" s="14" t="s">
        <v>1252</v>
      </c>
      <c r="B96" s="143" t="s">
        <v>311</v>
      </c>
      <c r="C96" s="430"/>
      <c r="D96" s="143"/>
      <c r="E96" s="143" t="s">
        <v>1920</v>
      </c>
      <c r="F96" s="657"/>
      <c r="G96" s="15">
        <v>2</v>
      </c>
      <c r="H96" s="572"/>
      <c r="I96" s="547">
        <f t="shared" si="1"/>
        <v>0</v>
      </c>
    </row>
    <row r="97" spans="1:9" x14ac:dyDescent="0.2">
      <c r="A97" s="8" t="s">
        <v>1051</v>
      </c>
      <c r="B97" s="143" t="s">
        <v>317</v>
      </c>
      <c r="C97" s="430"/>
      <c r="D97" s="143"/>
      <c r="E97" s="143" t="s">
        <v>1920</v>
      </c>
      <c r="F97" s="657"/>
      <c r="G97" s="10">
        <v>1</v>
      </c>
      <c r="H97" s="572"/>
      <c r="I97" s="547">
        <f t="shared" si="1"/>
        <v>0</v>
      </c>
    </row>
    <row r="98" spans="1:9" x14ac:dyDescent="0.2">
      <c r="A98" s="8" t="s">
        <v>2716</v>
      </c>
      <c r="B98" s="143" t="s">
        <v>2158</v>
      </c>
      <c r="C98" s="430"/>
      <c r="D98" s="143"/>
      <c r="E98" s="143" t="s">
        <v>2218</v>
      </c>
      <c r="F98" s="657"/>
      <c r="G98" s="10">
        <v>1</v>
      </c>
      <c r="H98" s="546"/>
      <c r="I98" s="547">
        <f t="shared" si="1"/>
        <v>0</v>
      </c>
    </row>
    <row r="99" spans="1:9" x14ac:dyDescent="0.2">
      <c r="A99" s="8" t="s">
        <v>161</v>
      </c>
      <c r="B99" s="143" t="s">
        <v>774</v>
      </c>
      <c r="C99" s="430"/>
      <c r="D99" s="143"/>
      <c r="E99" s="143" t="s">
        <v>1920</v>
      </c>
      <c r="F99" s="657"/>
      <c r="G99" s="10">
        <v>1</v>
      </c>
      <c r="H99" s="572"/>
      <c r="I99" s="547">
        <f t="shared" si="1"/>
        <v>0</v>
      </c>
    </row>
    <row r="100" spans="1:9" x14ac:dyDescent="0.2">
      <c r="A100" s="14" t="s">
        <v>37</v>
      </c>
      <c r="B100" s="143" t="s">
        <v>38</v>
      </c>
      <c r="C100" s="430"/>
      <c r="D100" s="143"/>
      <c r="E100" s="143" t="s">
        <v>1920</v>
      </c>
      <c r="F100" s="657"/>
      <c r="G100" s="15">
        <v>1</v>
      </c>
      <c r="H100" s="572"/>
      <c r="I100" s="547">
        <f t="shared" si="1"/>
        <v>0</v>
      </c>
    </row>
    <row r="101" spans="1:9" x14ac:dyDescent="0.2">
      <c r="A101" s="8" t="s">
        <v>39</v>
      </c>
      <c r="B101" s="143" t="s">
        <v>245</v>
      </c>
      <c r="C101" s="430"/>
      <c r="D101" s="143"/>
      <c r="E101" s="143" t="s">
        <v>1920</v>
      </c>
      <c r="F101" s="657"/>
      <c r="G101" s="10">
        <v>1</v>
      </c>
      <c r="H101" s="546"/>
      <c r="I101" s="547">
        <f t="shared" si="1"/>
        <v>0</v>
      </c>
    </row>
    <row r="102" spans="1:9" x14ac:dyDescent="0.2">
      <c r="A102" s="48" t="s">
        <v>2748</v>
      </c>
      <c r="B102" s="71" t="s">
        <v>2749</v>
      </c>
      <c r="C102" s="430"/>
      <c r="D102" s="71"/>
      <c r="E102" s="71" t="s">
        <v>1975</v>
      </c>
      <c r="F102" s="625"/>
      <c r="G102" s="15">
        <v>1</v>
      </c>
      <c r="H102" s="572"/>
      <c r="I102" s="547">
        <f t="shared" si="1"/>
        <v>0</v>
      </c>
    </row>
    <row r="103" spans="1:9" ht="15.75" x14ac:dyDescent="0.25">
      <c r="A103" s="8" t="s">
        <v>1685</v>
      </c>
      <c r="B103" s="143" t="s">
        <v>956</v>
      </c>
      <c r="C103" s="430"/>
      <c r="D103" s="143"/>
      <c r="E103" s="143" t="s">
        <v>1920</v>
      </c>
      <c r="F103" s="657"/>
      <c r="G103" s="15">
        <v>1</v>
      </c>
      <c r="H103" s="658"/>
      <c r="I103" s="547">
        <f t="shared" si="1"/>
        <v>0</v>
      </c>
    </row>
    <row r="104" spans="1:9" ht="15.75" x14ac:dyDescent="0.25">
      <c r="A104" s="8" t="s">
        <v>1692</v>
      </c>
      <c r="B104" s="143" t="s">
        <v>958</v>
      </c>
      <c r="C104" s="430"/>
      <c r="D104" s="143"/>
      <c r="E104" s="143" t="s">
        <v>1920</v>
      </c>
      <c r="F104" s="657"/>
      <c r="G104" s="15">
        <v>1</v>
      </c>
      <c r="H104" s="658"/>
      <c r="I104" s="547">
        <f t="shared" si="1"/>
        <v>0</v>
      </c>
    </row>
    <row r="105" spans="1:9" x14ac:dyDescent="0.2">
      <c r="A105" s="8" t="s">
        <v>1536</v>
      </c>
      <c r="B105" s="143" t="s">
        <v>937</v>
      </c>
      <c r="C105" s="430"/>
      <c r="D105" s="143"/>
      <c r="E105" s="143" t="s">
        <v>1920</v>
      </c>
      <c r="F105" s="657"/>
      <c r="G105" s="10">
        <v>1</v>
      </c>
      <c r="H105" s="572"/>
      <c r="I105" s="547">
        <f t="shared" si="1"/>
        <v>0</v>
      </c>
    </row>
    <row r="106" spans="1:9" x14ac:dyDescent="0.2">
      <c r="A106" s="8" t="s">
        <v>2234</v>
      </c>
      <c r="B106" s="143" t="s">
        <v>119</v>
      </c>
      <c r="C106" s="430"/>
      <c r="D106" s="143"/>
      <c r="E106" s="143" t="s">
        <v>1920</v>
      </c>
      <c r="F106" s="657"/>
      <c r="G106" s="10">
        <v>1</v>
      </c>
      <c r="H106" s="572"/>
      <c r="I106" s="547">
        <f t="shared" si="1"/>
        <v>0</v>
      </c>
    </row>
    <row r="107" spans="1:9" x14ac:dyDescent="0.2">
      <c r="A107" s="8" t="s">
        <v>1181</v>
      </c>
      <c r="B107" s="143" t="s">
        <v>199</v>
      </c>
      <c r="C107" s="430"/>
      <c r="D107" s="143"/>
      <c r="E107" s="143" t="s">
        <v>1920</v>
      </c>
      <c r="F107" s="657"/>
      <c r="G107" s="10">
        <v>1</v>
      </c>
      <c r="H107" s="572"/>
      <c r="I107" s="547">
        <f t="shared" si="1"/>
        <v>0</v>
      </c>
    </row>
    <row r="108" spans="1:9" x14ac:dyDescent="0.2">
      <c r="A108" s="8" t="s">
        <v>167</v>
      </c>
      <c r="B108" s="143" t="s">
        <v>323</v>
      </c>
      <c r="C108" s="430"/>
      <c r="D108" s="143"/>
      <c r="E108" s="143" t="s">
        <v>1920</v>
      </c>
      <c r="F108" s="657"/>
      <c r="G108" s="10">
        <v>1</v>
      </c>
      <c r="H108" s="572"/>
      <c r="I108" s="547">
        <f t="shared" si="1"/>
        <v>0</v>
      </c>
    </row>
    <row r="109" spans="1:9" x14ac:dyDescent="0.2">
      <c r="A109" s="8" t="s">
        <v>2230</v>
      </c>
      <c r="B109" s="143" t="s">
        <v>325</v>
      </c>
      <c r="C109" s="430"/>
      <c r="D109" s="143"/>
      <c r="E109" s="143" t="s">
        <v>1920</v>
      </c>
      <c r="F109" s="657"/>
      <c r="G109" s="10">
        <v>1</v>
      </c>
      <c r="H109" s="572"/>
      <c r="I109" s="547">
        <f t="shared" si="1"/>
        <v>0</v>
      </c>
    </row>
    <row r="110" spans="1:9" ht="15" customHeight="1" x14ac:dyDescent="0.2">
      <c r="A110" s="8" t="s">
        <v>1054</v>
      </c>
      <c r="B110" s="143" t="s">
        <v>326</v>
      </c>
      <c r="C110" s="430"/>
      <c r="D110" s="143"/>
      <c r="E110" s="143" t="s">
        <v>1920</v>
      </c>
      <c r="F110" s="657"/>
      <c r="G110" s="10">
        <v>1</v>
      </c>
      <c r="H110" s="572"/>
      <c r="I110" s="547">
        <f t="shared" si="1"/>
        <v>0</v>
      </c>
    </row>
    <row r="111" spans="1:9" x14ac:dyDescent="0.2">
      <c r="A111" s="8" t="s">
        <v>1184</v>
      </c>
      <c r="B111" s="143" t="s">
        <v>327</v>
      </c>
      <c r="C111" s="430"/>
      <c r="D111" s="143"/>
      <c r="E111" s="143">
        <v>55719</v>
      </c>
      <c r="F111" s="657"/>
      <c r="G111" s="10">
        <v>1</v>
      </c>
      <c r="H111" s="572"/>
      <c r="I111" s="547">
        <f t="shared" si="1"/>
        <v>0</v>
      </c>
    </row>
    <row r="112" spans="1:9" x14ac:dyDescent="0.2">
      <c r="A112" s="8" t="s">
        <v>1186</v>
      </c>
      <c r="B112" s="143" t="s">
        <v>328</v>
      </c>
      <c r="C112" s="430"/>
      <c r="D112" s="143"/>
      <c r="E112" s="143" t="s">
        <v>1920</v>
      </c>
      <c r="F112" s="657"/>
      <c r="G112" s="15">
        <v>1</v>
      </c>
      <c r="H112" s="572"/>
      <c r="I112" s="547">
        <f t="shared" si="1"/>
        <v>0</v>
      </c>
    </row>
    <row r="113" spans="1:9" ht="15" customHeight="1" x14ac:dyDescent="0.2">
      <c r="A113" s="8" t="s">
        <v>2879</v>
      </c>
      <c r="B113" s="143" t="s">
        <v>329</v>
      </c>
      <c r="C113" s="430"/>
      <c r="D113" s="143"/>
      <c r="E113" s="143" t="s">
        <v>1920</v>
      </c>
      <c r="F113" s="657"/>
      <c r="G113" s="10">
        <v>1</v>
      </c>
      <c r="H113" s="546"/>
      <c r="I113" s="547">
        <f t="shared" si="1"/>
        <v>0</v>
      </c>
    </row>
    <row r="114" spans="1:9" x14ac:dyDescent="0.2">
      <c r="A114" s="201" t="s">
        <v>1187</v>
      </c>
      <c r="B114" s="32" t="s">
        <v>360</v>
      </c>
      <c r="C114" s="430"/>
      <c r="D114" s="143"/>
      <c r="E114" s="143">
        <v>55719</v>
      </c>
      <c r="F114" s="657"/>
      <c r="G114" s="10">
        <v>1</v>
      </c>
      <c r="H114" s="572"/>
      <c r="I114" s="547">
        <f t="shared" si="1"/>
        <v>0</v>
      </c>
    </row>
    <row r="115" spans="1:9" ht="15.75" x14ac:dyDescent="0.25">
      <c r="A115" s="8" t="s">
        <v>1204</v>
      </c>
      <c r="B115" s="143" t="s">
        <v>352</v>
      </c>
      <c r="C115" s="430"/>
      <c r="D115" s="143"/>
      <c r="E115" s="143" t="s">
        <v>1920</v>
      </c>
      <c r="F115" s="657"/>
      <c r="G115" s="15">
        <v>1</v>
      </c>
      <c r="H115" s="658"/>
      <c r="I115" s="547">
        <f t="shared" si="1"/>
        <v>0</v>
      </c>
    </row>
    <row r="116" spans="1:9" x14ac:dyDescent="0.2">
      <c r="A116" s="8" t="s">
        <v>1055</v>
      </c>
      <c r="B116" s="143" t="s">
        <v>347</v>
      </c>
      <c r="C116" s="430"/>
      <c r="D116" s="143"/>
      <c r="E116" s="143" t="s">
        <v>1920</v>
      </c>
      <c r="F116" s="657"/>
      <c r="G116" s="10">
        <v>1</v>
      </c>
      <c r="H116" s="572"/>
      <c r="I116" s="547">
        <f t="shared" si="1"/>
        <v>0</v>
      </c>
    </row>
    <row r="117" spans="1:9" ht="15.75" customHeight="1" x14ac:dyDescent="0.2">
      <c r="A117" s="8" t="s">
        <v>3250</v>
      </c>
      <c r="B117" s="143" t="s">
        <v>318</v>
      </c>
      <c r="C117" s="430"/>
      <c r="D117" s="143"/>
      <c r="E117" s="143" t="s">
        <v>1920</v>
      </c>
      <c r="F117" s="657"/>
      <c r="G117" s="10">
        <v>1</v>
      </c>
      <c r="H117" s="572"/>
      <c r="I117" s="547">
        <f t="shared" si="1"/>
        <v>0</v>
      </c>
    </row>
    <row r="118" spans="1:9" ht="15.75" customHeight="1" x14ac:dyDescent="0.2">
      <c r="A118" s="8" t="s">
        <v>1257</v>
      </c>
      <c r="B118" s="143" t="s">
        <v>319</v>
      </c>
      <c r="C118" s="430"/>
      <c r="D118" s="143"/>
      <c r="E118" s="143" t="s">
        <v>1920</v>
      </c>
      <c r="F118" s="657"/>
      <c r="G118" s="10">
        <v>1</v>
      </c>
      <c r="H118" s="572"/>
      <c r="I118" s="547">
        <f t="shared" si="1"/>
        <v>0</v>
      </c>
    </row>
    <row r="119" spans="1:9" ht="15.75" customHeight="1" x14ac:dyDescent="0.2">
      <c r="A119" s="8" t="s">
        <v>1256</v>
      </c>
      <c r="B119" s="143" t="s">
        <v>321</v>
      </c>
      <c r="C119" s="430"/>
      <c r="D119" s="143"/>
      <c r="E119" s="143" t="s">
        <v>1920</v>
      </c>
      <c r="F119" s="657"/>
      <c r="G119" s="10">
        <v>1</v>
      </c>
      <c r="H119" s="572"/>
      <c r="I119" s="547">
        <f t="shared" si="1"/>
        <v>0</v>
      </c>
    </row>
    <row r="120" spans="1:9" x14ac:dyDescent="0.2">
      <c r="A120" s="69" t="s">
        <v>1693</v>
      </c>
      <c r="B120" s="143" t="s">
        <v>527</v>
      </c>
      <c r="C120" s="430"/>
      <c r="D120" s="143"/>
      <c r="E120" s="143" t="s">
        <v>1920</v>
      </c>
      <c r="F120" s="657"/>
      <c r="G120" s="10">
        <v>1</v>
      </c>
      <c r="H120" s="572"/>
      <c r="I120" s="547">
        <f t="shared" si="1"/>
        <v>0</v>
      </c>
    </row>
    <row r="121" spans="1:9" x14ac:dyDescent="0.2">
      <c r="A121" s="8" t="s">
        <v>1482</v>
      </c>
      <c r="B121" s="143" t="s">
        <v>654</v>
      </c>
      <c r="C121" s="430"/>
      <c r="D121" s="143"/>
      <c r="E121" s="143" t="s">
        <v>1920</v>
      </c>
      <c r="F121" s="657"/>
      <c r="G121" s="10">
        <v>1</v>
      </c>
      <c r="H121" s="572"/>
      <c r="I121" s="547">
        <f t="shared" si="1"/>
        <v>0</v>
      </c>
    </row>
    <row r="122" spans="1:9" ht="15.75" customHeight="1" x14ac:dyDescent="0.2">
      <c r="A122" s="12" t="s">
        <v>2857</v>
      </c>
      <c r="B122" s="71" t="s">
        <v>2850</v>
      </c>
      <c r="C122" s="430"/>
      <c r="D122" s="71"/>
      <c r="E122" s="71" t="s">
        <v>1928</v>
      </c>
      <c r="F122" s="625"/>
      <c r="G122" s="10">
        <v>1</v>
      </c>
      <c r="H122" s="572"/>
      <c r="I122" s="547">
        <f t="shared" si="1"/>
        <v>0</v>
      </c>
    </row>
    <row r="123" spans="1:9" ht="15.75" customHeight="1" x14ac:dyDescent="0.2">
      <c r="A123" s="14" t="s">
        <v>3199</v>
      </c>
      <c r="B123" s="143" t="s">
        <v>253</v>
      </c>
      <c r="C123" s="430"/>
      <c r="D123" s="143"/>
      <c r="E123" s="143" t="s">
        <v>1920</v>
      </c>
      <c r="F123" s="657"/>
      <c r="G123" s="15">
        <v>1</v>
      </c>
      <c r="H123" s="572"/>
      <c r="I123" s="547">
        <f t="shared" si="1"/>
        <v>0</v>
      </c>
    </row>
    <row r="126" spans="1:9" s="4" customFormat="1" ht="18" x14ac:dyDescent="0.25">
      <c r="A126" s="422" t="s">
        <v>1782</v>
      </c>
      <c r="B126" s="425"/>
      <c r="C126" s="309"/>
      <c r="D126" s="3"/>
      <c r="E126" s="3"/>
      <c r="F126" s="309"/>
      <c r="G126" s="3"/>
      <c r="H126" s="531"/>
      <c r="I126" s="541"/>
    </row>
    <row r="127" spans="1:9" s="4" customFormat="1" ht="18" x14ac:dyDescent="0.25">
      <c r="A127" s="422" t="s">
        <v>2953</v>
      </c>
      <c r="B127" s="425"/>
      <c r="C127" s="309"/>
      <c r="F127" s="308"/>
      <c r="G127" s="3"/>
      <c r="H127" s="531"/>
      <c r="I127" s="541"/>
    </row>
    <row r="128" spans="1:9" ht="18" x14ac:dyDescent="0.25">
      <c r="A128" s="491" t="s">
        <v>3335</v>
      </c>
      <c r="B128" s="312"/>
    </row>
    <row r="129" spans="1:2" ht="18" x14ac:dyDescent="0.25">
      <c r="A129" s="449" t="s">
        <v>3367</v>
      </c>
      <c r="B129" s="608">
        <f>+I123</f>
        <v>0</v>
      </c>
    </row>
  </sheetData>
  <sortState xmlns:xlrd2="http://schemas.microsoft.com/office/spreadsheetml/2017/richdata2" ref="A3:G115">
    <sortCondition ref="B3:B115"/>
  </sortState>
  <pageMargins left="0.5" right="0.5" top="0.5" bottom="0.5" header="0.3" footer="0.3"/>
  <pageSetup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0"/>
  <sheetViews>
    <sheetView workbookViewId="0">
      <pane ySplit="1" topLeftCell="A2" activePane="bottomLeft" state="frozen"/>
      <selection activeCell="C26" sqref="C26"/>
      <selection pane="bottomLeft" activeCell="G23" sqref="G2:G23"/>
    </sheetView>
  </sheetViews>
  <sheetFormatPr defaultColWidth="9.140625" defaultRowHeight="15" x14ac:dyDescent="0.2"/>
  <cols>
    <col min="1" max="1" width="63.85546875" style="119" bestFit="1" customWidth="1"/>
    <col min="2" max="2" width="16.42578125" style="119" bestFit="1" customWidth="1"/>
    <col min="3" max="3" width="20.42578125" style="251" bestFit="1" customWidth="1"/>
    <col min="4" max="4" width="20.140625" style="119" bestFit="1" customWidth="1"/>
    <col min="5" max="5" width="12.42578125" style="119" bestFit="1" customWidth="1"/>
    <col min="6" max="6" width="15.5703125" style="251" bestFit="1" customWidth="1"/>
    <col min="7" max="7" width="10" style="119" bestFit="1" customWidth="1"/>
    <col min="8" max="8" width="11.42578125" style="519" bestFit="1" customWidth="1"/>
    <col min="9" max="9" width="16.85546875" style="519" bestFit="1" customWidth="1"/>
    <col min="10" max="10" width="17.140625" style="119" bestFit="1" customWidth="1"/>
    <col min="11" max="16384" width="9.140625" style="119"/>
  </cols>
  <sheetData>
    <row r="1" spans="1:9" ht="15.75" x14ac:dyDescent="0.25">
      <c r="A1" s="115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115" t="s">
        <v>412</v>
      </c>
      <c r="H1" s="528" t="s">
        <v>3368</v>
      </c>
      <c r="I1" s="539" t="s">
        <v>3369</v>
      </c>
    </row>
    <row r="2" spans="1:9" x14ac:dyDescent="0.2">
      <c r="A2" s="151" t="s">
        <v>459</v>
      </c>
      <c r="B2" s="114" t="s">
        <v>1823</v>
      </c>
      <c r="C2" s="430"/>
      <c r="D2" s="114"/>
      <c r="E2" s="114" t="s">
        <v>1920</v>
      </c>
      <c r="F2" s="485"/>
      <c r="G2" s="114">
        <v>1</v>
      </c>
      <c r="H2" s="660"/>
      <c r="I2" s="559">
        <f>+G2*H2</f>
        <v>0</v>
      </c>
    </row>
    <row r="3" spans="1:9" x14ac:dyDescent="0.2">
      <c r="A3" s="151" t="s">
        <v>17</v>
      </c>
      <c r="B3" s="114" t="s">
        <v>407</v>
      </c>
      <c r="C3" s="430"/>
      <c r="D3" s="114"/>
      <c r="E3" s="114" t="s">
        <v>1920</v>
      </c>
      <c r="F3" s="485"/>
      <c r="G3" s="114">
        <v>1</v>
      </c>
      <c r="H3" s="660"/>
      <c r="I3" s="559">
        <f t="shared" ref="I3:I23" si="0">+G3*H3</f>
        <v>0</v>
      </c>
    </row>
    <row r="4" spans="1:9" x14ac:dyDescent="0.2">
      <c r="A4" s="151" t="s">
        <v>48</v>
      </c>
      <c r="B4" s="114" t="s">
        <v>252</v>
      </c>
      <c r="C4" s="430"/>
      <c r="D4" s="114"/>
      <c r="E4" s="114" t="s">
        <v>1920</v>
      </c>
      <c r="F4" s="485"/>
      <c r="G4" s="114">
        <v>5</v>
      </c>
      <c r="H4" s="660"/>
      <c r="I4" s="559">
        <f t="shared" si="0"/>
        <v>0</v>
      </c>
    </row>
    <row r="5" spans="1:9" x14ac:dyDescent="0.2">
      <c r="A5" s="151" t="s">
        <v>1521</v>
      </c>
      <c r="B5" s="114" t="s">
        <v>921</v>
      </c>
      <c r="C5" s="430"/>
      <c r="D5" s="114"/>
      <c r="E5" s="114" t="s">
        <v>1944</v>
      </c>
      <c r="F5" s="485"/>
      <c r="G5" s="114">
        <v>1</v>
      </c>
      <c r="H5" s="660"/>
      <c r="I5" s="559">
        <f t="shared" si="0"/>
        <v>0</v>
      </c>
    </row>
    <row r="6" spans="1:9" x14ac:dyDescent="0.2">
      <c r="A6" s="151" t="s">
        <v>1522</v>
      </c>
      <c r="B6" s="114" t="s">
        <v>922</v>
      </c>
      <c r="C6" s="430"/>
      <c r="D6" s="114"/>
      <c r="E6" s="114" t="s">
        <v>1944</v>
      </c>
      <c r="F6" s="485"/>
      <c r="G6" s="114">
        <v>1</v>
      </c>
      <c r="H6" s="660"/>
      <c r="I6" s="559">
        <f t="shared" si="0"/>
        <v>0</v>
      </c>
    </row>
    <row r="7" spans="1:9" x14ac:dyDescent="0.2">
      <c r="A7" s="151" t="s">
        <v>1523</v>
      </c>
      <c r="B7" s="114" t="s">
        <v>923</v>
      </c>
      <c r="C7" s="430"/>
      <c r="D7" s="114"/>
      <c r="E7" s="114" t="s">
        <v>1944</v>
      </c>
      <c r="F7" s="485"/>
      <c r="G7" s="114">
        <v>1</v>
      </c>
      <c r="H7" s="660"/>
      <c r="I7" s="559">
        <f t="shared" si="0"/>
        <v>0</v>
      </c>
    </row>
    <row r="8" spans="1:9" x14ac:dyDescent="0.2">
      <c r="A8" s="151" t="s">
        <v>1526</v>
      </c>
      <c r="B8" s="114" t="s">
        <v>924</v>
      </c>
      <c r="C8" s="430"/>
      <c r="D8" s="114"/>
      <c r="E8" s="114" t="s">
        <v>1944</v>
      </c>
      <c r="F8" s="485"/>
      <c r="G8" s="114">
        <v>1</v>
      </c>
      <c r="H8" s="660"/>
      <c r="I8" s="559">
        <f t="shared" si="0"/>
        <v>0</v>
      </c>
    </row>
    <row r="9" spans="1:9" x14ac:dyDescent="0.2">
      <c r="A9" s="151" t="s">
        <v>1527</v>
      </c>
      <c r="B9" s="114" t="s">
        <v>925</v>
      </c>
      <c r="C9" s="430"/>
      <c r="D9" s="114"/>
      <c r="E9" s="114" t="s">
        <v>1944</v>
      </c>
      <c r="F9" s="485"/>
      <c r="G9" s="114">
        <v>1</v>
      </c>
      <c r="H9" s="660"/>
      <c r="I9" s="559">
        <f t="shared" si="0"/>
        <v>0</v>
      </c>
    </row>
    <row r="10" spans="1:9" x14ac:dyDescent="0.2">
      <c r="A10" s="151" t="s">
        <v>1092</v>
      </c>
      <c r="B10" s="114" t="s">
        <v>406</v>
      </c>
      <c r="C10" s="430"/>
      <c r="D10" s="114"/>
      <c r="E10" s="114" t="s">
        <v>1920</v>
      </c>
      <c r="F10" s="485"/>
      <c r="G10" s="114">
        <v>5</v>
      </c>
      <c r="H10" s="660"/>
      <c r="I10" s="559">
        <f t="shared" si="0"/>
        <v>0</v>
      </c>
    </row>
    <row r="11" spans="1:9" x14ac:dyDescent="0.2">
      <c r="A11" s="151" t="s">
        <v>1093</v>
      </c>
      <c r="B11" s="114" t="s">
        <v>215</v>
      </c>
      <c r="C11" s="430"/>
      <c r="D11" s="114"/>
      <c r="E11" s="114" t="s">
        <v>1920</v>
      </c>
      <c r="F11" s="485"/>
      <c r="G11" s="114">
        <v>2</v>
      </c>
      <c r="H11" s="660"/>
      <c r="I11" s="559">
        <f t="shared" si="0"/>
        <v>0</v>
      </c>
    </row>
    <row r="12" spans="1:9" x14ac:dyDescent="0.2">
      <c r="A12" s="151" t="s">
        <v>6</v>
      </c>
      <c r="B12" s="114" t="s">
        <v>91</v>
      </c>
      <c r="C12" s="430"/>
      <c r="D12" s="114"/>
      <c r="E12" s="114" t="s">
        <v>1920</v>
      </c>
      <c r="F12" s="485"/>
      <c r="G12" s="114">
        <v>5</v>
      </c>
      <c r="H12" s="660"/>
      <c r="I12" s="559">
        <f t="shared" si="0"/>
        <v>0</v>
      </c>
    </row>
    <row r="13" spans="1:9" x14ac:dyDescent="0.2">
      <c r="A13" s="151" t="s">
        <v>839</v>
      </c>
      <c r="B13" s="114" t="s">
        <v>1995</v>
      </c>
      <c r="C13" s="430"/>
      <c r="D13" s="114"/>
      <c r="E13" s="114" t="s">
        <v>1920</v>
      </c>
      <c r="F13" s="485"/>
      <c r="G13" s="114">
        <v>1</v>
      </c>
      <c r="H13" s="660"/>
      <c r="I13" s="559">
        <f t="shared" si="0"/>
        <v>0</v>
      </c>
    </row>
    <row r="14" spans="1:9" x14ac:dyDescent="0.2">
      <c r="A14" s="151" t="s">
        <v>180</v>
      </c>
      <c r="B14" s="114" t="s">
        <v>479</v>
      </c>
      <c r="C14" s="430"/>
      <c r="D14" s="114"/>
      <c r="E14" s="114" t="s">
        <v>1920</v>
      </c>
      <c r="F14" s="485"/>
      <c r="G14" s="114">
        <v>1</v>
      </c>
      <c r="H14" s="660"/>
      <c r="I14" s="559">
        <f t="shared" si="0"/>
        <v>0</v>
      </c>
    </row>
    <row r="15" spans="1:9" x14ac:dyDescent="0.2">
      <c r="A15" s="253" t="s">
        <v>3260</v>
      </c>
      <c r="B15" s="114" t="s">
        <v>480</v>
      </c>
      <c r="C15" s="430"/>
      <c r="D15" s="114"/>
      <c r="E15" s="114" t="s">
        <v>1920</v>
      </c>
      <c r="F15" s="485"/>
      <c r="G15" s="114">
        <v>1</v>
      </c>
      <c r="H15" s="660"/>
      <c r="I15" s="559">
        <f t="shared" si="0"/>
        <v>0</v>
      </c>
    </row>
    <row r="16" spans="1:9" x14ac:dyDescent="0.2">
      <c r="A16" s="151" t="s">
        <v>209</v>
      </c>
      <c r="B16" s="114" t="s">
        <v>210</v>
      </c>
      <c r="C16" s="430"/>
      <c r="D16" s="114"/>
      <c r="E16" s="114" t="s">
        <v>1920</v>
      </c>
      <c r="F16" s="485"/>
      <c r="G16" s="114">
        <v>1</v>
      </c>
      <c r="H16" s="660"/>
      <c r="I16" s="559">
        <f t="shared" si="0"/>
        <v>0</v>
      </c>
    </row>
    <row r="17" spans="1:9" x14ac:dyDescent="0.2">
      <c r="A17" s="151" t="s">
        <v>1275</v>
      </c>
      <c r="B17" s="114" t="s">
        <v>478</v>
      </c>
      <c r="C17" s="430"/>
      <c r="D17" s="114"/>
      <c r="E17" s="114" t="s">
        <v>1920</v>
      </c>
      <c r="F17" s="485"/>
      <c r="G17" s="114">
        <v>1</v>
      </c>
      <c r="H17" s="660"/>
      <c r="I17" s="559">
        <f t="shared" si="0"/>
        <v>0</v>
      </c>
    </row>
    <row r="18" spans="1:9" x14ac:dyDescent="0.2">
      <c r="A18" s="151" t="s">
        <v>2133</v>
      </c>
      <c r="B18" s="114" t="s">
        <v>2909</v>
      </c>
      <c r="C18" s="430"/>
      <c r="D18" s="114"/>
      <c r="E18" s="114">
        <v>56654</v>
      </c>
      <c r="F18" s="485"/>
      <c r="G18" s="114">
        <v>2</v>
      </c>
      <c r="H18" s="660"/>
      <c r="I18" s="559">
        <f t="shared" si="0"/>
        <v>0</v>
      </c>
    </row>
    <row r="19" spans="1:9" x14ac:dyDescent="0.2">
      <c r="A19" s="151" t="s">
        <v>1177</v>
      </c>
      <c r="B19" s="114">
        <v>57213</v>
      </c>
      <c r="C19" s="430"/>
      <c r="D19" s="114"/>
      <c r="E19" s="114">
        <v>25795</v>
      </c>
      <c r="F19" s="485"/>
      <c r="G19" s="114">
        <v>1</v>
      </c>
      <c r="H19" s="660"/>
      <c r="I19" s="559">
        <f t="shared" si="0"/>
        <v>0</v>
      </c>
    </row>
    <row r="20" spans="1:9" x14ac:dyDescent="0.2">
      <c r="A20" s="151" t="s">
        <v>2922</v>
      </c>
      <c r="B20" s="114" t="s">
        <v>405</v>
      </c>
      <c r="C20" s="430"/>
      <c r="D20" s="114"/>
      <c r="E20" s="114" t="s">
        <v>1920</v>
      </c>
      <c r="F20" s="485"/>
      <c r="G20" s="114">
        <v>5</v>
      </c>
      <c r="H20" s="660"/>
      <c r="I20" s="559">
        <f t="shared" si="0"/>
        <v>0</v>
      </c>
    </row>
    <row r="21" spans="1:9" x14ac:dyDescent="0.2">
      <c r="A21" s="151" t="s">
        <v>2923</v>
      </c>
      <c r="B21" s="114" t="s">
        <v>241</v>
      </c>
      <c r="C21" s="430"/>
      <c r="D21" s="114"/>
      <c r="E21" s="114" t="s">
        <v>1920</v>
      </c>
      <c r="F21" s="485"/>
      <c r="G21" s="114">
        <v>5</v>
      </c>
      <c r="H21" s="660"/>
      <c r="I21" s="559">
        <f t="shared" si="0"/>
        <v>0</v>
      </c>
    </row>
    <row r="22" spans="1:9" x14ac:dyDescent="0.2">
      <c r="A22" s="151" t="s">
        <v>1460</v>
      </c>
      <c r="B22" s="114" t="s">
        <v>2851</v>
      </c>
      <c r="C22" s="430"/>
      <c r="D22" s="114"/>
      <c r="E22" s="114" t="s">
        <v>1928</v>
      </c>
      <c r="F22" s="485"/>
      <c r="G22" s="114">
        <v>1</v>
      </c>
      <c r="H22" s="660"/>
      <c r="I22" s="559">
        <f t="shared" si="0"/>
        <v>0</v>
      </c>
    </row>
    <row r="23" spans="1:9" x14ac:dyDescent="0.2">
      <c r="A23" s="151" t="s">
        <v>13</v>
      </c>
      <c r="B23" s="114" t="s">
        <v>471</v>
      </c>
      <c r="C23" s="430"/>
      <c r="D23" s="114"/>
      <c r="E23" s="114" t="s">
        <v>1920</v>
      </c>
      <c r="F23" s="485"/>
      <c r="G23" s="114">
        <v>1</v>
      </c>
      <c r="H23" s="660"/>
      <c r="I23" s="559">
        <f t="shared" si="0"/>
        <v>0</v>
      </c>
    </row>
    <row r="24" spans="1:9" x14ac:dyDescent="0.2">
      <c r="H24" s="552"/>
      <c r="I24" s="519">
        <f>SUM(I2:I23)</f>
        <v>0</v>
      </c>
    </row>
    <row r="25" spans="1:9" x14ac:dyDescent="0.2">
      <c r="H25" s="552"/>
    </row>
    <row r="26" spans="1:9" x14ac:dyDescent="0.2">
      <c r="H26" s="552"/>
    </row>
    <row r="27" spans="1:9" s="4" customFormat="1" ht="18" x14ac:dyDescent="0.25">
      <c r="A27" s="422" t="s">
        <v>1792</v>
      </c>
      <c r="B27" s="425"/>
      <c r="C27" s="309"/>
      <c r="D27" s="3"/>
      <c r="E27" s="3"/>
      <c r="F27" s="309"/>
      <c r="G27" s="3"/>
      <c r="H27" s="531"/>
      <c r="I27" s="541"/>
    </row>
    <row r="28" spans="1:9" s="4" customFormat="1" ht="18" x14ac:dyDescent="0.25">
      <c r="A28" s="422" t="s">
        <v>2954</v>
      </c>
      <c r="B28" s="425"/>
      <c r="C28" s="309"/>
      <c r="D28" s="3"/>
      <c r="E28" s="3"/>
      <c r="F28" s="309"/>
      <c r="G28" s="3"/>
      <c r="H28" s="531"/>
      <c r="I28" s="541"/>
    </row>
    <row r="29" spans="1:9" ht="18" x14ac:dyDescent="0.25">
      <c r="A29" s="491" t="s">
        <v>3334</v>
      </c>
      <c r="B29" s="245"/>
      <c r="H29" s="552"/>
    </row>
    <row r="30" spans="1:9" ht="18" x14ac:dyDescent="0.25">
      <c r="A30" s="449" t="s">
        <v>3367</v>
      </c>
      <c r="B30" s="608">
        <f>+I24</f>
        <v>0</v>
      </c>
      <c r="H30" s="55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9"/>
  <sheetViews>
    <sheetView workbookViewId="0">
      <pane ySplit="1" topLeftCell="A12" activePane="bottomLeft" state="frozen"/>
      <selection activeCell="C26" sqref="C26"/>
      <selection pane="bottomLeft" activeCell="G2" sqref="G2:G43"/>
    </sheetView>
  </sheetViews>
  <sheetFormatPr defaultColWidth="9.140625" defaultRowHeight="15" x14ac:dyDescent="0.2"/>
  <cols>
    <col min="1" max="1" width="51.5703125" style="162" bestFit="1" customWidth="1"/>
    <col min="2" max="2" width="16.42578125" style="165" bestFit="1" customWidth="1"/>
    <col min="3" max="3" width="20.42578125" style="165" bestFit="1" customWidth="1"/>
    <col min="4" max="4" width="20.140625" style="165" bestFit="1" customWidth="1"/>
    <col min="5" max="5" width="12.42578125" style="165" bestFit="1" customWidth="1"/>
    <col min="6" max="6" width="15.5703125" style="165" bestFit="1" customWidth="1"/>
    <col min="7" max="7" width="11.85546875" style="165" customWidth="1"/>
    <col min="8" max="8" width="11.42578125" style="662" bestFit="1" customWidth="1"/>
    <col min="9" max="9" width="16.85546875" style="663" bestFit="1" customWidth="1"/>
    <col min="10" max="16384" width="9.140625" style="162"/>
  </cols>
  <sheetData>
    <row r="1" spans="1:9" ht="15.75" x14ac:dyDescent="0.25">
      <c r="A1" s="2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24" t="s">
        <v>412</v>
      </c>
      <c r="H1" s="528" t="s">
        <v>3368</v>
      </c>
      <c r="I1" s="528" t="s">
        <v>3369</v>
      </c>
    </row>
    <row r="2" spans="1:9" x14ac:dyDescent="0.2">
      <c r="A2" s="151" t="s">
        <v>1162</v>
      </c>
      <c r="B2" s="129" t="s">
        <v>2127</v>
      </c>
      <c r="C2" s="430"/>
      <c r="D2" s="26"/>
      <c r="E2" s="26">
        <v>55719</v>
      </c>
      <c r="F2" s="517"/>
      <c r="G2" s="47">
        <v>1</v>
      </c>
      <c r="H2" s="661"/>
      <c r="I2" s="566">
        <f>+G2*H2</f>
        <v>0</v>
      </c>
    </row>
    <row r="3" spans="1:9" x14ac:dyDescent="0.2">
      <c r="A3" s="151" t="s">
        <v>459</v>
      </c>
      <c r="B3" s="129" t="s">
        <v>1823</v>
      </c>
      <c r="C3" s="430"/>
      <c r="D3" s="26"/>
      <c r="E3" s="26" t="s">
        <v>1920</v>
      </c>
      <c r="F3" s="517"/>
      <c r="G3" s="47">
        <v>1</v>
      </c>
      <c r="H3" s="661"/>
      <c r="I3" s="566">
        <f t="shared" ref="I3:I43" si="0">+G3*H3</f>
        <v>0</v>
      </c>
    </row>
    <row r="4" spans="1:9" x14ac:dyDescent="0.2">
      <c r="A4" s="151" t="s">
        <v>141</v>
      </c>
      <c r="B4" s="129" t="s">
        <v>576</v>
      </c>
      <c r="C4" s="430"/>
      <c r="D4" s="26"/>
      <c r="E4" s="26" t="s">
        <v>1920</v>
      </c>
      <c r="F4" s="517"/>
      <c r="G4" s="47">
        <v>1</v>
      </c>
      <c r="H4" s="661"/>
      <c r="I4" s="566">
        <f t="shared" si="0"/>
        <v>0</v>
      </c>
    </row>
    <row r="5" spans="1:9" x14ac:dyDescent="0.2">
      <c r="A5" s="151" t="s">
        <v>1158</v>
      </c>
      <c r="B5" s="129" t="s">
        <v>512</v>
      </c>
      <c r="C5" s="430"/>
      <c r="D5" s="26"/>
      <c r="E5" s="26" t="s">
        <v>1920</v>
      </c>
      <c r="F5" s="517"/>
      <c r="G5" s="47">
        <v>1</v>
      </c>
      <c r="H5" s="661"/>
      <c r="I5" s="566">
        <f t="shared" si="0"/>
        <v>0</v>
      </c>
    </row>
    <row r="6" spans="1:9" x14ac:dyDescent="0.2">
      <c r="A6" s="151" t="s">
        <v>1198</v>
      </c>
      <c r="B6" s="129" t="s">
        <v>257</v>
      </c>
      <c r="C6" s="430"/>
      <c r="D6" s="26"/>
      <c r="E6" s="26" t="s">
        <v>1920</v>
      </c>
      <c r="F6" s="517"/>
      <c r="G6" s="47">
        <v>1</v>
      </c>
      <c r="H6" s="661"/>
      <c r="I6" s="566">
        <f t="shared" si="0"/>
        <v>0</v>
      </c>
    </row>
    <row r="7" spans="1:9" x14ac:dyDescent="0.2">
      <c r="A7" s="151" t="s">
        <v>1532</v>
      </c>
      <c r="B7" s="129" t="s">
        <v>2123</v>
      </c>
      <c r="C7" s="430"/>
      <c r="D7" s="26"/>
      <c r="E7" s="26">
        <v>55719</v>
      </c>
      <c r="F7" s="517"/>
      <c r="G7" s="47">
        <v>1</v>
      </c>
      <c r="H7" s="661"/>
      <c r="I7" s="566">
        <f t="shared" si="0"/>
        <v>0</v>
      </c>
    </row>
    <row r="8" spans="1:9" x14ac:dyDescent="0.2">
      <c r="A8" s="151" t="s">
        <v>1192</v>
      </c>
      <c r="B8" s="129" t="s">
        <v>94</v>
      </c>
      <c r="C8" s="430"/>
      <c r="D8" s="26"/>
      <c r="E8" s="26" t="s">
        <v>1920</v>
      </c>
      <c r="F8" s="517"/>
      <c r="G8" s="47">
        <v>1</v>
      </c>
      <c r="H8" s="661"/>
      <c r="I8" s="566">
        <f t="shared" si="0"/>
        <v>0</v>
      </c>
    </row>
    <row r="9" spans="1:9" x14ac:dyDescent="0.2">
      <c r="A9" s="151" t="s">
        <v>1297</v>
      </c>
      <c r="B9" s="129" t="s">
        <v>89</v>
      </c>
      <c r="C9" s="430"/>
      <c r="D9" s="26"/>
      <c r="E9" s="26" t="s">
        <v>1920</v>
      </c>
      <c r="F9" s="517"/>
      <c r="G9" s="47">
        <v>1</v>
      </c>
      <c r="H9" s="661"/>
      <c r="I9" s="566">
        <f t="shared" si="0"/>
        <v>0</v>
      </c>
    </row>
    <row r="10" spans="1:9" x14ac:dyDescent="0.2">
      <c r="A10" s="151" t="s">
        <v>1038</v>
      </c>
      <c r="B10" s="129" t="s">
        <v>280</v>
      </c>
      <c r="C10" s="430"/>
      <c r="D10" s="26"/>
      <c r="E10" s="26">
        <v>55719</v>
      </c>
      <c r="F10" s="517"/>
      <c r="G10" s="47">
        <v>1</v>
      </c>
      <c r="H10" s="661"/>
      <c r="I10" s="566">
        <f t="shared" si="0"/>
        <v>0</v>
      </c>
    </row>
    <row r="11" spans="1:9" x14ac:dyDescent="0.2">
      <c r="A11" s="151" t="s">
        <v>1035</v>
      </c>
      <c r="B11" s="129" t="s">
        <v>414</v>
      </c>
      <c r="C11" s="430"/>
      <c r="D11" s="26"/>
      <c r="E11" s="26" t="s">
        <v>1920</v>
      </c>
      <c r="F11" s="517"/>
      <c r="G11" s="47">
        <v>2</v>
      </c>
      <c r="H11" s="661"/>
      <c r="I11" s="566">
        <f t="shared" si="0"/>
        <v>0</v>
      </c>
    </row>
    <row r="12" spans="1:9" x14ac:dyDescent="0.2">
      <c r="A12" s="151" t="s">
        <v>6</v>
      </c>
      <c r="B12" s="129" t="s">
        <v>91</v>
      </c>
      <c r="C12" s="430"/>
      <c r="D12" s="26"/>
      <c r="E12" s="26" t="s">
        <v>1920</v>
      </c>
      <c r="F12" s="517"/>
      <c r="G12" s="47">
        <v>1</v>
      </c>
      <c r="H12" s="661"/>
      <c r="I12" s="566">
        <f t="shared" si="0"/>
        <v>0</v>
      </c>
    </row>
    <row r="13" spans="1:9" x14ac:dyDescent="0.2">
      <c r="A13" s="151" t="s">
        <v>202</v>
      </c>
      <c r="B13" s="129" t="s">
        <v>260</v>
      </c>
      <c r="C13" s="430"/>
      <c r="D13" s="26"/>
      <c r="E13" s="26" t="s">
        <v>1920</v>
      </c>
      <c r="F13" s="517"/>
      <c r="G13" s="47">
        <v>1</v>
      </c>
      <c r="H13" s="661"/>
      <c r="I13" s="566">
        <f t="shared" si="0"/>
        <v>0</v>
      </c>
    </row>
    <row r="14" spans="1:9" x14ac:dyDescent="0.2">
      <c r="A14" s="151" t="s">
        <v>44</v>
      </c>
      <c r="B14" s="129" t="s">
        <v>896</v>
      </c>
      <c r="C14" s="430"/>
      <c r="D14" s="26"/>
      <c r="E14" s="26" t="s">
        <v>1920</v>
      </c>
      <c r="F14" s="517"/>
      <c r="G14" s="47">
        <v>1</v>
      </c>
      <c r="H14" s="661"/>
      <c r="I14" s="566">
        <f t="shared" si="0"/>
        <v>0</v>
      </c>
    </row>
    <row r="15" spans="1:9" x14ac:dyDescent="0.2">
      <c r="A15" s="151" t="s">
        <v>3</v>
      </c>
      <c r="B15" s="129" t="s">
        <v>465</v>
      </c>
      <c r="C15" s="430"/>
      <c r="D15" s="26"/>
      <c r="E15" s="26" t="s">
        <v>1920</v>
      </c>
      <c r="F15" s="517"/>
      <c r="G15" s="47">
        <v>1</v>
      </c>
      <c r="H15" s="661"/>
      <c r="I15" s="566">
        <f t="shared" si="0"/>
        <v>0</v>
      </c>
    </row>
    <row r="16" spans="1:9" x14ac:dyDescent="0.2">
      <c r="A16" s="151" t="s">
        <v>1472</v>
      </c>
      <c r="B16" s="129" t="s">
        <v>1991</v>
      </c>
      <c r="C16" s="430"/>
      <c r="D16" s="26"/>
      <c r="E16" s="26" t="s">
        <v>1920</v>
      </c>
      <c r="F16" s="517"/>
      <c r="G16" s="47">
        <v>1</v>
      </c>
      <c r="H16" s="661"/>
      <c r="I16" s="566">
        <f t="shared" si="0"/>
        <v>0</v>
      </c>
    </row>
    <row r="17" spans="1:9" x14ac:dyDescent="0.2">
      <c r="A17" s="151" t="s">
        <v>926</v>
      </c>
      <c r="B17" s="129" t="s">
        <v>2125</v>
      </c>
      <c r="C17" s="430"/>
      <c r="D17" s="26"/>
      <c r="E17" s="26">
        <v>94894</v>
      </c>
      <c r="F17" s="517"/>
      <c r="G17" s="47">
        <v>1</v>
      </c>
      <c r="H17" s="661"/>
      <c r="I17" s="566">
        <f t="shared" si="0"/>
        <v>0</v>
      </c>
    </row>
    <row r="18" spans="1:9" x14ac:dyDescent="0.2">
      <c r="A18" s="151" t="s">
        <v>1153</v>
      </c>
      <c r="B18" s="129" t="s">
        <v>2131</v>
      </c>
      <c r="C18" s="430"/>
      <c r="D18" s="26"/>
      <c r="E18" s="26" t="s">
        <v>1920</v>
      </c>
      <c r="F18" s="517"/>
      <c r="G18" s="47">
        <v>1</v>
      </c>
      <c r="H18" s="661"/>
      <c r="I18" s="566">
        <f t="shared" si="0"/>
        <v>0</v>
      </c>
    </row>
    <row r="19" spans="1:9" x14ac:dyDescent="0.2">
      <c r="A19" s="151" t="s">
        <v>1184</v>
      </c>
      <c r="B19" s="129" t="s">
        <v>327</v>
      </c>
      <c r="C19" s="430"/>
      <c r="D19" s="26"/>
      <c r="E19" s="26" t="s">
        <v>1920</v>
      </c>
      <c r="F19" s="517"/>
      <c r="G19" s="47">
        <v>1</v>
      </c>
      <c r="H19" s="661"/>
      <c r="I19" s="566">
        <f t="shared" si="0"/>
        <v>0</v>
      </c>
    </row>
    <row r="20" spans="1:9" x14ac:dyDescent="0.2">
      <c r="A20" s="151" t="s">
        <v>1180</v>
      </c>
      <c r="B20" s="129" t="s">
        <v>359</v>
      </c>
      <c r="C20" s="430"/>
      <c r="D20" s="26"/>
      <c r="E20" s="26" t="s">
        <v>1920</v>
      </c>
      <c r="F20" s="517"/>
      <c r="G20" s="47">
        <v>1</v>
      </c>
      <c r="H20" s="661"/>
      <c r="I20" s="566">
        <f t="shared" si="0"/>
        <v>0</v>
      </c>
    </row>
    <row r="21" spans="1:9" x14ac:dyDescent="0.2">
      <c r="A21" s="151" t="s">
        <v>1187</v>
      </c>
      <c r="B21" s="129" t="s">
        <v>360</v>
      </c>
      <c r="C21" s="430"/>
      <c r="D21" s="26"/>
      <c r="E21" s="26" t="s">
        <v>1920</v>
      </c>
      <c r="F21" s="517"/>
      <c r="G21" s="47">
        <v>2</v>
      </c>
      <c r="H21" s="661"/>
      <c r="I21" s="566">
        <f t="shared" si="0"/>
        <v>0</v>
      </c>
    </row>
    <row r="22" spans="1:9" x14ac:dyDescent="0.2">
      <c r="A22" s="151" t="s">
        <v>1054</v>
      </c>
      <c r="B22" s="129" t="s">
        <v>326</v>
      </c>
      <c r="C22" s="430"/>
      <c r="D22" s="26"/>
      <c r="E22" s="26" t="s">
        <v>1920</v>
      </c>
      <c r="F22" s="517"/>
      <c r="G22" s="47">
        <v>1</v>
      </c>
      <c r="H22" s="661"/>
      <c r="I22" s="566">
        <f t="shared" si="0"/>
        <v>0</v>
      </c>
    </row>
    <row r="23" spans="1:9" x14ac:dyDescent="0.2">
      <c r="A23" s="151" t="s">
        <v>2897</v>
      </c>
      <c r="B23" s="129" t="s">
        <v>324</v>
      </c>
      <c r="C23" s="430"/>
      <c r="D23" s="26"/>
      <c r="E23" s="26" t="s">
        <v>1920</v>
      </c>
      <c r="F23" s="517"/>
      <c r="G23" s="47">
        <v>1</v>
      </c>
      <c r="H23" s="661"/>
      <c r="I23" s="566">
        <f t="shared" si="0"/>
        <v>0</v>
      </c>
    </row>
    <row r="24" spans="1:9" x14ac:dyDescent="0.2">
      <c r="A24" s="151" t="s">
        <v>1040</v>
      </c>
      <c r="B24" s="129" t="s">
        <v>274</v>
      </c>
      <c r="C24" s="430"/>
      <c r="D24" s="26"/>
      <c r="E24" s="26" t="s">
        <v>1920</v>
      </c>
      <c r="F24" s="517"/>
      <c r="G24" s="47">
        <v>1</v>
      </c>
      <c r="H24" s="661"/>
      <c r="I24" s="566">
        <f t="shared" si="0"/>
        <v>0</v>
      </c>
    </row>
    <row r="25" spans="1:9" x14ac:dyDescent="0.2">
      <c r="A25" s="151" t="s">
        <v>1599</v>
      </c>
      <c r="B25" s="129" t="s">
        <v>552</v>
      </c>
      <c r="C25" s="430"/>
      <c r="D25" s="26"/>
      <c r="E25" s="26" t="s">
        <v>1920</v>
      </c>
      <c r="F25" s="517"/>
      <c r="G25" s="47">
        <v>2</v>
      </c>
      <c r="H25" s="661"/>
      <c r="I25" s="566">
        <f t="shared" si="0"/>
        <v>0</v>
      </c>
    </row>
    <row r="26" spans="1:9" x14ac:dyDescent="0.2">
      <c r="A26" s="151" t="s">
        <v>1287</v>
      </c>
      <c r="B26" s="129" t="s">
        <v>474</v>
      </c>
      <c r="C26" s="430"/>
      <c r="D26" s="26"/>
      <c r="E26" s="26" t="s">
        <v>1920</v>
      </c>
      <c r="F26" s="517"/>
      <c r="G26" s="47">
        <v>1</v>
      </c>
      <c r="H26" s="661"/>
      <c r="I26" s="566">
        <f t="shared" si="0"/>
        <v>0</v>
      </c>
    </row>
    <row r="27" spans="1:9" x14ac:dyDescent="0.2">
      <c r="A27" s="151" t="s">
        <v>2133</v>
      </c>
      <c r="B27" s="129" t="s">
        <v>2909</v>
      </c>
      <c r="C27" s="430"/>
      <c r="D27" s="26"/>
      <c r="E27" s="26">
        <v>56654</v>
      </c>
      <c r="F27" s="517"/>
      <c r="G27" s="47">
        <v>1</v>
      </c>
      <c r="H27" s="661"/>
      <c r="I27" s="566">
        <f t="shared" si="0"/>
        <v>0</v>
      </c>
    </row>
    <row r="28" spans="1:9" x14ac:dyDescent="0.2">
      <c r="A28" s="151" t="s">
        <v>1085</v>
      </c>
      <c r="B28" s="129" t="s">
        <v>92</v>
      </c>
      <c r="C28" s="430"/>
      <c r="D28" s="26"/>
      <c r="E28" s="26" t="s">
        <v>1920</v>
      </c>
      <c r="F28" s="517"/>
      <c r="G28" s="47">
        <v>1</v>
      </c>
      <c r="H28" s="661"/>
      <c r="I28" s="566">
        <f t="shared" si="0"/>
        <v>0</v>
      </c>
    </row>
    <row r="29" spans="1:9" x14ac:dyDescent="0.2">
      <c r="A29" s="151" t="s">
        <v>1230</v>
      </c>
      <c r="B29" s="129" t="s">
        <v>584</v>
      </c>
      <c r="C29" s="430"/>
      <c r="D29" s="26"/>
      <c r="E29" s="26">
        <v>55719</v>
      </c>
      <c r="F29" s="517"/>
      <c r="G29" s="47">
        <v>1</v>
      </c>
      <c r="H29" s="661"/>
      <c r="I29" s="566">
        <f t="shared" si="0"/>
        <v>0</v>
      </c>
    </row>
    <row r="30" spans="1:9" x14ac:dyDescent="0.2">
      <c r="A30" s="151" t="s">
        <v>1330</v>
      </c>
      <c r="B30" s="129" t="s">
        <v>966</v>
      </c>
      <c r="C30" s="430"/>
      <c r="D30" s="26"/>
      <c r="E30" s="26">
        <v>55719</v>
      </c>
      <c r="F30" s="517"/>
      <c r="G30" s="47">
        <v>1</v>
      </c>
      <c r="H30" s="661"/>
      <c r="I30" s="566">
        <f t="shared" si="0"/>
        <v>0</v>
      </c>
    </row>
    <row r="31" spans="1:9" x14ac:dyDescent="0.2">
      <c r="A31" s="151" t="s">
        <v>1088</v>
      </c>
      <c r="B31" s="129" t="s">
        <v>485</v>
      </c>
      <c r="C31" s="430"/>
      <c r="D31" s="26"/>
      <c r="E31" s="26" t="s">
        <v>1920</v>
      </c>
      <c r="F31" s="517"/>
      <c r="G31" s="47">
        <v>1</v>
      </c>
      <c r="H31" s="661"/>
      <c r="I31" s="566">
        <f t="shared" si="0"/>
        <v>0</v>
      </c>
    </row>
    <row r="32" spans="1:9" x14ac:dyDescent="0.2">
      <c r="A32" s="151" t="s">
        <v>1340</v>
      </c>
      <c r="B32" s="129" t="s">
        <v>87</v>
      </c>
      <c r="C32" s="430"/>
      <c r="D32" s="26"/>
      <c r="E32" s="26" t="s">
        <v>1920</v>
      </c>
      <c r="F32" s="517"/>
      <c r="G32" s="47">
        <v>1</v>
      </c>
      <c r="H32" s="661"/>
      <c r="I32" s="566">
        <f t="shared" si="0"/>
        <v>0</v>
      </c>
    </row>
    <row r="33" spans="1:9" x14ac:dyDescent="0.2">
      <c r="A33" s="151" t="s">
        <v>1235</v>
      </c>
      <c r="B33" s="129" t="s">
        <v>78</v>
      </c>
      <c r="C33" s="430"/>
      <c r="D33" s="26"/>
      <c r="E33" s="26" t="s">
        <v>1920</v>
      </c>
      <c r="F33" s="517"/>
      <c r="G33" s="47">
        <v>1</v>
      </c>
      <c r="H33" s="661"/>
      <c r="I33" s="566">
        <f t="shared" si="0"/>
        <v>0</v>
      </c>
    </row>
    <row r="34" spans="1:9" x14ac:dyDescent="0.2">
      <c r="A34" s="151" t="s">
        <v>1169</v>
      </c>
      <c r="B34" s="129" t="s">
        <v>436</v>
      </c>
      <c r="C34" s="430"/>
      <c r="D34" s="26"/>
      <c r="E34" s="26" t="s">
        <v>1920</v>
      </c>
      <c r="F34" s="517"/>
      <c r="G34" s="47">
        <v>1</v>
      </c>
      <c r="H34" s="661"/>
      <c r="I34" s="566">
        <f t="shared" si="0"/>
        <v>0</v>
      </c>
    </row>
    <row r="35" spans="1:9" x14ac:dyDescent="0.2">
      <c r="A35" s="151" t="s">
        <v>868</v>
      </c>
      <c r="B35" s="129" t="s">
        <v>878</v>
      </c>
      <c r="C35" s="430"/>
      <c r="D35" s="26"/>
      <c r="E35" s="26" t="s">
        <v>1920</v>
      </c>
      <c r="F35" s="517"/>
      <c r="G35" s="47">
        <v>1</v>
      </c>
      <c r="H35" s="661"/>
      <c r="I35" s="566">
        <f t="shared" si="0"/>
        <v>0</v>
      </c>
    </row>
    <row r="36" spans="1:9" x14ac:dyDescent="0.2">
      <c r="A36" s="151" t="s">
        <v>259</v>
      </c>
      <c r="B36" s="129" t="s">
        <v>242</v>
      </c>
      <c r="C36" s="430"/>
      <c r="D36" s="26"/>
      <c r="E36" s="26" t="s">
        <v>1920</v>
      </c>
      <c r="F36" s="517"/>
      <c r="G36" s="47">
        <v>1</v>
      </c>
      <c r="H36" s="661"/>
      <c r="I36" s="566">
        <f t="shared" si="0"/>
        <v>0</v>
      </c>
    </row>
    <row r="37" spans="1:9" x14ac:dyDescent="0.2">
      <c r="A37" s="151" t="s">
        <v>10</v>
      </c>
      <c r="B37" s="129" t="s">
        <v>469</v>
      </c>
      <c r="C37" s="430"/>
      <c r="D37" s="26"/>
      <c r="E37" s="26" t="s">
        <v>1920</v>
      </c>
      <c r="F37" s="517"/>
      <c r="G37" s="47">
        <v>1</v>
      </c>
      <c r="H37" s="661"/>
      <c r="I37" s="566">
        <f t="shared" si="0"/>
        <v>0</v>
      </c>
    </row>
    <row r="38" spans="1:9" x14ac:dyDescent="0.2">
      <c r="A38" s="151" t="s">
        <v>2923</v>
      </c>
      <c r="B38" s="129" t="s">
        <v>241</v>
      </c>
      <c r="C38" s="430"/>
      <c r="D38" s="26"/>
      <c r="E38" s="26" t="s">
        <v>1920</v>
      </c>
      <c r="F38" s="517"/>
      <c r="G38" s="47">
        <v>1</v>
      </c>
      <c r="H38" s="661"/>
      <c r="I38" s="566">
        <f t="shared" si="0"/>
        <v>0</v>
      </c>
    </row>
    <row r="39" spans="1:9" x14ac:dyDescent="0.2">
      <c r="A39" s="151" t="s">
        <v>917</v>
      </c>
      <c r="B39" s="129" t="s">
        <v>916</v>
      </c>
      <c r="C39" s="430"/>
      <c r="D39" s="26" t="s">
        <v>1898</v>
      </c>
      <c r="E39" s="26" t="s">
        <v>1957</v>
      </c>
      <c r="F39" s="517"/>
      <c r="G39" s="47">
        <v>1</v>
      </c>
      <c r="H39" s="661"/>
      <c r="I39" s="566">
        <f t="shared" si="0"/>
        <v>0</v>
      </c>
    </row>
    <row r="40" spans="1:9" x14ac:dyDescent="0.2">
      <c r="A40" s="151" t="s">
        <v>4</v>
      </c>
      <c r="B40" s="129" t="s">
        <v>90</v>
      </c>
      <c r="C40" s="430"/>
      <c r="D40" s="26"/>
      <c r="E40" s="26" t="s">
        <v>1920</v>
      </c>
      <c r="F40" s="517"/>
      <c r="G40" s="47">
        <v>1</v>
      </c>
      <c r="H40" s="661"/>
      <c r="I40" s="566">
        <f t="shared" si="0"/>
        <v>0</v>
      </c>
    </row>
    <row r="41" spans="1:9" x14ac:dyDescent="0.2">
      <c r="A41" s="151" t="s">
        <v>5</v>
      </c>
      <c r="B41" s="129" t="s">
        <v>466</v>
      </c>
      <c r="C41" s="430"/>
      <c r="D41" s="26"/>
      <c r="E41" s="26" t="s">
        <v>1920</v>
      </c>
      <c r="F41" s="517"/>
      <c r="G41" s="47">
        <v>1</v>
      </c>
      <c r="H41" s="661"/>
      <c r="I41" s="566">
        <f t="shared" si="0"/>
        <v>0</v>
      </c>
    </row>
    <row r="42" spans="1:9" x14ac:dyDescent="0.2">
      <c r="A42" s="151" t="s">
        <v>101</v>
      </c>
      <c r="B42" s="129" t="s">
        <v>509</v>
      </c>
      <c r="C42" s="430"/>
      <c r="D42" s="26"/>
      <c r="E42" s="26">
        <v>55719</v>
      </c>
      <c r="F42" s="517"/>
      <c r="G42" s="47">
        <v>1</v>
      </c>
      <c r="H42" s="661"/>
      <c r="I42" s="566">
        <f t="shared" si="0"/>
        <v>0</v>
      </c>
    </row>
    <row r="43" spans="1:9" x14ac:dyDescent="0.2">
      <c r="A43" s="151" t="s">
        <v>1216</v>
      </c>
      <c r="B43" s="129" t="s">
        <v>481</v>
      </c>
      <c r="C43" s="430"/>
      <c r="D43" s="26"/>
      <c r="E43" s="26" t="s">
        <v>1920</v>
      </c>
      <c r="F43" s="517"/>
      <c r="G43" s="47">
        <v>1</v>
      </c>
      <c r="H43" s="661"/>
      <c r="I43" s="566">
        <f t="shared" si="0"/>
        <v>0</v>
      </c>
    </row>
    <row r="44" spans="1:9" x14ac:dyDescent="0.2">
      <c r="I44" s="663">
        <f>SUM(I2:I43)</f>
        <v>0</v>
      </c>
    </row>
    <row r="46" spans="1:9" s="4" customFormat="1" ht="18" x14ac:dyDescent="0.25">
      <c r="A46" s="422" t="s">
        <v>1767</v>
      </c>
      <c r="B46" s="425"/>
      <c r="C46" s="309"/>
      <c r="D46" s="3"/>
      <c r="E46" s="3"/>
      <c r="F46" s="309"/>
      <c r="G46" s="3"/>
      <c r="H46" s="531"/>
      <c r="I46" s="541"/>
    </row>
    <row r="47" spans="1:9" s="4" customFormat="1" ht="18" x14ac:dyDescent="0.25">
      <c r="A47" s="422" t="s">
        <v>2955</v>
      </c>
      <c r="B47" s="425"/>
      <c r="C47" s="309"/>
      <c r="D47" s="3"/>
      <c r="E47" s="3"/>
      <c r="F47" s="309"/>
      <c r="G47" s="3"/>
      <c r="H47" s="531"/>
      <c r="I47" s="541"/>
    </row>
    <row r="48" spans="1:9" ht="18" x14ac:dyDescent="0.25">
      <c r="A48" s="491" t="s">
        <v>3333</v>
      </c>
      <c r="B48" s="267"/>
    </row>
    <row r="49" spans="1:2" ht="18" x14ac:dyDescent="0.25">
      <c r="A49" s="449" t="s">
        <v>3367</v>
      </c>
      <c r="B49" s="608">
        <f>+I44</f>
        <v>0</v>
      </c>
    </row>
  </sheetData>
  <pageMargins left="0.7" right="0.7" top="0.75" bottom="0.75" header="0.3" footer="0.3"/>
  <pageSetup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7"/>
  <sheetViews>
    <sheetView workbookViewId="0">
      <pane ySplit="1" topLeftCell="A2" activePane="bottomLeft" state="frozen"/>
      <selection activeCell="C26" sqref="C26"/>
      <selection pane="bottomLeft" activeCell="G12" sqref="G2:G12"/>
    </sheetView>
  </sheetViews>
  <sheetFormatPr defaultColWidth="9.140625" defaultRowHeight="15" x14ac:dyDescent="0.2"/>
  <cols>
    <col min="1" max="1" width="52.5703125" style="177" bestFit="1" customWidth="1"/>
    <col min="2" max="2" width="14.42578125" style="164" bestFit="1" customWidth="1"/>
    <col min="3" max="3" width="20.42578125" style="164" bestFit="1" customWidth="1"/>
    <col min="4" max="4" width="20.140625" style="164" bestFit="1" customWidth="1"/>
    <col min="5" max="5" width="12.42578125" style="164" bestFit="1" customWidth="1"/>
    <col min="6" max="6" width="15.5703125" style="164" bestFit="1" customWidth="1"/>
    <col min="7" max="7" width="10" style="165" bestFit="1" customWidth="1"/>
    <col min="8" max="8" width="11.42578125" style="663" bestFit="1" customWidth="1"/>
    <col min="9" max="9" width="16.85546875" style="663" bestFit="1" customWidth="1"/>
    <col min="10" max="16384" width="9.140625" style="162"/>
  </cols>
  <sheetData>
    <row r="1" spans="1:9" ht="15.75" x14ac:dyDescent="0.25">
      <c r="A1" s="182" t="s">
        <v>0</v>
      </c>
      <c r="B1" s="183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115" t="s">
        <v>412</v>
      </c>
      <c r="H1" s="528" t="s">
        <v>3368</v>
      </c>
      <c r="I1" s="528" t="s">
        <v>3369</v>
      </c>
    </row>
    <row r="2" spans="1:9" x14ac:dyDescent="0.2">
      <c r="A2" s="113" t="s">
        <v>1434</v>
      </c>
      <c r="B2" s="71" t="s">
        <v>2166</v>
      </c>
      <c r="C2" s="430"/>
      <c r="D2" s="71"/>
      <c r="E2" s="71" t="s">
        <v>1920</v>
      </c>
      <c r="F2" s="625"/>
      <c r="G2" s="114">
        <v>1</v>
      </c>
      <c r="H2" s="606"/>
      <c r="I2" s="566">
        <f>+G2*H2</f>
        <v>0</v>
      </c>
    </row>
    <row r="3" spans="1:9" x14ac:dyDescent="0.2">
      <c r="A3" s="113" t="s">
        <v>17</v>
      </c>
      <c r="B3" s="71" t="s">
        <v>407</v>
      </c>
      <c r="C3" s="430"/>
      <c r="D3" s="71"/>
      <c r="E3" s="71" t="s">
        <v>1920</v>
      </c>
      <c r="F3" s="625"/>
      <c r="G3" s="114">
        <v>1</v>
      </c>
      <c r="H3" s="606"/>
      <c r="I3" s="566">
        <f t="shared" ref="I3:I12" si="0">+G3*H3</f>
        <v>0</v>
      </c>
    </row>
    <row r="4" spans="1:9" x14ac:dyDescent="0.2">
      <c r="A4" s="113" t="s">
        <v>1400</v>
      </c>
      <c r="B4" s="71" t="s">
        <v>598</v>
      </c>
      <c r="C4" s="430"/>
      <c r="D4" s="71"/>
      <c r="E4" s="71" t="s">
        <v>1920</v>
      </c>
      <c r="F4" s="625"/>
      <c r="G4" s="114">
        <v>1</v>
      </c>
      <c r="H4" s="606"/>
      <c r="I4" s="566">
        <f t="shared" si="0"/>
        <v>0</v>
      </c>
    </row>
    <row r="5" spans="1:9" x14ac:dyDescent="0.2">
      <c r="A5" s="113" t="s">
        <v>2904</v>
      </c>
      <c r="B5" s="71" t="s">
        <v>2905</v>
      </c>
      <c r="C5" s="430"/>
      <c r="D5" s="71"/>
      <c r="E5" s="71" t="s">
        <v>1920</v>
      </c>
      <c r="F5" s="625"/>
      <c r="G5" s="114">
        <v>1</v>
      </c>
      <c r="H5" s="606"/>
      <c r="I5" s="566">
        <f t="shared" si="0"/>
        <v>0</v>
      </c>
    </row>
    <row r="6" spans="1:9" x14ac:dyDescent="0.2">
      <c r="A6" s="113" t="s">
        <v>3257</v>
      </c>
      <c r="B6" s="71" t="s">
        <v>888</v>
      </c>
      <c r="C6" s="430"/>
      <c r="D6" s="71"/>
      <c r="E6" s="71" t="s">
        <v>1920</v>
      </c>
      <c r="F6" s="625"/>
      <c r="G6" s="114">
        <v>1</v>
      </c>
      <c r="H6" s="606"/>
      <c r="I6" s="566">
        <f t="shared" si="0"/>
        <v>0</v>
      </c>
    </row>
    <row r="7" spans="1:9" x14ac:dyDescent="0.2">
      <c r="A7" s="113" t="s">
        <v>1325</v>
      </c>
      <c r="B7" s="71" t="s">
        <v>353</v>
      </c>
      <c r="C7" s="430"/>
      <c r="D7" s="71"/>
      <c r="E7" s="71" t="s">
        <v>1920</v>
      </c>
      <c r="F7" s="625"/>
      <c r="G7" s="114">
        <v>1</v>
      </c>
      <c r="H7" s="606"/>
      <c r="I7" s="566">
        <f t="shared" si="0"/>
        <v>0</v>
      </c>
    </row>
    <row r="8" spans="1:9" x14ac:dyDescent="0.2">
      <c r="A8" s="113" t="s">
        <v>1189</v>
      </c>
      <c r="B8" s="71" t="s">
        <v>356</v>
      </c>
      <c r="C8" s="430"/>
      <c r="D8" s="71"/>
      <c r="E8" s="71" t="s">
        <v>1920</v>
      </c>
      <c r="F8" s="625"/>
      <c r="G8" s="114">
        <v>1</v>
      </c>
      <c r="H8" s="606"/>
      <c r="I8" s="566">
        <f t="shared" si="0"/>
        <v>0</v>
      </c>
    </row>
    <row r="9" spans="1:9" x14ac:dyDescent="0.2">
      <c r="A9" s="113" t="s">
        <v>2144</v>
      </c>
      <c r="B9" s="71" t="s">
        <v>2145</v>
      </c>
      <c r="C9" s="430"/>
      <c r="D9" s="71"/>
      <c r="E9" s="71" t="s">
        <v>1920</v>
      </c>
      <c r="F9" s="625"/>
      <c r="G9" s="114">
        <v>1</v>
      </c>
      <c r="H9" s="606"/>
      <c r="I9" s="566">
        <f t="shared" si="0"/>
        <v>0</v>
      </c>
    </row>
    <row r="10" spans="1:9" x14ac:dyDescent="0.2">
      <c r="A10" s="113" t="s">
        <v>2133</v>
      </c>
      <c r="B10" s="71" t="s">
        <v>2909</v>
      </c>
      <c r="C10" s="430"/>
      <c r="D10" s="71"/>
      <c r="E10" s="71">
        <v>56654</v>
      </c>
      <c r="F10" s="625"/>
      <c r="G10" s="114">
        <v>1</v>
      </c>
      <c r="H10" s="606"/>
      <c r="I10" s="566">
        <f t="shared" si="0"/>
        <v>0</v>
      </c>
    </row>
    <row r="11" spans="1:9" x14ac:dyDescent="0.2">
      <c r="A11" s="113" t="s">
        <v>1090</v>
      </c>
      <c r="B11" s="71">
        <v>56707</v>
      </c>
      <c r="C11" s="430"/>
      <c r="D11" s="71"/>
      <c r="E11" s="71">
        <v>25795</v>
      </c>
      <c r="F11" s="625"/>
      <c r="G11" s="114">
        <v>1</v>
      </c>
      <c r="H11" s="606"/>
      <c r="I11" s="566">
        <f t="shared" si="0"/>
        <v>0</v>
      </c>
    </row>
    <row r="12" spans="1:9" x14ac:dyDescent="0.2">
      <c r="A12" s="113" t="s">
        <v>66</v>
      </c>
      <c r="B12" s="71" t="s">
        <v>1836</v>
      </c>
      <c r="C12" s="430"/>
      <c r="D12" s="71"/>
      <c r="E12" s="71" t="s">
        <v>1947</v>
      </c>
      <c r="F12" s="625"/>
      <c r="G12" s="114">
        <v>1</v>
      </c>
      <c r="H12" s="606"/>
      <c r="I12" s="566">
        <f t="shared" si="0"/>
        <v>0</v>
      </c>
    </row>
    <row r="13" spans="1:9" x14ac:dyDescent="0.2">
      <c r="I13" s="663">
        <f>SUM(I2:I12)</f>
        <v>0</v>
      </c>
    </row>
    <row r="14" spans="1:9" s="4" customFormat="1" ht="18" x14ac:dyDescent="0.25">
      <c r="A14" s="422" t="s">
        <v>2956</v>
      </c>
      <c r="B14" s="425"/>
      <c r="C14" s="309"/>
      <c r="D14" s="3"/>
      <c r="E14" s="3"/>
      <c r="F14" s="309"/>
      <c r="G14" s="3"/>
      <c r="H14" s="531"/>
      <c r="I14" s="541"/>
    </row>
    <row r="15" spans="1:9" s="4" customFormat="1" ht="18" x14ac:dyDescent="0.25">
      <c r="A15" s="422" t="s">
        <v>2957</v>
      </c>
      <c r="B15" s="425"/>
      <c r="C15" s="309"/>
      <c r="D15" s="3"/>
      <c r="E15" s="3"/>
      <c r="F15" s="309"/>
      <c r="G15" s="3"/>
      <c r="H15" s="531"/>
      <c r="I15" s="541"/>
    </row>
    <row r="16" spans="1:9" ht="18" x14ac:dyDescent="0.25">
      <c r="A16" s="491" t="s">
        <v>3332</v>
      </c>
      <c r="B16" s="163"/>
    </row>
    <row r="17" spans="1:2" ht="18" x14ac:dyDescent="0.25">
      <c r="A17" s="449" t="s">
        <v>3374</v>
      </c>
      <c r="B17" s="608">
        <f>+I13</f>
        <v>0</v>
      </c>
    </row>
  </sheetData>
  <pageMargins left="0.7" right="0.7" top="0.75" bottom="0.75" header="0.3" footer="0.3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40"/>
  <sheetViews>
    <sheetView workbookViewId="0">
      <pane ySplit="1" topLeftCell="A4" activePane="bottomLeft" state="frozen"/>
      <selection activeCell="C26" sqref="C26"/>
      <selection pane="bottomLeft" activeCell="G2" sqref="G2:G34"/>
    </sheetView>
  </sheetViews>
  <sheetFormatPr defaultColWidth="9.140625" defaultRowHeight="15" x14ac:dyDescent="0.2"/>
  <cols>
    <col min="1" max="1" width="51.85546875" style="166" bestFit="1" customWidth="1"/>
    <col min="2" max="2" width="15" style="165" bestFit="1" customWidth="1"/>
    <col min="3" max="3" width="20.42578125" style="165" bestFit="1" customWidth="1"/>
    <col min="4" max="4" width="20.140625" style="165" bestFit="1" customWidth="1"/>
    <col min="5" max="5" width="12.42578125" style="165" bestFit="1" customWidth="1"/>
    <col min="6" max="6" width="15.5703125" style="165" bestFit="1" customWidth="1"/>
    <col min="7" max="7" width="13.140625" style="162" customWidth="1"/>
    <col min="8" max="8" width="11.42578125" style="569" bestFit="1" customWidth="1"/>
    <col min="9" max="9" width="16.85546875" style="663" bestFit="1" customWidth="1"/>
    <col min="10" max="10" width="15.5703125" style="162" bestFit="1" customWidth="1"/>
    <col min="11" max="16384" width="9.140625" style="162"/>
  </cols>
  <sheetData>
    <row r="1" spans="1:9" ht="15.75" x14ac:dyDescent="0.25">
      <c r="A1" s="99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24" t="s">
        <v>412</v>
      </c>
      <c r="H1" s="528" t="s">
        <v>3368</v>
      </c>
      <c r="I1" s="539" t="s">
        <v>3369</v>
      </c>
    </row>
    <row r="2" spans="1:9" x14ac:dyDescent="0.2">
      <c r="A2" s="151" t="s">
        <v>459</v>
      </c>
      <c r="B2" s="71" t="s">
        <v>1823</v>
      </c>
      <c r="C2" s="430"/>
      <c r="D2" s="71"/>
      <c r="E2" s="71" t="s">
        <v>1920</v>
      </c>
      <c r="F2" s="625"/>
      <c r="G2" s="47">
        <v>1</v>
      </c>
      <c r="H2" s="670"/>
      <c r="I2" s="566">
        <f>+G2*H2</f>
        <v>0</v>
      </c>
    </row>
    <row r="3" spans="1:9" x14ac:dyDescent="0.2">
      <c r="A3" s="151" t="s">
        <v>5</v>
      </c>
      <c r="B3" s="71" t="s">
        <v>466</v>
      </c>
      <c r="C3" s="430"/>
      <c r="D3" s="71"/>
      <c r="E3" s="71" t="s">
        <v>1920</v>
      </c>
      <c r="F3" s="625"/>
      <c r="G3" s="47">
        <v>1</v>
      </c>
      <c r="H3" s="670"/>
      <c r="I3" s="566">
        <f t="shared" ref="I3:I34" si="0">+G3*H3</f>
        <v>0</v>
      </c>
    </row>
    <row r="4" spans="1:9" x14ac:dyDescent="0.2">
      <c r="A4" s="151" t="s">
        <v>141</v>
      </c>
      <c r="B4" s="71" t="s">
        <v>576</v>
      </c>
      <c r="C4" s="430"/>
      <c r="D4" s="71"/>
      <c r="E4" s="71" t="s">
        <v>1920</v>
      </c>
      <c r="F4" s="625"/>
      <c r="G4" s="47">
        <v>1</v>
      </c>
      <c r="H4" s="670"/>
      <c r="I4" s="566">
        <f t="shared" si="0"/>
        <v>0</v>
      </c>
    </row>
    <row r="5" spans="1:9" x14ac:dyDescent="0.2">
      <c r="A5" s="151" t="s">
        <v>1198</v>
      </c>
      <c r="B5" s="71" t="s">
        <v>257</v>
      </c>
      <c r="C5" s="430"/>
      <c r="D5" s="71"/>
      <c r="E5" s="71" t="s">
        <v>1920</v>
      </c>
      <c r="F5" s="625"/>
      <c r="G5" s="47">
        <v>1</v>
      </c>
      <c r="H5" s="670"/>
      <c r="I5" s="566">
        <f t="shared" si="0"/>
        <v>0</v>
      </c>
    </row>
    <row r="6" spans="1:9" x14ac:dyDescent="0.2">
      <c r="A6" s="151" t="s">
        <v>1532</v>
      </c>
      <c r="B6" s="71" t="s">
        <v>2123</v>
      </c>
      <c r="C6" s="430"/>
      <c r="D6" s="71"/>
      <c r="E6" s="71">
        <v>55719</v>
      </c>
      <c r="F6" s="625"/>
      <c r="G6" s="47">
        <v>1</v>
      </c>
      <c r="H6" s="670"/>
      <c r="I6" s="566">
        <f t="shared" si="0"/>
        <v>0</v>
      </c>
    </row>
    <row r="7" spans="1:9" x14ac:dyDescent="0.2">
      <c r="A7" s="151" t="s">
        <v>1192</v>
      </c>
      <c r="B7" s="71" t="s">
        <v>94</v>
      </c>
      <c r="C7" s="430"/>
      <c r="D7" s="71"/>
      <c r="E7" s="71" t="s">
        <v>1920</v>
      </c>
      <c r="F7" s="625"/>
      <c r="G7" s="47">
        <v>1</v>
      </c>
      <c r="H7" s="670"/>
      <c r="I7" s="566">
        <f t="shared" si="0"/>
        <v>0</v>
      </c>
    </row>
    <row r="8" spans="1:9" x14ac:dyDescent="0.2">
      <c r="A8" s="151" t="s">
        <v>1035</v>
      </c>
      <c r="B8" s="71" t="s">
        <v>414</v>
      </c>
      <c r="C8" s="430"/>
      <c r="D8" s="71"/>
      <c r="E8" s="71" t="s">
        <v>1920</v>
      </c>
      <c r="F8" s="625"/>
      <c r="G8" s="47">
        <v>2</v>
      </c>
      <c r="H8" s="670"/>
      <c r="I8" s="566">
        <f t="shared" si="0"/>
        <v>0</v>
      </c>
    </row>
    <row r="9" spans="1:9" ht="18" customHeight="1" x14ac:dyDescent="0.2">
      <c r="A9" s="151" t="s">
        <v>6</v>
      </c>
      <c r="B9" s="71" t="s">
        <v>91</v>
      </c>
      <c r="C9" s="430"/>
      <c r="D9" s="71"/>
      <c r="E9" s="71" t="s">
        <v>1920</v>
      </c>
      <c r="F9" s="625"/>
      <c r="G9" s="47">
        <v>1</v>
      </c>
      <c r="H9" s="670"/>
      <c r="I9" s="566">
        <f t="shared" si="0"/>
        <v>0</v>
      </c>
    </row>
    <row r="10" spans="1:9" x14ac:dyDescent="0.2">
      <c r="A10" s="151" t="s">
        <v>202</v>
      </c>
      <c r="B10" s="71" t="s">
        <v>260</v>
      </c>
      <c r="C10" s="430"/>
      <c r="D10" s="71"/>
      <c r="E10" s="71" t="s">
        <v>1920</v>
      </c>
      <c r="F10" s="625"/>
      <c r="G10" s="47">
        <v>1</v>
      </c>
      <c r="H10" s="670"/>
      <c r="I10" s="566">
        <f t="shared" si="0"/>
        <v>0</v>
      </c>
    </row>
    <row r="11" spans="1:9" x14ac:dyDescent="0.2">
      <c r="A11" s="151" t="s">
        <v>44</v>
      </c>
      <c r="B11" s="71" t="s">
        <v>896</v>
      </c>
      <c r="C11" s="430"/>
      <c r="D11" s="71"/>
      <c r="E11" s="71" t="s">
        <v>1920</v>
      </c>
      <c r="F11" s="625"/>
      <c r="G11" s="47">
        <v>1</v>
      </c>
      <c r="H11" s="670"/>
      <c r="I11" s="566">
        <f t="shared" si="0"/>
        <v>0</v>
      </c>
    </row>
    <row r="12" spans="1:9" x14ac:dyDescent="0.2">
      <c r="A12" s="151" t="s">
        <v>917</v>
      </c>
      <c r="B12" s="71" t="s">
        <v>916</v>
      </c>
      <c r="C12" s="430"/>
      <c r="D12" s="71" t="s">
        <v>1898</v>
      </c>
      <c r="E12" s="71" t="s">
        <v>1957</v>
      </c>
      <c r="F12" s="625"/>
      <c r="G12" s="47">
        <v>1</v>
      </c>
      <c r="H12" s="670"/>
      <c r="I12" s="566">
        <f t="shared" si="0"/>
        <v>0</v>
      </c>
    </row>
    <row r="13" spans="1:9" x14ac:dyDescent="0.2">
      <c r="A13" s="151" t="s">
        <v>1153</v>
      </c>
      <c r="B13" s="71" t="s">
        <v>2131</v>
      </c>
      <c r="C13" s="430"/>
      <c r="D13" s="71"/>
      <c r="E13" s="71" t="s">
        <v>1920</v>
      </c>
      <c r="F13" s="625"/>
      <c r="G13" s="47">
        <v>1</v>
      </c>
      <c r="H13" s="670"/>
      <c r="I13" s="566">
        <f t="shared" si="0"/>
        <v>0</v>
      </c>
    </row>
    <row r="14" spans="1:9" x14ac:dyDescent="0.2">
      <c r="A14" s="151" t="s">
        <v>1180</v>
      </c>
      <c r="B14" s="71" t="s">
        <v>359</v>
      </c>
      <c r="C14" s="430"/>
      <c r="D14" s="71"/>
      <c r="E14" s="71" t="s">
        <v>1920</v>
      </c>
      <c r="F14" s="625"/>
      <c r="G14" s="47">
        <v>1</v>
      </c>
      <c r="H14" s="670"/>
      <c r="I14" s="566">
        <f t="shared" si="0"/>
        <v>0</v>
      </c>
    </row>
    <row r="15" spans="1:9" x14ac:dyDescent="0.2">
      <c r="A15" s="151" t="s">
        <v>1187</v>
      </c>
      <c r="B15" s="71" t="s">
        <v>360</v>
      </c>
      <c r="C15" s="430"/>
      <c r="D15" s="71"/>
      <c r="E15" s="71" t="s">
        <v>1920</v>
      </c>
      <c r="F15" s="625"/>
      <c r="G15" s="47">
        <v>2</v>
      </c>
      <c r="H15" s="670"/>
      <c r="I15" s="566">
        <f t="shared" si="0"/>
        <v>0</v>
      </c>
    </row>
    <row r="16" spans="1:9" x14ac:dyDescent="0.2">
      <c r="A16" s="151" t="s">
        <v>1054</v>
      </c>
      <c r="B16" s="71" t="s">
        <v>326</v>
      </c>
      <c r="C16" s="430"/>
      <c r="D16" s="71"/>
      <c r="E16" s="71" t="s">
        <v>1920</v>
      </c>
      <c r="F16" s="625"/>
      <c r="G16" s="47">
        <v>1</v>
      </c>
      <c r="H16" s="670"/>
      <c r="I16" s="566">
        <f t="shared" si="0"/>
        <v>0</v>
      </c>
    </row>
    <row r="17" spans="1:9" x14ac:dyDescent="0.2">
      <c r="A17" s="151" t="s">
        <v>1125</v>
      </c>
      <c r="B17" s="71">
        <v>8130020</v>
      </c>
      <c r="C17" s="430"/>
      <c r="D17" s="71"/>
      <c r="E17" s="71" t="s">
        <v>1975</v>
      </c>
      <c r="F17" s="625"/>
      <c r="G17" s="47">
        <v>1</v>
      </c>
      <c r="H17" s="670"/>
      <c r="I17" s="566">
        <f t="shared" si="0"/>
        <v>0</v>
      </c>
    </row>
    <row r="18" spans="1:9" x14ac:dyDescent="0.2">
      <c r="A18" s="151" t="s">
        <v>1216</v>
      </c>
      <c r="B18" s="71" t="s">
        <v>481</v>
      </c>
      <c r="C18" s="430"/>
      <c r="D18" s="71"/>
      <c r="E18" s="71" t="s">
        <v>1920</v>
      </c>
      <c r="F18" s="625"/>
      <c r="G18" s="47">
        <v>1</v>
      </c>
      <c r="H18" s="670"/>
      <c r="I18" s="566">
        <f t="shared" si="0"/>
        <v>0</v>
      </c>
    </row>
    <row r="19" spans="1:9" x14ac:dyDescent="0.2">
      <c r="A19" s="151" t="s">
        <v>1599</v>
      </c>
      <c r="B19" s="71" t="s">
        <v>552</v>
      </c>
      <c r="C19" s="430"/>
      <c r="D19" s="71"/>
      <c r="E19" s="71" t="s">
        <v>1920</v>
      </c>
      <c r="F19" s="625"/>
      <c r="G19" s="47">
        <v>2</v>
      </c>
      <c r="H19" s="670"/>
      <c r="I19" s="566">
        <f t="shared" si="0"/>
        <v>0</v>
      </c>
    </row>
    <row r="20" spans="1:9" x14ac:dyDescent="0.2">
      <c r="A20" s="151" t="s">
        <v>1287</v>
      </c>
      <c r="B20" s="71" t="s">
        <v>474</v>
      </c>
      <c r="C20" s="430"/>
      <c r="D20" s="71"/>
      <c r="E20" s="71" t="s">
        <v>1920</v>
      </c>
      <c r="F20" s="625"/>
      <c r="G20" s="47">
        <v>1</v>
      </c>
      <c r="H20" s="670"/>
      <c r="I20" s="566">
        <f t="shared" si="0"/>
        <v>0</v>
      </c>
    </row>
    <row r="21" spans="1:9" x14ac:dyDescent="0.2">
      <c r="A21" s="151" t="s">
        <v>2133</v>
      </c>
      <c r="B21" s="71" t="s">
        <v>2909</v>
      </c>
      <c r="C21" s="430"/>
      <c r="D21" s="71"/>
      <c r="E21" s="71">
        <v>56654</v>
      </c>
      <c r="F21" s="625"/>
      <c r="G21" s="47">
        <v>1</v>
      </c>
      <c r="H21" s="670"/>
      <c r="I21" s="566">
        <f t="shared" si="0"/>
        <v>0</v>
      </c>
    </row>
    <row r="22" spans="1:9" x14ac:dyDescent="0.2">
      <c r="A22" s="151" t="s">
        <v>1616</v>
      </c>
      <c r="B22" s="71" t="s">
        <v>911</v>
      </c>
      <c r="C22" s="430"/>
      <c r="D22" s="71"/>
      <c r="E22" s="71" t="s">
        <v>1920</v>
      </c>
      <c r="F22" s="625"/>
      <c r="G22" s="47">
        <v>1</v>
      </c>
      <c r="H22" s="670"/>
      <c r="I22" s="566">
        <f t="shared" si="0"/>
        <v>0</v>
      </c>
    </row>
    <row r="23" spans="1:9" x14ac:dyDescent="0.2">
      <c r="A23" s="151" t="s">
        <v>105</v>
      </c>
      <c r="B23" s="71" t="s">
        <v>2118</v>
      </c>
      <c r="C23" s="430"/>
      <c r="D23" s="71"/>
      <c r="E23" s="71" t="s">
        <v>1975</v>
      </c>
      <c r="F23" s="625"/>
      <c r="G23" s="47">
        <v>1</v>
      </c>
      <c r="H23" s="670"/>
      <c r="I23" s="566">
        <f t="shared" si="0"/>
        <v>0</v>
      </c>
    </row>
    <row r="24" spans="1:9" x14ac:dyDescent="0.2">
      <c r="A24" s="151" t="s">
        <v>1085</v>
      </c>
      <c r="B24" s="71" t="s">
        <v>92</v>
      </c>
      <c r="C24" s="430"/>
      <c r="D24" s="71"/>
      <c r="E24" s="71" t="s">
        <v>1920</v>
      </c>
      <c r="F24" s="625"/>
      <c r="G24" s="47">
        <v>1</v>
      </c>
      <c r="H24" s="670"/>
      <c r="I24" s="566">
        <f t="shared" si="0"/>
        <v>0</v>
      </c>
    </row>
    <row r="25" spans="1:9" x14ac:dyDescent="0.2">
      <c r="A25" s="151" t="s">
        <v>4</v>
      </c>
      <c r="B25" s="71" t="s">
        <v>90</v>
      </c>
      <c r="C25" s="430"/>
      <c r="D25" s="71"/>
      <c r="E25" s="71" t="s">
        <v>1920</v>
      </c>
      <c r="F25" s="625"/>
      <c r="G25" s="47">
        <v>1</v>
      </c>
      <c r="H25" s="670"/>
      <c r="I25" s="566">
        <f t="shared" si="0"/>
        <v>0</v>
      </c>
    </row>
    <row r="26" spans="1:9" x14ac:dyDescent="0.2">
      <c r="A26" s="151" t="s">
        <v>1230</v>
      </c>
      <c r="B26" s="71" t="s">
        <v>584</v>
      </c>
      <c r="C26" s="430"/>
      <c r="D26" s="71"/>
      <c r="E26" s="71">
        <v>55719</v>
      </c>
      <c r="F26" s="625"/>
      <c r="G26" s="47">
        <v>1</v>
      </c>
      <c r="H26" s="670"/>
      <c r="I26" s="566">
        <f t="shared" si="0"/>
        <v>0</v>
      </c>
    </row>
    <row r="27" spans="1:9" x14ac:dyDescent="0.2">
      <c r="A27" s="151" t="s">
        <v>1330</v>
      </c>
      <c r="B27" s="71" t="s">
        <v>966</v>
      </c>
      <c r="C27" s="430"/>
      <c r="D27" s="71"/>
      <c r="E27" s="71">
        <v>55719</v>
      </c>
      <c r="F27" s="625"/>
      <c r="G27" s="47">
        <v>1</v>
      </c>
      <c r="H27" s="670"/>
      <c r="I27" s="566">
        <f t="shared" si="0"/>
        <v>0</v>
      </c>
    </row>
    <row r="28" spans="1:9" x14ac:dyDescent="0.2">
      <c r="A28" s="151" t="s">
        <v>1340</v>
      </c>
      <c r="B28" s="71" t="s">
        <v>87</v>
      </c>
      <c r="C28" s="430"/>
      <c r="D28" s="71"/>
      <c r="E28" s="71" t="s">
        <v>1920</v>
      </c>
      <c r="F28" s="625"/>
      <c r="G28" s="47">
        <v>1</v>
      </c>
      <c r="H28" s="670"/>
      <c r="I28" s="566">
        <f t="shared" si="0"/>
        <v>0</v>
      </c>
    </row>
    <row r="29" spans="1:9" x14ac:dyDescent="0.2">
      <c r="A29" s="151" t="s">
        <v>1235</v>
      </c>
      <c r="B29" s="71" t="s">
        <v>78</v>
      </c>
      <c r="C29" s="430"/>
      <c r="D29" s="71"/>
      <c r="E29" s="71" t="s">
        <v>1920</v>
      </c>
      <c r="F29" s="625"/>
      <c r="G29" s="47">
        <v>1</v>
      </c>
      <c r="H29" s="670"/>
      <c r="I29" s="566">
        <f t="shared" si="0"/>
        <v>0</v>
      </c>
    </row>
    <row r="30" spans="1:9" x14ac:dyDescent="0.2">
      <c r="A30" s="151" t="s">
        <v>868</v>
      </c>
      <c r="B30" s="71" t="s">
        <v>878</v>
      </c>
      <c r="C30" s="430"/>
      <c r="D30" s="71"/>
      <c r="E30" s="71" t="s">
        <v>1920</v>
      </c>
      <c r="F30" s="625"/>
      <c r="G30" s="47">
        <v>1</v>
      </c>
      <c r="H30" s="670"/>
      <c r="I30" s="566">
        <f t="shared" si="0"/>
        <v>0</v>
      </c>
    </row>
    <row r="31" spans="1:9" x14ac:dyDescent="0.2">
      <c r="A31" s="151" t="s">
        <v>259</v>
      </c>
      <c r="B31" s="71" t="s">
        <v>242</v>
      </c>
      <c r="C31" s="430"/>
      <c r="D31" s="71"/>
      <c r="E31" s="71" t="s">
        <v>1920</v>
      </c>
      <c r="F31" s="625"/>
      <c r="G31" s="47">
        <v>1</v>
      </c>
      <c r="H31" s="670"/>
      <c r="I31" s="566">
        <f t="shared" si="0"/>
        <v>0</v>
      </c>
    </row>
    <row r="32" spans="1:9" x14ac:dyDescent="0.2">
      <c r="A32" s="151" t="s">
        <v>10</v>
      </c>
      <c r="B32" s="71" t="s">
        <v>469</v>
      </c>
      <c r="C32" s="430"/>
      <c r="D32" s="71"/>
      <c r="E32" s="71" t="s">
        <v>1920</v>
      </c>
      <c r="F32" s="625"/>
      <c r="G32" s="47">
        <v>1</v>
      </c>
      <c r="H32" s="670"/>
      <c r="I32" s="566">
        <f t="shared" si="0"/>
        <v>0</v>
      </c>
    </row>
    <row r="33" spans="1:9" x14ac:dyDescent="0.2">
      <c r="A33" s="151" t="s">
        <v>101</v>
      </c>
      <c r="B33" s="71" t="s">
        <v>509</v>
      </c>
      <c r="C33" s="430"/>
      <c r="D33" s="71"/>
      <c r="E33" s="71">
        <v>55719</v>
      </c>
      <c r="F33" s="625"/>
      <c r="G33" s="47">
        <v>1</v>
      </c>
      <c r="H33" s="670"/>
      <c r="I33" s="566">
        <f t="shared" si="0"/>
        <v>0</v>
      </c>
    </row>
    <row r="34" spans="1:9" x14ac:dyDescent="0.2">
      <c r="A34" s="245" t="s">
        <v>3267</v>
      </c>
      <c r="B34" s="252" t="s">
        <v>3268</v>
      </c>
      <c r="C34" s="430"/>
      <c r="D34" s="252"/>
      <c r="E34" s="252">
        <v>55719</v>
      </c>
      <c r="F34" s="622"/>
      <c r="G34" s="244">
        <v>1</v>
      </c>
      <c r="H34" s="543"/>
      <c r="I34" s="566">
        <f t="shared" si="0"/>
        <v>0</v>
      </c>
    </row>
    <row r="35" spans="1:9" s="254" customFormat="1" x14ac:dyDescent="0.2">
      <c r="A35" s="390"/>
      <c r="B35" s="144"/>
      <c r="C35" s="361"/>
      <c r="D35" s="144"/>
      <c r="E35" s="144"/>
      <c r="F35" s="144"/>
      <c r="G35" s="391"/>
      <c r="H35" s="671"/>
      <c r="I35" s="663">
        <f>SUM(I2:I34)</f>
        <v>0</v>
      </c>
    </row>
    <row r="37" spans="1:9" s="4" customFormat="1" ht="18" x14ac:dyDescent="0.25">
      <c r="A37" s="422" t="s">
        <v>1768</v>
      </c>
      <c r="B37" s="425"/>
      <c r="C37" s="309"/>
      <c r="D37" s="3"/>
      <c r="E37" s="3"/>
      <c r="F37" s="309"/>
      <c r="G37" s="3"/>
      <c r="H37" s="531"/>
      <c r="I37" s="541"/>
    </row>
    <row r="38" spans="1:9" s="4" customFormat="1" ht="18" x14ac:dyDescent="0.25">
      <c r="A38" s="422" t="s">
        <v>2961</v>
      </c>
      <c r="B38" s="425"/>
      <c r="C38" s="309"/>
      <c r="D38" s="3"/>
      <c r="E38" s="3"/>
      <c r="F38" s="309"/>
      <c r="G38" s="3"/>
      <c r="H38" s="531"/>
      <c r="I38" s="541"/>
    </row>
    <row r="39" spans="1:9" ht="18" x14ac:dyDescent="0.25">
      <c r="A39" s="491" t="s">
        <v>3331</v>
      </c>
      <c r="B39" s="516"/>
      <c r="C39" s="340"/>
      <c r="D39" s="340"/>
      <c r="E39" s="340"/>
      <c r="F39" s="340"/>
      <c r="G39" s="341"/>
      <c r="H39" s="672"/>
    </row>
    <row r="40" spans="1:9" ht="18" x14ac:dyDescent="0.25">
      <c r="A40" s="449" t="s">
        <v>3374</v>
      </c>
      <c r="B40" s="608">
        <f>+I35</f>
        <v>0</v>
      </c>
    </row>
  </sheetData>
  <sortState xmlns:xlrd2="http://schemas.microsoft.com/office/spreadsheetml/2017/richdata2" ref="A2:H35">
    <sortCondition ref="B2:B35"/>
  </sortState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45"/>
  <sheetViews>
    <sheetView workbookViewId="0">
      <pane ySplit="1" topLeftCell="A108" activePane="bottomLeft" state="frozen"/>
      <selection activeCell="C26" sqref="C26"/>
      <selection pane="bottomLeft" activeCell="G2" sqref="G2:G139"/>
    </sheetView>
  </sheetViews>
  <sheetFormatPr defaultColWidth="9.140625" defaultRowHeight="15" x14ac:dyDescent="0.2"/>
  <cols>
    <col min="1" max="1" width="78" style="119" bestFit="1" customWidth="1"/>
    <col min="2" max="2" width="20" style="85" bestFit="1" customWidth="1"/>
    <col min="3" max="3" width="21.140625" style="85" bestFit="1" customWidth="1"/>
    <col min="4" max="4" width="20.140625" style="85" bestFit="1" customWidth="1"/>
    <col min="5" max="5" width="12.42578125" style="85" bestFit="1" customWidth="1"/>
    <col min="6" max="6" width="15.5703125" style="85" bestFit="1" customWidth="1"/>
    <col min="7" max="7" width="11.5703125" style="85" customWidth="1"/>
    <col min="8" max="8" width="11.42578125" style="519" bestFit="1" customWidth="1"/>
    <col min="9" max="9" width="16.85546875" style="519" bestFit="1" customWidth="1"/>
    <col min="10" max="10" width="17" style="119" bestFit="1" customWidth="1"/>
    <col min="11" max="16384" width="9.140625" style="119"/>
  </cols>
  <sheetData>
    <row r="1" spans="1:9" ht="15.75" x14ac:dyDescent="0.25">
      <c r="A1" s="258" t="s">
        <v>0</v>
      </c>
      <c r="B1" s="323" t="s">
        <v>1</v>
      </c>
      <c r="C1" s="367" t="s">
        <v>3373</v>
      </c>
      <c r="D1" s="323" t="s">
        <v>1872</v>
      </c>
      <c r="E1" s="323" t="s">
        <v>1873</v>
      </c>
      <c r="F1" s="367" t="s">
        <v>3372</v>
      </c>
      <c r="G1" s="257" t="s">
        <v>412</v>
      </c>
      <c r="H1" s="528" t="s">
        <v>3368</v>
      </c>
      <c r="I1" s="673" t="s">
        <v>3369</v>
      </c>
    </row>
    <row r="2" spans="1:9" x14ac:dyDescent="0.2">
      <c r="A2" s="288" t="s">
        <v>972</v>
      </c>
      <c r="B2" s="314" t="s">
        <v>931</v>
      </c>
      <c r="C2" s="457"/>
      <c r="D2" s="71"/>
      <c r="E2" s="314"/>
      <c r="F2" s="625"/>
      <c r="G2" s="31">
        <v>1</v>
      </c>
      <c r="H2" s="674"/>
      <c r="I2" s="519">
        <f>+Table16[[#This Row],[Quantity]]*Table16[[#This Row],[Unit Price]]</f>
        <v>0</v>
      </c>
    </row>
    <row r="3" spans="1:9" s="215" customFormat="1" x14ac:dyDescent="0.2">
      <c r="A3" s="288" t="s">
        <v>1263</v>
      </c>
      <c r="B3" s="314" t="s">
        <v>979</v>
      </c>
      <c r="C3" s="457"/>
      <c r="D3" s="71"/>
      <c r="E3" s="314" t="s">
        <v>1920</v>
      </c>
      <c r="F3" s="625"/>
      <c r="G3" s="31">
        <v>1</v>
      </c>
      <c r="H3" s="674"/>
      <c r="I3" s="519">
        <f>+Table16[[#This Row],[Quantity]]*Table16[[#This Row],[Unit Price]]</f>
        <v>0</v>
      </c>
    </row>
    <row r="4" spans="1:9" s="215" customFormat="1" x14ac:dyDescent="0.2">
      <c r="A4" s="288" t="s">
        <v>1264</v>
      </c>
      <c r="B4" s="314" t="s">
        <v>978</v>
      </c>
      <c r="C4" s="457"/>
      <c r="D4" s="71"/>
      <c r="E4" s="314">
        <v>55719</v>
      </c>
      <c r="F4" s="625"/>
      <c r="G4" s="31">
        <v>1</v>
      </c>
      <c r="H4" s="674"/>
      <c r="I4" s="519">
        <f>+Table16[[#This Row],[Quantity]]*Table16[[#This Row],[Unit Price]]</f>
        <v>0</v>
      </c>
    </row>
    <row r="5" spans="1:9" s="215" customFormat="1" x14ac:dyDescent="0.2">
      <c r="A5" s="288" t="s">
        <v>3093</v>
      </c>
      <c r="B5" s="314" t="s">
        <v>3094</v>
      </c>
      <c r="C5" s="457"/>
      <c r="D5" s="71"/>
      <c r="E5" s="314" t="s">
        <v>3095</v>
      </c>
      <c r="F5" s="625"/>
      <c r="G5" s="31">
        <v>1</v>
      </c>
      <c r="H5" s="674"/>
      <c r="I5" s="519">
        <f>+Table16[[#This Row],[Quantity]]*Table16[[#This Row],[Unit Price]]</f>
        <v>0</v>
      </c>
    </row>
    <row r="6" spans="1:9" x14ac:dyDescent="0.2">
      <c r="A6" s="288" t="s">
        <v>1266</v>
      </c>
      <c r="B6" s="314" t="s">
        <v>1987</v>
      </c>
      <c r="C6" s="457"/>
      <c r="D6" s="71"/>
      <c r="E6" s="314" t="s">
        <v>1920</v>
      </c>
      <c r="F6" s="625"/>
      <c r="G6" s="31">
        <v>1</v>
      </c>
      <c r="H6" s="674"/>
      <c r="I6" s="519">
        <f>+Table16[[#This Row],[Quantity]]*Table16[[#This Row],[Unit Price]]</f>
        <v>0</v>
      </c>
    </row>
    <row r="7" spans="1:9" x14ac:dyDescent="0.2">
      <c r="A7" s="288" t="s">
        <v>1267</v>
      </c>
      <c r="B7" s="314" t="s">
        <v>169</v>
      </c>
      <c r="C7" s="457"/>
      <c r="D7" s="71"/>
      <c r="E7" s="314" t="s">
        <v>1920</v>
      </c>
      <c r="F7" s="625"/>
      <c r="G7" s="31">
        <v>1</v>
      </c>
      <c r="H7" s="674"/>
      <c r="I7" s="519">
        <f>+Table16[[#This Row],[Quantity]]*Table16[[#This Row],[Unit Price]]</f>
        <v>0</v>
      </c>
    </row>
    <row r="8" spans="1:9" ht="14.25" customHeight="1" x14ac:dyDescent="0.2">
      <c r="A8" s="288" t="s">
        <v>1268</v>
      </c>
      <c r="B8" s="314" t="s">
        <v>981</v>
      </c>
      <c r="C8" s="457"/>
      <c r="D8" s="71"/>
      <c r="E8" s="314" t="s">
        <v>1920</v>
      </c>
      <c r="F8" s="625"/>
      <c r="G8" s="31">
        <v>1</v>
      </c>
      <c r="H8" s="674"/>
      <c r="I8" s="519">
        <f>+Table16[[#This Row],[Quantity]]*Table16[[#This Row],[Unit Price]]</f>
        <v>0</v>
      </c>
    </row>
    <row r="9" spans="1:9" x14ac:dyDescent="0.2">
      <c r="A9" s="288" t="s">
        <v>1269</v>
      </c>
      <c r="B9" s="314" t="s">
        <v>980</v>
      </c>
      <c r="C9" s="457"/>
      <c r="D9" s="71"/>
      <c r="E9" s="314" t="s">
        <v>1920</v>
      </c>
      <c r="F9" s="625"/>
      <c r="G9" s="31">
        <v>1</v>
      </c>
      <c r="H9" s="674"/>
      <c r="I9" s="519">
        <f>+Table16[[#This Row],[Quantity]]*Table16[[#This Row],[Unit Price]]</f>
        <v>0</v>
      </c>
    </row>
    <row r="10" spans="1:9" x14ac:dyDescent="0.2">
      <c r="A10" s="288" t="s">
        <v>1270</v>
      </c>
      <c r="B10" s="314" t="s">
        <v>983</v>
      </c>
      <c r="C10" s="457"/>
      <c r="D10" s="71"/>
      <c r="E10" s="314" t="s">
        <v>1920</v>
      </c>
      <c r="F10" s="625"/>
      <c r="G10" s="31">
        <v>1</v>
      </c>
      <c r="H10" s="674"/>
      <c r="I10" s="519">
        <f>+Table16[[#This Row],[Quantity]]*Table16[[#This Row],[Unit Price]]</f>
        <v>0</v>
      </c>
    </row>
    <row r="11" spans="1:9" x14ac:dyDescent="0.2">
      <c r="A11" s="288" t="s">
        <v>1271</v>
      </c>
      <c r="B11" s="314" t="s">
        <v>982</v>
      </c>
      <c r="C11" s="457"/>
      <c r="D11" s="71"/>
      <c r="E11" s="314" t="s">
        <v>1920</v>
      </c>
      <c r="F11" s="625"/>
      <c r="G11" s="31">
        <v>1</v>
      </c>
      <c r="H11" s="674"/>
      <c r="I11" s="519">
        <f>+Table16[[#This Row],[Quantity]]*Table16[[#This Row],[Unit Price]]</f>
        <v>0</v>
      </c>
    </row>
    <row r="12" spans="1:9" x14ac:dyDescent="0.2">
      <c r="A12" s="288" t="s">
        <v>18</v>
      </c>
      <c r="B12" s="314" t="s">
        <v>3110</v>
      </c>
      <c r="C12" s="457"/>
      <c r="D12" s="71"/>
      <c r="E12" s="314" t="s">
        <v>1920</v>
      </c>
      <c r="F12" s="625"/>
      <c r="G12" s="31">
        <v>1</v>
      </c>
      <c r="H12" s="674"/>
      <c r="I12" s="519">
        <f>+Table16[[#This Row],[Quantity]]*Table16[[#This Row],[Unit Price]]</f>
        <v>0</v>
      </c>
    </row>
    <row r="13" spans="1:9" x14ac:dyDescent="0.2">
      <c r="A13" s="288" t="s">
        <v>1265</v>
      </c>
      <c r="B13" s="314" t="s">
        <v>2731</v>
      </c>
      <c r="C13" s="457"/>
      <c r="D13" s="71"/>
      <c r="E13" s="314" t="s">
        <v>1920</v>
      </c>
      <c r="F13" s="625"/>
      <c r="G13" s="31">
        <v>1</v>
      </c>
      <c r="H13" s="674"/>
      <c r="I13" s="519">
        <f>+Table16[[#This Row],[Quantity]]*Table16[[#This Row],[Unit Price]]</f>
        <v>0</v>
      </c>
    </row>
    <row r="14" spans="1:9" x14ac:dyDescent="0.2">
      <c r="A14" s="288" t="s">
        <v>459</v>
      </c>
      <c r="B14" s="314" t="s">
        <v>1823</v>
      </c>
      <c r="C14" s="457"/>
      <c r="D14" s="71"/>
      <c r="E14" s="314" t="s">
        <v>1920</v>
      </c>
      <c r="F14" s="625"/>
      <c r="G14" s="31">
        <v>1</v>
      </c>
      <c r="H14" s="674"/>
      <c r="I14" s="519">
        <f>+Table16[[#This Row],[Quantity]]*Table16[[#This Row],[Unit Price]]</f>
        <v>0</v>
      </c>
    </row>
    <row r="15" spans="1:9" x14ac:dyDescent="0.2">
      <c r="A15" s="288" t="s">
        <v>2091</v>
      </c>
      <c r="B15" s="314" t="s">
        <v>2090</v>
      </c>
      <c r="C15" s="457"/>
      <c r="D15" s="71"/>
      <c r="E15" s="314" t="s">
        <v>1920</v>
      </c>
      <c r="F15" s="625"/>
      <c r="G15" s="31">
        <v>1</v>
      </c>
      <c r="H15" s="674"/>
      <c r="I15" s="519">
        <f>+Table16[[#This Row],[Quantity]]*Table16[[#This Row],[Unit Price]]</f>
        <v>0</v>
      </c>
    </row>
    <row r="16" spans="1:9" x14ac:dyDescent="0.2">
      <c r="A16" s="288" t="s">
        <v>17</v>
      </c>
      <c r="B16" s="314" t="s">
        <v>407</v>
      </c>
      <c r="C16" s="457"/>
      <c r="D16" s="71"/>
      <c r="E16" s="314" t="s">
        <v>1920</v>
      </c>
      <c r="F16" s="625"/>
      <c r="G16" s="31">
        <v>1</v>
      </c>
      <c r="H16" s="674"/>
      <c r="I16" s="519">
        <f>+Table16[[#This Row],[Quantity]]*Table16[[#This Row],[Unit Price]]</f>
        <v>0</v>
      </c>
    </row>
    <row r="17" spans="1:9" x14ac:dyDescent="0.2">
      <c r="A17" s="288" t="s">
        <v>1272</v>
      </c>
      <c r="B17" s="314" t="s">
        <v>946</v>
      </c>
      <c r="C17" s="457"/>
      <c r="D17" s="71"/>
      <c r="E17" s="314" t="s">
        <v>1920</v>
      </c>
      <c r="F17" s="625"/>
      <c r="G17" s="31">
        <v>1</v>
      </c>
      <c r="H17" s="674"/>
      <c r="I17" s="519">
        <f>+Table16[[#This Row],[Quantity]]*Table16[[#This Row],[Unit Price]]</f>
        <v>0</v>
      </c>
    </row>
    <row r="18" spans="1:9" x14ac:dyDescent="0.2">
      <c r="A18" s="288" t="s">
        <v>1660</v>
      </c>
      <c r="B18" s="314" t="s">
        <v>51</v>
      </c>
      <c r="C18" s="457"/>
      <c r="D18" s="71"/>
      <c r="E18" s="314" t="s">
        <v>1920</v>
      </c>
      <c r="F18" s="625"/>
      <c r="G18" s="31">
        <v>1</v>
      </c>
      <c r="H18" s="674"/>
      <c r="I18" s="519">
        <f>+Table16[[#This Row],[Quantity]]*Table16[[#This Row],[Unit Price]]</f>
        <v>0</v>
      </c>
    </row>
    <row r="19" spans="1:9" x14ac:dyDescent="0.2">
      <c r="A19" s="288" t="s">
        <v>1661</v>
      </c>
      <c r="B19" s="314" t="s">
        <v>533</v>
      </c>
      <c r="C19" s="457"/>
      <c r="D19" s="71"/>
      <c r="E19" s="314" t="s">
        <v>1920</v>
      </c>
      <c r="F19" s="625"/>
      <c r="G19" s="31">
        <v>1</v>
      </c>
      <c r="H19" s="674"/>
      <c r="I19" s="519">
        <f>+Table16[[#This Row],[Quantity]]*Table16[[#This Row],[Unit Price]]</f>
        <v>0</v>
      </c>
    </row>
    <row r="20" spans="1:9" x14ac:dyDescent="0.2">
      <c r="A20" s="288" t="s">
        <v>1039</v>
      </c>
      <c r="B20" s="314" t="s">
        <v>243</v>
      </c>
      <c r="C20" s="457"/>
      <c r="D20" s="71"/>
      <c r="E20" s="314" t="s">
        <v>1920</v>
      </c>
      <c r="F20" s="625"/>
      <c r="G20" s="31">
        <v>1</v>
      </c>
      <c r="H20" s="674"/>
      <c r="I20" s="519">
        <f>+Table16[[#This Row],[Quantity]]*Table16[[#This Row],[Unit Price]]</f>
        <v>0</v>
      </c>
    </row>
    <row r="21" spans="1:9" x14ac:dyDescent="0.2">
      <c r="A21" s="288" t="s">
        <v>16</v>
      </c>
      <c r="B21" s="314" t="s">
        <v>476</v>
      </c>
      <c r="C21" s="457"/>
      <c r="D21" s="71"/>
      <c r="E21" s="314" t="s">
        <v>1920</v>
      </c>
      <c r="F21" s="625"/>
      <c r="G21" s="31">
        <v>2</v>
      </c>
      <c r="H21" s="674"/>
      <c r="I21" s="519">
        <f>+Table16[[#This Row],[Quantity]]*Table16[[#This Row],[Unit Price]]</f>
        <v>0</v>
      </c>
    </row>
    <row r="22" spans="1:9" x14ac:dyDescent="0.2">
      <c r="A22" s="288" t="s">
        <v>1192</v>
      </c>
      <c r="B22" s="314" t="s">
        <v>94</v>
      </c>
      <c r="C22" s="457"/>
      <c r="D22" s="71"/>
      <c r="E22" s="314" t="s">
        <v>1920</v>
      </c>
      <c r="F22" s="625"/>
      <c r="G22" s="31">
        <v>2</v>
      </c>
      <c r="H22" s="674"/>
      <c r="I22" s="519">
        <f>+Table16[[#This Row],[Quantity]]*Table16[[#This Row],[Unit Price]]</f>
        <v>0</v>
      </c>
    </row>
    <row r="23" spans="1:9" x14ac:dyDescent="0.2">
      <c r="A23" s="288" t="s">
        <v>1297</v>
      </c>
      <c r="B23" s="314" t="s">
        <v>89</v>
      </c>
      <c r="C23" s="457"/>
      <c r="D23" s="71"/>
      <c r="E23" s="314" t="s">
        <v>1920</v>
      </c>
      <c r="F23" s="625"/>
      <c r="G23" s="31">
        <v>1</v>
      </c>
      <c r="H23" s="674"/>
      <c r="I23" s="519">
        <f>+Table16[[#This Row],[Quantity]]*Table16[[#This Row],[Unit Price]]</f>
        <v>0</v>
      </c>
    </row>
    <row r="24" spans="1:9" x14ac:dyDescent="0.2">
      <c r="A24" s="288" t="s">
        <v>1299</v>
      </c>
      <c r="B24" s="314" t="s">
        <v>827</v>
      </c>
      <c r="C24" s="457"/>
      <c r="D24" s="71"/>
      <c r="E24" s="314" t="s">
        <v>1920</v>
      </c>
      <c r="F24" s="625"/>
      <c r="G24" s="31">
        <v>1</v>
      </c>
      <c r="H24" s="674"/>
      <c r="I24" s="519">
        <f>+Table16[[#This Row],[Quantity]]*Table16[[#This Row],[Unit Price]]</f>
        <v>0</v>
      </c>
    </row>
    <row r="25" spans="1:9" x14ac:dyDescent="0.2">
      <c r="A25" s="288" t="s">
        <v>1303</v>
      </c>
      <c r="B25" s="314" t="s">
        <v>988</v>
      </c>
      <c r="C25" s="457"/>
      <c r="D25" s="71"/>
      <c r="E25" s="314" t="s">
        <v>1920</v>
      </c>
      <c r="F25" s="625"/>
      <c r="G25" s="31">
        <v>1</v>
      </c>
      <c r="H25" s="674"/>
      <c r="I25" s="519">
        <f>+Table16[[#This Row],[Quantity]]*Table16[[#This Row],[Unit Price]]</f>
        <v>0</v>
      </c>
    </row>
    <row r="26" spans="1:9" x14ac:dyDescent="0.2">
      <c r="A26" s="288" t="s">
        <v>1308</v>
      </c>
      <c r="B26" s="314" t="s">
        <v>172</v>
      </c>
      <c r="C26" s="457"/>
      <c r="D26" s="71"/>
      <c r="E26" s="314" t="s">
        <v>1920</v>
      </c>
      <c r="F26" s="625"/>
      <c r="G26" s="31">
        <v>1</v>
      </c>
      <c r="H26" s="674"/>
      <c r="I26" s="519">
        <f>+Table16[[#This Row],[Quantity]]*Table16[[#This Row],[Unit Price]]</f>
        <v>0</v>
      </c>
    </row>
    <row r="27" spans="1:9" x14ac:dyDescent="0.2">
      <c r="A27" s="288" t="s">
        <v>1309</v>
      </c>
      <c r="B27" s="314" t="s">
        <v>991</v>
      </c>
      <c r="C27" s="457"/>
      <c r="D27" s="71"/>
      <c r="E27" s="314" t="s">
        <v>1920</v>
      </c>
      <c r="F27" s="625"/>
      <c r="G27" s="31">
        <v>1</v>
      </c>
      <c r="H27" s="674"/>
      <c r="I27" s="519">
        <f>+Table16[[#This Row],[Quantity]]*Table16[[#This Row],[Unit Price]]</f>
        <v>0</v>
      </c>
    </row>
    <row r="28" spans="1:9" x14ac:dyDescent="0.2">
      <c r="A28" s="288" t="s">
        <v>1310</v>
      </c>
      <c r="B28" s="314" t="s">
        <v>542</v>
      </c>
      <c r="C28" s="457"/>
      <c r="D28" s="71"/>
      <c r="E28" s="314" t="s">
        <v>1920</v>
      </c>
      <c r="F28" s="625"/>
      <c r="G28" s="31">
        <v>1</v>
      </c>
      <c r="H28" s="674"/>
      <c r="I28" s="519">
        <f>+Table16[[#This Row],[Quantity]]*Table16[[#This Row],[Unit Price]]</f>
        <v>0</v>
      </c>
    </row>
    <row r="29" spans="1:9" x14ac:dyDescent="0.2">
      <c r="A29" s="288" t="s">
        <v>1307</v>
      </c>
      <c r="B29" s="314" t="s">
        <v>989</v>
      </c>
      <c r="C29" s="457"/>
      <c r="D29" s="71"/>
      <c r="E29" s="314" t="s">
        <v>1920</v>
      </c>
      <c r="F29" s="625"/>
      <c r="G29" s="31">
        <v>1</v>
      </c>
      <c r="H29" s="674"/>
      <c r="I29" s="519">
        <f>+Table16[[#This Row],[Quantity]]*Table16[[#This Row],[Unit Price]]</f>
        <v>0</v>
      </c>
    </row>
    <row r="30" spans="1:9" x14ac:dyDescent="0.2">
      <c r="A30" s="288" t="s">
        <v>1311</v>
      </c>
      <c r="B30" s="314" t="s">
        <v>69</v>
      </c>
      <c r="C30" s="457"/>
      <c r="D30" s="71"/>
      <c r="E30" s="314" t="s">
        <v>1920</v>
      </c>
      <c r="F30" s="625"/>
      <c r="G30" s="31">
        <v>1</v>
      </c>
      <c r="H30" s="674"/>
      <c r="I30" s="519">
        <f>+Table16[[#This Row],[Quantity]]*Table16[[#This Row],[Unit Price]]</f>
        <v>0</v>
      </c>
    </row>
    <row r="31" spans="1:9" x14ac:dyDescent="0.2">
      <c r="A31" s="288" t="s">
        <v>1312</v>
      </c>
      <c r="B31" s="314" t="s">
        <v>543</v>
      </c>
      <c r="C31" s="457"/>
      <c r="D31" s="71"/>
      <c r="E31" s="314" t="s">
        <v>1920</v>
      </c>
      <c r="F31" s="625"/>
      <c r="G31" s="31">
        <v>1</v>
      </c>
      <c r="H31" s="674"/>
      <c r="I31" s="519">
        <f>+Table16[[#This Row],[Quantity]]*Table16[[#This Row],[Unit Price]]</f>
        <v>0</v>
      </c>
    </row>
    <row r="32" spans="1:9" x14ac:dyDescent="0.2">
      <c r="A32" s="288" t="s">
        <v>1313</v>
      </c>
      <c r="B32" s="314" t="s">
        <v>990</v>
      </c>
      <c r="C32" s="457"/>
      <c r="D32" s="71"/>
      <c r="E32" s="314" t="s">
        <v>1920</v>
      </c>
      <c r="F32" s="625"/>
      <c r="G32" s="31">
        <v>1</v>
      </c>
      <c r="H32" s="674"/>
      <c r="I32" s="519">
        <f>+Table16[[#This Row],[Quantity]]*Table16[[#This Row],[Unit Price]]</f>
        <v>0</v>
      </c>
    </row>
    <row r="33" spans="1:9" x14ac:dyDescent="0.2">
      <c r="A33" s="288" t="s">
        <v>1152</v>
      </c>
      <c r="B33" s="314" t="s">
        <v>281</v>
      </c>
      <c r="C33" s="457"/>
      <c r="D33" s="71"/>
      <c r="E33" s="314" t="s">
        <v>1920</v>
      </c>
      <c r="F33" s="625"/>
      <c r="G33" s="31">
        <v>1</v>
      </c>
      <c r="H33" s="674"/>
      <c r="I33" s="519">
        <f>+Table16[[#This Row],[Quantity]]*Table16[[#This Row],[Unit Price]]</f>
        <v>0</v>
      </c>
    </row>
    <row r="34" spans="1:9" x14ac:dyDescent="0.2">
      <c r="A34" s="288" t="s">
        <v>1355</v>
      </c>
      <c r="B34" s="314" t="s">
        <v>427</v>
      </c>
      <c r="C34" s="457"/>
      <c r="D34" s="71"/>
      <c r="E34" s="314" t="s">
        <v>1920</v>
      </c>
      <c r="F34" s="625"/>
      <c r="G34" s="31">
        <v>1</v>
      </c>
      <c r="H34" s="674"/>
      <c r="I34" s="519">
        <f>+Table16[[#This Row],[Quantity]]*Table16[[#This Row],[Unit Price]]</f>
        <v>0</v>
      </c>
    </row>
    <row r="35" spans="1:9" x14ac:dyDescent="0.2">
      <c r="A35" s="288" t="s">
        <v>35</v>
      </c>
      <c r="B35" s="314" t="s">
        <v>1827</v>
      </c>
      <c r="C35" s="457"/>
      <c r="D35" s="71"/>
      <c r="E35" s="314" t="s">
        <v>1920</v>
      </c>
      <c r="F35" s="625"/>
      <c r="G35" s="31">
        <v>1</v>
      </c>
      <c r="H35" s="674"/>
      <c r="I35" s="519">
        <f>+Table16[[#This Row],[Quantity]]*Table16[[#This Row],[Unit Price]]</f>
        <v>0</v>
      </c>
    </row>
    <row r="36" spans="1:9" x14ac:dyDescent="0.2">
      <c r="A36" s="288" t="s">
        <v>36</v>
      </c>
      <c r="B36" s="314" t="s">
        <v>1828</v>
      </c>
      <c r="C36" s="457"/>
      <c r="D36" s="71"/>
      <c r="E36" s="314" t="s">
        <v>1920</v>
      </c>
      <c r="F36" s="625"/>
      <c r="G36" s="31">
        <v>1</v>
      </c>
      <c r="H36" s="674"/>
      <c r="I36" s="519">
        <f>+Table16[[#This Row],[Quantity]]*Table16[[#This Row],[Unit Price]]</f>
        <v>0</v>
      </c>
    </row>
    <row r="37" spans="1:9" x14ac:dyDescent="0.2">
      <c r="A37" s="288" t="s">
        <v>34</v>
      </c>
      <c r="B37" s="314" t="s">
        <v>1826</v>
      </c>
      <c r="C37" s="457"/>
      <c r="D37" s="71"/>
      <c r="E37" s="314" t="s">
        <v>1920</v>
      </c>
      <c r="F37" s="625"/>
      <c r="G37" s="31">
        <v>1</v>
      </c>
      <c r="H37" s="674"/>
      <c r="I37" s="519">
        <f>+Table16[[#This Row],[Quantity]]*Table16[[#This Row],[Unit Price]]</f>
        <v>0</v>
      </c>
    </row>
    <row r="38" spans="1:9" x14ac:dyDescent="0.2">
      <c r="A38" s="288" t="s">
        <v>985</v>
      </c>
      <c r="B38" s="314" t="s">
        <v>1830</v>
      </c>
      <c r="C38" s="457"/>
      <c r="D38" s="71"/>
      <c r="E38" s="314" t="s">
        <v>1920</v>
      </c>
      <c r="F38" s="625"/>
      <c r="G38" s="31">
        <v>1</v>
      </c>
      <c r="H38" s="674"/>
      <c r="I38" s="519">
        <f>+Table16[[#This Row],[Quantity]]*Table16[[#This Row],[Unit Price]]</f>
        <v>0</v>
      </c>
    </row>
    <row r="39" spans="1:9" x14ac:dyDescent="0.2">
      <c r="A39" s="288" t="s">
        <v>1244</v>
      </c>
      <c r="B39" s="314" t="s">
        <v>1831</v>
      </c>
      <c r="C39" s="457"/>
      <c r="D39" s="71"/>
      <c r="E39" s="314" t="s">
        <v>1920</v>
      </c>
      <c r="F39" s="625"/>
      <c r="G39" s="31">
        <v>1</v>
      </c>
      <c r="H39" s="674"/>
      <c r="I39" s="519">
        <f>+Table16[[#This Row],[Quantity]]*Table16[[#This Row],[Unit Price]]</f>
        <v>0</v>
      </c>
    </row>
    <row r="40" spans="1:9" x14ac:dyDescent="0.2">
      <c r="A40" s="288" t="s">
        <v>71</v>
      </c>
      <c r="B40" s="314" t="s">
        <v>249</v>
      </c>
      <c r="C40" s="457"/>
      <c r="D40" s="71"/>
      <c r="E40" s="314" t="s">
        <v>1920</v>
      </c>
      <c r="F40" s="625"/>
      <c r="G40" s="31">
        <v>1</v>
      </c>
      <c r="H40" s="674"/>
      <c r="I40" s="519">
        <f>+Table16[[#This Row],[Quantity]]*Table16[[#This Row],[Unit Price]]</f>
        <v>0</v>
      </c>
    </row>
    <row r="41" spans="1:9" x14ac:dyDescent="0.2">
      <c r="A41" s="288" t="s">
        <v>72</v>
      </c>
      <c r="B41" s="314" t="s">
        <v>250</v>
      </c>
      <c r="C41" s="457"/>
      <c r="D41" s="71"/>
      <c r="E41" s="314" t="s">
        <v>1920</v>
      </c>
      <c r="F41" s="625"/>
      <c r="G41" s="31">
        <v>1</v>
      </c>
      <c r="H41" s="674"/>
      <c r="I41" s="519">
        <f>+Table16[[#This Row],[Quantity]]*Table16[[#This Row],[Unit Price]]</f>
        <v>0</v>
      </c>
    </row>
    <row r="42" spans="1:9" x14ac:dyDescent="0.2">
      <c r="A42" s="288" t="s">
        <v>3191</v>
      </c>
      <c r="B42" s="314" t="s">
        <v>3089</v>
      </c>
      <c r="C42" s="457"/>
      <c r="D42" s="71"/>
      <c r="E42" s="314">
        <v>55719</v>
      </c>
      <c r="F42" s="625"/>
      <c r="G42" s="31">
        <v>1</v>
      </c>
      <c r="H42" s="674"/>
      <c r="I42" s="519">
        <f>+Table16[[#This Row],[Quantity]]*Table16[[#This Row],[Unit Price]]</f>
        <v>0</v>
      </c>
    </row>
    <row r="43" spans="1:9" x14ac:dyDescent="0.2">
      <c r="A43" s="288" t="s">
        <v>1367</v>
      </c>
      <c r="B43" s="314" t="s">
        <v>2189</v>
      </c>
      <c r="C43" s="457"/>
      <c r="D43" s="71"/>
      <c r="E43" s="314" t="s">
        <v>1920</v>
      </c>
      <c r="F43" s="625"/>
      <c r="G43" s="31">
        <v>1</v>
      </c>
      <c r="H43" s="674"/>
      <c r="I43" s="519">
        <f>+Table16[[#This Row],[Quantity]]*Table16[[#This Row],[Unit Price]]</f>
        <v>0</v>
      </c>
    </row>
    <row r="44" spans="1:9" x14ac:dyDescent="0.2">
      <c r="A44" s="288" t="s">
        <v>39</v>
      </c>
      <c r="B44" s="314" t="s">
        <v>245</v>
      </c>
      <c r="C44" s="457"/>
      <c r="D44" s="71"/>
      <c r="E44" s="314" t="s">
        <v>1920</v>
      </c>
      <c r="F44" s="625"/>
      <c r="G44" s="31">
        <v>1</v>
      </c>
      <c r="H44" s="674"/>
      <c r="I44" s="519">
        <f>+Table16[[#This Row],[Quantity]]*Table16[[#This Row],[Unit Price]]</f>
        <v>0</v>
      </c>
    </row>
    <row r="45" spans="1:9" x14ac:dyDescent="0.2">
      <c r="A45" s="288" t="s">
        <v>6</v>
      </c>
      <c r="B45" s="314" t="s">
        <v>91</v>
      </c>
      <c r="C45" s="457"/>
      <c r="D45" s="71"/>
      <c r="E45" s="314" t="s">
        <v>1920</v>
      </c>
      <c r="F45" s="625"/>
      <c r="G45" s="31">
        <v>1</v>
      </c>
      <c r="H45" s="674"/>
      <c r="I45" s="519">
        <f>+Table16[[#This Row],[Quantity]]*Table16[[#This Row],[Unit Price]]</f>
        <v>0</v>
      </c>
    </row>
    <row r="46" spans="1:9" x14ac:dyDescent="0.2">
      <c r="A46" s="288" t="s">
        <v>1379</v>
      </c>
      <c r="B46" s="314" t="s">
        <v>63</v>
      </c>
      <c r="C46" s="457"/>
      <c r="D46" s="71"/>
      <c r="E46" s="314" t="s">
        <v>1920</v>
      </c>
      <c r="F46" s="625"/>
      <c r="G46" s="31">
        <v>1</v>
      </c>
      <c r="H46" s="674"/>
      <c r="I46" s="519">
        <f>+Table16[[#This Row],[Quantity]]*Table16[[#This Row],[Unit Price]]</f>
        <v>0</v>
      </c>
    </row>
    <row r="47" spans="1:9" x14ac:dyDescent="0.2">
      <c r="A47" s="288" t="s">
        <v>1208</v>
      </c>
      <c r="B47" s="314" t="s">
        <v>942</v>
      </c>
      <c r="C47" s="457"/>
      <c r="D47" s="71"/>
      <c r="E47" s="314" t="s">
        <v>1920</v>
      </c>
      <c r="F47" s="625"/>
      <c r="G47" s="31">
        <v>2</v>
      </c>
      <c r="H47" s="674"/>
      <c r="I47" s="519">
        <f>+Table16[[#This Row],[Quantity]]*Table16[[#This Row],[Unit Price]]</f>
        <v>0</v>
      </c>
    </row>
    <row r="48" spans="1:9" x14ac:dyDescent="0.2">
      <c r="A48" s="288" t="s">
        <v>1274</v>
      </c>
      <c r="B48" s="314" t="s">
        <v>67</v>
      </c>
      <c r="C48" s="457"/>
      <c r="D48" s="71"/>
      <c r="E48" s="314" t="s">
        <v>1920</v>
      </c>
      <c r="F48" s="625"/>
      <c r="G48" s="31">
        <v>1</v>
      </c>
      <c r="H48" s="674"/>
      <c r="I48" s="519">
        <f>+Table16[[#This Row],[Quantity]]*Table16[[#This Row],[Unit Price]]</f>
        <v>0</v>
      </c>
    </row>
    <row r="49" spans="1:9" x14ac:dyDescent="0.2">
      <c r="A49" s="288" t="s">
        <v>2003</v>
      </c>
      <c r="B49" s="314" t="s">
        <v>2001</v>
      </c>
      <c r="C49" s="457"/>
      <c r="D49" s="71"/>
      <c r="E49" s="314" t="s">
        <v>1920</v>
      </c>
      <c r="F49" s="625"/>
      <c r="G49" s="31">
        <v>1</v>
      </c>
      <c r="H49" s="674"/>
      <c r="I49" s="519">
        <f>+Table16[[#This Row],[Quantity]]*Table16[[#This Row],[Unit Price]]</f>
        <v>0</v>
      </c>
    </row>
    <row r="50" spans="1:9" x14ac:dyDescent="0.2">
      <c r="A50" s="288" t="s">
        <v>3257</v>
      </c>
      <c r="B50" s="314" t="s">
        <v>888</v>
      </c>
      <c r="C50" s="457"/>
      <c r="D50" s="71"/>
      <c r="E50" s="314" t="s">
        <v>1920</v>
      </c>
      <c r="F50" s="625"/>
      <c r="G50" s="31">
        <v>1</v>
      </c>
      <c r="H50" s="674"/>
      <c r="I50" s="519">
        <f>+Table16[[#This Row],[Quantity]]*Table16[[#This Row],[Unit Price]]</f>
        <v>0</v>
      </c>
    </row>
    <row r="51" spans="1:9" x14ac:dyDescent="0.2">
      <c r="A51" s="288" t="s">
        <v>66</v>
      </c>
      <c r="B51" s="314" t="s">
        <v>1836</v>
      </c>
      <c r="C51" s="457"/>
      <c r="D51" s="71"/>
      <c r="E51" s="314" t="s">
        <v>1947</v>
      </c>
      <c r="F51" s="625"/>
      <c r="G51" s="31">
        <v>1</v>
      </c>
      <c r="H51" s="674"/>
      <c r="I51" s="519">
        <f>+Table16[[#This Row],[Quantity]]*Table16[[#This Row],[Unit Price]]</f>
        <v>0</v>
      </c>
    </row>
    <row r="52" spans="1:9" x14ac:dyDescent="0.2">
      <c r="A52" s="288" t="s">
        <v>1273</v>
      </c>
      <c r="B52" s="314" t="s">
        <v>993</v>
      </c>
      <c r="C52" s="457"/>
      <c r="D52" s="71"/>
      <c r="E52" s="314" t="s">
        <v>1938</v>
      </c>
      <c r="F52" s="625"/>
      <c r="G52" s="31">
        <v>1</v>
      </c>
      <c r="H52" s="674"/>
      <c r="I52" s="519">
        <f>+Table16[[#This Row],[Quantity]]*Table16[[#This Row],[Unit Price]]</f>
        <v>0</v>
      </c>
    </row>
    <row r="53" spans="1:9" x14ac:dyDescent="0.2">
      <c r="A53" s="288" t="s">
        <v>2857</v>
      </c>
      <c r="B53" s="314" t="s">
        <v>2850</v>
      </c>
      <c r="C53" s="457"/>
      <c r="D53" s="71"/>
      <c r="E53" s="314" t="s">
        <v>1928</v>
      </c>
      <c r="F53" s="625"/>
      <c r="G53" s="31">
        <v>1</v>
      </c>
      <c r="H53" s="674"/>
      <c r="I53" s="519">
        <f>+Table16[[#This Row],[Quantity]]*Table16[[#This Row],[Unit Price]]</f>
        <v>0</v>
      </c>
    </row>
    <row r="54" spans="1:9" x14ac:dyDescent="0.2">
      <c r="A54" s="288" t="s">
        <v>2855</v>
      </c>
      <c r="B54" s="314" t="s">
        <v>2848</v>
      </c>
      <c r="C54" s="457"/>
      <c r="D54" s="71"/>
      <c r="E54" s="314" t="s">
        <v>1928</v>
      </c>
      <c r="F54" s="625"/>
      <c r="G54" s="31">
        <v>1</v>
      </c>
      <c r="H54" s="674"/>
      <c r="I54" s="519">
        <f>+Table16[[#This Row],[Quantity]]*Table16[[#This Row],[Unit Price]]</f>
        <v>0</v>
      </c>
    </row>
    <row r="55" spans="1:9" x14ac:dyDescent="0.2">
      <c r="A55" s="288" t="s">
        <v>1069</v>
      </c>
      <c r="B55" s="314" t="s">
        <v>496</v>
      </c>
      <c r="C55" s="457"/>
      <c r="D55" s="71"/>
      <c r="E55" s="314" t="s">
        <v>1920</v>
      </c>
      <c r="F55" s="625"/>
      <c r="G55" s="31">
        <v>1</v>
      </c>
      <c r="H55" s="674"/>
      <c r="I55" s="519">
        <f>+Table16[[#This Row],[Quantity]]*Table16[[#This Row],[Unit Price]]</f>
        <v>0</v>
      </c>
    </row>
    <row r="56" spans="1:9" x14ac:dyDescent="0.2">
      <c r="A56" s="288" t="s">
        <v>1321</v>
      </c>
      <c r="B56" s="314" t="s">
        <v>973</v>
      </c>
      <c r="C56" s="457"/>
      <c r="D56" s="71"/>
      <c r="E56" s="314" t="s">
        <v>1920</v>
      </c>
      <c r="F56" s="625"/>
      <c r="G56" s="31">
        <v>1</v>
      </c>
      <c r="H56" s="674"/>
      <c r="I56" s="519">
        <f>+Table16[[#This Row],[Quantity]]*Table16[[#This Row],[Unit Price]]</f>
        <v>0</v>
      </c>
    </row>
    <row r="57" spans="1:9" x14ac:dyDescent="0.2">
      <c r="A57" s="288" t="s">
        <v>2559</v>
      </c>
      <c r="B57" s="314" t="s">
        <v>2392</v>
      </c>
      <c r="C57" s="457"/>
      <c r="D57" s="71"/>
      <c r="E57" s="314">
        <v>55719</v>
      </c>
      <c r="F57" s="625"/>
      <c r="G57" s="31">
        <v>1</v>
      </c>
      <c r="H57" s="674"/>
      <c r="I57" s="519">
        <f>+Table16[[#This Row],[Quantity]]*Table16[[#This Row],[Unit Price]]</f>
        <v>0</v>
      </c>
    </row>
    <row r="58" spans="1:9" x14ac:dyDescent="0.2">
      <c r="A58" s="288" t="s">
        <v>1323</v>
      </c>
      <c r="B58" s="314" t="s">
        <v>975</v>
      </c>
      <c r="C58" s="457"/>
      <c r="D58" s="71"/>
      <c r="E58" s="314" t="s">
        <v>1920</v>
      </c>
      <c r="F58" s="625"/>
      <c r="G58" s="31">
        <v>1</v>
      </c>
      <c r="H58" s="674"/>
      <c r="I58" s="519">
        <f>+Table16[[#This Row],[Quantity]]*Table16[[#This Row],[Unit Price]]</f>
        <v>0</v>
      </c>
    </row>
    <row r="59" spans="1:9" x14ac:dyDescent="0.2">
      <c r="A59" s="288" t="s">
        <v>1189</v>
      </c>
      <c r="B59" s="314" t="s">
        <v>356</v>
      </c>
      <c r="C59" s="457"/>
      <c r="D59" s="71"/>
      <c r="E59" s="314" t="s">
        <v>1920</v>
      </c>
      <c r="F59" s="625"/>
      <c r="G59" s="31">
        <v>1</v>
      </c>
      <c r="H59" s="674"/>
      <c r="I59" s="519">
        <f>+Table16[[#This Row],[Quantity]]*Table16[[#This Row],[Unit Price]]</f>
        <v>0</v>
      </c>
    </row>
    <row r="60" spans="1:9" x14ac:dyDescent="0.2">
      <c r="A60" s="288" t="s">
        <v>1055</v>
      </c>
      <c r="B60" s="314" t="s">
        <v>347</v>
      </c>
      <c r="C60" s="457"/>
      <c r="D60" s="71"/>
      <c r="E60" s="314" t="s">
        <v>1920</v>
      </c>
      <c r="F60" s="625"/>
      <c r="G60" s="31">
        <v>1</v>
      </c>
      <c r="H60" s="674"/>
      <c r="I60" s="519">
        <f>+Table16[[#This Row],[Quantity]]*Table16[[#This Row],[Unit Price]]</f>
        <v>0</v>
      </c>
    </row>
    <row r="61" spans="1:9" x14ac:dyDescent="0.2">
      <c r="A61" s="288" t="s">
        <v>14</v>
      </c>
      <c r="B61" s="314" t="s">
        <v>472</v>
      </c>
      <c r="C61" s="457"/>
      <c r="D61" s="71"/>
      <c r="E61" s="314" t="s">
        <v>1971</v>
      </c>
      <c r="F61" s="625"/>
      <c r="G61" s="31">
        <v>2</v>
      </c>
      <c r="H61" s="674"/>
      <c r="I61" s="519">
        <f>+Table16[[#This Row],[Quantity]]*Table16[[#This Row],[Unit Price]]</f>
        <v>0</v>
      </c>
    </row>
    <row r="62" spans="1:9" x14ac:dyDescent="0.2">
      <c r="A62" s="288" t="s">
        <v>1040</v>
      </c>
      <c r="B62" s="314" t="s">
        <v>274</v>
      </c>
      <c r="C62" s="457"/>
      <c r="D62" s="71"/>
      <c r="E62" s="314" t="s">
        <v>1920</v>
      </c>
      <c r="F62" s="625"/>
      <c r="G62" s="31">
        <v>1</v>
      </c>
      <c r="H62" s="674"/>
      <c r="I62" s="519">
        <f>+Table16[[#This Row],[Quantity]]*Table16[[#This Row],[Unit Price]]</f>
        <v>0</v>
      </c>
    </row>
    <row r="63" spans="1:9" x14ac:dyDescent="0.2">
      <c r="A63" s="288" t="s">
        <v>3199</v>
      </c>
      <c r="B63" s="314" t="s">
        <v>253</v>
      </c>
      <c r="C63" s="457"/>
      <c r="D63" s="71"/>
      <c r="E63" s="314" t="s">
        <v>1920</v>
      </c>
      <c r="F63" s="625"/>
      <c r="G63" s="31">
        <v>1</v>
      </c>
      <c r="H63" s="674"/>
      <c r="I63" s="519">
        <f>+Table16[[#This Row],[Quantity]]*Table16[[#This Row],[Unit Price]]</f>
        <v>0</v>
      </c>
    </row>
    <row r="64" spans="1:9" x14ac:dyDescent="0.2">
      <c r="A64" s="288" t="s">
        <v>3197</v>
      </c>
      <c r="B64" s="314" t="s">
        <v>254</v>
      </c>
      <c r="C64" s="457"/>
      <c r="D64" s="71"/>
      <c r="E64" s="314" t="s">
        <v>1920</v>
      </c>
      <c r="F64" s="625"/>
      <c r="G64" s="31">
        <v>1</v>
      </c>
      <c r="H64" s="674"/>
      <c r="I64" s="519">
        <f>+Table16[[#This Row],[Quantity]]*Table16[[#This Row],[Unit Price]]</f>
        <v>0</v>
      </c>
    </row>
    <row r="65" spans="1:9" x14ac:dyDescent="0.2">
      <c r="A65" s="288" t="s">
        <v>1683</v>
      </c>
      <c r="B65" s="314" t="s">
        <v>369</v>
      </c>
      <c r="C65" s="457"/>
      <c r="D65" s="71"/>
      <c r="E65" s="314" t="s">
        <v>1920</v>
      </c>
      <c r="F65" s="625"/>
      <c r="G65" s="31">
        <v>1</v>
      </c>
      <c r="H65" s="674"/>
      <c r="I65" s="519">
        <f>+Table16[[#This Row],[Quantity]]*Table16[[#This Row],[Unit Price]]</f>
        <v>0</v>
      </c>
    </row>
    <row r="66" spans="1:9" x14ac:dyDescent="0.2">
      <c r="A66" s="288" t="s">
        <v>3198</v>
      </c>
      <c r="B66" s="314" t="s">
        <v>255</v>
      </c>
      <c r="C66" s="457"/>
      <c r="D66" s="71"/>
      <c r="E66" s="314" t="s">
        <v>1920</v>
      </c>
      <c r="F66" s="625"/>
      <c r="G66" s="31">
        <v>1</v>
      </c>
      <c r="H66" s="674"/>
      <c r="I66" s="519">
        <f>+Table16[[#This Row],[Quantity]]*Table16[[#This Row],[Unit Price]]</f>
        <v>0</v>
      </c>
    </row>
    <row r="67" spans="1:9" x14ac:dyDescent="0.2">
      <c r="A67" s="288" t="s">
        <v>1684</v>
      </c>
      <c r="B67" s="314" t="s">
        <v>976</v>
      </c>
      <c r="C67" s="457"/>
      <c r="D67" s="71"/>
      <c r="E67" s="314" t="s">
        <v>1920</v>
      </c>
      <c r="F67" s="625"/>
      <c r="G67" s="31">
        <v>1</v>
      </c>
      <c r="H67" s="674"/>
      <c r="I67" s="519">
        <f>+Table16[[#This Row],[Quantity]]*Table16[[#This Row],[Unit Price]]</f>
        <v>0</v>
      </c>
    </row>
    <row r="68" spans="1:9" x14ac:dyDescent="0.2">
      <c r="A68" s="288" t="s">
        <v>1686</v>
      </c>
      <c r="B68" s="314" t="s">
        <v>948</v>
      </c>
      <c r="C68" s="457"/>
      <c r="D68" s="71"/>
      <c r="E68" s="314" t="s">
        <v>1920</v>
      </c>
      <c r="F68" s="625"/>
      <c r="G68" s="31">
        <v>1</v>
      </c>
      <c r="H68" s="674"/>
      <c r="I68" s="519">
        <f>+Table16[[#This Row],[Quantity]]*Table16[[#This Row],[Unit Price]]</f>
        <v>0</v>
      </c>
    </row>
    <row r="69" spans="1:9" x14ac:dyDescent="0.2">
      <c r="A69" s="288" t="s">
        <v>1687</v>
      </c>
      <c r="B69" s="314" t="s">
        <v>949</v>
      </c>
      <c r="C69" s="457"/>
      <c r="D69" s="71"/>
      <c r="E69" s="314" t="s">
        <v>1920</v>
      </c>
      <c r="F69" s="625"/>
      <c r="G69" s="31">
        <v>1</v>
      </c>
      <c r="H69" s="674"/>
      <c r="I69" s="519">
        <f>+Table16[[#This Row],[Quantity]]*Table16[[#This Row],[Unit Price]]</f>
        <v>0</v>
      </c>
    </row>
    <row r="70" spans="1:9" x14ac:dyDescent="0.2">
      <c r="A70" s="288" t="s">
        <v>1688</v>
      </c>
      <c r="B70" s="314" t="s">
        <v>950</v>
      </c>
      <c r="C70" s="457"/>
      <c r="D70" s="71"/>
      <c r="E70" s="314" t="s">
        <v>1920</v>
      </c>
      <c r="F70" s="625"/>
      <c r="G70" s="31">
        <v>1</v>
      </c>
      <c r="H70" s="674"/>
      <c r="I70" s="519">
        <f>+Table16[[#This Row],[Quantity]]*Table16[[#This Row],[Unit Price]]</f>
        <v>0</v>
      </c>
    </row>
    <row r="71" spans="1:9" x14ac:dyDescent="0.2">
      <c r="A71" s="288" t="s">
        <v>1689</v>
      </c>
      <c r="B71" s="314" t="s">
        <v>947</v>
      </c>
      <c r="C71" s="457"/>
      <c r="D71" s="71"/>
      <c r="E71" s="314" t="s">
        <v>1920</v>
      </c>
      <c r="F71" s="625"/>
      <c r="G71" s="31">
        <v>1</v>
      </c>
      <c r="H71" s="674"/>
      <c r="I71" s="519">
        <f>+Table16[[#This Row],[Quantity]]*Table16[[#This Row],[Unit Price]]</f>
        <v>0</v>
      </c>
    </row>
    <row r="72" spans="1:9" x14ac:dyDescent="0.2">
      <c r="A72" s="288" t="s">
        <v>1695</v>
      </c>
      <c r="B72" s="314" t="s">
        <v>977</v>
      </c>
      <c r="C72" s="457"/>
      <c r="D72" s="71"/>
      <c r="E72" s="314" t="s">
        <v>1920</v>
      </c>
      <c r="F72" s="625"/>
      <c r="G72" s="31">
        <v>1</v>
      </c>
      <c r="H72" s="674"/>
      <c r="I72" s="519">
        <f>+Table16[[#This Row],[Quantity]]*Table16[[#This Row],[Unit Price]]</f>
        <v>0</v>
      </c>
    </row>
    <row r="73" spans="1:9" x14ac:dyDescent="0.2">
      <c r="A73" s="288" t="s">
        <v>1210</v>
      </c>
      <c r="B73" s="314" t="s">
        <v>475</v>
      </c>
      <c r="C73" s="457"/>
      <c r="D73" s="71"/>
      <c r="E73" s="314" t="s">
        <v>1920</v>
      </c>
      <c r="F73" s="625"/>
      <c r="G73" s="31">
        <v>2</v>
      </c>
      <c r="H73" s="674"/>
      <c r="I73" s="519">
        <f>+Table16[[#This Row],[Quantity]]*Table16[[#This Row],[Unit Price]]</f>
        <v>0</v>
      </c>
    </row>
    <row r="74" spans="1:9" x14ac:dyDescent="0.2">
      <c r="A74" s="288" t="s">
        <v>1417</v>
      </c>
      <c r="B74" s="314" t="s">
        <v>619</v>
      </c>
      <c r="C74" s="457"/>
      <c r="D74" s="71"/>
      <c r="E74" s="314" t="s">
        <v>1920</v>
      </c>
      <c r="F74" s="625"/>
      <c r="G74" s="31">
        <v>1</v>
      </c>
      <c r="H74" s="674"/>
      <c r="I74" s="519">
        <f>+Table16[[#This Row],[Quantity]]*Table16[[#This Row],[Unit Price]]</f>
        <v>0</v>
      </c>
    </row>
    <row r="75" spans="1:9" x14ac:dyDescent="0.2">
      <c r="A75" s="288" t="s">
        <v>1418</v>
      </c>
      <c r="B75" s="314" t="s">
        <v>907</v>
      </c>
      <c r="C75" s="457"/>
      <c r="D75" s="71"/>
      <c r="E75" s="314" t="s">
        <v>1920</v>
      </c>
      <c r="F75" s="625"/>
      <c r="G75" s="31">
        <v>1</v>
      </c>
      <c r="H75" s="674"/>
      <c r="I75" s="519">
        <f>+Table16[[#This Row],[Quantity]]*Table16[[#This Row],[Unit Price]]</f>
        <v>0</v>
      </c>
    </row>
    <row r="76" spans="1:9" x14ac:dyDescent="0.2">
      <c r="A76" s="288" t="s">
        <v>1419</v>
      </c>
      <c r="B76" s="314" t="s">
        <v>943</v>
      </c>
      <c r="C76" s="457"/>
      <c r="D76" s="71"/>
      <c r="E76" s="314" t="s">
        <v>1920</v>
      </c>
      <c r="F76" s="625"/>
      <c r="G76" s="31">
        <v>1</v>
      </c>
      <c r="H76" s="674"/>
      <c r="I76" s="519">
        <f>+Table16[[#This Row],[Quantity]]*Table16[[#This Row],[Unit Price]]</f>
        <v>0</v>
      </c>
    </row>
    <row r="77" spans="1:9" x14ac:dyDescent="0.2">
      <c r="A77" s="288" t="s">
        <v>1080</v>
      </c>
      <c r="B77" s="314" t="s">
        <v>944</v>
      </c>
      <c r="C77" s="457"/>
      <c r="D77" s="71"/>
      <c r="E77" s="314" t="s">
        <v>1920</v>
      </c>
      <c r="F77" s="625"/>
      <c r="G77" s="31">
        <v>1</v>
      </c>
      <c r="H77" s="674"/>
      <c r="I77" s="519">
        <f>+Table16[[#This Row],[Quantity]]*Table16[[#This Row],[Unit Price]]</f>
        <v>0</v>
      </c>
    </row>
    <row r="78" spans="1:9" x14ac:dyDescent="0.2">
      <c r="A78" s="288" t="s">
        <v>1420</v>
      </c>
      <c r="B78" s="314" t="s">
        <v>945</v>
      </c>
      <c r="C78" s="457"/>
      <c r="D78" s="71"/>
      <c r="E78" s="314" t="s">
        <v>1920</v>
      </c>
      <c r="F78" s="625"/>
      <c r="G78" s="31">
        <v>1</v>
      </c>
      <c r="H78" s="674"/>
      <c r="I78" s="519">
        <f>+Table16[[#This Row],[Quantity]]*Table16[[#This Row],[Unit Price]]</f>
        <v>0</v>
      </c>
    </row>
    <row r="79" spans="1:9" x14ac:dyDescent="0.2">
      <c r="A79" s="288" t="s">
        <v>1121</v>
      </c>
      <c r="B79" s="314" t="s">
        <v>283</v>
      </c>
      <c r="C79" s="457"/>
      <c r="D79" s="71"/>
      <c r="E79" s="314" t="s">
        <v>1920</v>
      </c>
      <c r="F79" s="625"/>
      <c r="G79" s="31">
        <v>1</v>
      </c>
      <c r="H79" s="674"/>
      <c r="I79" s="519">
        <f>+Table16[[#This Row],[Quantity]]*Table16[[#This Row],[Unit Price]]</f>
        <v>0</v>
      </c>
    </row>
    <row r="80" spans="1:9" x14ac:dyDescent="0.2">
      <c r="A80" s="288" t="s">
        <v>1122</v>
      </c>
      <c r="B80" s="314" t="s">
        <v>284</v>
      </c>
      <c r="C80" s="457"/>
      <c r="D80" s="71"/>
      <c r="E80" s="314" t="s">
        <v>1920</v>
      </c>
      <c r="F80" s="625"/>
      <c r="G80" s="31">
        <v>1</v>
      </c>
      <c r="H80" s="674"/>
      <c r="I80" s="519">
        <f>+Table16[[#This Row],[Quantity]]*Table16[[#This Row],[Unit Price]]</f>
        <v>0</v>
      </c>
    </row>
    <row r="81" spans="1:9" x14ac:dyDescent="0.2">
      <c r="A81" s="288" t="s">
        <v>1205</v>
      </c>
      <c r="B81" s="314" t="s">
        <v>285</v>
      </c>
      <c r="C81" s="457"/>
      <c r="D81" s="71"/>
      <c r="E81" s="314" t="s">
        <v>1920</v>
      </c>
      <c r="F81" s="625"/>
      <c r="G81" s="31">
        <v>1</v>
      </c>
      <c r="H81" s="674"/>
      <c r="I81" s="519">
        <f>+Table16[[#This Row],[Quantity]]*Table16[[#This Row],[Unit Price]]</f>
        <v>0</v>
      </c>
    </row>
    <row r="82" spans="1:9" x14ac:dyDescent="0.2">
      <c r="A82" s="288" t="s">
        <v>1423</v>
      </c>
      <c r="B82" s="314" t="s">
        <v>986</v>
      </c>
      <c r="C82" s="457"/>
      <c r="D82" s="71"/>
      <c r="E82" s="314" t="s">
        <v>1920</v>
      </c>
      <c r="F82" s="625"/>
      <c r="G82" s="31">
        <v>1</v>
      </c>
      <c r="H82" s="674"/>
      <c r="I82" s="519">
        <f>+Table16[[#This Row],[Quantity]]*Table16[[#This Row],[Unit Price]]</f>
        <v>0</v>
      </c>
    </row>
    <row r="83" spans="1:9" x14ac:dyDescent="0.2">
      <c r="A83" s="288" t="s">
        <v>28</v>
      </c>
      <c r="B83" s="314" t="s">
        <v>244</v>
      </c>
      <c r="C83" s="457"/>
      <c r="D83" s="71"/>
      <c r="E83" s="314" t="s">
        <v>1920</v>
      </c>
      <c r="F83" s="625"/>
      <c r="G83" s="31">
        <v>1</v>
      </c>
      <c r="H83" s="674"/>
      <c r="I83" s="519">
        <f>+Table16[[#This Row],[Quantity]]*Table16[[#This Row],[Unit Price]]</f>
        <v>0</v>
      </c>
    </row>
    <row r="84" spans="1:9" x14ac:dyDescent="0.2">
      <c r="A84" s="288" t="s">
        <v>26</v>
      </c>
      <c r="B84" s="314" t="s">
        <v>488</v>
      </c>
      <c r="C84" s="457"/>
      <c r="D84" s="71"/>
      <c r="E84" s="314" t="s">
        <v>1920</v>
      </c>
      <c r="F84" s="625"/>
      <c r="G84" s="31">
        <v>1</v>
      </c>
      <c r="H84" s="674"/>
      <c r="I84" s="519">
        <f>+Table16[[#This Row],[Quantity]]*Table16[[#This Row],[Unit Price]]</f>
        <v>0</v>
      </c>
    </row>
    <row r="85" spans="1:9" x14ac:dyDescent="0.2">
      <c r="A85" s="288" t="s">
        <v>23</v>
      </c>
      <c r="B85" s="314" t="s">
        <v>290</v>
      </c>
      <c r="C85" s="457"/>
      <c r="D85" s="71"/>
      <c r="E85" s="314" t="s">
        <v>1920</v>
      </c>
      <c r="F85" s="625"/>
      <c r="G85" s="31">
        <v>1</v>
      </c>
      <c r="H85" s="674"/>
      <c r="I85" s="519">
        <f>+Table16[[#This Row],[Quantity]]*Table16[[#This Row],[Unit Price]]</f>
        <v>0</v>
      </c>
    </row>
    <row r="86" spans="1:9" x14ac:dyDescent="0.2">
      <c r="A86" s="288" t="s">
        <v>25</v>
      </c>
      <c r="B86" s="314" t="s">
        <v>300</v>
      </c>
      <c r="C86" s="457"/>
      <c r="D86" s="71"/>
      <c r="E86" s="314" t="s">
        <v>1920</v>
      </c>
      <c r="F86" s="625"/>
      <c r="G86" s="31">
        <v>1</v>
      </c>
      <c r="H86" s="674"/>
      <c r="I86" s="519">
        <f>+Table16[[#This Row],[Quantity]]*Table16[[#This Row],[Unit Price]]</f>
        <v>0</v>
      </c>
    </row>
    <row r="87" spans="1:9" x14ac:dyDescent="0.2">
      <c r="A87" s="288" t="s">
        <v>1224</v>
      </c>
      <c r="B87" s="314" t="s">
        <v>114</v>
      </c>
      <c r="C87" s="457"/>
      <c r="D87" s="71"/>
      <c r="E87" s="314" t="s">
        <v>1920</v>
      </c>
      <c r="F87" s="625"/>
      <c r="G87" s="31">
        <v>1</v>
      </c>
      <c r="H87" s="674"/>
      <c r="I87" s="519">
        <f>+Table16[[#This Row],[Quantity]]*Table16[[#This Row],[Unit Price]]</f>
        <v>0</v>
      </c>
    </row>
    <row r="88" spans="1:9" x14ac:dyDescent="0.2">
      <c r="A88" s="288" t="s">
        <v>27</v>
      </c>
      <c r="B88" s="314" t="s">
        <v>302</v>
      </c>
      <c r="C88" s="457"/>
      <c r="D88" s="71"/>
      <c r="E88" s="314" t="s">
        <v>1920</v>
      </c>
      <c r="F88" s="625"/>
      <c r="G88" s="31">
        <v>1</v>
      </c>
      <c r="H88" s="674"/>
      <c r="I88" s="519">
        <f>+Table16[[#This Row],[Quantity]]*Table16[[#This Row],[Unit Price]]</f>
        <v>0</v>
      </c>
    </row>
    <row r="89" spans="1:9" x14ac:dyDescent="0.2">
      <c r="A89" s="288" t="s">
        <v>24</v>
      </c>
      <c r="B89" s="314" t="s">
        <v>297</v>
      </c>
      <c r="C89" s="457"/>
      <c r="D89" s="71"/>
      <c r="E89" s="314" t="s">
        <v>1920</v>
      </c>
      <c r="F89" s="625"/>
      <c r="G89" s="31">
        <v>1</v>
      </c>
      <c r="H89" s="674"/>
      <c r="I89" s="519">
        <f>+Table16[[#This Row],[Quantity]]*Table16[[#This Row],[Unit Price]]</f>
        <v>0</v>
      </c>
    </row>
    <row r="90" spans="1:9" x14ac:dyDescent="0.2">
      <c r="A90" s="288" t="s">
        <v>1275</v>
      </c>
      <c r="B90" s="314" t="s">
        <v>478</v>
      </c>
      <c r="C90" s="457"/>
      <c r="D90" s="71"/>
      <c r="E90" s="314" t="s">
        <v>1920</v>
      </c>
      <c r="F90" s="625"/>
      <c r="G90" s="31">
        <v>1</v>
      </c>
      <c r="H90" s="674"/>
      <c r="I90" s="519">
        <f>+Table16[[#This Row],[Quantity]]*Table16[[#This Row],[Unit Price]]</f>
        <v>0</v>
      </c>
    </row>
    <row r="91" spans="1:9" x14ac:dyDescent="0.2">
      <c r="A91" s="288" t="s">
        <v>1591</v>
      </c>
      <c r="B91" s="314" t="s">
        <v>166</v>
      </c>
      <c r="C91" s="457"/>
      <c r="D91" s="71"/>
      <c r="E91" s="314" t="s">
        <v>1920</v>
      </c>
      <c r="F91" s="625"/>
      <c r="G91" s="31">
        <v>1</v>
      </c>
      <c r="H91" s="674"/>
      <c r="I91" s="519">
        <f>+Table16[[#This Row],[Quantity]]*Table16[[#This Row],[Unit Price]]</f>
        <v>0</v>
      </c>
    </row>
    <row r="92" spans="1:9" x14ac:dyDescent="0.2">
      <c r="A92" s="288" t="s">
        <v>410</v>
      </c>
      <c r="B92" s="314" t="s">
        <v>483</v>
      </c>
      <c r="C92" s="457"/>
      <c r="D92" s="71"/>
      <c r="E92" s="314" t="s">
        <v>1920</v>
      </c>
      <c r="F92" s="625"/>
      <c r="G92" s="31">
        <v>1</v>
      </c>
      <c r="H92" s="674"/>
      <c r="I92" s="519">
        <f>+Table16[[#This Row],[Quantity]]*Table16[[#This Row],[Unit Price]]</f>
        <v>0</v>
      </c>
    </row>
    <row r="93" spans="1:9" x14ac:dyDescent="0.2">
      <c r="A93" s="288" t="s">
        <v>1426</v>
      </c>
      <c r="B93" s="314" t="s">
        <v>534</v>
      </c>
      <c r="C93" s="457"/>
      <c r="D93" s="71"/>
      <c r="E93" s="314" t="s">
        <v>1920</v>
      </c>
      <c r="F93" s="625"/>
      <c r="G93" s="31">
        <v>1</v>
      </c>
      <c r="H93" s="674"/>
      <c r="I93" s="519">
        <f>+Table16[[#This Row],[Quantity]]*Table16[[#This Row],[Unit Price]]</f>
        <v>0</v>
      </c>
    </row>
    <row r="94" spans="1:9" x14ac:dyDescent="0.2">
      <c r="A94" s="288" t="s">
        <v>1677</v>
      </c>
      <c r="B94" s="314" t="s">
        <v>2022</v>
      </c>
      <c r="C94" s="457"/>
      <c r="D94" s="71"/>
      <c r="E94" s="314" t="s">
        <v>1920</v>
      </c>
      <c r="F94" s="625"/>
      <c r="G94" s="31">
        <v>2</v>
      </c>
      <c r="H94" s="674"/>
      <c r="I94" s="519">
        <f>+Table16[[#This Row],[Quantity]]*Table16[[#This Row],[Unit Price]]</f>
        <v>0</v>
      </c>
    </row>
    <row r="95" spans="1:9" x14ac:dyDescent="0.2">
      <c r="A95" s="288" t="s">
        <v>1123</v>
      </c>
      <c r="B95" s="314">
        <v>8130010</v>
      </c>
      <c r="C95" s="457"/>
      <c r="D95" s="71"/>
      <c r="E95" s="314" t="s">
        <v>1975</v>
      </c>
      <c r="F95" s="625"/>
      <c r="G95" s="31">
        <v>2</v>
      </c>
      <c r="H95" s="674"/>
      <c r="I95" s="519">
        <f>+Table16[[#This Row],[Quantity]]*Table16[[#This Row],[Unit Price]]</f>
        <v>0</v>
      </c>
    </row>
    <row r="96" spans="1:9" x14ac:dyDescent="0.2">
      <c r="A96" s="288" t="s">
        <v>1124</v>
      </c>
      <c r="B96" s="314">
        <v>8130015</v>
      </c>
      <c r="C96" s="457"/>
      <c r="D96" s="71"/>
      <c r="E96" s="314" t="s">
        <v>1975</v>
      </c>
      <c r="F96" s="625"/>
      <c r="G96" s="31">
        <v>2</v>
      </c>
      <c r="H96" s="674"/>
      <c r="I96" s="519">
        <f>+Table16[[#This Row],[Quantity]]*Table16[[#This Row],[Unit Price]]</f>
        <v>0</v>
      </c>
    </row>
    <row r="97" spans="1:9" x14ac:dyDescent="0.2">
      <c r="A97" s="288" t="s">
        <v>1125</v>
      </c>
      <c r="B97" s="314">
        <v>8130020</v>
      </c>
      <c r="C97" s="457"/>
      <c r="D97" s="71"/>
      <c r="E97" s="314" t="s">
        <v>1975</v>
      </c>
      <c r="F97" s="625"/>
      <c r="G97" s="31">
        <v>2</v>
      </c>
      <c r="H97" s="674"/>
      <c r="I97" s="519">
        <f>+Table16[[#This Row],[Quantity]]*Table16[[#This Row],[Unit Price]]</f>
        <v>0</v>
      </c>
    </row>
    <row r="98" spans="1:9" x14ac:dyDescent="0.2">
      <c r="A98" s="288" t="s">
        <v>1126</v>
      </c>
      <c r="B98" s="314">
        <v>8130025</v>
      </c>
      <c r="C98" s="457"/>
      <c r="D98" s="71"/>
      <c r="E98" s="314" t="s">
        <v>1975</v>
      </c>
      <c r="F98" s="625"/>
      <c r="G98" s="31">
        <v>2</v>
      </c>
      <c r="H98" s="674"/>
      <c r="I98" s="519">
        <f>+Table16[[#This Row],[Quantity]]*Table16[[#This Row],[Unit Price]]</f>
        <v>0</v>
      </c>
    </row>
    <row r="99" spans="1:9" x14ac:dyDescent="0.2">
      <c r="A99" s="288" t="s">
        <v>1127</v>
      </c>
      <c r="B99" s="314">
        <v>8130030</v>
      </c>
      <c r="C99" s="457"/>
      <c r="D99" s="71"/>
      <c r="E99" s="314" t="s">
        <v>1975</v>
      </c>
      <c r="F99" s="625"/>
      <c r="G99" s="31">
        <v>2</v>
      </c>
      <c r="H99" s="674"/>
      <c r="I99" s="519">
        <f>+Table16[[#This Row],[Quantity]]*Table16[[#This Row],[Unit Price]]</f>
        <v>0</v>
      </c>
    </row>
    <row r="100" spans="1:9" x14ac:dyDescent="0.2">
      <c r="A100" s="288" t="s">
        <v>1128</v>
      </c>
      <c r="B100" s="314">
        <v>8130040</v>
      </c>
      <c r="C100" s="457"/>
      <c r="D100" s="71"/>
      <c r="E100" s="314" t="s">
        <v>1975</v>
      </c>
      <c r="F100" s="625"/>
      <c r="G100" s="31">
        <v>2</v>
      </c>
      <c r="H100" s="674"/>
      <c r="I100" s="519">
        <f>+Table16[[#This Row],[Quantity]]*Table16[[#This Row],[Unit Price]]</f>
        <v>0</v>
      </c>
    </row>
    <row r="101" spans="1:9" x14ac:dyDescent="0.2">
      <c r="A101" s="288" t="s">
        <v>1697</v>
      </c>
      <c r="B101" s="314" t="s">
        <v>3075</v>
      </c>
      <c r="C101" s="457"/>
      <c r="D101" s="71"/>
      <c r="E101" s="314" t="s">
        <v>1975</v>
      </c>
      <c r="F101" s="625"/>
      <c r="G101" s="31">
        <v>1</v>
      </c>
      <c r="H101" s="674"/>
      <c r="I101" s="519">
        <f>+Table16[[#This Row],[Quantity]]*Table16[[#This Row],[Unit Price]]</f>
        <v>0</v>
      </c>
    </row>
    <row r="102" spans="1:9" x14ac:dyDescent="0.2">
      <c r="A102" s="288" t="s">
        <v>105</v>
      </c>
      <c r="B102" s="314" t="s">
        <v>2118</v>
      </c>
      <c r="C102" s="457"/>
      <c r="D102" s="71"/>
      <c r="E102" s="314" t="s">
        <v>1975</v>
      </c>
      <c r="F102" s="625"/>
      <c r="G102" s="31">
        <v>2</v>
      </c>
      <c r="H102" s="674"/>
      <c r="I102" s="519">
        <f>+Table16[[#This Row],[Quantity]]*Table16[[#This Row],[Unit Price]]</f>
        <v>0</v>
      </c>
    </row>
    <row r="103" spans="1:9" x14ac:dyDescent="0.2">
      <c r="A103" s="288" t="s">
        <v>1156</v>
      </c>
      <c r="B103" s="314" t="s">
        <v>2117</v>
      </c>
      <c r="C103" s="457"/>
      <c r="D103" s="71"/>
      <c r="E103" s="314" t="s">
        <v>1975</v>
      </c>
      <c r="F103" s="625"/>
      <c r="G103" s="31">
        <v>2</v>
      </c>
      <c r="H103" s="674"/>
      <c r="I103" s="519">
        <f>+Table16[[#This Row],[Quantity]]*Table16[[#This Row],[Unit Price]]</f>
        <v>0</v>
      </c>
    </row>
    <row r="104" spans="1:9" x14ac:dyDescent="0.2">
      <c r="A104" s="288" t="s">
        <v>8</v>
      </c>
      <c r="B104" s="314" t="s">
        <v>256</v>
      </c>
      <c r="C104" s="457"/>
      <c r="D104" s="71"/>
      <c r="E104" s="314" t="s">
        <v>1920</v>
      </c>
      <c r="F104" s="625"/>
      <c r="G104" s="31">
        <v>1</v>
      </c>
      <c r="H104" s="674"/>
      <c r="I104" s="519">
        <f>+Table16[[#This Row],[Quantity]]*Table16[[#This Row],[Unit Price]]</f>
        <v>0</v>
      </c>
    </row>
    <row r="105" spans="1:9" x14ac:dyDescent="0.2">
      <c r="A105" s="288" t="s">
        <v>9</v>
      </c>
      <c r="B105" s="314" t="s">
        <v>375</v>
      </c>
      <c r="C105" s="457"/>
      <c r="D105" s="71"/>
      <c r="E105" s="314" t="s">
        <v>1920</v>
      </c>
      <c r="F105" s="625"/>
      <c r="G105" s="31">
        <v>1</v>
      </c>
      <c r="H105" s="674"/>
      <c r="I105" s="519">
        <f>+Table16[[#This Row],[Quantity]]*Table16[[#This Row],[Unit Price]]</f>
        <v>0</v>
      </c>
    </row>
    <row r="106" spans="1:9" x14ac:dyDescent="0.2">
      <c r="A106" s="288" t="s">
        <v>1085</v>
      </c>
      <c r="B106" s="314" t="s">
        <v>92</v>
      </c>
      <c r="C106" s="457"/>
      <c r="D106" s="71"/>
      <c r="E106" s="314" t="s">
        <v>1920</v>
      </c>
      <c r="F106" s="625"/>
      <c r="G106" s="31">
        <v>2</v>
      </c>
      <c r="H106" s="674"/>
      <c r="I106" s="519">
        <f>+Table16[[#This Row],[Quantity]]*Table16[[#This Row],[Unit Price]]</f>
        <v>0</v>
      </c>
    </row>
    <row r="107" spans="1:9" x14ac:dyDescent="0.2">
      <c r="A107" s="288" t="s">
        <v>30</v>
      </c>
      <c r="B107" s="314" t="s">
        <v>1825</v>
      </c>
      <c r="C107" s="457"/>
      <c r="D107" s="71"/>
      <c r="E107" s="314" t="s">
        <v>1920</v>
      </c>
      <c r="F107" s="625"/>
      <c r="G107" s="31">
        <v>1</v>
      </c>
      <c r="H107" s="674"/>
      <c r="I107" s="519">
        <f>+Table16[[#This Row],[Quantity]]*Table16[[#This Row],[Unit Price]]</f>
        <v>0</v>
      </c>
    </row>
    <row r="108" spans="1:9" x14ac:dyDescent="0.2">
      <c r="A108" s="288" t="s">
        <v>29</v>
      </c>
      <c r="B108" s="314" t="s">
        <v>2758</v>
      </c>
      <c r="C108" s="457"/>
      <c r="D108" s="71"/>
      <c r="E108" s="314" t="s">
        <v>1920</v>
      </c>
      <c r="F108" s="625"/>
      <c r="G108" s="31">
        <v>1</v>
      </c>
      <c r="H108" s="674"/>
      <c r="I108" s="519">
        <f>+Table16[[#This Row],[Quantity]]*Table16[[#This Row],[Unit Price]]</f>
        <v>0</v>
      </c>
    </row>
    <row r="109" spans="1:9" x14ac:dyDescent="0.2">
      <c r="A109" s="288" t="s">
        <v>984</v>
      </c>
      <c r="B109" s="314" t="s">
        <v>289</v>
      </c>
      <c r="C109" s="457"/>
      <c r="D109" s="71"/>
      <c r="E109" s="314" t="s">
        <v>1920</v>
      </c>
      <c r="F109" s="625"/>
      <c r="G109" s="31">
        <v>1</v>
      </c>
      <c r="H109" s="674"/>
      <c r="I109" s="519">
        <f>+Table16[[#This Row],[Quantity]]*Table16[[#This Row],[Unit Price]]</f>
        <v>0</v>
      </c>
    </row>
    <row r="110" spans="1:9" x14ac:dyDescent="0.2">
      <c r="A110" s="288" t="s">
        <v>1333</v>
      </c>
      <c r="B110" s="314" t="s">
        <v>65</v>
      </c>
      <c r="C110" s="457"/>
      <c r="D110" s="71"/>
      <c r="E110" s="314" t="s">
        <v>1920</v>
      </c>
      <c r="F110" s="625"/>
      <c r="G110" s="31">
        <v>1</v>
      </c>
      <c r="H110" s="674"/>
      <c r="I110" s="519">
        <f>+Table16[[#This Row],[Quantity]]*Table16[[#This Row],[Unit Price]]</f>
        <v>0</v>
      </c>
    </row>
    <row r="111" spans="1:9" x14ac:dyDescent="0.2">
      <c r="A111" s="288" t="s">
        <v>1335</v>
      </c>
      <c r="B111" s="314" t="s">
        <v>540</v>
      </c>
      <c r="C111" s="457"/>
      <c r="D111" s="71"/>
      <c r="E111" s="314" t="s">
        <v>1920</v>
      </c>
      <c r="F111" s="625"/>
      <c r="G111" s="31">
        <v>1</v>
      </c>
      <c r="H111" s="674"/>
      <c r="I111" s="519">
        <f>+Table16[[#This Row],[Quantity]]*Table16[[#This Row],[Unit Price]]</f>
        <v>0</v>
      </c>
    </row>
    <row r="112" spans="1:9" x14ac:dyDescent="0.2">
      <c r="A112" s="288" t="s">
        <v>1336</v>
      </c>
      <c r="B112" s="314" t="s">
        <v>537</v>
      </c>
      <c r="C112" s="457"/>
      <c r="D112" s="71"/>
      <c r="E112" s="314" t="s">
        <v>1920</v>
      </c>
      <c r="F112" s="625"/>
      <c r="G112" s="31">
        <v>1</v>
      </c>
      <c r="H112" s="674"/>
      <c r="I112" s="519">
        <f>+Table16[[#This Row],[Quantity]]*Table16[[#This Row],[Unit Price]]</f>
        <v>0</v>
      </c>
    </row>
    <row r="113" spans="1:9" x14ac:dyDescent="0.2">
      <c r="A113" s="288" t="s">
        <v>1086</v>
      </c>
      <c r="B113" s="314" t="s">
        <v>70</v>
      </c>
      <c r="C113" s="457"/>
      <c r="D113" s="71"/>
      <c r="E113" s="314" t="s">
        <v>1920</v>
      </c>
      <c r="F113" s="625"/>
      <c r="G113" s="31">
        <v>1</v>
      </c>
      <c r="H113" s="674"/>
      <c r="I113" s="519">
        <f>+Table16[[#This Row],[Quantity]]*Table16[[#This Row],[Unit Price]]</f>
        <v>0</v>
      </c>
    </row>
    <row r="114" spans="1:9" x14ac:dyDescent="0.2">
      <c r="A114" s="288" t="s">
        <v>1087</v>
      </c>
      <c r="B114" s="314" t="s">
        <v>484</v>
      </c>
      <c r="C114" s="457"/>
      <c r="D114" s="71"/>
      <c r="E114" s="314" t="s">
        <v>1920</v>
      </c>
      <c r="F114" s="625"/>
      <c r="G114" s="31">
        <v>1</v>
      </c>
      <c r="H114" s="674"/>
      <c r="I114" s="519">
        <f>+Table16[[#This Row],[Quantity]]*Table16[[#This Row],[Unit Price]]</f>
        <v>0</v>
      </c>
    </row>
    <row r="115" spans="1:9" x14ac:dyDescent="0.2">
      <c r="A115" s="288" t="s">
        <v>1337</v>
      </c>
      <c r="B115" s="314" t="s">
        <v>519</v>
      </c>
      <c r="C115" s="457"/>
      <c r="D115" s="71"/>
      <c r="E115" s="314" t="s">
        <v>1920</v>
      </c>
      <c r="F115" s="625"/>
      <c r="G115" s="31">
        <v>1</v>
      </c>
      <c r="H115" s="674"/>
      <c r="I115" s="519">
        <f>+Table16[[#This Row],[Quantity]]*Table16[[#This Row],[Unit Price]]</f>
        <v>0</v>
      </c>
    </row>
    <row r="116" spans="1:9" x14ac:dyDescent="0.2">
      <c r="A116" s="288" t="s">
        <v>1338</v>
      </c>
      <c r="B116" s="314" t="s">
        <v>717</v>
      </c>
      <c r="C116" s="457"/>
      <c r="D116" s="71"/>
      <c r="E116" s="314" t="s">
        <v>1920</v>
      </c>
      <c r="F116" s="625"/>
      <c r="G116" s="31">
        <v>1</v>
      </c>
      <c r="H116" s="674"/>
      <c r="I116" s="519">
        <f>+Table16[[#This Row],[Quantity]]*Table16[[#This Row],[Unit Price]]</f>
        <v>0</v>
      </c>
    </row>
    <row r="117" spans="1:9" x14ac:dyDescent="0.2">
      <c r="A117" s="288" t="s">
        <v>1088</v>
      </c>
      <c r="B117" s="314" t="s">
        <v>485</v>
      </c>
      <c r="C117" s="457"/>
      <c r="D117" s="71"/>
      <c r="E117" s="314" t="s">
        <v>1920</v>
      </c>
      <c r="F117" s="625"/>
      <c r="G117" s="31">
        <v>1</v>
      </c>
      <c r="H117" s="674"/>
      <c r="I117" s="519">
        <f>+Table16[[#This Row],[Quantity]]*Table16[[#This Row],[Unit Price]]</f>
        <v>0</v>
      </c>
    </row>
    <row r="118" spans="1:9" x14ac:dyDescent="0.2">
      <c r="A118" s="288" t="s">
        <v>1339</v>
      </c>
      <c r="B118" s="314" t="s">
        <v>88</v>
      </c>
      <c r="C118" s="457"/>
      <c r="D118" s="71"/>
      <c r="E118" s="314" t="s">
        <v>1920</v>
      </c>
      <c r="F118" s="625"/>
      <c r="G118" s="31">
        <v>1</v>
      </c>
      <c r="H118" s="674"/>
      <c r="I118" s="519">
        <f>+Table16[[#This Row],[Quantity]]*Table16[[#This Row],[Unit Price]]</f>
        <v>0</v>
      </c>
    </row>
    <row r="119" spans="1:9" x14ac:dyDescent="0.2">
      <c r="A119" s="288" t="s">
        <v>1089</v>
      </c>
      <c r="B119" s="314" t="s">
        <v>486</v>
      </c>
      <c r="C119" s="457"/>
      <c r="D119" s="71"/>
      <c r="E119" s="314" t="s">
        <v>1920</v>
      </c>
      <c r="F119" s="625"/>
      <c r="G119" s="31">
        <v>1</v>
      </c>
      <c r="H119" s="674"/>
      <c r="I119" s="519">
        <f>+Table16[[#This Row],[Quantity]]*Table16[[#This Row],[Unit Price]]</f>
        <v>0</v>
      </c>
    </row>
    <row r="120" spans="1:9" x14ac:dyDescent="0.2">
      <c r="A120" s="288" t="s">
        <v>1340</v>
      </c>
      <c r="B120" s="314" t="s">
        <v>87</v>
      </c>
      <c r="C120" s="457"/>
      <c r="D120" s="71"/>
      <c r="E120" s="314" t="s">
        <v>1920</v>
      </c>
      <c r="F120" s="625"/>
      <c r="G120" s="31">
        <v>1</v>
      </c>
      <c r="H120" s="674"/>
      <c r="I120" s="519">
        <f>+Table16[[#This Row],[Quantity]]*Table16[[#This Row],[Unit Price]]</f>
        <v>0</v>
      </c>
    </row>
    <row r="121" spans="1:9" x14ac:dyDescent="0.2">
      <c r="A121" s="288" t="s">
        <v>15</v>
      </c>
      <c r="B121" s="314" t="s">
        <v>380</v>
      </c>
      <c r="C121" s="457"/>
      <c r="D121" s="71"/>
      <c r="E121" s="314" t="s">
        <v>1920</v>
      </c>
      <c r="F121" s="625"/>
      <c r="G121" s="31">
        <v>2</v>
      </c>
      <c r="H121" s="674"/>
      <c r="I121" s="519">
        <f>+Table16[[#This Row],[Quantity]]*Table16[[#This Row],[Unit Price]]</f>
        <v>0</v>
      </c>
    </row>
    <row r="122" spans="1:9" x14ac:dyDescent="0.2">
      <c r="A122" s="288" t="s">
        <v>37</v>
      </c>
      <c r="B122" s="314" t="s">
        <v>38</v>
      </c>
      <c r="C122" s="457"/>
      <c r="D122" s="71"/>
      <c r="E122" s="314" t="s">
        <v>1920</v>
      </c>
      <c r="F122" s="625"/>
      <c r="G122" s="31">
        <v>1</v>
      </c>
      <c r="H122" s="674"/>
      <c r="I122" s="519">
        <f>+Table16[[#This Row],[Quantity]]*Table16[[#This Row],[Unit Price]]</f>
        <v>0</v>
      </c>
    </row>
    <row r="123" spans="1:9" x14ac:dyDescent="0.2">
      <c r="A123" s="288" t="s">
        <v>1036</v>
      </c>
      <c r="B123" s="314" t="s">
        <v>468</v>
      </c>
      <c r="C123" s="457"/>
      <c r="D123" s="71"/>
      <c r="E123" s="314" t="s">
        <v>1920</v>
      </c>
      <c r="F123" s="625"/>
      <c r="G123" s="31">
        <v>1</v>
      </c>
      <c r="H123" s="674"/>
      <c r="I123" s="519">
        <f>+Table16[[#This Row],[Quantity]]*Table16[[#This Row],[Unit Price]]</f>
        <v>0</v>
      </c>
    </row>
    <row r="124" spans="1:9" x14ac:dyDescent="0.2">
      <c r="A124" s="288" t="s">
        <v>10</v>
      </c>
      <c r="B124" s="314" t="s">
        <v>469</v>
      </c>
      <c r="C124" s="457"/>
      <c r="D124" s="71"/>
      <c r="E124" s="314" t="s">
        <v>1920</v>
      </c>
      <c r="F124" s="625"/>
      <c r="G124" s="31">
        <v>1</v>
      </c>
      <c r="H124" s="674"/>
      <c r="I124" s="519">
        <f>+Table16[[#This Row],[Quantity]]*Table16[[#This Row],[Unit Price]]</f>
        <v>0</v>
      </c>
    </row>
    <row r="125" spans="1:9" x14ac:dyDescent="0.2">
      <c r="A125" s="288" t="s">
        <v>1450</v>
      </c>
      <c r="B125" s="314" t="s">
        <v>987</v>
      </c>
      <c r="C125" s="457"/>
      <c r="D125" s="71"/>
      <c r="E125" s="314" t="s">
        <v>1920</v>
      </c>
      <c r="F125" s="625"/>
      <c r="G125" s="31">
        <v>1</v>
      </c>
      <c r="H125" s="674"/>
      <c r="I125" s="519">
        <f>+Table16[[#This Row],[Quantity]]*Table16[[#This Row],[Unit Price]]</f>
        <v>0</v>
      </c>
    </row>
    <row r="126" spans="1:9" x14ac:dyDescent="0.2">
      <c r="A126" s="288" t="s">
        <v>1457</v>
      </c>
      <c r="B126" s="314" t="s">
        <v>974</v>
      </c>
      <c r="C126" s="457"/>
      <c r="D126" s="71"/>
      <c r="E126" s="314" t="s">
        <v>1920</v>
      </c>
      <c r="F126" s="625"/>
      <c r="G126" s="31">
        <v>1</v>
      </c>
      <c r="H126" s="674"/>
      <c r="I126" s="519">
        <f>+Table16[[#This Row],[Quantity]]*Table16[[#This Row],[Unit Price]]</f>
        <v>0</v>
      </c>
    </row>
    <row r="127" spans="1:9" x14ac:dyDescent="0.2">
      <c r="A127" s="288" t="s">
        <v>20</v>
      </c>
      <c r="B127" s="314" t="s">
        <v>287</v>
      </c>
      <c r="C127" s="457"/>
      <c r="D127" s="71"/>
      <c r="E127" s="314" t="s">
        <v>1920</v>
      </c>
      <c r="F127" s="625"/>
      <c r="G127" s="31">
        <v>2</v>
      </c>
      <c r="H127" s="674"/>
      <c r="I127" s="519">
        <f>+Table16[[#This Row],[Quantity]]*Table16[[#This Row],[Unit Price]]</f>
        <v>0</v>
      </c>
    </row>
    <row r="128" spans="1:9" x14ac:dyDescent="0.2">
      <c r="A128" s="288" t="s">
        <v>13</v>
      </c>
      <c r="B128" s="314" t="s">
        <v>471</v>
      </c>
      <c r="C128" s="457"/>
      <c r="D128" s="71"/>
      <c r="E128" s="314" t="s">
        <v>1920</v>
      </c>
      <c r="F128" s="625"/>
      <c r="G128" s="31">
        <v>1</v>
      </c>
      <c r="H128" s="674"/>
      <c r="I128" s="519">
        <f>+Table16[[#This Row],[Quantity]]*Table16[[#This Row],[Unit Price]]</f>
        <v>0</v>
      </c>
    </row>
    <row r="129" spans="1:9" x14ac:dyDescent="0.2">
      <c r="A129" s="288" t="s">
        <v>2919</v>
      </c>
      <c r="B129" s="314" t="s">
        <v>2918</v>
      </c>
      <c r="C129" s="457"/>
      <c r="D129" s="71"/>
      <c r="E129" s="314">
        <v>55719</v>
      </c>
      <c r="F129" s="625"/>
      <c r="G129" s="31">
        <v>1</v>
      </c>
      <c r="H129" s="674"/>
      <c r="I129" s="519">
        <f>+Table16[[#This Row],[Quantity]]*Table16[[#This Row],[Unit Price]]</f>
        <v>0</v>
      </c>
    </row>
    <row r="130" spans="1:9" x14ac:dyDescent="0.2">
      <c r="A130" s="288" t="s">
        <v>5</v>
      </c>
      <c r="B130" s="314" t="s">
        <v>466</v>
      </c>
      <c r="C130" s="457"/>
      <c r="D130" s="71"/>
      <c r="E130" s="314" t="s">
        <v>1920</v>
      </c>
      <c r="F130" s="625"/>
      <c r="G130" s="31">
        <v>1</v>
      </c>
      <c r="H130" s="674"/>
      <c r="I130" s="519">
        <f>+Table16[[#This Row],[Quantity]]*Table16[[#This Row],[Unit Price]]</f>
        <v>0</v>
      </c>
    </row>
    <row r="131" spans="1:9" x14ac:dyDescent="0.2">
      <c r="A131" s="288" t="s">
        <v>209</v>
      </c>
      <c r="B131" s="314" t="s">
        <v>210</v>
      </c>
      <c r="C131" s="457"/>
      <c r="D131" s="71"/>
      <c r="E131" s="314" t="s">
        <v>1920</v>
      </c>
      <c r="F131" s="625"/>
      <c r="G131" s="31">
        <v>1</v>
      </c>
      <c r="H131" s="674"/>
      <c r="I131" s="519">
        <f>+Table16[[#This Row],[Quantity]]*Table16[[#This Row],[Unit Price]]</f>
        <v>0</v>
      </c>
    </row>
    <row r="132" spans="1:9" x14ac:dyDescent="0.2">
      <c r="A132" s="288" t="s">
        <v>11</v>
      </c>
      <c r="B132" s="314" t="s">
        <v>278</v>
      </c>
      <c r="C132" s="457"/>
      <c r="D132" s="71"/>
      <c r="E132" s="314" t="s">
        <v>1920</v>
      </c>
      <c r="F132" s="625"/>
      <c r="G132" s="31">
        <v>1</v>
      </c>
      <c r="H132" s="674"/>
      <c r="I132" s="519">
        <f>+Table16[[#This Row],[Quantity]]*Table16[[#This Row],[Unit Price]]</f>
        <v>0</v>
      </c>
    </row>
    <row r="133" spans="1:9" x14ac:dyDescent="0.2">
      <c r="A133" s="288" t="s">
        <v>12</v>
      </c>
      <c r="B133" s="314" t="s">
        <v>171</v>
      </c>
      <c r="C133" s="457"/>
      <c r="D133" s="71"/>
      <c r="E133" s="314" t="s">
        <v>1920</v>
      </c>
      <c r="F133" s="625"/>
      <c r="G133" s="31">
        <v>1</v>
      </c>
      <c r="H133" s="674"/>
      <c r="I133" s="519">
        <f>+Table16[[#This Row],[Quantity]]*Table16[[#This Row],[Unit Price]]</f>
        <v>0</v>
      </c>
    </row>
    <row r="134" spans="1:9" x14ac:dyDescent="0.2">
      <c r="A134" s="288" t="s">
        <v>1042</v>
      </c>
      <c r="B134" s="314" t="s">
        <v>952</v>
      </c>
      <c r="C134" s="457"/>
      <c r="D134" s="71"/>
      <c r="E134" s="314" t="s">
        <v>1920</v>
      </c>
      <c r="F134" s="625"/>
      <c r="G134" s="31">
        <v>1</v>
      </c>
      <c r="H134" s="674"/>
      <c r="I134" s="519">
        <f>+Table16[[#This Row],[Quantity]]*Table16[[#This Row],[Unit Price]]</f>
        <v>0</v>
      </c>
    </row>
    <row r="135" spans="1:9" x14ac:dyDescent="0.2">
      <c r="A135" s="288" t="s">
        <v>68</v>
      </c>
      <c r="B135" s="314" t="s">
        <v>992</v>
      </c>
      <c r="C135" s="457"/>
      <c r="D135" s="71"/>
      <c r="E135" s="314" t="s">
        <v>1920</v>
      </c>
      <c r="F135" s="625"/>
      <c r="G135" s="31">
        <v>1</v>
      </c>
      <c r="H135" s="674"/>
      <c r="I135" s="519">
        <f>+Table16[[#This Row],[Quantity]]*Table16[[#This Row],[Unit Price]]</f>
        <v>0</v>
      </c>
    </row>
    <row r="136" spans="1:9" x14ac:dyDescent="0.2">
      <c r="A136" s="288" t="s">
        <v>1216</v>
      </c>
      <c r="B136" s="314" t="s">
        <v>481</v>
      </c>
      <c r="C136" s="457"/>
      <c r="D136" s="306"/>
      <c r="E136" s="314" t="s">
        <v>1920</v>
      </c>
      <c r="F136" s="625"/>
      <c r="G136" s="31">
        <v>1</v>
      </c>
      <c r="H136" s="674"/>
      <c r="I136" s="519">
        <f>+Table16[[#This Row],[Quantity]]*Table16[[#This Row],[Unit Price]]</f>
        <v>0</v>
      </c>
    </row>
    <row r="137" spans="1:9" x14ac:dyDescent="0.2">
      <c r="A137" s="288" t="s">
        <v>1286</v>
      </c>
      <c r="B137" s="314" t="s">
        <v>387</v>
      </c>
      <c r="C137" s="457"/>
      <c r="D137" s="314"/>
      <c r="E137" s="314" t="s">
        <v>1920</v>
      </c>
      <c r="F137" s="625"/>
      <c r="G137" s="31">
        <v>1</v>
      </c>
      <c r="H137" s="674"/>
      <c r="I137" s="519">
        <f>+Table16[[#This Row],[Quantity]]*Table16[[#This Row],[Unit Price]]</f>
        <v>0</v>
      </c>
    </row>
    <row r="138" spans="1:9" s="251" customFormat="1" x14ac:dyDescent="0.2">
      <c r="A138" s="288" t="s">
        <v>4</v>
      </c>
      <c r="B138" s="314" t="s">
        <v>90</v>
      </c>
      <c r="C138" s="457"/>
      <c r="D138" s="314"/>
      <c r="E138" s="314" t="s">
        <v>1920</v>
      </c>
      <c r="F138" s="625"/>
      <c r="G138" s="31">
        <v>1</v>
      </c>
      <c r="H138" s="675"/>
      <c r="I138" s="519">
        <f>+Table16[[#This Row],[Quantity]]*Table16[[#This Row],[Unit Price]]</f>
        <v>0</v>
      </c>
    </row>
    <row r="139" spans="1:9" s="251" customFormat="1" x14ac:dyDescent="0.2">
      <c r="A139" s="288" t="s">
        <v>101</v>
      </c>
      <c r="B139" s="144" t="s">
        <v>509</v>
      </c>
      <c r="C139" s="457"/>
      <c r="D139" s="314"/>
      <c r="E139" s="314" t="s">
        <v>1920</v>
      </c>
      <c r="F139" s="625"/>
      <c r="G139" s="31">
        <v>1</v>
      </c>
      <c r="H139" s="675"/>
      <c r="I139" s="519">
        <f>+Table16[[#This Row],[Quantity]]*Table16[[#This Row],[Unit Price]]</f>
        <v>0</v>
      </c>
    </row>
    <row r="140" spans="1:9" x14ac:dyDescent="0.2">
      <c r="A140" s="83"/>
      <c r="B140" s="90"/>
      <c r="C140" s="677"/>
      <c r="D140" s="678"/>
      <c r="E140" s="676"/>
      <c r="F140" s="679"/>
      <c r="G140" s="680"/>
      <c r="H140" s="681"/>
      <c r="I140" s="568">
        <f>SUM(I2:I139)</f>
        <v>0</v>
      </c>
    </row>
    <row r="142" spans="1:9" s="4" customFormat="1" ht="18" x14ac:dyDescent="0.25">
      <c r="A142" s="422" t="s">
        <v>1795</v>
      </c>
      <c r="B142" s="425"/>
      <c r="C142" s="309"/>
      <c r="D142" s="3"/>
      <c r="E142" s="309"/>
      <c r="F142" s="309"/>
      <c r="G142" s="309"/>
      <c r="H142" s="575"/>
      <c r="I142" s="541"/>
    </row>
    <row r="143" spans="1:9" s="4" customFormat="1" ht="18" x14ac:dyDescent="0.25">
      <c r="A143" s="422" t="s">
        <v>2962</v>
      </c>
      <c r="B143" s="425"/>
      <c r="C143" s="309"/>
      <c r="D143" s="3"/>
      <c r="E143" s="309"/>
      <c r="F143" s="309"/>
      <c r="G143" s="309"/>
      <c r="H143" s="575"/>
      <c r="I143" s="541"/>
    </row>
    <row r="144" spans="1:9" ht="18" x14ac:dyDescent="0.25">
      <c r="A144" s="491" t="s">
        <v>3330</v>
      </c>
      <c r="B144" s="244"/>
    </row>
    <row r="145" spans="1:2" ht="18" x14ac:dyDescent="0.25">
      <c r="A145" s="449" t="s">
        <v>3374</v>
      </c>
      <c r="B145" s="608">
        <f>+Table16[[#Totals],[Extended price]]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74"/>
  <sheetViews>
    <sheetView workbookViewId="0">
      <pane ySplit="1" topLeftCell="A140" activePane="bottomLeft" state="frozen"/>
      <selection activeCell="C26" sqref="C26"/>
      <selection pane="bottomLeft" activeCell="G2" sqref="G2:G169"/>
    </sheetView>
  </sheetViews>
  <sheetFormatPr defaultColWidth="9.140625" defaultRowHeight="15" x14ac:dyDescent="0.2"/>
  <cols>
    <col min="1" max="1" width="78" style="117" bestFit="1" customWidth="1"/>
    <col min="2" max="2" width="20" style="60" bestFit="1" customWidth="1"/>
    <col min="3" max="3" width="20.42578125" style="60" bestFit="1" customWidth="1"/>
    <col min="4" max="4" width="20.140625" style="60" bestFit="1" customWidth="1"/>
    <col min="5" max="5" width="12.42578125" style="60" bestFit="1" customWidth="1"/>
    <col min="6" max="6" width="15.5703125" style="60" bestFit="1" customWidth="1"/>
    <col min="7" max="7" width="12.140625" style="60" customWidth="1"/>
    <col min="8" max="8" width="11.42578125" style="683" bestFit="1" customWidth="1"/>
    <col min="9" max="9" width="16.85546875" style="615" bestFit="1" customWidth="1"/>
    <col min="10" max="10" width="17" style="117" bestFit="1" customWidth="1"/>
    <col min="11" max="16384" width="9.140625" style="117"/>
  </cols>
  <sheetData>
    <row r="1" spans="1:9" ht="15.75" x14ac:dyDescent="0.25">
      <c r="A1" s="2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24" t="s">
        <v>412</v>
      </c>
      <c r="H1" s="528" t="s">
        <v>3368</v>
      </c>
      <c r="I1" s="539" t="s">
        <v>3369</v>
      </c>
    </row>
    <row r="2" spans="1:9" x14ac:dyDescent="0.2">
      <c r="A2" s="48" t="s">
        <v>18</v>
      </c>
      <c r="B2" s="314" t="s">
        <v>3110</v>
      </c>
      <c r="C2" s="430"/>
      <c r="D2" s="314"/>
      <c r="E2" s="314" t="s">
        <v>1920</v>
      </c>
      <c r="F2" s="625"/>
      <c r="G2" s="268">
        <v>1</v>
      </c>
      <c r="H2" s="529"/>
      <c r="I2" s="576">
        <f>+G2*H2</f>
        <v>0</v>
      </c>
    </row>
    <row r="3" spans="1:9" x14ac:dyDescent="0.2">
      <c r="A3" s="48" t="s">
        <v>459</v>
      </c>
      <c r="B3" s="314" t="s">
        <v>1823</v>
      </c>
      <c r="C3" s="430"/>
      <c r="D3" s="314"/>
      <c r="E3" s="314" t="s">
        <v>1920</v>
      </c>
      <c r="F3" s="625"/>
      <c r="G3" s="268">
        <v>1</v>
      </c>
      <c r="H3" s="529"/>
      <c r="I3" s="576">
        <f t="shared" ref="I3:I66" si="0">+G3*H3</f>
        <v>0</v>
      </c>
    </row>
    <row r="4" spans="1:9" x14ac:dyDescent="0.2">
      <c r="A4" s="48" t="s">
        <v>5</v>
      </c>
      <c r="B4" s="314" t="s">
        <v>466</v>
      </c>
      <c r="C4" s="430"/>
      <c r="D4" s="314"/>
      <c r="E4" s="314" t="s">
        <v>1920</v>
      </c>
      <c r="F4" s="625"/>
      <c r="G4" s="268">
        <v>1</v>
      </c>
      <c r="H4" s="529"/>
      <c r="I4" s="576">
        <f t="shared" si="0"/>
        <v>0</v>
      </c>
    </row>
    <row r="5" spans="1:9" x14ac:dyDescent="0.2">
      <c r="A5" s="48" t="s">
        <v>2091</v>
      </c>
      <c r="B5" s="314" t="s">
        <v>2090</v>
      </c>
      <c r="C5" s="430"/>
      <c r="D5" s="314"/>
      <c r="E5" s="314" t="s">
        <v>1920</v>
      </c>
      <c r="F5" s="625"/>
      <c r="G5" s="268">
        <v>1</v>
      </c>
      <c r="H5" s="529"/>
      <c r="I5" s="576">
        <f t="shared" si="0"/>
        <v>0</v>
      </c>
    </row>
    <row r="6" spans="1:9" x14ac:dyDescent="0.2">
      <c r="A6" s="48" t="s">
        <v>2947</v>
      </c>
      <c r="B6" s="314" t="s">
        <v>748</v>
      </c>
      <c r="C6" s="430"/>
      <c r="D6" s="314"/>
      <c r="E6" s="314" t="s">
        <v>1920</v>
      </c>
      <c r="F6" s="625"/>
      <c r="G6" s="268">
        <v>1</v>
      </c>
      <c r="H6" s="529"/>
      <c r="I6" s="576">
        <f t="shared" si="0"/>
        <v>0</v>
      </c>
    </row>
    <row r="7" spans="1:9" x14ac:dyDescent="0.2">
      <c r="A7" s="48" t="s">
        <v>1633</v>
      </c>
      <c r="B7" s="314" t="s">
        <v>547</v>
      </c>
      <c r="C7" s="430"/>
      <c r="D7" s="314"/>
      <c r="E7" s="314" t="s">
        <v>1920</v>
      </c>
      <c r="F7" s="625"/>
      <c r="G7" s="268">
        <v>1</v>
      </c>
      <c r="H7" s="529"/>
      <c r="I7" s="576">
        <f t="shared" si="0"/>
        <v>0</v>
      </c>
    </row>
    <row r="8" spans="1:9" x14ac:dyDescent="0.2">
      <c r="A8" s="48" t="s">
        <v>1635</v>
      </c>
      <c r="B8" s="314" t="s">
        <v>941</v>
      </c>
      <c r="C8" s="430"/>
      <c r="D8" s="314"/>
      <c r="E8" s="314" t="s">
        <v>1920</v>
      </c>
      <c r="F8" s="625"/>
      <c r="G8" s="268">
        <v>1</v>
      </c>
      <c r="H8" s="529"/>
      <c r="I8" s="576">
        <f t="shared" si="0"/>
        <v>0</v>
      </c>
    </row>
    <row r="9" spans="1:9" x14ac:dyDescent="0.2">
      <c r="A9" s="48" t="s">
        <v>17</v>
      </c>
      <c r="B9" s="314" t="s">
        <v>407</v>
      </c>
      <c r="C9" s="430"/>
      <c r="D9" s="314"/>
      <c r="E9" s="314" t="s">
        <v>1920</v>
      </c>
      <c r="F9" s="625"/>
      <c r="G9" s="268">
        <v>1</v>
      </c>
      <c r="H9" s="529"/>
      <c r="I9" s="576">
        <f t="shared" si="0"/>
        <v>0</v>
      </c>
    </row>
    <row r="10" spans="1:9" x14ac:dyDescent="0.2">
      <c r="A10" s="48" t="s">
        <v>1272</v>
      </c>
      <c r="B10" s="314" t="s">
        <v>946</v>
      </c>
      <c r="C10" s="430"/>
      <c r="D10" s="314"/>
      <c r="E10" s="314" t="s">
        <v>1920</v>
      </c>
      <c r="F10" s="625"/>
      <c r="G10" s="268">
        <v>1</v>
      </c>
      <c r="H10" s="529"/>
      <c r="I10" s="576">
        <f t="shared" si="0"/>
        <v>0</v>
      </c>
    </row>
    <row r="11" spans="1:9" x14ac:dyDescent="0.2">
      <c r="A11" s="48" t="s">
        <v>1509</v>
      </c>
      <c r="B11" s="314" t="s">
        <v>3098</v>
      </c>
      <c r="C11" s="430"/>
      <c r="D11" s="314"/>
      <c r="E11" s="314" t="s">
        <v>1920</v>
      </c>
      <c r="F11" s="625"/>
      <c r="G11" s="268">
        <v>1</v>
      </c>
      <c r="H11" s="529"/>
      <c r="I11" s="576">
        <f t="shared" si="0"/>
        <v>0</v>
      </c>
    </row>
    <row r="12" spans="1:9" x14ac:dyDescent="0.2">
      <c r="A12" s="48" t="s">
        <v>1660</v>
      </c>
      <c r="B12" s="314" t="s">
        <v>51</v>
      </c>
      <c r="C12" s="430"/>
      <c r="D12" s="314"/>
      <c r="E12" s="314" t="s">
        <v>1920</v>
      </c>
      <c r="F12" s="625"/>
      <c r="G12" s="268">
        <v>1</v>
      </c>
      <c r="H12" s="529"/>
      <c r="I12" s="576">
        <f t="shared" si="0"/>
        <v>0</v>
      </c>
    </row>
    <row r="13" spans="1:9" x14ac:dyDescent="0.2">
      <c r="A13" s="48" t="s">
        <v>1661</v>
      </c>
      <c r="B13" s="314" t="s">
        <v>533</v>
      </c>
      <c r="C13" s="430"/>
      <c r="D13" s="314"/>
      <c r="E13" s="314" t="s">
        <v>1920</v>
      </c>
      <c r="F13" s="625"/>
      <c r="G13" s="268">
        <v>1</v>
      </c>
      <c r="H13" s="529"/>
      <c r="I13" s="576">
        <f t="shared" si="0"/>
        <v>0</v>
      </c>
    </row>
    <row r="14" spans="1:9" x14ac:dyDescent="0.2">
      <c r="A14" s="48" t="s">
        <v>1047</v>
      </c>
      <c r="B14" s="314" t="s">
        <v>492</v>
      </c>
      <c r="C14" s="430"/>
      <c r="D14" s="314"/>
      <c r="E14" s="314" t="s">
        <v>1920</v>
      </c>
      <c r="F14" s="625"/>
      <c r="G14" s="268">
        <v>1</v>
      </c>
      <c r="H14" s="529"/>
      <c r="I14" s="576">
        <f t="shared" si="0"/>
        <v>0</v>
      </c>
    </row>
    <row r="15" spans="1:9" x14ac:dyDescent="0.2">
      <c r="A15" s="48" t="s">
        <v>1049</v>
      </c>
      <c r="B15" s="314" t="s">
        <v>493</v>
      </c>
      <c r="C15" s="430"/>
      <c r="D15" s="314"/>
      <c r="E15" s="314" t="s">
        <v>1920</v>
      </c>
      <c r="F15" s="625"/>
      <c r="G15" s="268">
        <v>1</v>
      </c>
      <c r="H15" s="529"/>
      <c r="I15" s="576">
        <f t="shared" si="0"/>
        <v>0</v>
      </c>
    </row>
    <row r="16" spans="1:9" x14ac:dyDescent="0.2">
      <c r="A16" s="48" t="s">
        <v>1048</v>
      </c>
      <c r="B16" s="314" t="s">
        <v>170</v>
      </c>
      <c r="C16" s="430"/>
      <c r="D16" s="314"/>
      <c r="E16" s="314" t="s">
        <v>1920</v>
      </c>
      <c r="F16" s="625"/>
      <c r="G16" s="268">
        <v>1</v>
      </c>
      <c r="H16" s="529"/>
      <c r="I16" s="576">
        <f t="shared" si="0"/>
        <v>0</v>
      </c>
    </row>
    <row r="17" spans="1:9" x14ac:dyDescent="0.2">
      <c r="A17" s="48" t="s">
        <v>1039</v>
      </c>
      <c r="B17" s="314" t="s">
        <v>243</v>
      </c>
      <c r="C17" s="430"/>
      <c r="D17" s="314"/>
      <c r="E17" s="314" t="s">
        <v>1920</v>
      </c>
      <c r="F17" s="625"/>
      <c r="G17" s="268">
        <v>1</v>
      </c>
      <c r="H17" s="529"/>
      <c r="I17" s="576">
        <f t="shared" si="0"/>
        <v>0</v>
      </c>
    </row>
    <row r="18" spans="1:9" x14ac:dyDescent="0.2">
      <c r="A18" s="48" t="s">
        <v>1050</v>
      </c>
      <c r="B18" s="314" t="s">
        <v>404</v>
      </c>
      <c r="C18" s="430"/>
      <c r="D18" s="314"/>
      <c r="E18" s="314" t="s">
        <v>1920</v>
      </c>
      <c r="F18" s="625"/>
      <c r="G18" s="268">
        <v>1</v>
      </c>
      <c r="H18" s="529"/>
      <c r="I18" s="576">
        <f t="shared" si="0"/>
        <v>0</v>
      </c>
    </row>
    <row r="19" spans="1:9" x14ac:dyDescent="0.2">
      <c r="A19" s="48" t="s">
        <v>1193</v>
      </c>
      <c r="B19" s="314" t="s">
        <v>316</v>
      </c>
      <c r="C19" s="430"/>
      <c r="D19" s="314"/>
      <c r="E19" s="314" t="s">
        <v>1920</v>
      </c>
      <c r="F19" s="625"/>
      <c r="G19" s="268">
        <v>1</v>
      </c>
      <c r="H19" s="529"/>
      <c r="I19" s="576">
        <f t="shared" si="0"/>
        <v>0</v>
      </c>
    </row>
    <row r="20" spans="1:9" x14ac:dyDescent="0.2">
      <c r="A20" s="48" t="s">
        <v>1194</v>
      </c>
      <c r="B20" s="314" t="s">
        <v>314</v>
      </c>
      <c r="C20" s="430"/>
      <c r="D20" s="314"/>
      <c r="E20" s="314" t="s">
        <v>1920</v>
      </c>
      <c r="F20" s="625"/>
      <c r="G20" s="268">
        <v>1</v>
      </c>
      <c r="H20" s="529"/>
      <c r="I20" s="576">
        <f t="shared" si="0"/>
        <v>0</v>
      </c>
    </row>
    <row r="21" spans="1:9" x14ac:dyDescent="0.2">
      <c r="A21" s="48" t="s">
        <v>1051</v>
      </c>
      <c r="B21" s="314" t="s">
        <v>317</v>
      </c>
      <c r="C21" s="430"/>
      <c r="D21" s="314"/>
      <c r="E21" s="314" t="s">
        <v>1920</v>
      </c>
      <c r="F21" s="625"/>
      <c r="G21" s="268">
        <v>1</v>
      </c>
      <c r="H21" s="529"/>
      <c r="I21" s="576">
        <f t="shared" si="0"/>
        <v>0</v>
      </c>
    </row>
    <row r="22" spans="1:9" x14ac:dyDescent="0.2">
      <c r="A22" s="48" t="s">
        <v>3243</v>
      </c>
      <c r="B22" s="314" t="s">
        <v>82</v>
      </c>
      <c r="C22" s="430"/>
      <c r="D22" s="314"/>
      <c r="E22" s="314" t="s">
        <v>1920</v>
      </c>
      <c r="F22" s="625"/>
      <c r="G22" s="268">
        <v>1</v>
      </c>
      <c r="H22" s="529"/>
      <c r="I22" s="576">
        <f t="shared" si="0"/>
        <v>0</v>
      </c>
    </row>
    <row r="23" spans="1:9" x14ac:dyDescent="0.2">
      <c r="A23" s="48" t="s">
        <v>3244</v>
      </c>
      <c r="B23" s="314" t="s">
        <v>308</v>
      </c>
      <c r="C23" s="430"/>
      <c r="D23" s="314"/>
      <c r="E23" s="314" t="s">
        <v>1920</v>
      </c>
      <c r="F23" s="625"/>
      <c r="G23" s="268">
        <v>1</v>
      </c>
      <c r="H23" s="529"/>
      <c r="I23" s="576">
        <f t="shared" si="0"/>
        <v>0</v>
      </c>
    </row>
    <row r="24" spans="1:9" x14ac:dyDescent="0.2">
      <c r="A24" s="48" t="s">
        <v>1296</v>
      </c>
      <c r="B24" s="314" t="s">
        <v>64</v>
      </c>
      <c r="C24" s="430"/>
      <c r="D24" s="314"/>
      <c r="E24" s="314" t="s">
        <v>1920</v>
      </c>
      <c r="F24" s="625"/>
      <c r="G24" s="268">
        <v>1</v>
      </c>
      <c r="H24" s="529"/>
      <c r="I24" s="576">
        <f t="shared" si="0"/>
        <v>0</v>
      </c>
    </row>
    <row r="25" spans="1:9" x14ac:dyDescent="0.2">
      <c r="A25" s="48" t="s">
        <v>16</v>
      </c>
      <c r="B25" s="314" t="s">
        <v>476</v>
      </c>
      <c r="C25" s="430"/>
      <c r="D25" s="314"/>
      <c r="E25" s="314" t="s">
        <v>1920</v>
      </c>
      <c r="F25" s="625"/>
      <c r="G25" s="268">
        <v>2</v>
      </c>
      <c r="H25" s="529"/>
      <c r="I25" s="576">
        <f t="shared" si="0"/>
        <v>0</v>
      </c>
    </row>
    <row r="26" spans="1:9" x14ac:dyDescent="0.2">
      <c r="A26" s="48" t="s">
        <v>1192</v>
      </c>
      <c r="B26" s="314" t="s">
        <v>94</v>
      </c>
      <c r="C26" s="430"/>
      <c r="D26" s="314"/>
      <c r="E26" s="314" t="s">
        <v>1920</v>
      </c>
      <c r="F26" s="625"/>
      <c r="G26" s="268">
        <v>1</v>
      </c>
      <c r="H26" s="529"/>
      <c r="I26" s="576">
        <f t="shared" si="0"/>
        <v>0</v>
      </c>
    </row>
    <row r="27" spans="1:9" x14ac:dyDescent="0.2">
      <c r="A27" s="48" t="s">
        <v>1306</v>
      </c>
      <c r="B27" s="314" t="s">
        <v>53</v>
      </c>
      <c r="C27" s="430"/>
      <c r="D27" s="314"/>
      <c r="E27" s="314" t="s">
        <v>1920</v>
      </c>
      <c r="F27" s="625"/>
      <c r="G27" s="268">
        <v>1</v>
      </c>
      <c r="H27" s="529"/>
      <c r="I27" s="576">
        <f t="shared" si="0"/>
        <v>0</v>
      </c>
    </row>
    <row r="28" spans="1:9" x14ac:dyDescent="0.2">
      <c r="A28" s="48" t="s">
        <v>1308</v>
      </c>
      <c r="B28" s="314" t="s">
        <v>172</v>
      </c>
      <c r="C28" s="430"/>
      <c r="D28" s="314"/>
      <c r="E28" s="314" t="s">
        <v>1920</v>
      </c>
      <c r="F28" s="625"/>
      <c r="G28" s="268">
        <v>1</v>
      </c>
      <c r="H28" s="529"/>
      <c r="I28" s="576">
        <f t="shared" si="0"/>
        <v>0</v>
      </c>
    </row>
    <row r="29" spans="1:9" x14ac:dyDescent="0.2">
      <c r="A29" s="48" t="s">
        <v>1310</v>
      </c>
      <c r="B29" s="314" t="s">
        <v>542</v>
      </c>
      <c r="C29" s="430"/>
      <c r="D29" s="314"/>
      <c r="E29" s="314" t="s">
        <v>1920</v>
      </c>
      <c r="F29" s="625"/>
      <c r="G29" s="268">
        <v>1</v>
      </c>
      <c r="H29" s="529"/>
      <c r="I29" s="576">
        <f t="shared" si="0"/>
        <v>0</v>
      </c>
    </row>
    <row r="30" spans="1:9" x14ac:dyDescent="0.2">
      <c r="A30" s="48" t="s">
        <v>1307</v>
      </c>
      <c r="B30" s="314" t="s">
        <v>989</v>
      </c>
      <c r="C30" s="430"/>
      <c r="D30" s="314"/>
      <c r="E30" s="314" t="s">
        <v>1920</v>
      </c>
      <c r="F30" s="625"/>
      <c r="G30" s="268">
        <v>1</v>
      </c>
      <c r="H30" s="529"/>
      <c r="I30" s="576">
        <f t="shared" si="0"/>
        <v>0</v>
      </c>
    </row>
    <row r="31" spans="1:9" x14ac:dyDescent="0.2">
      <c r="A31" s="48" t="s">
        <v>1311</v>
      </c>
      <c r="B31" s="314" t="s">
        <v>69</v>
      </c>
      <c r="C31" s="430"/>
      <c r="D31" s="314"/>
      <c r="E31" s="314" t="s">
        <v>1920</v>
      </c>
      <c r="F31" s="625"/>
      <c r="G31" s="268">
        <v>2</v>
      </c>
      <c r="H31" s="529"/>
      <c r="I31" s="576">
        <f t="shared" si="0"/>
        <v>0</v>
      </c>
    </row>
    <row r="32" spans="1:9" x14ac:dyDescent="0.2">
      <c r="A32" s="48" t="s">
        <v>1312</v>
      </c>
      <c r="B32" s="314" t="s">
        <v>543</v>
      </c>
      <c r="C32" s="430"/>
      <c r="D32" s="314"/>
      <c r="E32" s="314" t="s">
        <v>1920</v>
      </c>
      <c r="F32" s="625"/>
      <c r="G32" s="268">
        <v>1</v>
      </c>
      <c r="H32" s="529"/>
      <c r="I32" s="576">
        <f t="shared" si="0"/>
        <v>0</v>
      </c>
    </row>
    <row r="33" spans="1:9" x14ac:dyDescent="0.2">
      <c r="A33" s="48" t="s">
        <v>1152</v>
      </c>
      <c r="B33" s="314" t="s">
        <v>281</v>
      </c>
      <c r="C33" s="430"/>
      <c r="D33" s="314"/>
      <c r="E33" s="314" t="s">
        <v>1920</v>
      </c>
      <c r="F33" s="625"/>
      <c r="G33" s="268">
        <v>1</v>
      </c>
      <c r="H33" s="529"/>
      <c r="I33" s="576">
        <f t="shared" si="0"/>
        <v>0</v>
      </c>
    </row>
    <row r="34" spans="1:9" x14ac:dyDescent="0.2">
      <c r="A34" s="48" t="s">
        <v>1032</v>
      </c>
      <c r="B34" s="314" t="s">
        <v>413</v>
      </c>
      <c r="C34" s="430"/>
      <c r="D34" s="314"/>
      <c r="E34" s="314" t="s">
        <v>1920</v>
      </c>
      <c r="F34" s="625"/>
      <c r="G34" s="268">
        <v>1</v>
      </c>
      <c r="H34" s="529"/>
      <c r="I34" s="576">
        <f t="shared" si="0"/>
        <v>0</v>
      </c>
    </row>
    <row r="35" spans="1:9" x14ac:dyDescent="0.2">
      <c r="A35" s="48" t="s">
        <v>1035</v>
      </c>
      <c r="B35" s="314" t="s">
        <v>414</v>
      </c>
      <c r="C35" s="430"/>
      <c r="D35" s="314"/>
      <c r="E35" s="314" t="s">
        <v>1920</v>
      </c>
      <c r="F35" s="625"/>
      <c r="G35" s="268">
        <v>1</v>
      </c>
      <c r="H35" s="529"/>
      <c r="I35" s="576">
        <f t="shared" si="0"/>
        <v>0</v>
      </c>
    </row>
    <row r="36" spans="1:9" x14ac:dyDescent="0.2">
      <c r="A36" s="48" t="s">
        <v>1277</v>
      </c>
      <c r="B36" s="314" t="s">
        <v>1832</v>
      </c>
      <c r="C36" s="430"/>
      <c r="D36" s="314"/>
      <c r="E36" s="314" t="s">
        <v>1920</v>
      </c>
      <c r="F36" s="625"/>
      <c r="G36" s="268">
        <v>1</v>
      </c>
      <c r="H36" s="529"/>
      <c r="I36" s="576">
        <f t="shared" si="0"/>
        <v>0</v>
      </c>
    </row>
    <row r="37" spans="1:9" x14ac:dyDescent="0.2">
      <c r="A37" s="48" t="s">
        <v>1279</v>
      </c>
      <c r="B37" s="314" t="s">
        <v>1833</v>
      </c>
      <c r="C37" s="430"/>
      <c r="D37" s="314"/>
      <c r="E37" s="314" t="s">
        <v>1920</v>
      </c>
      <c r="F37" s="625"/>
      <c r="G37" s="268">
        <v>1</v>
      </c>
      <c r="H37" s="529"/>
      <c r="I37" s="576">
        <f t="shared" si="0"/>
        <v>0</v>
      </c>
    </row>
    <row r="38" spans="1:9" x14ac:dyDescent="0.2">
      <c r="A38" s="48" t="s">
        <v>1280</v>
      </c>
      <c r="B38" s="314" t="s">
        <v>1834</v>
      </c>
      <c r="C38" s="430"/>
      <c r="D38" s="314"/>
      <c r="E38" s="314" t="s">
        <v>1920</v>
      </c>
      <c r="F38" s="625"/>
      <c r="G38" s="268">
        <v>1</v>
      </c>
      <c r="H38" s="529"/>
      <c r="I38" s="576">
        <f t="shared" si="0"/>
        <v>0</v>
      </c>
    </row>
    <row r="39" spans="1:9" x14ac:dyDescent="0.2">
      <c r="A39" s="48" t="s">
        <v>1278</v>
      </c>
      <c r="B39" s="314" t="s">
        <v>1835</v>
      </c>
      <c r="C39" s="430"/>
      <c r="D39" s="314"/>
      <c r="E39" s="314" t="s">
        <v>1920</v>
      </c>
      <c r="F39" s="625"/>
      <c r="G39" s="268">
        <v>1</v>
      </c>
      <c r="H39" s="529"/>
      <c r="I39" s="576">
        <f t="shared" si="0"/>
        <v>0</v>
      </c>
    </row>
    <row r="40" spans="1:9" x14ac:dyDescent="0.2">
      <c r="A40" s="48" t="s">
        <v>35</v>
      </c>
      <c r="B40" s="314" t="s">
        <v>1827</v>
      </c>
      <c r="C40" s="430"/>
      <c r="D40" s="314"/>
      <c r="E40" s="314" t="s">
        <v>1920</v>
      </c>
      <c r="F40" s="625"/>
      <c r="G40" s="268">
        <v>1</v>
      </c>
      <c r="H40" s="529"/>
      <c r="I40" s="576">
        <f t="shared" si="0"/>
        <v>0</v>
      </c>
    </row>
    <row r="41" spans="1:9" x14ac:dyDescent="0.2">
      <c r="A41" s="48" t="s">
        <v>36</v>
      </c>
      <c r="B41" s="314" t="s">
        <v>1828</v>
      </c>
      <c r="C41" s="430"/>
      <c r="D41" s="314"/>
      <c r="E41" s="314" t="s">
        <v>1920</v>
      </c>
      <c r="F41" s="625"/>
      <c r="G41" s="268">
        <v>1</v>
      </c>
      <c r="H41" s="529"/>
      <c r="I41" s="576">
        <f t="shared" si="0"/>
        <v>0</v>
      </c>
    </row>
    <row r="42" spans="1:9" x14ac:dyDescent="0.2">
      <c r="A42" s="48" t="s">
        <v>34</v>
      </c>
      <c r="B42" s="314" t="s">
        <v>1826</v>
      </c>
      <c r="C42" s="430"/>
      <c r="D42" s="314"/>
      <c r="E42" s="314" t="s">
        <v>1920</v>
      </c>
      <c r="F42" s="625"/>
      <c r="G42" s="268">
        <v>1</v>
      </c>
      <c r="H42" s="529"/>
      <c r="I42" s="576">
        <f t="shared" si="0"/>
        <v>0</v>
      </c>
    </row>
    <row r="43" spans="1:9" x14ac:dyDescent="0.2">
      <c r="A43" s="48" t="s">
        <v>985</v>
      </c>
      <c r="B43" s="314" t="s">
        <v>1830</v>
      </c>
      <c r="C43" s="430"/>
      <c r="D43" s="314"/>
      <c r="E43" s="314" t="s">
        <v>1920</v>
      </c>
      <c r="F43" s="625"/>
      <c r="G43" s="268">
        <v>1</v>
      </c>
      <c r="H43" s="529"/>
      <c r="I43" s="576">
        <f t="shared" si="0"/>
        <v>0</v>
      </c>
    </row>
    <row r="44" spans="1:9" x14ac:dyDescent="0.2">
      <c r="A44" s="48" t="s">
        <v>1244</v>
      </c>
      <c r="B44" s="314" t="s">
        <v>1831</v>
      </c>
      <c r="C44" s="430"/>
      <c r="D44" s="314"/>
      <c r="E44" s="314" t="s">
        <v>1920</v>
      </c>
      <c r="F44" s="625"/>
      <c r="G44" s="268">
        <v>1</v>
      </c>
      <c r="H44" s="529"/>
      <c r="I44" s="576">
        <f t="shared" si="0"/>
        <v>0</v>
      </c>
    </row>
    <row r="45" spans="1:9" x14ac:dyDescent="0.2">
      <c r="A45" s="48" t="s">
        <v>71</v>
      </c>
      <c r="B45" s="314" t="s">
        <v>249</v>
      </c>
      <c r="C45" s="430"/>
      <c r="D45" s="314"/>
      <c r="E45" s="314" t="s">
        <v>1920</v>
      </c>
      <c r="F45" s="625"/>
      <c r="G45" s="268">
        <v>1</v>
      </c>
      <c r="H45" s="529"/>
      <c r="I45" s="576">
        <f t="shared" si="0"/>
        <v>0</v>
      </c>
    </row>
    <row r="46" spans="1:9" x14ac:dyDescent="0.2">
      <c r="A46" s="48" t="s">
        <v>72</v>
      </c>
      <c r="B46" s="314" t="s">
        <v>250</v>
      </c>
      <c r="C46" s="430"/>
      <c r="D46" s="314"/>
      <c r="E46" s="314" t="s">
        <v>1920</v>
      </c>
      <c r="F46" s="625"/>
      <c r="G46" s="268">
        <v>1</v>
      </c>
      <c r="H46" s="529"/>
      <c r="I46" s="576">
        <f t="shared" si="0"/>
        <v>0</v>
      </c>
    </row>
    <row r="47" spans="1:9" x14ac:dyDescent="0.2">
      <c r="A47" s="75" t="s">
        <v>3191</v>
      </c>
      <c r="B47" s="314" t="s">
        <v>3089</v>
      </c>
      <c r="C47" s="430"/>
      <c r="D47" s="314"/>
      <c r="E47" s="314">
        <v>55719</v>
      </c>
      <c r="F47" s="625"/>
      <c r="G47" s="31">
        <v>1</v>
      </c>
      <c r="H47" s="674"/>
      <c r="I47" s="576">
        <f t="shared" si="0"/>
        <v>0</v>
      </c>
    </row>
    <row r="48" spans="1:9" x14ac:dyDescent="0.2">
      <c r="A48" s="48" t="s">
        <v>1092</v>
      </c>
      <c r="B48" s="314" t="s">
        <v>406</v>
      </c>
      <c r="C48" s="430"/>
      <c r="D48" s="314"/>
      <c r="E48" s="314" t="s">
        <v>1920</v>
      </c>
      <c r="F48" s="625"/>
      <c r="G48" s="268">
        <v>2</v>
      </c>
      <c r="H48" s="529"/>
      <c r="I48" s="576">
        <f t="shared" si="0"/>
        <v>0</v>
      </c>
    </row>
    <row r="49" spans="1:9" x14ac:dyDescent="0.2">
      <c r="A49" s="48" t="s">
        <v>1093</v>
      </c>
      <c r="B49" s="314" t="s">
        <v>215</v>
      </c>
      <c r="C49" s="430"/>
      <c r="D49" s="314"/>
      <c r="E49" s="314" t="s">
        <v>1920</v>
      </c>
      <c r="F49" s="625"/>
      <c r="G49" s="268">
        <v>2</v>
      </c>
      <c r="H49" s="529"/>
      <c r="I49" s="576">
        <f t="shared" si="0"/>
        <v>0</v>
      </c>
    </row>
    <row r="50" spans="1:9" x14ac:dyDescent="0.2">
      <c r="A50" s="48" t="s">
        <v>1044</v>
      </c>
      <c r="B50" s="314" t="s">
        <v>272</v>
      </c>
      <c r="C50" s="430"/>
      <c r="D50" s="314"/>
      <c r="E50" s="314" t="s">
        <v>1920</v>
      </c>
      <c r="F50" s="625"/>
      <c r="G50" s="268">
        <v>2</v>
      </c>
      <c r="H50" s="529"/>
      <c r="I50" s="576">
        <f t="shared" si="0"/>
        <v>0</v>
      </c>
    </row>
    <row r="51" spans="1:9" x14ac:dyDescent="0.2">
      <c r="A51" s="48" t="s">
        <v>39</v>
      </c>
      <c r="B51" s="314" t="s">
        <v>245</v>
      </c>
      <c r="C51" s="430"/>
      <c r="D51" s="314"/>
      <c r="E51" s="314" t="s">
        <v>1920</v>
      </c>
      <c r="F51" s="625"/>
      <c r="G51" s="268">
        <v>1</v>
      </c>
      <c r="H51" s="529"/>
      <c r="I51" s="576">
        <f t="shared" si="0"/>
        <v>0</v>
      </c>
    </row>
    <row r="52" spans="1:9" x14ac:dyDescent="0.2">
      <c r="A52" s="48" t="s">
        <v>209</v>
      </c>
      <c r="B52" s="314" t="s">
        <v>210</v>
      </c>
      <c r="C52" s="430"/>
      <c r="D52" s="314"/>
      <c r="E52" s="314" t="s">
        <v>1920</v>
      </c>
      <c r="F52" s="625"/>
      <c r="G52" s="268">
        <v>1</v>
      </c>
      <c r="H52" s="529"/>
      <c r="I52" s="576">
        <f t="shared" si="0"/>
        <v>0</v>
      </c>
    </row>
    <row r="53" spans="1:9" x14ac:dyDescent="0.2">
      <c r="A53" s="48" t="s">
        <v>11</v>
      </c>
      <c r="B53" s="314" t="s">
        <v>278</v>
      </c>
      <c r="C53" s="430"/>
      <c r="D53" s="314"/>
      <c r="E53" s="314" t="s">
        <v>1920</v>
      </c>
      <c r="F53" s="625"/>
      <c r="G53" s="268">
        <v>1</v>
      </c>
      <c r="H53" s="529"/>
      <c r="I53" s="576">
        <f t="shared" si="0"/>
        <v>0</v>
      </c>
    </row>
    <row r="54" spans="1:9" x14ac:dyDescent="0.2">
      <c r="A54" s="48" t="s">
        <v>12</v>
      </c>
      <c r="B54" s="314" t="s">
        <v>171</v>
      </c>
      <c r="C54" s="430"/>
      <c r="D54" s="314"/>
      <c r="E54" s="314" t="s">
        <v>1920</v>
      </c>
      <c r="F54" s="625"/>
      <c r="G54" s="268">
        <v>1</v>
      </c>
      <c r="H54" s="529"/>
      <c r="I54" s="576">
        <f t="shared" si="0"/>
        <v>0</v>
      </c>
    </row>
    <row r="55" spans="1:9" x14ac:dyDescent="0.2">
      <c r="A55" s="48" t="s">
        <v>6</v>
      </c>
      <c r="B55" s="314" t="s">
        <v>91</v>
      </c>
      <c r="C55" s="430"/>
      <c r="D55" s="314"/>
      <c r="E55" s="314" t="s">
        <v>1920</v>
      </c>
      <c r="F55" s="625"/>
      <c r="G55" s="268">
        <v>1</v>
      </c>
      <c r="H55" s="529"/>
      <c r="I55" s="576">
        <f t="shared" si="0"/>
        <v>0</v>
      </c>
    </row>
    <row r="56" spans="1:9" x14ac:dyDescent="0.2">
      <c r="A56" s="48" t="s">
        <v>1372</v>
      </c>
      <c r="B56" s="314" t="s">
        <v>1100</v>
      </c>
      <c r="C56" s="430"/>
      <c r="D56" s="314"/>
      <c r="E56" s="314" t="s">
        <v>1920</v>
      </c>
      <c r="F56" s="625"/>
      <c r="G56" s="268">
        <v>1</v>
      </c>
      <c r="H56" s="529"/>
      <c r="I56" s="576">
        <f t="shared" si="0"/>
        <v>0</v>
      </c>
    </row>
    <row r="57" spans="1:9" x14ac:dyDescent="0.2">
      <c r="A57" s="48" t="s">
        <v>1276</v>
      </c>
      <c r="B57" s="314" t="s">
        <v>960</v>
      </c>
      <c r="C57" s="430"/>
      <c r="D57" s="314"/>
      <c r="E57" s="314" t="s">
        <v>1920</v>
      </c>
      <c r="F57" s="625"/>
      <c r="G57" s="268">
        <v>1</v>
      </c>
      <c r="H57" s="529"/>
      <c r="I57" s="576">
        <f t="shared" si="0"/>
        <v>0</v>
      </c>
    </row>
    <row r="58" spans="1:9" x14ac:dyDescent="0.2">
      <c r="A58" s="48" t="s">
        <v>202</v>
      </c>
      <c r="B58" s="314" t="s">
        <v>260</v>
      </c>
      <c r="C58" s="430"/>
      <c r="D58" s="314"/>
      <c r="E58" s="314" t="s">
        <v>1920</v>
      </c>
      <c r="F58" s="625"/>
      <c r="G58" s="268">
        <v>1</v>
      </c>
      <c r="H58" s="529"/>
      <c r="I58" s="576">
        <f t="shared" si="0"/>
        <v>0</v>
      </c>
    </row>
    <row r="59" spans="1:9" x14ac:dyDescent="0.2">
      <c r="A59" s="48" t="s">
        <v>1379</v>
      </c>
      <c r="B59" s="314" t="s">
        <v>63</v>
      </c>
      <c r="C59" s="430"/>
      <c r="D59" s="314"/>
      <c r="E59" s="314" t="s">
        <v>1920</v>
      </c>
      <c r="F59" s="625"/>
      <c r="G59" s="268">
        <v>1</v>
      </c>
      <c r="H59" s="529"/>
      <c r="I59" s="576">
        <f t="shared" si="0"/>
        <v>0</v>
      </c>
    </row>
    <row r="60" spans="1:9" x14ac:dyDescent="0.2">
      <c r="A60" s="48" t="s">
        <v>1208</v>
      </c>
      <c r="B60" s="314" t="s">
        <v>942</v>
      </c>
      <c r="C60" s="430"/>
      <c r="D60" s="314"/>
      <c r="E60" s="314" t="s">
        <v>1920</v>
      </c>
      <c r="F60" s="625"/>
      <c r="G60" s="268">
        <v>2</v>
      </c>
      <c r="H60" s="529"/>
      <c r="I60" s="576">
        <f t="shared" si="0"/>
        <v>0</v>
      </c>
    </row>
    <row r="61" spans="1:9" x14ac:dyDescent="0.2">
      <c r="A61" s="48" t="s">
        <v>1042</v>
      </c>
      <c r="B61" s="314" t="s">
        <v>952</v>
      </c>
      <c r="C61" s="430"/>
      <c r="D61" s="314"/>
      <c r="E61" s="314" t="s">
        <v>1920</v>
      </c>
      <c r="F61" s="625"/>
      <c r="G61" s="268">
        <v>1</v>
      </c>
      <c r="H61" s="529"/>
      <c r="I61" s="576">
        <f t="shared" si="0"/>
        <v>0</v>
      </c>
    </row>
    <row r="62" spans="1:9" x14ac:dyDescent="0.2">
      <c r="A62" s="48" t="s">
        <v>1274</v>
      </c>
      <c r="B62" s="314" t="s">
        <v>67</v>
      </c>
      <c r="C62" s="430"/>
      <c r="D62" s="314"/>
      <c r="E62" s="314" t="s">
        <v>1920</v>
      </c>
      <c r="F62" s="625"/>
      <c r="G62" s="268">
        <v>1</v>
      </c>
      <c r="H62" s="529"/>
      <c r="I62" s="576">
        <f t="shared" si="0"/>
        <v>0</v>
      </c>
    </row>
    <row r="63" spans="1:9" x14ac:dyDescent="0.2">
      <c r="A63" s="48" t="s">
        <v>180</v>
      </c>
      <c r="B63" s="314" t="s">
        <v>479</v>
      </c>
      <c r="C63" s="430"/>
      <c r="D63" s="139"/>
      <c r="E63" s="314" t="s">
        <v>1920</v>
      </c>
      <c r="F63" s="625"/>
      <c r="G63" s="268">
        <v>1</v>
      </c>
      <c r="H63" s="529"/>
      <c r="I63" s="576">
        <f t="shared" si="0"/>
        <v>0</v>
      </c>
    </row>
    <row r="64" spans="1:9" x14ac:dyDescent="0.2">
      <c r="A64" s="48" t="s">
        <v>1393</v>
      </c>
      <c r="B64" s="314" t="s">
        <v>653</v>
      </c>
      <c r="C64" s="430"/>
      <c r="D64" s="139"/>
      <c r="E64" s="314" t="s">
        <v>1920</v>
      </c>
      <c r="F64" s="625"/>
      <c r="G64" s="268">
        <v>1</v>
      </c>
      <c r="H64" s="529"/>
      <c r="I64" s="576">
        <f t="shared" si="0"/>
        <v>0</v>
      </c>
    </row>
    <row r="65" spans="1:9" x14ac:dyDescent="0.2">
      <c r="A65" s="48" t="s">
        <v>3257</v>
      </c>
      <c r="B65" s="314" t="s">
        <v>888</v>
      </c>
      <c r="C65" s="430"/>
      <c r="D65" s="139"/>
      <c r="E65" s="314" t="s">
        <v>1920</v>
      </c>
      <c r="F65" s="625"/>
      <c r="G65" s="268">
        <v>1</v>
      </c>
      <c r="H65" s="529"/>
      <c r="I65" s="576">
        <f t="shared" si="0"/>
        <v>0</v>
      </c>
    </row>
    <row r="66" spans="1:9" x14ac:dyDescent="0.2">
      <c r="A66" s="48" t="s">
        <v>66</v>
      </c>
      <c r="B66" s="314" t="s">
        <v>1836</v>
      </c>
      <c r="C66" s="430"/>
      <c r="D66" s="139"/>
      <c r="E66" s="314" t="s">
        <v>1947</v>
      </c>
      <c r="F66" s="625"/>
      <c r="G66" s="268">
        <v>1</v>
      </c>
      <c r="H66" s="529"/>
      <c r="I66" s="576">
        <f t="shared" si="0"/>
        <v>0</v>
      </c>
    </row>
    <row r="67" spans="1:9" x14ac:dyDescent="0.2">
      <c r="A67" s="48" t="s">
        <v>1303</v>
      </c>
      <c r="B67" s="314" t="s">
        <v>1106</v>
      </c>
      <c r="C67" s="430"/>
      <c r="D67" s="139"/>
      <c r="E67" s="314" t="s">
        <v>1928</v>
      </c>
      <c r="F67" s="625"/>
      <c r="G67" s="268">
        <v>1</v>
      </c>
      <c r="H67" s="529"/>
      <c r="I67" s="576">
        <f t="shared" ref="I67:I130" si="1">+G67*H67</f>
        <v>0</v>
      </c>
    </row>
    <row r="68" spans="1:9" x14ac:dyDescent="0.2">
      <c r="A68" s="48" t="s">
        <v>2857</v>
      </c>
      <c r="B68" s="314" t="s">
        <v>2850</v>
      </c>
      <c r="C68" s="430"/>
      <c r="D68" s="314"/>
      <c r="E68" s="314" t="s">
        <v>1928</v>
      </c>
      <c r="F68" s="625"/>
      <c r="G68" s="268">
        <v>1</v>
      </c>
      <c r="H68" s="529"/>
      <c r="I68" s="576">
        <f t="shared" si="1"/>
        <v>0</v>
      </c>
    </row>
    <row r="69" spans="1:9" x14ac:dyDescent="0.2">
      <c r="A69" s="48" t="s">
        <v>1256</v>
      </c>
      <c r="B69" s="314" t="s">
        <v>321</v>
      </c>
      <c r="C69" s="430"/>
      <c r="D69" s="139"/>
      <c r="E69" s="314" t="s">
        <v>1920</v>
      </c>
      <c r="F69" s="625"/>
      <c r="G69" s="268">
        <v>1</v>
      </c>
      <c r="H69" s="529"/>
      <c r="I69" s="576">
        <f t="shared" si="1"/>
        <v>0</v>
      </c>
    </row>
    <row r="70" spans="1:9" x14ac:dyDescent="0.2">
      <c r="A70" s="48" t="s">
        <v>1191</v>
      </c>
      <c r="B70" s="314" t="s">
        <v>546</v>
      </c>
      <c r="C70" s="430"/>
      <c r="D70" s="139"/>
      <c r="E70" s="314" t="s">
        <v>1920</v>
      </c>
      <c r="F70" s="625"/>
      <c r="G70" s="268">
        <v>1</v>
      </c>
      <c r="H70" s="529"/>
      <c r="I70" s="576">
        <f t="shared" si="1"/>
        <v>0</v>
      </c>
    </row>
    <row r="71" spans="1:9" x14ac:dyDescent="0.2">
      <c r="A71" s="48" t="s">
        <v>1180</v>
      </c>
      <c r="B71" s="314" t="s">
        <v>359</v>
      </c>
      <c r="C71" s="430"/>
      <c r="D71" s="139"/>
      <c r="E71" s="314" t="s">
        <v>1920</v>
      </c>
      <c r="F71" s="625"/>
      <c r="G71" s="268">
        <v>1</v>
      </c>
      <c r="H71" s="529"/>
      <c r="I71" s="576">
        <f t="shared" si="1"/>
        <v>0</v>
      </c>
    </row>
    <row r="72" spans="1:9" x14ac:dyDescent="0.2">
      <c r="A72" s="48" t="s">
        <v>1187</v>
      </c>
      <c r="B72" s="314" t="s">
        <v>360</v>
      </c>
      <c r="C72" s="430"/>
      <c r="D72" s="139"/>
      <c r="E72" s="314" t="s">
        <v>1920</v>
      </c>
      <c r="F72" s="625"/>
      <c r="G72" s="268">
        <v>2</v>
      </c>
      <c r="H72" s="529"/>
      <c r="I72" s="576">
        <f t="shared" si="1"/>
        <v>0</v>
      </c>
    </row>
    <row r="73" spans="1:9" x14ac:dyDescent="0.2">
      <c r="A73" s="48" t="s">
        <v>1258</v>
      </c>
      <c r="B73" s="314" t="s">
        <v>544</v>
      </c>
      <c r="C73" s="430"/>
      <c r="D73" s="139"/>
      <c r="E73" s="314" t="s">
        <v>1920</v>
      </c>
      <c r="F73" s="625"/>
      <c r="G73" s="268">
        <v>1</v>
      </c>
      <c r="H73" s="529"/>
      <c r="I73" s="576">
        <f t="shared" si="1"/>
        <v>0</v>
      </c>
    </row>
    <row r="74" spans="1:9" x14ac:dyDescent="0.2">
      <c r="A74" s="48" t="s">
        <v>1185</v>
      </c>
      <c r="B74" s="314" t="s">
        <v>330</v>
      </c>
      <c r="C74" s="430"/>
      <c r="D74" s="139"/>
      <c r="E74" s="314" t="s">
        <v>1920</v>
      </c>
      <c r="F74" s="625"/>
      <c r="G74" s="268">
        <v>1</v>
      </c>
      <c r="H74" s="529"/>
      <c r="I74" s="576">
        <f t="shared" si="1"/>
        <v>0</v>
      </c>
    </row>
    <row r="75" spans="1:9" x14ac:dyDescent="0.2">
      <c r="A75" s="48" t="s">
        <v>1181</v>
      </c>
      <c r="B75" s="314" t="s">
        <v>199</v>
      </c>
      <c r="C75" s="430"/>
      <c r="D75" s="139"/>
      <c r="E75" s="314" t="s">
        <v>1920</v>
      </c>
      <c r="F75" s="625"/>
      <c r="G75" s="268">
        <v>1</v>
      </c>
      <c r="H75" s="529"/>
      <c r="I75" s="576">
        <f t="shared" si="1"/>
        <v>0</v>
      </c>
    </row>
    <row r="76" spans="1:9" x14ac:dyDescent="0.2">
      <c r="A76" s="48" t="s">
        <v>1054</v>
      </c>
      <c r="B76" s="314" t="s">
        <v>326</v>
      </c>
      <c r="C76" s="430"/>
      <c r="D76" s="139"/>
      <c r="E76" s="314" t="s">
        <v>1920</v>
      </c>
      <c r="F76" s="625"/>
      <c r="G76" s="268">
        <v>1</v>
      </c>
      <c r="H76" s="529"/>
      <c r="I76" s="576">
        <f t="shared" si="1"/>
        <v>0</v>
      </c>
    </row>
    <row r="77" spans="1:9" x14ac:dyDescent="0.2">
      <c r="A77" s="48" t="s">
        <v>2879</v>
      </c>
      <c r="B77" s="314" t="s">
        <v>329</v>
      </c>
      <c r="C77" s="430"/>
      <c r="D77" s="139"/>
      <c r="E77" s="314" t="s">
        <v>1920</v>
      </c>
      <c r="F77" s="625"/>
      <c r="G77" s="268">
        <v>1</v>
      </c>
      <c r="H77" s="529"/>
      <c r="I77" s="576">
        <f t="shared" si="1"/>
        <v>0</v>
      </c>
    </row>
    <row r="78" spans="1:9" x14ac:dyDescent="0.2">
      <c r="A78" s="48" t="s">
        <v>2897</v>
      </c>
      <c r="B78" s="314" t="s">
        <v>324</v>
      </c>
      <c r="C78" s="430"/>
      <c r="D78" s="139"/>
      <c r="E78" s="314" t="s">
        <v>1920</v>
      </c>
      <c r="F78" s="625"/>
      <c r="G78" s="268">
        <v>1</v>
      </c>
      <c r="H78" s="529"/>
      <c r="I78" s="576">
        <f t="shared" si="1"/>
        <v>0</v>
      </c>
    </row>
    <row r="79" spans="1:9" x14ac:dyDescent="0.2">
      <c r="A79" s="48" t="s">
        <v>1069</v>
      </c>
      <c r="B79" s="314" t="s">
        <v>496</v>
      </c>
      <c r="C79" s="430"/>
      <c r="D79" s="139"/>
      <c r="E79" s="314" t="s">
        <v>1920</v>
      </c>
      <c r="F79" s="625"/>
      <c r="G79" s="268">
        <v>1</v>
      </c>
      <c r="H79" s="529"/>
      <c r="I79" s="576">
        <f t="shared" si="1"/>
        <v>0</v>
      </c>
    </row>
    <row r="80" spans="1:9" x14ac:dyDescent="0.2">
      <c r="A80" s="75" t="s">
        <v>2559</v>
      </c>
      <c r="B80" s="314" t="s">
        <v>2392</v>
      </c>
      <c r="C80" s="430"/>
      <c r="D80" s="139"/>
      <c r="E80" s="314">
        <v>55719</v>
      </c>
      <c r="F80" s="625"/>
      <c r="G80" s="31">
        <v>1</v>
      </c>
      <c r="H80" s="674"/>
      <c r="I80" s="576">
        <f t="shared" si="1"/>
        <v>0</v>
      </c>
    </row>
    <row r="81" spans="1:9" x14ac:dyDescent="0.2">
      <c r="A81" s="48" t="s">
        <v>852</v>
      </c>
      <c r="B81" s="314" t="s">
        <v>545</v>
      </c>
      <c r="C81" s="430"/>
      <c r="D81" s="139"/>
      <c r="E81" s="314" t="s">
        <v>1920</v>
      </c>
      <c r="F81" s="625"/>
      <c r="G81" s="268">
        <v>1</v>
      </c>
      <c r="H81" s="529"/>
      <c r="I81" s="576">
        <f t="shared" si="1"/>
        <v>0</v>
      </c>
    </row>
    <row r="82" spans="1:9" x14ac:dyDescent="0.2">
      <c r="A82" s="48" t="s">
        <v>1322</v>
      </c>
      <c r="B82" s="314" t="s">
        <v>247</v>
      </c>
      <c r="C82" s="430"/>
      <c r="D82" s="139"/>
      <c r="E82" s="314" t="s">
        <v>1920</v>
      </c>
      <c r="F82" s="625"/>
      <c r="G82" s="268">
        <v>1</v>
      </c>
      <c r="H82" s="529"/>
      <c r="I82" s="576">
        <f t="shared" si="1"/>
        <v>0</v>
      </c>
    </row>
    <row r="83" spans="1:9" x14ac:dyDescent="0.2">
      <c r="A83" s="48" t="s">
        <v>1189</v>
      </c>
      <c r="B83" s="314" t="s">
        <v>356</v>
      </c>
      <c r="C83" s="430"/>
      <c r="D83" s="139"/>
      <c r="E83" s="314" t="s">
        <v>1920</v>
      </c>
      <c r="F83" s="625"/>
      <c r="G83" s="268">
        <v>1</v>
      </c>
      <c r="H83" s="529"/>
      <c r="I83" s="576">
        <f t="shared" si="1"/>
        <v>0</v>
      </c>
    </row>
    <row r="84" spans="1:9" x14ac:dyDescent="0.2">
      <c r="A84" s="48" t="s">
        <v>1055</v>
      </c>
      <c r="B84" s="314" t="s">
        <v>347</v>
      </c>
      <c r="C84" s="430"/>
      <c r="D84" s="139"/>
      <c r="E84" s="314" t="s">
        <v>1920</v>
      </c>
      <c r="F84" s="625"/>
      <c r="G84" s="268">
        <v>1</v>
      </c>
      <c r="H84" s="529"/>
      <c r="I84" s="576">
        <f t="shared" si="1"/>
        <v>0</v>
      </c>
    </row>
    <row r="85" spans="1:9" x14ac:dyDescent="0.2">
      <c r="A85" s="48" t="s">
        <v>14</v>
      </c>
      <c r="B85" s="314" t="s">
        <v>472</v>
      </c>
      <c r="C85" s="430"/>
      <c r="D85" s="139"/>
      <c r="E85" s="314" t="s">
        <v>1971</v>
      </c>
      <c r="F85" s="625"/>
      <c r="G85" s="268">
        <v>2</v>
      </c>
      <c r="H85" s="529"/>
      <c r="I85" s="576">
        <f t="shared" si="1"/>
        <v>0</v>
      </c>
    </row>
    <row r="86" spans="1:9" x14ac:dyDescent="0.2">
      <c r="A86" s="48" t="s">
        <v>1040</v>
      </c>
      <c r="B86" s="314" t="s">
        <v>274</v>
      </c>
      <c r="C86" s="430"/>
      <c r="D86" s="139"/>
      <c r="E86" s="314" t="s">
        <v>1920</v>
      </c>
      <c r="F86" s="625"/>
      <c r="G86" s="268">
        <v>1</v>
      </c>
      <c r="H86" s="529"/>
      <c r="I86" s="576">
        <f t="shared" si="1"/>
        <v>0</v>
      </c>
    </row>
    <row r="87" spans="1:9" x14ac:dyDescent="0.2">
      <c r="A87" s="48" t="s">
        <v>3199</v>
      </c>
      <c r="B87" s="314" t="s">
        <v>253</v>
      </c>
      <c r="C87" s="430"/>
      <c r="D87" s="139"/>
      <c r="E87" s="314" t="s">
        <v>1920</v>
      </c>
      <c r="F87" s="625"/>
      <c r="G87" s="268">
        <v>1</v>
      </c>
      <c r="H87" s="529"/>
      <c r="I87" s="576">
        <f t="shared" si="1"/>
        <v>0</v>
      </c>
    </row>
    <row r="88" spans="1:9" x14ac:dyDescent="0.2">
      <c r="A88" s="48" t="s">
        <v>3197</v>
      </c>
      <c r="B88" s="314" t="s">
        <v>254</v>
      </c>
      <c r="C88" s="430"/>
      <c r="D88" s="139"/>
      <c r="E88" s="314" t="s">
        <v>1920</v>
      </c>
      <c r="F88" s="625"/>
      <c r="G88" s="268">
        <v>1</v>
      </c>
      <c r="H88" s="529"/>
      <c r="I88" s="576">
        <f t="shared" si="1"/>
        <v>0</v>
      </c>
    </row>
    <row r="89" spans="1:9" x14ac:dyDescent="0.2">
      <c r="A89" s="48" t="s">
        <v>1683</v>
      </c>
      <c r="B89" s="314" t="s">
        <v>369</v>
      </c>
      <c r="C89" s="430"/>
      <c r="D89" s="139"/>
      <c r="E89" s="314" t="s">
        <v>1920</v>
      </c>
      <c r="F89" s="625"/>
      <c r="G89" s="268">
        <v>1</v>
      </c>
      <c r="H89" s="529"/>
      <c r="I89" s="576">
        <f t="shared" si="1"/>
        <v>0</v>
      </c>
    </row>
    <row r="90" spans="1:9" x14ac:dyDescent="0.2">
      <c r="A90" s="48" t="s">
        <v>3198</v>
      </c>
      <c r="B90" s="314" t="s">
        <v>255</v>
      </c>
      <c r="C90" s="430"/>
      <c r="D90" s="139"/>
      <c r="E90" s="314" t="s">
        <v>1920</v>
      </c>
      <c r="F90" s="625"/>
      <c r="G90" s="268">
        <v>1</v>
      </c>
      <c r="H90" s="529"/>
      <c r="I90" s="576">
        <f t="shared" si="1"/>
        <v>0</v>
      </c>
    </row>
    <row r="91" spans="1:9" x14ac:dyDescent="0.2">
      <c r="A91" s="48" t="s">
        <v>1686</v>
      </c>
      <c r="B91" s="314" t="s">
        <v>948</v>
      </c>
      <c r="C91" s="430"/>
      <c r="D91" s="314"/>
      <c r="E91" s="314" t="s">
        <v>1920</v>
      </c>
      <c r="F91" s="625"/>
      <c r="G91" s="268">
        <v>1</v>
      </c>
      <c r="H91" s="529"/>
      <c r="I91" s="576">
        <f t="shared" si="1"/>
        <v>0</v>
      </c>
    </row>
    <row r="92" spans="1:9" x14ac:dyDescent="0.2">
      <c r="A92" s="48" t="s">
        <v>1687</v>
      </c>
      <c r="B92" s="314" t="s">
        <v>949</v>
      </c>
      <c r="C92" s="430"/>
      <c r="D92" s="314"/>
      <c r="E92" s="314" t="s">
        <v>1920</v>
      </c>
      <c r="F92" s="625"/>
      <c r="G92" s="268">
        <v>1</v>
      </c>
      <c r="H92" s="529"/>
      <c r="I92" s="576">
        <f t="shared" si="1"/>
        <v>0</v>
      </c>
    </row>
    <row r="93" spans="1:9" x14ac:dyDescent="0.2">
      <c r="A93" s="48" t="s">
        <v>1688</v>
      </c>
      <c r="B93" s="314" t="s">
        <v>950</v>
      </c>
      <c r="C93" s="430"/>
      <c r="D93" s="314"/>
      <c r="E93" s="314" t="s">
        <v>1920</v>
      </c>
      <c r="F93" s="625"/>
      <c r="G93" s="268">
        <v>1</v>
      </c>
      <c r="H93" s="529"/>
      <c r="I93" s="576">
        <f t="shared" si="1"/>
        <v>0</v>
      </c>
    </row>
    <row r="94" spans="1:9" x14ac:dyDescent="0.2">
      <c r="A94" s="48" t="s">
        <v>1689</v>
      </c>
      <c r="B94" s="314" t="s">
        <v>947</v>
      </c>
      <c r="C94" s="430"/>
      <c r="D94" s="314"/>
      <c r="E94" s="314" t="s">
        <v>1920</v>
      </c>
      <c r="F94" s="625"/>
      <c r="G94" s="268">
        <v>1</v>
      </c>
      <c r="H94" s="529"/>
      <c r="I94" s="576">
        <f t="shared" si="1"/>
        <v>0</v>
      </c>
    </row>
    <row r="95" spans="1:9" x14ac:dyDescent="0.2">
      <c r="A95" s="48" t="s">
        <v>1694</v>
      </c>
      <c r="B95" s="314" t="s">
        <v>528</v>
      </c>
      <c r="C95" s="430"/>
      <c r="D95" s="314"/>
      <c r="E95" s="314" t="s">
        <v>1920</v>
      </c>
      <c r="F95" s="625"/>
      <c r="G95" s="268">
        <v>1</v>
      </c>
      <c r="H95" s="529"/>
      <c r="I95" s="576">
        <f t="shared" si="1"/>
        <v>0</v>
      </c>
    </row>
    <row r="96" spans="1:9" x14ac:dyDescent="0.2">
      <c r="A96" s="48" t="s">
        <v>1696</v>
      </c>
      <c r="B96" s="314" t="s">
        <v>535</v>
      </c>
      <c r="C96" s="430"/>
      <c r="D96" s="314"/>
      <c r="E96" s="314" t="s">
        <v>1920</v>
      </c>
      <c r="F96" s="625"/>
      <c r="G96" s="268">
        <v>2</v>
      </c>
      <c r="H96" s="529"/>
      <c r="I96" s="576">
        <f t="shared" si="1"/>
        <v>0</v>
      </c>
    </row>
    <row r="97" spans="1:9" x14ac:dyDescent="0.2">
      <c r="A97" s="48" t="s">
        <v>1210</v>
      </c>
      <c r="B97" s="314" t="s">
        <v>475</v>
      </c>
      <c r="C97" s="430"/>
      <c r="D97" s="314"/>
      <c r="E97" s="314" t="s">
        <v>1920</v>
      </c>
      <c r="F97" s="625"/>
      <c r="G97" s="268">
        <v>1</v>
      </c>
      <c r="H97" s="529"/>
      <c r="I97" s="576">
        <f t="shared" si="1"/>
        <v>0</v>
      </c>
    </row>
    <row r="98" spans="1:9" x14ac:dyDescent="0.2">
      <c r="A98" s="48" t="s">
        <v>1417</v>
      </c>
      <c r="B98" s="314" t="s">
        <v>619</v>
      </c>
      <c r="C98" s="430"/>
      <c r="D98" s="314"/>
      <c r="E98" s="314" t="s">
        <v>1920</v>
      </c>
      <c r="F98" s="625"/>
      <c r="G98" s="268">
        <v>1</v>
      </c>
      <c r="H98" s="529"/>
      <c r="I98" s="576">
        <f t="shared" si="1"/>
        <v>0</v>
      </c>
    </row>
    <row r="99" spans="1:9" x14ac:dyDescent="0.2">
      <c r="A99" s="48" t="s">
        <v>1418</v>
      </c>
      <c r="B99" s="314" t="s">
        <v>907</v>
      </c>
      <c r="C99" s="430"/>
      <c r="D99" s="314"/>
      <c r="E99" s="314" t="s">
        <v>1920</v>
      </c>
      <c r="F99" s="625"/>
      <c r="G99" s="268">
        <v>2</v>
      </c>
      <c r="H99" s="529"/>
      <c r="I99" s="576">
        <f t="shared" si="1"/>
        <v>0</v>
      </c>
    </row>
    <row r="100" spans="1:9" x14ac:dyDescent="0.2">
      <c r="A100" s="48" t="s">
        <v>1419</v>
      </c>
      <c r="B100" s="314" t="s">
        <v>943</v>
      </c>
      <c r="C100" s="430"/>
      <c r="D100" s="314"/>
      <c r="E100" s="314" t="s">
        <v>1920</v>
      </c>
      <c r="F100" s="625"/>
      <c r="G100" s="268">
        <v>1</v>
      </c>
      <c r="H100" s="529"/>
      <c r="I100" s="576">
        <f t="shared" si="1"/>
        <v>0</v>
      </c>
    </row>
    <row r="101" spans="1:9" x14ac:dyDescent="0.2">
      <c r="A101" s="48" t="s">
        <v>1080</v>
      </c>
      <c r="B101" s="314" t="s">
        <v>944</v>
      </c>
      <c r="C101" s="430"/>
      <c r="D101" s="314"/>
      <c r="E101" s="314" t="s">
        <v>1920</v>
      </c>
      <c r="F101" s="625"/>
      <c r="G101" s="268">
        <v>1</v>
      </c>
      <c r="H101" s="529"/>
      <c r="I101" s="576">
        <f t="shared" si="1"/>
        <v>0</v>
      </c>
    </row>
    <row r="102" spans="1:9" x14ac:dyDescent="0.2">
      <c r="A102" s="48" t="s">
        <v>1420</v>
      </c>
      <c r="B102" s="314" t="s">
        <v>945</v>
      </c>
      <c r="C102" s="430"/>
      <c r="D102" s="314"/>
      <c r="E102" s="314" t="s">
        <v>1920</v>
      </c>
      <c r="F102" s="625"/>
      <c r="G102" s="268">
        <v>1</v>
      </c>
      <c r="H102" s="529"/>
      <c r="I102" s="576">
        <f t="shared" si="1"/>
        <v>0</v>
      </c>
    </row>
    <row r="103" spans="1:9" x14ac:dyDescent="0.2">
      <c r="A103" s="48" t="s">
        <v>1121</v>
      </c>
      <c r="B103" s="314" t="s">
        <v>283</v>
      </c>
      <c r="C103" s="430"/>
      <c r="D103" s="314"/>
      <c r="E103" s="314" t="s">
        <v>1920</v>
      </c>
      <c r="F103" s="625"/>
      <c r="G103" s="268">
        <v>1</v>
      </c>
      <c r="H103" s="529"/>
      <c r="I103" s="576">
        <f t="shared" si="1"/>
        <v>0</v>
      </c>
    </row>
    <row r="104" spans="1:9" x14ac:dyDescent="0.2">
      <c r="A104" s="48" t="s">
        <v>1421</v>
      </c>
      <c r="B104" s="314" t="s">
        <v>906</v>
      </c>
      <c r="C104" s="430"/>
      <c r="D104" s="314"/>
      <c r="E104" s="314" t="s">
        <v>1920</v>
      </c>
      <c r="F104" s="625"/>
      <c r="G104" s="268">
        <v>1</v>
      </c>
      <c r="H104" s="529"/>
      <c r="I104" s="576">
        <f t="shared" si="1"/>
        <v>0</v>
      </c>
    </row>
    <row r="105" spans="1:9" x14ac:dyDescent="0.2">
      <c r="A105" s="48" t="s">
        <v>1122</v>
      </c>
      <c r="B105" s="314" t="s">
        <v>284</v>
      </c>
      <c r="C105" s="430"/>
      <c r="D105" s="314"/>
      <c r="E105" s="314" t="s">
        <v>1920</v>
      </c>
      <c r="F105" s="625"/>
      <c r="G105" s="268">
        <v>1</v>
      </c>
      <c r="H105" s="529"/>
      <c r="I105" s="576">
        <f t="shared" si="1"/>
        <v>0</v>
      </c>
    </row>
    <row r="106" spans="1:9" x14ac:dyDescent="0.2">
      <c r="A106" s="48" t="s">
        <v>1205</v>
      </c>
      <c r="B106" s="314" t="s">
        <v>285</v>
      </c>
      <c r="C106" s="430"/>
      <c r="D106" s="314"/>
      <c r="E106" s="314" t="s">
        <v>1920</v>
      </c>
      <c r="F106" s="625"/>
      <c r="G106" s="268">
        <v>1</v>
      </c>
      <c r="H106" s="529"/>
      <c r="I106" s="576">
        <f t="shared" si="1"/>
        <v>0</v>
      </c>
    </row>
    <row r="107" spans="1:9" x14ac:dyDescent="0.2">
      <c r="A107" s="48" t="s">
        <v>28</v>
      </c>
      <c r="B107" s="314" t="s">
        <v>244</v>
      </c>
      <c r="C107" s="430"/>
      <c r="D107" s="314"/>
      <c r="E107" s="314" t="s">
        <v>1920</v>
      </c>
      <c r="F107" s="625"/>
      <c r="G107" s="268">
        <v>1</v>
      </c>
      <c r="H107" s="529"/>
      <c r="I107" s="576">
        <f t="shared" si="1"/>
        <v>0</v>
      </c>
    </row>
    <row r="108" spans="1:9" x14ac:dyDescent="0.2">
      <c r="A108" s="48" t="s">
        <v>23</v>
      </c>
      <c r="B108" s="314" t="s">
        <v>290</v>
      </c>
      <c r="C108" s="430"/>
      <c r="D108" s="314"/>
      <c r="E108" s="314" t="s">
        <v>1920</v>
      </c>
      <c r="F108" s="625"/>
      <c r="G108" s="268">
        <v>1</v>
      </c>
      <c r="H108" s="529"/>
      <c r="I108" s="576">
        <f t="shared" si="1"/>
        <v>0</v>
      </c>
    </row>
    <row r="109" spans="1:9" x14ac:dyDescent="0.2">
      <c r="A109" s="48" t="s">
        <v>25</v>
      </c>
      <c r="B109" s="314" t="s">
        <v>300</v>
      </c>
      <c r="C109" s="430"/>
      <c r="D109" s="314"/>
      <c r="E109" s="314" t="s">
        <v>1920</v>
      </c>
      <c r="F109" s="625"/>
      <c r="G109" s="268">
        <v>1</v>
      </c>
      <c r="H109" s="529"/>
      <c r="I109" s="576">
        <f t="shared" si="1"/>
        <v>0</v>
      </c>
    </row>
    <row r="110" spans="1:9" x14ac:dyDescent="0.2">
      <c r="A110" s="48" t="s">
        <v>1224</v>
      </c>
      <c r="B110" s="314" t="s">
        <v>114</v>
      </c>
      <c r="C110" s="430"/>
      <c r="D110" s="314"/>
      <c r="E110" s="314" t="s">
        <v>1920</v>
      </c>
      <c r="F110" s="625"/>
      <c r="G110" s="268">
        <v>1</v>
      </c>
      <c r="H110" s="529"/>
      <c r="I110" s="576">
        <f t="shared" si="1"/>
        <v>0</v>
      </c>
    </row>
    <row r="111" spans="1:9" x14ac:dyDescent="0.2">
      <c r="A111" s="48" t="s">
        <v>27</v>
      </c>
      <c r="B111" s="314" t="s">
        <v>302</v>
      </c>
      <c r="C111" s="430"/>
      <c r="D111" s="314"/>
      <c r="E111" s="314" t="s">
        <v>1920</v>
      </c>
      <c r="F111" s="625"/>
      <c r="G111" s="268">
        <v>1</v>
      </c>
      <c r="H111" s="529"/>
      <c r="I111" s="576">
        <f t="shared" si="1"/>
        <v>0</v>
      </c>
    </row>
    <row r="112" spans="1:9" x14ac:dyDescent="0.2">
      <c r="A112" s="48" t="s">
        <v>1275</v>
      </c>
      <c r="B112" s="314" t="s">
        <v>478</v>
      </c>
      <c r="C112" s="430"/>
      <c r="D112" s="314"/>
      <c r="E112" s="314" t="s">
        <v>1920</v>
      </c>
      <c r="F112" s="625"/>
      <c r="G112" s="268">
        <v>1</v>
      </c>
      <c r="H112" s="529"/>
      <c r="I112" s="576">
        <f t="shared" si="1"/>
        <v>0</v>
      </c>
    </row>
    <row r="113" spans="1:9" x14ac:dyDescent="0.2">
      <c r="A113" s="48" t="s">
        <v>1253</v>
      </c>
      <c r="B113" s="314" t="s">
        <v>315</v>
      </c>
      <c r="C113" s="430"/>
      <c r="D113" s="314"/>
      <c r="E113" s="314" t="s">
        <v>1920</v>
      </c>
      <c r="F113" s="625"/>
      <c r="G113" s="268">
        <v>1</v>
      </c>
      <c r="H113" s="529"/>
      <c r="I113" s="576">
        <f t="shared" si="1"/>
        <v>0</v>
      </c>
    </row>
    <row r="114" spans="1:9" x14ac:dyDescent="0.2">
      <c r="A114" s="48" t="s">
        <v>1175</v>
      </c>
      <c r="B114" s="314" t="s">
        <v>310</v>
      </c>
      <c r="C114" s="430"/>
      <c r="D114" s="314"/>
      <c r="E114" s="314" t="s">
        <v>1920</v>
      </c>
      <c r="F114" s="625"/>
      <c r="G114" s="268">
        <v>1</v>
      </c>
      <c r="H114" s="529"/>
      <c r="I114" s="576">
        <f t="shared" si="1"/>
        <v>0</v>
      </c>
    </row>
    <row r="115" spans="1:9" x14ac:dyDescent="0.2">
      <c r="A115" s="48" t="s">
        <v>2907</v>
      </c>
      <c r="B115" s="314" t="s">
        <v>2906</v>
      </c>
      <c r="C115" s="430"/>
      <c r="D115" s="314"/>
      <c r="E115" s="314" t="s">
        <v>1920</v>
      </c>
      <c r="F115" s="625"/>
      <c r="G115" s="268">
        <v>1</v>
      </c>
      <c r="H115" s="529"/>
      <c r="I115" s="576">
        <f t="shared" si="1"/>
        <v>0</v>
      </c>
    </row>
    <row r="116" spans="1:9" x14ac:dyDescent="0.2">
      <c r="A116" s="48" t="s">
        <v>1699</v>
      </c>
      <c r="B116" s="314" t="s">
        <v>246</v>
      </c>
      <c r="C116" s="430"/>
      <c r="D116" s="314"/>
      <c r="E116" s="314" t="s">
        <v>1920</v>
      </c>
      <c r="F116" s="625"/>
      <c r="G116" s="268">
        <v>1</v>
      </c>
      <c r="H116" s="529"/>
      <c r="I116" s="576">
        <f t="shared" si="1"/>
        <v>0</v>
      </c>
    </row>
    <row r="117" spans="1:9" x14ac:dyDescent="0.2">
      <c r="A117" s="48" t="s">
        <v>68</v>
      </c>
      <c r="B117" s="314" t="s">
        <v>536</v>
      </c>
      <c r="C117" s="430"/>
      <c r="D117" s="314"/>
      <c r="E117" s="314" t="s">
        <v>1920</v>
      </c>
      <c r="F117" s="625"/>
      <c r="G117" s="268">
        <v>1</v>
      </c>
      <c r="H117" s="529"/>
      <c r="I117" s="576">
        <f t="shared" si="1"/>
        <v>0</v>
      </c>
    </row>
    <row r="118" spans="1:9" x14ac:dyDescent="0.2">
      <c r="A118" s="48" t="s">
        <v>1216</v>
      </c>
      <c r="B118" s="314" t="s">
        <v>481</v>
      </c>
      <c r="C118" s="430"/>
      <c r="D118" s="314"/>
      <c r="E118" s="314" t="s">
        <v>1920</v>
      </c>
      <c r="F118" s="625"/>
      <c r="G118" s="268">
        <v>1</v>
      </c>
      <c r="H118" s="529"/>
      <c r="I118" s="576">
        <f t="shared" si="1"/>
        <v>0</v>
      </c>
    </row>
    <row r="119" spans="1:9" x14ac:dyDescent="0.2">
      <c r="A119" s="48" t="s">
        <v>1286</v>
      </c>
      <c r="B119" s="314" t="s">
        <v>482</v>
      </c>
      <c r="C119" s="430"/>
      <c r="D119" s="314"/>
      <c r="E119" s="314" t="s">
        <v>1920</v>
      </c>
      <c r="F119" s="625"/>
      <c r="G119" s="268">
        <v>1</v>
      </c>
      <c r="H119" s="529"/>
      <c r="I119" s="576">
        <f t="shared" si="1"/>
        <v>0</v>
      </c>
    </row>
    <row r="120" spans="1:9" x14ac:dyDescent="0.2">
      <c r="A120" s="48" t="s">
        <v>410</v>
      </c>
      <c r="B120" s="314" t="s">
        <v>483</v>
      </c>
      <c r="C120" s="430"/>
      <c r="D120" s="314"/>
      <c r="E120" s="314" t="s">
        <v>1920</v>
      </c>
      <c r="F120" s="625"/>
      <c r="G120" s="268">
        <v>1</v>
      </c>
      <c r="H120" s="529"/>
      <c r="I120" s="576">
        <f t="shared" si="1"/>
        <v>0</v>
      </c>
    </row>
    <row r="121" spans="1:9" x14ac:dyDescent="0.2">
      <c r="A121" s="48" t="s">
        <v>1426</v>
      </c>
      <c r="B121" s="314" t="s">
        <v>534</v>
      </c>
      <c r="C121" s="430"/>
      <c r="D121" s="314"/>
      <c r="E121" s="314" t="s">
        <v>1920</v>
      </c>
      <c r="F121" s="625"/>
      <c r="G121" s="268">
        <v>1</v>
      </c>
      <c r="H121" s="529"/>
      <c r="I121" s="576">
        <f t="shared" si="1"/>
        <v>0</v>
      </c>
    </row>
    <row r="122" spans="1:9" x14ac:dyDescent="0.2">
      <c r="A122" s="48" t="s">
        <v>2133</v>
      </c>
      <c r="B122" s="314" t="s">
        <v>2909</v>
      </c>
      <c r="C122" s="430"/>
      <c r="D122" s="314"/>
      <c r="E122" s="314">
        <v>56654</v>
      </c>
      <c r="F122" s="625"/>
      <c r="G122" s="268">
        <v>2</v>
      </c>
      <c r="H122" s="529"/>
      <c r="I122" s="576">
        <f t="shared" si="1"/>
        <v>0</v>
      </c>
    </row>
    <row r="123" spans="1:9" x14ac:dyDescent="0.2">
      <c r="A123" s="48" t="s">
        <v>1697</v>
      </c>
      <c r="B123" s="314" t="s">
        <v>3075</v>
      </c>
      <c r="C123" s="430"/>
      <c r="D123" s="314"/>
      <c r="E123" s="314" t="s">
        <v>1975</v>
      </c>
      <c r="F123" s="625"/>
      <c r="G123" s="268">
        <v>1</v>
      </c>
      <c r="H123" s="529"/>
      <c r="I123" s="576">
        <f t="shared" si="1"/>
        <v>0</v>
      </c>
    </row>
    <row r="124" spans="1:9" x14ac:dyDescent="0.2">
      <c r="A124" s="48" t="s">
        <v>105</v>
      </c>
      <c r="B124" s="314" t="s">
        <v>2118</v>
      </c>
      <c r="C124" s="430"/>
      <c r="D124" s="314"/>
      <c r="E124" s="314" t="s">
        <v>1975</v>
      </c>
      <c r="F124" s="625"/>
      <c r="G124" s="268">
        <v>2</v>
      </c>
      <c r="H124" s="529"/>
      <c r="I124" s="576">
        <f t="shared" si="1"/>
        <v>0</v>
      </c>
    </row>
    <row r="125" spans="1:9" x14ac:dyDescent="0.2">
      <c r="A125" s="48" t="s">
        <v>1156</v>
      </c>
      <c r="B125" s="314" t="s">
        <v>2117</v>
      </c>
      <c r="C125" s="430"/>
      <c r="D125" s="314"/>
      <c r="E125" s="314" t="s">
        <v>1975</v>
      </c>
      <c r="F125" s="625"/>
      <c r="G125" s="268">
        <v>2</v>
      </c>
      <c r="H125" s="529"/>
      <c r="I125" s="576">
        <f t="shared" si="1"/>
        <v>0</v>
      </c>
    </row>
    <row r="126" spans="1:9" x14ac:dyDescent="0.2">
      <c r="A126" s="48" t="s">
        <v>1229</v>
      </c>
      <c r="B126" s="314" t="s">
        <v>303</v>
      </c>
      <c r="C126" s="430"/>
      <c r="D126" s="314"/>
      <c r="E126" s="314" t="s">
        <v>1920</v>
      </c>
      <c r="F126" s="625"/>
      <c r="G126" s="268">
        <v>1</v>
      </c>
      <c r="H126" s="529"/>
      <c r="I126" s="576">
        <f t="shared" si="1"/>
        <v>0</v>
      </c>
    </row>
    <row r="127" spans="1:9" x14ac:dyDescent="0.2">
      <c r="A127" s="48" t="s">
        <v>1221</v>
      </c>
      <c r="B127" s="314" t="s">
        <v>248</v>
      </c>
      <c r="C127" s="430"/>
      <c r="D127" s="314"/>
      <c r="E127" s="314" t="s">
        <v>1920</v>
      </c>
      <c r="F127" s="625"/>
      <c r="G127" s="268">
        <v>1</v>
      </c>
      <c r="H127" s="529"/>
      <c r="I127" s="576">
        <f t="shared" si="1"/>
        <v>0</v>
      </c>
    </row>
    <row r="128" spans="1:9" x14ac:dyDescent="0.2">
      <c r="A128" s="48" t="s">
        <v>894</v>
      </c>
      <c r="B128" s="314" t="s">
        <v>895</v>
      </c>
      <c r="C128" s="430"/>
      <c r="D128" s="314"/>
      <c r="E128" s="314" t="s">
        <v>1920</v>
      </c>
      <c r="F128" s="625"/>
      <c r="G128" s="268">
        <v>1</v>
      </c>
      <c r="H128" s="529"/>
      <c r="I128" s="576">
        <f t="shared" si="1"/>
        <v>0</v>
      </c>
    </row>
    <row r="129" spans="1:9" x14ac:dyDescent="0.2">
      <c r="A129" s="48" t="s">
        <v>9</v>
      </c>
      <c r="B129" s="314" t="s">
        <v>375</v>
      </c>
      <c r="C129" s="430"/>
      <c r="D129" s="314"/>
      <c r="E129" s="314" t="s">
        <v>1920</v>
      </c>
      <c r="F129" s="625"/>
      <c r="G129" s="268">
        <v>1</v>
      </c>
      <c r="H129" s="529"/>
      <c r="I129" s="576">
        <f t="shared" si="1"/>
        <v>0</v>
      </c>
    </row>
    <row r="130" spans="1:9" x14ac:dyDescent="0.2">
      <c r="A130" s="48" t="s">
        <v>1085</v>
      </c>
      <c r="B130" s="314" t="s">
        <v>92</v>
      </c>
      <c r="C130" s="430"/>
      <c r="D130" s="314"/>
      <c r="E130" s="314" t="s">
        <v>1920</v>
      </c>
      <c r="F130" s="625"/>
      <c r="G130" s="268">
        <v>2</v>
      </c>
      <c r="H130" s="529"/>
      <c r="I130" s="576">
        <f t="shared" si="1"/>
        <v>0</v>
      </c>
    </row>
    <row r="131" spans="1:9" x14ac:dyDescent="0.2">
      <c r="A131" s="48" t="s">
        <v>4</v>
      </c>
      <c r="B131" s="314" t="s">
        <v>90</v>
      </c>
      <c r="C131" s="430"/>
      <c r="D131" s="314"/>
      <c r="E131" s="314" t="s">
        <v>1920</v>
      </c>
      <c r="F131" s="625"/>
      <c r="G131" s="268">
        <v>1</v>
      </c>
      <c r="H131" s="529"/>
      <c r="I131" s="576">
        <f t="shared" ref="I131:I169" si="2">+G131*H131</f>
        <v>0</v>
      </c>
    </row>
    <row r="132" spans="1:9" x14ac:dyDescent="0.2">
      <c r="A132" s="48" t="s">
        <v>30</v>
      </c>
      <c r="B132" s="314" t="s">
        <v>1825</v>
      </c>
      <c r="C132" s="430"/>
      <c r="D132" s="314"/>
      <c r="E132" s="314" t="s">
        <v>1920</v>
      </c>
      <c r="F132" s="625"/>
      <c r="G132" s="268">
        <v>1</v>
      </c>
      <c r="H132" s="529"/>
      <c r="I132" s="576">
        <f t="shared" si="2"/>
        <v>0</v>
      </c>
    </row>
    <row r="133" spans="1:9" x14ac:dyDescent="0.2">
      <c r="A133" s="48" t="s">
        <v>29</v>
      </c>
      <c r="B133" s="314" t="s">
        <v>2758</v>
      </c>
      <c r="C133" s="430"/>
      <c r="D133" s="314"/>
      <c r="E133" s="314" t="s">
        <v>1920</v>
      </c>
      <c r="F133" s="625"/>
      <c r="G133" s="268">
        <v>1</v>
      </c>
      <c r="H133" s="529"/>
      <c r="I133" s="576">
        <f t="shared" si="2"/>
        <v>0</v>
      </c>
    </row>
    <row r="134" spans="1:9" x14ac:dyDescent="0.2">
      <c r="A134" s="48" t="s">
        <v>2760</v>
      </c>
      <c r="B134" s="314" t="s">
        <v>532</v>
      </c>
      <c r="C134" s="430"/>
      <c r="D134" s="314"/>
      <c r="E134" s="314" t="s">
        <v>1920</v>
      </c>
      <c r="F134" s="625"/>
      <c r="G134" s="268">
        <v>1</v>
      </c>
      <c r="H134" s="529"/>
      <c r="I134" s="576">
        <f t="shared" si="2"/>
        <v>0</v>
      </c>
    </row>
    <row r="135" spans="1:9" x14ac:dyDescent="0.2">
      <c r="A135" s="48" t="s">
        <v>1333</v>
      </c>
      <c r="B135" s="314" t="s">
        <v>65</v>
      </c>
      <c r="C135" s="430"/>
      <c r="D135" s="314"/>
      <c r="E135" s="314" t="s">
        <v>1920</v>
      </c>
      <c r="F135" s="625"/>
      <c r="G135" s="268">
        <v>1</v>
      </c>
      <c r="H135" s="529"/>
      <c r="I135" s="576">
        <f t="shared" si="2"/>
        <v>0</v>
      </c>
    </row>
    <row r="136" spans="1:9" x14ac:dyDescent="0.2">
      <c r="A136" s="48" t="s">
        <v>1335</v>
      </c>
      <c r="B136" s="314" t="s">
        <v>540</v>
      </c>
      <c r="C136" s="430"/>
      <c r="D136" s="314"/>
      <c r="E136" s="314" t="s">
        <v>1920</v>
      </c>
      <c r="F136" s="625"/>
      <c r="G136" s="268">
        <v>1</v>
      </c>
      <c r="H136" s="529"/>
      <c r="I136" s="576">
        <f t="shared" si="2"/>
        <v>0</v>
      </c>
    </row>
    <row r="137" spans="1:9" x14ac:dyDescent="0.2">
      <c r="A137" s="48" t="s">
        <v>1336</v>
      </c>
      <c r="B137" s="314" t="s">
        <v>537</v>
      </c>
      <c r="C137" s="430"/>
      <c r="D137" s="314"/>
      <c r="E137" s="314" t="s">
        <v>1920</v>
      </c>
      <c r="F137" s="625"/>
      <c r="G137" s="268">
        <v>1</v>
      </c>
      <c r="H137" s="529"/>
      <c r="I137" s="576">
        <f t="shared" si="2"/>
        <v>0</v>
      </c>
    </row>
    <row r="138" spans="1:9" x14ac:dyDescent="0.2">
      <c r="A138" s="48" t="s">
        <v>1086</v>
      </c>
      <c r="B138" s="314" t="s">
        <v>70</v>
      </c>
      <c r="C138" s="430"/>
      <c r="D138" s="314"/>
      <c r="E138" s="314" t="s">
        <v>1920</v>
      </c>
      <c r="F138" s="625"/>
      <c r="G138" s="268">
        <v>1</v>
      </c>
      <c r="H138" s="529"/>
      <c r="I138" s="576">
        <f t="shared" si="2"/>
        <v>0</v>
      </c>
    </row>
    <row r="139" spans="1:9" x14ac:dyDescent="0.2">
      <c r="A139" s="48" t="s">
        <v>1087</v>
      </c>
      <c r="B139" s="314" t="s">
        <v>484</v>
      </c>
      <c r="C139" s="430"/>
      <c r="D139" s="314"/>
      <c r="E139" s="314" t="s">
        <v>1920</v>
      </c>
      <c r="F139" s="625"/>
      <c r="G139" s="268">
        <v>1</v>
      </c>
      <c r="H139" s="529"/>
      <c r="I139" s="576">
        <f t="shared" si="2"/>
        <v>0</v>
      </c>
    </row>
    <row r="140" spans="1:9" x14ac:dyDescent="0.2">
      <c r="A140" s="48" t="s">
        <v>1985</v>
      </c>
      <c r="B140" s="314" t="s">
        <v>1986</v>
      </c>
      <c r="C140" s="430"/>
      <c r="D140" s="314"/>
      <c r="E140" s="314" t="s">
        <v>1920</v>
      </c>
      <c r="F140" s="625"/>
      <c r="G140" s="268">
        <v>1</v>
      </c>
      <c r="H140" s="529"/>
      <c r="I140" s="576">
        <f t="shared" si="2"/>
        <v>0</v>
      </c>
    </row>
    <row r="141" spans="1:9" x14ac:dyDescent="0.2">
      <c r="A141" s="48" t="s">
        <v>1088</v>
      </c>
      <c r="B141" s="314" t="s">
        <v>485</v>
      </c>
      <c r="C141" s="430"/>
      <c r="D141" s="314"/>
      <c r="E141" s="314" t="s">
        <v>1920</v>
      </c>
      <c r="F141" s="625"/>
      <c r="G141" s="268">
        <v>1</v>
      </c>
      <c r="H141" s="529"/>
      <c r="I141" s="576">
        <f t="shared" si="2"/>
        <v>0</v>
      </c>
    </row>
    <row r="142" spans="1:9" x14ac:dyDescent="0.2">
      <c r="A142" s="48" t="s">
        <v>1339</v>
      </c>
      <c r="B142" s="314" t="s">
        <v>88</v>
      </c>
      <c r="C142" s="430"/>
      <c r="D142" s="314"/>
      <c r="E142" s="314" t="s">
        <v>1920</v>
      </c>
      <c r="F142" s="625"/>
      <c r="G142" s="268">
        <v>1</v>
      </c>
      <c r="H142" s="529"/>
      <c r="I142" s="576">
        <f t="shared" si="2"/>
        <v>0</v>
      </c>
    </row>
    <row r="143" spans="1:9" x14ac:dyDescent="0.2">
      <c r="A143" s="48" t="s">
        <v>1089</v>
      </c>
      <c r="B143" s="314" t="s">
        <v>486</v>
      </c>
      <c r="C143" s="430"/>
      <c r="D143" s="314"/>
      <c r="E143" s="314" t="s">
        <v>1920</v>
      </c>
      <c r="F143" s="625"/>
      <c r="G143" s="268">
        <v>1</v>
      </c>
      <c r="H143" s="529"/>
      <c r="I143" s="576">
        <f t="shared" si="2"/>
        <v>0</v>
      </c>
    </row>
    <row r="144" spans="1:9" x14ac:dyDescent="0.2">
      <c r="A144" s="48" t="s">
        <v>1341</v>
      </c>
      <c r="B144" s="314" t="s">
        <v>539</v>
      </c>
      <c r="C144" s="430"/>
      <c r="D144" s="314"/>
      <c r="E144" s="314" t="s">
        <v>1920</v>
      </c>
      <c r="F144" s="625"/>
      <c r="G144" s="268">
        <v>1</v>
      </c>
      <c r="H144" s="529"/>
      <c r="I144" s="576">
        <f t="shared" si="2"/>
        <v>0</v>
      </c>
    </row>
    <row r="145" spans="1:9" x14ac:dyDescent="0.2">
      <c r="A145" s="48" t="s">
        <v>1342</v>
      </c>
      <c r="B145" s="314" t="s">
        <v>531</v>
      </c>
      <c r="C145" s="430"/>
      <c r="D145" s="314"/>
      <c r="E145" s="314" t="s">
        <v>1920</v>
      </c>
      <c r="F145" s="625"/>
      <c r="G145" s="268">
        <v>1</v>
      </c>
      <c r="H145" s="529"/>
      <c r="I145" s="576">
        <f t="shared" si="2"/>
        <v>0</v>
      </c>
    </row>
    <row r="146" spans="1:9" x14ac:dyDescent="0.2">
      <c r="A146" s="48" t="s">
        <v>1343</v>
      </c>
      <c r="B146" s="314" t="s">
        <v>538</v>
      </c>
      <c r="C146" s="430"/>
      <c r="D146" s="314"/>
      <c r="E146" s="314" t="s">
        <v>1920</v>
      </c>
      <c r="F146" s="625"/>
      <c r="G146" s="268">
        <v>1</v>
      </c>
      <c r="H146" s="529"/>
      <c r="I146" s="576">
        <f t="shared" si="2"/>
        <v>0</v>
      </c>
    </row>
    <row r="147" spans="1:9" x14ac:dyDescent="0.2">
      <c r="A147" s="48" t="s">
        <v>1289</v>
      </c>
      <c r="B147" s="314" t="s">
        <v>940</v>
      </c>
      <c r="C147" s="430"/>
      <c r="D147" s="314"/>
      <c r="E147" s="314" t="s">
        <v>1920</v>
      </c>
      <c r="F147" s="625"/>
      <c r="G147" s="268">
        <v>1</v>
      </c>
      <c r="H147" s="529"/>
      <c r="I147" s="576">
        <f t="shared" si="2"/>
        <v>0</v>
      </c>
    </row>
    <row r="148" spans="1:9" x14ac:dyDescent="0.2">
      <c r="A148" s="48" t="s">
        <v>1236</v>
      </c>
      <c r="B148" s="314" t="s">
        <v>77</v>
      </c>
      <c r="C148" s="430"/>
      <c r="D148" s="314"/>
      <c r="E148" s="314" t="s">
        <v>1920</v>
      </c>
      <c r="F148" s="625"/>
      <c r="G148" s="268">
        <v>2</v>
      </c>
      <c r="H148" s="529"/>
      <c r="I148" s="576">
        <f t="shared" si="2"/>
        <v>0</v>
      </c>
    </row>
    <row r="149" spans="1:9" x14ac:dyDescent="0.2">
      <c r="A149" s="48" t="s">
        <v>1235</v>
      </c>
      <c r="B149" s="314" t="s">
        <v>78</v>
      </c>
      <c r="C149" s="430"/>
      <c r="D149" s="314"/>
      <c r="E149" s="314" t="s">
        <v>1920</v>
      </c>
      <c r="F149" s="625"/>
      <c r="G149" s="268">
        <v>1</v>
      </c>
      <c r="H149" s="529"/>
      <c r="I149" s="576">
        <f t="shared" si="2"/>
        <v>0</v>
      </c>
    </row>
    <row r="150" spans="1:9" x14ac:dyDescent="0.2">
      <c r="A150" s="48" t="s">
        <v>1237</v>
      </c>
      <c r="B150" s="314" t="s">
        <v>306</v>
      </c>
      <c r="C150" s="430"/>
      <c r="D150" s="314"/>
      <c r="E150" s="314" t="s">
        <v>1920</v>
      </c>
      <c r="F150" s="625"/>
      <c r="G150" s="268">
        <v>1</v>
      </c>
      <c r="H150" s="529"/>
      <c r="I150" s="576">
        <f t="shared" si="2"/>
        <v>0</v>
      </c>
    </row>
    <row r="151" spans="1:9" x14ac:dyDescent="0.2">
      <c r="A151" s="48" t="s">
        <v>1345</v>
      </c>
      <c r="B151" s="314" t="s">
        <v>79</v>
      </c>
      <c r="C151" s="430"/>
      <c r="D151" s="314"/>
      <c r="E151" s="314" t="s">
        <v>1920</v>
      </c>
      <c r="F151" s="625"/>
      <c r="G151" s="268">
        <v>1</v>
      </c>
      <c r="H151" s="529"/>
      <c r="I151" s="576">
        <f t="shared" si="2"/>
        <v>0</v>
      </c>
    </row>
    <row r="152" spans="1:9" x14ac:dyDescent="0.2">
      <c r="A152" s="48" t="s">
        <v>1232</v>
      </c>
      <c r="B152" s="314" t="s">
        <v>76</v>
      </c>
      <c r="C152" s="430"/>
      <c r="D152" s="314"/>
      <c r="E152" s="314" t="s">
        <v>1920</v>
      </c>
      <c r="F152" s="625"/>
      <c r="G152" s="268">
        <v>1</v>
      </c>
      <c r="H152" s="529"/>
      <c r="I152" s="576">
        <f t="shared" si="2"/>
        <v>0</v>
      </c>
    </row>
    <row r="153" spans="1:9" x14ac:dyDescent="0.2">
      <c r="A153" s="48" t="s">
        <v>868</v>
      </c>
      <c r="B153" s="314" t="s">
        <v>878</v>
      </c>
      <c r="C153" s="430"/>
      <c r="D153" s="314"/>
      <c r="E153" s="314" t="s">
        <v>1920</v>
      </c>
      <c r="F153" s="625"/>
      <c r="G153" s="268">
        <v>1</v>
      </c>
      <c r="H153" s="529"/>
      <c r="I153" s="576">
        <f t="shared" si="2"/>
        <v>0</v>
      </c>
    </row>
    <row r="154" spans="1:9" x14ac:dyDescent="0.2">
      <c r="A154" s="48" t="s">
        <v>259</v>
      </c>
      <c r="B154" s="314" t="s">
        <v>242</v>
      </c>
      <c r="C154" s="430"/>
      <c r="D154" s="314"/>
      <c r="E154" s="314" t="s">
        <v>1920</v>
      </c>
      <c r="F154" s="625"/>
      <c r="G154" s="268">
        <v>2</v>
      </c>
      <c r="H154" s="529"/>
      <c r="I154" s="576">
        <f t="shared" si="2"/>
        <v>0</v>
      </c>
    </row>
    <row r="155" spans="1:9" x14ac:dyDescent="0.2">
      <c r="A155" s="48" t="s">
        <v>15</v>
      </c>
      <c r="B155" s="314" t="s">
        <v>380</v>
      </c>
      <c r="C155" s="430"/>
      <c r="D155" s="314"/>
      <c r="E155" s="314" t="s">
        <v>1920</v>
      </c>
      <c r="F155" s="625"/>
      <c r="G155" s="268">
        <v>2</v>
      </c>
      <c r="H155" s="529"/>
      <c r="I155" s="576">
        <f t="shared" si="2"/>
        <v>0</v>
      </c>
    </row>
    <row r="156" spans="1:9" x14ac:dyDescent="0.2">
      <c r="A156" s="48" t="s">
        <v>37</v>
      </c>
      <c r="B156" s="314" t="s">
        <v>38</v>
      </c>
      <c r="C156" s="430"/>
      <c r="D156" s="314"/>
      <c r="E156" s="314" t="s">
        <v>1920</v>
      </c>
      <c r="F156" s="625"/>
      <c r="G156" s="268">
        <v>1</v>
      </c>
      <c r="H156" s="529"/>
      <c r="I156" s="576">
        <f t="shared" si="2"/>
        <v>0</v>
      </c>
    </row>
    <row r="157" spans="1:9" x14ac:dyDescent="0.2">
      <c r="A157" s="48" t="s">
        <v>1036</v>
      </c>
      <c r="B157" s="314" t="s">
        <v>468</v>
      </c>
      <c r="C157" s="430"/>
      <c r="D157" s="314"/>
      <c r="E157" s="314" t="s">
        <v>1920</v>
      </c>
      <c r="F157" s="625"/>
      <c r="G157" s="268">
        <v>1</v>
      </c>
      <c r="H157" s="529"/>
      <c r="I157" s="576">
        <f t="shared" si="2"/>
        <v>0</v>
      </c>
    </row>
    <row r="158" spans="1:9" x14ac:dyDescent="0.2">
      <c r="A158" s="48" t="s">
        <v>10</v>
      </c>
      <c r="B158" s="314" t="s">
        <v>469</v>
      </c>
      <c r="C158" s="430"/>
      <c r="D158" s="314"/>
      <c r="E158" s="314" t="s">
        <v>1920</v>
      </c>
      <c r="F158" s="625"/>
      <c r="G158" s="268">
        <v>1</v>
      </c>
      <c r="H158" s="529"/>
      <c r="I158" s="576">
        <f t="shared" si="2"/>
        <v>0</v>
      </c>
    </row>
    <row r="159" spans="1:9" x14ac:dyDescent="0.2">
      <c r="A159" s="48" t="s">
        <v>101</v>
      </c>
      <c r="B159" s="314" t="s">
        <v>509</v>
      </c>
      <c r="C159" s="430"/>
      <c r="D159" s="314"/>
      <c r="E159" s="314" t="s">
        <v>1920</v>
      </c>
      <c r="F159" s="625"/>
      <c r="G159" s="268">
        <v>1</v>
      </c>
      <c r="H159" s="529"/>
      <c r="I159" s="576">
        <f t="shared" si="2"/>
        <v>0</v>
      </c>
    </row>
    <row r="160" spans="1:9" x14ac:dyDescent="0.2">
      <c r="A160" s="48" t="s">
        <v>1445</v>
      </c>
      <c r="B160" s="314" t="s">
        <v>541</v>
      </c>
      <c r="C160" s="430"/>
      <c r="D160" s="314"/>
      <c r="E160" s="314" t="s">
        <v>1920</v>
      </c>
      <c r="F160" s="625"/>
      <c r="G160" s="268">
        <v>1</v>
      </c>
      <c r="H160" s="529"/>
      <c r="I160" s="576">
        <f t="shared" si="2"/>
        <v>0</v>
      </c>
    </row>
    <row r="161" spans="1:9" x14ac:dyDescent="0.2">
      <c r="A161" s="48" t="s">
        <v>2922</v>
      </c>
      <c r="B161" s="314" t="s">
        <v>405</v>
      </c>
      <c r="C161" s="430"/>
      <c r="D161" s="314"/>
      <c r="E161" s="314" t="s">
        <v>1920</v>
      </c>
      <c r="F161" s="625"/>
      <c r="G161" s="268">
        <v>2</v>
      </c>
      <c r="H161" s="529"/>
      <c r="I161" s="576">
        <f t="shared" si="2"/>
        <v>0</v>
      </c>
    </row>
    <row r="162" spans="1:9" x14ac:dyDescent="0.2">
      <c r="A162" s="48" t="s">
        <v>2923</v>
      </c>
      <c r="B162" s="314" t="s">
        <v>241</v>
      </c>
      <c r="C162" s="430"/>
      <c r="D162" s="314"/>
      <c r="E162" s="314" t="s">
        <v>1920</v>
      </c>
      <c r="F162" s="625"/>
      <c r="G162" s="268">
        <v>2</v>
      </c>
      <c r="H162" s="529"/>
      <c r="I162" s="576">
        <f t="shared" si="2"/>
        <v>0</v>
      </c>
    </row>
    <row r="163" spans="1:9" x14ac:dyDescent="0.2">
      <c r="A163" s="48" t="s">
        <v>1447</v>
      </c>
      <c r="B163" s="314" t="s">
        <v>879</v>
      </c>
      <c r="C163" s="430"/>
      <c r="D163" s="314"/>
      <c r="E163" s="314" t="s">
        <v>1920</v>
      </c>
      <c r="F163" s="625"/>
      <c r="G163" s="268">
        <v>1</v>
      </c>
      <c r="H163" s="529"/>
      <c r="I163" s="576">
        <f t="shared" si="2"/>
        <v>0</v>
      </c>
    </row>
    <row r="164" spans="1:9" x14ac:dyDescent="0.2">
      <c r="A164" s="48" t="s">
        <v>2120</v>
      </c>
      <c r="B164" s="314" t="s">
        <v>2119</v>
      </c>
      <c r="C164" s="430"/>
      <c r="D164" s="314"/>
      <c r="E164" s="314">
        <v>55719</v>
      </c>
      <c r="F164" s="625"/>
      <c r="G164" s="268">
        <v>1</v>
      </c>
      <c r="H164" s="529"/>
      <c r="I164" s="576">
        <f t="shared" si="2"/>
        <v>0</v>
      </c>
    </row>
    <row r="165" spans="1:9" x14ac:dyDescent="0.2">
      <c r="A165" s="48" t="s">
        <v>1450</v>
      </c>
      <c r="B165" s="314" t="s">
        <v>987</v>
      </c>
      <c r="C165" s="430"/>
      <c r="D165" s="314"/>
      <c r="E165" s="314" t="s">
        <v>1920</v>
      </c>
      <c r="F165" s="625"/>
      <c r="G165" s="268">
        <v>1</v>
      </c>
      <c r="H165" s="529"/>
      <c r="I165" s="576">
        <f t="shared" si="2"/>
        <v>0</v>
      </c>
    </row>
    <row r="166" spans="1:9" x14ac:dyDescent="0.2">
      <c r="A166" s="48" t="s">
        <v>20</v>
      </c>
      <c r="B166" s="314" t="s">
        <v>287</v>
      </c>
      <c r="C166" s="430"/>
      <c r="D166" s="314"/>
      <c r="E166" s="314" t="s">
        <v>1920</v>
      </c>
      <c r="F166" s="625"/>
      <c r="G166" s="268">
        <v>2</v>
      </c>
      <c r="H166" s="529"/>
      <c r="I166" s="576">
        <f t="shared" si="2"/>
        <v>0</v>
      </c>
    </row>
    <row r="167" spans="1:9" x14ac:dyDescent="0.2">
      <c r="A167" s="48" t="s">
        <v>13</v>
      </c>
      <c r="B167" s="314" t="s">
        <v>471</v>
      </c>
      <c r="C167" s="430"/>
      <c r="D167" s="314"/>
      <c r="E167" s="314" t="s">
        <v>1920</v>
      </c>
      <c r="F167" s="625"/>
      <c r="G167" s="268">
        <v>1</v>
      </c>
      <c r="H167" s="529"/>
      <c r="I167" s="576">
        <f t="shared" si="2"/>
        <v>0</v>
      </c>
    </row>
    <row r="168" spans="1:9" x14ac:dyDescent="0.2">
      <c r="A168" s="253" t="s">
        <v>1265</v>
      </c>
      <c r="B168" s="314" t="s">
        <v>2731</v>
      </c>
      <c r="C168" s="430"/>
      <c r="D168" s="314"/>
      <c r="E168" s="314" t="s">
        <v>1920</v>
      </c>
      <c r="F168" s="625"/>
      <c r="G168" s="47">
        <v>1</v>
      </c>
      <c r="H168" s="661"/>
      <c r="I168" s="576">
        <f t="shared" si="2"/>
        <v>0</v>
      </c>
    </row>
    <row r="169" spans="1:9" x14ac:dyDescent="0.2">
      <c r="A169" s="253" t="s">
        <v>1587</v>
      </c>
      <c r="B169" s="314" t="s">
        <v>951</v>
      </c>
      <c r="C169" s="430"/>
      <c r="D169" s="314"/>
      <c r="E169" s="314" t="s">
        <v>1920</v>
      </c>
      <c r="F169" s="625"/>
      <c r="G169" s="47">
        <v>1</v>
      </c>
      <c r="H169" s="661"/>
      <c r="I169" s="576">
        <f t="shared" si="2"/>
        <v>0</v>
      </c>
    </row>
    <row r="170" spans="1:9" x14ac:dyDescent="0.2">
      <c r="I170" s="615">
        <f>SUM(I2:I169)</f>
        <v>0</v>
      </c>
    </row>
    <row r="171" spans="1:9" ht="18" x14ac:dyDescent="0.25">
      <c r="A171" s="422" t="s">
        <v>3363</v>
      </c>
      <c r="B171" s="6"/>
    </row>
    <row r="172" spans="1:9" ht="18" x14ac:dyDescent="0.25">
      <c r="A172" s="422" t="s">
        <v>2963</v>
      </c>
      <c r="B172" s="6"/>
    </row>
    <row r="173" spans="1:9" ht="18" x14ac:dyDescent="0.25">
      <c r="A173" s="491" t="s">
        <v>3329</v>
      </c>
      <c r="B173" s="6"/>
    </row>
    <row r="174" spans="1:9" ht="18" x14ac:dyDescent="0.25">
      <c r="A174" s="449" t="s">
        <v>3374</v>
      </c>
      <c r="B174" s="608">
        <f>+I170</f>
        <v>0</v>
      </c>
    </row>
  </sheetData>
  <printOptions gridLines="1"/>
  <pageMargins left="0.5" right="0.5" top="0.5" bottom="0.5" header="0.3" footer="0.3"/>
  <pageSetup scale="60" orientation="landscape" r:id="rId1"/>
  <headerFooter>
    <oddFooter xml:space="preserve">&amp;C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56"/>
  <sheetViews>
    <sheetView workbookViewId="0">
      <pane ySplit="1" topLeftCell="A20" activePane="bottomLeft" state="frozen"/>
      <selection activeCell="C26" sqref="C26"/>
      <selection pane="bottomLeft" activeCell="G2" sqref="G2:G49"/>
    </sheetView>
  </sheetViews>
  <sheetFormatPr defaultColWidth="9.140625" defaultRowHeight="15" x14ac:dyDescent="0.2"/>
  <cols>
    <col min="1" max="1" width="63.85546875" style="412" bestFit="1" customWidth="1"/>
    <col min="2" max="2" width="16.42578125" style="120" bestFit="1" customWidth="1"/>
    <col min="3" max="3" width="20.42578125" style="120" bestFit="1" customWidth="1"/>
    <col min="4" max="4" width="20.140625" style="120" bestFit="1" customWidth="1"/>
    <col min="5" max="5" width="12.42578125" style="120" bestFit="1" customWidth="1"/>
    <col min="6" max="6" width="15.5703125" style="120" bestFit="1" customWidth="1"/>
    <col min="7" max="7" width="11.42578125" style="120" customWidth="1"/>
    <col min="8" max="8" width="11.42578125" style="669" bestFit="1" customWidth="1"/>
    <col min="9" max="9" width="16.85546875" style="667" bestFit="1" customWidth="1"/>
    <col min="10" max="10" width="17" style="412" bestFit="1" customWidth="1"/>
    <col min="11" max="16384" width="9.140625" style="412"/>
  </cols>
  <sheetData>
    <row r="1" spans="1:9" ht="15.75" x14ac:dyDescent="0.25">
      <c r="A1" s="51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51" t="s">
        <v>412</v>
      </c>
      <c r="H1" s="528" t="s">
        <v>3368</v>
      </c>
      <c r="I1" s="539" t="s">
        <v>3369</v>
      </c>
    </row>
    <row r="2" spans="1:9" x14ac:dyDescent="0.2">
      <c r="A2" s="413" t="s">
        <v>2947</v>
      </c>
      <c r="B2" s="244" t="s">
        <v>748</v>
      </c>
      <c r="C2" s="430"/>
      <c r="D2" s="244"/>
      <c r="E2" s="244"/>
      <c r="F2" s="438"/>
      <c r="G2" s="52">
        <v>1</v>
      </c>
      <c r="H2" s="664"/>
      <c r="I2" s="665">
        <f>+G2*H2</f>
        <v>0</v>
      </c>
    </row>
    <row r="3" spans="1:9" x14ac:dyDescent="0.2">
      <c r="A3" s="413" t="s">
        <v>147</v>
      </c>
      <c r="B3" s="244">
        <v>10062768</v>
      </c>
      <c r="C3" s="430"/>
      <c r="D3" s="244"/>
      <c r="E3" s="244" t="s">
        <v>1922</v>
      </c>
      <c r="F3" s="438"/>
      <c r="G3" s="52">
        <v>1</v>
      </c>
      <c r="H3" s="664"/>
      <c r="I3" s="665">
        <f t="shared" ref="I3:I49" si="0">+G3*H3</f>
        <v>0</v>
      </c>
    </row>
    <row r="4" spans="1:9" x14ac:dyDescent="0.2">
      <c r="A4" s="413" t="s">
        <v>2233</v>
      </c>
      <c r="B4" s="244">
        <v>10064379</v>
      </c>
      <c r="C4" s="430"/>
      <c r="D4" s="244"/>
      <c r="E4" s="244" t="s">
        <v>1922</v>
      </c>
      <c r="F4" s="438"/>
      <c r="G4" s="52">
        <v>1</v>
      </c>
      <c r="H4" s="664"/>
      <c r="I4" s="665">
        <f t="shared" si="0"/>
        <v>0</v>
      </c>
    </row>
    <row r="5" spans="1:9" x14ac:dyDescent="0.2">
      <c r="A5" s="413" t="s">
        <v>1585</v>
      </c>
      <c r="B5" s="244" t="s">
        <v>47</v>
      </c>
      <c r="C5" s="430"/>
      <c r="D5" s="244"/>
      <c r="E5" s="244" t="s">
        <v>1925</v>
      </c>
      <c r="F5" s="438"/>
      <c r="G5" s="52">
        <v>1</v>
      </c>
      <c r="H5" s="664"/>
      <c r="I5" s="665">
        <f t="shared" si="0"/>
        <v>0</v>
      </c>
    </row>
    <row r="6" spans="1:9" x14ac:dyDescent="0.2">
      <c r="A6" s="413" t="s">
        <v>146</v>
      </c>
      <c r="B6" s="244">
        <v>10062822</v>
      </c>
      <c r="C6" s="430"/>
      <c r="D6" s="244"/>
      <c r="E6" s="244" t="s">
        <v>1926</v>
      </c>
      <c r="F6" s="438"/>
      <c r="G6" s="52">
        <v>4</v>
      </c>
      <c r="H6" s="664"/>
      <c r="I6" s="665">
        <f t="shared" si="0"/>
        <v>0</v>
      </c>
    </row>
    <row r="7" spans="1:9" x14ac:dyDescent="0.2">
      <c r="A7" s="413" t="s">
        <v>57</v>
      </c>
      <c r="B7" s="244" t="s">
        <v>58</v>
      </c>
      <c r="C7" s="430"/>
      <c r="D7" s="244"/>
      <c r="E7" s="244" t="s">
        <v>1925</v>
      </c>
      <c r="F7" s="438"/>
      <c r="G7" s="52">
        <v>1</v>
      </c>
      <c r="H7" s="664"/>
      <c r="I7" s="665">
        <f t="shared" si="0"/>
        <v>0</v>
      </c>
    </row>
    <row r="8" spans="1:9" x14ac:dyDescent="0.2">
      <c r="A8" s="413" t="s">
        <v>144</v>
      </c>
      <c r="B8" s="244" t="s">
        <v>587</v>
      </c>
      <c r="C8" s="430"/>
      <c r="D8" s="244"/>
      <c r="E8" s="244" t="s">
        <v>1929</v>
      </c>
      <c r="F8" s="438"/>
      <c r="G8" s="52">
        <v>1</v>
      </c>
      <c r="H8" s="664"/>
      <c r="I8" s="665">
        <f t="shared" si="0"/>
        <v>0</v>
      </c>
    </row>
    <row r="9" spans="1:9" x14ac:dyDescent="0.2">
      <c r="A9" s="413" t="s">
        <v>145</v>
      </c>
      <c r="B9" s="244" t="s">
        <v>588</v>
      </c>
      <c r="C9" s="430"/>
      <c r="D9" s="244"/>
      <c r="E9" s="244" t="s">
        <v>1929</v>
      </c>
      <c r="F9" s="438"/>
      <c r="G9" s="52">
        <v>1</v>
      </c>
      <c r="H9" s="664"/>
      <c r="I9" s="665">
        <f t="shared" si="0"/>
        <v>0</v>
      </c>
    </row>
    <row r="10" spans="1:9" x14ac:dyDescent="0.2">
      <c r="A10" s="413" t="s">
        <v>148</v>
      </c>
      <c r="B10" s="244" t="s">
        <v>589</v>
      </c>
      <c r="C10" s="430"/>
      <c r="D10" s="244"/>
      <c r="E10" s="244" t="s">
        <v>1929</v>
      </c>
      <c r="F10" s="438"/>
      <c r="G10" s="52">
        <v>1</v>
      </c>
      <c r="H10" s="664"/>
      <c r="I10" s="665">
        <f t="shared" si="0"/>
        <v>0</v>
      </c>
    </row>
    <row r="11" spans="1:9" x14ac:dyDescent="0.2">
      <c r="A11" s="413" t="s">
        <v>153</v>
      </c>
      <c r="B11" s="244" t="s">
        <v>594</v>
      </c>
      <c r="C11" s="430"/>
      <c r="D11" s="244"/>
      <c r="E11" s="244" t="s">
        <v>1929</v>
      </c>
      <c r="F11" s="438"/>
      <c r="G11" s="52">
        <v>1</v>
      </c>
      <c r="H11" s="664"/>
      <c r="I11" s="665">
        <f t="shared" si="0"/>
        <v>0</v>
      </c>
    </row>
    <row r="12" spans="1:9" x14ac:dyDescent="0.2">
      <c r="A12" s="413" t="s">
        <v>152</v>
      </c>
      <c r="B12" s="244" t="s">
        <v>593</v>
      </c>
      <c r="C12" s="430"/>
      <c r="D12" s="244"/>
      <c r="E12" s="244" t="s">
        <v>1929</v>
      </c>
      <c r="F12" s="438"/>
      <c r="G12" s="52">
        <v>1</v>
      </c>
      <c r="H12" s="664"/>
      <c r="I12" s="665">
        <f t="shared" si="0"/>
        <v>0</v>
      </c>
    </row>
    <row r="13" spans="1:9" x14ac:dyDescent="0.2">
      <c r="A13" s="413" t="s">
        <v>1588</v>
      </c>
      <c r="B13" s="244" t="s">
        <v>585</v>
      </c>
      <c r="C13" s="430"/>
      <c r="D13" s="244"/>
      <c r="E13" s="244" t="s">
        <v>1929</v>
      </c>
      <c r="F13" s="438"/>
      <c r="G13" s="52">
        <v>1</v>
      </c>
      <c r="H13" s="664"/>
      <c r="I13" s="665">
        <f t="shared" si="0"/>
        <v>0</v>
      </c>
    </row>
    <row r="14" spans="1:9" x14ac:dyDescent="0.2">
      <c r="A14" s="413" t="s">
        <v>150</v>
      </c>
      <c r="B14" s="244" t="s">
        <v>591</v>
      </c>
      <c r="C14" s="430"/>
      <c r="D14" s="244"/>
      <c r="E14" s="244" t="s">
        <v>1929</v>
      </c>
      <c r="F14" s="438"/>
      <c r="G14" s="52">
        <v>1</v>
      </c>
      <c r="H14" s="664"/>
      <c r="I14" s="665">
        <f t="shared" si="0"/>
        <v>0</v>
      </c>
    </row>
    <row r="15" spans="1:9" x14ac:dyDescent="0.2">
      <c r="A15" s="413" t="s">
        <v>151</v>
      </c>
      <c r="B15" s="244" t="s">
        <v>592</v>
      </c>
      <c r="C15" s="430"/>
      <c r="D15" s="244"/>
      <c r="E15" s="244" t="s">
        <v>1929</v>
      </c>
      <c r="F15" s="438"/>
      <c r="G15" s="52">
        <v>1</v>
      </c>
      <c r="H15" s="664"/>
      <c r="I15" s="665">
        <f t="shared" si="0"/>
        <v>0</v>
      </c>
    </row>
    <row r="16" spans="1:9" x14ac:dyDescent="0.2">
      <c r="A16" s="413" t="s">
        <v>1157</v>
      </c>
      <c r="B16" s="244" t="s">
        <v>672</v>
      </c>
      <c r="C16" s="430"/>
      <c r="D16" s="244"/>
      <c r="E16" s="244" t="s">
        <v>1920</v>
      </c>
      <c r="F16" s="438"/>
      <c r="G16" s="52">
        <v>1</v>
      </c>
      <c r="H16" s="664"/>
      <c r="I16" s="665">
        <f t="shared" si="0"/>
        <v>0</v>
      </c>
    </row>
    <row r="17" spans="1:9" x14ac:dyDescent="0.2">
      <c r="A17" s="413" t="s">
        <v>17</v>
      </c>
      <c r="B17" s="244" t="s">
        <v>407</v>
      </c>
      <c r="C17" s="430"/>
      <c r="D17" s="244"/>
      <c r="E17" s="244" t="s">
        <v>1920</v>
      </c>
      <c r="F17" s="438"/>
      <c r="G17" s="52">
        <v>1</v>
      </c>
      <c r="H17" s="664"/>
      <c r="I17" s="665">
        <f t="shared" si="0"/>
        <v>0</v>
      </c>
    </row>
    <row r="18" spans="1:9" x14ac:dyDescent="0.2">
      <c r="A18" s="413" t="s">
        <v>1158</v>
      </c>
      <c r="B18" s="244" t="s">
        <v>512</v>
      </c>
      <c r="C18" s="430"/>
      <c r="D18" s="244"/>
      <c r="E18" s="244" t="s">
        <v>1920</v>
      </c>
      <c r="F18" s="438"/>
      <c r="G18" s="52">
        <v>1</v>
      </c>
      <c r="H18" s="664"/>
      <c r="I18" s="665">
        <f t="shared" si="0"/>
        <v>0</v>
      </c>
    </row>
    <row r="19" spans="1:9" x14ac:dyDescent="0.2">
      <c r="A19" s="413" t="s">
        <v>1659</v>
      </c>
      <c r="B19" s="244" t="s">
        <v>149</v>
      </c>
      <c r="C19" s="430"/>
      <c r="D19" s="244"/>
      <c r="E19" s="244" t="s">
        <v>1920</v>
      </c>
      <c r="F19" s="438"/>
      <c r="G19" s="52">
        <v>1</v>
      </c>
      <c r="H19" s="664"/>
      <c r="I19" s="665">
        <f t="shared" si="0"/>
        <v>0</v>
      </c>
    </row>
    <row r="20" spans="1:9" x14ac:dyDescent="0.2">
      <c r="A20" s="413" t="s">
        <v>1047</v>
      </c>
      <c r="B20" s="244" t="s">
        <v>492</v>
      </c>
      <c r="C20" s="430"/>
      <c r="D20" s="244"/>
      <c r="E20" s="244" t="s">
        <v>1920</v>
      </c>
      <c r="F20" s="438"/>
      <c r="G20" s="52">
        <v>1</v>
      </c>
      <c r="H20" s="664"/>
      <c r="I20" s="665">
        <f t="shared" si="0"/>
        <v>0</v>
      </c>
    </row>
    <row r="21" spans="1:9" x14ac:dyDescent="0.2">
      <c r="A21" s="413" t="s">
        <v>1048</v>
      </c>
      <c r="B21" s="244" t="s">
        <v>170</v>
      </c>
      <c r="C21" s="430"/>
      <c r="D21" s="244"/>
      <c r="E21" s="244" t="s">
        <v>1920</v>
      </c>
      <c r="F21" s="438"/>
      <c r="G21" s="52">
        <v>1</v>
      </c>
      <c r="H21" s="664"/>
      <c r="I21" s="665">
        <f t="shared" si="0"/>
        <v>0</v>
      </c>
    </row>
    <row r="22" spans="1:9" x14ac:dyDescent="0.2">
      <c r="A22" s="413" t="s">
        <v>1050</v>
      </c>
      <c r="B22" s="244" t="s">
        <v>404</v>
      </c>
      <c r="C22" s="430"/>
      <c r="D22" s="244"/>
      <c r="E22" s="244" t="s">
        <v>1920</v>
      </c>
      <c r="F22" s="438"/>
      <c r="G22" s="52">
        <v>1</v>
      </c>
      <c r="H22" s="664"/>
      <c r="I22" s="665">
        <f t="shared" si="0"/>
        <v>0</v>
      </c>
    </row>
    <row r="23" spans="1:9" x14ac:dyDescent="0.2">
      <c r="A23" s="413" t="s">
        <v>3243</v>
      </c>
      <c r="B23" s="244" t="s">
        <v>82</v>
      </c>
      <c r="C23" s="430"/>
      <c r="D23" s="244"/>
      <c r="E23" s="244" t="s">
        <v>1920</v>
      </c>
      <c r="F23" s="438"/>
      <c r="G23" s="52">
        <v>1</v>
      </c>
      <c r="H23" s="664"/>
      <c r="I23" s="665">
        <f t="shared" si="0"/>
        <v>0</v>
      </c>
    </row>
    <row r="24" spans="1:9" x14ac:dyDescent="0.2">
      <c r="A24" s="413" t="s">
        <v>142</v>
      </c>
      <c r="B24" s="244" t="s">
        <v>2122</v>
      </c>
      <c r="C24" s="430"/>
      <c r="D24" s="244"/>
      <c r="E24" s="244">
        <v>55719</v>
      </c>
      <c r="F24" s="438"/>
      <c r="G24" s="52">
        <v>1</v>
      </c>
      <c r="H24" s="664"/>
      <c r="I24" s="665">
        <f t="shared" si="0"/>
        <v>0</v>
      </c>
    </row>
    <row r="25" spans="1:9" x14ac:dyDescent="0.2">
      <c r="A25" s="413" t="s">
        <v>143</v>
      </c>
      <c r="B25" s="244" t="s">
        <v>2121</v>
      </c>
      <c r="C25" s="430"/>
      <c r="D25" s="244"/>
      <c r="E25" s="244">
        <v>55719</v>
      </c>
      <c r="F25" s="438"/>
      <c r="G25" s="52">
        <v>1</v>
      </c>
      <c r="H25" s="664"/>
      <c r="I25" s="665">
        <f t="shared" si="0"/>
        <v>0</v>
      </c>
    </row>
    <row r="26" spans="1:9" x14ac:dyDescent="0.2">
      <c r="A26" s="413" t="s">
        <v>16</v>
      </c>
      <c r="B26" s="244" t="s">
        <v>476</v>
      </c>
      <c r="C26" s="430"/>
      <c r="D26" s="244"/>
      <c r="E26" s="244" t="s">
        <v>1920</v>
      </c>
      <c r="F26" s="438"/>
      <c r="G26" s="52">
        <v>2</v>
      </c>
      <c r="H26" s="664"/>
      <c r="I26" s="665">
        <f t="shared" si="0"/>
        <v>0</v>
      </c>
    </row>
    <row r="27" spans="1:9" x14ac:dyDescent="0.2">
      <c r="A27" s="413" t="s">
        <v>1192</v>
      </c>
      <c r="B27" s="244" t="s">
        <v>94</v>
      </c>
      <c r="C27" s="430"/>
      <c r="D27" s="244"/>
      <c r="E27" s="244" t="s">
        <v>1920</v>
      </c>
      <c r="F27" s="438"/>
      <c r="G27" s="52">
        <v>1</v>
      </c>
      <c r="H27" s="664"/>
      <c r="I27" s="665">
        <f t="shared" si="0"/>
        <v>0</v>
      </c>
    </row>
    <row r="28" spans="1:9" x14ac:dyDescent="0.2">
      <c r="A28" s="413" t="s">
        <v>35</v>
      </c>
      <c r="B28" s="244" t="s">
        <v>1827</v>
      </c>
      <c r="C28" s="430"/>
      <c r="D28" s="244"/>
      <c r="E28" s="244" t="s">
        <v>1920</v>
      </c>
      <c r="F28" s="438"/>
      <c r="G28" s="52">
        <v>1</v>
      </c>
      <c r="H28" s="664"/>
      <c r="I28" s="665">
        <f t="shared" si="0"/>
        <v>0</v>
      </c>
    </row>
    <row r="29" spans="1:9" x14ac:dyDescent="0.2">
      <c r="A29" s="413" t="s">
        <v>36</v>
      </c>
      <c r="B29" s="244" t="s">
        <v>1828</v>
      </c>
      <c r="C29" s="430"/>
      <c r="D29" s="244"/>
      <c r="E29" s="244" t="s">
        <v>1920</v>
      </c>
      <c r="F29" s="438"/>
      <c r="G29" s="52">
        <v>1</v>
      </c>
      <c r="H29" s="664"/>
      <c r="I29" s="665">
        <f t="shared" si="0"/>
        <v>0</v>
      </c>
    </row>
    <row r="30" spans="1:9" x14ac:dyDescent="0.2">
      <c r="A30" s="413" t="s">
        <v>985</v>
      </c>
      <c r="B30" s="244" t="s">
        <v>1830</v>
      </c>
      <c r="C30" s="430"/>
      <c r="D30" s="244"/>
      <c r="E30" s="244" t="s">
        <v>1920</v>
      </c>
      <c r="F30" s="438"/>
      <c r="G30" s="52">
        <v>1</v>
      </c>
      <c r="H30" s="664"/>
      <c r="I30" s="665">
        <f t="shared" si="0"/>
        <v>0</v>
      </c>
    </row>
    <row r="31" spans="1:9" x14ac:dyDescent="0.2">
      <c r="A31" s="413" t="s">
        <v>11</v>
      </c>
      <c r="B31" s="244" t="s">
        <v>278</v>
      </c>
      <c r="C31" s="430"/>
      <c r="D31" s="244"/>
      <c r="E31" s="244" t="s">
        <v>1920</v>
      </c>
      <c r="F31" s="438"/>
      <c r="G31" s="52">
        <v>1</v>
      </c>
      <c r="H31" s="664"/>
      <c r="I31" s="665">
        <f t="shared" si="0"/>
        <v>0</v>
      </c>
    </row>
    <row r="32" spans="1:9" x14ac:dyDescent="0.2">
      <c r="A32" s="413" t="s">
        <v>12</v>
      </c>
      <c r="B32" s="244" t="s">
        <v>171</v>
      </c>
      <c r="C32" s="430"/>
      <c r="D32" s="244"/>
      <c r="E32" s="244" t="s">
        <v>1920</v>
      </c>
      <c r="F32" s="438"/>
      <c r="G32" s="52">
        <v>1</v>
      </c>
      <c r="H32" s="664"/>
      <c r="I32" s="665">
        <f t="shared" si="0"/>
        <v>0</v>
      </c>
    </row>
    <row r="33" spans="1:9" x14ac:dyDescent="0.2">
      <c r="A33" s="413" t="s">
        <v>6</v>
      </c>
      <c r="B33" s="244" t="s">
        <v>91</v>
      </c>
      <c r="C33" s="430"/>
      <c r="D33" s="244"/>
      <c r="E33" s="244" t="s">
        <v>1920</v>
      </c>
      <c r="F33" s="438"/>
      <c r="G33" s="52">
        <v>1</v>
      </c>
      <c r="H33" s="664"/>
      <c r="I33" s="665">
        <f t="shared" si="0"/>
        <v>0</v>
      </c>
    </row>
    <row r="34" spans="1:9" x14ac:dyDescent="0.2">
      <c r="A34" s="413" t="s">
        <v>44</v>
      </c>
      <c r="B34" s="244" t="s">
        <v>896</v>
      </c>
      <c r="C34" s="430"/>
      <c r="D34" s="244"/>
      <c r="E34" s="244" t="s">
        <v>1920</v>
      </c>
      <c r="F34" s="438"/>
      <c r="G34" s="52">
        <v>1</v>
      </c>
      <c r="H34" s="664"/>
      <c r="I34" s="665">
        <f t="shared" si="0"/>
        <v>0</v>
      </c>
    </row>
    <row r="35" spans="1:9" x14ac:dyDescent="0.2">
      <c r="A35" s="413" t="s">
        <v>1386</v>
      </c>
      <c r="B35" s="244" t="s">
        <v>711</v>
      </c>
      <c r="C35" s="430"/>
      <c r="D35" s="244"/>
      <c r="E35" s="244" t="s">
        <v>1920</v>
      </c>
      <c r="F35" s="438"/>
      <c r="G35" s="52">
        <v>1</v>
      </c>
      <c r="H35" s="664"/>
      <c r="I35" s="665">
        <f t="shared" si="0"/>
        <v>0</v>
      </c>
    </row>
    <row r="36" spans="1:9" x14ac:dyDescent="0.2">
      <c r="A36" s="413" t="s">
        <v>1064</v>
      </c>
      <c r="B36" s="244" t="s">
        <v>112</v>
      </c>
      <c r="C36" s="430"/>
      <c r="D36" s="244"/>
      <c r="E36" s="244" t="s">
        <v>1920</v>
      </c>
      <c r="F36" s="438"/>
      <c r="G36" s="52">
        <v>1</v>
      </c>
      <c r="H36" s="664"/>
      <c r="I36" s="665">
        <f t="shared" si="0"/>
        <v>0</v>
      </c>
    </row>
    <row r="37" spans="1:9" x14ac:dyDescent="0.2">
      <c r="A37" s="413" t="s">
        <v>180</v>
      </c>
      <c r="B37" s="244" t="s">
        <v>479</v>
      </c>
      <c r="C37" s="430"/>
      <c r="D37" s="244"/>
      <c r="E37" s="244" t="s">
        <v>1920</v>
      </c>
      <c r="F37" s="438"/>
      <c r="G37" s="52">
        <v>1</v>
      </c>
      <c r="H37" s="664"/>
      <c r="I37" s="665">
        <f t="shared" si="0"/>
        <v>0</v>
      </c>
    </row>
    <row r="38" spans="1:9" x14ac:dyDescent="0.2">
      <c r="A38" s="413" t="s">
        <v>1186</v>
      </c>
      <c r="B38" s="244" t="s">
        <v>328</v>
      </c>
      <c r="C38" s="430"/>
      <c r="D38" s="244"/>
      <c r="E38" s="244" t="s">
        <v>1920</v>
      </c>
      <c r="F38" s="438"/>
      <c r="G38" s="52">
        <v>1</v>
      </c>
      <c r="H38" s="664"/>
      <c r="I38" s="665">
        <f t="shared" si="0"/>
        <v>0</v>
      </c>
    </row>
    <row r="39" spans="1:9" x14ac:dyDescent="0.2">
      <c r="A39" s="413" t="s">
        <v>1180</v>
      </c>
      <c r="B39" s="244" t="s">
        <v>359</v>
      </c>
      <c r="C39" s="430"/>
      <c r="D39" s="244"/>
      <c r="E39" s="244" t="s">
        <v>1920</v>
      </c>
      <c r="F39" s="438"/>
      <c r="G39" s="52">
        <v>1</v>
      </c>
      <c r="H39" s="664"/>
      <c r="I39" s="665">
        <f t="shared" si="0"/>
        <v>0</v>
      </c>
    </row>
    <row r="40" spans="1:9" x14ac:dyDescent="0.2">
      <c r="A40" s="413" t="s">
        <v>1187</v>
      </c>
      <c r="B40" s="244" t="s">
        <v>360</v>
      </c>
      <c r="C40" s="430"/>
      <c r="D40" s="244"/>
      <c r="E40" s="244" t="s">
        <v>1920</v>
      </c>
      <c r="F40" s="438"/>
      <c r="G40" s="52">
        <v>1</v>
      </c>
      <c r="H40" s="664"/>
      <c r="I40" s="665">
        <f t="shared" si="0"/>
        <v>0</v>
      </c>
    </row>
    <row r="41" spans="1:9" x14ac:dyDescent="0.2">
      <c r="A41" s="413" t="s">
        <v>2897</v>
      </c>
      <c r="B41" s="244" t="s">
        <v>324</v>
      </c>
      <c r="C41" s="430"/>
      <c r="D41" s="244"/>
      <c r="E41" s="244" t="s">
        <v>1920</v>
      </c>
      <c r="F41" s="438"/>
      <c r="G41" s="52">
        <v>1</v>
      </c>
      <c r="H41" s="664"/>
      <c r="I41" s="665">
        <f t="shared" si="0"/>
        <v>0</v>
      </c>
    </row>
    <row r="42" spans="1:9" x14ac:dyDescent="0.2">
      <c r="A42" s="413" t="s">
        <v>2133</v>
      </c>
      <c r="B42" s="244" t="s">
        <v>2909</v>
      </c>
      <c r="C42" s="430"/>
      <c r="D42" s="244"/>
      <c r="E42" s="244">
        <v>56654</v>
      </c>
      <c r="F42" s="438"/>
      <c r="G42" s="52">
        <v>1</v>
      </c>
      <c r="H42" s="664"/>
      <c r="I42" s="665">
        <f t="shared" si="0"/>
        <v>0</v>
      </c>
    </row>
    <row r="43" spans="1:9" x14ac:dyDescent="0.2">
      <c r="A43" s="413" t="s">
        <v>1560</v>
      </c>
      <c r="B43" s="244" t="s">
        <v>590</v>
      </c>
      <c r="C43" s="430"/>
      <c r="D43" s="244"/>
      <c r="E43" s="244" t="s">
        <v>1920</v>
      </c>
      <c r="F43" s="438"/>
      <c r="G43" s="52">
        <v>1</v>
      </c>
      <c r="H43" s="664"/>
      <c r="I43" s="665">
        <f t="shared" si="0"/>
        <v>0</v>
      </c>
    </row>
    <row r="44" spans="1:9" x14ac:dyDescent="0.2">
      <c r="A44" s="413" t="s">
        <v>1575</v>
      </c>
      <c r="B44" s="244" t="s">
        <v>571</v>
      </c>
      <c r="C44" s="430"/>
      <c r="D44" s="244"/>
      <c r="E44" s="244" t="s">
        <v>1920</v>
      </c>
      <c r="F44" s="438"/>
      <c r="G44" s="52">
        <v>2</v>
      </c>
      <c r="H44" s="664"/>
      <c r="I44" s="665">
        <f t="shared" si="0"/>
        <v>0</v>
      </c>
    </row>
    <row r="45" spans="1:9" x14ac:dyDescent="0.2">
      <c r="A45" s="413" t="s">
        <v>1275</v>
      </c>
      <c r="B45" s="244" t="s">
        <v>478</v>
      </c>
      <c r="C45" s="430"/>
      <c r="D45" s="244"/>
      <c r="E45" s="244" t="s">
        <v>1920</v>
      </c>
      <c r="F45" s="438"/>
      <c r="G45" s="52">
        <v>1</v>
      </c>
      <c r="H45" s="664"/>
      <c r="I45" s="665">
        <f t="shared" si="0"/>
        <v>0</v>
      </c>
    </row>
    <row r="46" spans="1:9" x14ac:dyDescent="0.2">
      <c r="A46" s="413" t="s">
        <v>1618</v>
      </c>
      <c r="B46" s="244" t="s">
        <v>586</v>
      </c>
      <c r="C46" s="430"/>
      <c r="D46" s="244"/>
      <c r="E46" s="244" t="s">
        <v>1920</v>
      </c>
      <c r="F46" s="438"/>
      <c r="G46" s="52">
        <v>1</v>
      </c>
      <c r="H46" s="664"/>
      <c r="I46" s="665">
        <f t="shared" si="0"/>
        <v>0</v>
      </c>
    </row>
    <row r="47" spans="1:9" x14ac:dyDescent="0.2">
      <c r="A47" s="413" t="s">
        <v>4</v>
      </c>
      <c r="B47" s="244" t="s">
        <v>90</v>
      </c>
      <c r="C47" s="430"/>
      <c r="D47" s="244"/>
      <c r="E47" s="244" t="s">
        <v>1920</v>
      </c>
      <c r="F47" s="438"/>
      <c r="G47" s="52">
        <v>1</v>
      </c>
      <c r="H47" s="664"/>
      <c r="I47" s="665">
        <f t="shared" si="0"/>
        <v>0</v>
      </c>
    </row>
    <row r="48" spans="1:9" x14ac:dyDescent="0.2">
      <c r="A48" s="413" t="s">
        <v>2923</v>
      </c>
      <c r="B48" s="244" t="s">
        <v>241</v>
      </c>
      <c r="C48" s="430"/>
      <c r="D48" s="244"/>
      <c r="E48" s="244" t="s">
        <v>1920</v>
      </c>
      <c r="F48" s="438"/>
      <c r="G48" s="52">
        <v>2</v>
      </c>
      <c r="H48" s="664"/>
      <c r="I48" s="665">
        <f t="shared" si="0"/>
        <v>0</v>
      </c>
    </row>
    <row r="49" spans="1:9" x14ac:dyDescent="0.2">
      <c r="A49" s="413" t="s">
        <v>20</v>
      </c>
      <c r="B49" s="244" t="s">
        <v>287</v>
      </c>
      <c r="C49" s="430"/>
      <c r="D49" s="244"/>
      <c r="E49" s="244" t="s">
        <v>1920</v>
      </c>
      <c r="F49" s="438"/>
      <c r="G49" s="52">
        <v>2</v>
      </c>
      <c r="H49" s="664"/>
      <c r="I49" s="665">
        <f t="shared" si="0"/>
        <v>0</v>
      </c>
    </row>
    <row r="50" spans="1:9" x14ac:dyDescent="0.2">
      <c r="H50" s="666"/>
      <c r="I50" s="667">
        <f>SUM(I2:I49)</f>
        <v>0</v>
      </c>
    </row>
    <row r="51" spans="1:9" x14ac:dyDescent="0.2">
      <c r="H51" s="666"/>
    </row>
    <row r="52" spans="1:9" x14ac:dyDescent="0.2">
      <c r="H52" s="666"/>
    </row>
    <row r="53" spans="1:9" s="219" customFormat="1" ht="18" x14ac:dyDescent="0.25">
      <c r="A53" s="507" t="s">
        <v>1770</v>
      </c>
      <c r="B53" s="425"/>
      <c r="C53" s="309"/>
      <c r="D53" s="309"/>
      <c r="E53" s="309"/>
      <c r="F53" s="309"/>
      <c r="G53" s="309"/>
      <c r="H53" s="668"/>
      <c r="I53" s="668"/>
    </row>
    <row r="54" spans="1:9" s="219" customFormat="1" ht="18" x14ac:dyDescent="0.25">
      <c r="A54" s="507" t="s">
        <v>2968</v>
      </c>
      <c r="B54" s="425"/>
      <c r="C54" s="309"/>
      <c r="D54" s="309"/>
      <c r="E54" s="309"/>
      <c r="F54" s="309"/>
      <c r="G54" s="309"/>
      <c r="H54" s="668"/>
      <c r="I54" s="668"/>
    </row>
    <row r="55" spans="1:9" ht="18" x14ac:dyDescent="0.25">
      <c r="A55" s="508" t="s">
        <v>3328</v>
      </c>
      <c r="B55" s="515"/>
    </row>
    <row r="56" spans="1:9" ht="18" x14ac:dyDescent="0.25">
      <c r="A56" s="449" t="s">
        <v>3374</v>
      </c>
      <c r="B56" s="608">
        <f>+I50</f>
        <v>0</v>
      </c>
    </row>
  </sheetData>
  <pageMargins left="0.5" right="0.5" top="0.5" bottom="0.5" header="0.3" footer="0.3"/>
  <pageSetup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FC145"/>
  <sheetViews>
    <sheetView workbookViewId="0">
      <pane ySplit="1" topLeftCell="A107" activePane="bottomLeft" state="frozen"/>
      <selection activeCell="C26" sqref="C26"/>
      <selection pane="bottomLeft" activeCell="G2" sqref="G2:G138"/>
    </sheetView>
  </sheetViews>
  <sheetFormatPr defaultColWidth="9.140625" defaultRowHeight="15" x14ac:dyDescent="0.2"/>
  <cols>
    <col min="1" max="1" width="65.5703125" style="57" bestFit="1" customWidth="1"/>
    <col min="2" max="2" width="21.140625" style="58" bestFit="1" customWidth="1"/>
    <col min="3" max="3" width="20.42578125" style="264" bestFit="1" customWidth="1"/>
    <col min="4" max="4" width="20.140625" style="58" bestFit="1" customWidth="1"/>
    <col min="5" max="5" width="12.42578125" style="58" bestFit="1" customWidth="1"/>
    <col min="6" max="6" width="15.5703125" style="264" bestFit="1" customWidth="1"/>
    <col min="7" max="7" width="12" style="58" customWidth="1"/>
    <col min="8" max="8" width="11.42578125" style="590" bestFit="1" customWidth="1"/>
    <col min="9" max="9" width="16.85546875" style="587" bestFit="1" customWidth="1"/>
    <col min="10" max="10" width="17" style="57" bestFit="1" customWidth="1"/>
    <col min="11" max="16384" width="9.140625" style="57"/>
  </cols>
  <sheetData>
    <row r="1" spans="1:9" ht="15.75" x14ac:dyDescent="0.25">
      <c r="A1" s="258" t="s">
        <v>0</v>
      </c>
      <c r="B1" s="323" t="s">
        <v>1</v>
      </c>
      <c r="C1" s="367" t="s">
        <v>3373</v>
      </c>
      <c r="D1" s="323" t="s">
        <v>1872</v>
      </c>
      <c r="E1" s="323" t="s">
        <v>1873</v>
      </c>
      <c r="F1" s="367" t="s">
        <v>3372</v>
      </c>
      <c r="G1" s="257" t="s">
        <v>412</v>
      </c>
      <c r="H1" s="528" t="s">
        <v>3368</v>
      </c>
      <c r="I1" s="673" t="s">
        <v>3369</v>
      </c>
    </row>
    <row r="2" spans="1:9" s="209" customFormat="1" ht="15.75" x14ac:dyDescent="0.25">
      <c r="A2" s="269" t="s">
        <v>1619</v>
      </c>
      <c r="B2" s="71" t="s">
        <v>2247</v>
      </c>
      <c r="C2" s="625"/>
      <c r="D2" s="71"/>
      <c r="E2" s="71" t="s">
        <v>2246</v>
      </c>
      <c r="F2" s="625"/>
      <c r="G2" s="10">
        <v>2</v>
      </c>
      <c r="H2" s="553"/>
      <c r="I2" s="587">
        <f>+Table19[[#This Row],[Quantity]]*Table19[[#This Row],[Unit Price]]</f>
        <v>0</v>
      </c>
    </row>
    <row r="3" spans="1:9" s="209" customFormat="1" ht="15.75" x14ac:dyDescent="0.25">
      <c r="A3" s="269" t="s">
        <v>18</v>
      </c>
      <c r="B3" s="71" t="s">
        <v>3110</v>
      </c>
      <c r="C3" s="625"/>
      <c r="D3" s="71"/>
      <c r="E3" s="71" t="s">
        <v>1920</v>
      </c>
      <c r="F3" s="625"/>
      <c r="G3" s="10">
        <v>1</v>
      </c>
      <c r="H3" s="553"/>
      <c r="I3" s="587">
        <f>+Table19[[#This Row],[Quantity]]*Table19[[#This Row],[Unit Price]]</f>
        <v>0</v>
      </c>
    </row>
    <row r="4" spans="1:9" s="209" customFormat="1" ht="15.75" x14ac:dyDescent="0.25">
      <c r="A4" s="269" t="s">
        <v>459</v>
      </c>
      <c r="B4" s="71" t="s">
        <v>1823</v>
      </c>
      <c r="C4" s="625"/>
      <c r="D4" s="71"/>
      <c r="E4" s="71" t="s">
        <v>1920</v>
      </c>
      <c r="F4" s="625"/>
      <c r="G4" s="10">
        <v>2</v>
      </c>
      <c r="H4" s="553"/>
      <c r="I4" s="587">
        <f>+Table19[[#This Row],[Quantity]]*Table19[[#This Row],[Unit Price]]</f>
        <v>0</v>
      </c>
    </row>
    <row r="5" spans="1:9" s="209" customFormat="1" ht="15.75" x14ac:dyDescent="0.25">
      <c r="A5" s="269" t="s">
        <v>2091</v>
      </c>
      <c r="B5" s="71" t="s">
        <v>2090</v>
      </c>
      <c r="C5" s="625"/>
      <c r="D5" s="71"/>
      <c r="E5" s="71" t="s">
        <v>1920</v>
      </c>
      <c r="F5" s="625"/>
      <c r="G5" s="10">
        <v>1</v>
      </c>
      <c r="H5" s="553"/>
      <c r="I5" s="587">
        <f>+Table19[[#This Row],[Quantity]]*Table19[[#This Row],[Unit Price]]</f>
        <v>0</v>
      </c>
    </row>
    <row r="6" spans="1:9" s="209" customFormat="1" ht="15.75" x14ac:dyDescent="0.25">
      <c r="A6" s="269" t="s">
        <v>2947</v>
      </c>
      <c r="B6" s="71" t="s">
        <v>748</v>
      </c>
      <c r="C6" s="625"/>
      <c r="D6" s="71"/>
      <c r="E6" s="71"/>
      <c r="F6" s="625"/>
      <c r="G6" s="10">
        <v>1</v>
      </c>
      <c r="H6" s="553"/>
      <c r="I6" s="587">
        <f>+Table19[[#This Row],[Quantity]]*Table19[[#This Row],[Unit Price]]</f>
        <v>0</v>
      </c>
    </row>
    <row r="7" spans="1:9" s="209" customFormat="1" ht="15.75" x14ac:dyDescent="0.25">
      <c r="A7" s="269" t="s">
        <v>1200</v>
      </c>
      <c r="B7" s="71" t="s">
        <v>100</v>
      </c>
      <c r="C7" s="625"/>
      <c r="D7" s="71"/>
      <c r="E7" s="71">
        <v>55719</v>
      </c>
      <c r="F7" s="625"/>
      <c r="G7" s="10">
        <v>1</v>
      </c>
      <c r="H7" s="553"/>
      <c r="I7" s="587">
        <f>+Table19[[#This Row],[Quantity]]*Table19[[#This Row],[Unit Price]]</f>
        <v>0</v>
      </c>
    </row>
    <row r="8" spans="1:9" s="209" customFormat="1" ht="15.75" x14ac:dyDescent="0.25">
      <c r="A8" s="269" t="s">
        <v>1094</v>
      </c>
      <c r="B8" s="71" t="s">
        <v>508</v>
      </c>
      <c r="C8" s="625"/>
      <c r="D8" s="71"/>
      <c r="E8" s="71" t="s">
        <v>1920</v>
      </c>
      <c r="F8" s="625"/>
      <c r="G8" s="10">
        <v>1</v>
      </c>
      <c r="H8" s="553"/>
      <c r="I8" s="587">
        <f>+Table19[[#This Row],[Quantity]]*Table19[[#This Row],[Unit Price]]</f>
        <v>0</v>
      </c>
    </row>
    <row r="9" spans="1:9" s="209" customFormat="1" ht="15.75" x14ac:dyDescent="0.25">
      <c r="A9" s="269" t="s">
        <v>1095</v>
      </c>
      <c r="B9" s="71" t="s">
        <v>46</v>
      </c>
      <c r="C9" s="625"/>
      <c r="D9" s="71"/>
      <c r="E9" s="71" t="s">
        <v>1920</v>
      </c>
      <c r="F9" s="625"/>
      <c r="G9" s="10">
        <v>1</v>
      </c>
      <c r="H9" s="553"/>
      <c r="I9" s="587">
        <f>+Table19[[#This Row],[Quantity]]*Table19[[#This Row],[Unit Price]]</f>
        <v>0</v>
      </c>
    </row>
    <row r="10" spans="1:9" x14ac:dyDescent="0.2">
      <c r="A10" s="269" t="s">
        <v>1537</v>
      </c>
      <c r="B10" s="71" t="s">
        <v>530</v>
      </c>
      <c r="C10" s="625"/>
      <c r="D10" s="71"/>
      <c r="E10" s="71" t="s">
        <v>1920</v>
      </c>
      <c r="F10" s="625"/>
      <c r="G10" s="10">
        <v>1</v>
      </c>
      <c r="H10" s="553"/>
      <c r="I10" s="587">
        <f>+Table19[[#This Row],[Quantity]]*Table19[[#This Row],[Unit Price]]</f>
        <v>0</v>
      </c>
    </row>
    <row r="11" spans="1:9" x14ac:dyDescent="0.2">
      <c r="A11" s="269" t="s">
        <v>1096</v>
      </c>
      <c r="B11" s="71" t="s">
        <v>511</v>
      </c>
      <c r="C11" s="625"/>
      <c r="D11" s="71"/>
      <c r="E11" s="71" t="s">
        <v>1920</v>
      </c>
      <c r="F11" s="625"/>
      <c r="G11" s="10">
        <v>1</v>
      </c>
      <c r="H11" s="553"/>
      <c r="I11" s="587">
        <f>+Table19[[#This Row],[Quantity]]*Table19[[#This Row],[Unit Price]]</f>
        <v>0</v>
      </c>
    </row>
    <row r="12" spans="1:9" x14ac:dyDescent="0.2">
      <c r="A12" s="269" t="s">
        <v>17</v>
      </c>
      <c r="B12" s="71" t="s">
        <v>407</v>
      </c>
      <c r="C12" s="625"/>
      <c r="D12" s="71"/>
      <c r="E12" s="71">
        <v>55719</v>
      </c>
      <c r="F12" s="625"/>
      <c r="G12" s="10">
        <v>1</v>
      </c>
      <c r="H12" s="553"/>
      <c r="I12" s="587">
        <f>+Table19[[#This Row],[Quantity]]*Table19[[#This Row],[Unit Price]]</f>
        <v>0</v>
      </c>
    </row>
    <row r="13" spans="1:9" x14ac:dyDescent="0.2">
      <c r="A13" s="269" t="s">
        <v>197</v>
      </c>
      <c r="B13" s="71" t="s">
        <v>645</v>
      </c>
      <c r="C13" s="625"/>
      <c r="D13" s="71"/>
      <c r="E13" s="71" t="s">
        <v>1920</v>
      </c>
      <c r="F13" s="625"/>
      <c r="G13" s="10">
        <v>1</v>
      </c>
      <c r="H13" s="553"/>
      <c r="I13" s="587">
        <f>+Table19[[#This Row],[Quantity]]*Table19[[#This Row],[Unit Price]]</f>
        <v>0</v>
      </c>
    </row>
    <row r="14" spans="1:9" x14ac:dyDescent="0.2">
      <c r="A14" s="269" t="s">
        <v>1637</v>
      </c>
      <c r="B14" s="71" t="s">
        <v>529</v>
      </c>
      <c r="C14" s="625"/>
      <c r="D14" s="71"/>
      <c r="E14" s="71" t="s">
        <v>1920</v>
      </c>
      <c r="F14" s="625"/>
      <c r="G14" s="10">
        <v>1</v>
      </c>
      <c r="H14" s="553"/>
      <c r="I14" s="587">
        <f>+Table19[[#This Row],[Quantity]]*Table19[[#This Row],[Unit Price]]</f>
        <v>0</v>
      </c>
    </row>
    <row r="15" spans="1:9" x14ac:dyDescent="0.2">
      <c r="A15" s="269" t="s">
        <v>1660</v>
      </c>
      <c r="B15" s="71" t="s">
        <v>51</v>
      </c>
      <c r="C15" s="625"/>
      <c r="D15" s="71"/>
      <c r="E15" s="71" t="s">
        <v>1920</v>
      </c>
      <c r="F15" s="625"/>
      <c r="G15" s="10">
        <v>2</v>
      </c>
      <c r="H15" s="553"/>
      <c r="I15" s="587">
        <f>+Table19[[#This Row],[Quantity]]*Table19[[#This Row],[Unit Price]]</f>
        <v>0</v>
      </c>
    </row>
    <row r="16" spans="1:9" x14ac:dyDescent="0.2">
      <c r="A16" s="269" t="s">
        <v>1048</v>
      </c>
      <c r="B16" s="71" t="s">
        <v>170</v>
      </c>
      <c r="C16" s="625"/>
      <c r="D16" s="71"/>
      <c r="E16" s="71" t="s">
        <v>1920</v>
      </c>
      <c r="F16" s="625"/>
      <c r="G16" s="10">
        <v>1</v>
      </c>
      <c r="H16" s="553"/>
      <c r="I16" s="587">
        <f>+Table19[[#This Row],[Quantity]]*Table19[[#This Row],[Unit Price]]</f>
        <v>0</v>
      </c>
    </row>
    <row r="17" spans="1:9" x14ac:dyDescent="0.2">
      <c r="A17" s="269" t="s">
        <v>1050</v>
      </c>
      <c r="B17" s="71" t="s">
        <v>404</v>
      </c>
      <c r="C17" s="625"/>
      <c r="D17" s="71"/>
      <c r="E17" s="71" t="s">
        <v>1920</v>
      </c>
      <c r="F17" s="625"/>
      <c r="G17" s="10">
        <v>1</v>
      </c>
      <c r="H17" s="553"/>
      <c r="I17" s="587">
        <f>+Table19[[#This Row],[Quantity]]*Table19[[#This Row],[Unit Price]]</f>
        <v>0</v>
      </c>
    </row>
    <row r="18" spans="1:9" x14ac:dyDescent="0.2">
      <c r="A18" s="269" t="s">
        <v>1193</v>
      </c>
      <c r="B18" s="71" t="s">
        <v>316</v>
      </c>
      <c r="C18" s="625"/>
      <c r="D18" s="71"/>
      <c r="E18" s="71" t="s">
        <v>1920</v>
      </c>
      <c r="F18" s="625"/>
      <c r="G18" s="10">
        <v>1</v>
      </c>
      <c r="H18" s="553"/>
      <c r="I18" s="587">
        <f>+Table19[[#This Row],[Quantity]]*Table19[[#This Row],[Unit Price]]</f>
        <v>0</v>
      </c>
    </row>
    <row r="19" spans="1:9" x14ac:dyDescent="0.2">
      <c r="A19" s="269" t="s">
        <v>1194</v>
      </c>
      <c r="B19" s="71" t="s">
        <v>314</v>
      </c>
      <c r="C19" s="625"/>
      <c r="D19" s="71"/>
      <c r="E19" s="71" t="s">
        <v>1920</v>
      </c>
      <c r="F19" s="625"/>
      <c r="G19" s="10">
        <v>1</v>
      </c>
      <c r="H19" s="553"/>
      <c r="I19" s="587">
        <f>+Table19[[#This Row],[Quantity]]*Table19[[#This Row],[Unit Price]]</f>
        <v>0</v>
      </c>
    </row>
    <row r="20" spans="1:9" x14ac:dyDescent="0.2">
      <c r="A20" s="269" t="s">
        <v>3243</v>
      </c>
      <c r="B20" s="71" t="s">
        <v>82</v>
      </c>
      <c r="C20" s="625"/>
      <c r="D20" s="71"/>
      <c r="E20" s="71" t="s">
        <v>1920</v>
      </c>
      <c r="F20" s="625"/>
      <c r="G20" s="10">
        <v>1</v>
      </c>
      <c r="H20" s="553"/>
      <c r="I20" s="587">
        <f>+Table19[[#This Row],[Quantity]]*Table19[[#This Row],[Unit Price]]</f>
        <v>0</v>
      </c>
    </row>
    <row r="21" spans="1:9" x14ac:dyDescent="0.2">
      <c r="A21" s="269" t="s">
        <v>1294</v>
      </c>
      <c r="B21" s="71" t="s">
        <v>518</v>
      </c>
      <c r="C21" s="625"/>
      <c r="D21" s="71"/>
      <c r="E21" s="71" t="s">
        <v>1920</v>
      </c>
      <c r="F21" s="625"/>
      <c r="G21" s="10">
        <v>2</v>
      </c>
      <c r="H21" s="553"/>
      <c r="I21" s="587">
        <f>+Table19[[#This Row],[Quantity]]*Table19[[#This Row],[Unit Price]]</f>
        <v>0</v>
      </c>
    </row>
    <row r="22" spans="1:9" x14ac:dyDescent="0.2">
      <c r="A22" s="269" t="s">
        <v>1052</v>
      </c>
      <c r="B22" s="71" t="s">
        <v>312</v>
      </c>
      <c r="C22" s="625"/>
      <c r="D22" s="71"/>
      <c r="E22" s="71" t="s">
        <v>1920</v>
      </c>
      <c r="F22" s="625"/>
      <c r="G22" s="10">
        <v>1</v>
      </c>
      <c r="H22" s="553"/>
      <c r="I22" s="587">
        <f>+Table19[[#This Row],[Quantity]]*Table19[[#This Row],[Unit Price]]</f>
        <v>0</v>
      </c>
    </row>
    <row r="23" spans="1:9" x14ac:dyDescent="0.2">
      <c r="A23" s="269" t="s">
        <v>1295</v>
      </c>
      <c r="B23" s="71" t="s">
        <v>52</v>
      </c>
      <c r="C23" s="625"/>
      <c r="D23" s="71"/>
      <c r="E23" s="71" t="s">
        <v>1920</v>
      </c>
      <c r="F23" s="625"/>
      <c r="G23" s="10">
        <v>1</v>
      </c>
      <c r="H23" s="553"/>
      <c r="I23" s="587">
        <f>+Table19[[#This Row],[Quantity]]*Table19[[#This Row],[Unit Price]]</f>
        <v>0</v>
      </c>
    </row>
    <row r="24" spans="1:9" x14ac:dyDescent="0.2">
      <c r="A24" s="269" t="s">
        <v>16</v>
      </c>
      <c r="B24" s="71" t="s">
        <v>476</v>
      </c>
      <c r="C24" s="625"/>
      <c r="D24" s="71"/>
      <c r="E24" s="71" t="s">
        <v>1920</v>
      </c>
      <c r="F24" s="625"/>
      <c r="G24" s="10">
        <v>3</v>
      </c>
      <c r="H24" s="553"/>
      <c r="I24" s="587">
        <f>+Table19[[#This Row],[Quantity]]*Table19[[#This Row],[Unit Price]]</f>
        <v>0</v>
      </c>
    </row>
    <row r="25" spans="1:9" x14ac:dyDescent="0.2">
      <c r="A25" s="269" t="s">
        <v>1192</v>
      </c>
      <c r="B25" s="71" t="s">
        <v>94</v>
      </c>
      <c r="C25" s="625"/>
      <c r="D25" s="71"/>
      <c r="E25" s="71" t="s">
        <v>1920</v>
      </c>
      <c r="F25" s="625"/>
      <c r="G25" s="10">
        <v>2</v>
      </c>
      <c r="H25" s="553"/>
      <c r="I25" s="587">
        <f>+Table19[[#This Row],[Quantity]]*Table19[[#This Row],[Unit Price]]</f>
        <v>0</v>
      </c>
    </row>
    <row r="26" spans="1:9" x14ac:dyDescent="0.2">
      <c r="A26" s="269" t="s">
        <v>1297</v>
      </c>
      <c r="B26" s="71" t="s">
        <v>89</v>
      </c>
      <c r="C26" s="625"/>
      <c r="D26" s="71"/>
      <c r="E26" s="71" t="s">
        <v>1920</v>
      </c>
      <c r="F26" s="625"/>
      <c r="G26" s="10">
        <v>1</v>
      </c>
      <c r="H26" s="553"/>
      <c r="I26" s="587">
        <f>+Table19[[#This Row],[Quantity]]*Table19[[#This Row],[Unit Price]]</f>
        <v>0</v>
      </c>
    </row>
    <row r="27" spans="1:9" x14ac:dyDescent="0.2">
      <c r="A27" s="269" t="s">
        <v>1260</v>
      </c>
      <c r="B27" s="71" t="s">
        <v>520</v>
      </c>
      <c r="C27" s="625"/>
      <c r="D27" s="71"/>
      <c r="E27" s="71" t="s">
        <v>1920</v>
      </c>
      <c r="F27" s="625"/>
      <c r="G27" s="10">
        <v>1</v>
      </c>
      <c r="H27" s="553"/>
      <c r="I27" s="587">
        <f>+Table19[[#This Row],[Quantity]]*Table19[[#This Row],[Unit Price]]</f>
        <v>0</v>
      </c>
    </row>
    <row r="28" spans="1:9" x14ac:dyDescent="0.2">
      <c r="A28" s="269" t="s">
        <v>1300</v>
      </c>
      <c r="B28" s="71" t="s">
        <v>609</v>
      </c>
      <c r="C28" s="625"/>
      <c r="D28" s="71"/>
      <c r="E28" s="71" t="s">
        <v>1920</v>
      </c>
      <c r="F28" s="625"/>
      <c r="G28" s="10">
        <v>1</v>
      </c>
      <c r="H28" s="553"/>
      <c r="I28" s="587">
        <f>+Table19[[#This Row],[Quantity]]*Table19[[#This Row],[Unit Price]]</f>
        <v>0</v>
      </c>
    </row>
    <row r="29" spans="1:9" x14ac:dyDescent="0.2">
      <c r="A29" s="269" t="s">
        <v>1301</v>
      </c>
      <c r="B29" s="71" t="s">
        <v>829</v>
      </c>
      <c r="C29" s="625"/>
      <c r="D29" s="71"/>
      <c r="E29" s="71" t="s">
        <v>1920</v>
      </c>
      <c r="F29" s="625"/>
      <c r="G29" s="10">
        <v>1</v>
      </c>
      <c r="H29" s="553"/>
      <c r="I29" s="587">
        <f>+Table19[[#This Row],[Quantity]]*Table19[[#This Row],[Unit Price]]</f>
        <v>0</v>
      </c>
    </row>
    <row r="30" spans="1:9" x14ac:dyDescent="0.2">
      <c r="A30" s="269" t="s">
        <v>1304</v>
      </c>
      <c r="B30" s="71" t="s">
        <v>608</v>
      </c>
      <c r="C30" s="625"/>
      <c r="D30" s="71"/>
      <c r="E30" s="71" t="s">
        <v>1920</v>
      </c>
      <c r="F30" s="625"/>
      <c r="G30" s="10">
        <v>1</v>
      </c>
      <c r="H30" s="553"/>
      <c r="I30" s="587">
        <f>+Table19[[#This Row],[Quantity]]*Table19[[#This Row],[Unit Price]]</f>
        <v>0</v>
      </c>
    </row>
    <row r="31" spans="1:9" x14ac:dyDescent="0.2">
      <c r="A31" s="269" t="s">
        <v>1059</v>
      </c>
      <c r="B31" s="71" t="s">
        <v>607</v>
      </c>
      <c r="C31" s="625"/>
      <c r="D31" s="71"/>
      <c r="E31" s="71" t="s">
        <v>1920</v>
      </c>
      <c r="F31" s="625"/>
      <c r="G31" s="10">
        <v>1</v>
      </c>
      <c r="H31" s="553"/>
      <c r="I31" s="587">
        <f>+Table19[[#This Row],[Quantity]]*Table19[[#This Row],[Unit Price]]</f>
        <v>0</v>
      </c>
    </row>
    <row r="32" spans="1:9" x14ac:dyDescent="0.2">
      <c r="A32" s="269" t="s">
        <v>1306</v>
      </c>
      <c r="B32" s="71" t="s">
        <v>53</v>
      </c>
      <c r="C32" s="625"/>
      <c r="D32" s="71"/>
      <c r="E32" s="71" t="s">
        <v>1920</v>
      </c>
      <c r="F32" s="625"/>
      <c r="G32" s="10">
        <v>2</v>
      </c>
      <c r="H32" s="553"/>
      <c r="I32" s="587">
        <f>+Table19[[#This Row],[Quantity]]*Table19[[#This Row],[Unit Price]]</f>
        <v>0</v>
      </c>
    </row>
    <row r="33" spans="1:9" x14ac:dyDescent="0.2">
      <c r="A33" s="269" t="s">
        <v>1310</v>
      </c>
      <c r="B33" s="71" t="s">
        <v>542</v>
      </c>
      <c r="C33" s="625"/>
      <c r="D33" s="71"/>
      <c r="E33" s="71">
        <v>55719</v>
      </c>
      <c r="F33" s="625"/>
      <c r="G33" s="10">
        <v>2</v>
      </c>
      <c r="H33" s="553"/>
      <c r="I33" s="587">
        <f>+Table19[[#This Row],[Quantity]]*Table19[[#This Row],[Unit Price]]</f>
        <v>0</v>
      </c>
    </row>
    <row r="34" spans="1:9" x14ac:dyDescent="0.2">
      <c r="A34" s="269" t="s">
        <v>1139</v>
      </c>
      <c r="B34" s="71" t="s">
        <v>45</v>
      </c>
      <c r="C34" s="625"/>
      <c r="D34" s="71"/>
      <c r="E34" s="71" t="s">
        <v>1920</v>
      </c>
      <c r="F34" s="625"/>
      <c r="G34" s="10">
        <v>1</v>
      </c>
      <c r="H34" s="553"/>
      <c r="I34" s="587">
        <f>+Table19[[#This Row],[Quantity]]*Table19[[#This Row],[Unit Price]]</f>
        <v>0</v>
      </c>
    </row>
    <row r="35" spans="1:9" x14ac:dyDescent="0.2">
      <c r="A35" s="269" t="s">
        <v>1026</v>
      </c>
      <c r="B35" s="71" t="s">
        <v>99</v>
      </c>
      <c r="C35" s="625"/>
      <c r="D35" s="71"/>
      <c r="E35" s="71" t="s">
        <v>1920</v>
      </c>
      <c r="F35" s="625"/>
      <c r="G35" s="10">
        <v>1</v>
      </c>
      <c r="H35" s="553"/>
      <c r="I35" s="587">
        <f>+Table19[[#This Row],[Quantity]]*Table19[[#This Row],[Unit Price]]</f>
        <v>0</v>
      </c>
    </row>
    <row r="36" spans="1:9" x14ac:dyDescent="0.2">
      <c r="A36" s="269" t="s">
        <v>35</v>
      </c>
      <c r="B36" s="71" t="s">
        <v>1827</v>
      </c>
      <c r="C36" s="625"/>
      <c r="D36" s="71"/>
      <c r="E36" s="71" t="s">
        <v>1920</v>
      </c>
      <c r="F36" s="625"/>
      <c r="G36" s="10">
        <v>1</v>
      </c>
      <c r="H36" s="553"/>
      <c r="I36" s="587">
        <f>+Table19[[#This Row],[Quantity]]*Table19[[#This Row],[Unit Price]]</f>
        <v>0</v>
      </c>
    </row>
    <row r="37" spans="1:9" x14ac:dyDescent="0.2">
      <c r="A37" s="269" t="s">
        <v>36</v>
      </c>
      <c r="B37" s="71" t="s">
        <v>1828</v>
      </c>
      <c r="C37" s="625"/>
      <c r="D37" s="71"/>
      <c r="E37" s="71" t="s">
        <v>1920</v>
      </c>
      <c r="F37" s="625"/>
      <c r="G37" s="10">
        <v>1</v>
      </c>
      <c r="H37" s="553"/>
      <c r="I37" s="587">
        <f>+Table19[[#This Row],[Quantity]]*Table19[[#This Row],[Unit Price]]</f>
        <v>0</v>
      </c>
    </row>
    <row r="38" spans="1:9" x14ac:dyDescent="0.2">
      <c r="A38" s="269" t="s">
        <v>34</v>
      </c>
      <c r="B38" s="71" t="s">
        <v>1826</v>
      </c>
      <c r="C38" s="625"/>
      <c r="D38" s="71"/>
      <c r="E38" s="71" t="s">
        <v>1920</v>
      </c>
      <c r="F38" s="625"/>
      <c r="G38" s="10">
        <v>1</v>
      </c>
      <c r="H38" s="553"/>
      <c r="I38" s="587">
        <f>+Table19[[#This Row],[Quantity]]*Table19[[#This Row],[Unit Price]]</f>
        <v>0</v>
      </c>
    </row>
    <row r="39" spans="1:9" x14ac:dyDescent="0.2">
      <c r="A39" s="269" t="s">
        <v>1365</v>
      </c>
      <c r="B39" s="71" t="s">
        <v>610</v>
      </c>
      <c r="C39" s="625"/>
      <c r="D39" s="71"/>
      <c r="E39" s="71" t="s">
        <v>1920</v>
      </c>
      <c r="F39" s="625"/>
      <c r="G39" s="10">
        <v>1</v>
      </c>
      <c r="H39" s="553"/>
      <c r="I39" s="587">
        <f>+Table19[[#This Row],[Quantity]]*Table19[[#This Row],[Unit Price]]</f>
        <v>0</v>
      </c>
    </row>
    <row r="40" spans="1:9" x14ac:dyDescent="0.2">
      <c r="A40" s="269" t="s">
        <v>1092</v>
      </c>
      <c r="B40" s="71" t="s">
        <v>406</v>
      </c>
      <c r="C40" s="625"/>
      <c r="D40" s="71"/>
      <c r="E40" s="71" t="s">
        <v>1920</v>
      </c>
      <c r="F40" s="625"/>
      <c r="G40" s="10">
        <v>2</v>
      </c>
      <c r="H40" s="553"/>
      <c r="I40" s="587">
        <f>+Table19[[#This Row],[Quantity]]*Table19[[#This Row],[Unit Price]]</f>
        <v>0</v>
      </c>
    </row>
    <row r="41" spans="1:9" x14ac:dyDescent="0.2">
      <c r="A41" s="269" t="s">
        <v>1044</v>
      </c>
      <c r="B41" s="71" t="s">
        <v>272</v>
      </c>
      <c r="C41" s="625"/>
      <c r="D41" s="71"/>
      <c r="E41" s="71" t="s">
        <v>1920</v>
      </c>
      <c r="F41" s="625"/>
      <c r="G41" s="10">
        <v>2</v>
      </c>
      <c r="H41" s="553"/>
      <c r="I41" s="587">
        <f>+Table19[[#This Row],[Quantity]]*Table19[[#This Row],[Unit Price]]</f>
        <v>0</v>
      </c>
    </row>
    <row r="42" spans="1:9" x14ac:dyDescent="0.2">
      <c r="A42" s="269" t="s">
        <v>1045</v>
      </c>
      <c r="B42" s="71" t="s">
        <v>273</v>
      </c>
      <c r="C42" s="625"/>
      <c r="D42" s="71"/>
      <c r="E42" s="71" t="s">
        <v>1920</v>
      </c>
      <c r="F42" s="625"/>
      <c r="G42" s="10">
        <v>1</v>
      </c>
      <c r="H42" s="553"/>
      <c r="I42" s="587">
        <f>+Table19[[#This Row],[Quantity]]*Table19[[#This Row],[Unit Price]]</f>
        <v>0</v>
      </c>
    </row>
    <row r="43" spans="1:9" x14ac:dyDescent="0.2">
      <c r="A43" s="269" t="s">
        <v>39</v>
      </c>
      <c r="B43" s="71" t="s">
        <v>245</v>
      </c>
      <c r="C43" s="625"/>
      <c r="D43" s="71"/>
      <c r="E43" s="71" t="s">
        <v>1920</v>
      </c>
      <c r="F43" s="625"/>
      <c r="G43" s="10">
        <v>1</v>
      </c>
      <c r="H43" s="553"/>
      <c r="I43" s="587">
        <f>+Table19[[#This Row],[Quantity]]*Table19[[#This Row],[Unit Price]]</f>
        <v>0</v>
      </c>
    </row>
    <row r="44" spans="1:9" x14ac:dyDescent="0.2">
      <c r="A44" s="269" t="s">
        <v>1037</v>
      </c>
      <c r="B44" s="71" t="s">
        <v>470</v>
      </c>
      <c r="C44" s="625"/>
      <c r="D44" s="71"/>
      <c r="E44" s="71" t="s">
        <v>1920</v>
      </c>
      <c r="F44" s="625"/>
      <c r="G44" s="10">
        <v>1</v>
      </c>
      <c r="H44" s="553"/>
      <c r="I44" s="587">
        <f>+Table19[[#This Row],[Quantity]]*Table19[[#This Row],[Unit Price]]</f>
        <v>0</v>
      </c>
    </row>
    <row r="45" spans="1:9" x14ac:dyDescent="0.2">
      <c r="A45" s="269" t="s">
        <v>6</v>
      </c>
      <c r="B45" s="71" t="s">
        <v>91</v>
      </c>
      <c r="C45" s="625"/>
      <c r="D45" s="71"/>
      <c r="E45" s="71" t="s">
        <v>1920</v>
      </c>
      <c r="F45" s="625"/>
      <c r="G45" s="10">
        <v>2</v>
      </c>
      <c r="H45" s="553"/>
      <c r="I45" s="587">
        <f>+Table19[[#This Row],[Quantity]]*Table19[[#This Row],[Unit Price]]</f>
        <v>0</v>
      </c>
    </row>
    <row r="46" spans="1:9" x14ac:dyDescent="0.2">
      <c r="A46" s="269" t="s">
        <v>202</v>
      </c>
      <c r="B46" s="71" t="s">
        <v>260</v>
      </c>
      <c r="C46" s="625"/>
      <c r="D46" s="71"/>
      <c r="E46" s="71" t="s">
        <v>1920</v>
      </c>
      <c r="F46" s="625"/>
      <c r="G46" s="10">
        <v>1</v>
      </c>
      <c r="H46" s="553"/>
      <c r="I46" s="587">
        <f>+Table19[[#This Row],[Quantity]]*Table19[[#This Row],[Unit Price]]</f>
        <v>0</v>
      </c>
    </row>
    <row r="47" spans="1:9" x14ac:dyDescent="0.2">
      <c r="A47" s="269" t="s">
        <v>44</v>
      </c>
      <c r="B47" s="71" t="s">
        <v>896</v>
      </c>
      <c r="C47" s="625"/>
      <c r="D47" s="71"/>
      <c r="E47" s="71" t="s">
        <v>1920</v>
      </c>
      <c r="F47" s="625"/>
      <c r="G47" s="10">
        <v>1</v>
      </c>
      <c r="H47" s="553"/>
      <c r="I47" s="587">
        <f>+Table19[[#This Row],[Quantity]]*Table19[[#This Row],[Unit Price]]</f>
        <v>0</v>
      </c>
    </row>
    <row r="48" spans="1:9" x14ac:dyDescent="0.2">
      <c r="A48" s="269" t="s">
        <v>1259</v>
      </c>
      <c r="B48" s="71" t="s">
        <v>615</v>
      </c>
      <c r="C48" s="625"/>
      <c r="D48" s="71"/>
      <c r="E48" s="71" t="s">
        <v>1920</v>
      </c>
      <c r="F48" s="625"/>
      <c r="G48" s="10">
        <v>3</v>
      </c>
      <c r="H48" s="553"/>
      <c r="I48" s="587">
        <f>+Table19[[#This Row],[Quantity]]*Table19[[#This Row],[Unit Price]]</f>
        <v>0</v>
      </c>
    </row>
    <row r="49" spans="1:9" x14ac:dyDescent="0.2">
      <c r="A49" s="269" t="s">
        <v>3</v>
      </c>
      <c r="B49" s="71" t="s">
        <v>465</v>
      </c>
      <c r="C49" s="625"/>
      <c r="D49" s="71"/>
      <c r="E49" s="71" t="s">
        <v>1920</v>
      </c>
      <c r="F49" s="625"/>
      <c r="G49" s="10">
        <v>1</v>
      </c>
      <c r="H49" s="553"/>
      <c r="I49" s="587">
        <f>+Table19[[#This Row],[Quantity]]*Table19[[#This Row],[Unit Price]]</f>
        <v>0</v>
      </c>
    </row>
    <row r="50" spans="1:9" x14ac:dyDescent="0.2">
      <c r="A50" s="269" t="s">
        <v>1209</v>
      </c>
      <c r="B50" s="71" t="s">
        <v>473</v>
      </c>
      <c r="C50" s="625"/>
      <c r="D50" s="71"/>
      <c r="E50" s="71" t="s">
        <v>1920</v>
      </c>
      <c r="F50" s="625"/>
      <c r="G50" s="10">
        <v>1</v>
      </c>
      <c r="H50" s="553"/>
      <c r="I50" s="587">
        <f>+Table19[[#This Row],[Quantity]]*Table19[[#This Row],[Unit Price]]</f>
        <v>0</v>
      </c>
    </row>
    <row r="51" spans="1:9" x14ac:dyDescent="0.2">
      <c r="A51" s="269" t="s">
        <v>3353</v>
      </c>
      <c r="B51" s="71" t="s">
        <v>2754</v>
      </c>
      <c r="C51" s="625"/>
      <c r="D51" s="71"/>
      <c r="E51" s="71" t="s">
        <v>1920</v>
      </c>
      <c r="F51" s="625"/>
      <c r="G51" s="10">
        <v>1</v>
      </c>
      <c r="H51" s="553"/>
      <c r="I51" s="587">
        <f>+Table19[[#This Row],[Quantity]]*Table19[[#This Row],[Unit Price]]</f>
        <v>0</v>
      </c>
    </row>
    <row r="52" spans="1:9" x14ac:dyDescent="0.2">
      <c r="A52" s="269" t="s">
        <v>3352</v>
      </c>
      <c r="B52" s="26" t="s">
        <v>2755</v>
      </c>
      <c r="C52" s="625"/>
      <c r="D52" s="71"/>
      <c r="E52" s="71" t="s">
        <v>1920</v>
      </c>
      <c r="F52" s="625"/>
      <c r="G52" s="10">
        <v>1</v>
      </c>
      <c r="H52" s="684"/>
      <c r="I52" s="587">
        <f>+Table19[[#This Row],[Quantity]]*Table19[[#This Row],[Unit Price]]</f>
        <v>0</v>
      </c>
    </row>
    <row r="53" spans="1:9" x14ac:dyDescent="0.2">
      <c r="A53" s="269" t="s">
        <v>861</v>
      </c>
      <c r="B53" s="71" t="s">
        <v>506</v>
      </c>
      <c r="C53" s="625"/>
      <c r="D53" s="71"/>
      <c r="E53" s="71" t="s">
        <v>1920</v>
      </c>
      <c r="F53" s="625"/>
      <c r="G53" s="10">
        <v>1</v>
      </c>
      <c r="H53" s="553"/>
      <c r="I53" s="587">
        <f>+Table19[[#This Row],[Quantity]]*Table19[[#This Row],[Unit Price]]</f>
        <v>0</v>
      </c>
    </row>
    <row r="54" spans="1:9" x14ac:dyDescent="0.2">
      <c r="A54" s="269" t="s">
        <v>1392</v>
      </c>
      <c r="B54" s="71" t="s">
        <v>507</v>
      </c>
      <c r="C54" s="625"/>
      <c r="D54" s="71"/>
      <c r="E54" s="71" t="s">
        <v>1920</v>
      </c>
      <c r="F54" s="625"/>
      <c r="G54" s="10">
        <v>1</v>
      </c>
      <c r="H54" s="553"/>
      <c r="I54" s="587">
        <f>+Table19[[#This Row],[Quantity]]*Table19[[#This Row],[Unit Price]]</f>
        <v>0</v>
      </c>
    </row>
    <row r="55" spans="1:9" x14ac:dyDescent="0.2">
      <c r="A55" s="269" t="s">
        <v>49</v>
      </c>
      <c r="B55" s="71" t="s">
        <v>1983</v>
      </c>
      <c r="C55" s="625"/>
      <c r="D55" s="71"/>
      <c r="E55" s="71" t="s">
        <v>1920</v>
      </c>
      <c r="F55" s="625"/>
      <c r="G55" s="10">
        <v>1</v>
      </c>
      <c r="H55" s="553"/>
      <c r="I55" s="587">
        <f>+Table19[[#This Row],[Quantity]]*Table19[[#This Row],[Unit Price]]</f>
        <v>0</v>
      </c>
    </row>
    <row r="56" spans="1:9" x14ac:dyDescent="0.2">
      <c r="A56" s="269" t="s">
        <v>180</v>
      </c>
      <c r="B56" s="71" t="s">
        <v>479</v>
      </c>
      <c r="C56" s="625"/>
      <c r="D56" s="71"/>
      <c r="E56" s="71" t="s">
        <v>1920</v>
      </c>
      <c r="F56" s="625"/>
      <c r="G56" s="10">
        <v>1</v>
      </c>
      <c r="H56" s="553"/>
      <c r="I56" s="587">
        <f>+Table19[[#This Row],[Quantity]]*Table19[[#This Row],[Unit Price]]</f>
        <v>0</v>
      </c>
    </row>
    <row r="57" spans="1:9" x14ac:dyDescent="0.2">
      <c r="A57" s="269" t="s">
        <v>1531</v>
      </c>
      <c r="B57" s="71" t="s">
        <v>517</v>
      </c>
      <c r="C57" s="625"/>
      <c r="D57" s="71"/>
      <c r="E57" s="71" t="s">
        <v>1920</v>
      </c>
      <c r="F57" s="625"/>
      <c r="G57" s="10">
        <v>1</v>
      </c>
      <c r="H57" s="553"/>
      <c r="I57" s="587">
        <f>+Table19[[#This Row],[Quantity]]*Table19[[#This Row],[Unit Price]]</f>
        <v>0</v>
      </c>
    </row>
    <row r="58" spans="1:9" x14ac:dyDescent="0.2">
      <c r="A58" s="269" t="s">
        <v>56</v>
      </c>
      <c r="B58" s="71" t="s">
        <v>525</v>
      </c>
      <c r="C58" s="625"/>
      <c r="D58" s="71"/>
      <c r="E58" s="71" t="s">
        <v>1920</v>
      </c>
      <c r="F58" s="625"/>
      <c r="G58" s="10">
        <v>1</v>
      </c>
      <c r="H58" s="553"/>
      <c r="I58" s="587">
        <f>+Table19[[#This Row],[Quantity]]*Table19[[#This Row],[Unit Price]]</f>
        <v>0</v>
      </c>
    </row>
    <row r="59" spans="1:9" x14ac:dyDescent="0.2">
      <c r="A59" s="269" t="s">
        <v>54</v>
      </c>
      <c r="B59" s="71" t="s">
        <v>3073</v>
      </c>
      <c r="C59" s="625"/>
      <c r="D59" s="71"/>
      <c r="E59" s="71" t="s">
        <v>1920</v>
      </c>
      <c r="F59" s="625"/>
      <c r="G59" s="10">
        <v>1</v>
      </c>
      <c r="H59" s="553"/>
      <c r="I59" s="587">
        <f>+Table19[[#This Row],[Quantity]]*Table19[[#This Row],[Unit Price]]</f>
        <v>0</v>
      </c>
    </row>
    <row r="60" spans="1:9" x14ac:dyDescent="0.2">
      <c r="A60" s="269" t="s">
        <v>1394</v>
      </c>
      <c r="B60" s="71" t="s">
        <v>240</v>
      </c>
      <c r="C60" s="625"/>
      <c r="D60" s="71"/>
      <c r="E60" s="71" t="s">
        <v>1920</v>
      </c>
      <c r="F60" s="625"/>
      <c r="G60" s="10">
        <v>1</v>
      </c>
      <c r="H60" s="553"/>
      <c r="I60" s="587">
        <f>+Table19[[#This Row],[Quantity]]*Table19[[#This Row],[Unit Price]]</f>
        <v>0</v>
      </c>
    </row>
    <row r="61" spans="1:9" x14ac:dyDescent="0.2">
      <c r="A61" s="269" t="s">
        <v>55</v>
      </c>
      <c r="B61" s="71" t="s">
        <v>524</v>
      </c>
      <c r="C61" s="625"/>
      <c r="D61" s="71"/>
      <c r="E61" s="71" t="s">
        <v>1920</v>
      </c>
      <c r="F61" s="625"/>
      <c r="G61" s="10">
        <v>1</v>
      </c>
      <c r="H61" s="553"/>
      <c r="I61" s="587">
        <f>+Table19[[#This Row],[Quantity]]*Table19[[#This Row],[Unit Price]]</f>
        <v>0</v>
      </c>
    </row>
    <row r="62" spans="1:9" x14ac:dyDescent="0.2">
      <c r="A62" s="269" t="s">
        <v>1397</v>
      </c>
      <c r="B62" s="71" t="s">
        <v>522</v>
      </c>
      <c r="C62" s="625"/>
      <c r="D62" s="71"/>
      <c r="E62" s="71" t="s">
        <v>1920</v>
      </c>
      <c r="F62" s="625"/>
      <c r="G62" s="10">
        <v>1</v>
      </c>
      <c r="H62" s="553"/>
      <c r="I62" s="587">
        <f>+Table19[[#This Row],[Quantity]]*Table19[[#This Row],[Unit Price]]</f>
        <v>0</v>
      </c>
    </row>
    <row r="63" spans="1:9" x14ac:dyDescent="0.2">
      <c r="A63" s="269" t="s">
        <v>1399</v>
      </c>
      <c r="B63" s="71" t="s">
        <v>521</v>
      </c>
      <c r="C63" s="625"/>
      <c r="D63" s="71"/>
      <c r="E63" s="71" t="s">
        <v>1920</v>
      </c>
      <c r="F63" s="625"/>
      <c r="G63" s="10">
        <v>1</v>
      </c>
      <c r="H63" s="553"/>
      <c r="I63" s="587">
        <f>+Table19[[#This Row],[Quantity]]*Table19[[#This Row],[Unit Price]]</f>
        <v>0</v>
      </c>
    </row>
    <row r="64" spans="1:9" x14ac:dyDescent="0.2">
      <c r="A64" s="269" t="s">
        <v>3257</v>
      </c>
      <c r="B64" s="71" t="s">
        <v>888</v>
      </c>
      <c r="C64" s="625"/>
      <c r="D64" s="71"/>
      <c r="E64" s="71" t="s">
        <v>1920</v>
      </c>
      <c r="F64" s="625"/>
      <c r="G64" s="10">
        <v>2</v>
      </c>
      <c r="H64" s="553"/>
      <c r="I64" s="587">
        <f>+Table19[[#This Row],[Quantity]]*Table19[[#This Row],[Unit Price]]</f>
        <v>0</v>
      </c>
    </row>
    <row r="65" spans="1:9" x14ac:dyDescent="0.2">
      <c r="A65" s="269" t="s">
        <v>66</v>
      </c>
      <c r="B65" s="71" t="s">
        <v>1836</v>
      </c>
      <c r="C65" s="625"/>
      <c r="D65" s="71"/>
      <c r="E65" s="71" t="s">
        <v>1947</v>
      </c>
      <c r="F65" s="625"/>
      <c r="G65" s="10">
        <v>1</v>
      </c>
      <c r="H65" s="553"/>
      <c r="I65" s="587">
        <f>+Table19[[#This Row],[Quantity]]*Table19[[#This Row],[Unit Price]]</f>
        <v>0</v>
      </c>
    </row>
    <row r="66" spans="1:9" x14ac:dyDescent="0.2">
      <c r="A66" s="269" t="s">
        <v>1493</v>
      </c>
      <c r="B66" s="71" t="s">
        <v>526</v>
      </c>
      <c r="C66" s="625"/>
      <c r="D66" s="71" t="s">
        <v>1888</v>
      </c>
      <c r="E66" s="71" t="s">
        <v>1928</v>
      </c>
      <c r="F66" s="625"/>
      <c r="G66" s="10">
        <v>1</v>
      </c>
      <c r="H66" s="553"/>
      <c r="I66" s="587">
        <f>+Table19[[#This Row],[Quantity]]*Table19[[#This Row],[Unit Price]]</f>
        <v>0</v>
      </c>
    </row>
    <row r="67" spans="1:9" x14ac:dyDescent="0.2">
      <c r="A67" s="269" t="s">
        <v>1071</v>
      </c>
      <c r="B67" s="71">
        <v>80038</v>
      </c>
      <c r="C67" s="625"/>
      <c r="D67" s="71"/>
      <c r="E67" s="71">
        <v>25795</v>
      </c>
      <c r="F67" s="625"/>
      <c r="G67" s="10">
        <v>1</v>
      </c>
      <c r="H67" s="553"/>
      <c r="I67" s="587">
        <f>+Table19[[#This Row],[Quantity]]*Table19[[#This Row],[Unit Price]]</f>
        <v>0</v>
      </c>
    </row>
    <row r="68" spans="1:9" x14ac:dyDescent="0.2">
      <c r="A68" s="269" t="s">
        <v>1072</v>
      </c>
      <c r="B68" s="71">
        <v>80039</v>
      </c>
      <c r="C68" s="625"/>
      <c r="D68" s="71"/>
      <c r="E68" s="71">
        <v>25795</v>
      </c>
      <c r="F68" s="625"/>
      <c r="G68" s="10">
        <v>1</v>
      </c>
      <c r="H68" s="553"/>
      <c r="I68" s="587">
        <f>+Table19[[#This Row],[Quantity]]*Table19[[#This Row],[Unit Price]]</f>
        <v>0</v>
      </c>
    </row>
    <row r="69" spans="1:9" x14ac:dyDescent="0.2">
      <c r="A69" s="269" t="s">
        <v>2880</v>
      </c>
      <c r="B69" s="71">
        <v>80044</v>
      </c>
      <c r="C69" s="625"/>
      <c r="D69" s="71"/>
      <c r="E69" s="71">
        <v>25795</v>
      </c>
      <c r="F69" s="625"/>
      <c r="G69" s="10">
        <v>1</v>
      </c>
      <c r="H69" s="553"/>
      <c r="I69" s="587">
        <f>+Table19[[#This Row],[Quantity]]*Table19[[#This Row],[Unit Price]]</f>
        <v>0</v>
      </c>
    </row>
    <row r="70" spans="1:9" x14ac:dyDescent="0.2">
      <c r="A70" s="269" t="s">
        <v>3133</v>
      </c>
      <c r="B70" s="71" t="s">
        <v>867</v>
      </c>
      <c r="C70" s="625"/>
      <c r="D70" s="71"/>
      <c r="E70" s="71" t="s">
        <v>1969</v>
      </c>
      <c r="F70" s="625"/>
      <c r="G70" s="10">
        <v>1</v>
      </c>
      <c r="H70" s="553"/>
      <c r="I70" s="587">
        <f>+Table19[[#This Row],[Quantity]]*Table19[[#This Row],[Unit Price]]</f>
        <v>0</v>
      </c>
    </row>
    <row r="71" spans="1:9" x14ac:dyDescent="0.2">
      <c r="A71" s="269" t="s">
        <v>3250</v>
      </c>
      <c r="B71" s="71" t="s">
        <v>318</v>
      </c>
      <c r="C71" s="625"/>
      <c r="D71" s="71"/>
      <c r="E71" s="71" t="s">
        <v>1920</v>
      </c>
      <c r="F71" s="625"/>
      <c r="G71" s="10">
        <v>1</v>
      </c>
      <c r="H71" s="553"/>
      <c r="I71" s="587">
        <f>+Table19[[#This Row],[Quantity]]*Table19[[#This Row],[Unit Price]]</f>
        <v>0</v>
      </c>
    </row>
    <row r="72" spans="1:9" x14ac:dyDescent="0.2">
      <c r="A72" s="269" t="s">
        <v>167</v>
      </c>
      <c r="B72" s="71" t="s">
        <v>323</v>
      </c>
      <c r="C72" s="625"/>
      <c r="D72" s="71"/>
      <c r="E72" s="71" t="s">
        <v>1920</v>
      </c>
      <c r="F72" s="625"/>
      <c r="G72" s="10">
        <v>1</v>
      </c>
      <c r="H72" s="553"/>
      <c r="I72" s="587">
        <f>+Table19[[#This Row],[Quantity]]*Table19[[#This Row],[Unit Price]]</f>
        <v>0</v>
      </c>
    </row>
    <row r="73" spans="1:9" x14ac:dyDescent="0.2">
      <c r="A73" s="269" t="s">
        <v>2897</v>
      </c>
      <c r="B73" s="71" t="s">
        <v>324</v>
      </c>
      <c r="C73" s="625"/>
      <c r="D73" s="71"/>
      <c r="E73" s="71" t="s">
        <v>1920</v>
      </c>
      <c r="F73" s="625"/>
      <c r="G73" s="10">
        <v>1</v>
      </c>
      <c r="H73" s="553"/>
      <c r="I73" s="587">
        <f>+Table19[[#This Row],[Quantity]]*Table19[[#This Row],[Unit Price]]</f>
        <v>0</v>
      </c>
    </row>
    <row r="74" spans="1:9" x14ac:dyDescent="0.2">
      <c r="A74" s="269" t="s">
        <v>1069</v>
      </c>
      <c r="B74" s="71" t="s">
        <v>496</v>
      </c>
      <c r="C74" s="625"/>
      <c r="D74" s="71"/>
      <c r="E74" s="71" t="s">
        <v>1920</v>
      </c>
      <c r="F74" s="625"/>
      <c r="G74" s="10">
        <v>1</v>
      </c>
      <c r="H74" s="553"/>
      <c r="I74" s="587">
        <f>+Table19[[#This Row],[Quantity]]*Table19[[#This Row],[Unit Price]]</f>
        <v>0</v>
      </c>
    </row>
    <row r="75" spans="1:9" x14ac:dyDescent="0.2">
      <c r="A75" s="269" t="s">
        <v>1070</v>
      </c>
      <c r="B75" s="71" t="s">
        <v>500</v>
      </c>
      <c r="C75" s="625"/>
      <c r="D75" s="71"/>
      <c r="E75" s="71" t="s">
        <v>1920</v>
      </c>
      <c r="F75" s="625"/>
      <c r="G75" s="10">
        <v>1</v>
      </c>
      <c r="H75" s="553"/>
      <c r="I75" s="587">
        <f>+Table19[[#This Row],[Quantity]]*Table19[[#This Row],[Unit Price]]</f>
        <v>0</v>
      </c>
    </row>
    <row r="76" spans="1:9" x14ac:dyDescent="0.2">
      <c r="A76" s="269" t="s">
        <v>14</v>
      </c>
      <c r="B76" s="71" t="s">
        <v>472</v>
      </c>
      <c r="C76" s="625"/>
      <c r="D76" s="71"/>
      <c r="E76" s="71" t="s">
        <v>1971</v>
      </c>
      <c r="F76" s="625"/>
      <c r="G76" s="10">
        <v>3</v>
      </c>
      <c r="H76" s="553"/>
      <c r="I76" s="587">
        <f>+Table19[[#This Row],[Quantity]]*Table19[[#This Row],[Unit Price]]</f>
        <v>0</v>
      </c>
    </row>
    <row r="77" spans="1:9" x14ac:dyDescent="0.2">
      <c r="A77" s="269" t="s">
        <v>1563</v>
      </c>
      <c r="B77" s="71" t="s">
        <v>513</v>
      </c>
      <c r="C77" s="625"/>
      <c r="D77" s="71"/>
      <c r="E77" s="71" t="s">
        <v>1920</v>
      </c>
      <c r="F77" s="625"/>
      <c r="G77" s="10">
        <v>1</v>
      </c>
      <c r="H77" s="553"/>
      <c r="I77" s="587">
        <f>+Table19[[#This Row],[Quantity]]*Table19[[#This Row],[Unit Price]]</f>
        <v>0</v>
      </c>
    </row>
    <row r="78" spans="1:9" x14ac:dyDescent="0.2">
      <c r="A78" s="269" t="s">
        <v>1566</v>
      </c>
      <c r="B78" s="71" t="s">
        <v>514</v>
      </c>
      <c r="C78" s="625"/>
      <c r="D78" s="71"/>
      <c r="E78" s="71" t="s">
        <v>1920</v>
      </c>
      <c r="F78" s="625"/>
      <c r="G78" s="10">
        <v>1</v>
      </c>
      <c r="H78" s="553"/>
      <c r="I78" s="587">
        <f>+Table19[[#This Row],[Quantity]]*Table19[[#This Row],[Unit Price]]</f>
        <v>0</v>
      </c>
    </row>
    <row r="79" spans="1:9" x14ac:dyDescent="0.2">
      <c r="A79" s="269" t="s">
        <v>1679</v>
      </c>
      <c r="B79" s="71" t="s">
        <v>606</v>
      </c>
      <c r="C79" s="625"/>
      <c r="D79" s="71"/>
      <c r="E79" s="71" t="s">
        <v>1920</v>
      </c>
      <c r="F79" s="625"/>
      <c r="G79" s="10">
        <v>1</v>
      </c>
      <c r="H79" s="553"/>
      <c r="I79" s="587">
        <f>+Table19[[#This Row],[Quantity]]*Table19[[#This Row],[Unit Price]]</f>
        <v>0</v>
      </c>
    </row>
    <row r="80" spans="1:9" x14ac:dyDescent="0.2">
      <c r="A80" s="269" t="s">
        <v>1040</v>
      </c>
      <c r="B80" s="71" t="s">
        <v>274</v>
      </c>
      <c r="C80" s="625"/>
      <c r="D80" s="71"/>
      <c r="E80" s="71" t="s">
        <v>1920</v>
      </c>
      <c r="F80" s="625"/>
      <c r="G80" s="10">
        <v>1</v>
      </c>
      <c r="H80" s="553"/>
      <c r="I80" s="587">
        <f>+Table19[[#This Row],[Quantity]]*Table19[[#This Row],[Unit Price]]</f>
        <v>0</v>
      </c>
    </row>
    <row r="81" spans="1:9" x14ac:dyDescent="0.2">
      <c r="A81" s="269" t="s">
        <v>1693</v>
      </c>
      <c r="B81" s="71" t="s">
        <v>527</v>
      </c>
      <c r="C81" s="625"/>
      <c r="D81" s="71"/>
      <c r="E81" s="71" t="s">
        <v>1920</v>
      </c>
      <c r="F81" s="625"/>
      <c r="G81" s="10">
        <v>1</v>
      </c>
      <c r="H81" s="553"/>
      <c r="I81" s="587">
        <f>+Table19[[#This Row],[Quantity]]*Table19[[#This Row],[Unit Price]]</f>
        <v>0</v>
      </c>
    </row>
    <row r="82" spans="1:9" x14ac:dyDescent="0.2">
      <c r="A82" s="269" t="s">
        <v>1694</v>
      </c>
      <c r="B82" s="71" t="s">
        <v>528</v>
      </c>
      <c r="C82" s="625"/>
      <c r="D82" s="71"/>
      <c r="E82" s="71" t="s">
        <v>1920</v>
      </c>
      <c r="F82" s="625"/>
      <c r="G82" s="10">
        <v>1</v>
      </c>
      <c r="H82" s="553"/>
      <c r="I82" s="587">
        <f>+Table19[[#This Row],[Quantity]]*Table19[[#This Row],[Unit Price]]</f>
        <v>0</v>
      </c>
    </row>
    <row r="83" spans="1:9" x14ac:dyDescent="0.2">
      <c r="A83" s="269" t="s">
        <v>50</v>
      </c>
      <c r="B83" s="71" t="s">
        <v>381</v>
      </c>
      <c r="C83" s="625"/>
      <c r="D83" s="71"/>
      <c r="E83" s="71" t="s">
        <v>1920</v>
      </c>
      <c r="F83" s="625"/>
      <c r="G83" s="10">
        <v>1</v>
      </c>
      <c r="H83" s="553"/>
      <c r="I83" s="587">
        <f>+Table19[[#This Row],[Quantity]]*Table19[[#This Row],[Unit Price]]</f>
        <v>0</v>
      </c>
    </row>
    <row r="84" spans="1:9" x14ac:dyDescent="0.2">
      <c r="A84" s="269" t="s">
        <v>1079</v>
      </c>
      <c r="B84" s="71" t="s">
        <v>487</v>
      </c>
      <c r="C84" s="625"/>
      <c r="D84" s="71"/>
      <c r="E84" s="71" t="s">
        <v>1920</v>
      </c>
      <c r="F84" s="625"/>
      <c r="G84" s="10">
        <v>1</v>
      </c>
      <c r="H84" s="553"/>
      <c r="I84" s="587">
        <f>+Table19[[#This Row],[Quantity]]*Table19[[#This Row],[Unit Price]]</f>
        <v>0</v>
      </c>
    </row>
    <row r="85" spans="1:9" x14ac:dyDescent="0.2">
      <c r="A85" s="269" t="s">
        <v>1210</v>
      </c>
      <c r="B85" s="71" t="s">
        <v>475</v>
      </c>
      <c r="C85" s="625"/>
      <c r="D85" s="71"/>
      <c r="E85" s="71" t="s">
        <v>1920</v>
      </c>
      <c r="F85" s="625"/>
      <c r="G85" s="10">
        <v>2</v>
      </c>
      <c r="H85" s="553"/>
      <c r="I85" s="587">
        <f>+Table19[[#This Row],[Quantity]]*Table19[[#This Row],[Unit Price]]</f>
        <v>0</v>
      </c>
    </row>
    <row r="86" spans="1:9" x14ac:dyDescent="0.2">
      <c r="A86" s="269" t="s">
        <v>25</v>
      </c>
      <c r="B86" s="71" t="s">
        <v>300</v>
      </c>
      <c r="C86" s="625"/>
      <c r="D86" s="71"/>
      <c r="E86" s="71" t="s">
        <v>1920</v>
      </c>
      <c r="F86" s="625"/>
      <c r="G86" s="10">
        <v>2</v>
      </c>
      <c r="H86" s="553"/>
      <c r="I86" s="587">
        <f>+Table19[[#This Row],[Quantity]]*Table19[[#This Row],[Unit Price]]</f>
        <v>0</v>
      </c>
    </row>
    <row r="87" spans="1:9" x14ac:dyDescent="0.2">
      <c r="A87" s="269" t="s">
        <v>27</v>
      </c>
      <c r="B87" s="71" t="s">
        <v>302</v>
      </c>
      <c r="C87" s="625"/>
      <c r="D87" s="71"/>
      <c r="E87" s="71" t="s">
        <v>1920</v>
      </c>
      <c r="F87" s="625"/>
      <c r="G87" s="10">
        <v>1</v>
      </c>
      <c r="H87" s="553"/>
      <c r="I87" s="587">
        <f>+Table19[[#This Row],[Quantity]]*Table19[[#This Row],[Unit Price]]</f>
        <v>0</v>
      </c>
    </row>
    <row r="88" spans="1:9" x14ac:dyDescent="0.2">
      <c r="A88" s="269" t="s">
        <v>24</v>
      </c>
      <c r="B88" s="71" t="s">
        <v>297</v>
      </c>
      <c r="C88" s="625"/>
      <c r="D88" s="71"/>
      <c r="E88" s="71" t="s">
        <v>1920</v>
      </c>
      <c r="F88" s="625"/>
      <c r="G88" s="10">
        <v>1</v>
      </c>
      <c r="H88" s="553"/>
      <c r="I88" s="587">
        <f>+Table19[[#This Row],[Quantity]]*Table19[[#This Row],[Unit Price]]</f>
        <v>0</v>
      </c>
    </row>
    <row r="89" spans="1:9" x14ac:dyDescent="0.2">
      <c r="A89" s="269" t="s">
        <v>1275</v>
      </c>
      <c r="B89" s="71" t="s">
        <v>478</v>
      </c>
      <c r="C89" s="625"/>
      <c r="D89" s="71"/>
      <c r="E89" s="71" t="s">
        <v>1920</v>
      </c>
      <c r="F89" s="625"/>
      <c r="G89" s="10">
        <v>1</v>
      </c>
      <c r="H89" s="553"/>
      <c r="I89" s="587">
        <f>+Table19[[#This Row],[Quantity]]*Table19[[#This Row],[Unit Price]]</f>
        <v>0</v>
      </c>
    </row>
    <row r="90" spans="1:9" x14ac:dyDescent="0.2">
      <c r="A90" s="269" t="s">
        <v>1250</v>
      </c>
      <c r="B90" s="71" t="s">
        <v>462</v>
      </c>
      <c r="C90" s="625"/>
      <c r="D90" s="71"/>
      <c r="E90" s="71" t="s">
        <v>1920</v>
      </c>
      <c r="F90" s="625"/>
      <c r="G90" s="10">
        <v>1</v>
      </c>
      <c r="H90" s="553"/>
      <c r="I90" s="587">
        <f>+Table19[[#This Row],[Quantity]]*Table19[[#This Row],[Unit Price]]</f>
        <v>0</v>
      </c>
    </row>
    <row r="91" spans="1:9" x14ac:dyDescent="0.2">
      <c r="A91" s="269" t="s">
        <v>1252</v>
      </c>
      <c r="B91" s="71" t="s">
        <v>311</v>
      </c>
      <c r="C91" s="625"/>
      <c r="D91" s="71"/>
      <c r="E91" s="71" t="s">
        <v>1920</v>
      </c>
      <c r="F91" s="625"/>
      <c r="G91" s="10">
        <v>1</v>
      </c>
      <c r="H91" s="553"/>
      <c r="I91" s="587">
        <f>+Table19[[#This Row],[Quantity]]*Table19[[#This Row],[Unit Price]]</f>
        <v>0</v>
      </c>
    </row>
    <row r="92" spans="1:9" x14ac:dyDescent="0.2">
      <c r="A92" s="269" t="s">
        <v>1251</v>
      </c>
      <c r="B92" s="71" t="s">
        <v>81</v>
      </c>
      <c r="C92" s="625"/>
      <c r="D92" s="71"/>
      <c r="E92" s="71" t="s">
        <v>1920</v>
      </c>
      <c r="F92" s="625"/>
      <c r="G92" s="10">
        <v>1</v>
      </c>
      <c r="H92" s="553"/>
      <c r="I92" s="587">
        <f>+Table19[[#This Row],[Quantity]]*Table19[[#This Row],[Unit Price]]</f>
        <v>0</v>
      </c>
    </row>
    <row r="93" spans="1:9" x14ac:dyDescent="0.2">
      <c r="A93" s="269" t="s">
        <v>1247</v>
      </c>
      <c r="B93" s="71" t="s">
        <v>443</v>
      </c>
      <c r="C93" s="625"/>
      <c r="D93" s="71"/>
      <c r="E93" s="71" t="s">
        <v>1920</v>
      </c>
      <c r="F93" s="625"/>
      <c r="G93" s="10">
        <v>1</v>
      </c>
      <c r="H93" s="553"/>
      <c r="I93" s="587">
        <f>+Table19[[#This Row],[Quantity]]*Table19[[#This Row],[Unit Price]]</f>
        <v>0</v>
      </c>
    </row>
    <row r="94" spans="1:9" x14ac:dyDescent="0.2">
      <c r="A94" s="269" t="s">
        <v>1042</v>
      </c>
      <c r="B94" s="71" t="s">
        <v>456</v>
      </c>
      <c r="C94" s="625"/>
      <c r="D94" s="71"/>
      <c r="E94" s="71" t="s">
        <v>1920</v>
      </c>
      <c r="F94" s="625"/>
      <c r="G94" s="10">
        <v>1</v>
      </c>
      <c r="H94" s="553"/>
      <c r="I94" s="587">
        <f>+Table19[[#This Row],[Quantity]]*Table19[[#This Row],[Unit Price]]</f>
        <v>0</v>
      </c>
    </row>
    <row r="95" spans="1:9" x14ac:dyDescent="0.2">
      <c r="A95" s="269" t="s">
        <v>1163</v>
      </c>
      <c r="B95" s="71" t="s">
        <v>239</v>
      </c>
      <c r="C95" s="625"/>
      <c r="D95" s="71"/>
      <c r="E95" s="71" t="s">
        <v>1920</v>
      </c>
      <c r="F95" s="625"/>
      <c r="G95" s="10">
        <v>1</v>
      </c>
      <c r="H95" s="553"/>
      <c r="I95" s="587">
        <f>+Table19[[#This Row],[Quantity]]*Table19[[#This Row],[Unit Price]]</f>
        <v>0</v>
      </c>
    </row>
    <row r="96" spans="1:9" x14ac:dyDescent="0.2">
      <c r="A96" s="269" t="s">
        <v>410</v>
      </c>
      <c r="B96" s="71" t="s">
        <v>483</v>
      </c>
      <c r="C96" s="625"/>
      <c r="D96" s="71"/>
      <c r="E96" s="71" t="s">
        <v>1920</v>
      </c>
      <c r="F96" s="625"/>
      <c r="G96" s="10">
        <v>1</v>
      </c>
      <c r="H96" s="553"/>
      <c r="I96" s="587">
        <f>+Table19[[#This Row],[Quantity]]*Table19[[#This Row],[Unit Price]]</f>
        <v>0</v>
      </c>
    </row>
    <row r="97" spans="1:9" x14ac:dyDescent="0.2">
      <c r="A97" s="269" t="s">
        <v>1287</v>
      </c>
      <c r="B97" s="71" t="s">
        <v>474</v>
      </c>
      <c r="C97" s="625"/>
      <c r="D97" s="71"/>
      <c r="E97" s="71" t="s">
        <v>1920</v>
      </c>
      <c r="F97" s="625"/>
      <c r="G97" s="10">
        <v>1</v>
      </c>
      <c r="H97" s="553"/>
      <c r="I97" s="587">
        <f>+Table19[[#This Row],[Quantity]]*Table19[[#This Row],[Unit Price]]</f>
        <v>0</v>
      </c>
    </row>
    <row r="98" spans="1:9" x14ac:dyDescent="0.2">
      <c r="A98" s="269" t="s">
        <v>2133</v>
      </c>
      <c r="B98" s="71" t="s">
        <v>2909</v>
      </c>
      <c r="C98" s="625"/>
      <c r="D98" s="71"/>
      <c r="E98" s="71">
        <v>56654</v>
      </c>
      <c r="F98" s="625"/>
      <c r="G98" s="10">
        <v>3</v>
      </c>
      <c r="H98" s="553"/>
      <c r="I98" s="587">
        <f>+Table19[[#This Row],[Quantity]]*Table19[[#This Row],[Unit Price]]</f>
        <v>0</v>
      </c>
    </row>
    <row r="99" spans="1:9" x14ac:dyDescent="0.2">
      <c r="A99" s="269" t="s">
        <v>1240</v>
      </c>
      <c r="B99" s="71" t="s">
        <v>304</v>
      </c>
      <c r="C99" s="625"/>
      <c r="D99" s="71"/>
      <c r="E99" s="71" t="s">
        <v>1920</v>
      </c>
      <c r="F99" s="625"/>
      <c r="G99" s="10">
        <v>2</v>
      </c>
      <c r="H99" s="553"/>
      <c r="I99" s="587">
        <f>+Table19[[#This Row],[Quantity]]*Table19[[#This Row],[Unit Price]]</f>
        <v>0</v>
      </c>
    </row>
    <row r="100" spans="1:9" x14ac:dyDescent="0.2">
      <c r="A100" s="269" t="s">
        <v>1156</v>
      </c>
      <c r="B100" s="71" t="s">
        <v>2117</v>
      </c>
      <c r="C100" s="625"/>
      <c r="D100" s="71"/>
      <c r="E100" s="71" t="s">
        <v>1975</v>
      </c>
      <c r="F100" s="625"/>
      <c r="G100" s="10">
        <v>2</v>
      </c>
      <c r="H100" s="553"/>
      <c r="I100" s="587">
        <f>+Table19[[#This Row],[Quantity]]*Table19[[#This Row],[Unit Price]]</f>
        <v>0</v>
      </c>
    </row>
    <row r="101" spans="1:9" x14ac:dyDescent="0.2">
      <c r="A101" s="269" t="s">
        <v>1229</v>
      </c>
      <c r="B101" s="71" t="s">
        <v>303</v>
      </c>
      <c r="C101" s="625"/>
      <c r="D101" s="71"/>
      <c r="E101" s="71" t="s">
        <v>1920</v>
      </c>
      <c r="F101" s="625"/>
      <c r="G101" s="10">
        <v>1</v>
      </c>
      <c r="H101" s="553"/>
      <c r="I101" s="587">
        <f>+Table19[[#This Row],[Quantity]]*Table19[[#This Row],[Unit Price]]</f>
        <v>0</v>
      </c>
    </row>
    <row r="102" spans="1:9" x14ac:dyDescent="0.2">
      <c r="A102" s="269" t="s">
        <v>1228</v>
      </c>
      <c r="B102" s="71" t="s">
        <v>489</v>
      </c>
      <c r="C102" s="625"/>
      <c r="D102" s="71"/>
      <c r="E102" s="71" t="s">
        <v>1920</v>
      </c>
      <c r="F102" s="625"/>
      <c r="G102" s="10">
        <v>2</v>
      </c>
      <c r="H102" s="553"/>
      <c r="I102" s="587">
        <f>+Table19[[#This Row],[Quantity]]*Table19[[#This Row],[Unit Price]]</f>
        <v>0</v>
      </c>
    </row>
    <row r="103" spans="1:9" x14ac:dyDescent="0.2">
      <c r="A103" s="269" t="s">
        <v>1225</v>
      </c>
      <c r="B103" s="71" t="s">
        <v>523</v>
      </c>
      <c r="C103" s="625"/>
      <c r="D103" s="71"/>
      <c r="E103" s="71" t="s">
        <v>1920</v>
      </c>
      <c r="F103" s="625"/>
      <c r="G103" s="10">
        <v>1</v>
      </c>
      <c r="H103" s="553"/>
      <c r="I103" s="587">
        <f>+Table19[[#This Row],[Quantity]]*Table19[[#This Row],[Unit Price]]</f>
        <v>0</v>
      </c>
    </row>
    <row r="104" spans="1:9" x14ac:dyDescent="0.2">
      <c r="A104" s="269" t="s">
        <v>1167</v>
      </c>
      <c r="B104" s="71" t="s">
        <v>296</v>
      </c>
      <c r="C104" s="625"/>
      <c r="D104" s="71"/>
      <c r="E104" s="71" t="s">
        <v>1920</v>
      </c>
      <c r="F104" s="625"/>
      <c r="G104" s="10">
        <v>1</v>
      </c>
      <c r="H104" s="553"/>
      <c r="I104" s="587">
        <f>+Table19[[#This Row],[Quantity]]*Table19[[#This Row],[Unit Price]]</f>
        <v>0</v>
      </c>
    </row>
    <row r="105" spans="1:9" x14ac:dyDescent="0.2">
      <c r="A105" s="269" t="s">
        <v>894</v>
      </c>
      <c r="B105" s="71" t="s">
        <v>895</v>
      </c>
      <c r="C105" s="625"/>
      <c r="D105" s="71"/>
      <c r="E105" s="71" t="s">
        <v>1920</v>
      </c>
      <c r="F105" s="625"/>
      <c r="G105" s="10">
        <v>1</v>
      </c>
      <c r="H105" s="553"/>
      <c r="I105" s="587">
        <f>+Table19[[#This Row],[Quantity]]*Table19[[#This Row],[Unit Price]]</f>
        <v>0</v>
      </c>
    </row>
    <row r="106" spans="1:9" x14ac:dyDescent="0.2">
      <c r="A106" s="269" t="s">
        <v>9</v>
      </c>
      <c r="B106" s="71" t="s">
        <v>375</v>
      </c>
      <c r="C106" s="625"/>
      <c r="D106" s="71"/>
      <c r="E106" s="71" t="s">
        <v>1920</v>
      </c>
      <c r="F106" s="625"/>
      <c r="G106" s="10">
        <v>2</v>
      </c>
      <c r="H106" s="553"/>
      <c r="I106" s="587">
        <f>+Table19[[#This Row],[Quantity]]*Table19[[#This Row],[Unit Price]]</f>
        <v>0</v>
      </c>
    </row>
    <row r="107" spans="1:9" x14ac:dyDescent="0.2">
      <c r="A107" s="269" t="s">
        <v>195</v>
      </c>
      <c r="B107" s="71" t="s">
        <v>1984</v>
      </c>
      <c r="C107" s="625"/>
      <c r="D107" s="71"/>
      <c r="E107" s="71">
        <v>55719</v>
      </c>
      <c r="F107" s="625"/>
      <c r="G107" s="10">
        <v>3</v>
      </c>
      <c r="H107" s="553"/>
      <c r="I107" s="587">
        <f>+Table19[[#This Row],[Quantity]]*Table19[[#This Row],[Unit Price]]</f>
        <v>0</v>
      </c>
    </row>
    <row r="108" spans="1:9" x14ac:dyDescent="0.2">
      <c r="A108" s="269" t="s">
        <v>1085</v>
      </c>
      <c r="B108" s="71" t="s">
        <v>92</v>
      </c>
      <c r="C108" s="625"/>
      <c r="D108" s="71"/>
      <c r="E108" s="71" t="s">
        <v>1920</v>
      </c>
      <c r="F108" s="625"/>
      <c r="G108" s="10">
        <v>2</v>
      </c>
      <c r="H108" s="553"/>
      <c r="I108" s="587">
        <f>+Table19[[#This Row],[Quantity]]*Table19[[#This Row],[Unit Price]]</f>
        <v>0</v>
      </c>
    </row>
    <row r="109" spans="1:9" x14ac:dyDescent="0.2">
      <c r="A109" s="269" t="s">
        <v>29</v>
      </c>
      <c r="B109" s="71" t="s">
        <v>2758</v>
      </c>
      <c r="C109" s="625"/>
      <c r="D109" s="71"/>
      <c r="E109" s="71" t="s">
        <v>1920</v>
      </c>
      <c r="F109" s="625"/>
      <c r="G109" s="10">
        <v>1</v>
      </c>
      <c r="H109" s="553"/>
      <c r="I109" s="587">
        <f>+Table19[[#This Row],[Quantity]]*Table19[[#This Row],[Unit Price]]</f>
        <v>0</v>
      </c>
    </row>
    <row r="110" spans="1:9" x14ac:dyDescent="0.2">
      <c r="A110" s="269" t="s">
        <v>1369</v>
      </c>
      <c r="B110" s="71" t="s">
        <v>2859</v>
      </c>
      <c r="C110" s="625"/>
      <c r="D110" s="71"/>
      <c r="E110" s="71">
        <v>55719</v>
      </c>
      <c r="F110" s="625"/>
      <c r="G110" s="10">
        <v>3</v>
      </c>
      <c r="H110" s="553"/>
      <c r="I110" s="587">
        <f>+Table19[[#This Row],[Quantity]]*Table19[[#This Row],[Unit Price]]</f>
        <v>0</v>
      </c>
    </row>
    <row r="111" spans="1:9" x14ac:dyDescent="0.2">
      <c r="A111" s="269" t="s">
        <v>1330</v>
      </c>
      <c r="B111" s="71" t="s">
        <v>966</v>
      </c>
      <c r="C111" s="625"/>
      <c r="D111" s="71"/>
      <c r="E111" s="71">
        <v>55719</v>
      </c>
      <c r="F111" s="625"/>
      <c r="G111" s="10">
        <v>1</v>
      </c>
      <c r="H111" s="553"/>
      <c r="I111" s="587">
        <f>+Table19[[#This Row],[Quantity]]*Table19[[#This Row],[Unit Price]]</f>
        <v>0</v>
      </c>
    </row>
    <row r="112" spans="1:9" x14ac:dyDescent="0.2">
      <c r="A112" s="269" t="s">
        <v>1337</v>
      </c>
      <c r="B112" s="71" t="s">
        <v>519</v>
      </c>
      <c r="C112" s="625"/>
      <c r="D112" s="71"/>
      <c r="E112" s="71" t="s">
        <v>1920</v>
      </c>
      <c r="F112" s="625"/>
      <c r="G112" s="10">
        <v>2</v>
      </c>
      <c r="H112" s="553"/>
      <c r="I112" s="587">
        <f>+Table19[[#This Row],[Quantity]]*Table19[[#This Row],[Unit Price]]</f>
        <v>0</v>
      </c>
    </row>
    <row r="113" spans="1:9" x14ac:dyDescent="0.2">
      <c r="A113" s="269" t="s">
        <v>1088</v>
      </c>
      <c r="B113" s="71" t="s">
        <v>485</v>
      </c>
      <c r="C113" s="625"/>
      <c r="D113" s="71"/>
      <c r="E113" s="71" t="s">
        <v>1920</v>
      </c>
      <c r="F113" s="625"/>
      <c r="G113" s="10">
        <v>1</v>
      </c>
      <c r="H113" s="553"/>
      <c r="I113" s="587">
        <f>+Table19[[#This Row],[Quantity]]*Table19[[#This Row],[Unit Price]]</f>
        <v>0</v>
      </c>
    </row>
    <row r="114" spans="1:9" x14ac:dyDescent="0.2">
      <c r="A114" s="269" t="s">
        <v>1339</v>
      </c>
      <c r="B114" s="71" t="s">
        <v>88</v>
      </c>
      <c r="C114" s="625"/>
      <c r="D114" s="71"/>
      <c r="E114" s="71" t="s">
        <v>1920</v>
      </c>
      <c r="F114" s="625"/>
      <c r="G114" s="10">
        <v>1</v>
      </c>
      <c r="H114" s="553"/>
      <c r="I114" s="587">
        <f>+Table19[[#This Row],[Quantity]]*Table19[[#This Row],[Unit Price]]</f>
        <v>0</v>
      </c>
    </row>
    <row r="115" spans="1:9" x14ac:dyDescent="0.2">
      <c r="A115" s="269" t="s">
        <v>1340</v>
      </c>
      <c r="B115" s="71" t="s">
        <v>87</v>
      </c>
      <c r="C115" s="625"/>
      <c r="D115" s="71"/>
      <c r="E115" s="71" t="s">
        <v>1920</v>
      </c>
      <c r="F115" s="625"/>
      <c r="G115" s="10">
        <v>1</v>
      </c>
      <c r="H115" s="553"/>
      <c r="I115" s="587">
        <f>+Table19[[#This Row],[Quantity]]*Table19[[#This Row],[Unit Price]]</f>
        <v>0</v>
      </c>
    </row>
    <row r="116" spans="1:9" x14ac:dyDescent="0.2">
      <c r="A116" s="269" t="s">
        <v>1236</v>
      </c>
      <c r="B116" s="71" t="s">
        <v>77</v>
      </c>
      <c r="C116" s="625"/>
      <c r="D116" s="71"/>
      <c r="E116" s="71" t="s">
        <v>1920</v>
      </c>
      <c r="F116" s="625"/>
      <c r="G116" s="10">
        <v>1</v>
      </c>
      <c r="H116" s="553"/>
      <c r="I116" s="587">
        <f>+Table19[[#This Row],[Quantity]]*Table19[[#This Row],[Unit Price]]</f>
        <v>0</v>
      </c>
    </row>
    <row r="117" spans="1:9" x14ac:dyDescent="0.2">
      <c r="A117" s="269" t="s">
        <v>1235</v>
      </c>
      <c r="B117" s="71" t="s">
        <v>78</v>
      </c>
      <c r="C117" s="625"/>
      <c r="D117" s="71"/>
      <c r="E117" s="71" t="s">
        <v>1920</v>
      </c>
      <c r="F117" s="625"/>
      <c r="G117" s="10">
        <v>1</v>
      </c>
      <c r="H117" s="553"/>
      <c r="I117" s="587">
        <f>+Table19[[#This Row],[Quantity]]*Table19[[#This Row],[Unit Price]]</f>
        <v>0</v>
      </c>
    </row>
    <row r="118" spans="1:9" x14ac:dyDescent="0.2">
      <c r="A118" s="269" t="s">
        <v>1232</v>
      </c>
      <c r="B118" s="71" t="s">
        <v>76</v>
      </c>
      <c r="C118" s="625"/>
      <c r="D118" s="71"/>
      <c r="E118" s="71" t="s">
        <v>1920</v>
      </c>
      <c r="F118" s="625"/>
      <c r="G118" s="10">
        <v>1</v>
      </c>
      <c r="H118" s="553"/>
      <c r="I118" s="587">
        <f>+Table19[[#This Row],[Quantity]]*Table19[[#This Row],[Unit Price]]</f>
        <v>0</v>
      </c>
    </row>
    <row r="119" spans="1:9" x14ac:dyDescent="0.2">
      <c r="A119" s="269" t="s">
        <v>1025</v>
      </c>
      <c r="B119" s="71" t="s">
        <v>467</v>
      </c>
      <c r="C119" s="625"/>
      <c r="D119" s="71"/>
      <c r="E119" s="71" t="s">
        <v>1920</v>
      </c>
      <c r="F119" s="625"/>
      <c r="G119" s="10">
        <v>1</v>
      </c>
      <c r="H119" s="553"/>
      <c r="I119" s="587">
        <f>+Table19[[#This Row],[Quantity]]*Table19[[#This Row],[Unit Price]]</f>
        <v>0</v>
      </c>
    </row>
    <row r="120" spans="1:9" x14ac:dyDescent="0.2">
      <c r="A120" s="269" t="s">
        <v>1442</v>
      </c>
      <c r="B120" s="71" t="s">
        <v>554</v>
      </c>
      <c r="C120" s="625"/>
      <c r="D120" s="71"/>
      <c r="E120" s="71" t="s">
        <v>1920</v>
      </c>
      <c r="F120" s="625"/>
      <c r="G120" s="10">
        <v>1</v>
      </c>
      <c r="H120" s="553"/>
      <c r="I120" s="587">
        <f>+Table19[[#This Row],[Quantity]]*Table19[[#This Row],[Unit Price]]</f>
        <v>0</v>
      </c>
    </row>
    <row r="121" spans="1:9" x14ac:dyDescent="0.2">
      <c r="A121" s="269" t="s">
        <v>15</v>
      </c>
      <c r="B121" s="71" t="s">
        <v>380</v>
      </c>
      <c r="C121" s="625"/>
      <c r="D121" s="71"/>
      <c r="E121" s="71" t="s">
        <v>1920</v>
      </c>
      <c r="F121" s="625"/>
      <c r="G121" s="10">
        <v>1</v>
      </c>
      <c r="H121" s="553"/>
      <c r="I121" s="587">
        <f>+Table19[[#This Row],[Quantity]]*Table19[[#This Row],[Unit Price]]</f>
        <v>0</v>
      </c>
    </row>
    <row r="122" spans="1:9" x14ac:dyDescent="0.2">
      <c r="A122" s="269" t="s">
        <v>1036</v>
      </c>
      <c r="B122" s="71" t="s">
        <v>468</v>
      </c>
      <c r="C122" s="625"/>
      <c r="D122" s="71"/>
      <c r="E122" s="71" t="s">
        <v>1920</v>
      </c>
      <c r="F122" s="625"/>
      <c r="G122" s="10">
        <v>1</v>
      </c>
      <c r="H122" s="553"/>
      <c r="I122" s="587">
        <f>+Table19[[#This Row],[Quantity]]*Table19[[#This Row],[Unit Price]]</f>
        <v>0</v>
      </c>
    </row>
    <row r="123" spans="1:9" x14ac:dyDescent="0.2">
      <c r="A123" s="269" t="s">
        <v>1445</v>
      </c>
      <c r="B123" s="71" t="s">
        <v>541</v>
      </c>
      <c r="C123" s="625"/>
      <c r="D123" s="71"/>
      <c r="E123" s="71" t="s">
        <v>1920</v>
      </c>
      <c r="F123" s="625"/>
      <c r="G123" s="10">
        <v>1</v>
      </c>
      <c r="H123" s="553"/>
      <c r="I123" s="587">
        <f>+Table19[[#This Row],[Quantity]]*Table19[[#This Row],[Unit Price]]</f>
        <v>0</v>
      </c>
    </row>
    <row r="124" spans="1:9" x14ac:dyDescent="0.2">
      <c r="A124" s="269" t="s">
        <v>2923</v>
      </c>
      <c r="B124" s="71" t="s">
        <v>241</v>
      </c>
      <c r="C124" s="625"/>
      <c r="D124" s="71"/>
      <c r="E124" s="71" t="s">
        <v>1920</v>
      </c>
      <c r="F124" s="625"/>
      <c r="G124" s="10">
        <v>3</v>
      </c>
      <c r="H124" s="553"/>
      <c r="I124" s="587">
        <f>+Table19[[#This Row],[Quantity]]*Table19[[#This Row],[Unit Price]]</f>
        <v>0</v>
      </c>
    </row>
    <row r="125" spans="1:9" x14ac:dyDescent="0.2">
      <c r="A125" s="269" t="s">
        <v>1449</v>
      </c>
      <c r="B125" s="71" t="s">
        <v>859</v>
      </c>
      <c r="C125" s="625"/>
      <c r="D125" s="71"/>
      <c r="E125" s="71" t="s">
        <v>1920</v>
      </c>
      <c r="F125" s="625"/>
      <c r="G125" s="10">
        <v>1</v>
      </c>
      <c r="H125" s="553"/>
      <c r="I125" s="587">
        <f>+Table19[[#This Row],[Quantity]]*Table19[[#This Row],[Unit Price]]</f>
        <v>0</v>
      </c>
    </row>
    <row r="126" spans="1:9" x14ac:dyDescent="0.2">
      <c r="A126" s="269" t="s">
        <v>59</v>
      </c>
      <c r="B126" s="71" t="s">
        <v>60</v>
      </c>
      <c r="C126" s="625"/>
      <c r="D126" s="71"/>
      <c r="E126" s="71" t="s">
        <v>1920</v>
      </c>
      <c r="F126" s="625"/>
      <c r="G126" s="10">
        <v>1</v>
      </c>
      <c r="H126" s="553"/>
      <c r="I126" s="587">
        <f>+Table19[[#This Row],[Quantity]]*Table19[[#This Row],[Unit Price]]</f>
        <v>0</v>
      </c>
    </row>
    <row r="127" spans="1:9" x14ac:dyDescent="0.2">
      <c r="A127" s="269" t="s">
        <v>61</v>
      </c>
      <c r="B127" s="71" t="s">
        <v>62</v>
      </c>
      <c r="C127" s="625"/>
      <c r="D127" s="71"/>
      <c r="E127" s="71" t="s">
        <v>1920</v>
      </c>
      <c r="F127" s="625"/>
      <c r="G127" s="10">
        <v>1</v>
      </c>
      <c r="H127" s="553"/>
      <c r="I127" s="587">
        <f>+Table19[[#This Row],[Quantity]]*Table19[[#This Row],[Unit Price]]</f>
        <v>0</v>
      </c>
    </row>
    <row r="128" spans="1:9" x14ac:dyDescent="0.2">
      <c r="A128" s="269" t="s">
        <v>1214</v>
      </c>
      <c r="B128" s="71" t="s">
        <v>515</v>
      </c>
      <c r="C128" s="625"/>
      <c r="D128" s="71"/>
      <c r="E128" s="71" t="s">
        <v>1920</v>
      </c>
      <c r="F128" s="625"/>
      <c r="G128" s="10">
        <v>2</v>
      </c>
      <c r="H128" s="553"/>
      <c r="I128" s="587">
        <f>+Table19[[#This Row],[Quantity]]*Table19[[#This Row],[Unit Price]]</f>
        <v>0</v>
      </c>
    </row>
    <row r="129" spans="1:16383" x14ac:dyDescent="0.2">
      <c r="A129" s="269" t="s">
        <v>20</v>
      </c>
      <c r="B129" s="71" t="s">
        <v>287</v>
      </c>
      <c r="C129" s="625"/>
      <c r="D129" s="71"/>
      <c r="E129" s="71" t="s">
        <v>1920</v>
      </c>
      <c r="F129" s="625"/>
      <c r="G129" s="10">
        <v>2</v>
      </c>
      <c r="H129" s="553"/>
      <c r="I129" s="587">
        <f>+Table19[[#This Row],[Quantity]]*Table19[[#This Row],[Unit Price]]</f>
        <v>0</v>
      </c>
    </row>
    <row r="130" spans="1:16383" x14ac:dyDescent="0.2">
      <c r="A130" s="269" t="s">
        <v>13</v>
      </c>
      <c r="B130" s="71" t="s">
        <v>471</v>
      </c>
      <c r="C130" s="625"/>
      <c r="D130" s="71"/>
      <c r="E130" s="71" t="s">
        <v>1920</v>
      </c>
      <c r="F130" s="625"/>
      <c r="G130" s="10">
        <v>1</v>
      </c>
      <c r="H130" s="553"/>
      <c r="I130" s="587">
        <f>+Table19[[#This Row],[Quantity]]*Table19[[#This Row],[Unit Price]]</f>
        <v>0</v>
      </c>
    </row>
    <row r="131" spans="1:16383" x14ac:dyDescent="0.2">
      <c r="A131" s="269" t="s">
        <v>5</v>
      </c>
      <c r="B131" s="71" t="s">
        <v>466</v>
      </c>
      <c r="C131" s="625"/>
      <c r="D131" s="71"/>
      <c r="E131" s="71" t="s">
        <v>1920</v>
      </c>
      <c r="F131" s="625"/>
      <c r="G131" s="10">
        <v>1</v>
      </c>
      <c r="H131" s="553"/>
      <c r="I131" s="587">
        <f>+Table19[[#This Row],[Quantity]]*Table19[[#This Row],[Unit Price]]</f>
        <v>0</v>
      </c>
    </row>
    <row r="132" spans="1:16383" x14ac:dyDescent="0.2">
      <c r="A132" s="269" t="s">
        <v>11</v>
      </c>
      <c r="B132" s="71" t="s">
        <v>278</v>
      </c>
      <c r="C132" s="625"/>
      <c r="D132" s="71"/>
      <c r="E132" s="71" t="s">
        <v>1920</v>
      </c>
      <c r="F132" s="625"/>
      <c r="G132" s="10">
        <v>1</v>
      </c>
      <c r="H132" s="553"/>
      <c r="I132" s="587">
        <f>+Table19[[#This Row],[Quantity]]*Table19[[#This Row],[Unit Price]]</f>
        <v>0</v>
      </c>
    </row>
    <row r="133" spans="1:16383" x14ac:dyDescent="0.2">
      <c r="A133" s="269" t="s">
        <v>12</v>
      </c>
      <c r="B133" s="71" t="s">
        <v>171</v>
      </c>
      <c r="C133" s="625"/>
      <c r="D133" s="71"/>
      <c r="E133" s="71" t="s">
        <v>1920</v>
      </c>
      <c r="F133" s="625"/>
      <c r="G133" s="10">
        <v>1</v>
      </c>
      <c r="H133" s="553"/>
      <c r="I133" s="587">
        <f>+Table19[[#This Row],[Quantity]]*Table19[[#This Row],[Unit Price]]</f>
        <v>0</v>
      </c>
    </row>
    <row r="134" spans="1:16383" x14ac:dyDescent="0.2">
      <c r="A134" s="269" t="s">
        <v>3355</v>
      </c>
      <c r="B134" s="71" t="s">
        <v>2756</v>
      </c>
      <c r="C134" s="625"/>
      <c r="D134" s="71"/>
      <c r="E134" s="71" t="s">
        <v>1920</v>
      </c>
      <c r="F134" s="625"/>
      <c r="G134" s="10">
        <v>1</v>
      </c>
      <c r="H134" s="684"/>
      <c r="I134" s="587">
        <f>+Table19[[#This Row],[Quantity]]*Table19[[#This Row],[Unit Price]]</f>
        <v>0</v>
      </c>
    </row>
    <row r="135" spans="1:16383" x14ac:dyDescent="0.2">
      <c r="A135" s="269" t="s">
        <v>1591</v>
      </c>
      <c r="B135" s="71" t="s">
        <v>516</v>
      </c>
      <c r="C135" s="625"/>
      <c r="D135" s="71"/>
      <c r="E135" s="71" t="s">
        <v>1920</v>
      </c>
      <c r="F135" s="625"/>
      <c r="G135" s="10">
        <v>2</v>
      </c>
      <c r="H135" s="553"/>
      <c r="I135" s="587">
        <f>+Table19[[#This Row],[Quantity]]*Table19[[#This Row],[Unit Price]]</f>
        <v>0</v>
      </c>
    </row>
    <row r="136" spans="1:16383" x14ac:dyDescent="0.2">
      <c r="A136" s="269" t="s">
        <v>1216</v>
      </c>
      <c r="B136" s="314" t="s">
        <v>481</v>
      </c>
      <c r="C136" s="625"/>
      <c r="D136" s="314"/>
      <c r="E136" s="314" t="s">
        <v>1920</v>
      </c>
      <c r="F136" s="625"/>
      <c r="G136" s="10">
        <v>1</v>
      </c>
      <c r="H136" s="553"/>
      <c r="I136" s="587">
        <f>+Table19[[#This Row],[Quantity]]*Table19[[#This Row],[Unit Price]]</f>
        <v>0</v>
      </c>
    </row>
    <row r="137" spans="1:16383" x14ac:dyDescent="0.2">
      <c r="A137" s="392" t="s">
        <v>4</v>
      </c>
      <c r="B137" s="394" t="s">
        <v>90</v>
      </c>
      <c r="C137" s="625"/>
      <c r="D137" s="394"/>
      <c r="E137" s="394" t="s">
        <v>1920</v>
      </c>
      <c r="F137" s="682"/>
      <c r="G137" s="395">
        <v>2</v>
      </c>
      <c r="H137" s="685"/>
      <c r="I137" s="587">
        <f>+Table19[[#This Row],[Quantity]]*Table19[[#This Row],[Unit Price]]</f>
        <v>0</v>
      </c>
    </row>
    <row r="138" spans="1:16383" x14ac:dyDescent="0.2">
      <c r="A138" s="393" t="s">
        <v>101</v>
      </c>
      <c r="B138" s="302" t="s">
        <v>509</v>
      </c>
      <c r="C138" s="625"/>
      <c r="D138" s="302"/>
      <c r="E138" s="302" t="s">
        <v>1920</v>
      </c>
      <c r="F138" s="679"/>
      <c r="G138" s="303">
        <v>1</v>
      </c>
      <c r="H138" s="686"/>
      <c r="I138" s="587">
        <f>+Table19[[#This Row],[Quantity]]*Table19[[#This Row],[Unit Price]]</f>
        <v>0</v>
      </c>
    </row>
    <row r="139" spans="1:16383" x14ac:dyDescent="0.2">
      <c r="A139" s="689"/>
      <c r="B139" s="690"/>
      <c r="C139" s="691"/>
      <c r="D139" s="687"/>
      <c r="E139" s="688"/>
      <c r="F139" s="692"/>
      <c r="G139" s="687"/>
      <c r="H139" s="693"/>
      <c r="I139" s="694">
        <f>SUM(I2:I138)</f>
        <v>0</v>
      </c>
    </row>
    <row r="142" spans="1:16383" ht="18" x14ac:dyDescent="0.25">
      <c r="A142" s="422" t="s">
        <v>2232</v>
      </c>
      <c r="B142" s="422"/>
      <c r="C142" s="308"/>
      <c r="D142" s="4"/>
      <c r="E142" s="4"/>
      <c r="F142" s="308"/>
      <c r="G142" s="4"/>
      <c r="H142" s="541"/>
      <c r="I142" s="5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  <c r="UG142" s="4"/>
      <c r="UH142" s="4"/>
      <c r="UI142" s="4"/>
      <c r="UJ142" s="4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WP142" s="4"/>
      <c r="WQ142" s="4"/>
      <c r="WR142" s="4"/>
      <c r="WS142" s="4"/>
      <c r="WT142" s="4"/>
      <c r="WU142" s="4"/>
      <c r="WV142" s="4"/>
      <c r="WW142" s="4"/>
      <c r="WX142" s="4"/>
      <c r="WY142" s="4"/>
      <c r="WZ142" s="4"/>
      <c r="XA142" s="4"/>
      <c r="XB142" s="4"/>
      <c r="XC142" s="4"/>
      <c r="XD142" s="4"/>
      <c r="XE142" s="4"/>
      <c r="XF142" s="4"/>
      <c r="XG142" s="4"/>
      <c r="XH142" s="4"/>
      <c r="XI142" s="4"/>
      <c r="XJ142" s="4"/>
      <c r="XK142" s="4"/>
      <c r="XL142" s="4"/>
      <c r="XM142" s="4"/>
      <c r="XN142" s="4"/>
      <c r="XO142" s="4"/>
      <c r="XP142" s="4"/>
      <c r="XQ142" s="4"/>
      <c r="XR142" s="4"/>
      <c r="XS142" s="4"/>
      <c r="XT142" s="4"/>
      <c r="XU142" s="4"/>
      <c r="XV142" s="4"/>
      <c r="XW142" s="4"/>
      <c r="XX142" s="4"/>
      <c r="XY142" s="4"/>
      <c r="XZ142" s="4"/>
      <c r="YA142" s="4"/>
      <c r="YB142" s="4"/>
      <c r="YC142" s="4"/>
      <c r="YD142" s="4"/>
      <c r="YE142" s="4"/>
      <c r="YF142" s="4"/>
      <c r="YG142" s="4"/>
      <c r="YH142" s="4"/>
      <c r="YI142" s="4"/>
      <c r="YJ142" s="4"/>
      <c r="YK142" s="4"/>
      <c r="YL142" s="4"/>
      <c r="YM142" s="4"/>
      <c r="YN142" s="4"/>
      <c r="YO142" s="4"/>
      <c r="YP142" s="4"/>
      <c r="YQ142" s="4"/>
      <c r="YR142" s="4"/>
      <c r="YS142" s="4"/>
      <c r="YT142" s="4"/>
      <c r="YU142" s="4"/>
      <c r="YV142" s="4"/>
      <c r="YW142" s="4"/>
      <c r="YX142" s="4"/>
      <c r="YY142" s="4"/>
      <c r="YZ142" s="4"/>
      <c r="ZA142" s="4"/>
      <c r="ZB142" s="4"/>
      <c r="ZC142" s="4"/>
      <c r="ZD142" s="4"/>
      <c r="ZE142" s="4"/>
      <c r="ZF142" s="4"/>
      <c r="ZG142" s="4"/>
      <c r="ZH142" s="4"/>
      <c r="ZI142" s="4"/>
      <c r="ZJ142" s="4"/>
      <c r="ZK142" s="4"/>
      <c r="ZL142" s="4"/>
      <c r="ZM142" s="4"/>
      <c r="ZN142" s="4"/>
      <c r="ZO142" s="4"/>
      <c r="ZP142" s="4"/>
      <c r="ZQ142" s="4"/>
      <c r="ZR142" s="4"/>
      <c r="ZS142" s="4"/>
      <c r="ZT142" s="4"/>
      <c r="ZU142" s="4"/>
      <c r="ZV142" s="4"/>
      <c r="ZW142" s="4"/>
      <c r="ZX142" s="4"/>
      <c r="ZY142" s="4"/>
      <c r="ZZ142" s="4"/>
      <c r="AAA142" s="4"/>
      <c r="AAB142" s="4"/>
      <c r="AAC142" s="4"/>
      <c r="AAD142" s="4"/>
      <c r="AAE142" s="4"/>
      <c r="AAF142" s="4"/>
      <c r="AAG142" s="4"/>
      <c r="AAH142" s="4"/>
      <c r="AAI142" s="4"/>
      <c r="AAJ142" s="4"/>
      <c r="AAK142" s="4"/>
      <c r="AAL142" s="4"/>
      <c r="AAM142" s="4"/>
      <c r="AAN142" s="4"/>
      <c r="AAO142" s="4"/>
      <c r="AAP142" s="4"/>
      <c r="AAQ142" s="4"/>
      <c r="AAR142" s="4"/>
      <c r="AAS142" s="4"/>
      <c r="AAT142" s="4"/>
      <c r="AAU142" s="4"/>
      <c r="AAV142" s="4"/>
      <c r="AAW142" s="4"/>
      <c r="AAX142" s="4"/>
      <c r="AAY142" s="4"/>
      <c r="AAZ142" s="4"/>
      <c r="ABA142" s="4"/>
      <c r="ABB142" s="4"/>
      <c r="ABC142" s="4"/>
      <c r="ABD142" s="4"/>
      <c r="ABE142" s="4"/>
      <c r="ABF142" s="4"/>
      <c r="ABG142" s="4"/>
      <c r="ABH142" s="4"/>
      <c r="ABI142" s="4"/>
      <c r="ABJ142" s="4"/>
      <c r="ABK142" s="4"/>
      <c r="ABL142" s="4"/>
      <c r="ABM142" s="4"/>
      <c r="ABN142" s="4"/>
      <c r="ABO142" s="4"/>
      <c r="ABP142" s="4"/>
      <c r="ABQ142" s="4"/>
      <c r="ABR142" s="4"/>
      <c r="ABS142" s="4"/>
      <c r="ABT142" s="4"/>
      <c r="ABU142" s="4"/>
      <c r="ABV142" s="4"/>
      <c r="ABW142" s="4"/>
      <c r="ABX142" s="4"/>
      <c r="ABY142" s="4"/>
      <c r="ABZ142" s="4"/>
      <c r="ACA142" s="4"/>
      <c r="ACB142" s="4"/>
      <c r="ACC142" s="4"/>
      <c r="ACD142" s="4"/>
      <c r="ACE142" s="4"/>
      <c r="ACF142" s="4"/>
      <c r="ACG142" s="4"/>
      <c r="ACH142" s="4"/>
      <c r="ACI142" s="4"/>
      <c r="ACJ142" s="4"/>
      <c r="ACK142" s="4"/>
      <c r="ACL142" s="4"/>
      <c r="ACM142" s="4"/>
      <c r="ACN142" s="4"/>
      <c r="ACO142" s="4"/>
      <c r="ACP142" s="4"/>
      <c r="ACQ142" s="4"/>
      <c r="ACR142" s="4"/>
      <c r="ACS142" s="4"/>
      <c r="ACT142" s="4"/>
      <c r="ACU142" s="4"/>
      <c r="ACV142" s="4"/>
      <c r="ACW142" s="4"/>
      <c r="ACX142" s="4"/>
      <c r="ACY142" s="4"/>
      <c r="ACZ142" s="4"/>
      <c r="ADA142" s="4"/>
      <c r="ADB142" s="4"/>
      <c r="ADC142" s="4"/>
      <c r="ADD142" s="4"/>
      <c r="ADE142" s="4"/>
      <c r="ADF142" s="4"/>
      <c r="ADG142" s="4"/>
      <c r="ADH142" s="4"/>
      <c r="ADI142" s="4"/>
      <c r="ADJ142" s="4"/>
      <c r="ADK142" s="4"/>
      <c r="ADL142" s="4"/>
      <c r="ADM142" s="4"/>
      <c r="ADN142" s="4"/>
      <c r="ADO142" s="4"/>
      <c r="ADP142" s="4"/>
      <c r="ADQ142" s="4"/>
      <c r="ADR142" s="4"/>
      <c r="ADS142" s="4"/>
      <c r="ADT142" s="4"/>
      <c r="ADU142" s="4"/>
      <c r="ADV142" s="4"/>
      <c r="ADW142" s="4"/>
      <c r="ADX142" s="4"/>
      <c r="ADY142" s="4"/>
      <c r="ADZ142" s="4"/>
      <c r="AEA142" s="4"/>
      <c r="AEB142" s="4"/>
      <c r="AEC142" s="4"/>
      <c r="AED142" s="4"/>
      <c r="AEE142" s="4"/>
      <c r="AEF142" s="4"/>
      <c r="AEG142" s="4"/>
      <c r="AEH142" s="4"/>
      <c r="AEI142" s="4"/>
      <c r="AEJ142" s="4"/>
      <c r="AEK142" s="4"/>
      <c r="AEL142" s="4"/>
      <c r="AEM142" s="4"/>
      <c r="AEN142" s="4"/>
      <c r="AEO142" s="4"/>
      <c r="AEP142" s="4"/>
      <c r="AEQ142" s="4"/>
      <c r="AER142" s="4"/>
      <c r="AES142" s="4"/>
      <c r="AET142" s="4"/>
      <c r="AEU142" s="4"/>
      <c r="AEV142" s="4"/>
      <c r="AEW142" s="4"/>
      <c r="AEX142" s="4"/>
      <c r="AEY142" s="4"/>
      <c r="AEZ142" s="4"/>
      <c r="AFA142" s="4"/>
      <c r="AFB142" s="4"/>
      <c r="AFC142" s="4"/>
      <c r="AFD142" s="4"/>
      <c r="AFE142" s="4"/>
      <c r="AFF142" s="4"/>
      <c r="AFG142" s="4"/>
      <c r="AFH142" s="4"/>
      <c r="AFI142" s="4"/>
      <c r="AFJ142" s="4"/>
      <c r="AFK142" s="4"/>
      <c r="AFL142" s="4"/>
      <c r="AFM142" s="4"/>
      <c r="AFN142" s="4"/>
      <c r="AFO142" s="4"/>
      <c r="AFP142" s="4"/>
      <c r="AFQ142" s="4"/>
      <c r="AFR142" s="4"/>
      <c r="AFS142" s="4"/>
      <c r="AFT142" s="4"/>
      <c r="AFU142" s="4"/>
      <c r="AFV142" s="4"/>
      <c r="AFW142" s="4"/>
      <c r="AFX142" s="4"/>
      <c r="AFY142" s="4"/>
      <c r="AFZ142" s="4"/>
      <c r="AGA142" s="4"/>
      <c r="AGB142" s="4"/>
      <c r="AGC142" s="4"/>
      <c r="AGD142" s="4"/>
      <c r="AGE142" s="4"/>
      <c r="AGF142" s="4"/>
      <c r="AGG142" s="4"/>
      <c r="AGH142" s="4"/>
      <c r="AGI142" s="4"/>
      <c r="AGJ142" s="4"/>
      <c r="AGK142" s="4"/>
      <c r="AGL142" s="4"/>
      <c r="AGM142" s="4"/>
      <c r="AGN142" s="4"/>
      <c r="AGO142" s="4"/>
      <c r="AGP142" s="4"/>
      <c r="AGQ142" s="4"/>
      <c r="AGR142" s="4"/>
      <c r="AGS142" s="4"/>
      <c r="AGT142" s="4"/>
      <c r="AGU142" s="4"/>
      <c r="AGV142" s="4"/>
      <c r="AGW142" s="4"/>
      <c r="AGX142" s="4"/>
      <c r="AGY142" s="4"/>
      <c r="AGZ142" s="4"/>
      <c r="AHA142" s="4"/>
      <c r="AHB142" s="4"/>
      <c r="AHC142" s="4"/>
      <c r="AHD142" s="4"/>
      <c r="AHE142" s="4"/>
      <c r="AHF142" s="4"/>
      <c r="AHG142" s="4"/>
      <c r="AHH142" s="4"/>
      <c r="AHI142" s="4"/>
      <c r="AHJ142" s="4"/>
      <c r="AHK142" s="4"/>
      <c r="AHL142" s="4"/>
      <c r="AHM142" s="4"/>
      <c r="AHN142" s="4"/>
      <c r="AHO142" s="4"/>
      <c r="AHP142" s="4"/>
      <c r="AHQ142" s="4"/>
      <c r="AHR142" s="4"/>
      <c r="AHS142" s="4"/>
      <c r="AHT142" s="4"/>
      <c r="AHU142" s="4"/>
      <c r="AHV142" s="4"/>
      <c r="AHW142" s="4"/>
      <c r="AHX142" s="4"/>
      <c r="AHY142" s="4"/>
      <c r="AHZ142" s="4"/>
      <c r="AIA142" s="4"/>
      <c r="AIB142" s="4"/>
      <c r="AIC142" s="4"/>
      <c r="AID142" s="4"/>
      <c r="AIE142" s="4"/>
      <c r="AIF142" s="4"/>
      <c r="AIG142" s="4"/>
      <c r="AIH142" s="4"/>
      <c r="AII142" s="4"/>
      <c r="AIJ142" s="4"/>
      <c r="AIK142" s="4"/>
      <c r="AIL142" s="4"/>
      <c r="AIM142" s="4"/>
      <c r="AIN142" s="4"/>
      <c r="AIO142" s="4"/>
      <c r="AIP142" s="4"/>
      <c r="AIQ142" s="4"/>
      <c r="AIR142" s="4"/>
      <c r="AIS142" s="4"/>
      <c r="AIT142" s="4"/>
      <c r="AIU142" s="4"/>
      <c r="AIV142" s="4"/>
      <c r="AIW142" s="4"/>
      <c r="AIX142" s="4"/>
      <c r="AIY142" s="4"/>
      <c r="AIZ142" s="4"/>
      <c r="AJA142" s="4"/>
      <c r="AJB142" s="4"/>
      <c r="AJC142" s="4"/>
      <c r="AJD142" s="4"/>
      <c r="AJE142" s="4"/>
      <c r="AJF142" s="4"/>
      <c r="AJG142" s="4"/>
      <c r="AJH142" s="4"/>
      <c r="AJI142" s="4"/>
      <c r="AJJ142" s="4"/>
      <c r="AJK142" s="4"/>
      <c r="AJL142" s="4"/>
      <c r="AJM142" s="4"/>
      <c r="AJN142" s="4"/>
      <c r="AJO142" s="4"/>
      <c r="AJP142" s="4"/>
      <c r="AJQ142" s="4"/>
      <c r="AJR142" s="4"/>
      <c r="AJS142" s="4"/>
      <c r="AJT142" s="4"/>
      <c r="AJU142" s="4"/>
      <c r="AJV142" s="4"/>
      <c r="AJW142" s="4"/>
      <c r="AJX142" s="4"/>
      <c r="AJY142" s="4"/>
      <c r="AJZ142" s="4"/>
      <c r="AKA142" s="4"/>
      <c r="AKB142" s="4"/>
      <c r="AKC142" s="4"/>
      <c r="AKD142" s="4"/>
      <c r="AKE142" s="4"/>
      <c r="AKF142" s="4"/>
      <c r="AKG142" s="4"/>
      <c r="AKH142" s="4"/>
      <c r="AKI142" s="4"/>
      <c r="AKJ142" s="4"/>
      <c r="AKK142" s="4"/>
      <c r="AKL142" s="4"/>
      <c r="AKM142" s="4"/>
      <c r="AKN142" s="4"/>
      <c r="AKO142" s="4"/>
      <c r="AKP142" s="4"/>
      <c r="AKQ142" s="4"/>
      <c r="AKR142" s="4"/>
      <c r="AKS142" s="4"/>
      <c r="AKT142" s="4"/>
      <c r="AKU142" s="4"/>
      <c r="AKV142" s="4"/>
      <c r="AKW142" s="4"/>
      <c r="AKX142" s="4"/>
      <c r="AKY142" s="4"/>
      <c r="AKZ142" s="4"/>
      <c r="ALA142" s="4"/>
      <c r="ALB142" s="4"/>
      <c r="ALC142" s="4"/>
      <c r="ALD142" s="4"/>
      <c r="ALE142" s="4"/>
      <c r="ALF142" s="4"/>
      <c r="ALG142" s="4"/>
      <c r="ALH142" s="4"/>
      <c r="ALI142" s="4"/>
      <c r="ALJ142" s="4"/>
      <c r="ALK142" s="4"/>
      <c r="ALL142" s="4"/>
      <c r="ALM142" s="4"/>
      <c r="ALN142" s="4"/>
      <c r="ALO142" s="4"/>
      <c r="ALP142" s="4"/>
      <c r="ALQ142" s="4"/>
      <c r="ALR142" s="4"/>
      <c r="ALS142" s="4"/>
      <c r="ALT142" s="4"/>
      <c r="ALU142" s="4"/>
      <c r="ALV142" s="4"/>
      <c r="ALW142" s="4"/>
      <c r="ALX142" s="4"/>
      <c r="ALY142" s="4"/>
      <c r="ALZ142" s="4"/>
      <c r="AMA142" s="4"/>
      <c r="AMB142" s="4"/>
      <c r="AMC142" s="4"/>
      <c r="AMD142" s="4"/>
      <c r="AME142" s="4"/>
      <c r="AMF142" s="4"/>
      <c r="AMG142" s="4"/>
      <c r="AMH142" s="4"/>
      <c r="AMI142" s="4"/>
      <c r="AMJ142" s="4"/>
      <c r="AMK142" s="4"/>
      <c r="AML142" s="4"/>
      <c r="AMM142" s="4"/>
      <c r="AMN142" s="4"/>
      <c r="AMO142" s="4"/>
      <c r="AMP142" s="4"/>
      <c r="AMQ142" s="4"/>
      <c r="AMR142" s="4"/>
      <c r="AMS142" s="4"/>
      <c r="AMT142" s="4"/>
      <c r="AMU142" s="4"/>
      <c r="AMV142" s="4"/>
      <c r="AMW142" s="4"/>
      <c r="AMX142" s="4"/>
      <c r="AMY142" s="4"/>
      <c r="AMZ142" s="4"/>
      <c r="ANA142" s="4"/>
      <c r="ANB142" s="4"/>
      <c r="ANC142" s="4"/>
      <c r="AND142" s="4"/>
      <c r="ANE142" s="4"/>
      <c r="ANF142" s="4"/>
      <c r="ANG142" s="4"/>
      <c r="ANH142" s="4"/>
      <c r="ANI142" s="4"/>
      <c r="ANJ142" s="4"/>
      <c r="ANK142" s="4"/>
      <c r="ANL142" s="4"/>
      <c r="ANM142" s="4"/>
      <c r="ANN142" s="4"/>
      <c r="ANO142" s="4"/>
      <c r="ANP142" s="4"/>
      <c r="ANQ142" s="4"/>
      <c r="ANR142" s="4"/>
      <c r="ANS142" s="4"/>
      <c r="ANT142" s="4"/>
      <c r="ANU142" s="4"/>
      <c r="ANV142" s="4"/>
      <c r="ANW142" s="4"/>
      <c r="ANX142" s="4"/>
      <c r="ANY142" s="4"/>
      <c r="ANZ142" s="4"/>
      <c r="AOA142" s="4"/>
      <c r="AOB142" s="4"/>
      <c r="AOC142" s="4"/>
      <c r="AOD142" s="4"/>
      <c r="AOE142" s="4"/>
      <c r="AOF142" s="4"/>
      <c r="AOG142" s="4"/>
      <c r="AOH142" s="4"/>
      <c r="AOI142" s="4"/>
      <c r="AOJ142" s="4"/>
      <c r="AOK142" s="4"/>
      <c r="AOL142" s="4"/>
      <c r="AOM142" s="4"/>
      <c r="AON142" s="4"/>
      <c r="AOO142" s="4"/>
      <c r="AOP142" s="4"/>
      <c r="AOQ142" s="4"/>
      <c r="AOR142" s="4"/>
      <c r="AOS142" s="4"/>
      <c r="AOT142" s="4"/>
      <c r="AOU142" s="4"/>
      <c r="AOV142" s="4"/>
      <c r="AOW142" s="4"/>
      <c r="AOX142" s="4"/>
      <c r="AOY142" s="4"/>
      <c r="AOZ142" s="4"/>
      <c r="APA142" s="4"/>
      <c r="APB142" s="4"/>
      <c r="APC142" s="4"/>
      <c r="APD142" s="4"/>
      <c r="APE142" s="4"/>
      <c r="APF142" s="4"/>
      <c r="APG142" s="4"/>
      <c r="APH142" s="4"/>
      <c r="API142" s="4"/>
      <c r="APJ142" s="4"/>
      <c r="APK142" s="4"/>
      <c r="APL142" s="4"/>
      <c r="APM142" s="4"/>
      <c r="APN142" s="4"/>
      <c r="APO142" s="4"/>
      <c r="APP142" s="4"/>
      <c r="APQ142" s="4"/>
      <c r="APR142" s="4"/>
      <c r="APS142" s="4"/>
      <c r="APT142" s="4"/>
      <c r="APU142" s="4"/>
      <c r="APV142" s="4"/>
      <c r="APW142" s="4"/>
      <c r="APX142" s="4"/>
      <c r="APY142" s="4"/>
      <c r="APZ142" s="4"/>
      <c r="AQA142" s="4"/>
      <c r="AQB142" s="4"/>
      <c r="AQC142" s="4"/>
      <c r="AQD142" s="4"/>
      <c r="AQE142" s="4"/>
      <c r="AQF142" s="4"/>
      <c r="AQG142" s="4"/>
      <c r="AQH142" s="4"/>
      <c r="AQI142" s="4"/>
      <c r="AQJ142" s="4"/>
      <c r="AQK142" s="4"/>
      <c r="AQL142" s="4"/>
      <c r="AQM142" s="4"/>
      <c r="AQN142" s="4"/>
      <c r="AQO142" s="4"/>
      <c r="AQP142" s="4"/>
      <c r="AQQ142" s="4"/>
      <c r="AQR142" s="4"/>
      <c r="AQS142" s="4"/>
      <c r="AQT142" s="4"/>
      <c r="AQU142" s="4"/>
      <c r="AQV142" s="4"/>
      <c r="AQW142" s="4"/>
      <c r="AQX142" s="4"/>
      <c r="AQY142" s="4"/>
      <c r="AQZ142" s="4"/>
      <c r="ARA142" s="4"/>
      <c r="ARB142" s="4"/>
      <c r="ARC142" s="4"/>
      <c r="ARD142" s="4"/>
      <c r="ARE142" s="4"/>
      <c r="ARF142" s="4"/>
      <c r="ARG142" s="4"/>
      <c r="ARH142" s="4"/>
      <c r="ARI142" s="4"/>
      <c r="ARJ142" s="4"/>
      <c r="ARK142" s="4"/>
      <c r="ARL142" s="4"/>
      <c r="ARM142" s="4"/>
      <c r="ARN142" s="4"/>
      <c r="ARO142" s="4"/>
      <c r="ARP142" s="4"/>
      <c r="ARQ142" s="4"/>
      <c r="ARR142" s="4"/>
      <c r="ARS142" s="4"/>
      <c r="ART142" s="4"/>
      <c r="ARU142" s="4"/>
      <c r="ARV142" s="4"/>
      <c r="ARW142" s="4"/>
      <c r="ARX142" s="4"/>
      <c r="ARY142" s="4"/>
      <c r="ARZ142" s="4"/>
      <c r="ASA142" s="4"/>
      <c r="ASB142" s="4"/>
      <c r="ASC142" s="4"/>
      <c r="ASD142" s="4"/>
      <c r="ASE142" s="4"/>
      <c r="ASF142" s="4"/>
      <c r="ASG142" s="4"/>
      <c r="ASH142" s="4"/>
      <c r="ASI142" s="4"/>
      <c r="ASJ142" s="4"/>
      <c r="ASK142" s="4"/>
      <c r="ASL142" s="4"/>
      <c r="ASM142" s="4"/>
      <c r="ASN142" s="4"/>
      <c r="ASO142" s="4"/>
      <c r="ASP142" s="4"/>
      <c r="ASQ142" s="4"/>
      <c r="ASR142" s="4"/>
      <c r="ASS142" s="4"/>
      <c r="AST142" s="4"/>
      <c r="ASU142" s="4"/>
      <c r="ASV142" s="4"/>
      <c r="ASW142" s="4"/>
      <c r="ASX142" s="4"/>
      <c r="ASY142" s="4"/>
      <c r="ASZ142" s="4"/>
      <c r="ATA142" s="4"/>
      <c r="ATB142" s="4"/>
      <c r="ATC142" s="4"/>
      <c r="ATD142" s="4"/>
      <c r="ATE142" s="4"/>
      <c r="ATF142" s="4"/>
      <c r="ATG142" s="4"/>
      <c r="ATH142" s="4"/>
      <c r="ATI142" s="4"/>
      <c r="ATJ142" s="4"/>
      <c r="ATK142" s="4"/>
      <c r="ATL142" s="4"/>
      <c r="ATM142" s="4"/>
      <c r="ATN142" s="4"/>
      <c r="ATO142" s="4"/>
      <c r="ATP142" s="4"/>
      <c r="ATQ142" s="4"/>
      <c r="ATR142" s="4"/>
      <c r="ATS142" s="4"/>
      <c r="ATT142" s="4"/>
      <c r="ATU142" s="4"/>
      <c r="ATV142" s="4"/>
      <c r="ATW142" s="4"/>
      <c r="ATX142" s="4"/>
      <c r="ATY142" s="4"/>
      <c r="ATZ142" s="4"/>
      <c r="AUA142" s="4"/>
      <c r="AUB142" s="4"/>
      <c r="AUC142" s="4"/>
      <c r="AUD142" s="4"/>
      <c r="AUE142" s="4"/>
      <c r="AUF142" s="4"/>
      <c r="AUG142" s="4"/>
      <c r="AUH142" s="4"/>
      <c r="AUI142" s="4"/>
      <c r="AUJ142" s="4"/>
      <c r="AUK142" s="4"/>
      <c r="AUL142" s="4"/>
      <c r="AUM142" s="4"/>
      <c r="AUN142" s="4"/>
      <c r="AUO142" s="4"/>
      <c r="AUP142" s="4"/>
      <c r="AUQ142" s="4"/>
      <c r="AUR142" s="4"/>
      <c r="AUS142" s="4"/>
      <c r="AUT142" s="4"/>
      <c r="AUU142" s="4"/>
      <c r="AUV142" s="4"/>
      <c r="AUW142" s="4"/>
      <c r="AUX142" s="4"/>
      <c r="AUY142" s="4"/>
      <c r="AUZ142" s="4"/>
      <c r="AVA142" s="4"/>
      <c r="AVB142" s="4"/>
      <c r="AVC142" s="4"/>
      <c r="AVD142" s="4"/>
      <c r="AVE142" s="4"/>
      <c r="AVF142" s="4"/>
      <c r="AVG142" s="4"/>
      <c r="AVH142" s="4"/>
      <c r="AVI142" s="4"/>
      <c r="AVJ142" s="4"/>
      <c r="AVK142" s="4"/>
      <c r="AVL142" s="4"/>
      <c r="AVM142" s="4"/>
      <c r="AVN142" s="4"/>
      <c r="AVO142" s="4"/>
      <c r="AVP142" s="4"/>
      <c r="AVQ142" s="4"/>
      <c r="AVR142" s="4"/>
      <c r="AVS142" s="4"/>
      <c r="AVT142" s="4"/>
      <c r="AVU142" s="4"/>
      <c r="AVV142" s="4"/>
      <c r="AVW142" s="4"/>
      <c r="AVX142" s="4"/>
      <c r="AVY142" s="4"/>
      <c r="AVZ142" s="4"/>
      <c r="AWA142" s="4"/>
      <c r="AWB142" s="4"/>
      <c r="AWC142" s="4"/>
      <c r="AWD142" s="4"/>
      <c r="AWE142" s="4"/>
      <c r="AWF142" s="4"/>
      <c r="AWG142" s="4"/>
      <c r="AWH142" s="4"/>
      <c r="AWI142" s="4"/>
      <c r="AWJ142" s="4"/>
      <c r="AWK142" s="4"/>
      <c r="AWL142" s="4"/>
      <c r="AWM142" s="4"/>
      <c r="AWN142" s="4"/>
      <c r="AWO142" s="4"/>
      <c r="AWP142" s="4"/>
      <c r="AWQ142" s="4"/>
      <c r="AWR142" s="4"/>
      <c r="AWS142" s="4"/>
      <c r="AWT142" s="4"/>
      <c r="AWU142" s="4"/>
      <c r="AWV142" s="4"/>
      <c r="AWW142" s="4"/>
      <c r="AWX142" s="4"/>
      <c r="AWY142" s="4"/>
      <c r="AWZ142" s="4"/>
      <c r="AXA142" s="4"/>
      <c r="AXB142" s="4"/>
      <c r="AXC142" s="4"/>
      <c r="AXD142" s="4"/>
      <c r="AXE142" s="4"/>
      <c r="AXF142" s="4"/>
      <c r="AXG142" s="4"/>
      <c r="AXH142" s="4"/>
      <c r="AXI142" s="4"/>
      <c r="AXJ142" s="4"/>
      <c r="AXK142" s="4"/>
      <c r="AXL142" s="4"/>
      <c r="AXM142" s="4"/>
      <c r="AXN142" s="4"/>
      <c r="AXO142" s="4"/>
      <c r="AXP142" s="4"/>
      <c r="AXQ142" s="4"/>
      <c r="AXR142" s="4"/>
      <c r="AXS142" s="4"/>
      <c r="AXT142" s="4"/>
      <c r="AXU142" s="4"/>
      <c r="AXV142" s="4"/>
      <c r="AXW142" s="4"/>
      <c r="AXX142" s="4"/>
      <c r="AXY142" s="4"/>
      <c r="AXZ142" s="4"/>
      <c r="AYA142" s="4"/>
      <c r="AYB142" s="4"/>
      <c r="AYC142" s="4"/>
      <c r="AYD142" s="4"/>
      <c r="AYE142" s="4"/>
      <c r="AYF142" s="4"/>
      <c r="AYG142" s="4"/>
      <c r="AYH142" s="4"/>
      <c r="AYI142" s="4"/>
      <c r="AYJ142" s="4"/>
      <c r="AYK142" s="4"/>
      <c r="AYL142" s="4"/>
      <c r="AYM142" s="4"/>
      <c r="AYN142" s="4"/>
      <c r="AYO142" s="4"/>
      <c r="AYP142" s="4"/>
      <c r="AYQ142" s="4"/>
      <c r="AYR142" s="4"/>
      <c r="AYS142" s="4"/>
      <c r="AYT142" s="4"/>
      <c r="AYU142" s="4"/>
      <c r="AYV142" s="4"/>
      <c r="AYW142" s="4"/>
      <c r="AYX142" s="4"/>
      <c r="AYY142" s="4"/>
      <c r="AYZ142" s="4"/>
      <c r="AZA142" s="4"/>
      <c r="AZB142" s="4"/>
      <c r="AZC142" s="4"/>
      <c r="AZD142" s="4"/>
      <c r="AZE142" s="4"/>
      <c r="AZF142" s="4"/>
      <c r="AZG142" s="4"/>
      <c r="AZH142" s="4"/>
      <c r="AZI142" s="4"/>
      <c r="AZJ142" s="4"/>
      <c r="AZK142" s="4"/>
      <c r="AZL142" s="4"/>
      <c r="AZM142" s="4"/>
      <c r="AZN142" s="4"/>
      <c r="AZO142" s="4"/>
      <c r="AZP142" s="4"/>
      <c r="AZQ142" s="4"/>
      <c r="AZR142" s="4"/>
      <c r="AZS142" s="4"/>
      <c r="AZT142" s="4"/>
      <c r="AZU142" s="4"/>
      <c r="AZV142" s="4"/>
      <c r="AZW142" s="4"/>
      <c r="AZX142" s="4"/>
      <c r="AZY142" s="4"/>
      <c r="AZZ142" s="4"/>
      <c r="BAA142" s="4"/>
      <c r="BAB142" s="4"/>
      <c r="BAC142" s="4"/>
      <c r="BAD142" s="4"/>
      <c r="BAE142" s="4"/>
      <c r="BAF142" s="4"/>
      <c r="BAG142" s="4"/>
      <c r="BAH142" s="4"/>
      <c r="BAI142" s="4"/>
      <c r="BAJ142" s="4"/>
      <c r="BAK142" s="4"/>
      <c r="BAL142" s="4"/>
      <c r="BAM142" s="4"/>
      <c r="BAN142" s="4"/>
      <c r="BAO142" s="4"/>
      <c r="BAP142" s="4"/>
      <c r="BAQ142" s="4"/>
      <c r="BAR142" s="4"/>
      <c r="BAS142" s="4"/>
      <c r="BAT142" s="4"/>
      <c r="BAU142" s="4"/>
      <c r="BAV142" s="4"/>
      <c r="BAW142" s="4"/>
      <c r="BAX142" s="4"/>
      <c r="BAY142" s="4"/>
      <c r="BAZ142" s="4"/>
      <c r="BBA142" s="4"/>
      <c r="BBB142" s="4"/>
      <c r="BBC142" s="4"/>
      <c r="BBD142" s="4"/>
      <c r="BBE142" s="4"/>
      <c r="BBF142" s="4"/>
      <c r="BBG142" s="4"/>
      <c r="BBH142" s="4"/>
      <c r="BBI142" s="4"/>
      <c r="BBJ142" s="4"/>
      <c r="BBK142" s="4"/>
      <c r="BBL142" s="4"/>
      <c r="BBM142" s="4"/>
      <c r="BBN142" s="4"/>
      <c r="BBO142" s="4"/>
      <c r="BBP142" s="4"/>
      <c r="BBQ142" s="4"/>
      <c r="BBR142" s="4"/>
      <c r="BBS142" s="4"/>
      <c r="BBT142" s="4"/>
      <c r="BBU142" s="4"/>
      <c r="BBV142" s="4"/>
      <c r="BBW142" s="4"/>
      <c r="BBX142" s="4"/>
      <c r="BBY142" s="4"/>
      <c r="BBZ142" s="4"/>
      <c r="BCA142" s="4"/>
      <c r="BCB142" s="4"/>
      <c r="BCC142" s="4"/>
      <c r="BCD142" s="4"/>
      <c r="BCE142" s="4"/>
      <c r="BCF142" s="4"/>
      <c r="BCG142" s="4"/>
      <c r="BCH142" s="4"/>
      <c r="BCI142" s="4"/>
      <c r="BCJ142" s="4"/>
      <c r="BCK142" s="4"/>
      <c r="BCL142" s="4"/>
      <c r="BCM142" s="4"/>
      <c r="BCN142" s="4"/>
      <c r="BCO142" s="4"/>
      <c r="BCP142" s="4"/>
      <c r="BCQ142" s="4"/>
      <c r="BCR142" s="4"/>
      <c r="BCS142" s="4"/>
      <c r="BCT142" s="4"/>
      <c r="BCU142" s="4"/>
      <c r="BCV142" s="4"/>
      <c r="BCW142" s="4"/>
      <c r="BCX142" s="4"/>
      <c r="BCY142" s="4"/>
      <c r="BCZ142" s="4"/>
      <c r="BDA142" s="4"/>
      <c r="BDB142" s="4"/>
      <c r="BDC142" s="4"/>
      <c r="BDD142" s="4"/>
      <c r="BDE142" s="4"/>
      <c r="BDF142" s="4"/>
      <c r="BDG142" s="4"/>
      <c r="BDH142" s="4"/>
      <c r="BDI142" s="4"/>
      <c r="BDJ142" s="4"/>
      <c r="BDK142" s="4"/>
      <c r="BDL142" s="4"/>
      <c r="BDM142" s="4"/>
      <c r="BDN142" s="4"/>
      <c r="BDO142" s="4"/>
      <c r="BDP142" s="4"/>
      <c r="BDQ142" s="4"/>
      <c r="BDR142" s="4"/>
      <c r="BDS142" s="4"/>
      <c r="BDT142" s="4"/>
      <c r="BDU142" s="4"/>
      <c r="BDV142" s="4"/>
      <c r="BDW142" s="4"/>
      <c r="BDX142" s="4"/>
      <c r="BDY142" s="4"/>
      <c r="BDZ142" s="4"/>
      <c r="BEA142" s="4"/>
      <c r="BEB142" s="4"/>
      <c r="BEC142" s="4"/>
      <c r="BED142" s="4"/>
      <c r="BEE142" s="4"/>
      <c r="BEF142" s="4"/>
      <c r="BEG142" s="4"/>
      <c r="BEH142" s="4"/>
      <c r="BEI142" s="4"/>
      <c r="BEJ142" s="4"/>
      <c r="BEK142" s="4"/>
      <c r="BEL142" s="4"/>
      <c r="BEM142" s="4"/>
      <c r="BEN142" s="4"/>
      <c r="BEO142" s="4"/>
      <c r="BEP142" s="4"/>
      <c r="BEQ142" s="4"/>
      <c r="BER142" s="4"/>
      <c r="BES142" s="4"/>
      <c r="BET142" s="4"/>
      <c r="BEU142" s="4"/>
      <c r="BEV142" s="4"/>
      <c r="BEW142" s="4"/>
      <c r="BEX142" s="4"/>
      <c r="BEY142" s="4"/>
      <c r="BEZ142" s="4"/>
      <c r="BFA142" s="4"/>
      <c r="BFB142" s="4"/>
      <c r="BFC142" s="4"/>
      <c r="BFD142" s="4"/>
      <c r="BFE142" s="4"/>
      <c r="BFF142" s="4"/>
      <c r="BFG142" s="4"/>
      <c r="BFH142" s="4"/>
      <c r="BFI142" s="4"/>
      <c r="BFJ142" s="4"/>
      <c r="BFK142" s="4"/>
      <c r="BFL142" s="4"/>
      <c r="BFM142" s="4"/>
      <c r="BFN142" s="4"/>
      <c r="BFO142" s="4"/>
      <c r="BFP142" s="4"/>
      <c r="BFQ142" s="4"/>
      <c r="BFR142" s="4"/>
      <c r="BFS142" s="4"/>
      <c r="BFT142" s="4"/>
      <c r="BFU142" s="4"/>
      <c r="BFV142" s="4"/>
      <c r="BFW142" s="4"/>
      <c r="BFX142" s="4"/>
      <c r="BFY142" s="4"/>
      <c r="BFZ142" s="4"/>
      <c r="BGA142" s="4"/>
      <c r="BGB142" s="4"/>
      <c r="BGC142" s="4"/>
      <c r="BGD142" s="4"/>
      <c r="BGE142" s="4"/>
      <c r="BGF142" s="4"/>
      <c r="BGG142" s="4"/>
      <c r="BGH142" s="4"/>
      <c r="BGI142" s="4"/>
      <c r="BGJ142" s="4"/>
      <c r="BGK142" s="4"/>
      <c r="BGL142" s="4"/>
      <c r="BGM142" s="4"/>
      <c r="BGN142" s="4"/>
      <c r="BGO142" s="4"/>
      <c r="BGP142" s="4"/>
      <c r="BGQ142" s="4"/>
      <c r="BGR142" s="4"/>
      <c r="BGS142" s="4"/>
      <c r="BGT142" s="4"/>
      <c r="BGU142" s="4"/>
      <c r="BGV142" s="4"/>
      <c r="BGW142" s="4"/>
      <c r="BGX142" s="4"/>
      <c r="BGY142" s="4"/>
      <c r="BGZ142" s="4"/>
      <c r="BHA142" s="4"/>
      <c r="BHB142" s="4"/>
      <c r="BHC142" s="4"/>
      <c r="BHD142" s="4"/>
      <c r="BHE142" s="4"/>
      <c r="BHF142" s="4"/>
      <c r="BHG142" s="4"/>
      <c r="BHH142" s="4"/>
      <c r="BHI142" s="4"/>
      <c r="BHJ142" s="4"/>
      <c r="BHK142" s="4"/>
      <c r="BHL142" s="4"/>
      <c r="BHM142" s="4"/>
      <c r="BHN142" s="4"/>
      <c r="BHO142" s="4"/>
      <c r="BHP142" s="4"/>
      <c r="BHQ142" s="4"/>
      <c r="BHR142" s="4"/>
      <c r="BHS142" s="4"/>
      <c r="BHT142" s="4"/>
      <c r="BHU142" s="4"/>
      <c r="BHV142" s="4"/>
      <c r="BHW142" s="4"/>
      <c r="BHX142" s="4"/>
      <c r="BHY142" s="4"/>
      <c r="BHZ142" s="4"/>
      <c r="BIA142" s="4"/>
      <c r="BIB142" s="4"/>
      <c r="BIC142" s="4"/>
      <c r="BID142" s="4"/>
      <c r="BIE142" s="4"/>
      <c r="BIF142" s="4"/>
      <c r="BIG142" s="4"/>
      <c r="BIH142" s="4"/>
      <c r="BII142" s="4"/>
      <c r="BIJ142" s="4"/>
      <c r="BIK142" s="4"/>
      <c r="BIL142" s="4"/>
      <c r="BIM142" s="4"/>
      <c r="BIN142" s="4"/>
      <c r="BIO142" s="4"/>
      <c r="BIP142" s="4"/>
      <c r="BIQ142" s="4"/>
      <c r="BIR142" s="4"/>
      <c r="BIS142" s="4"/>
      <c r="BIT142" s="4"/>
      <c r="BIU142" s="4"/>
      <c r="BIV142" s="4"/>
      <c r="BIW142" s="4"/>
      <c r="BIX142" s="4"/>
      <c r="BIY142" s="4"/>
      <c r="BIZ142" s="4"/>
      <c r="BJA142" s="4"/>
      <c r="BJB142" s="4"/>
      <c r="BJC142" s="4"/>
      <c r="BJD142" s="4"/>
      <c r="BJE142" s="4"/>
      <c r="BJF142" s="4"/>
      <c r="BJG142" s="4"/>
      <c r="BJH142" s="4"/>
      <c r="BJI142" s="4"/>
      <c r="BJJ142" s="4"/>
      <c r="BJK142" s="4"/>
      <c r="BJL142" s="4"/>
      <c r="BJM142" s="4"/>
      <c r="BJN142" s="4"/>
      <c r="BJO142" s="4"/>
      <c r="BJP142" s="4"/>
      <c r="BJQ142" s="4"/>
      <c r="BJR142" s="4"/>
      <c r="BJS142" s="4"/>
      <c r="BJT142" s="4"/>
      <c r="BJU142" s="4"/>
      <c r="BJV142" s="4"/>
      <c r="BJW142" s="4"/>
      <c r="BJX142" s="4"/>
      <c r="BJY142" s="4"/>
      <c r="BJZ142" s="4"/>
      <c r="BKA142" s="4"/>
      <c r="BKB142" s="4"/>
      <c r="BKC142" s="4"/>
      <c r="BKD142" s="4"/>
      <c r="BKE142" s="4"/>
      <c r="BKF142" s="4"/>
      <c r="BKG142" s="4"/>
      <c r="BKH142" s="4"/>
      <c r="BKI142" s="4"/>
      <c r="BKJ142" s="4"/>
      <c r="BKK142" s="4"/>
      <c r="BKL142" s="4"/>
      <c r="BKM142" s="4"/>
      <c r="BKN142" s="4"/>
      <c r="BKO142" s="4"/>
      <c r="BKP142" s="4"/>
      <c r="BKQ142" s="4"/>
      <c r="BKR142" s="4"/>
      <c r="BKS142" s="4"/>
      <c r="BKT142" s="4"/>
      <c r="BKU142" s="4"/>
      <c r="BKV142" s="4"/>
      <c r="BKW142" s="4"/>
      <c r="BKX142" s="4"/>
      <c r="BKY142" s="4"/>
      <c r="BKZ142" s="4"/>
      <c r="BLA142" s="4"/>
      <c r="BLB142" s="4"/>
      <c r="BLC142" s="4"/>
      <c r="BLD142" s="4"/>
      <c r="BLE142" s="4"/>
      <c r="BLF142" s="4"/>
      <c r="BLG142" s="4"/>
      <c r="BLH142" s="4"/>
      <c r="BLI142" s="4"/>
      <c r="BLJ142" s="4"/>
      <c r="BLK142" s="4"/>
      <c r="BLL142" s="4"/>
      <c r="BLM142" s="4"/>
      <c r="BLN142" s="4"/>
      <c r="BLO142" s="4"/>
      <c r="BLP142" s="4"/>
      <c r="BLQ142" s="4"/>
      <c r="BLR142" s="4"/>
      <c r="BLS142" s="4"/>
      <c r="BLT142" s="4"/>
      <c r="BLU142" s="4"/>
      <c r="BLV142" s="4"/>
      <c r="BLW142" s="4"/>
      <c r="BLX142" s="4"/>
      <c r="BLY142" s="4"/>
      <c r="BLZ142" s="4"/>
      <c r="BMA142" s="4"/>
      <c r="BMB142" s="4"/>
      <c r="BMC142" s="4"/>
      <c r="BMD142" s="4"/>
      <c r="BME142" s="4"/>
      <c r="BMF142" s="4"/>
      <c r="BMG142" s="4"/>
      <c r="BMH142" s="4"/>
      <c r="BMI142" s="4"/>
      <c r="BMJ142" s="4"/>
      <c r="BMK142" s="4"/>
      <c r="BML142" s="4"/>
      <c r="BMM142" s="4"/>
      <c r="BMN142" s="4"/>
      <c r="BMO142" s="4"/>
      <c r="BMP142" s="4"/>
      <c r="BMQ142" s="4"/>
      <c r="BMR142" s="4"/>
      <c r="BMS142" s="4"/>
      <c r="BMT142" s="4"/>
      <c r="BMU142" s="4"/>
      <c r="BMV142" s="4"/>
      <c r="BMW142" s="4"/>
      <c r="BMX142" s="4"/>
      <c r="BMY142" s="4"/>
      <c r="BMZ142" s="4"/>
      <c r="BNA142" s="4"/>
      <c r="BNB142" s="4"/>
      <c r="BNC142" s="4"/>
      <c r="BND142" s="4"/>
      <c r="BNE142" s="4"/>
      <c r="BNF142" s="4"/>
      <c r="BNG142" s="4"/>
      <c r="BNH142" s="4"/>
      <c r="BNI142" s="4"/>
      <c r="BNJ142" s="4"/>
      <c r="BNK142" s="4"/>
      <c r="BNL142" s="4"/>
      <c r="BNM142" s="4"/>
      <c r="BNN142" s="4"/>
      <c r="BNO142" s="4"/>
      <c r="BNP142" s="4"/>
      <c r="BNQ142" s="4"/>
      <c r="BNR142" s="4"/>
      <c r="BNS142" s="4"/>
      <c r="BNT142" s="4"/>
      <c r="BNU142" s="4"/>
      <c r="BNV142" s="4"/>
      <c r="BNW142" s="4"/>
      <c r="BNX142" s="4"/>
      <c r="BNY142" s="4"/>
      <c r="BNZ142" s="4"/>
      <c r="BOA142" s="4"/>
      <c r="BOB142" s="4"/>
      <c r="BOC142" s="4"/>
      <c r="BOD142" s="4"/>
      <c r="BOE142" s="4"/>
      <c r="BOF142" s="4"/>
      <c r="BOG142" s="4"/>
      <c r="BOH142" s="4"/>
      <c r="BOI142" s="4"/>
      <c r="BOJ142" s="4"/>
      <c r="BOK142" s="4"/>
      <c r="BOL142" s="4"/>
      <c r="BOM142" s="4"/>
      <c r="BON142" s="4"/>
      <c r="BOO142" s="4"/>
      <c r="BOP142" s="4"/>
      <c r="BOQ142" s="4"/>
      <c r="BOR142" s="4"/>
      <c r="BOS142" s="4"/>
      <c r="BOT142" s="4"/>
      <c r="BOU142" s="4"/>
      <c r="BOV142" s="4"/>
      <c r="BOW142" s="4"/>
      <c r="BOX142" s="4"/>
      <c r="BOY142" s="4"/>
      <c r="BOZ142" s="4"/>
      <c r="BPA142" s="4"/>
      <c r="BPB142" s="4"/>
      <c r="BPC142" s="4"/>
      <c r="BPD142" s="4"/>
      <c r="BPE142" s="4"/>
      <c r="BPF142" s="4"/>
      <c r="BPG142" s="4"/>
      <c r="BPH142" s="4"/>
      <c r="BPI142" s="4"/>
      <c r="BPJ142" s="4"/>
      <c r="BPK142" s="4"/>
      <c r="BPL142" s="4"/>
      <c r="BPM142" s="4"/>
      <c r="BPN142" s="4"/>
      <c r="BPO142" s="4"/>
      <c r="BPP142" s="4"/>
      <c r="BPQ142" s="4"/>
      <c r="BPR142" s="4"/>
      <c r="BPS142" s="4"/>
      <c r="BPT142" s="4"/>
      <c r="BPU142" s="4"/>
      <c r="BPV142" s="4"/>
      <c r="BPW142" s="4"/>
      <c r="BPX142" s="4"/>
      <c r="BPY142" s="4"/>
      <c r="BPZ142" s="4"/>
      <c r="BQA142" s="4"/>
      <c r="BQB142" s="4"/>
      <c r="BQC142" s="4"/>
      <c r="BQD142" s="4"/>
      <c r="BQE142" s="4"/>
      <c r="BQF142" s="4"/>
      <c r="BQG142" s="4"/>
      <c r="BQH142" s="4"/>
      <c r="BQI142" s="4"/>
      <c r="BQJ142" s="4"/>
      <c r="BQK142" s="4"/>
      <c r="BQL142" s="4"/>
      <c r="BQM142" s="4"/>
      <c r="BQN142" s="4"/>
      <c r="BQO142" s="4"/>
      <c r="BQP142" s="4"/>
      <c r="BQQ142" s="4"/>
      <c r="BQR142" s="4"/>
      <c r="BQS142" s="4"/>
      <c r="BQT142" s="4"/>
      <c r="BQU142" s="4"/>
      <c r="BQV142" s="4"/>
      <c r="BQW142" s="4"/>
      <c r="BQX142" s="4"/>
      <c r="BQY142" s="4"/>
      <c r="BQZ142" s="4"/>
      <c r="BRA142" s="4"/>
      <c r="BRB142" s="4"/>
      <c r="BRC142" s="4"/>
      <c r="BRD142" s="4"/>
      <c r="BRE142" s="4"/>
      <c r="BRF142" s="4"/>
      <c r="BRG142" s="4"/>
      <c r="BRH142" s="4"/>
      <c r="BRI142" s="4"/>
      <c r="BRJ142" s="4"/>
      <c r="BRK142" s="4"/>
      <c r="BRL142" s="4"/>
      <c r="BRM142" s="4"/>
      <c r="BRN142" s="4"/>
      <c r="BRO142" s="4"/>
      <c r="BRP142" s="4"/>
      <c r="BRQ142" s="4"/>
      <c r="BRR142" s="4"/>
      <c r="BRS142" s="4"/>
      <c r="BRT142" s="4"/>
      <c r="BRU142" s="4"/>
      <c r="BRV142" s="4"/>
      <c r="BRW142" s="4"/>
      <c r="BRX142" s="4"/>
      <c r="BRY142" s="4"/>
      <c r="BRZ142" s="4"/>
      <c r="BSA142" s="4"/>
      <c r="BSB142" s="4"/>
      <c r="BSC142" s="4"/>
      <c r="BSD142" s="4"/>
      <c r="BSE142" s="4"/>
      <c r="BSF142" s="4"/>
      <c r="BSG142" s="4"/>
      <c r="BSH142" s="4"/>
      <c r="BSI142" s="4"/>
      <c r="BSJ142" s="4"/>
      <c r="BSK142" s="4"/>
      <c r="BSL142" s="4"/>
      <c r="BSM142" s="4"/>
      <c r="BSN142" s="4"/>
      <c r="BSO142" s="4"/>
      <c r="BSP142" s="4"/>
      <c r="BSQ142" s="4"/>
      <c r="BSR142" s="4"/>
      <c r="BSS142" s="4"/>
      <c r="BST142" s="4"/>
      <c r="BSU142" s="4"/>
      <c r="BSV142" s="4"/>
      <c r="BSW142" s="4"/>
      <c r="BSX142" s="4"/>
      <c r="BSY142" s="4"/>
      <c r="BSZ142" s="4"/>
      <c r="BTA142" s="4"/>
      <c r="BTB142" s="4"/>
      <c r="BTC142" s="4"/>
      <c r="BTD142" s="4"/>
      <c r="BTE142" s="4"/>
      <c r="BTF142" s="4"/>
      <c r="BTG142" s="4"/>
      <c r="BTH142" s="4"/>
      <c r="BTI142" s="4"/>
      <c r="BTJ142" s="4"/>
      <c r="BTK142" s="4"/>
      <c r="BTL142" s="4"/>
      <c r="BTM142" s="4"/>
      <c r="BTN142" s="4"/>
      <c r="BTO142" s="4"/>
      <c r="BTP142" s="4"/>
      <c r="BTQ142" s="4"/>
      <c r="BTR142" s="4"/>
      <c r="BTS142" s="4"/>
      <c r="BTT142" s="4"/>
      <c r="BTU142" s="4"/>
      <c r="BTV142" s="4"/>
      <c r="BTW142" s="4"/>
      <c r="BTX142" s="4"/>
      <c r="BTY142" s="4"/>
      <c r="BTZ142" s="4"/>
      <c r="BUA142" s="4"/>
      <c r="BUB142" s="4"/>
      <c r="BUC142" s="4"/>
      <c r="BUD142" s="4"/>
      <c r="BUE142" s="4"/>
      <c r="BUF142" s="4"/>
      <c r="BUG142" s="4"/>
      <c r="BUH142" s="4"/>
      <c r="BUI142" s="4"/>
      <c r="BUJ142" s="4"/>
      <c r="BUK142" s="4"/>
      <c r="BUL142" s="4"/>
      <c r="BUM142" s="4"/>
      <c r="BUN142" s="4"/>
      <c r="BUO142" s="4"/>
      <c r="BUP142" s="4"/>
      <c r="BUQ142" s="4"/>
      <c r="BUR142" s="4"/>
      <c r="BUS142" s="4"/>
      <c r="BUT142" s="4"/>
      <c r="BUU142" s="4"/>
      <c r="BUV142" s="4"/>
      <c r="BUW142" s="4"/>
      <c r="BUX142" s="4"/>
      <c r="BUY142" s="4"/>
      <c r="BUZ142" s="4"/>
      <c r="BVA142" s="4"/>
      <c r="BVB142" s="4"/>
      <c r="BVC142" s="4"/>
      <c r="BVD142" s="4"/>
      <c r="BVE142" s="4"/>
      <c r="BVF142" s="4"/>
      <c r="BVG142" s="4"/>
      <c r="BVH142" s="4"/>
      <c r="BVI142" s="4"/>
      <c r="BVJ142" s="4"/>
      <c r="BVK142" s="4"/>
      <c r="BVL142" s="4"/>
      <c r="BVM142" s="4"/>
      <c r="BVN142" s="4"/>
      <c r="BVO142" s="4"/>
      <c r="BVP142" s="4"/>
      <c r="BVQ142" s="4"/>
      <c r="BVR142" s="4"/>
      <c r="BVS142" s="4"/>
      <c r="BVT142" s="4"/>
      <c r="BVU142" s="4"/>
      <c r="BVV142" s="4"/>
      <c r="BVW142" s="4"/>
      <c r="BVX142" s="4"/>
      <c r="BVY142" s="4"/>
      <c r="BVZ142" s="4"/>
      <c r="BWA142" s="4"/>
      <c r="BWB142" s="4"/>
      <c r="BWC142" s="4"/>
      <c r="BWD142" s="4"/>
      <c r="BWE142" s="4"/>
      <c r="BWF142" s="4"/>
      <c r="BWG142" s="4"/>
      <c r="BWH142" s="4"/>
      <c r="BWI142" s="4"/>
      <c r="BWJ142" s="4"/>
      <c r="BWK142" s="4"/>
      <c r="BWL142" s="4"/>
      <c r="BWM142" s="4"/>
      <c r="BWN142" s="4"/>
      <c r="BWO142" s="4"/>
      <c r="BWP142" s="4"/>
      <c r="BWQ142" s="4"/>
      <c r="BWR142" s="4"/>
      <c r="BWS142" s="4"/>
      <c r="BWT142" s="4"/>
      <c r="BWU142" s="4"/>
      <c r="BWV142" s="4"/>
      <c r="BWW142" s="4"/>
      <c r="BWX142" s="4"/>
      <c r="BWY142" s="4"/>
      <c r="BWZ142" s="4"/>
      <c r="BXA142" s="4"/>
      <c r="BXB142" s="4"/>
      <c r="BXC142" s="4"/>
      <c r="BXD142" s="4"/>
      <c r="BXE142" s="4"/>
      <c r="BXF142" s="4"/>
      <c r="BXG142" s="4"/>
      <c r="BXH142" s="4"/>
      <c r="BXI142" s="4"/>
      <c r="BXJ142" s="4"/>
      <c r="BXK142" s="4"/>
      <c r="BXL142" s="4"/>
      <c r="BXM142" s="4"/>
      <c r="BXN142" s="4"/>
      <c r="BXO142" s="4"/>
      <c r="BXP142" s="4"/>
      <c r="BXQ142" s="4"/>
      <c r="BXR142" s="4"/>
      <c r="BXS142" s="4"/>
      <c r="BXT142" s="4"/>
      <c r="BXU142" s="4"/>
      <c r="BXV142" s="4"/>
      <c r="BXW142" s="4"/>
      <c r="BXX142" s="4"/>
      <c r="BXY142" s="4"/>
      <c r="BXZ142" s="4"/>
      <c r="BYA142" s="4"/>
      <c r="BYB142" s="4"/>
      <c r="BYC142" s="4"/>
      <c r="BYD142" s="4"/>
      <c r="BYE142" s="4"/>
      <c r="BYF142" s="4"/>
      <c r="BYG142" s="4"/>
      <c r="BYH142" s="4"/>
      <c r="BYI142" s="4"/>
      <c r="BYJ142" s="4"/>
      <c r="BYK142" s="4"/>
      <c r="BYL142" s="4"/>
      <c r="BYM142" s="4"/>
      <c r="BYN142" s="4"/>
      <c r="BYO142" s="4"/>
      <c r="BYP142" s="4"/>
      <c r="BYQ142" s="4"/>
      <c r="BYR142" s="4"/>
      <c r="BYS142" s="4"/>
      <c r="BYT142" s="4"/>
      <c r="BYU142" s="4"/>
      <c r="BYV142" s="4"/>
      <c r="BYW142" s="4"/>
      <c r="BYX142" s="4"/>
      <c r="BYY142" s="4"/>
      <c r="BYZ142" s="4"/>
      <c r="BZA142" s="4"/>
      <c r="BZB142" s="4"/>
      <c r="BZC142" s="4"/>
      <c r="BZD142" s="4"/>
      <c r="BZE142" s="4"/>
      <c r="BZF142" s="4"/>
      <c r="BZG142" s="4"/>
      <c r="BZH142" s="4"/>
      <c r="BZI142" s="4"/>
      <c r="BZJ142" s="4"/>
      <c r="BZK142" s="4"/>
      <c r="BZL142" s="4"/>
      <c r="BZM142" s="4"/>
      <c r="BZN142" s="4"/>
      <c r="BZO142" s="4"/>
      <c r="BZP142" s="4"/>
      <c r="BZQ142" s="4"/>
      <c r="BZR142" s="4"/>
      <c r="BZS142" s="4"/>
      <c r="BZT142" s="4"/>
      <c r="BZU142" s="4"/>
      <c r="BZV142" s="4"/>
      <c r="BZW142" s="4"/>
      <c r="BZX142" s="4"/>
      <c r="BZY142" s="4"/>
      <c r="BZZ142" s="4"/>
      <c r="CAA142" s="4"/>
      <c r="CAB142" s="4"/>
      <c r="CAC142" s="4"/>
      <c r="CAD142" s="4"/>
      <c r="CAE142" s="4"/>
      <c r="CAF142" s="4"/>
      <c r="CAG142" s="4"/>
      <c r="CAH142" s="4"/>
      <c r="CAI142" s="4"/>
      <c r="CAJ142" s="4"/>
      <c r="CAK142" s="4"/>
      <c r="CAL142" s="4"/>
      <c r="CAM142" s="4"/>
      <c r="CAN142" s="4"/>
      <c r="CAO142" s="4"/>
      <c r="CAP142" s="4"/>
      <c r="CAQ142" s="4"/>
      <c r="CAR142" s="4"/>
      <c r="CAS142" s="4"/>
      <c r="CAT142" s="4"/>
      <c r="CAU142" s="4"/>
      <c r="CAV142" s="4"/>
      <c r="CAW142" s="4"/>
      <c r="CAX142" s="4"/>
      <c r="CAY142" s="4"/>
      <c r="CAZ142" s="4"/>
      <c r="CBA142" s="4"/>
      <c r="CBB142" s="4"/>
      <c r="CBC142" s="4"/>
      <c r="CBD142" s="4"/>
      <c r="CBE142" s="4"/>
      <c r="CBF142" s="4"/>
      <c r="CBG142" s="4"/>
      <c r="CBH142" s="4"/>
      <c r="CBI142" s="4"/>
      <c r="CBJ142" s="4"/>
      <c r="CBK142" s="4"/>
      <c r="CBL142" s="4"/>
      <c r="CBM142" s="4"/>
      <c r="CBN142" s="4"/>
      <c r="CBO142" s="4"/>
      <c r="CBP142" s="4"/>
      <c r="CBQ142" s="4"/>
      <c r="CBR142" s="4"/>
      <c r="CBS142" s="4"/>
      <c r="CBT142" s="4"/>
      <c r="CBU142" s="4"/>
      <c r="CBV142" s="4"/>
      <c r="CBW142" s="4"/>
      <c r="CBX142" s="4"/>
      <c r="CBY142" s="4"/>
      <c r="CBZ142" s="4"/>
      <c r="CCA142" s="4"/>
      <c r="CCB142" s="4"/>
      <c r="CCC142" s="4"/>
      <c r="CCD142" s="4"/>
      <c r="CCE142" s="4"/>
      <c r="CCF142" s="4"/>
      <c r="CCG142" s="4"/>
      <c r="CCH142" s="4"/>
      <c r="CCI142" s="4"/>
      <c r="CCJ142" s="4"/>
      <c r="CCK142" s="4"/>
      <c r="CCL142" s="4"/>
      <c r="CCM142" s="4"/>
      <c r="CCN142" s="4"/>
      <c r="CCO142" s="4"/>
      <c r="CCP142" s="4"/>
      <c r="CCQ142" s="4"/>
      <c r="CCR142" s="4"/>
      <c r="CCS142" s="4"/>
      <c r="CCT142" s="4"/>
      <c r="CCU142" s="4"/>
      <c r="CCV142" s="4"/>
      <c r="CCW142" s="4"/>
      <c r="CCX142" s="4"/>
      <c r="CCY142" s="4"/>
      <c r="CCZ142" s="4"/>
      <c r="CDA142" s="4"/>
      <c r="CDB142" s="4"/>
      <c r="CDC142" s="4"/>
      <c r="CDD142" s="4"/>
      <c r="CDE142" s="4"/>
      <c r="CDF142" s="4"/>
      <c r="CDG142" s="4"/>
      <c r="CDH142" s="4"/>
      <c r="CDI142" s="4"/>
      <c r="CDJ142" s="4"/>
      <c r="CDK142" s="4"/>
      <c r="CDL142" s="4"/>
      <c r="CDM142" s="4"/>
      <c r="CDN142" s="4"/>
      <c r="CDO142" s="4"/>
      <c r="CDP142" s="4"/>
      <c r="CDQ142" s="4"/>
      <c r="CDR142" s="4"/>
      <c r="CDS142" s="4"/>
      <c r="CDT142" s="4"/>
      <c r="CDU142" s="4"/>
      <c r="CDV142" s="4"/>
      <c r="CDW142" s="4"/>
      <c r="CDX142" s="4"/>
      <c r="CDY142" s="4"/>
      <c r="CDZ142" s="4"/>
      <c r="CEA142" s="4"/>
      <c r="CEB142" s="4"/>
      <c r="CEC142" s="4"/>
      <c r="CED142" s="4"/>
      <c r="CEE142" s="4"/>
      <c r="CEF142" s="4"/>
      <c r="CEG142" s="4"/>
      <c r="CEH142" s="4"/>
      <c r="CEI142" s="4"/>
      <c r="CEJ142" s="4"/>
      <c r="CEK142" s="4"/>
      <c r="CEL142" s="4"/>
      <c r="CEM142" s="4"/>
      <c r="CEN142" s="4"/>
      <c r="CEO142" s="4"/>
      <c r="CEP142" s="4"/>
      <c r="CEQ142" s="4"/>
      <c r="CER142" s="4"/>
      <c r="CES142" s="4"/>
      <c r="CET142" s="4"/>
      <c r="CEU142" s="4"/>
      <c r="CEV142" s="4"/>
      <c r="CEW142" s="4"/>
      <c r="CEX142" s="4"/>
      <c r="CEY142" s="4"/>
      <c r="CEZ142" s="4"/>
      <c r="CFA142" s="4"/>
      <c r="CFB142" s="4"/>
      <c r="CFC142" s="4"/>
      <c r="CFD142" s="4"/>
      <c r="CFE142" s="4"/>
      <c r="CFF142" s="4"/>
      <c r="CFG142" s="4"/>
      <c r="CFH142" s="4"/>
      <c r="CFI142" s="4"/>
      <c r="CFJ142" s="4"/>
      <c r="CFK142" s="4"/>
      <c r="CFL142" s="4"/>
      <c r="CFM142" s="4"/>
      <c r="CFN142" s="4"/>
      <c r="CFO142" s="4"/>
      <c r="CFP142" s="4"/>
      <c r="CFQ142" s="4"/>
      <c r="CFR142" s="4"/>
      <c r="CFS142" s="4"/>
      <c r="CFT142" s="4"/>
      <c r="CFU142" s="4"/>
      <c r="CFV142" s="4"/>
      <c r="CFW142" s="4"/>
      <c r="CFX142" s="4"/>
      <c r="CFY142" s="4"/>
      <c r="CFZ142" s="4"/>
      <c r="CGA142" s="4"/>
      <c r="CGB142" s="4"/>
      <c r="CGC142" s="4"/>
      <c r="CGD142" s="4"/>
      <c r="CGE142" s="4"/>
      <c r="CGF142" s="4"/>
      <c r="CGG142" s="4"/>
      <c r="CGH142" s="4"/>
      <c r="CGI142" s="4"/>
      <c r="CGJ142" s="4"/>
      <c r="CGK142" s="4"/>
      <c r="CGL142" s="4"/>
      <c r="CGM142" s="4"/>
      <c r="CGN142" s="4"/>
      <c r="CGO142" s="4"/>
      <c r="CGP142" s="4"/>
      <c r="CGQ142" s="4"/>
      <c r="CGR142" s="4"/>
      <c r="CGS142" s="4"/>
      <c r="CGT142" s="4"/>
      <c r="CGU142" s="4"/>
      <c r="CGV142" s="4"/>
      <c r="CGW142" s="4"/>
      <c r="CGX142" s="4"/>
      <c r="CGY142" s="4"/>
      <c r="CGZ142" s="4"/>
      <c r="CHA142" s="4"/>
      <c r="CHB142" s="4"/>
      <c r="CHC142" s="4"/>
      <c r="CHD142" s="4"/>
      <c r="CHE142" s="4"/>
      <c r="CHF142" s="4"/>
      <c r="CHG142" s="4"/>
      <c r="CHH142" s="4"/>
      <c r="CHI142" s="4"/>
      <c r="CHJ142" s="4"/>
      <c r="CHK142" s="4"/>
      <c r="CHL142" s="4"/>
      <c r="CHM142" s="4"/>
      <c r="CHN142" s="4"/>
      <c r="CHO142" s="4"/>
      <c r="CHP142" s="4"/>
      <c r="CHQ142" s="4"/>
      <c r="CHR142" s="4"/>
      <c r="CHS142" s="4"/>
      <c r="CHT142" s="4"/>
      <c r="CHU142" s="4"/>
      <c r="CHV142" s="4"/>
      <c r="CHW142" s="4"/>
      <c r="CHX142" s="4"/>
      <c r="CHY142" s="4"/>
      <c r="CHZ142" s="4"/>
      <c r="CIA142" s="4"/>
      <c r="CIB142" s="4"/>
      <c r="CIC142" s="4"/>
      <c r="CID142" s="4"/>
      <c r="CIE142" s="4"/>
      <c r="CIF142" s="4"/>
      <c r="CIG142" s="4"/>
      <c r="CIH142" s="4"/>
      <c r="CII142" s="4"/>
      <c r="CIJ142" s="4"/>
      <c r="CIK142" s="4"/>
      <c r="CIL142" s="4"/>
      <c r="CIM142" s="4"/>
      <c r="CIN142" s="4"/>
      <c r="CIO142" s="4"/>
      <c r="CIP142" s="4"/>
      <c r="CIQ142" s="4"/>
      <c r="CIR142" s="4"/>
      <c r="CIS142" s="4"/>
      <c r="CIT142" s="4"/>
      <c r="CIU142" s="4"/>
      <c r="CIV142" s="4"/>
      <c r="CIW142" s="4"/>
      <c r="CIX142" s="4"/>
      <c r="CIY142" s="4"/>
      <c r="CIZ142" s="4"/>
      <c r="CJA142" s="4"/>
      <c r="CJB142" s="4"/>
      <c r="CJC142" s="4"/>
      <c r="CJD142" s="4"/>
      <c r="CJE142" s="4"/>
      <c r="CJF142" s="4"/>
      <c r="CJG142" s="4"/>
      <c r="CJH142" s="4"/>
      <c r="CJI142" s="4"/>
      <c r="CJJ142" s="4"/>
      <c r="CJK142" s="4"/>
      <c r="CJL142" s="4"/>
      <c r="CJM142" s="4"/>
      <c r="CJN142" s="4"/>
      <c r="CJO142" s="4"/>
      <c r="CJP142" s="4"/>
      <c r="CJQ142" s="4"/>
      <c r="CJR142" s="4"/>
      <c r="CJS142" s="4"/>
      <c r="CJT142" s="4"/>
      <c r="CJU142" s="4"/>
      <c r="CJV142" s="4"/>
      <c r="CJW142" s="4"/>
      <c r="CJX142" s="4"/>
      <c r="CJY142" s="4"/>
      <c r="CJZ142" s="4"/>
      <c r="CKA142" s="4"/>
      <c r="CKB142" s="4"/>
      <c r="CKC142" s="4"/>
      <c r="CKD142" s="4"/>
      <c r="CKE142" s="4"/>
      <c r="CKF142" s="4"/>
      <c r="CKG142" s="4"/>
      <c r="CKH142" s="4"/>
      <c r="CKI142" s="4"/>
      <c r="CKJ142" s="4"/>
      <c r="CKK142" s="4"/>
      <c r="CKL142" s="4"/>
      <c r="CKM142" s="4"/>
      <c r="CKN142" s="4"/>
      <c r="CKO142" s="4"/>
      <c r="CKP142" s="4"/>
      <c r="CKQ142" s="4"/>
      <c r="CKR142" s="4"/>
      <c r="CKS142" s="4"/>
      <c r="CKT142" s="4"/>
      <c r="CKU142" s="4"/>
      <c r="CKV142" s="4"/>
      <c r="CKW142" s="4"/>
      <c r="CKX142" s="4"/>
      <c r="CKY142" s="4"/>
      <c r="CKZ142" s="4"/>
      <c r="CLA142" s="4"/>
      <c r="CLB142" s="4"/>
      <c r="CLC142" s="4"/>
      <c r="CLD142" s="4"/>
      <c r="CLE142" s="4"/>
      <c r="CLF142" s="4"/>
      <c r="CLG142" s="4"/>
      <c r="CLH142" s="4"/>
      <c r="CLI142" s="4"/>
      <c r="CLJ142" s="4"/>
      <c r="CLK142" s="4"/>
      <c r="CLL142" s="4"/>
      <c r="CLM142" s="4"/>
      <c r="CLN142" s="4"/>
      <c r="CLO142" s="4"/>
      <c r="CLP142" s="4"/>
      <c r="CLQ142" s="4"/>
      <c r="CLR142" s="4"/>
      <c r="CLS142" s="4"/>
      <c r="CLT142" s="4"/>
      <c r="CLU142" s="4"/>
      <c r="CLV142" s="4"/>
      <c r="CLW142" s="4"/>
      <c r="CLX142" s="4"/>
      <c r="CLY142" s="4"/>
      <c r="CLZ142" s="4"/>
      <c r="CMA142" s="4"/>
      <c r="CMB142" s="4"/>
      <c r="CMC142" s="4"/>
      <c r="CMD142" s="4"/>
      <c r="CME142" s="4"/>
      <c r="CMF142" s="4"/>
      <c r="CMG142" s="4"/>
      <c r="CMH142" s="4"/>
      <c r="CMI142" s="4"/>
      <c r="CMJ142" s="4"/>
      <c r="CMK142" s="4"/>
      <c r="CML142" s="4"/>
      <c r="CMM142" s="4"/>
      <c r="CMN142" s="4"/>
      <c r="CMO142" s="4"/>
      <c r="CMP142" s="4"/>
      <c r="CMQ142" s="4"/>
      <c r="CMR142" s="4"/>
      <c r="CMS142" s="4"/>
      <c r="CMT142" s="4"/>
      <c r="CMU142" s="4"/>
      <c r="CMV142" s="4"/>
      <c r="CMW142" s="4"/>
      <c r="CMX142" s="4"/>
      <c r="CMY142" s="4"/>
      <c r="CMZ142" s="4"/>
      <c r="CNA142" s="4"/>
      <c r="CNB142" s="4"/>
      <c r="CNC142" s="4"/>
      <c r="CND142" s="4"/>
      <c r="CNE142" s="4"/>
      <c r="CNF142" s="4"/>
      <c r="CNG142" s="4"/>
      <c r="CNH142" s="4"/>
      <c r="CNI142" s="4"/>
      <c r="CNJ142" s="4"/>
      <c r="CNK142" s="4"/>
      <c r="CNL142" s="4"/>
      <c r="CNM142" s="4"/>
      <c r="CNN142" s="4"/>
      <c r="CNO142" s="4"/>
      <c r="CNP142" s="4"/>
      <c r="CNQ142" s="4"/>
      <c r="CNR142" s="4"/>
      <c r="CNS142" s="4"/>
      <c r="CNT142" s="4"/>
      <c r="CNU142" s="4"/>
      <c r="CNV142" s="4"/>
      <c r="CNW142" s="4"/>
      <c r="CNX142" s="4"/>
      <c r="CNY142" s="4"/>
      <c r="CNZ142" s="4"/>
      <c r="COA142" s="4"/>
      <c r="COB142" s="4"/>
      <c r="COC142" s="4"/>
      <c r="COD142" s="4"/>
      <c r="COE142" s="4"/>
      <c r="COF142" s="4"/>
      <c r="COG142" s="4"/>
      <c r="COH142" s="4"/>
      <c r="COI142" s="4"/>
      <c r="COJ142" s="4"/>
      <c r="COK142" s="4"/>
      <c r="COL142" s="4"/>
      <c r="COM142" s="4"/>
      <c r="CON142" s="4"/>
      <c r="COO142" s="4"/>
      <c r="COP142" s="4"/>
      <c r="COQ142" s="4"/>
      <c r="COR142" s="4"/>
      <c r="COS142" s="4"/>
      <c r="COT142" s="4"/>
      <c r="COU142" s="4"/>
      <c r="COV142" s="4"/>
      <c r="COW142" s="4"/>
      <c r="COX142" s="4"/>
      <c r="COY142" s="4"/>
      <c r="COZ142" s="4"/>
      <c r="CPA142" s="4"/>
      <c r="CPB142" s="4"/>
      <c r="CPC142" s="4"/>
      <c r="CPD142" s="4"/>
      <c r="CPE142" s="4"/>
      <c r="CPF142" s="4"/>
      <c r="CPG142" s="4"/>
      <c r="CPH142" s="4"/>
      <c r="CPI142" s="4"/>
      <c r="CPJ142" s="4"/>
      <c r="CPK142" s="4"/>
      <c r="CPL142" s="4"/>
      <c r="CPM142" s="4"/>
      <c r="CPN142" s="4"/>
      <c r="CPO142" s="4"/>
      <c r="CPP142" s="4"/>
      <c r="CPQ142" s="4"/>
      <c r="CPR142" s="4"/>
      <c r="CPS142" s="4"/>
      <c r="CPT142" s="4"/>
      <c r="CPU142" s="4"/>
      <c r="CPV142" s="4"/>
      <c r="CPW142" s="4"/>
      <c r="CPX142" s="4"/>
      <c r="CPY142" s="4"/>
      <c r="CPZ142" s="4"/>
      <c r="CQA142" s="4"/>
      <c r="CQB142" s="4"/>
      <c r="CQC142" s="4"/>
      <c r="CQD142" s="4"/>
      <c r="CQE142" s="4"/>
      <c r="CQF142" s="4"/>
      <c r="CQG142" s="4"/>
      <c r="CQH142" s="4"/>
      <c r="CQI142" s="4"/>
      <c r="CQJ142" s="4"/>
      <c r="CQK142" s="4"/>
      <c r="CQL142" s="4"/>
      <c r="CQM142" s="4"/>
      <c r="CQN142" s="4"/>
      <c r="CQO142" s="4"/>
      <c r="CQP142" s="4"/>
      <c r="CQQ142" s="4"/>
      <c r="CQR142" s="4"/>
      <c r="CQS142" s="4"/>
      <c r="CQT142" s="4"/>
      <c r="CQU142" s="4"/>
      <c r="CQV142" s="4"/>
      <c r="CQW142" s="4"/>
      <c r="CQX142" s="4"/>
      <c r="CQY142" s="4"/>
      <c r="CQZ142" s="4"/>
      <c r="CRA142" s="4"/>
      <c r="CRB142" s="4"/>
      <c r="CRC142" s="4"/>
      <c r="CRD142" s="4"/>
      <c r="CRE142" s="4"/>
      <c r="CRF142" s="4"/>
      <c r="CRG142" s="4"/>
      <c r="CRH142" s="4"/>
      <c r="CRI142" s="4"/>
      <c r="CRJ142" s="4"/>
      <c r="CRK142" s="4"/>
      <c r="CRL142" s="4"/>
      <c r="CRM142" s="4"/>
      <c r="CRN142" s="4"/>
      <c r="CRO142" s="4"/>
      <c r="CRP142" s="4"/>
      <c r="CRQ142" s="4"/>
      <c r="CRR142" s="4"/>
      <c r="CRS142" s="4"/>
      <c r="CRT142" s="4"/>
      <c r="CRU142" s="4"/>
      <c r="CRV142" s="4"/>
      <c r="CRW142" s="4"/>
      <c r="CRX142" s="4"/>
      <c r="CRY142" s="4"/>
      <c r="CRZ142" s="4"/>
      <c r="CSA142" s="4"/>
      <c r="CSB142" s="4"/>
      <c r="CSC142" s="4"/>
      <c r="CSD142" s="4"/>
      <c r="CSE142" s="4"/>
      <c r="CSF142" s="4"/>
      <c r="CSG142" s="4"/>
      <c r="CSH142" s="4"/>
      <c r="CSI142" s="4"/>
      <c r="CSJ142" s="4"/>
      <c r="CSK142" s="4"/>
      <c r="CSL142" s="4"/>
      <c r="CSM142" s="4"/>
      <c r="CSN142" s="4"/>
      <c r="CSO142" s="4"/>
      <c r="CSP142" s="4"/>
      <c r="CSQ142" s="4"/>
      <c r="CSR142" s="4"/>
      <c r="CSS142" s="4"/>
      <c r="CST142" s="4"/>
      <c r="CSU142" s="4"/>
      <c r="CSV142" s="4"/>
      <c r="CSW142" s="4"/>
      <c r="CSX142" s="4"/>
      <c r="CSY142" s="4"/>
      <c r="CSZ142" s="4"/>
      <c r="CTA142" s="4"/>
      <c r="CTB142" s="4"/>
      <c r="CTC142" s="4"/>
      <c r="CTD142" s="4"/>
      <c r="CTE142" s="4"/>
      <c r="CTF142" s="4"/>
      <c r="CTG142" s="4"/>
      <c r="CTH142" s="4"/>
      <c r="CTI142" s="4"/>
      <c r="CTJ142" s="4"/>
      <c r="CTK142" s="4"/>
      <c r="CTL142" s="4"/>
      <c r="CTM142" s="4"/>
      <c r="CTN142" s="4"/>
      <c r="CTO142" s="4"/>
      <c r="CTP142" s="4"/>
      <c r="CTQ142" s="4"/>
      <c r="CTR142" s="4"/>
      <c r="CTS142" s="4"/>
      <c r="CTT142" s="4"/>
      <c r="CTU142" s="4"/>
      <c r="CTV142" s="4"/>
      <c r="CTW142" s="4"/>
      <c r="CTX142" s="4"/>
      <c r="CTY142" s="4"/>
      <c r="CTZ142" s="4"/>
      <c r="CUA142" s="4"/>
      <c r="CUB142" s="4"/>
      <c r="CUC142" s="4"/>
      <c r="CUD142" s="4"/>
      <c r="CUE142" s="4"/>
      <c r="CUF142" s="4"/>
      <c r="CUG142" s="4"/>
      <c r="CUH142" s="4"/>
      <c r="CUI142" s="4"/>
      <c r="CUJ142" s="4"/>
      <c r="CUK142" s="4"/>
      <c r="CUL142" s="4"/>
      <c r="CUM142" s="4"/>
      <c r="CUN142" s="4"/>
      <c r="CUO142" s="4"/>
      <c r="CUP142" s="4"/>
      <c r="CUQ142" s="4"/>
      <c r="CUR142" s="4"/>
      <c r="CUS142" s="4"/>
      <c r="CUT142" s="4"/>
      <c r="CUU142" s="4"/>
      <c r="CUV142" s="4"/>
      <c r="CUW142" s="4"/>
      <c r="CUX142" s="4"/>
      <c r="CUY142" s="4"/>
      <c r="CUZ142" s="4"/>
      <c r="CVA142" s="4"/>
      <c r="CVB142" s="4"/>
      <c r="CVC142" s="4"/>
      <c r="CVD142" s="4"/>
      <c r="CVE142" s="4"/>
      <c r="CVF142" s="4"/>
      <c r="CVG142" s="4"/>
      <c r="CVH142" s="4"/>
      <c r="CVI142" s="4"/>
      <c r="CVJ142" s="4"/>
      <c r="CVK142" s="4"/>
      <c r="CVL142" s="4"/>
      <c r="CVM142" s="4"/>
      <c r="CVN142" s="4"/>
      <c r="CVO142" s="4"/>
      <c r="CVP142" s="4"/>
      <c r="CVQ142" s="4"/>
      <c r="CVR142" s="4"/>
      <c r="CVS142" s="4"/>
      <c r="CVT142" s="4"/>
      <c r="CVU142" s="4"/>
      <c r="CVV142" s="4"/>
      <c r="CVW142" s="4"/>
      <c r="CVX142" s="4"/>
      <c r="CVY142" s="4"/>
      <c r="CVZ142" s="4"/>
      <c r="CWA142" s="4"/>
      <c r="CWB142" s="4"/>
      <c r="CWC142" s="4"/>
      <c r="CWD142" s="4"/>
      <c r="CWE142" s="4"/>
      <c r="CWF142" s="4"/>
      <c r="CWG142" s="4"/>
      <c r="CWH142" s="4"/>
      <c r="CWI142" s="4"/>
      <c r="CWJ142" s="4"/>
      <c r="CWK142" s="4"/>
      <c r="CWL142" s="4"/>
      <c r="CWM142" s="4"/>
      <c r="CWN142" s="4"/>
      <c r="CWO142" s="4"/>
      <c r="CWP142" s="4"/>
      <c r="CWQ142" s="4"/>
      <c r="CWR142" s="4"/>
      <c r="CWS142" s="4"/>
      <c r="CWT142" s="4"/>
      <c r="CWU142" s="4"/>
      <c r="CWV142" s="4"/>
      <c r="CWW142" s="4"/>
      <c r="CWX142" s="4"/>
      <c r="CWY142" s="4"/>
      <c r="CWZ142" s="4"/>
      <c r="CXA142" s="4"/>
      <c r="CXB142" s="4"/>
      <c r="CXC142" s="4"/>
      <c r="CXD142" s="4"/>
      <c r="CXE142" s="4"/>
      <c r="CXF142" s="4"/>
      <c r="CXG142" s="4"/>
      <c r="CXH142" s="4"/>
      <c r="CXI142" s="4"/>
      <c r="CXJ142" s="4"/>
      <c r="CXK142" s="4"/>
      <c r="CXL142" s="4"/>
      <c r="CXM142" s="4"/>
      <c r="CXN142" s="4"/>
      <c r="CXO142" s="4"/>
      <c r="CXP142" s="4"/>
      <c r="CXQ142" s="4"/>
      <c r="CXR142" s="4"/>
      <c r="CXS142" s="4"/>
      <c r="CXT142" s="4"/>
      <c r="CXU142" s="4"/>
      <c r="CXV142" s="4"/>
      <c r="CXW142" s="4"/>
      <c r="CXX142" s="4"/>
      <c r="CXY142" s="4"/>
      <c r="CXZ142" s="4"/>
      <c r="CYA142" s="4"/>
      <c r="CYB142" s="4"/>
      <c r="CYC142" s="4"/>
      <c r="CYD142" s="4"/>
      <c r="CYE142" s="4"/>
      <c r="CYF142" s="4"/>
      <c r="CYG142" s="4"/>
      <c r="CYH142" s="4"/>
      <c r="CYI142" s="4"/>
      <c r="CYJ142" s="4"/>
      <c r="CYK142" s="4"/>
      <c r="CYL142" s="4"/>
      <c r="CYM142" s="4"/>
      <c r="CYN142" s="4"/>
      <c r="CYO142" s="4"/>
      <c r="CYP142" s="4"/>
      <c r="CYQ142" s="4"/>
      <c r="CYR142" s="4"/>
      <c r="CYS142" s="4"/>
      <c r="CYT142" s="4"/>
      <c r="CYU142" s="4"/>
      <c r="CYV142" s="4"/>
      <c r="CYW142" s="4"/>
      <c r="CYX142" s="4"/>
      <c r="CYY142" s="4"/>
      <c r="CYZ142" s="4"/>
      <c r="CZA142" s="4"/>
      <c r="CZB142" s="4"/>
      <c r="CZC142" s="4"/>
      <c r="CZD142" s="4"/>
      <c r="CZE142" s="4"/>
      <c r="CZF142" s="4"/>
      <c r="CZG142" s="4"/>
      <c r="CZH142" s="4"/>
      <c r="CZI142" s="4"/>
      <c r="CZJ142" s="4"/>
      <c r="CZK142" s="4"/>
      <c r="CZL142" s="4"/>
      <c r="CZM142" s="4"/>
      <c r="CZN142" s="4"/>
      <c r="CZO142" s="4"/>
      <c r="CZP142" s="4"/>
      <c r="CZQ142" s="4"/>
      <c r="CZR142" s="4"/>
      <c r="CZS142" s="4"/>
      <c r="CZT142" s="4"/>
      <c r="CZU142" s="4"/>
      <c r="CZV142" s="4"/>
      <c r="CZW142" s="4"/>
      <c r="CZX142" s="4"/>
      <c r="CZY142" s="4"/>
      <c r="CZZ142" s="4"/>
      <c r="DAA142" s="4"/>
      <c r="DAB142" s="4"/>
      <c r="DAC142" s="4"/>
      <c r="DAD142" s="4"/>
      <c r="DAE142" s="4"/>
      <c r="DAF142" s="4"/>
      <c r="DAG142" s="4"/>
      <c r="DAH142" s="4"/>
      <c r="DAI142" s="4"/>
      <c r="DAJ142" s="4"/>
      <c r="DAK142" s="4"/>
      <c r="DAL142" s="4"/>
      <c r="DAM142" s="4"/>
      <c r="DAN142" s="4"/>
      <c r="DAO142" s="4"/>
      <c r="DAP142" s="4"/>
      <c r="DAQ142" s="4"/>
      <c r="DAR142" s="4"/>
      <c r="DAS142" s="4"/>
      <c r="DAT142" s="4"/>
      <c r="DAU142" s="4"/>
      <c r="DAV142" s="4"/>
      <c r="DAW142" s="4"/>
      <c r="DAX142" s="4"/>
      <c r="DAY142" s="4"/>
      <c r="DAZ142" s="4"/>
      <c r="DBA142" s="4"/>
      <c r="DBB142" s="4"/>
      <c r="DBC142" s="4"/>
      <c r="DBD142" s="4"/>
      <c r="DBE142" s="4"/>
      <c r="DBF142" s="4"/>
      <c r="DBG142" s="4"/>
      <c r="DBH142" s="4"/>
      <c r="DBI142" s="4"/>
      <c r="DBJ142" s="4"/>
      <c r="DBK142" s="4"/>
      <c r="DBL142" s="4"/>
      <c r="DBM142" s="4"/>
      <c r="DBN142" s="4"/>
      <c r="DBO142" s="4"/>
      <c r="DBP142" s="4"/>
      <c r="DBQ142" s="4"/>
      <c r="DBR142" s="4"/>
      <c r="DBS142" s="4"/>
      <c r="DBT142" s="4"/>
      <c r="DBU142" s="4"/>
      <c r="DBV142" s="4"/>
      <c r="DBW142" s="4"/>
      <c r="DBX142" s="4"/>
      <c r="DBY142" s="4"/>
      <c r="DBZ142" s="4"/>
      <c r="DCA142" s="4"/>
      <c r="DCB142" s="4"/>
      <c r="DCC142" s="4"/>
      <c r="DCD142" s="4"/>
      <c r="DCE142" s="4"/>
      <c r="DCF142" s="4"/>
      <c r="DCG142" s="4"/>
      <c r="DCH142" s="4"/>
      <c r="DCI142" s="4"/>
      <c r="DCJ142" s="4"/>
      <c r="DCK142" s="4"/>
      <c r="DCL142" s="4"/>
      <c r="DCM142" s="4"/>
      <c r="DCN142" s="4"/>
      <c r="DCO142" s="4"/>
      <c r="DCP142" s="4"/>
      <c r="DCQ142" s="4"/>
      <c r="DCR142" s="4"/>
      <c r="DCS142" s="4"/>
      <c r="DCT142" s="4"/>
      <c r="DCU142" s="4"/>
      <c r="DCV142" s="4"/>
      <c r="DCW142" s="4"/>
      <c r="DCX142" s="4"/>
      <c r="DCY142" s="4"/>
      <c r="DCZ142" s="4"/>
      <c r="DDA142" s="4"/>
      <c r="DDB142" s="4"/>
      <c r="DDC142" s="4"/>
      <c r="DDD142" s="4"/>
      <c r="DDE142" s="4"/>
      <c r="DDF142" s="4"/>
      <c r="DDG142" s="4"/>
      <c r="DDH142" s="4"/>
      <c r="DDI142" s="4"/>
      <c r="DDJ142" s="4"/>
      <c r="DDK142" s="4"/>
      <c r="DDL142" s="4"/>
      <c r="DDM142" s="4"/>
      <c r="DDN142" s="4"/>
      <c r="DDO142" s="4"/>
      <c r="DDP142" s="4"/>
      <c r="DDQ142" s="4"/>
      <c r="DDR142" s="4"/>
      <c r="DDS142" s="4"/>
      <c r="DDT142" s="4"/>
      <c r="DDU142" s="4"/>
      <c r="DDV142" s="4"/>
      <c r="DDW142" s="4"/>
      <c r="DDX142" s="4"/>
      <c r="DDY142" s="4"/>
      <c r="DDZ142" s="4"/>
      <c r="DEA142" s="4"/>
      <c r="DEB142" s="4"/>
      <c r="DEC142" s="4"/>
      <c r="DED142" s="4"/>
      <c r="DEE142" s="4"/>
      <c r="DEF142" s="4"/>
      <c r="DEG142" s="4"/>
      <c r="DEH142" s="4"/>
      <c r="DEI142" s="4"/>
      <c r="DEJ142" s="4"/>
      <c r="DEK142" s="4"/>
      <c r="DEL142" s="4"/>
      <c r="DEM142" s="4"/>
      <c r="DEN142" s="4"/>
      <c r="DEO142" s="4"/>
      <c r="DEP142" s="4"/>
      <c r="DEQ142" s="4"/>
      <c r="DER142" s="4"/>
      <c r="DES142" s="4"/>
      <c r="DET142" s="4"/>
      <c r="DEU142" s="4"/>
      <c r="DEV142" s="4"/>
      <c r="DEW142" s="4"/>
      <c r="DEX142" s="4"/>
      <c r="DEY142" s="4"/>
      <c r="DEZ142" s="4"/>
      <c r="DFA142" s="4"/>
      <c r="DFB142" s="4"/>
      <c r="DFC142" s="4"/>
      <c r="DFD142" s="4"/>
      <c r="DFE142" s="4"/>
      <c r="DFF142" s="4"/>
      <c r="DFG142" s="4"/>
      <c r="DFH142" s="4"/>
      <c r="DFI142" s="4"/>
      <c r="DFJ142" s="4"/>
      <c r="DFK142" s="4"/>
      <c r="DFL142" s="4"/>
      <c r="DFM142" s="4"/>
      <c r="DFN142" s="4"/>
      <c r="DFO142" s="4"/>
      <c r="DFP142" s="4"/>
      <c r="DFQ142" s="4"/>
      <c r="DFR142" s="4"/>
      <c r="DFS142" s="4"/>
      <c r="DFT142" s="4"/>
      <c r="DFU142" s="4"/>
      <c r="DFV142" s="4"/>
      <c r="DFW142" s="4"/>
      <c r="DFX142" s="4"/>
      <c r="DFY142" s="4"/>
      <c r="DFZ142" s="4"/>
      <c r="DGA142" s="4"/>
      <c r="DGB142" s="4"/>
      <c r="DGC142" s="4"/>
      <c r="DGD142" s="4"/>
      <c r="DGE142" s="4"/>
      <c r="DGF142" s="4"/>
      <c r="DGG142" s="4"/>
      <c r="DGH142" s="4"/>
      <c r="DGI142" s="4"/>
      <c r="DGJ142" s="4"/>
      <c r="DGK142" s="4"/>
      <c r="DGL142" s="4"/>
      <c r="DGM142" s="4"/>
      <c r="DGN142" s="4"/>
      <c r="DGO142" s="4"/>
      <c r="DGP142" s="4"/>
      <c r="DGQ142" s="4"/>
      <c r="DGR142" s="4"/>
      <c r="DGS142" s="4"/>
      <c r="DGT142" s="4"/>
      <c r="DGU142" s="4"/>
      <c r="DGV142" s="4"/>
      <c r="DGW142" s="4"/>
      <c r="DGX142" s="4"/>
      <c r="DGY142" s="4"/>
      <c r="DGZ142" s="4"/>
      <c r="DHA142" s="4"/>
      <c r="DHB142" s="4"/>
      <c r="DHC142" s="4"/>
      <c r="DHD142" s="4"/>
      <c r="DHE142" s="4"/>
      <c r="DHF142" s="4"/>
      <c r="DHG142" s="4"/>
      <c r="DHH142" s="4"/>
      <c r="DHI142" s="4"/>
      <c r="DHJ142" s="4"/>
      <c r="DHK142" s="4"/>
      <c r="DHL142" s="4"/>
      <c r="DHM142" s="4"/>
      <c r="DHN142" s="4"/>
      <c r="DHO142" s="4"/>
      <c r="DHP142" s="4"/>
      <c r="DHQ142" s="4"/>
      <c r="DHR142" s="4"/>
      <c r="DHS142" s="4"/>
      <c r="DHT142" s="4"/>
      <c r="DHU142" s="4"/>
      <c r="DHV142" s="4"/>
      <c r="DHW142" s="4"/>
      <c r="DHX142" s="4"/>
      <c r="DHY142" s="4"/>
      <c r="DHZ142" s="4"/>
      <c r="DIA142" s="4"/>
      <c r="DIB142" s="4"/>
      <c r="DIC142" s="4"/>
      <c r="DID142" s="4"/>
      <c r="DIE142" s="4"/>
      <c r="DIF142" s="4"/>
      <c r="DIG142" s="4"/>
      <c r="DIH142" s="4"/>
      <c r="DII142" s="4"/>
      <c r="DIJ142" s="4"/>
      <c r="DIK142" s="4"/>
      <c r="DIL142" s="4"/>
      <c r="DIM142" s="4"/>
      <c r="DIN142" s="4"/>
      <c r="DIO142" s="4"/>
      <c r="DIP142" s="4"/>
      <c r="DIQ142" s="4"/>
      <c r="DIR142" s="4"/>
      <c r="DIS142" s="4"/>
      <c r="DIT142" s="4"/>
      <c r="DIU142" s="4"/>
      <c r="DIV142" s="4"/>
      <c r="DIW142" s="4"/>
      <c r="DIX142" s="4"/>
      <c r="DIY142" s="4"/>
      <c r="DIZ142" s="4"/>
      <c r="DJA142" s="4"/>
      <c r="DJB142" s="4"/>
      <c r="DJC142" s="4"/>
      <c r="DJD142" s="4"/>
      <c r="DJE142" s="4"/>
      <c r="DJF142" s="4"/>
      <c r="DJG142" s="4"/>
      <c r="DJH142" s="4"/>
      <c r="DJI142" s="4"/>
      <c r="DJJ142" s="4"/>
      <c r="DJK142" s="4"/>
      <c r="DJL142" s="4"/>
      <c r="DJM142" s="4"/>
      <c r="DJN142" s="4"/>
      <c r="DJO142" s="4"/>
      <c r="DJP142" s="4"/>
      <c r="DJQ142" s="4"/>
      <c r="DJR142" s="4"/>
      <c r="DJS142" s="4"/>
      <c r="DJT142" s="4"/>
      <c r="DJU142" s="4"/>
      <c r="DJV142" s="4"/>
      <c r="DJW142" s="4"/>
      <c r="DJX142" s="4"/>
      <c r="DJY142" s="4"/>
      <c r="DJZ142" s="4"/>
      <c r="DKA142" s="4"/>
      <c r="DKB142" s="4"/>
      <c r="DKC142" s="4"/>
      <c r="DKD142" s="4"/>
      <c r="DKE142" s="4"/>
      <c r="DKF142" s="4"/>
      <c r="DKG142" s="4"/>
      <c r="DKH142" s="4"/>
      <c r="DKI142" s="4"/>
      <c r="DKJ142" s="4"/>
      <c r="DKK142" s="4"/>
      <c r="DKL142" s="4"/>
      <c r="DKM142" s="4"/>
      <c r="DKN142" s="4"/>
      <c r="DKO142" s="4"/>
      <c r="DKP142" s="4"/>
      <c r="DKQ142" s="4"/>
      <c r="DKR142" s="4"/>
      <c r="DKS142" s="4"/>
      <c r="DKT142" s="4"/>
      <c r="DKU142" s="4"/>
      <c r="DKV142" s="4"/>
      <c r="DKW142" s="4"/>
      <c r="DKX142" s="4"/>
      <c r="DKY142" s="4"/>
      <c r="DKZ142" s="4"/>
      <c r="DLA142" s="4"/>
      <c r="DLB142" s="4"/>
      <c r="DLC142" s="4"/>
      <c r="DLD142" s="4"/>
      <c r="DLE142" s="4"/>
      <c r="DLF142" s="4"/>
      <c r="DLG142" s="4"/>
      <c r="DLH142" s="4"/>
      <c r="DLI142" s="4"/>
      <c r="DLJ142" s="4"/>
      <c r="DLK142" s="4"/>
      <c r="DLL142" s="4"/>
      <c r="DLM142" s="4"/>
      <c r="DLN142" s="4"/>
      <c r="DLO142" s="4"/>
      <c r="DLP142" s="4"/>
      <c r="DLQ142" s="4"/>
      <c r="DLR142" s="4"/>
      <c r="DLS142" s="4"/>
      <c r="DLT142" s="4"/>
      <c r="DLU142" s="4"/>
      <c r="DLV142" s="4"/>
      <c r="DLW142" s="4"/>
      <c r="DLX142" s="4"/>
      <c r="DLY142" s="4"/>
      <c r="DLZ142" s="4"/>
      <c r="DMA142" s="4"/>
      <c r="DMB142" s="4"/>
      <c r="DMC142" s="4"/>
      <c r="DMD142" s="4"/>
      <c r="DME142" s="4"/>
      <c r="DMF142" s="4"/>
      <c r="DMG142" s="4"/>
      <c r="DMH142" s="4"/>
      <c r="DMI142" s="4"/>
      <c r="DMJ142" s="4"/>
      <c r="DMK142" s="4"/>
      <c r="DML142" s="4"/>
      <c r="DMM142" s="4"/>
      <c r="DMN142" s="4"/>
      <c r="DMO142" s="4"/>
      <c r="DMP142" s="4"/>
      <c r="DMQ142" s="4"/>
      <c r="DMR142" s="4"/>
      <c r="DMS142" s="4"/>
      <c r="DMT142" s="4"/>
      <c r="DMU142" s="4"/>
      <c r="DMV142" s="4"/>
      <c r="DMW142" s="4"/>
      <c r="DMX142" s="4"/>
      <c r="DMY142" s="4"/>
      <c r="DMZ142" s="4"/>
      <c r="DNA142" s="4"/>
      <c r="DNB142" s="4"/>
      <c r="DNC142" s="4"/>
      <c r="DND142" s="4"/>
      <c r="DNE142" s="4"/>
      <c r="DNF142" s="4"/>
      <c r="DNG142" s="4"/>
      <c r="DNH142" s="4"/>
      <c r="DNI142" s="4"/>
      <c r="DNJ142" s="4"/>
      <c r="DNK142" s="4"/>
      <c r="DNL142" s="4"/>
      <c r="DNM142" s="4"/>
      <c r="DNN142" s="4"/>
      <c r="DNO142" s="4"/>
      <c r="DNP142" s="4"/>
      <c r="DNQ142" s="4"/>
      <c r="DNR142" s="4"/>
      <c r="DNS142" s="4"/>
      <c r="DNT142" s="4"/>
      <c r="DNU142" s="4"/>
      <c r="DNV142" s="4"/>
      <c r="DNW142" s="4"/>
      <c r="DNX142" s="4"/>
      <c r="DNY142" s="4"/>
      <c r="DNZ142" s="4"/>
      <c r="DOA142" s="4"/>
      <c r="DOB142" s="4"/>
      <c r="DOC142" s="4"/>
      <c r="DOD142" s="4"/>
      <c r="DOE142" s="4"/>
      <c r="DOF142" s="4"/>
      <c r="DOG142" s="4"/>
      <c r="DOH142" s="4"/>
      <c r="DOI142" s="4"/>
      <c r="DOJ142" s="4"/>
      <c r="DOK142" s="4"/>
      <c r="DOL142" s="4"/>
      <c r="DOM142" s="4"/>
      <c r="DON142" s="4"/>
      <c r="DOO142" s="4"/>
      <c r="DOP142" s="4"/>
      <c r="DOQ142" s="4"/>
      <c r="DOR142" s="4"/>
      <c r="DOS142" s="4"/>
      <c r="DOT142" s="4"/>
      <c r="DOU142" s="4"/>
      <c r="DOV142" s="4"/>
      <c r="DOW142" s="4"/>
      <c r="DOX142" s="4"/>
      <c r="DOY142" s="4"/>
      <c r="DOZ142" s="4"/>
      <c r="DPA142" s="4"/>
      <c r="DPB142" s="4"/>
      <c r="DPC142" s="4"/>
      <c r="DPD142" s="4"/>
      <c r="DPE142" s="4"/>
      <c r="DPF142" s="4"/>
      <c r="DPG142" s="4"/>
      <c r="DPH142" s="4"/>
      <c r="DPI142" s="4"/>
      <c r="DPJ142" s="4"/>
      <c r="DPK142" s="4"/>
      <c r="DPL142" s="4"/>
      <c r="DPM142" s="4"/>
      <c r="DPN142" s="4"/>
      <c r="DPO142" s="4"/>
      <c r="DPP142" s="4"/>
      <c r="DPQ142" s="4"/>
      <c r="DPR142" s="4"/>
      <c r="DPS142" s="4"/>
      <c r="DPT142" s="4"/>
      <c r="DPU142" s="4"/>
      <c r="DPV142" s="4"/>
      <c r="DPW142" s="4"/>
      <c r="DPX142" s="4"/>
      <c r="DPY142" s="4"/>
      <c r="DPZ142" s="4"/>
      <c r="DQA142" s="4"/>
      <c r="DQB142" s="4"/>
      <c r="DQC142" s="4"/>
      <c r="DQD142" s="4"/>
      <c r="DQE142" s="4"/>
      <c r="DQF142" s="4"/>
      <c r="DQG142" s="4"/>
      <c r="DQH142" s="4"/>
      <c r="DQI142" s="4"/>
      <c r="DQJ142" s="4"/>
      <c r="DQK142" s="4"/>
      <c r="DQL142" s="4"/>
      <c r="DQM142" s="4"/>
      <c r="DQN142" s="4"/>
      <c r="DQO142" s="4"/>
      <c r="DQP142" s="4"/>
      <c r="DQQ142" s="4"/>
      <c r="DQR142" s="4"/>
      <c r="DQS142" s="4"/>
      <c r="DQT142" s="4"/>
      <c r="DQU142" s="4"/>
      <c r="DQV142" s="4"/>
      <c r="DQW142" s="4"/>
      <c r="DQX142" s="4"/>
      <c r="DQY142" s="4"/>
      <c r="DQZ142" s="4"/>
      <c r="DRA142" s="4"/>
      <c r="DRB142" s="4"/>
      <c r="DRC142" s="4"/>
      <c r="DRD142" s="4"/>
      <c r="DRE142" s="4"/>
      <c r="DRF142" s="4"/>
      <c r="DRG142" s="4"/>
      <c r="DRH142" s="4"/>
      <c r="DRI142" s="4"/>
      <c r="DRJ142" s="4"/>
      <c r="DRK142" s="4"/>
      <c r="DRL142" s="4"/>
      <c r="DRM142" s="4"/>
      <c r="DRN142" s="4"/>
      <c r="DRO142" s="4"/>
      <c r="DRP142" s="4"/>
      <c r="DRQ142" s="4"/>
      <c r="DRR142" s="4"/>
      <c r="DRS142" s="4"/>
      <c r="DRT142" s="4"/>
      <c r="DRU142" s="4"/>
      <c r="DRV142" s="4"/>
      <c r="DRW142" s="4"/>
      <c r="DRX142" s="4"/>
      <c r="DRY142" s="4"/>
      <c r="DRZ142" s="4"/>
      <c r="DSA142" s="4"/>
      <c r="DSB142" s="4"/>
      <c r="DSC142" s="4"/>
      <c r="DSD142" s="4"/>
      <c r="DSE142" s="4"/>
      <c r="DSF142" s="4"/>
      <c r="DSG142" s="4"/>
      <c r="DSH142" s="4"/>
      <c r="DSI142" s="4"/>
      <c r="DSJ142" s="4"/>
      <c r="DSK142" s="4"/>
      <c r="DSL142" s="4"/>
      <c r="DSM142" s="4"/>
      <c r="DSN142" s="4"/>
      <c r="DSO142" s="4"/>
      <c r="DSP142" s="4"/>
      <c r="DSQ142" s="4"/>
      <c r="DSR142" s="4"/>
      <c r="DSS142" s="4"/>
      <c r="DST142" s="4"/>
      <c r="DSU142" s="4"/>
      <c r="DSV142" s="4"/>
      <c r="DSW142" s="4"/>
      <c r="DSX142" s="4"/>
      <c r="DSY142" s="4"/>
      <c r="DSZ142" s="4"/>
      <c r="DTA142" s="4"/>
      <c r="DTB142" s="4"/>
      <c r="DTC142" s="4"/>
      <c r="DTD142" s="4"/>
      <c r="DTE142" s="4"/>
      <c r="DTF142" s="4"/>
      <c r="DTG142" s="4"/>
      <c r="DTH142" s="4"/>
      <c r="DTI142" s="4"/>
      <c r="DTJ142" s="4"/>
      <c r="DTK142" s="4"/>
      <c r="DTL142" s="4"/>
      <c r="DTM142" s="4"/>
      <c r="DTN142" s="4"/>
      <c r="DTO142" s="4"/>
      <c r="DTP142" s="4"/>
      <c r="DTQ142" s="4"/>
      <c r="DTR142" s="4"/>
      <c r="DTS142" s="4"/>
      <c r="DTT142" s="4"/>
      <c r="DTU142" s="4"/>
      <c r="DTV142" s="4"/>
      <c r="DTW142" s="4"/>
      <c r="DTX142" s="4"/>
      <c r="DTY142" s="4"/>
      <c r="DTZ142" s="4"/>
      <c r="DUA142" s="4"/>
      <c r="DUB142" s="4"/>
      <c r="DUC142" s="4"/>
      <c r="DUD142" s="4"/>
      <c r="DUE142" s="4"/>
      <c r="DUF142" s="4"/>
      <c r="DUG142" s="4"/>
      <c r="DUH142" s="4"/>
      <c r="DUI142" s="4"/>
      <c r="DUJ142" s="4"/>
      <c r="DUK142" s="4"/>
      <c r="DUL142" s="4"/>
      <c r="DUM142" s="4"/>
      <c r="DUN142" s="4"/>
      <c r="DUO142" s="4"/>
      <c r="DUP142" s="4"/>
      <c r="DUQ142" s="4"/>
      <c r="DUR142" s="4"/>
      <c r="DUS142" s="4"/>
      <c r="DUT142" s="4"/>
      <c r="DUU142" s="4"/>
      <c r="DUV142" s="4"/>
      <c r="DUW142" s="4"/>
      <c r="DUX142" s="4"/>
      <c r="DUY142" s="4"/>
      <c r="DUZ142" s="4"/>
      <c r="DVA142" s="4"/>
      <c r="DVB142" s="4"/>
      <c r="DVC142" s="4"/>
      <c r="DVD142" s="4"/>
      <c r="DVE142" s="4"/>
      <c r="DVF142" s="4"/>
      <c r="DVG142" s="4"/>
      <c r="DVH142" s="4"/>
      <c r="DVI142" s="4"/>
      <c r="DVJ142" s="4"/>
      <c r="DVK142" s="4"/>
      <c r="DVL142" s="4"/>
      <c r="DVM142" s="4"/>
      <c r="DVN142" s="4"/>
      <c r="DVO142" s="4"/>
      <c r="DVP142" s="4"/>
      <c r="DVQ142" s="4"/>
      <c r="DVR142" s="4"/>
      <c r="DVS142" s="4"/>
      <c r="DVT142" s="4"/>
      <c r="DVU142" s="4"/>
      <c r="DVV142" s="4"/>
      <c r="DVW142" s="4"/>
      <c r="DVX142" s="4"/>
      <c r="DVY142" s="4"/>
      <c r="DVZ142" s="4"/>
      <c r="DWA142" s="4"/>
      <c r="DWB142" s="4"/>
      <c r="DWC142" s="4"/>
      <c r="DWD142" s="4"/>
      <c r="DWE142" s="4"/>
      <c r="DWF142" s="4"/>
      <c r="DWG142" s="4"/>
      <c r="DWH142" s="4"/>
      <c r="DWI142" s="4"/>
      <c r="DWJ142" s="4"/>
      <c r="DWK142" s="4"/>
      <c r="DWL142" s="4"/>
      <c r="DWM142" s="4"/>
      <c r="DWN142" s="4"/>
      <c r="DWO142" s="4"/>
      <c r="DWP142" s="4"/>
      <c r="DWQ142" s="4"/>
      <c r="DWR142" s="4"/>
      <c r="DWS142" s="4"/>
      <c r="DWT142" s="4"/>
      <c r="DWU142" s="4"/>
      <c r="DWV142" s="4"/>
      <c r="DWW142" s="4"/>
      <c r="DWX142" s="4"/>
      <c r="DWY142" s="4"/>
      <c r="DWZ142" s="4"/>
      <c r="DXA142" s="4"/>
      <c r="DXB142" s="4"/>
      <c r="DXC142" s="4"/>
      <c r="DXD142" s="4"/>
      <c r="DXE142" s="4"/>
      <c r="DXF142" s="4"/>
      <c r="DXG142" s="4"/>
      <c r="DXH142" s="4"/>
      <c r="DXI142" s="4"/>
      <c r="DXJ142" s="4"/>
      <c r="DXK142" s="4"/>
      <c r="DXL142" s="4"/>
      <c r="DXM142" s="4"/>
      <c r="DXN142" s="4"/>
      <c r="DXO142" s="4"/>
      <c r="DXP142" s="4"/>
      <c r="DXQ142" s="4"/>
      <c r="DXR142" s="4"/>
      <c r="DXS142" s="4"/>
      <c r="DXT142" s="4"/>
      <c r="DXU142" s="4"/>
      <c r="DXV142" s="4"/>
      <c r="DXW142" s="4"/>
      <c r="DXX142" s="4"/>
      <c r="DXY142" s="4"/>
      <c r="DXZ142" s="4"/>
      <c r="DYA142" s="4"/>
      <c r="DYB142" s="4"/>
      <c r="DYC142" s="4"/>
      <c r="DYD142" s="4"/>
      <c r="DYE142" s="4"/>
      <c r="DYF142" s="4"/>
      <c r="DYG142" s="4"/>
      <c r="DYH142" s="4"/>
      <c r="DYI142" s="4"/>
      <c r="DYJ142" s="4"/>
      <c r="DYK142" s="4"/>
      <c r="DYL142" s="4"/>
      <c r="DYM142" s="4"/>
      <c r="DYN142" s="4"/>
      <c r="DYO142" s="4"/>
      <c r="DYP142" s="4"/>
      <c r="DYQ142" s="4"/>
      <c r="DYR142" s="4"/>
      <c r="DYS142" s="4"/>
      <c r="DYT142" s="4"/>
      <c r="DYU142" s="4"/>
      <c r="DYV142" s="4"/>
      <c r="DYW142" s="4"/>
      <c r="DYX142" s="4"/>
      <c r="DYY142" s="4"/>
      <c r="DYZ142" s="4"/>
      <c r="DZA142" s="4"/>
      <c r="DZB142" s="4"/>
      <c r="DZC142" s="4"/>
      <c r="DZD142" s="4"/>
      <c r="DZE142" s="4"/>
      <c r="DZF142" s="4"/>
      <c r="DZG142" s="4"/>
      <c r="DZH142" s="4"/>
      <c r="DZI142" s="4"/>
      <c r="DZJ142" s="4"/>
      <c r="DZK142" s="4"/>
      <c r="DZL142" s="4"/>
      <c r="DZM142" s="4"/>
      <c r="DZN142" s="4"/>
      <c r="DZO142" s="4"/>
      <c r="DZP142" s="4"/>
      <c r="DZQ142" s="4"/>
      <c r="DZR142" s="4"/>
      <c r="DZS142" s="4"/>
      <c r="DZT142" s="4"/>
      <c r="DZU142" s="4"/>
      <c r="DZV142" s="4"/>
      <c r="DZW142" s="4"/>
      <c r="DZX142" s="4"/>
      <c r="DZY142" s="4"/>
      <c r="DZZ142" s="4"/>
      <c r="EAA142" s="4"/>
      <c r="EAB142" s="4"/>
      <c r="EAC142" s="4"/>
      <c r="EAD142" s="4"/>
      <c r="EAE142" s="4"/>
      <c r="EAF142" s="4"/>
      <c r="EAG142" s="4"/>
      <c r="EAH142" s="4"/>
      <c r="EAI142" s="4"/>
      <c r="EAJ142" s="4"/>
      <c r="EAK142" s="4"/>
      <c r="EAL142" s="4"/>
      <c r="EAM142" s="4"/>
      <c r="EAN142" s="4"/>
      <c r="EAO142" s="4"/>
      <c r="EAP142" s="4"/>
      <c r="EAQ142" s="4"/>
      <c r="EAR142" s="4"/>
      <c r="EAS142" s="4"/>
      <c r="EAT142" s="4"/>
      <c r="EAU142" s="4"/>
      <c r="EAV142" s="4"/>
      <c r="EAW142" s="4"/>
      <c r="EAX142" s="4"/>
      <c r="EAY142" s="4"/>
      <c r="EAZ142" s="4"/>
      <c r="EBA142" s="4"/>
      <c r="EBB142" s="4"/>
      <c r="EBC142" s="4"/>
      <c r="EBD142" s="4"/>
      <c r="EBE142" s="4"/>
      <c r="EBF142" s="4"/>
      <c r="EBG142" s="4"/>
      <c r="EBH142" s="4"/>
      <c r="EBI142" s="4"/>
      <c r="EBJ142" s="4"/>
      <c r="EBK142" s="4"/>
      <c r="EBL142" s="4"/>
      <c r="EBM142" s="4"/>
      <c r="EBN142" s="4"/>
      <c r="EBO142" s="4"/>
      <c r="EBP142" s="4"/>
      <c r="EBQ142" s="4"/>
      <c r="EBR142" s="4"/>
      <c r="EBS142" s="4"/>
      <c r="EBT142" s="4"/>
      <c r="EBU142" s="4"/>
      <c r="EBV142" s="4"/>
      <c r="EBW142" s="4"/>
      <c r="EBX142" s="4"/>
      <c r="EBY142" s="4"/>
      <c r="EBZ142" s="4"/>
      <c r="ECA142" s="4"/>
      <c r="ECB142" s="4"/>
      <c r="ECC142" s="4"/>
      <c r="ECD142" s="4"/>
      <c r="ECE142" s="4"/>
      <c r="ECF142" s="4"/>
      <c r="ECG142" s="4"/>
      <c r="ECH142" s="4"/>
      <c r="ECI142" s="4"/>
      <c r="ECJ142" s="4"/>
      <c r="ECK142" s="4"/>
      <c r="ECL142" s="4"/>
      <c r="ECM142" s="4"/>
      <c r="ECN142" s="4"/>
      <c r="ECO142" s="4"/>
      <c r="ECP142" s="4"/>
      <c r="ECQ142" s="4"/>
      <c r="ECR142" s="4"/>
      <c r="ECS142" s="4"/>
      <c r="ECT142" s="4"/>
      <c r="ECU142" s="4"/>
      <c r="ECV142" s="4"/>
      <c r="ECW142" s="4"/>
      <c r="ECX142" s="4"/>
      <c r="ECY142" s="4"/>
      <c r="ECZ142" s="4"/>
      <c r="EDA142" s="4"/>
      <c r="EDB142" s="4"/>
      <c r="EDC142" s="4"/>
      <c r="EDD142" s="4"/>
      <c r="EDE142" s="4"/>
      <c r="EDF142" s="4"/>
      <c r="EDG142" s="4"/>
      <c r="EDH142" s="4"/>
      <c r="EDI142" s="4"/>
      <c r="EDJ142" s="4"/>
      <c r="EDK142" s="4"/>
      <c r="EDL142" s="4"/>
      <c r="EDM142" s="4"/>
      <c r="EDN142" s="4"/>
      <c r="EDO142" s="4"/>
      <c r="EDP142" s="4"/>
      <c r="EDQ142" s="4"/>
      <c r="EDR142" s="4"/>
      <c r="EDS142" s="4"/>
      <c r="EDT142" s="4"/>
      <c r="EDU142" s="4"/>
      <c r="EDV142" s="4"/>
      <c r="EDW142" s="4"/>
      <c r="EDX142" s="4"/>
      <c r="EDY142" s="4"/>
      <c r="EDZ142" s="4"/>
      <c r="EEA142" s="4"/>
      <c r="EEB142" s="4"/>
      <c r="EEC142" s="4"/>
      <c r="EED142" s="4"/>
      <c r="EEE142" s="4"/>
      <c r="EEF142" s="4"/>
      <c r="EEG142" s="4"/>
      <c r="EEH142" s="4"/>
      <c r="EEI142" s="4"/>
      <c r="EEJ142" s="4"/>
      <c r="EEK142" s="4"/>
      <c r="EEL142" s="4"/>
      <c r="EEM142" s="4"/>
      <c r="EEN142" s="4"/>
      <c r="EEO142" s="4"/>
      <c r="EEP142" s="4"/>
      <c r="EEQ142" s="4"/>
      <c r="EER142" s="4"/>
      <c r="EES142" s="4"/>
      <c r="EET142" s="4"/>
      <c r="EEU142" s="4"/>
      <c r="EEV142" s="4"/>
      <c r="EEW142" s="4"/>
      <c r="EEX142" s="4"/>
      <c r="EEY142" s="4"/>
      <c r="EEZ142" s="4"/>
      <c r="EFA142" s="4"/>
      <c r="EFB142" s="4"/>
      <c r="EFC142" s="4"/>
      <c r="EFD142" s="4"/>
      <c r="EFE142" s="4"/>
      <c r="EFF142" s="4"/>
      <c r="EFG142" s="4"/>
      <c r="EFH142" s="4"/>
      <c r="EFI142" s="4"/>
      <c r="EFJ142" s="4"/>
      <c r="EFK142" s="4"/>
      <c r="EFL142" s="4"/>
      <c r="EFM142" s="4"/>
      <c r="EFN142" s="4"/>
      <c r="EFO142" s="4"/>
      <c r="EFP142" s="4"/>
      <c r="EFQ142" s="4"/>
      <c r="EFR142" s="4"/>
      <c r="EFS142" s="4"/>
      <c r="EFT142" s="4"/>
      <c r="EFU142" s="4"/>
      <c r="EFV142" s="4"/>
      <c r="EFW142" s="4"/>
      <c r="EFX142" s="4"/>
      <c r="EFY142" s="4"/>
      <c r="EFZ142" s="4"/>
      <c r="EGA142" s="4"/>
      <c r="EGB142" s="4"/>
      <c r="EGC142" s="4"/>
      <c r="EGD142" s="4"/>
      <c r="EGE142" s="4"/>
      <c r="EGF142" s="4"/>
      <c r="EGG142" s="4"/>
      <c r="EGH142" s="4"/>
      <c r="EGI142" s="4"/>
      <c r="EGJ142" s="4"/>
      <c r="EGK142" s="4"/>
      <c r="EGL142" s="4"/>
      <c r="EGM142" s="4"/>
      <c r="EGN142" s="4"/>
      <c r="EGO142" s="4"/>
      <c r="EGP142" s="4"/>
      <c r="EGQ142" s="4"/>
      <c r="EGR142" s="4"/>
      <c r="EGS142" s="4"/>
      <c r="EGT142" s="4"/>
      <c r="EGU142" s="4"/>
      <c r="EGV142" s="4"/>
      <c r="EGW142" s="4"/>
      <c r="EGX142" s="4"/>
      <c r="EGY142" s="4"/>
      <c r="EGZ142" s="4"/>
      <c r="EHA142" s="4"/>
      <c r="EHB142" s="4"/>
      <c r="EHC142" s="4"/>
      <c r="EHD142" s="4"/>
      <c r="EHE142" s="4"/>
      <c r="EHF142" s="4"/>
      <c r="EHG142" s="4"/>
      <c r="EHH142" s="4"/>
      <c r="EHI142" s="4"/>
      <c r="EHJ142" s="4"/>
      <c r="EHK142" s="4"/>
      <c r="EHL142" s="4"/>
      <c r="EHM142" s="4"/>
      <c r="EHN142" s="4"/>
      <c r="EHO142" s="4"/>
      <c r="EHP142" s="4"/>
      <c r="EHQ142" s="4"/>
      <c r="EHR142" s="4"/>
      <c r="EHS142" s="4"/>
      <c r="EHT142" s="4"/>
      <c r="EHU142" s="4"/>
      <c r="EHV142" s="4"/>
      <c r="EHW142" s="4"/>
      <c r="EHX142" s="4"/>
      <c r="EHY142" s="4"/>
      <c r="EHZ142" s="4"/>
      <c r="EIA142" s="4"/>
      <c r="EIB142" s="4"/>
      <c r="EIC142" s="4"/>
      <c r="EID142" s="4"/>
      <c r="EIE142" s="4"/>
      <c r="EIF142" s="4"/>
      <c r="EIG142" s="4"/>
      <c r="EIH142" s="4"/>
      <c r="EII142" s="4"/>
      <c r="EIJ142" s="4"/>
      <c r="EIK142" s="4"/>
      <c r="EIL142" s="4"/>
      <c r="EIM142" s="4"/>
      <c r="EIN142" s="4"/>
      <c r="EIO142" s="4"/>
      <c r="EIP142" s="4"/>
      <c r="EIQ142" s="4"/>
      <c r="EIR142" s="4"/>
      <c r="EIS142" s="4"/>
      <c r="EIT142" s="4"/>
      <c r="EIU142" s="4"/>
      <c r="EIV142" s="4"/>
      <c r="EIW142" s="4"/>
      <c r="EIX142" s="4"/>
      <c r="EIY142" s="4"/>
      <c r="EIZ142" s="4"/>
      <c r="EJA142" s="4"/>
      <c r="EJB142" s="4"/>
      <c r="EJC142" s="4"/>
      <c r="EJD142" s="4"/>
      <c r="EJE142" s="4"/>
      <c r="EJF142" s="4"/>
      <c r="EJG142" s="4"/>
      <c r="EJH142" s="4"/>
      <c r="EJI142" s="4"/>
      <c r="EJJ142" s="4"/>
      <c r="EJK142" s="4"/>
      <c r="EJL142" s="4"/>
      <c r="EJM142" s="4"/>
      <c r="EJN142" s="4"/>
      <c r="EJO142" s="4"/>
      <c r="EJP142" s="4"/>
      <c r="EJQ142" s="4"/>
      <c r="EJR142" s="4"/>
      <c r="EJS142" s="4"/>
      <c r="EJT142" s="4"/>
      <c r="EJU142" s="4"/>
      <c r="EJV142" s="4"/>
      <c r="EJW142" s="4"/>
      <c r="EJX142" s="4"/>
      <c r="EJY142" s="4"/>
      <c r="EJZ142" s="4"/>
      <c r="EKA142" s="4"/>
      <c r="EKB142" s="4"/>
      <c r="EKC142" s="4"/>
      <c r="EKD142" s="4"/>
      <c r="EKE142" s="4"/>
      <c r="EKF142" s="4"/>
      <c r="EKG142" s="4"/>
      <c r="EKH142" s="4"/>
      <c r="EKI142" s="4"/>
      <c r="EKJ142" s="4"/>
      <c r="EKK142" s="4"/>
      <c r="EKL142" s="4"/>
      <c r="EKM142" s="4"/>
      <c r="EKN142" s="4"/>
      <c r="EKO142" s="4"/>
      <c r="EKP142" s="4"/>
      <c r="EKQ142" s="4"/>
      <c r="EKR142" s="4"/>
      <c r="EKS142" s="4"/>
      <c r="EKT142" s="4"/>
      <c r="EKU142" s="4"/>
      <c r="EKV142" s="4"/>
      <c r="EKW142" s="4"/>
      <c r="EKX142" s="4"/>
      <c r="EKY142" s="4"/>
      <c r="EKZ142" s="4"/>
      <c r="ELA142" s="4"/>
      <c r="ELB142" s="4"/>
      <c r="ELC142" s="4"/>
      <c r="ELD142" s="4"/>
      <c r="ELE142" s="4"/>
      <c r="ELF142" s="4"/>
      <c r="ELG142" s="4"/>
      <c r="ELH142" s="4"/>
      <c r="ELI142" s="4"/>
      <c r="ELJ142" s="4"/>
      <c r="ELK142" s="4"/>
      <c r="ELL142" s="4"/>
      <c r="ELM142" s="4"/>
      <c r="ELN142" s="4"/>
      <c r="ELO142" s="4"/>
      <c r="ELP142" s="4"/>
      <c r="ELQ142" s="4"/>
      <c r="ELR142" s="4"/>
      <c r="ELS142" s="4"/>
      <c r="ELT142" s="4"/>
      <c r="ELU142" s="4"/>
      <c r="ELV142" s="4"/>
      <c r="ELW142" s="4"/>
      <c r="ELX142" s="4"/>
      <c r="ELY142" s="4"/>
      <c r="ELZ142" s="4"/>
      <c r="EMA142" s="4"/>
      <c r="EMB142" s="4"/>
      <c r="EMC142" s="4"/>
      <c r="EMD142" s="4"/>
      <c r="EME142" s="4"/>
      <c r="EMF142" s="4"/>
      <c r="EMG142" s="4"/>
      <c r="EMH142" s="4"/>
      <c r="EMI142" s="4"/>
      <c r="EMJ142" s="4"/>
      <c r="EMK142" s="4"/>
      <c r="EML142" s="4"/>
      <c r="EMM142" s="4"/>
      <c r="EMN142" s="4"/>
      <c r="EMO142" s="4"/>
      <c r="EMP142" s="4"/>
      <c r="EMQ142" s="4"/>
      <c r="EMR142" s="4"/>
      <c r="EMS142" s="4"/>
      <c r="EMT142" s="4"/>
      <c r="EMU142" s="4"/>
      <c r="EMV142" s="4"/>
      <c r="EMW142" s="4"/>
      <c r="EMX142" s="4"/>
      <c r="EMY142" s="4"/>
      <c r="EMZ142" s="4"/>
      <c r="ENA142" s="4"/>
      <c r="ENB142" s="4"/>
      <c r="ENC142" s="4"/>
      <c r="END142" s="4"/>
      <c r="ENE142" s="4"/>
      <c r="ENF142" s="4"/>
      <c r="ENG142" s="4"/>
      <c r="ENH142" s="4"/>
      <c r="ENI142" s="4"/>
      <c r="ENJ142" s="4"/>
      <c r="ENK142" s="4"/>
      <c r="ENL142" s="4"/>
      <c r="ENM142" s="4"/>
      <c r="ENN142" s="4"/>
      <c r="ENO142" s="4"/>
      <c r="ENP142" s="4"/>
      <c r="ENQ142" s="4"/>
      <c r="ENR142" s="4"/>
      <c r="ENS142" s="4"/>
      <c r="ENT142" s="4"/>
      <c r="ENU142" s="4"/>
      <c r="ENV142" s="4"/>
      <c r="ENW142" s="4"/>
      <c r="ENX142" s="4"/>
      <c r="ENY142" s="4"/>
      <c r="ENZ142" s="4"/>
      <c r="EOA142" s="4"/>
      <c r="EOB142" s="4"/>
      <c r="EOC142" s="4"/>
      <c r="EOD142" s="4"/>
      <c r="EOE142" s="4"/>
      <c r="EOF142" s="4"/>
      <c r="EOG142" s="4"/>
      <c r="EOH142" s="4"/>
      <c r="EOI142" s="4"/>
      <c r="EOJ142" s="4"/>
      <c r="EOK142" s="4"/>
      <c r="EOL142" s="4"/>
      <c r="EOM142" s="4"/>
      <c r="EON142" s="4"/>
      <c r="EOO142" s="4"/>
      <c r="EOP142" s="4"/>
      <c r="EOQ142" s="4"/>
      <c r="EOR142" s="4"/>
      <c r="EOS142" s="4"/>
      <c r="EOT142" s="4"/>
      <c r="EOU142" s="4"/>
      <c r="EOV142" s="4"/>
      <c r="EOW142" s="4"/>
      <c r="EOX142" s="4"/>
      <c r="EOY142" s="4"/>
      <c r="EOZ142" s="4"/>
      <c r="EPA142" s="4"/>
      <c r="EPB142" s="4"/>
      <c r="EPC142" s="4"/>
      <c r="EPD142" s="4"/>
      <c r="EPE142" s="4"/>
      <c r="EPF142" s="4"/>
      <c r="EPG142" s="4"/>
      <c r="EPH142" s="4"/>
      <c r="EPI142" s="4"/>
      <c r="EPJ142" s="4"/>
      <c r="EPK142" s="4"/>
      <c r="EPL142" s="4"/>
      <c r="EPM142" s="4"/>
      <c r="EPN142" s="4"/>
      <c r="EPO142" s="4"/>
      <c r="EPP142" s="4"/>
      <c r="EPQ142" s="4"/>
      <c r="EPR142" s="4"/>
      <c r="EPS142" s="4"/>
      <c r="EPT142" s="4"/>
      <c r="EPU142" s="4"/>
      <c r="EPV142" s="4"/>
      <c r="EPW142" s="4"/>
      <c r="EPX142" s="4"/>
      <c r="EPY142" s="4"/>
      <c r="EPZ142" s="4"/>
      <c r="EQA142" s="4"/>
      <c r="EQB142" s="4"/>
      <c r="EQC142" s="4"/>
      <c r="EQD142" s="4"/>
      <c r="EQE142" s="4"/>
      <c r="EQF142" s="4"/>
      <c r="EQG142" s="4"/>
      <c r="EQH142" s="4"/>
      <c r="EQI142" s="4"/>
      <c r="EQJ142" s="4"/>
      <c r="EQK142" s="4"/>
      <c r="EQL142" s="4"/>
      <c r="EQM142" s="4"/>
      <c r="EQN142" s="4"/>
      <c r="EQO142" s="4"/>
      <c r="EQP142" s="4"/>
      <c r="EQQ142" s="4"/>
      <c r="EQR142" s="4"/>
      <c r="EQS142" s="4"/>
      <c r="EQT142" s="4"/>
      <c r="EQU142" s="4"/>
      <c r="EQV142" s="4"/>
      <c r="EQW142" s="4"/>
      <c r="EQX142" s="4"/>
      <c r="EQY142" s="4"/>
      <c r="EQZ142" s="4"/>
      <c r="ERA142" s="4"/>
      <c r="ERB142" s="4"/>
      <c r="ERC142" s="4"/>
      <c r="ERD142" s="4"/>
      <c r="ERE142" s="4"/>
      <c r="ERF142" s="4"/>
      <c r="ERG142" s="4"/>
      <c r="ERH142" s="4"/>
      <c r="ERI142" s="4"/>
      <c r="ERJ142" s="4"/>
      <c r="ERK142" s="4"/>
      <c r="ERL142" s="4"/>
      <c r="ERM142" s="4"/>
      <c r="ERN142" s="4"/>
      <c r="ERO142" s="4"/>
      <c r="ERP142" s="4"/>
      <c r="ERQ142" s="4"/>
      <c r="ERR142" s="4"/>
      <c r="ERS142" s="4"/>
      <c r="ERT142" s="4"/>
      <c r="ERU142" s="4"/>
      <c r="ERV142" s="4"/>
      <c r="ERW142" s="4"/>
      <c r="ERX142" s="4"/>
      <c r="ERY142" s="4"/>
      <c r="ERZ142" s="4"/>
      <c r="ESA142" s="4"/>
      <c r="ESB142" s="4"/>
      <c r="ESC142" s="4"/>
      <c r="ESD142" s="4"/>
      <c r="ESE142" s="4"/>
      <c r="ESF142" s="4"/>
      <c r="ESG142" s="4"/>
      <c r="ESH142" s="4"/>
      <c r="ESI142" s="4"/>
      <c r="ESJ142" s="4"/>
      <c r="ESK142" s="4"/>
      <c r="ESL142" s="4"/>
      <c r="ESM142" s="4"/>
      <c r="ESN142" s="4"/>
      <c r="ESO142" s="4"/>
      <c r="ESP142" s="4"/>
      <c r="ESQ142" s="4"/>
      <c r="ESR142" s="4"/>
      <c r="ESS142" s="4"/>
      <c r="EST142" s="4"/>
      <c r="ESU142" s="4"/>
      <c r="ESV142" s="4"/>
      <c r="ESW142" s="4"/>
      <c r="ESX142" s="4"/>
      <c r="ESY142" s="4"/>
      <c r="ESZ142" s="4"/>
      <c r="ETA142" s="4"/>
      <c r="ETB142" s="4"/>
      <c r="ETC142" s="4"/>
      <c r="ETD142" s="4"/>
      <c r="ETE142" s="4"/>
      <c r="ETF142" s="4"/>
      <c r="ETG142" s="4"/>
      <c r="ETH142" s="4"/>
      <c r="ETI142" s="4"/>
      <c r="ETJ142" s="4"/>
      <c r="ETK142" s="4"/>
      <c r="ETL142" s="4"/>
      <c r="ETM142" s="4"/>
      <c r="ETN142" s="4"/>
      <c r="ETO142" s="4"/>
      <c r="ETP142" s="4"/>
      <c r="ETQ142" s="4"/>
      <c r="ETR142" s="4"/>
      <c r="ETS142" s="4"/>
      <c r="ETT142" s="4"/>
      <c r="ETU142" s="4"/>
      <c r="ETV142" s="4"/>
      <c r="ETW142" s="4"/>
      <c r="ETX142" s="4"/>
      <c r="ETY142" s="4"/>
      <c r="ETZ142" s="4"/>
      <c r="EUA142" s="4"/>
      <c r="EUB142" s="4"/>
      <c r="EUC142" s="4"/>
      <c r="EUD142" s="4"/>
      <c r="EUE142" s="4"/>
      <c r="EUF142" s="4"/>
      <c r="EUG142" s="4"/>
      <c r="EUH142" s="4"/>
      <c r="EUI142" s="4"/>
      <c r="EUJ142" s="4"/>
      <c r="EUK142" s="4"/>
      <c r="EUL142" s="4"/>
      <c r="EUM142" s="4"/>
      <c r="EUN142" s="4"/>
      <c r="EUO142" s="4"/>
      <c r="EUP142" s="4"/>
      <c r="EUQ142" s="4"/>
      <c r="EUR142" s="4"/>
      <c r="EUS142" s="4"/>
      <c r="EUT142" s="4"/>
      <c r="EUU142" s="4"/>
      <c r="EUV142" s="4"/>
      <c r="EUW142" s="4"/>
      <c r="EUX142" s="4"/>
      <c r="EUY142" s="4"/>
      <c r="EUZ142" s="4"/>
      <c r="EVA142" s="4"/>
      <c r="EVB142" s="4"/>
      <c r="EVC142" s="4"/>
      <c r="EVD142" s="4"/>
      <c r="EVE142" s="4"/>
      <c r="EVF142" s="4"/>
      <c r="EVG142" s="4"/>
      <c r="EVH142" s="4"/>
      <c r="EVI142" s="4"/>
      <c r="EVJ142" s="4"/>
      <c r="EVK142" s="4"/>
      <c r="EVL142" s="4"/>
      <c r="EVM142" s="4"/>
      <c r="EVN142" s="4"/>
      <c r="EVO142" s="4"/>
      <c r="EVP142" s="4"/>
      <c r="EVQ142" s="4"/>
      <c r="EVR142" s="4"/>
      <c r="EVS142" s="4"/>
      <c r="EVT142" s="4"/>
      <c r="EVU142" s="4"/>
      <c r="EVV142" s="4"/>
      <c r="EVW142" s="4"/>
      <c r="EVX142" s="4"/>
      <c r="EVY142" s="4"/>
      <c r="EVZ142" s="4"/>
      <c r="EWA142" s="4"/>
      <c r="EWB142" s="4"/>
      <c r="EWC142" s="4"/>
      <c r="EWD142" s="4"/>
      <c r="EWE142" s="4"/>
      <c r="EWF142" s="4"/>
      <c r="EWG142" s="4"/>
      <c r="EWH142" s="4"/>
      <c r="EWI142" s="4"/>
      <c r="EWJ142" s="4"/>
      <c r="EWK142" s="4"/>
      <c r="EWL142" s="4"/>
      <c r="EWM142" s="4"/>
      <c r="EWN142" s="4"/>
      <c r="EWO142" s="4"/>
      <c r="EWP142" s="4"/>
      <c r="EWQ142" s="4"/>
      <c r="EWR142" s="4"/>
      <c r="EWS142" s="4"/>
      <c r="EWT142" s="4"/>
      <c r="EWU142" s="4"/>
      <c r="EWV142" s="4"/>
      <c r="EWW142" s="4"/>
      <c r="EWX142" s="4"/>
      <c r="EWY142" s="4"/>
      <c r="EWZ142" s="4"/>
      <c r="EXA142" s="4"/>
      <c r="EXB142" s="4"/>
      <c r="EXC142" s="4"/>
      <c r="EXD142" s="4"/>
      <c r="EXE142" s="4"/>
      <c r="EXF142" s="4"/>
      <c r="EXG142" s="4"/>
      <c r="EXH142" s="4"/>
      <c r="EXI142" s="4"/>
      <c r="EXJ142" s="4"/>
      <c r="EXK142" s="4"/>
      <c r="EXL142" s="4"/>
      <c r="EXM142" s="4"/>
      <c r="EXN142" s="4"/>
      <c r="EXO142" s="4"/>
      <c r="EXP142" s="4"/>
      <c r="EXQ142" s="4"/>
      <c r="EXR142" s="4"/>
      <c r="EXS142" s="4"/>
      <c r="EXT142" s="4"/>
      <c r="EXU142" s="4"/>
      <c r="EXV142" s="4"/>
      <c r="EXW142" s="4"/>
      <c r="EXX142" s="4"/>
      <c r="EXY142" s="4"/>
      <c r="EXZ142" s="4"/>
      <c r="EYA142" s="4"/>
      <c r="EYB142" s="4"/>
      <c r="EYC142" s="4"/>
      <c r="EYD142" s="4"/>
      <c r="EYE142" s="4"/>
      <c r="EYF142" s="4"/>
      <c r="EYG142" s="4"/>
      <c r="EYH142" s="4"/>
      <c r="EYI142" s="4"/>
      <c r="EYJ142" s="4"/>
      <c r="EYK142" s="4"/>
      <c r="EYL142" s="4"/>
      <c r="EYM142" s="4"/>
      <c r="EYN142" s="4"/>
      <c r="EYO142" s="4"/>
      <c r="EYP142" s="4"/>
      <c r="EYQ142" s="4"/>
      <c r="EYR142" s="4"/>
      <c r="EYS142" s="4"/>
      <c r="EYT142" s="4"/>
      <c r="EYU142" s="4"/>
      <c r="EYV142" s="4"/>
      <c r="EYW142" s="4"/>
      <c r="EYX142" s="4"/>
      <c r="EYY142" s="4"/>
      <c r="EYZ142" s="4"/>
      <c r="EZA142" s="4"/>
      <c r="EZB142" s="4"/>
      <c r="EZC142" s="4"/>
      <c r="EZD142" s="4"/>
      <c r="EZE142" s="4"/>
      <c r="EZF142" s="4"/>
      <c r="EZG142" s="4"/>
      <c r="EZH142" s="4"/>
      <c r="EZI142" s="4"/>
      <c r="EZJ142" s="4"/>
      <c r="EZK142" s="4"/>
      <c r="EZL142" s="4"/>
      <c r="EZM142" s="4"/>
      <c r="EZN142" s="4"/>
      <c r="EZO142" s="4"/>
      <c r="EZP142" s="4"/>
      <c r="EZQ142" s="4"/>
      <c r="EZR142" s="4"/>
      <c r="EZS142" s="4"/>
      <c r="EZT142" s="4"/>
      <c r="EZU142" s="4"/>
      <c r="EZV142" s="4"/>
      <c r="EZW142" s="4"/>
      <c r="EZX142" s="4"/>
      <c r="EZY142" s="4"/>
      <c r="EZZ142" s="4"/>
      <c r="FAA142" s="4"/>
      <c r="FAB142" s="4"/>
      <c r="FAC142" s="4"/>
      <c r="FAD142" s="4"/>
      <c r="FAE142" s="4"/>
      <c r="FAF142" s="4"/>
      <c r="FAG142" s="4"/>
      <c r="FAH142" s="4"/>
      <c r="FAI142" s="4"/>
      <c r="FAJ142" s="4"/>
      <c r="FAK142" s="4"/>
      <c r="FAL142" s="4"/>
      <c r="FAM142" s="4"/>
      <c r="FAN142" s="4"/>
      <c r="FAO142" s="4"/>
      <c r="FAP142" s="4"/>
      <c r="FAQ142" s="4"/>
      <c r="FAR142" s="4"/>
      <c r="FAS142" s="4"/>
      <c r="FAT142" s="4"/>
      <c r="FAU142" s="4"/>
      <c r="FAV142" s="4"/>
      <c r="FAW142" s="4"/>
      <c r="FAX142" s="4"/>
      <c r="FAY142" s="4"/>
      <c r="FAZ142" s="4"/>
      <c r="FBA142" s="4"/>
      <c r="FBB142" s="4"/>
      <c r="FBC142" s="4"/>
      <c r="FBD142" s="4"/>
      <c r="FBE142" s="4"/>
      <c r="FBF142" s="4"/>
      <c r="FBG142" s="4"/>
      <c r="FBH142" s="4"/>
      <c r="FBI142" s="4"/>
      <c r="FBJ142" s="4"/>
      <c r="FBK142" s="4"/>
      <c r="FBL142" s="4"/>
      <c r="FBM142" s="4"/>
      <c r="FBN142" s="4"/>
      <c r="FBO142" s="4"/>
      <c r="FBP142" s="4"/>
      <c r="FBQ142" s="4"/>
      <c r="FBR142" s="4"/>
      <c r="FBS142" s="4"/>
      <c r="FBT142" s="4"/>
      <c r="FBU142" s="4"/>
      <c r="FBV142" s="4"/>
      <c r="FBW142" s="4"/>
      <c r="FBX142" s="4"/>
      <c r="FBY142" s="4"/>
      <c r="FBZ142" s="4"/>
      <c r="FCA142" s="4"/>
      <c r="FCB142" s="4"/>
      <c r="FCC142" s="4"/>
      <c r="FCD142" s="4"/>
      <c r="FCE142" s="4"/>
      <c r="FCF142" s="4"/>
      <c r="FCG142" s="4"/>
      <c r="FCH142" s="4"/>
      <c r="FCI142" s="4"/>
      <c r="FCJ142" s="4"/>
      <c r="FCK142" s="4"/>
      <c r="FCL142" s="4"/>
      <c r="FCM142" s="4"/>
      <c r="FCN142" s="4"/>
      <c r="FCO142" s="4"/>
      <c r="FCP142" s="4"/>
      <c r="FCQ142" s="4"/>
      <c r="FCR142" s="4"/>
      <c r="FCS142" s="4"/>
      <c r="FCT142" s="4"/>
      <c r="FCU142" s="4"/>
      <c r="FCV142" s="4"/>
      <c r="FCW142" s="4"/>
      <c r="FCX142" s="4"/>
      <c r="FCY142" s="4"/>
      <c r="FCZ142" s="4"/>
      <c r="FDA142" s="4"/>
      <c r="FDB142" s="4"/>
      <c r="FDC142" s="4"/>
      <c r="FDD142" s="4"/>
      <c r="FDE142" s="4"/>
      <c r="FDF142" s="4"/>
      <c r="FDG142" s="4"/>
      <c r="FDH142" s="4"/>
      <c r="FDI142" s="4"/>
      <c r="FDJ142" s="4"/>
      <c r="FDK142" s="4"/>
      <c r="FDL142" s="4"/>
      <c r="FDM142" s="4"/>
      <c r="FDN142" s="4"/>
      <c r="FDO142" s="4"/>
      <c r="FDP142" s="4"/>
      <c r="FDQ142" s="4"/>
      <c r="FDR142" s="4"/>
      <c r="FDS142" s="4"/>
      <c r="FDT142" s="4"/>
      <c r="FDU142" s="4"/>
      <c r="FDV142" s="4"/>
      <c r="FDW142" s="4"/>
      <c r="FDX142" s="4"/>
      <c r="FDY142" s="4"/>
      <c r="FDZ142" s="4"/>
      <c r="FEA142" s="4"/>
      <c r="FEB142" s="4"/>
      <c r="FEC142" s="4"/>
      <c r="FED142" s="4"/>
      <c r="FEE142" s="4"/>
      <c r="FEF142" s="4"/>
      <c r="FEG142" s="4"/>
      <c r="FEH142" s="4"/>
      <c r="FEI142" s="4"/>
      <c r="FEJ142" s="4"/>
      <c r="FEK142" s="4"/>
      <c r="FEL142" s="4"/>
      <c r="FEM142" s="4"/>
      <c r="FEN142" s="4"/>
      <c r="FEO142" s="4"/>
      <c r="FEP142" s="4"/>
      <c r="FEQ142" s="4"/>
      <c r="FER142" s="4"/>
      <c r="FES142" s="4"/>
      <c r="FET142" s="4"/>
      <c r="FEU142" s="4"/>
      <c r="FEV142" s="4"/>
      <c r="FEW142" s="4"/>
      <c r="FEX142" s="4"/>
      <c r="FEY142" s="4"/>
      <c r="FEZ142" s="4"/>
      <c r="FFA142" s="4"/>
      <c r="FFB142" s="4"/>
      <c r="FFC142" s="4"/>
      <c r="FFD142" s="4"/>
      <c r="FFE142" s="4"/>
      <c r="FFF142" s="4"/>
      <c r="FFG142" s="4"/>
      <c r="FFH142" s="4"/>
      <c r="FFI142" s="4"/>
      <c r="FFJ142" s="4"/>
      <c r="FFK142" s="4"/>
      <c r="FFL142" s="4"/>
      <c r="FFM142" s="4"/>
      <c r="FFN142" s="4"/>
      <c r="FFO142" s="4"/>
      <c r="FFP142" s="4"/>
      <c r="FFQ142" s="4"/>
      <c r="FFR142" s="4"/>
      <c r="FFS142" s="4"/>
      <c r="FFT142" s="4"/>
      <c r="FFU142" s="4"/>
      <c r="FFV142" s="4"/>
      <c r="FFW142" s="4"/>
      <c r="FFX142" s="4"/>
      <c r="FFY142" s="4"/>
      <c r="FFZ142" s="4"/>
      <c r="FGA142" s="4"/>
      <c r="FGB142" s="4"/>
      <c r="FGC142" s="4"/>
      <c r="FGD142" s="4"/>
      <c r="FGE142" s="4"/>
      <c r="FGF142" s="4"/>
      <c r="FGG142" s="4"/>
      <c r="FGH142" s="4"/>
      <c r="FGI142" s="4"/>
      <c r="FGJ142" s="4"/>
      <c r="FGK142" s="4"/>
      <c r="FGL142" s="4"/>
      <c r="FGM142" s="4"/>
      <c r="FGN142" s="4"/>
      <c r="FGO142" s="4"/>
      <c r="FGP142" s="4"/>
      <c r="FGQ142" s="4"/>
      <c r="FGR142" s="4"/>
      <c r="FGS142" s="4"/>
      <c r="FGT142" s="4"/>
      <c r="FGU142" s="4"/>
      <c r="FGV142" s="4"/>
      <c r="FGW142" s="4"/>
      <c r="FGX142" s="4"/>
      <c r="FGY142" s="4"/>
      <c r="FGZ142" s="4"/>
      <c r="FHA142" s="4"/>
      <c r="FHB142" s="4"/>
      <c r="FHC142" s="4"/>
      <c r="FHD142" s="4"/>
      <c r="FHE142" s="4"/>
      <c r="FHF142" s="4"/>
      <c r="FHG142" s="4"/>
      <c r="FHH142" s="4"/>
      <c r="FHI142" s="4"/>
      <c r="FHJ142" s="4"/>
      <c r="FHK142" s="4"/>
      <c r="FHL142" s="4"/>
      <c r="FHM142" s="4"/>
      <c r="FHN142" s="4"/>
      <c r="FHO142" s="4"/>
      <c r="FHP142" s="4"/>
      <c r="FHQ142" s="4"/>
      <c r="FHR142" s="4"/>
      <c r="FHS142" s="4"/>
      <c r="FHT142" s="4"/>
      <c r="FHU142" s="4"/>
      <c r="FHV142" s="4"/>
      <c r="FHW142" s="4"/>
      <c r="FHX142" s="4"/>
      <c r="FHY142" s="4"/>
      <c r="FHZ142" s="4"/>
      <c r="FIA142" s="4"/>
      <c r="FIB142" s="4"/>
      <c r="FIC142" s="4"/>
      <c r="FID142" s="4"/>
      <c r="FIE142" s="4"/>
      <c r="FIF142" s="4"/>
      <c r="FIG142" s="4"/>
      <c r="FIH142" s="4"/>
      <c r="FII142" s="4"/>
      <c r="FIJ142" s="4"/>
      <c r="FIK142" s="4"/>
      <c r="FIL142" s="4"/>
      <c r="FIM142" s="4"/>
      <c r="FIN142" s="4"/>
      <c r="FIO142" s="4"/>
      <c r="FIP142" s="4"/>
      <c r="FIQ142" s="4"/>
      <c r="FIR142" s="4"/>
      <c r="FIS142" s="4"/>
      <c r="FIT142" s="4"/>
      <c r="FIU142" s="4"/>
      <c r="FIV142" s="4"/>
      <c r="FIW142" s="4"/>
      <c r="FIX142" s="4"/>
      <c r="FIY142" s="4"/>
      <c r="FIZ142" s="4"/>
      <c r="FJA142" s="4"/>
      <c r="FJB142" s="4"/>
      <c r="FJC142" s="4"/>
      <c r="FJD142" s="4"/>
      <c r="FJE142" s="4"/>
      <c r="FJF142" s="4"/>
      <c r="FJG142" s="4"/>
      <c r="FJH142" s="4"/>
      <c r="FJI142" s="4"/>
      <c r="FJJ142" s="4"/>
      <c r="FJK142" s="4"/>
      <c r="FJL142" s="4"/>
      <c r="FJM142" s="4"/>
      <c r="FJN142" s="4"/>
      <c r="FJO142" s="4"/>
      <c r="FJP142" s="4"/>
      <c r="FJQ142" s="4"/>
      <c r="FJR142" s="4"/>
      <c r="FJS142" s="4"/>
      <c r="FJT142" s="4"/>
      <c r="FJU142" s="4"/>
      <c r="FJV142" s="4"/>
      <c r="FJW142" s="4"/>
      <c r="FJX142" s="4"/>
      <c r="FJY142" s="4"/>
      <c r="FJZ142" s="4"/>
      <c r="FKA142" s="4"/>
      <c r="FKB142" s="4"/>
      <c r="FKC142" s="4"/>
      <c r="FKD142" s="4"/>
      <c r="FKE142" s="4"/>
      <c r="FKF142" s="4"/>
      <c r="FKG142" s="4"/>
      <c r="FKH142" s="4"/>
      <c r="FKI142" s="4"/>
      <c r="FKJ142" s="4"/>
      <c r="FKK142" s="4"/>
      <c r="FKL142" s="4"/>
      <c r="FKM142" s="4"/>
      <c r="FKN142" s="4"/>
      <c r="FKO142" s="4"/>
      <c r="FKP142" s="4"/>
      <c r="FKQ142" s="4"/>
      <c r="FKR142" s="4"/>
      <c r="FKS142" s="4"/>
      <c r="FKT142" s="4"/>
      <c r="FKU142" s="4"/>
      <c r="FKV142" s="4"/>
      <c r="FKW142" s="4"/>
      <c r="FKX142" s="4"/>
      <c r="FKY142" s="4"/>
      <c r="FKZ142" s="4"/>
      <c r="FLA142" s="4"/>
      <c r="FLB142" s="4"/>
      <c r="FLC142" s="4"/>
      <c r="FLD142" s="4"/>
      <c r="FLE142" s="4"/>
      <c r="FLF142" s="4"/>
      <c r="FLG142" s="4"/>
      <c r="FLH142" s="4"/>
      <c r="FLI142" s="4"/>
      <c r="FLJ142" s="4"/>
      <c r="FLK142" s="4"/>
      <c r="FLL142" s="4"/>
      <c r="FLM142" s="4"/>
      <c r="FLN142" s="4"/>
      <c r="FLO142" s="4"/>
      <c r="FLP142" s="4"/>
      <c r="FLQ142" s="4"/>
      <c r="FLR142" s="4"/>
      <c r="FLS142" s="4"/>
      <c r="FLT142" s="4"/>
      <c r="FLU142" s="4"/>
      <c r="FLV142" s="4"/>
      <c r="FLW142" s="4"/>
      <c r="FLX142" s="4"/>
      <c r="FLY142" s="4"/>
      <c r="FLZ142" s="4"/>
      <c r="FMA142" s="4"/>
      <c r="FMB142" s="4"/>
      <c r="FMC142" s="4"/>
      <c r="FMD142" s="4"/>
      <c r="FME142" s="4"/>
      <c r="FMF142" s="4"/>
      <c r="FMG142" s="4"/>
      <c r="FMH142" s="4"/>
      <c r="FMI142" s="4"/>
      <c r="FMJ142" s="4"/>
      <c r="FMK142" s="4"/>
      <c r="FML142" s="4"/>
      <c r="FMM142" s="4"/>
      <c r="FMN142" s="4"/>
      <c r="FMO142" s="4"/>
      <c r="FMP142" s="4"/>
      <c r="FMQ142" s="4"/>
      <c r="FMR142" s="4"/>
      <c r="FMS142" s="4"/>
      <c r="FMT142" s="4"/>
      <c r="FMU142" s="4"/>
      <c r="FMV142" s="4"/>
      <c r="FMW142" s="4"/>
      <c r="FMX142" s="4"/>
      <c r="FMY142" s="4"/>
      <c r="FMZ142" s="4"/>
      <c r="FNA142" s="4"/>
      <c r="FNB142" s="4"/>
      <c r="FNC142" s="4"/>
      <c r="FND142" s="4"/>
      <c r="FNE142" s="4"/>
      <c r="FNF142" s="4"/>
      <c r="FNG142" s="4"/>
      <c r="FNH142" s="4"/>
      <c r="FNI142" s="4"/>
      <c r="FNJ142" s="4"/>
      <c r="FNK142" s="4"/>
      <c r="FNL142" s="4"/>
      <c r="FNM142" s="4"/>
      <c r="FNN142" s="4"/>
      <c r="FNO142" s="4"/>
      <c r="FNP142" s="4"/>
      <c r="FNQ142" s="4"/>
      <c r="FNR142" s="4"/>
      <c r="FNS142" s="4"/>
      <c r="FNT142" s="4"/>
      <c r="FNU142" s="4"/>
      <c r="FNV142" s="4"/>
      <c r="FNW142" s="4"/>
      <c r="FNX142" s="4"/>
      <c r="FNY142" s="4"/>
      <c r="FNZ142" s="4"/>
      <c r="FOA142" s="4"/>
      <c r="FOB142" s="4"/>
      <c r="FOC142" s="4"/>
      <c r="FOD142" s="4"/>
      <c r="FOE142" s="4"/>
      <c r="FOF142" s="4"/>
      <c r="FOG142" s="4"/>
      <c r="FOH142" s="4"/>
      <c r="FOI142" s="4"/>
      <c r="FOJ142" s="4"/>
      <c r="FOK142" s="4"/>
      <c r="FOL142" s="4"/>
      <c r="FOM142" s="4"/>
      <c r="FON142" s="4"/>
      <c r="FOO142" s="4"/>
      <c r="FOP142" s="4"/>
      <c r="FOQ142" s="4"/>
      <c r="FOR142" s="4"/>
      <c r="FOS142" s="4"/>
      <c r="FOT142" s="4"/>
      <c r="FOU142" s="4"/>
      <c r="FOV142" s="4"/>
      <c r="FOW142" s="4"/>
      <c r="FOX142" s="4"/>
      <c r="FOY142" s="4"/>
      <c r="FOZ142" s="4"/>
      <c r="FPA142" s="4"/>
      <c r="FPB142" s="4"/>
      <c r="FPC142" s="4"/>
      <c r="FPD142" s="4"/>
      <c r="FPE142" s="4"/>
      <c r="FPF142" s="4"/>
      <c r="FPG142" s="4"/>
      <c r="FPH142" s="4"/>
      <c r="FPI142" s="4"/>
      <c r="FPJ142" s="4"/>
      <c r="FPK142" s="4"/>
      <c r="FPL142" s="4"/>
      <c r="FPM142" s="4"/>
      <c r="FPN142" s="4"/>
      <c r="FPO142" s="4"/>
      <c r="FPP142" s="4"/>
      <c r="FPQ142" s="4"/>
      <c r="FPR142" s="4"/>
      <c r="FPS142" s="4"/>
      <c r="FPT142" s="4"/>
      <c r="FPU142" s="4"/>
      <c r="FPV142" s="4"/>
      <c r="FPW142" s="4"/>
      <c r="FPX142" s="4"/>
      <c r="FPY142" s="4"/>
      <c r="FPZ142" s="4"/>
      <c r="FQA142" s="4"/>
      <c r="FQB142" s="4"/>
      <c r="FQC142" s="4"/>
      <c r="FQD142" s="4"/>
      <c r="FQE142" s="4"/>
      <c r="FQF142" s="4"/>
      <c r="FQG142" s="4"/>
      <c r="FQH142" s="4"/>
      <c r="FQI142" s="4"/>
      <c r="FQJ142" s="4"/>
      <c r="FQK142" s="4"/>
      <c r="FQL142" s="4"/>
      <c r="FQM142" s="4"/>
      <c r="FQN142" s="4"/>
      <c r="FQO142" s="4"/>
      <c r="FQP142" s="4"/>
      <c r="FQQ142" s="4"/>
      <c r="FQR142" s="4"/>
      <c r="FQS142" s="4"/>
      <c r="FQT142" s="4"/>
      <c r="FQU142" s="4"/>
      <c r="FQV142" s="4"/>
      <c r="FQW142" s="4"/>
      <c r="FQX142" s="4"/>
      <c r="FQY142" s="4"/>
      <c r="FQZ142" s="4"/>
      <c r="FRA142" s="4"/>
      <c r="FRB142" s="4"/>
      <c r="FRC142" s="4"/>
      <c r="FRD142" s="4"/>
      <c r="FRE142" s="4"/>
      <c r="FRF142" s="4"/>
      <c r="FRG142" s="4"/>
      <c r="FRH142" s="4"/>
      <c r="FRI142" s="4"/>
      <c r="FRJ142" s="4"/>
      <c r="FRK142" s="4"/>
      <c r="FRL142" s="4"/>
      <c r="FRM142" s="4"/>
      <c r="FRN142" s="4"/>
      <c r="FRO142" s="4"/>
      <c r="FRP142" s="4"/>
      <c r="FRQ142" s="4"/>
      <c r="FRR142" s="4"/>
      <c r="FRS142" s="4"/>
      <c r="FRT142" s="4"/>
      <c r="FRU142" s="4"/>
      <c r="FRV142" s="4"/>
      <c r="FRW142" s="4"/>
      <c r="FRX142" s="4"/>
      <c r="FRY142" s="4"/>
      <c r="FRZ142" s="4"/>
      <c r="FSA142" s="4"/>
      <c r="FSB142" s="4"/>
      <c r="FSC142" s="4"/>
      <c r="FSD142" s="4"/>
      <c r="FSE142" s="4"/>
      <c r="FSF142" s="4"/>
      <c r="FSG142" s="4"/>
      <c r="FSH142" s="4"/>
      <c r="FSI142" s="4"/>
      <c r="FSJ142" s="4"/>
      <c r="FSK142" s="4"/>
      <c r="FSL142" s="4"/>
      <c r="FSM142" s="4"/>
      <c r="FSN142" s="4"/>
      <c r="FSO142" s="4"/>
      <c r="FSP142" s="4"/>
      <c r="FSQ142" s="4"/>
      <c r="FSR142" s="4"/>
      <c r="FSS142" s="4"/>
      <c r="FST142" s="4"/>
      <c r="FSU142" s="4"/>
      <c r="FSV142" s="4"/>
      <c r="FSW142" s="4"/>
      <c r="FSX142" s="4"/>
      <c r="FSY142" s="4"/>
      <c r="FSZ142" s="4"/>
      <c r="FTA142" s="4"/>
      <c r="FTB142" s="4"/>
      <c r="FTC142" s="4"/>
      <c r="FTD142" s="4"/>
      <c r="FTE142" s="4"/>
      <c r="FTF142" s="4"/>
      <c r="FTG142" s="4"/>
      <c r="FTH142" s="4"/>
      <c r="FTI142" s="4"/>
      <c r="FTJ142" s="4"/>
      <c r="FTK142" s="4"/>
      <c r="FTL142" s="4"/>
      <c r="FTM142" s="4"/>
      <c r="FTN142" s="4"/>
      <c r="FTO142" s="4"/>
      <c r="FTP142" s="4"/>
      <c r="FTQ142" s="4"/>
      <c r="FTR142" s="4"/>
      <c r="FTS142" s="4"/>
      <c r="FTT142" s="4"/>
      <c r="FTU142" s="4"/>
      <c r="FTV142" s="4"/>
      <c r="FTW142" s="4"/>
      <c r="FTX142" s="4"/>
      <c r="FTY142" s="4"/>
      <c r="FTZ142" s="4"/>
      <c r="FUA142" s="4"/>
      <c r="FUB142" s="4"/>
      <c r="FUC142" s="4"/>
      <c r="FUD142" s="4"/>
      <c r="FUE142" s="4"/>
      <c r="FUF142" s="4"/>
      <c r="FUG142" s="4"/>
      <c r="FUH142" s="4"/>
      <c r="FUI142" s="4"/>
      <c r="FUJ142" s="4"/>
      <c r="FUK142" s="4"/>
      <c r="FUL142" s="4"/>
      <c r="FUM142" s="4"/>
      <c r="FUN142" s="4"/>
      <c r="FUO142" s="4"/>
      <c r="FUP142" s="4"/>
      <c r="FUQ142" s="4"/>
      <c r="FUR142" s="4"/>
      <c r="FUS142" s="4"/>
      <c r="FUT142" s="4"/>
      <c r="FUU142" s="4"/>
      <c r="FUV142" s="4"/>
      <c r="FUW142" s="4"/>
      <c r="FUX142" s="4"/>
      <c r="FUY142" s="4"/>
      <c r="FUZ142" s="4"/>
      <c r="FVA142" s="4"/>
      <c r="FVB142" s="4"/>
      <c r="FVC142" s="4"/>
      <c r="FVD142" s="4"/>
      <c r="FVE142" s="4"/>
      <c r="FVF142" s="4"/>
      <c r="FVG142" s="4"/>
      <c r="FVH142" s="4"/>
      <c r="FVI142" s="4"/>
      <c r="FVJ142" s="4"/>
      <c r="FVK142" s="4"/>
      <c r="FVL142" s="4"/>
      <c r="FVM142" s="4"/>
      <c r="FVN142" s="4"/>
      <c r="FVO142" s="4"/>
      <c r="FVP142" s="4"/>
      <c r="FVQ142" s="4"/>
      <c r="FVR142" s="4"/>
      <c r="FVS142" s="4"/>
      <c r="FVT142" s="4"/>
      <c r="FVU142" s="4"/>
      <c r="FVV142" s="4"/>
      <c r="FVW142" s="4"/>
      <c r="FVX142" s="4"/>
      <c r="FVY142" s="4"/>
      <c r="FVZ142" s="4"/>
      <c r="FWA142" s="4"/>
      <c r="FWB142" s="4"/>
      <c r="FWC142" s="4"/>
      <c r="FWD142" s="4"/>
      <c r="FWE142" s="4"/>
      <c r="FWF142" s="4"/>
      <c r="FWG142" s="4"/>
      <c r="FWH142" s="4"/>
      <c r="FWI142" s="4"/>
      <c r="FWJ142" s="4"/>
      <c r="FWK142" s="4"/>
      <c r="FWL142" s="4"/>
      <c r="FWM142" s="4"/>
      <c r="FWN142" s="4"/>
      <c r="FWO142" s="4"/>
      <c r="FWP142" s="4"/>
      <c r="FWQ142" s="4"/>
      <c r="FWR142" s="4"/>
      <c r="FWS142" s="4"/>
      <c r="FWT142" s="4"/>
      <c r="FWU142" s="4"/>
      <c r="FWV142" s="4"/>
      <c r="FWW142" s="4"/>
      <c r="FWX142" s="4"/>
      <c r="FWY142" s="4"/>
      <c r="FWZ142" s="4"/>
      <c r="FXA142" s="4"/>
      <c r="FXB142" s="4"/>
      <c r="FXC142" s="4"/>
      <c r="FXD142" s="4"/>
      <c r="FXE142" s="4"/>
      <c r="FXF142" s="4"/>
      <c r="FXG142" s="4"/>
      <c r="FXH142" s="4"/>
      <c r="FXI142" s="4"/>
      <c r="FXJ142" s="4"/>
      <c r="FXK142" s="4"/>
      <c r="FXL142" s="4"/>
      <c r="FXM142" s="4"/>
      <c r="FXN142" s="4"/>
      <c r="FXO142" s="4"/>
      <c r="FXP142" s="4"/>
      <c r="FXQ142" s="4"/>
      <c r="FXR142" s="4"/>
      <c r="FXS142" s="4"/>
      <c r="FXT142" s="4"/>
      <c r="FXU142" s="4"/>
      <c r="FXV142" s="4"/>
      <c r="FXW142" s="4"/>
      <c r="FXX142" s="4"/>
      <c r="FXY142" s="4"/>
      <c r="FXZ142" s="4"/>
      <c r="FYA142" s="4"/>
      <c r="FYB142" s="4"/>
      <c r="FYC142" s="4"/>
      <c r="FYD142" s="4"/>
      <c r="FYE142" s="4"/>
      <c r="FYF142" s="4"/>
      <c r="FYG142" s="4"/>
      <c r="FYH142" s="4"/>
      <c r="FYI142" s="4"/>
      <c r="FYJ142" s="4"/>
      <c r="FYK142" s="4"/>
      <c r="FYL142" s="4"/>
      <c r="FYM142" s="4"/>
      <c r="FYN142" s="4"/>
      <c r="FYO142" s="4"/>
      <c r="FYP142" s="4"/>
      <c r="FYQ142" s="4"/>
      <c r="FYR142" s="4"/>
      <c r="FYS142" s="4"/>
      <c r="FYT142" s="4"/>
      <c r="FYU142" s="4"/>
      <c r="FYV142" s="4"/>
      <c r="FYW142" s="4"/>
      <c r="FYX142" s="4"/>
      <c r="FYY142" s="4"/>
      <c r="FYZ142" s="4"/>
      <c r="FZA142" s="4"/>
      <c r="FZB142" s="4"/>
      <c r="FZC142" s="4"/>
      <c r="FZD142" s="4"/>
      <c r="FZE142" s="4"/>
      <c r="FZF142" s="4"/>
      <c r="FZG142" s="4"/>
      <c r="FZH142" s="4"/>
      <c r="FZI142" s="4"/>
      <c r="FZJ142" s="4"/>
      <c r="FZK142" s="4"/>
      <c r="FZL142" s="4"/>
      <c r="FZM142" s="4"/>
      <c r="FZN142" s="4"/>
      <c r="FZO142" s="4"/>
      <c r="FZP142" s="4"/>
      <c r="FZQ142" s="4"/>
      <c r="FZR142" s="4"/>
      <c r="FZS142" s="4"/>
      <c r="FZT142" s="4"/>
      <c r="FZU142" s="4"/>
      <c r="FZV142" s="4"/>
      <c r="FZW142" s="4"/>
      <c r="FZX142" s="4"/>
      <c r="FZY142" s="4"/>
      <c r="FZZ142" s="4"/>
      <c r="GAA142" s="4"/>
      <c r="GAB142" s="4"/>
      <c r="GAC142" s="4"/>
      <c r="GAD142" s="4"/>
      <c r="GAE142" s="4"/>
      <c r="GAF142" s="4"/>
      <c r="GAG142" s="4"/>
      <c r="GAH142" s="4"/>
      <c r="GAI142" s="4"/>
      <c r="GAJ142" s="4"/>
      <c r="GAK142" s="4"/>
      <c r="GAL142" s="4"/>
      <c r="GAM142" s="4"/>
      <c r="GAN142" s="4"/>
      <c r="GAO142" s="4"/>
      <c r="GAP142" s="4"/>
      <c r="GAQ142" s="4"/>
      <c r="GAR142" s="4"/>
      <c r="GAS142" s="4"/>
      <c r="GAT142" s="4"/>
      <c r="GAU142" s="4"/>
      <c r="GAV142" s="4"/>
      <c r="GAW142" s="4"/>
      <c r="GAX142" s="4"/>
      <c r="GAY142" s="4"/>
      <c r="GAZ142" s="4"/>
      <c r="GBA142" s="4"/>
      <c r="GBB142" s="4"/>
      <c r="GBC142" s="4"/>
      <c r="GBD142" s="4"/>
      <c r="GBE142" s="4"/>
      <c r="GBF142" s="4"/>
      <c r="GBG142" s="4"/>
      <c r="GBH142" s="4"/>
      <c r="GBI142" s="4"/>
      <c r="GBJ142" s="4"/>
      <c r="GBK142" s="4"/>
      <c r="GBL142" s="4"/>
      <c r="GBM142" s="4"/>
      <c r="GBN142" s="4"/>
      <c r="GBO142" s="4"/>
      <c r="GBP142" s="4"/>
      <c r="GBQ142" s="4"/>
      <c r="GBR142" s="4"/>
      <c r="GBS142" s="4"/>
      <c r="GBT142" s="4"/>
      <c r="GBU142" s="4"/>
      <c r="GBV142" s="4"/>
      <c r="GBW142" s="4"/>
      <c r="GBX142" s="4"/>
      <c r="GBY142" s="4"/>
      <c r="GBZ142" s="4"/>
      <c r="GCA142" s="4"/>
      <c r="GCB142" s="4"/>
      <c r="GCC142" s="4"/>
      <c r="GCD142" s="4"/>
      <c r="GCE142" s="4"/>
      <c r="GCF142" s="4"/>
      <c r="GCG142" s="4"/>
      <c r="GCH142" s="4"/>
      <c r="GCI142" s="4"/>
      <c r="GCJ142" s="4"/>
      <c r="GCK142" s="4"/>
      <c r="GCL142" s="4"/>
      <c r="GCM142" s="4"/>
      <c r="GCN142" s="4"/>
      <c r="GCO142" s="4"/>
      <c r="GCP142" s="4"/>
      <c r="GCQ142" s="4"/>
      <c r="GCR142" s="4"/>
      <c r="GCS142" s="4"/>
      <c r="GCT142" s="4"/>
      <c r="GCU142" s="4"/>
      <c r="GCV142" s="4"/>
      <c r="GCW142" s="4"/>
      <c r="GCX142" s="4"/>
      <c r="GCY142" s="4"/>
      <c r="GCZ142" s="4"/>
      <c r="GDA142" s="4"/>
      <c r="GDB142" s="4"/>
      <c r="GDC142" s="4"/>
      <c r="GDD142" s="4"/>
      <c r="GDE142" s="4"/>
      <c r="GDF142" s="4"/>
      <c r="GDG142" s="4"/>
      <c r="GDH142" s="4"/>
      <c r="GDI142" s="4"/>
      <c r="GDJ142" s="4"/>
      <c r="GDK142" s="4"/>
      <c r="GDL142" s="4"/>
      <c r="GDM142" s="4"/>
      <c r="GDN142" s="4"/>
      <c r="GDO142" s="4"/>
      <c r="GDP142" s="4"/>
      <c r="GDQ142" s="4"/>
      <c r="GDR142" s="4"/>
      <c r="GDS142" s="4"/>
      <c r="GDT142" s="4"/>
      <c r="GDU142" s="4"/>
      <c r="GDV142" s="4"/>
      <c r="GDW142" s="4"/>
      <c r="GDX142" s="4"/>
      <c r="GDY142" s="4"/>
      <c r="GDZ142" s="4"/>
      <c r="GEA142" s="4"/>
      <c r="GEB142" s="4"/>
      <c r="GEC142" s="4"/>
      <c r="GED142" s="4"/>
      <c r="GEE142" s="4"/>
      <c r="GEF142" s="4"/>
      <c r="GEG142" s="4"/>
      <c r="GEH142" s="4"/>
      <c r="GEI142" s="4"/>
      <c r="GEJ142" s="4"/>
      <c r="GEK142" s="4"/>
      <c r="GEL142" s="4"/>
      <c r="GEM142" s="4"/>
      <c r="GEN142" s="4"/>
      <c r="GEO142" s="4"/>
      <c r="GEP142" s="4"/>
      <c r="GEQ142" s="4"/>
      <c r="GER142" s="4"/>
      <c r="GES142" s="4"/>
      <c r="GET142" s="4"/>
      <c r="GEU142" s="4"/>
      <c r="GEV142" s="4"/>
      <c r="GEW142" s="4"/>
      <c r="GEX142" s="4"/>
      <c r="GEY142" s="4"/>
      <c r="GEZ142" s="4"/>
      <c r="GFA142" s="4"/>
      <c r="GFB142" s="4"/>
      <c r="GFC142" s="4"/>
      <c r="GFD142" s="4"/>
      <c r="GFE142" s="4"/>
      <c r="GFF142" s="4"/>
      <c r="GFG142" s="4"/>
      <c r="GFH142" s="4"/>
      <c r="GFI142" s="4"/>
      <c r="GFJ142" s="4"/>
      <c r="GFK142" s="4"/>
      <c r="GFL142" s="4"/>
      <c r="GFM142" s="4"/>
      <c r="GFN142" s="4"/>
      <c r="GFO142" s="4"/>
      <c r="GFP142" s="4"/>
      <c r="GFQ142" s="4"/>
      <c r="GFR142" s="4"/>
      <c r="GFS142" s="4"/>
      <c r="GFT142" s="4"/>
      <c r="GFU142" s="4"/>
      <c r="GFV142" s="4"/>
      <c r="GFW142" s="4"/>
      <c r="GFX142" s="4"/>
      <c r="GFY142" s="4"/>
      <c r="GFZ142" s="4"/>
      <c r="GGA142" s="4"/>
      <c r="GGB142" s="4"/>
      <c r="GGC142" s="4"/>
      <c r="GGD142" s="4"/>
      <c r="GGE142" s="4"/>
      <c r="GGF142" s="4"/>
      <c r="GGG142" s="4"/>
      <c r="GGH142" s="4"/>
      <c r="GGI142" s="4"/>
      <c r="GGJ142" s="4"/>
      <c r="GGK142" s="4"/>
      <c r="GGL142" s="4"/>
      <c r="GGM142" s="4"/>
      <c r="GGN142" s="4"/>
      <c r="GGO142" s="4"/>
      <c r="GGP142" s="4"/>
      <c r="GGQ142" s="4"/>
      <c r="GGR142" s="4"/>
      <c r="GGS142" s="4"/>
      <c r="GGT142" s="4"/>
      <c r="GGU142" s="4"/>
      <c r="GGV142" s="4"/>
      <c r="GGW142" s="4"/>
      <c r="GGX142" s="4"/>
      <c r="GGY142" s="4"/>
      <c r="GGZ142" s="4"/>
      <c r="GHA142" s="4"/>
      <c r="GHB142" s="4"/>
      <c r="GHC142" s="4"/>
      <c r="GHD142" s="4"/>
      <c r="GHE142" s="4"/>
      <c r="GHF142" s="4"/>
      <c r="GHG142" s="4"/>
      <c r="GHH142" s="4"/>
      <c r="GHI142" s="4"/>
      <c r="GHJ142" s="4"/>
      <c r="GHK142" s="4"/>
      <c r="GHL142" s="4"/>
      <c r="GHM142" s="4"/>
      <c r="GHN142" s="4"/>
      <c r="GHO142" s="4"/>
      <c r="GHP142" s="4"/>
      <c r="GHQ142" s="4"/>
      <c r="GHR142" s="4"/>
      <c r="GHS142" s="4"/>
      <c r="GHT142" s="4"/>
      <c r="GHU142" s="4"/>
      <c r="GHV142" s="4"/>
      <c r="GHW142" s="4"/>
      <c r="GHX142" s="4"/>
      <c r="GHY142" s="4"/>
      <c r="GHZ142" s="4"/>
      <c r="GIA142" s="4"/>
      <c r="GIB142" s="4"/>
      <c r="GIC142" s="4"/>
      <c r="GID142" s="4"/>
      <c r="GIE142" s="4"/>
      <c r="GIF142" s="4"/>
      <c r="GIG142" s="4"/>
      <c r="GIH142" s="4"/>
      <c r="GII142" s="4"/>
      <c r="GIJ142" s="4"/>
      <c r="GIK142" s="4"/>
      <c r="GIL142" s="4"/>
      <c r="GIM142" s="4"/>
      <c r="GIN142" s="4"/>
      <c r="GIO142" s="4"/>
      <c r="GIP142" s="4"/>
      <c r="GIQ142" s="4"/>
      <c r="GIR142" s="4"/>
      <c r="GIS142" s="4"/>
      <c r="GIT142" s="4"/>
      <c r="GIU142" s="4"/>
      <c r="GIV142" s="4"/>
      <c r="GIW142" s="4"/>
      <c r="GIX142" s="4"/>
      <c r="GIY142" s="4"/>
      <c r="GIZ142" s="4"/>
      <c r="GJA142" s="4"/>
      <c r="GJB142" s="4"/>
      <c r="GJC142" s="4"/>
      <c r="GJD142" s="4"/>
      <c r="GJE142" s="4"/>
      <c r="GJF142" s="4"/>
      <c r="GJG142" s="4"/>
      <c r="GJH142" s="4"/>
      <c r="GJI142" s="4"/>
      <c r="GJJ142" s="4"/>
      <c r="GJK142" s="4"/>
      <c r="GJL142" s="4"/>
      <c r="GJM142" s="4"/>
      <c r="GJN142" s="4"/>
      <c r="GJO142" s="4"/>
      <c r="GJP142" s="4"/>
      <c r="GJQ142" s="4"/>
      <c r="GJR142" s="4"/>
      <c r="GJS142" s="4"/>
      <c r="GJT142" s="4"/>
      <c r="GJU142" s="4"/>
      <c r="GJV142" s="4"/>
      <c r="GJW142" s="4"/>
      <c r="GJX142" s="4"/>
      <c r="GJY142" s="4"/>
      <c r="GJZ142" s="4"/>
      <c r="GKA142" s="4"/>
      <c r="GKB142" s="4"/>
      <c r="GKC142" s="4"/>
      <c r="GKD142" s="4"/>
      <c r="GKE142" s="4"/>
      <c r="GKF142" s="4"/>
      <c r="GKG142" s="4"/>
      <c r="GKH142" s="4"/>
      <c r="GKI142" s="4"/>
      <c r="GKJ142" s="4"/>
      <c r="GKK142" s="4"/>
      <c r="GKL142" s="4"/>
      <c r="GKM142" s="4"/>
      <c r="GKN142" s="4"/>
      <c r="GKO142" s="4"/>
      <c r="GKP142" s="4"/>
      <c r="GKQ142" s="4"/>
      <c r="GKR142" s="4"/>
      <c r="GKS142" s="4"/>
      <c r="GKT142" s="4"/>
      <c r="GKU142" s="4"/>
      <c r="GKV142" s="4"/>
      <c r="GKW142" s="4"/>
      <c r="GKX142" s="4"/>
      <c r="GKY142" s="4"/>
      <c r="GKZ142" s="4"/>
      <c r="GLA142" s="4"/>
      <c r="GLB142" s="4"/>
      <c r="GLC142" s="4"/>
      <c r="GLD142" s="4"/>
      <c r="GLE142" s="4"/>
      <c r="GLF142" s="4"/>
      <c r="GLG142" s="4"/>
      <c r="GLH142" s="4"/>
      <c r="GLI142" s="4"/>
      <c r="GLJ142" s="4"/>
      <c r="GLK142" s="4"/>
      <c r="GLL142" s="4"/>
      <c r="GLM142" s="4"/>
      <c r="GLN142" s="4"/>
      <c r="GLO142" s="4"/>
      <c r="GLP142" s="4"/>
      <c r="GLQ142" s="4"/>
      <c r="GLR142" s="4"/>
      <c r="GLS142" s="4"/>
      <c r="GLT142" s="4"/>
      <c r="GLU142" s="4"/>
      <c r="GLV142" s="4"/>
      <c r="GLW142" s="4"/>
      <c r="GLX142" s="4"/>
      <c r="GLY142" s="4"/>
      <c r="GLZ142" s="4"/>
      <c r="GMA142" s="4"/>
      <c r="GMB142" s="4"/>
      <c r="GMC142" s="4"/>
      <c r="GMD142" s="4"/>
      <c r="GME142" s="4"/>
      <c r="GMF142" s="4"/>
      <c r="GMG142" s="4"/>
      <c r="GMH142" s="4"/>
      <c r="GMI142" s="4"/>
      <c r="GMJ142" s="4"/>
      <c r="GMK142" s="4"/>
      <c r="GML142" s="4"/>
      <c r="GMM142" s="4"/>
      <c r="GMN142" s="4"/>
      <c r="GMO142" s="4"/>
      <c r="GMP142" s="4"/>
      <c r="GMQ142" s="4"/>
      <c r="GMR142" s="4"/>
      <c r="GMS142" s="4"/>
      <c r="GMT142" s="4"/>
      <c r="GMU142" s="4"/>
      <c r="GMV142" s="4"/>
      <c r="GMW142" s="4"/>
      <c r="GMX142" s="4"/>
      <c r="GMY142" s="4"/>
      <c r="GMZ142" s="4"/>
      <c r="GNA142" s="4"/>
      <c r="GNB142" s="4"/>
      <c r="GNC142" s="4"/>
      <c r="GND142" s="4"/>
      <c r="GNE142" s="4"/>
      <c r="GNF142" s="4"/>
      <c r="GNG142" s="4"/>
      <c r="GNH142" s="4"/>
      <c r="GNI142" s="4"/>
      <c r="GNJ142" s="4"/>
      <c r="GNK142" s="4"/>
      <c r="GNL142" s="4"/>
      <c r="GNM142" s="4"/>
      <c r="GNN142" s="4"/>
      <c r="GNO142" s="4"/>
      <c r="GNP142" s="4"/>
      <c r="GNQ142" s="4"/>
      <c r="GNR142" s="4"/>
      <c r="GNS142" s="4"/>
      <c r="GNT142" s="4"/>
      <c r="GNU142" s="4"/>
      <c r="GNV142" s="4"/>
      <c r="GNW142" s="4"/>
      <c r="GNX142" s="4"/>
      <c r="GNY142" s="4"/>
      <c r="GNZ142" s="4"/>
      <c r="GOA142" s="4"/>
      <c r="GOB142" s="4"/>
      <c r="GOC142" s="4"/>
      <c r="GOD142" s="4"/>
      <c r="GOE142" s="4"/>
      <c r="GOF142" s="4"/>
      <c r="GOG142" s="4"/>
      <c r="GOH142" s="4"/>
      <c r="GOI142" s="4"/>
      <c r="GOJ142" s="4"/>
      <c r="GOK142" s="4"/>
      <c r="GOL142" s="4"/>
      <c r="GOM142" s="4"/>
      <c r="GON142" s="4"/>
      <c r="GOO142" s="4"/>
      <c r="GOP142" s="4"/>
      <c r="GOQ142" s="4"/>
      <c r="GOR142" s="4"/>
      <c r="GOS142" s="4"/>
      <c r="GOT142" s="4"/>
      <c r="GOU142" s="4"/>
      <c r="GOV142" s="4"/>
      <c r="GOW142" s="4"/>
      <c r="GOX142" s="4"/>
      <c r="GOY142" s="4"/>
      <c r="GOZ142" s="4"/>
      <c r="GPA142" s="4"/>
      <c r="GPB142" s="4"/>
      <c r="GPC142" s="4"/>
      <c r="GPD142" s="4"/>
      <c r="GPE142" s="4"/>
      <c r="GPF142" s="4"/>
      <c r="GPG142" s="4"/>
      <c r="GPH142" s="4"/>
      <c r="GPI142" s="4"/>
      <c r="GPJ142" s="4"/>
      <c r="GPK142" s="4"/>
      <c r="GPL142" s="4"/>
      <c r="GPM142" s="4"/>
      <c r="GPN142" s="4"/>
      <c r="GPO142" s="4"/>
      <c r="GPP142" s="4"/>
      <c r="GPQ142" s="4"/>
      <c r="GPR142" s="4"/>
      <c r="GPS142" s="4"/>
      <c r="GPT142" s="4"/>
      <c r="GPU142" s="4"/>
      <c r="GPV142" s="4"/>
      <c r="GPW142" s="4"/>
      <c r="GPX142" s="4"/>
      <c r="GPY142" s="4"/>
      <c r="GPZ142" s="4"/>
      <c r="GQA142" s="4"/>
      <c r="GQB142" s="4"/>
      <c r="GQC142" s="4"/>
      <c r="GQD142" s="4"/>
      <c r="GQE142" s="4"/>
      <c r="GQF142" s="4"/>
      <c r="GQG142" s="4"/>
      <c r="GQH142" s="4"/>
      <c r="GQI142" s="4"/>
      <c r="GQJ142" s="4"/>
      <c r="GQK142" s="4"/>
      <c r="GQL142" s="4"/>
      <c r="GQM142" s="4"/>
      <c r="GQN142" s="4"/>
      <c r="GQO142" s="4"/>
      <c r="GQP142" s="4"/>
      <c r="GQQ142" s="4"/>
      <c r="GQR142" s="4"/>
      <c r="GQS142" s="4"/>
      <c r="GQT142" s="4"/>
      <c r="GQU142" s="4"/>
      <c r="GQV142" s="4"/>
      <c r="GQW142" s="4"/>
      <c r="GQX142" s="4"/>
      <c r="GQY142" s="4"/>
      <c r="GQZ142" s="4"/>
      <c r="GRA142" s="4"/>
      <c r="GRB142" s="4"/>
      <c r="GRC142" s="4"/>
      <c r="GRD142" s="4"/>
      <c r="GRE142" s="4"/>
      <c r="GRF142" s="4"/>
      <c r="GRG142" s="4"/>
      <c r="GRH142" s="4"/>
      <c r="GRI142" s="4"/>
      <c r="GRJ142" s="4"/>
      <c r="GRK142" s="4"/>
      <c r="GRL142" s="4"/>
      <c r="GRM142" s="4"/>
      <c r="GRN142" s="4"/>
      <c r="GRO142" s="4"/>
      <c r="GRP142" s="4"/>
      <c r="GRQ142" s="4"/>
      <c r="GRR142" s="4"/>
      <c r="GRS142" s="4"/>
      <c r="GRT142" s="4"/>
      <c r="GRU142" s="4"/>
      <c r="GRV142" s="4"/>
      <c r="GRW142" s="4"/>
      <c r="GRX142" s="4"/>
      <c r="GRY142" s="4"/>
      <c r="GRZ142" s="4"/>
      <c r="GSA142" s="4"/>
      <c r="GSB142" s="4"/>
      <c r="GSC142" s="4"/>
      <c r="GSD142" s="4"/>
      <c r="GSE142" s="4"/>
      <c r="GSF142" s="4"/>
      <c r="GSG142" s="4"/>
      <c r="GSH142" s="4"/>
      <c r="GSI142" s="4"/>
      <c r="GSJ142" s="4"/>
      <c r="GSK142" s="4"/>
      <c r="GSL142" s="4"/>
      <c r="GSM142" s="4"/>
      <c r="GSN142" s="4"/>
      <c r="GSO142" s="4"/>
      <c r="GSP142" s="4"/>
      <c r="GSQ142" s="4"/>
      <c r="GSR142" s="4"/>
      <c r="GSS142" s="4"/>
      <c r="GST142" s="4"/>
      <c r="GSU142" s="4"/>
      <c r="GSV142" s="4"/>
      <c r="GSW142" s="4"/>
      <c r="GSX142" s="4"/>
      <c r="GSY142" s="4"/>
      <c r="GSZ142" s="4"/>
      <c r="GTA142" s="4"/>
      <c r="GTB142" s="4"/>
      <c r="GTC142" s="4"/>
      <c r="GTD142" s="4"/>
      <c r="GTE142" s="4"/>
      <c r="GTF142" s="4"/>
      <c r="GTG142" s="4"/>
      <c r="GTH142" s="4"/>
      <c r="GTI142" s="4"/>
      <c r="GTJ142" s="4"/>
      <c r="GTK142" s="4"/>
      <c r="GTL142" s="4"/>
      <c r="GTM142" s="4"/>
      <c r="GTN142" s="4"/>
      <c r="GTO142" s="4"/>
      <c r="GTP142" s="4"/>
      <c r="GTQ142" s="4"/>
      <c r="GTR142" s="4"/>
      <c r="GTS142" s="4"/>
      <c r="GTT142" s="4"/>
      <c r="GTU142" s="4"/>
      <c r="GTV142" s="4"/>
      <c r="GTW142" s="4"/>
      <c r="GTX142" s="4"/>
      <c r="GTY142" s="4"/>
      <c r="GTZ142" s="4"/>
      <c r="GUA142" s="4"/>
      <c r="GUB142" s="4"/>
      <c r="GUC142" s="4"/>
      <c r="GUD142" s="4"/>
      <c r="GUE142" s="4"/>
      <c r="GUF142" s="4"/>
      <c r="GUG142" s="4"/>
      <c r="GUH142" s="4"/>
      <c r="GUI142" s="4"/>
      <c r="GUJ142" s="4"/>
      <c r="GUK142" s="4"/>
      <c r="GUL142" s="4"/>
      <c r="GUM142" s="4"/>
      <c r="GUN142" s="4"/>
      <c r="GUO142" s="4"/>
      <c r="GUP142" s="4"/>
      <c r="GUQ142" s="4"/>
      <c r="GUR142" s="4"/>
      <c r="GUS142" s="4"/>
      <c r="GUT142" s="4"/>
      <c r="GUU142" s="4"/>
      <c r="GUV142" s="4"/>
      <c r="GUW142" s="4"/>
      <c r="GUX142" s="4"/>
      <c r="GUY142" s="4"/>
      <c r="GUZ142" s="4"/>
      <c r="GVA142" s="4"/>
      <c r="GVB142" s="4"/>
      <c r="GVC142" s="4"/>
      <c r="GVD142" s="4"/>
      <c r="GVE142" s="4"/>
      <c r="GVF142" s="4"/>
      <c r="GVG142" s="4"/>
      <c r="GVH142" s="4"/>
      <c r="GVI142" s="4"/>
      <c r="GVJ142" s="4"/>
      <c r="GVK142" s="4"/>
      <c r="GVL142" s="4"/>
      <c r="GVM142" s="4"/>
      <c r="GVN142" s="4"/>
      <c r="GVO142" s="4"/>
      <c r="GVP142" s="4"/>
      <c r="GVQ142" s="4"/>
      <c r="GVR142" s="4"/>
      <c r="GVS142" s="4"/>
      <c r="GVT142" s="4"/>
      <c r="GVU142" s="4"/>
      <c r="GVV142" s="4"/>
      <c r="GVW142" s="4"/>
      <c r="GVX142" s="4"/>
      <c r="GVY142" s="4"/>
      <c r="GVZ142" s="4"/>
      <c r="GWA142" s="4"/>
      <c r="GWB142" s="4"/>
      <c r="GWC142" s="4"/>
      <c r="GWD142" s="4"/>
      <c r="GWE142" s="4"/>
      <c r="GWF142" s="4"/>
      <c r="GWG142" s="4"/>
      <c r="GWH142" s="4"/>
      <c r="GWI142" s="4"/>
      <c r="GWJ142" s="4"/>
      <c r="GWK142" s="4"/>
      <c r="GWL142" s="4"/>
      <c r="GWM142" s="4"/>
      <c r="GWN142" s="4"/>
      <c r="GWO142" s="4"/>
      <c r="GWP142" s="4"/>
      <c r="GWQ142" s="4"/>
      <c r="GWR142" s="4"/>
      <c r="GWS142" s="4"/>
      <c r="GWT142" s="4"/>
      <c r="GWU142" s="4"/>
      <c r="GWV142" s="4"/>
      <c r="GWW142" s="4"/>
      <c r="GWX142" s="4"/>
      <c r="GWY142" s="4"/>
      <c r="GWZ142" s="4"/>
      <c r="GXA142" s="4"/>
      <c r="GXB142" s="4"/>
      <c r="GXC142" s="4"/>
      <c r="GXD142" s="4"/>
      <c r="GXE142" s="4"/>
      <c r="GXF142" s="4"/>
      <c r="GXG142" s="4"/>
      <c r="GXH142" s="4"/>
      <c r="GXI142" s="4"/>
      <c r="GXJ142" s="4"/>
      <c r="GXK142" s="4"/>
      <c r="GXL142" s="4"/>
      <c r="GXM142" s="4"/>
      <c r="GXN142" s="4"/>
      <c r="GXO142" s="4"/>
      <c r="GXP142" s="4"/>
      <c r="GXQ142" s="4"/>
      <c r="GXR142" s="4"/>
      <c r="GXS142" s="4"/>
      <c r="GXT142" s="4"/>
      <c r="GXU142" s="4"/>
      <c r="GXV142" s="4"/>
      <c r="GXW142" s="4"/>
      <c r="GXX142" s="4"/>
      <c r="GXY142" s="4"/>
      <c r="GXZ142" s="4"/>
      <c r="GYA142" s="4"/>
      <c r="GYB142" s="4"/>
      <c r="GYC142" s="4"/>
      <c r="GYD142" s="4"/>
      <c r="GYE142" s="4"/>
      <c r="GYF142" s="4"/>
      <c r="GYG142" s="4"/>
      <c r="GYH142" s="4"/>
      <c r="GYI142" s="4"/>
      <c r="GYJ142" s="4"/>
      <c r="GYK142" s="4"/>
      <c r="GYL142" s="4"/>
      <c r="GYM142" s="4"/>
      <c r="GYN142" s="4"/>
      <c r="GYO142" s="4"/>
      <c r="GYP142" s="4"/>
      <c r="GYQ142" s="4"/>
      <c r="GYR142" s="4"/>
      <c r="GYS142" s="4"/>
      <c r="GYT142" s="4"/>
      <c r="GYU142" s="4"/>
      <c r="GYV142" s="4"/>
      <c r="GYW142" s="4"/>
      <c r="GYX142" s="4"/>
      <c r="GYY142" s="4"/>
      <c r="GYZ142" s="4"/>
      <c r="GZA142" s="4"/>
      <c r="GZB142" s="4"/>
      <c r="GZC142" s="4"/>
      <c r="GZD142" s="4"/>
      <c r="GZE142" s="4"/>
      <c r="GZF142" s="4"/>
      <c r="GZG142" s="4"/>
      <c r="GZH142" s="4"/>
      <c r="GZI142" s="4"/>
      <c r="GZJ142" s="4"/>
      <c r="GZK142" s="4"/>
      <c r="GZL142" s="4"/>
      <c r="GZM142" s="4"/>
      <c r="GZN142" s="4"/>
      <c r="GZO142" s="4"/>
      <c r="GZP142" s="4"/>
      <c r="GZQ142" s="4"/>
      <c r="GZR142" s="4"/>
      <c r="GZS142" s="4"/>
      <c r="GZT142" s="4"/>
      <c r="GZU142" s="4"/>
      <c r="GZV142" s="4"/>
      <c r="GZW142" s="4"/>
      <c r="GZX142" s="4"/>
      <c r="GZY142" s="4"/>
      <c r="GZZ142" s="4"/>
      <c r="HAA142" s="4"/>
      <c r="HAB142" s="4"/>
      <c r="HAC142" s="4"/>
      <c r="HAD142" s="4"/>
      <c r="HAE142" s="4"/>
      <c r="HAF142" s="4"/>
      <c r="HAG142" s="4"/>
      <c r="HAH142" s="4"/>
      <c r="HAI142" s="4"/>
      <c r="HAJ142" s="4"/>
      <c r="HAK142" s="4"/>
      <c r="HAL142" s="4"/>
      <c r="HAM142" s="4"/>
      <c r="HAN142" s="4"/>
      <c r="HAO142" s="4"/>
      <c r="HAP142" s="4"/>
      <c r="HAQ142" s="4"/>
      <c r="HAR142" s="4"/>
      <c r="HAS142" s="4"/>
      <c r="HAT142" s="4"/>
      <c r="HAU142" s="4"/>
      <c r="HAV142" s="4"/>
      <c r="HAW142" s="4"/>
      <c r="HAX142" s="4"/>
      <c r="HAY142" s="4"/>
      <c r="HAZ142" s="4"/>
      <c r="HBA142" s="4"/>
      <c r="HBB142" s="4"/>
      <c r="HBC142" s="4"/>
      <c r="HBD142" s="4"/>
      <c r="HBE142" s="4"/>
      <c r="HBF142" s="4"/>
      <c r="HBG142" s="4"/>
      <c r="HBH142" s="4"/>
      <c r="HBI142" s="4"/>
      <c r="HBJ142" s="4"/>
      <c r="HBK142" s="4"/>
      <c r="HBL142" s="4"/>
      <c r="HBM142" s="4"/>
      <c r="HBN142" s="4"/>
      <c r="HBO142" s="4"/>
      <c r="HBP142" s="4"/>
      <c r="HBQ142" s="4"/>
      <c r="HBR142" s="4"/>
      <c r="HBS142" s="4"/>
      <c r="HBT142" s="4"/>
      <c r="HBU142" s="4"/>
      <c r="HBV142" s="4"/>
      <c r="HBW142" s="4"/>
      <c r="HBX142" s="4"/>
      <c r="HBY142" s="4"/>
      <c r="HBZ142" s="4"/>
      <c r="HCA142" s="4"/>
      <c r="HCB142" s="4"/>
      <c r="HCC142" s="4"/>
      <c r="HCD142" s="4"/>
      <c r="HCE142" s="4"/>
      <c r="HCF142" s="4"/>
      <c r="HCG142" s="4"/>
      <c r="HCH142" s="4"/>
      <c r="HCI142" s="4"/>
      <c r="HCJ142" s="4"/>
      <c r="HCK142" s="4"/>
      <c r="HCL142" s="4"/>
      <c r="HCM142" s="4"/>
      <c r="HCN142" s="4"/>
      <c r="HCO142" s="4"/>
      <c r="HCP142" s="4"/>
      <c r="HCQ142" s="4"/>
      <c r="HCR142" s="4"/>
      <c r="HCS142" s="4"/>
      <c r="HCT142" s="4"/>
      <c r="HCU142" s="4"/>
      <c r="HCV142" s="4"/>
      <c r="HCW142" s="4"/>
      <c r="HCX142" s="4"/>
      <c r="HCY142" s="4"/>
      <c r="HCZ142" s="4"/>
      <c r="HDA142" s="4"/>
      <c r="HDB142" s="4"/>
      <c r="HDC142" s="4"/>
      <c r="HDD142" s="4"/>
      <c r="HDE142" s="4"/>
      <c r="HDF142" s="4"/>
      <c r="HDG142" s="4"/>
      <c r="HDH142" s="4"/>
      <c r="HDI142" s="4"/>
      <c r="HDJ142" s="4"/>
      <c r="HDK142" s="4"/>
      <c r="HDL142" s="4"/>
      <c r="HDM142" s="4"/>
      <c r="HDN142" s="4"/>
      <c r="HDO142" s="4"/>
      <c r="HDP142" s="4"/>
      <c r="HDQ142" s="4"/>
      <c r="HDR142" s="4"/>
      <c r="HDS142" s="4"/>
      <c r="HDT142" s="4"/>
      <c r="HDU142" s="4"/>
      <c r="HDV142" s="4"/>
      <c r="HDW142" s="4"/>
      <c r="HDX142" s="4"/>
      <c r="HDY142" s="4"/>
      <c r="HDZ142" s="4"/>
      <c r="HEA142" s="4"/>
      <c r="HEB142" s="4"/>
      <c r="HEC142" s="4"/>
      <c r="HED142" s="4"/>
      <c r="HEE142" s="4"/>
      <c r="HEF142" s="4"/>
      <c r="HEG142" s="4"/>
      <c r="HEH142" s="4"/>
      <c r="HEI142" s="4"/>
      <c r="HEJ142" s="4"/>
      <c r="HEK142" s="4"/>
      <c r="HEL142" s="4"/>
      <c r="HEM142" s="4"/>
      <c r="HEN142" s="4"/>
      <c r="HEO142" s="4"/>
      <c r="HEP142" s="4"/>
      <c r="HEQ142" s="4"/>
      <c r="HER142" s="4"/>
      <c r="HES142" s="4"/>
      <c r="HET142" s="4"/>
      <c r="HEU142" s="4"/>
      <c r="HEV142" s="4"/>
      <c r="HEW142" s="4"/>
      <c r="HEX142" s="4"/>
      <c r="HEY142" s="4"/>
      <c r="HEZ142" s="4"/>
      <c r="HFA142" s="4"/>
      <c r="HFB142" s="4"/>
      <c r="HFC142" s="4"/>
      <c r="HFD142" s="4"/>
      <c r="HFE142" s="4"/>
      <c r="HFF142" s="4"/>
      <c r="HFG142" s="4"/>
      <c r="HFH142" s="4"/>
      <c r="HFI142" s="4"/>
      <c r="HFJ142" s="4"/>
      <c r="HFK142" s="4"/>
      <c r="HFL142" s="4"/>
      <c r="HFM142" s="4"/>
      <c r="HFN142" s="4"/>
      <c r="HFO142" s="4"/>
      <c r="HFP142" s="4"/>
      <c r="HFQ142" s="4"/>
      <c r="HFR142" s="4"/>
      <c r="HFS142" s="4"/>
      <c r="HFT142" s="4"/>
      <c r="HFU142" s="4"/>
      <c r="HFV142" s="4"/>
      <c r="HFW142" s="4"/>
      <c r="HFX142" s="4"/>
      <c r="HFY142" s="4"/>
      <c r="HFZ142" s="4"/>
      <c r="HGA142" s="4"/>
      <c r="HGB142" s="4"/>
      <c r="HGC142" s="4"/>
      <c r="HGD142" s="4"/>
      <c r="HGE142" s="4"/>
      <c r="HGF142" s="4"/>
      <c r="HGG142" s="4"/>
      <c r="HGH142" s="4"/>
      <c r="HGI142" s="4"/>
      <c r="HGJ142" s="4"/>
      <c r="HGK142" s="4"/>
      <c r="HGL142" s="4"/>
      <c r="HGM142" s="4"/>
      <c r="HGN142" s="4"/>
      <c r="HGO142" s="4"/>
      <c r="HGP142" s="4"/>
      <c r="HGQ142" s="4"/>
      <c r="HGR142" s="4"/>
      <c r="HGS142" s="4"/>
      <c r="HGT142" s="4"/>
      <c r="HGU142" s="4"/>
      <c r="HGV142" s="4"/>
      <c r="HGW142" s="4"/>
      <c r="HGX142" s="4"/>
      <c r="HGY142" s="4"/>
      <c r="HGZ142" s="4"/>
      <c r="HHA142" s="4"/>
      <c r="HHB142" s="4"/>
      <c r="HHC142" s="4"/>
      <c r="HHD142" s="4"/>
      <c r="HHE142" s="4"/>
      <c r="HHF142" s="4"/>
      <c r="HHG142" s="4"/>
      <c r="HHH142" s="4"/>
      <c r="HHI142" s="4"/>
      <c r="HHJ142" s="4"/>
      <c r="HHK142" s="4"/>
      <c r="HHL142" s="4"/>
      <c r="HHM142" s="4"/>
      <c r="HHN142" s="4"/>
      <c r="HHO142" s="4"/>
      <c r="HHP142" s="4"/>
      <c r="HHQ142" s="4"/>
      <c r="HHR142" s="4"/>
      <c r="HHS142" s="4"/>
      <c r="HHT142" s="4"/>
      <c r="HHU142" s="4"/>
      <c r="HHV142" s="4"/>
      <c r="HHW142" s="4"/>
      <c r="HHX142" s="4"/>
      <c r="HHY142" s="4"/>
      <c r="HHZ142" s="4"/>
      <c r="HIA142" s="4"/>
      <c r="HIB142" s="4"/>
      <c r="HIC142" s="4"/>
      <c r="HID142" s="4"/>
      <c r="HIE142" s="4"/>
      <c r="HIF142" s="4"/>
      <c r="HIG142" s="4"/>
      <c r="HIH142" s="4"/>
      <c r="HII142" s="4"/>
      <c r="HIJ142" s="4"/>
      <c r="HIK142" s="4"/>
      <c r="HIL142" s="4"/>
      <c r="HIM142" s="4"/>
      <c r="HIN142" s="4"/>
      <c r="HIO142" s="4"/>
      <c r="HIP142" s="4"/>
      <c r="HIQ142" s="4"/>
      <c r="HIR142" s="4"/>
      <c r="HIS142" s="4"/>
      <c r="HIT142" s="4"/>
      <c r="HIU142" s="4"/>
      <c r="HIV142" s="4"/>
      <c r="HIW142" s="4"/>
      <c r="HIX142" s="4"/>
      <c r="HIY142" s="4"/>
      <c r="HIZ142" s="4"/>
      <c r="HJA142" s="4"/>
      <c r="HJB142" s="4"/>
      <c r="HJC142" s="4"/>
      <c r="HJD142" s="4"/>
      <c r="HJE142" s="4"/>
      <c r="HJF142" s="4"/>
      <c r="HJG142" s="4"/>
      <c r="HJH142" s="4"/>
      <c r="HJI142" s="4"/>
      <c r="HJJ142" s="4"/>
      <c r="HJK142" s="4"/>
      <c r="HJL142" s="4"/>
      <c r="HJM142" s="4"/>
      <c r="HJN142" s="4"/>
      <c r="HJO142" s="4"/>
      <c r="HJP142" s="4"/>
      <c r="HJQ142" s="4"/>
      <c r="HJR142" s="4"/>
      <c r="HJS142" s="4"/>
      <c r="HJT142" s="4"/>
      <c r="HJU142" s="4"/>
      <c r="HJV142" s="4"/>
      <c r="HJW142" s="4"/>
      <c r="HJX142" s="4"/>
      <c r="HJY142" s="4"/>
      <c r="HJZ142" s="4"/>
      <c r="HKA142" s="4"/>
      <c r="HKB142" s="4"/>
      <c r="HKC142" s="4"/>
      <c r="HKD142" s="4"/>
      <c r="HKE142" s="4"/>
      <c r="HKF142" s="4"/>
      <c r="HKG142" s="4"/>
      <c r="HKH142" s="4"/>
      <c r="HKI142" s="4"/>
      <c r="HKJ142" s="4"/>
      <c r="HKK142" s="4"/>
      <c r="HKL142" s="4"/>
      <c r="HKM142" s="4"/>
      <c r="HKN142" s="4"/>
      <c r="HKO142" s="4"/>
      <c r="HKP142" s="4"/>
      <c r="HKQ142" s="4"/>
      <c r="HKR142" s="4"/>
      <c r="HKS142" s="4"/>
      <c r="HKT142" s="4"/>
      <c r="HKU142" s="4"/>
      <c r="HKV142" s="4"/>
      <c r="HKW142" s="4"/>
      <c r="HKX142" s="4"/>
      <c r="HKY142" s="4"/>
      <c r="HKZ142" s="4"/>
      <c r="HLA142" s="4"/>
      <c r="HLB142" s="4"/>
      <c r="HLC142" s="4"/>
      <c r="HLD142" s="4"/>
      <c r="HLE142" s="4"/>
      <c r="HLF142" s="4"/>
      <c r="HLG142" s="4"/>
      <c r="HLH142" s="4"/>
      <c r="HLI142" s="4"/>
      <c r="HLJ142" s="4"/>
      <c r="HLK142" s="4"/>
      <c r="HLL142" s="4"/>
      <c r="HLM142" s="4"/>
      <c r="HLN142" s="4"/>
      <c r="HLO142" s="4"/>
      <c r="HLP142" s="4"/>
      <c r="HLQ142" s="4"/>
      <c r="HLR142" s="4"/>
      <c r="HLS142" s="4"/>
      <c r="HLT142" s="4"/>
      <c r="HLU142" s="4"/>
      <c r="HLV142" s="4"/>
      <c r="HLW142" s="4"/>
      <c r="HLX142" s="4"/>
      <c r="HLY142" s="4"/>
      <c r="HLZ142" s="4"/>
      <c r="HMA142" s="4"/>
      <c r="HMB142" s="4"/>
      <c r="HMC142" s="4"/>
      <c r="HMD142" s="4"/>
      <c r="HME142" s="4"/>
      <c r="HMF142" s="4"/>
      <c r="HMG142" s="4"/>
      <c r="HMH142" s="4"/>
      <c r="HMI142" s="4"/>
      <c r="HMJ142" s="4"/>
      <c r="HMK142" s="4"/>
      <c r="HML142" s="4"/>
      <c r="HMM142" s="4"/>
      <c r="HMN142" s="4"/>
      <c r="HMO142" s="4"/>
      <c r="HMP142" s="4"/>
      <c r="HMQ142" s="4"/>
      <c r="HMR142" s="4"/>
      <c r="HMS142" s="4"/>
      <c r="HMT142" s="4"/>
      <c r="HMU142" s="4"/>
      <c r="HMV142" s="4"/>
      <c r="HMW142" s="4"/>
      <c r="HMX142" s="4"/>
      <c r="HMY142" s="4"/>
      <c r="HMZ142" s="4"/>
      <c r="HNA142" s="4"/>
      <c r="HNB142" s="4"/>
      <c r="HNC142" s="4"/>
      <c r="HND142" s="4"/>
      <c r="HNE142" s="4"/>
      <c r="HNF142" s="4"/>
      <c r="HNG142" s="4"/>
      <c r="HNH142" s="4"/>
      <c r="HNI142" s="4"/>
      <c r="HNJ142" s="4"/>
      <c r="HNK142" s="4"/>
      <c r="HNL142" s="4"/>
      <c r="HNM142" s="4"/>
      <c r="HNN142" s="4"/>
      <c r="HNO142" s="4"/>
      <c r="HNP142" s="4"/>
      <c r="HNQ142" s="4"/>
      <c r="HNR142" s="4"/>
      <c r="HNS142" s="4"/>
      <c r="HNT142" s="4"/>
      <c r="HNU142" s="4"/>
      <c r="HNV142" s="4"/>
      <c r="HNW142" s="4"/>
      <c r="HNX142" s="4"/>
      <c r="HNY142" s="4"/>
      <c r="HNZ142" s="4"/>
      <c r="HOA142" s="4"/>
      <c r="HOB142" s="4"/>
      <c r="HOC142" s="4"/>
      <c r="HOD142" s="4"/>
      <c r="HOE142" s="4"/>
      <c r="HOF142" s="4"/>
      <c r="HOG142" s="4"/>
      <c r="HOH142" s="4"/>
      <c r="HOI142" s="4"/>
      <c r="HOJ142" s="4"/>
      <c r="HOK142" s="4"/>
      <c r="HOL142" s="4"/>
      <c r="HOM142" s="4"/>
      <c r="HON142" s="4"/>
      <c r="HOO142" s="4"/>
      <c r="HOP142" s="4"/>
      <c r="HOQ142" s="4"/>
      <c r="HOR142" s="4"/>
      <c r="HOS142" s="4"/>
      <c r="HOT142" s="4"/>
      <c r="HOU142" s="4"/>
      <c r="HOV142" s="4"/>
      <c r="HOW142" s="4"/>
      <c r="HOX142" s="4"/>
      <c r="HOY142" s="4"/>
      <c r="HOZ142" s="4"/>
      <c r="HPA142" s="4"/>
      <c r="HPB142" s="4"/>
      <c r="HPC142" s="4"/>
      <c r="HPD142" s="4"/>
      <c r="HPE142" s="4"/>
      <c r="HPF142" s="4"/>
      <c r="HPG142" s="4"/>
      <c r="HPH142" s="4"/>
      <c r="HPI142" s="4"/>
      <c r="HPJ142" s="4"/>
      <c r="HPK142" s="4"/>
      <c r="HPL142" s="4"/>
      <c r="HPM142" s="4"/>
      <c r="HPN142" s="4"/>
      <c r="HPO142" s="4"/>
      <c r="HPP142" s="4"/>
      <c r="HPQ142" s="4"/>
      <c r="HPR142" s="4"/>
      <c r="HPS142" s="4"/>
      <c r="HPT142" s="4"/>
      <c r="HPU142" s="4"/>
      <c r="HPV142" s="4"/>
      <c r="HPW142" s="4"/>
      <c r="HPX142" s="4"/>
      <c r="HPY142" s="4"/>
      <c r="HPZ142" s="4"/>
      <c r="HQA142" s="4"/>
      <c r="HQB142" s="4"/>
      <c r="HQC142" s="4"/>
      <c r="HQD142" s="4"/>
      <c r="HQE142" s="4"/>
      <c r="HQF142" s="4"/>
      <c r="HQG142" s="4"/>
      <c r="HQH142" s="4"/>
      <c r="HQI142" s="4"/>
      <c r="HQJ142" s="4"/>
      <c r="HQK142" s="4"/>
      <c r="HQL142" s="4"/>
      <c r="HQM142" s="4"/>
      <c r="HQN142" s="4"/>
      <c r="HQO142" s="4"/>
      <c r="HQP142" s="4"/>
      <c r="HQQ142" s="4"/>
      <c r="HQR142" s="4"/>
      <c r="HQS142" s="4"/>
      <c r="HQT142" s="4"/>
      <c r="HQU142" s="4"/>
      <c r="HQV142" s="4"/>
      <c r="HQW142" s="4"/>
      <c r="HQX142" s="4"/>
      <c r="HQY142" s="4"/>
      <c r="HQZ142" s="4"/>
      <c r="HRA142" s="4"/>
      <c r="HRB142" s="4"/>
      <c r="HRC142" s="4"/>
      <c r="HRD142" s="4"/>
      <c r="HRE142" s="4"/>
      <c r="HRF142" s="4"/>
      <c r="HRG142" s="4"/>
      <c r="HRH142" s="4"/>
      <c r="HRI142" s="4"/>
      <c r="HRJ142" s="4"/>
      <c r="HRK142" s="4"/>
      <c r="HRL142" s="4"/>
      <c r="HRM142" s="4"/>
      <c r="HRN142" s="4"/>
      <c r="HRO142" s="4"/>
      <c r="HRP142" s="4"/>
      <c r="HRQ142" s="4"/>
      <c r="HRR142" s="4"/>
      <c r="HRS142" s="4"/>
      <c r="HRT142" s="4"/>
      <c r="HRU142" s="4"/>
      <c r="HRV142" s="4"/>
      <c r="HRW142" s="4"/>
      <c r="HRX142" s="4"/>
      <c r="HRY142" s="4"/>
      <c r="HRZ142" s="4"/>
      <c r="HSA142" s="4"/>
      <c r="HSB142" s="4"/>
      <c r="HSC142" s="4"/>
      <c r="HSD142" s="4"/>
      <c r="HSE142" s="4"/>
      <c r="HSF142" s="4"/>
      <c r="HSG142" s="4"/>
      <c r="HSH142" s="4"/>
      <c r="HSI142" s="4"/>
      <c r="HSJ142" s="4"/>
      <c r="HSK142" s="4"/>
      <c r="HSL142" s="4"/>
      <c r="HSM142" s="4"/>
      <c r="HSN142" s="4"/>
      <c r="HSO142" s="4"/>
      <c r="HSP142" s="4"/>
      <c r="HSQ142" s="4"/>
      <c r="HSR142" s="4"/>
      <c r="HSS142" s="4"/>
      <c r="HST142" s="4"/>
      <c r="HSU142" s="4"/>
      <c r="HSV142" s="4"/>
      <c r="HSW142" s="4"/>
      <c r="HSX142" s="4"/>
      <c r="HSY142" s="4"/>
      <c r="HSZ142" s="4"/>
      <c r="HTA142" s="4"/>
      <c r="HTB142" s="4"/>
      <c r="HTC142" s="4"/>
      <c r="HTD142" s="4"/>
      <c r="HTE142" s="4"/>
      <c r="HTF142" s="4"/>
      <c r="HTG142" s="4"/>
      <c r="HTH142" s="4"/>
      <c r="HTI142" s="4"/>
      <c r="HTJ142" s="4"/>
      <c r="HTK142" s="4"/>
      <c r="HTL142" s="4"/>
      <c r="HTM142" s="4"/>
      <c r="HTN142" s="4"/>
      <c r="HTO142" s="4"/>
      <c r="HTP142" s="4"/>
      <c r="HTQ142" s="4"/>
      <c r="HTR142" s="4"/>
      <c r="HTS142" s="4"/>
      <c r="HTT142" s="4"/>
      <c r="HTU142" s="4"/>
      <c r="HTV142" s="4"/>
      <c r="HTW142" s="4"/>
      <c r="HTX142" s="4"/>
      <c r="HTY142" s="4"/>
      <c r="HTZ142" s="4"/>
      <c r="HUA142" s="4"/>
      <c r="HUB142" s="4"/>
      <c r="HUC142" s="4"/>
      <c r="HUD142" s="4"/>
      <c r="HUE142" s="4"/>
      <c r="HUF142" s="4"/>
      <c r="HUG142" s="4"/>
      <c r="HUH142" s="4"/>
      <c r="HUI142" s="4"/>
      <c r="HUJ142" s="4"/>
      <c r="HUK142" s="4"/>
      <c r="HUL142" s="4"/>
      <c r="HUM142" s="4"/>
      <c r="HUN142" s="4"/>
      <c r="HUO142" s="4"/>
      <c r="HUP142" s="4"/>
      <c r="HUQ142" s="4"/>
      <c r="HUR142" s="4"/>
      <c r="HUS142" s="4"/>
      <c r="HUT142" s="4"/>
      <c r="HUU142" s="4"/>
      <c r="HUV142" s="4"/>
      <c r="HUW142" s="4"/>
      <c r="HUX142" s="4"/>
      <c r="HUY142" s="4"/>
      <c r="HUZ142" s="4"/>
      <c r="HVA142" s="4"/>
      <c r="HVB142" s="4"/>
      <c r="HVC142" s="4"/>
      <c r="HVD142" s="4"/>
      <c r="HVE142" s="4"/>
      <c r="HVF142" s="4"/>
      <c r="HVG142" s="4"/>
      <c r="HVH142" s="4"/>
      <c r="HVI142" s="4"/>
      <c r="HVJ142" s="4"/>
      <c r="HVK142" s="4"/>
      <c r="HVL142" s="4"/>
      <c r="HVM142" s="4"/>
      <c r="HVN142" s="4"/>
      <c r="HVO142" s="4"/>
      <c r="HVP142" s="4"/>
      <c r="HVQ142" s="4"/>
      <c r="HVR142" s="4"/>
      <c r="HVS142" s="4"/>
      <c r="HVT142" s="4"/>
      <c r="HVU142" s="4"/>
      <c r="HVV142" s="4"/>
      <c r="HVW142" s="4"/>
      <c r="HVX142" s="4"/>
      <c r="HVY142" s="4"/>
      <c r="HVZ142" s="4"/>
      <c r="HWA142" s="4"/>
      <c r="HWB142" s="4"/>
      <c r="HWC142" s="4"/>
      <c r="HWD142" s="4"/>
      <c r="HWE142" s="4"/>
      <c r="HWF142" s="4"/>
      <c r="HWG142" s="4"/>
      <c r="HWH142" s="4"/>
      <c r="HWI142" s="4"/>
      <c r="HWJ142" s="4"/>
      <c r="HWK142" s="4"/>
      <c r="HWL142" s="4"/>
      <c r="HWM142" s="4"/>
      <c r="HWN142" s="4"/>
      <c r="HWO142" s="4"/>
      <c r="HWP142" s="4"/>
      <c r="HWQ142" s="4"/>
      <c r="HWR142" s="4"/>
      <c r="HWS142" s="4"/>
      <c r="HWT142" s="4"/>
      <c r="HWU142" s="4"/>
      <c r="HWV142" s="4"/>
      <c r="HWW142" s="4"/>
      <c r="HWX142" s="4"/>
      <c r="HWY142" s="4"/>
      <c r="HWZ142" s="4"/>
      <c r="HXA142" s="4"/>
      <c r="HXB142" s="4"/>
      <c r="HXC142" s="4"/>
      <c r="HXD142" s="4"/>
      <c r="HXE142" s="4"/>
      <c r="HXF142" s="4"/>
      <c r="HXG142" s="4"/>
      <c r="HXH142" s="4"/>
      <c r="HXI142" s="4"/>
      <c r="HXJ142" s="4"/>
      <c r="HXK142" s="4"/>
      <c r="HXL142" s="4"/>
      <c r="HXM142" s="4"/>
      <c r="HXN142" s="4"/>
      <c r="HXO142" s="4"/>
      <c r="HXP142" s="4"/>
      <c r="HXQ142" s="4"/>
      <c r="HXR142" s="4"/>
      <c r="HXS142" s="4"/>
      <c r="HXT142" s="4"/>
      <c r="HXU142" s="4"/>
      <c r="HXV142" s="4"/>
      <c r="HXW142" s="4"/>
      <c r="HXX142" s="4"/>
      <c r="HXY142" s="4"/>
      <c r="HXZ142" s="4"/>
      <c r="HYA142" s="4"/>
      <c r="HYB142" s="4"/>
      <c r="HYC142" s="4"/>
      <c r="HYD142" s="4"/>
      <c r="HYE142" s="4"/>
      <c r="HYF142" s="4"/>
      <c r="HYG142" s="4"/>
      <c r="HYH142" s="4"/>
      <c r="HYI142" s="4"/>
      <c r="HYJ142" s="4"/>
      <c r="HYK142" s="4"/>
      <c r="HYL142" s="4"/>
      <c r="HYM142" s="4"/>
      <c r="HYN142" s="4"/>
      <c r="HYO142" s="4"/>
      <c r="HYP142" s="4"/>
      <c r="HYQ142" s="4"/>
      <c r="HYR142" s="4"/>
      <c r="HYS142" s="4"/>
      <c r="HYT142" s="4"/>
      <c r="HYU142" s="4"/>
      <c r="HYV142" s="4"/>
      <c r="HYW142" s="4"/>
      <c r="HYX142" s="4"/>
      <c r="HYY142" s="4"/>
      <c r="HYZ142" s="4"/>
      <c r="HZA142" s="4"/>
      <c r="HZB142" s="4"/>
      <c r="HZC142" s="4"/>
      <c r="HZD142" s="4"/>
      <c r="HZE142" s="4"/>
      <c r="HZF142" s="4"/>
      <c r="HZG142" s="4"/>
      <c r="HZH142" s="4"/>
      <c r="HZI142" s="4"/>
      <c r="HZJ142" s="4"/>
      <c r="HZK142" s="4"/>
      <c r="HZL142" s="4"/>
      <c r="HZM142" s="4"/>
      <c r="HZN142" s="4"/>
      <c r="HZO142" s="4"/>
      <c r="HZP142" s="4"/>
      <c r="HZQ142" s="4"/>
      <c r="HZR142" s="4"/>
      <c r="HZS142" s="4"/>
      <c r="HZT142" s="4"/>
      <c r="HZU142" s="4"/>
      <c r="HZV142" s="4"/>
      <c r="HZW142" s="4"/>
      <c r="HZX142" s="4"/>
      <c r="HZY142" s="4"/>
      <c r="HZZ142" s="4"/>
      <c r="IAA142" s="4"/>
      <c r="IAB142" s="4"/>
      <c r="IAC142" s="4"/>
      <c r="IAD142" s="4"/>
      <c r="IAE142" s="4"/>
      <c r="IAF142" s="4"/>
      <c r="IAG142" s="4"/>
      <c r="IAH142" s="4"/>
      <c r="IAI142" s="4"/>
      <c r="IAJ142" s="4"/>
      <c r="IAK142" s="4"/>
      <c r="IAL142" s="4"/>
      <c r="IAM142" s="4"/>
      <c r="IAN142" s="4"/>
      <c r="IAO142" s="4"/>
      <c r="IAP142" s="4"/>
      <c r="IAQ142" s="4"/>
      <c r="IAR142" s="4"/>
      <c r="IAS142" s="4"/>
      <c r="IAT142" s="4"/>
      <c r="IAU142" s="4"/>
      <c r="IAV142" s="4"/>
      <c r="IAW142" s="4"/>
      <c r="IAX142" s="4"/>
      <c r="IAY142" s="4"/>
      <c r="IAZ142" s="4"/>
      <c r="IBA142" s="4"/>
      <c r="IBB142" s="4"/>
      <c r="IBC142" s="4"/>
      <c r="IBD142" s="4"/>
      <c r="IBE142" s="4"/>
      <c r="IBF142" s="4"/>
      <c r="IBG142" s="4"/>
      <c r="IBH142" s="4"/>
      <c r="IBI142" s="4"/>
      <c r="IBJ142" s="4"/>
      <c r="IBK142" s="4"/>
      <c r="IBL142" s="4"/>
      <c r="IBM142" s="4"/>
      <c r="IBN142" s="4"/>
      <c r="IBO142" s="4"/>
      <c r="IBP142" s="4"/>
      <c r="IBQ142" s="4"/>
      <c r="IBR142" s="4"/>
      <c r="IBS142" s="4"/>
      <c r="IBT142" s="4"/>
      <c r="IBU142" s="4"/>
      <c r="IBV142" s="4"/>
      <c r="IBW142" s="4"/>
      <c r="IBX142" s="4"/>
      <c r="IBY142" s="4"/>
      <c r="IBZ142" s="4"/>
      <c r="ICA142" s="4"/>
      <c r="ICB142" s="4"/>
      <c r="ICC142" s="4"/>
      <c r="ICD142" s="4"/>
      <c r="ICE142" s="4"/>
      <c r="ICF142" s="4"/>
      <c r="ICG142" s="4"/>
      <c r="ICH142" s="4"/>
      <c r="ICI142" s="4"/>
      <c r="ICJ142" s="4"/>
      <c r="ICK142" s="4"/>
      <c r="ICL142" s="4"/>
      <c r="ICM142" s="4"/>
      <c r="ICN142" s="4"/>
      <c r="ICO142" s="4"/>
      <c r="ICP142" s="4"/>
      <c r="ICQ142" s="4"/>
      <c r="ICR142" s="4"/>
      <c r="ICS142" s="4"/>
      <c r="ICT142" s="4"/>
      <c r="ICU142" s="4"/>
      <c r="ICV142" s="4"/>
      <c r="ICW142" s="4"/>
      <c r="ICX142" s="4"/>
      <c r="ICY142" s="4"/>
      <c r="ICZ142" s="4"/>
      <c r="IDA142" s="4"/>
      <c r="IDB142" s="4"/>
      <c r="IDC142" s="4"/>
      <c r="IDD142" s="4"/>
      <c r="IDE142" s="4"/>
      <c r="IDF142" s="4"/>
      <c r="IDG142" s="4"/>
      <c r="IDH142" s="4"/>
      <c r="IDI142" s="4"/>
      <c r="IDJ142" s="4"/>
      <c r="IDK142" s="4"/>
      <c r="IDL142" s="4"/>
      <c r="IDM142" s="4"/>
      <c r="IDN142" s="4"/>
      <c r="IDO142" s="4"/>
      <c r="IDP142" s="4"/>
      <c r="IDQ142" s="4"/>
      <c r="IDR142" s="4"/>
      <c r="IDS142" s="4"/>
      <c r="IDT142" s="4"/>
      <c r="IDU142" s="4"/>
      <c r="IDV142" s="4"/>
      <c r="IDW142" s="4"/>
      <c r="IDX142" s="4"/>
      <c r="IDY142" s="4"/>
      <c r="IDZ142" s="4"/>
      <c r="IEA142" s="4"/>
      <c r="IEB142" s="4"/>
      <c r="IEC142" s="4"/>
      <c r="IED142" s="4"/>
      <c r="IEE142" s="4"/>
      <c r="IEF142" s="4"/>
      <c r="IEG142" s="4"/>
      <c r="IEH142" s="4"/>
      <c r="IEI142" s="4"/>
      <c r="IEJ142" s="4"/>
      <c r="IEK142" s="4"/>
      <c r="IEL142" s="4"/>
      <c r="IEM142" s="4"/>
      <c r="IEN142" s="4"/>
      <c r="IEO142" s="4"/>
      <c r="IEP142" s="4"/>
      <c r="IEQ142" s="4"/>
      <c r="IER142" s="4"/>
      <c r="IES142" s="4"/>
      <c r="IET142" s="4"/>
      <c r="IEU142" s="4"/>
      <c r="IEV142" s="4"/>
      <c r="IEW142" s="4"/>
      <c r="IEX142" s="4"/>
      <c r="IEY142" s="4"/>
      <c r="IEZ142" s="4"/>
      <c r="IFA142" s="4"/>
      <c r="IFB142" s="4"/>
      <c r="IFC142" s="4"/>
      <c r="IFD142" s="4"/>
      <c r="IFE142" s="4"/>
      <c r="IFF142" s="4"/>
      <c r="IFG142" s="4"/>
      <c r="IFH142" s="4"/>
      <c r="IFI142" s="4"/>
      <c r="IFJ142" s="4"/>
      <c r="IFK142" s="4"/>
      <c r="IFL142" s="4"/>
      <c r="IFM142" s="4"/>
      <c r="IFN142" s="4"/>
      <c r="IFO142" s="4"/>
      <c r="IFP142" s="4"/>
      <c r="IFQ142" s="4"/>
      <c r="IFR142" s="4"/>
      <c r="IFS142" s="4"/>
      <c r="IFT142" s="4"/>
      <c r="IFU142" s="4"/>
      <c r="IFV142" s="4"/>
      <c r="IFW142" s="4"/>
      <c r="IFX142" s="4"/>
      <c r="IFY142" s="4"/>
      <c r="IFZ142" s="4"/>
      <c r="IGA142" s="4"/>
      <c r="IGB142" s="4"/>
      <c r="IGC142" s="4"/>
      <c r="IGD142" s="4"/>
      <c r="IGE142" s="4"/>
      <c r="IGF142" s="4"/>
      <c r="IGG142" s="4"/>
      <c r="IGH142" s="4"/>
      <c r="IGI142" s="4"/>
      <c r="IGJ142" s="4"/>
      <c r="IGK142" s="4"/>
      <c r="IGL142" s="4"/>
      <c r="IGM142" s="4"/>
      <c r="IGN142" s="4"/>
      <c r="IGO142" s="4"/>
      <c r="IGP142" s="4"/>
      <c r="IGQ142" s="4"/>
      <c r="IGR142" s="4"/>
      <c r="IGS142" s="4"/>
      <c r="IGT142" s="4"/>
      <c r="IGU142" s="4"/>
      <c r="IGV142" s="4"/>
      <c r="IGW142" s="4"/>
      <c r="IGX142" s="4"/>
      <c r="IGY142" s="4"/>
      <c r="IGZ142" s="4"/>
      <c r="IHA142" s="4"/>
      <c r="IHB142" s="4"/>
      <c r="IHC142" s="4"/>
      <c r="IHD142" s="4"/>
      <c r="IHE142" s="4"/>
      <c r="IHF142" s="4"/>
      <c r="IHG142" s="4"/>
      <c r="IHH142" s="4"/>
      <c r="IHI142" s="4"/>
      <c r="IHJ142" s="4"/>
      <c r="IHK142" s="4"/>
      <c r="IHL142" s="4"/>
      <c r="IHM142" s="4"/>
      <c r="IHN142" s="4"/>
      <c r="IHO142" s="4"/>
      <c r="IHP142" s="4"/>
      <c r="IHQ142" s="4"/>
      <c r="IHR142" s="4"/>
      <c r="IHS142" s="4"/>
      <c r="IHT142" s="4"/>
      <c r="IHU142" s="4"/>
      <c r="IHV142" s="4"/>
      <c r="IHW142" s="4"/>
      <c r="IHX142" s="4"/>
      <c r="IHY142" s="4"/>
      <c r="IHZ142" s="4"/>
      <c r="IIA142" s="4"/>
      <c r="IIB142" s="4"/>
      <c r="IIC142" s="4"/>
      <c r="IID142" s="4"/>
      <c r="IIE142" s="4"/>
      <c r="IIF142" s="4"/>
      <c r="IIG142" s="4"/>
      <c r="IIH142" s="4"/>
      <c r="III142" s="4"/>
      <c r="IIJ142" s="4"/>
      <c r="IIK142" s="4"/>
      <c r="IIL142" s="4"/>
      <c r="IIM142" s="4"/>
      <c r="IIN142" s="4"/>
      <c r="IIO142" s="4"/>
      <c r="IIP142" s="4"/>
      <c r="IIQ142" s="4"/>
      <c r="IIR142" s="4"/>
      <c r="IIS142" s="4"/>
      <c r="IIT142" s="4"/>
      <c r="IIU142" s="4"/>
      <c r="IIV142" s="4"/>
      <c r="IIW142" s="4"/>
      <c r="IIX142" s="4"/>
      <c r="IIY142" s="4"/>
      <c r="IIZ142" s="4"/>
      <c r="IJA142" s="4"/>
      <c r="IJB142" s="4"/>
      <c r="IJC142" s="4"/>
      <c r="IJD142" s="4"/>
      <c r="IJE142" s="4"/>
      <c r="IJF142" s="4"/>
      <c r="IJG142" s="4"/>
      <c r="IJH142" s="4"/>
      <c r="IJI142" s="4"/>
      <c r="IJJ142" s="4"/>
      <c r="IJK142" s="4"/>
      <c r="IJL142" s="4"/>
      <c r="IJM142" s="4"/>
      <c r="IJN142" s="4"/>
      <c r="IJO142" s="4"/>
      <c r="IJP142" s="4"/>
      <c r="IJQ142" s="4"/>
      <c r="IJR142" s="4"/>
      <c r="IJS142" s="4"/>
      <c r="IJT142" s="4"/>
      <c r="IJU142" s="4"/>
      <c r="IJV142" s="4"/>
      <c r="IJW142" s="4"/>
      <c r="IJX142" s="4"/>
      <c r="IJY142" s="4"/>
      <c r="IJZ142" s="4"/>
      <c r="IKA142" s="4"/>
      <c r="IKB142" s="4"/>
      <c r="IKC142" s="4"/>
      <c r="IKD142" s="4"/>
      <c r="IKE142" s="4"/>
      <c r="IKF142" s="4"/>
      <c r="IKG142" s="4"/>
      <c r="IKH142" s="4"/>
      <c r="IKI142" s="4"/>
      <c r="IKJ142" s="4"/>
      <c r="IKK142" s="4"/>
      <c r="IKL142" s="4"/>
      <c r="IKM142" s="4"/>
      <c r="IKN142" s="4"/>
      <c r="IKO142" s="4"/>
      <c r="IKP142" s="4"/>
      <c r="IKQ142" s="4"/>
      <c r="IKR142" s="4"/>
      <c r="IKS142" s="4"/>
      <c r="IKT142" s="4"/>
      <c r="IKU142" s="4"/>
      <c r="IKV142" s="4"/>
      <c r="IKW142" s="4"/>
      <c r="IKX142" s="4"/>
      <c r="IKY142" s="4"/>
      <c r="IKZ142" s="4"/>
      <c r="ILA142" s="4"/>
      <c r="ILB142" s="4"/>
      <c r="ILC142" s="4"/>
      <c r="ILD142" s="4"/>
      <c r="ILE142" s="4"/>
      <c r="ILF142" s="4"/>
      <c r="ILG142" s="4"/>
      <c r="ILH142" s="4"/>
      <c r="ILI142" s="4"/>
      <c r="ILJ142" s="4"/>
      <c r="ILK142" s="4"/>
      <c r="ILL142" s="4"/>
      <c r="ILM142" s="4"/>
      <c r="ILN142" s="4"/>
      <c r="ILO142" s="4"/>
      <c r="ILP142" s="4"/>
      <c r="ILQ142" s="4"/>
      <c r="ILR142" s="4"/>
      <c r="ILS142" s="4"/>
      <c r="ILT142" s="4"/>
      <c r="ILU142" s="4"/>
      <c r="ILV142" s="4"/>
      <c r="ILW142" s="4"/>
      <c r="ILX142" s="4"/>
      <c r="ILY142" s="4"/>
      <c r="ILZ142" s="4"/>
      <c r="IMA142" s="4"/>
      <c r="IMB142" s="4"/>
      <c r="IMC142" s="4"/>
      <c r="IMD142" s="4"/>
      <c r="IME142" s="4"/>
      <c r="IMF142" s="4"/>
      <c r="IMG142" s="4"/>
      <c r="IMH142" s="4"/>
      <c r="IMI142" s="4"/>
      <c r="IMJ142" s="4"/>
      <c r="IMK142" s="4"/>
      <c r="IML142" s="4"/>
      <c r="IMM142" s="4"/>
      <c r="IMN142" s="4"/>
      <c r="IMO142" s="4"/>
      <c r="IMP142" s="4"/>
      <c r="IMQ142" s="4"/>
      <c r="IMR142" s="4"/>
      <c r="IMS142" s="4"/>
      <c r="IMT142" s="4"/>
      <c r="IMU142" s="4"/>
      <c r="IMV142" s="4"/>
      <c r="IMW142" s="4"/>
      <c r="IMX142" s="4"/>
      <c r="IMY142" s="4"/>
      <c r="IMZ142" s="4"/>
      <c r="INA142" s="4"/>
      <c r="INB142" s="4"/>
      <c r="INC142" s="4"/>
      <c r="IND142" s="4"/>
      <c r="INE142" s="4"/>
      <c r="INF142" s="4"/>
      <c r="ING142" s="4"/>
      <c r="INH142" s="4"/>
      <c r="INI142" s="4"/>
      <c r="INJ142" s="4"/>
      <c r="INK142" s="4"/>
      <c r="INL142" s="4"/>
      <c r="INM142" s="4"/>
      <c r="INN142" s="4"/>
      <c r="INO142" s="4"/>
      <c r="INP142" s="4"/>
      <c r="INQ142" s="4"/>
      <c r="INR142" s="4"/>
      <c r="INS142" s="4"/>
      <c r="INT142" s="4"/>
      <c r="INU142" s="4"/>
      <c r="INV142" s="4"/>
      <c r="INW142" s="4"/>
      <c r="INX142" s="4"/>
      <c r="INY142" s="4"/>
      <c r="INZ142" s="4"/>
      <c r="IOA142" s="4"/>
      <c r="IOB142" s="4"/>
      <c r="IOC142" s="4"/>
      <c r="IOD142" s="4"/>
      <c r="IOE142" s="4"/>
      <c r="IOF142" s="4"/>
      <c r="IOG142" s="4"/>
      <c r="IOH142" s="4"/>
      <c r="IOI142" s="4"/>
      <c r="IOJ142" s="4"/>
      <c r="IOK142" s="4"/>
      <c r="IOL142" s="4"/>
      <c r="IOM142" s="4"/>
      <c r="ION142" s="4"/>
      <c r="IOO142" s="4"/>
      <c r="IOP142" s="4"/>
      <c r="IOQ142" s="4"/>
      <c r="IOR142" s="4"/>
      <c r="IOS142" s="4"/>
      <c r="IOT142" s="4"/>
      <c r="IOU142" s="4"/>
      <c r="IOV142" s="4"/>
      <c r="IOW142" s="4"/>
      <c r="IOX142" s="4"/>
      <c r="IOY142" s="4"/>
      <c r="IOZ142" s="4"/>
      <c r="IPA142" s="4"/>
      <c r="IPB142" s="4"/>
      <c r="IPC142" s="4"/>
      <c r="IPD142" s="4"/>
      <c r="IPE142" s="4"/>
      <c r="IPF142" s="4"/>
      <c r="IPG142" s="4"/>
      <c r="IPH142" s="4"/>
      <c r="IPI142" s="4"/>
      <c r="IPJ142" s="4"/>
      <c r="IPK142" s="4"/>
      <c r="IPL142" s="4"/>
      <c r="IPM142" s="4"/>
      <c r="IPN142" s="4"/>
      <c r="IPO142" s="4"/>
      <c r="IPP142" s="4"/>
      <c r="IPQ142" s="4"/>
      <c r="IPR142" s="4"/>
      <c r="IPS142" s="4"/>
      <c r="IPT142" s="4"/>
      <c r="IPU142" s="4"/>
      <c r="IPV142" s="4"/>
      <c r="IPW142" s="4"/>
      <c r="IPX142" s="4"/>
      <c r="IPY142" s="4"/>
      <c r="IPZ142" s="4"/>
      <c r="IQA142" s="4"/>
      <c r="IQB142" s="4"/>
      <c r="IQC142" s="4"/>
      <c r="IQD142" s="4"/>
      <c r="IQE142" s="4"/>
      <c r="IQF142" s="4"/>
      <c r="IQG142" s="4"/>
      <c r="IQH142" s="4"/>
      <c r="IQI142" s="4"/>
      <c r="IQJ142" s="4"/>
      <c r="IQK142" s="4"/>
      <c r="IQL142" s="4"/>
      <c r="IQM142" s="4"/>
      <c r="IQN142" s="4"/>
      <c r="IQO142" s="4"/>
      <c r="IQP142" s="4"/>
      <c r="IQQ142" s="4"/>
      <c r="IQR142" s="4"/>
      <c r="IQS142" s="4"/>
      <c r="IQT142" s="4"/>
      <c r="IQU142" s="4"/>
      <c r="IQV142" s="4"/>
      <c r="IQW142" s="4"/>
      <c r="IQX142" s="4"/>
      <c r="IQY142" s="4"/>
      <c r="IQZ142" s="4"/>
      <c r="IRA142" s="4"/>
      <c r="IRB142" s="4"/>
      <c r="IRC142" s="4"/>
      <c r="IRD142" s="4"/>
      <c r="IRE142" s="4"/>
      <c r="IRF142" s="4"/>
      <c r="IRG142" s="4"/>
      <c r="IRH142" s="4"/>
      <c r="IRI142" s="4"/>
      <c r="IRJ142" s="4"/>
      <c r="IRK142" s="4"/>
      <c r="IRL142" s="4"/>
      <c r="IRM142" s="4"/>
      <c r="IRN142" s="4"/>
      <c r="IRO142" s="4"/>
      <c r="IRP142" s="4"/>
      <c r="IRQ142" s="4"/>
      <c r="IRR142" s="4"/>
      <c r="IRS142" s="4"/>
      <c r="IRT142" s="4"/>
      <c r="IRU142" s="4"/>
      <c r="IRV142" s="4"/>
      <c r="IRW142" s="4"/>
      <c r="IRX142" s="4"/>
      <c r="IRY142" s="4"/>
      <c r="IRZ142" s="4"/>
      <c r="ISA142" s="4"/>
      <c r="ISB142" s="4"/>
      <c r="ISC142" s="4"/>
      <c r="ISD142" s="4"/>
      <c r="ISE142" s="4"/>
      <c r="ISF142" s="4"/>
      <c r="ISG142" s="4"/>
      <c r="ISH142" s="4"/>
      <c r="ISI142" s="4"/>
      <c r="ISJ142" s="4"/>
      <c r="ISK142" s="4"/>
      <c r="ISL142" s="4"/>
      <c r="ISM142" s="4"/>
      <c r="ISN142" s="4"/>
      <c r="ISO142" s="4"/>
      <c r="ISP142" s="4"/>
      <c r="ISQ142" s="4"/>
      <c r="ISR142" s="4"/>
      <c r="ISS142" s="4"/>
      <c r="IST142" s="4"/>
      <c r="ISU142" s="4"/>
      <c r="ISV142" s="4"/>
      <c r="ISW142" s="4"/>
      <c r="ISX142" s="4"/>
      <c r="ISY142" s="4"/>
      <c r="ISZ142" s="4"/>
      <c r="ITA142" s="4"/>
      <c r="ITB142" s="4"/>
      <c r="ITC142" s="4"/>
      <c r="ITD142" s="4"/>
      <c r="ITE142" s="4"/>
      <c r="ITF142" s="4"/>
      <c r="ITG142" s="4"/>
      <c r="ITH142" s="4"/>
      <c r="ITI142" s="4"/>
      <c r="ITJ142" s="4"/>
      <c r="ITK142" s="4"/>
      <c r="ITL142" s="4"/>
      <c r="ITM142" s="4"/>
      <c r="ITN142" s="4"/>
      <c r="ITO142" s="4"/>
      <c r="ITP142" s="4"/>
      <c r="ITQ142" s="4"/>
      <c r="ITR142" s="4"/>
      <c r="ITS142" s="4"/>
      <c r="ITT142" s="4"/>
      <c r="ITU142" s="4"/>
      <c r="ITV142" s="4"/>
      <c r="ITW142" s="4"/>
      <c r="ITX142" s="4"/>
      <c r="ITY142" s="4"/>
      <c r="ITZ142" s="4"/>
      <c r="IUA142" s="4"/>
      <c r="IUB142" s="4"/>
      <c r="IUC142" s="4"/>
      <c r="IUD142" s="4"/>
      <c r="IUE142" s="4"/>
      <c r="IUF142" s="4"/>
      <c r="IUG142" s="4"/>
      <c r="IUH142" s="4"/>
      <c r="IUI142" s="4"/>
      <c r="IUJ142" s="4"/>
      <c r="IUK142" s="4"/>
      <c r="IUL142" s="4"/>
      <c r="IUM142" s="4"/>
      <c r="IUN142" s="4"/>
      <c r="IUO142" s="4"/>
      <c r="IUP142" s="4"/>
      <c r="IUQ142" s="4"/>
      <c r="IUR142" s="4"/>
      <c r="IUS142" s="4"/>
      <c r="IUT142" s="4"/>
      <c r="IUU142" s="4"/>
      <c r="IUV142" s="4"/>
      <c r="IUW142" s="4"/>
      <c r="IUX142" s="4"/>
      <c r="IUY142" s="4"/>
      <c r="IUZ142" s="4"/>
      <c r="IVA142" s="4"/>
      <c r="IVB142" s="4"/>
      <c r="IVC142" s="4"/>
      <c r="IVD142" s="4"/>
      <c r="IVE142" s="4"/>
      <c r="IVF142" s="4"/>
      <c r="IVG142" s="4"/>
      <c r="IVH142" s="4"/>
      <c r="IVI142" s="4"/>
      <c r="IVJ142" s="4"/>
      <c r="IVK142" s="4"/>
      <c r="IVL142" s="4"/>
      <c r="IVM142" s="4"/>
      <c r="IVN142" s="4"/>
      <c r="IVO142" s="4"/>
      <c r="IVP142" s="4"/>
      <c r="IVQ142" s="4"/>
      <c r="IVR142" s="4"/>
      <c r="IVS142" s="4"/>
      <c r="IVT142" s="4"/>
      <c r="IVU142" s="4"/>
      <c r="IVV142" s="4"/>
      <c r="IVW142" s="4"/>
      <c r="IVX142" s="4"/>
      <c r="IVY142" s="4"/>
      <c r="IVZ142" s="4"/>
      <c r="IWA142" s="4"/>
      <c r="IWB142" s="4"/>
      <c r="IWC142" s="4"/>
      <c r="IWD142" s="4"/>
      <c r="IWE142" s="4"/>
      <c r="IWF142" s="4"/>
      <c r="IWG142" s="4"/>
      <c r="IWH142" s="4"/>
      <c r="IWI142" s="4"/>
      <c r="IWJ142" s="4"/>
      <c r="IWK142" s="4"/>
      <c r="IWL142" s="4"/>
      <c r="IWM142" s="4"/>
      <c r="IWN142" s="4"/>
      <c r="IWO142" s="4"/>
      <c r="IWP142" s="4"/>
      <c r="IWQ142" s="4"/>
      <c r="IWR142" s="4"/>
      <c r="IWS142" s="4"/>
      <c r="IWT142" s="4"/>
      <c r="IWU142" s="4"/>
      <c r="IWV142" s="4"/>
      <c r="IWW142" s="4"/>
      <c r="IWX142" s="4"/>
      <c r="IWY142" s="4"/>
      <c r="IWZ142" s="4"/>
      <c r="IXA142" s="4"/>
      <c r="IXB142" s="4"/>
      <c r="IXC142" s="4"/>
      <c r="IXD142" s="4"/>
      <c r="IXE142" s="4"/>
      <c r="IXF142" s="4"/>
      <c r="IXG142" s="4"/>
      <c r="IXH142" s="4"/>
      <c r="IXI142" s="4"/>
      <c r="IXJ142" s="4"/>
      <c r="IXK142" s="4"/>
      <c r="IXL142" s="4"/>
      <c r="IXM142" s="4"/>
      <c r="IXN142" s="4"/>
      <c r="IXO142" s="4"/>
      <c r="IXP142" s="4"/>
      <c r="IXQ142" s="4"/>
      <c r="IXR142" s="4"/>
      <c r="IXS142" s="4"/>
      <c r="IXT142" s="4"/>
      <c r="IXU142" s="4"/>
      <c r="IXV142" s="4"/>
      <c r="IXW142" s="4"/>
      <c r="IXX142" s="4"/>
      <c r="IXY142" s="4"/>
      <c r="IXZ142" s="4"/>
      <c r="IYA142" s="4"/>
      <c r="IYB142" s="4"/>
      <c r="IYC142" s="4"/>
      <c r="IYD142" s="4"/>
      <c r="IYE142" s="4"/>
      <c r="IYF142" s="4"/>
      <c r="IYG142" s="4"/>
      <c r="IYH142" s="4"/>
      <c r="IYI142" s="4"/>
      <c r="IYJ142" s="4"/>
      <c r="IYK142" s="4"/>
      <c r="IYL142" s="4"/>
      <c r="IYM142" s="4"/>
      <c r="IYN142" s="4"/>
      <c r="IYO142" s="4"/>
      <c r="IYP142" s="4"/>
      <c r="IYQ142" s="4"/>
      <c r="IYR142" s="4"/>
      <c r="IYS142" s="4"/>
      <c r="IYT142" s="4"/>
      <c r="IYU142" s="4"/>
      <c r="IYV142" s="4"/>
      <c r="IYW142" s="4"/>
      <c r="IYX142" s="4"/>
      <c r="IYY142" s="4"/>
      <c r="IYZ142" s="4"/>
      <c r="IZA142" s="4"/>
      <c r="IZB142" s="4"/>
      <c r="IZC142" s="4"/>
      <c r="IZD142" s="4"/>
      <c r="IZE142" s="4"/>
      <c r="IZF142" s="4"/>
      <c r="IZG142" s="4"/>
      <c r="IZH142" s="4"/>
      <c r="IZI142" s="4"/>
      <c r="IZJ142" s="4"/>
      <c r="IZK142" s="4"/>
      <c r="IZL142" s="4"/>
      <c r="IZM142" s="4"/>
      <c r="IZN142" s="4"/>
      <c r="IZO142" s="4"/>
      <c r="IZP142" s="4"/>
      <c r="IZQ142" s="4"/>
      <c r="IZR142" s="4"/>
      <c r="IZS142" s="4"/>
      <c r="IZT142" s="4"/>
      <c r="IZU142" s="4"/>
      <c r="IZV142" s="4"/>
      <c r="IZW142" s="4"/>
      <c r="IZX142" s="4"/>
      <c r="IZY142" s="4"/>
      <c r="IZZ142" s="4"/>
      <c r="JAA142" s="4"/>
      <c r="JAB142" s="4"/>
      <c r="JAC142" s="4"/>
      <c r="JAD142" s="4"/>
      <c r="JAE142" s="4"/>
      <c r="JAF142" s="4"/>
      <c r="JAG142" s="4"/>
      <c r="JAH142" s="4"/>
      <c r="JAI142" s="4"/>
      <c r="JAJ142" s="4"/>
      <c r="JAK142" s="4"/>
      <c r="JAL142" s="4"/>
      <c r="JAM142" s="4"/>
      <c r="JAN142" s="4"/>
      <c r="JAO142" s="4"/>
      <c r="JAP142" s="4"/>
      <c r="JAQ142" s="4"/>
      <c r="JAR142" s="4"/>
      <c r="JAS142" s="4"/>
      <c r="JAT142" s="4"/>
      <c r="JAU142" s="4"/>
      <c r="JAV142" s="4"/>
      <c r="JAW142" s="4"/>
      <c r="JAX142" s="4"/>
      <c r="JAY142" s="4"/>
      <c r="JAZ142" s="4"/>
      <c r="JBA142" s="4"/>
      <c r="JBB142" s="4"/>
      <c r="JBC142" s="4"/>
      <c r="JBD142" s="4"/>
      <c r="JBE142" s="4"/>
      <c r="JBF142" s="4"/>
      <c r="JBG142" s="4"/>
      <c r="JBH142" s="4"/>
      <c r="JBI142" s="4"/>
      <c r="JBJ142" s="4"/>
      <c r="JBK142" s="4"/>
      <c r="JBL142" s="4"/>
      <c r="JBM142" s="4"/>
      <c r="JBN142" s="4"/>
      <c r="JBO142" s="4"/>
      <c r="JBP142" s="4"/>
      <c r="JBQ142" s="4"/>
      <c r="JBR142" s="4"/>
      <c r="JBS142" s="4"/>
      <c r="JBT142" s="4"/>
      <c r="JBU142" s="4"/>
      <c r="JBV142" s="4"/>
      <c r="JBW142" s="4"/>
      <c r="JBX142" s="4"/>
      <c r="JBY142" s="4"/>
      <c r="JBZ142" s="4"/>
      <c r="JCA142" s="4"/>
      <c r="JCB142" s="4"/>
      <c r="JCC142" s="4"/>
      <c r="JCD142" s="4"/>
      <c r="JCE142" s="4"/>
      <c r="JCF142" s="4"/>
      <c r="JCG142" s="4"/>
      <c r="JCH142" s="4"/>
      <c r="JCI142" s="4"/>
      <c r="JCJ142" s="4"/>
      <c r="JCK142" s="4"/>
      <c r="JCL142" s="4"/>
      <c r="JCM142" s="4"/>
      <c r="JCN142" s="4"/>
      <c r="JCO142" s="4"/>
      <c r="JCP142" s="4"/>
      <c r="JCQ142" s="4"/>
      <c r="JCR142" s="4"/>
      <c r="JCS142" s="4"/>
      <c r="JCT142" s="4"/>
      <c r="JCU142" s="4"/>
      <c r="JCV142" s="4"/>
      <c r="JCW142" s="4"/>
      <c r="JCX142" s="4"/>
      <c r="JCY142" s="4"/>
      <c r="JCZ142" s="4"/>
      <c r="JDA142" s="4"/>
      <c r="JDB142" s="4"/>
      <c r="JDC142" s="4"/>
      <c r="JDD142" s="4"/>
      <c r="JDE142" s="4"/>
      <c r="JDF142" s="4"/>
      <c r="JDG142" s="4"/>
      <c r="JDH142" s="4"/>
      <c r="JDI142" s="4"/>
      <c r="JDJ142" s="4"/>
      <c r="JDK142" s="4"/>
      <c r="JDL142" s="4"/>
      <c r="JDM142" s="4"/>
      <c r="JDN142" s="4"/>
      <c r="JDO142" s="4"/>
      <c r="JDP142" s="4"/>
      <c r="JDQ142" s="4"/>
      <c r="JDR142" s="4"/>
      <c r="JDS142" s="4"/>
      <c r="JDT142" s="4"/>
      <c r="JDU142" s="4"/>
      <c r="JDV142" s="4"/>
      <c r="JDW142" s="4"/>
      <c r="JDX142" s="4"/>
      <c r="JDY142" s="4"/>
      <c r="JDZ142" s="4"/>
      <c r="JEA142" s="4"/>
      <c r="JEB142" s="4"/>
      <c r="JEC142" s="4"/>
      <c r="JED142" s="4"/>
      <c r="JEE142" s="4"/>
      <c r="JEF142" s="4"/>
      <c r="JEG142" s="4"/>
      <c r="JEH142" s="4"/>
      <c r="JEI142" s="4"/>
      <c r="JEJ142" s="4"/>
      <c r="JEK142" s="4"/>
      <c r="JEL142" s="4"/>
      <c r="JEM142" s="4"/>
      <c r="JEN142" s="4"/>
      <c r="JEO142" s="4"/>
      <c r="JEP142" s="4"/>
      <c r="JEQ142" s="4"/>
      <c r="JER142" s="4"/>
      <c r="JES142" s="4"/>
      <c r="JET142" s="4"/>
      <c r="JEU142" s="4"/>
      <c r="JEV142" s="4"/>
      <c r="JEW142" s="4"/>
      <c r="JEX142" s="4"/>
      <c r="JEY142" s="4"/>
      <c r="JEZ142" s="4"/>
      <c r="JFA142" s="4"/>
      <c r="JFB142" s="4"/>
      <c r="JFC142" s="4"/>
      <c r="JFD142" s="4"/>
      <c r="JFE142" s="4"/>
      <c r="JFF142" s="4"/>
      <c r="JFG142" s="4"/>
      <c r="JFH142" s="4"/>
      <c r="JFI142" s="4"/>
      <c r="JFJ142" s="4"/>
      <c r="JFK142" s="4"/>
      <c r="JFL142" s="4"/>
      <c r="JFM142" s="4"/>
      <c r="JFN142" s="4"/>
      <c r="JFO142" s="4"/>
      <c r="JFP142" s="4"/>
      <c r="JFQ142" s="4"/>
      <c r="JFR142" s="4"/>
      <c r="JFS142" s="4"/>
      <c r="JFT142" s="4"/>
      <c r="JFU142" s="4"/>
      <c r="JFV142" s="4"/>
      <c r="JFW142" s="4"/>
      <c r="JFX142" s="4"/>
      <c r="JFY142" s="4"/>
      <c r="JFZ142" s="4"/>
      <c r="JGA142" s="4"/>
      <c r="JGB142" s="4"/>
      <c r="JGC142" s="4"/>
      <c r="JGD142" s="4"/>
      <c r="JGE142" s="4"/>
      <c r="JGF142" s="4"/>
      <c r="JGG142" s="4"/>
      <c r="JGH142" s="4"/>
      <c r="JGI142" s="4"/>
      <c r="JGJ142" s="4"/>
      <c r="JGK142" s="4"/>
      <c r="JGL142" s="4"/>
      <c r="JGM142" s="4"/>
      <c r="JGN142" s="4"/>
      <c r="JGO142" s="4"/>
      <c r="JGP142" s="4"/>
      <c r="JGQ142" s="4"/>
      <c r="JGR142" s="4"/>
      <c r="JGS142" s="4"/>
      <c r="JGT142" s="4"/>
      <c r="JGU142" s="4"/>
      <c r="JGV142" s="4"/>
      <c r="JGW142" s="4"/>
      <c r="JGX142" s="4"/>
      <c r="JGY142" s="4"/>
      <c r="JGZ142" s="4"/>
      <c r="JHA142" s="4"/>
      <c r="JHB142" s="4"/>
      <c r="JHC142" s="4"/>
      <c r="JHD142" s="4"/>
      <c r="JHE142" s="4"/>
      <c r="JHF142" s="4"/>
      <c r="JHG142" s="4"/>
      <c r="JHH142" s="4"/>
      <c r="JHI142" s="4"/>
      <c r="JHJ142" s="4"/>
      <c r="JHK142" s="4"/>
      <c r="JHL142" s="4"/>
      <c r="JHM142" s="4"/>
      <c r="JHN142" s="4"/>
      <c r="JHO142" s="4"/>
      <c r="JHP142" s="4"/>
      <c r="JHQ142" s="4"/>
      <c r="JHR142" s="4"/>
      <c r="JHS142" s="4"/>
      <c r="JHT142" s="4"/>
      <c r="JHU142" s="4"/>
      <c r="JHV142" s="4"/>
      <c r="JHW142" s="4"/>
      <c r="JHX142" s="4"/>
      <c r="JHY142" s="4"/>
      <c r="JHZ142" s="4"/>
      <c r="JIA142" s="4"/>
      <c r="JIB142" s="4"/>
      <c r="JIC142" s="4"/>
      <c r="JID142" s="4"/>
      <c r="JIE142" s="4"/>
      <c r="JIF142" s="4"/>
      <c r="JIG142" s="4"/>
      <c r="JIH142" s="4"/>
      <c r="JII142" s="4"/>
      <c r="JIJ142" s="4"/>
      <c r="JIK142" s="4"/>
      <c r="JIL142" s="4"/>
      <c r="JIM142" s="4"/>
      <c r="JIN142" s="4"/>
      <c r="JIO142" s="4"/>
      <c r="JIP142" s="4"/>
      <c r="JIQ142" s="4"/>
      <c r="JIR142" s="4"/>
      <c r="JIS142" s="4"/>
      <c r="JIT142" s="4"/>
      <c r="JIU142" s="4"/>
      <c r="JIV142" s="4"/>
      <c r="JIW142" s="4"/>
      <c r="JIX142" s="4"/>
      <c r="JIY142" s="4"/>
      <c r="JIZ142" s="4"/>
      <c r="JJA142" s="4"/>
      <c r="JJB142" s="4"/>
      <c r="JJC142" s="4"/>
      <c r="JJD142" s="4"/>
      <c r="JJE142" s="4"/>
      <c r="JJF142" s="4"/>
      <c r="JJG142" s="4"/>
      <c r="JJH142" s="4"/>
      <c r="JJI142" s="4"/>
      <c r="JJJ142" s="4"/>
      <c r="JJK142" s="4"/>
      <c r="JJL142" s="4"/>
      <c r="JJM142" s="4"/>
      <c r="JJN142" s="4"/>
      <c r="JJO142" s="4"/>
      <c r="JJP142" s="4"/>
      <c r="JJQ142" s="4"/>
      <c r="JJR142" s="4"/>
      <c r="JJS142" s="4"/>
      <c r="JJT142" s="4"/>
      <c r="JJU142" s="4"/>
      <c r="JJV142" s="4"/>
      <c r="JJW142" s="4"/>
      <c r="JJX142" s="4"/>
      <c r="JJY142" s="4"/>
      <c r="JJZ142" s="4"/>
      <c r="JKA142" s="4"/>
      <c r="JKB142" s="4"/>
      <c r="JKC142" s="4"/>
      <c r="JKD142" s="4"/>
      <c r="JKE142" s="4"/>
      <c r="JKF142" s="4"/>
      <c r="JKG142" s="4"/>
      <c r="JKH142" s="4"/>
      <c r="JKI142" s="4"/>
      <c r="JKJ142" s="4"/>
      <c r="JKK142" s="4"/>
      <c r="JKL142" s="4"/>
      <c r="JKM142" s="4"/>
      <c r="JKN142" s="4"/>
      <c r="JKO142" s="4"/>
      <c r="JKP142" s="4"/>
      <c r="JKQ142" s="4"/>
      <c r="JKR142" s="4"/>
      <c r="JKS142" s="4"/>
      <c r="JKT142" s="4"/>
      <c r="JKU142" s="4"/>
      <c r="JKV142" s="4"/>
      <c r="JKW142" s="4"/>
      <c r="JKX142" s="4"/>
      <c r="JKY142" s="4"/>
      <c r="JKZ142" s="4"/>
      <c r="JLA142" s="4"/>
      <c r="JLB142" s="4"/>
      <c r="JLC142" s="4"/>
      <c r="JLD142" s="4"/>
      <c r="JLE142" s="4"/>
      <c r="JLF142" s="4"/>
      <c r="JLG142" s="4"/>
      <c r="JLH142" s="4"/>
      <c r="JLI142" s="4"/>
      <c r="JLJ142" s="4"/>
      <c r="JLK142" s="4"/>
      <c r="JLL142" s="4"/>
      <c r="JLM142" s="4"/>
      <c r="JLN142" s="4"/>
      <c r="JLO142" s="4"/>
      <c r="JLP142" s="4"/>
      <c r="JLQ142" s="4"/>
      <c r="JLR142" s="4"/>
      <c r="JLS142" s="4"/>
      <c r="JLT142" s="4"/>
      <c r="JLU142" s="4"/>
      <c r="JLV142" s="4"/>
      <c r="JLW142" s="4"/>
      <c r="JLX142" s="4"/>
      <c r="JLY142" s="4"/>
      <c r="JLZ142" s="4"/>
      <c r="JMA142" s="4"/>
      <c r="JMB142" s="4"/>
      <c r="JMC142" s="4"/>
      <c r="JMD142" s="4"/>
      <c r="JME142" s="4"/>
      <c r="JMF142" s="4"/>
      <c r="JMG142" s="4"/>
      <c r="JMH142" s="4"/>
      <c r="JMI142" s="4"/>
      <c r="JMJ142" s="4"/>
      <c r="JMK142" s="4"/>
      <c r="JML142" s="4"/>
      <c r="JMM142" s="4"/>
      <c r="JMN142" s="4"/>
      <c r="JMO142" s="4"/>
      <c r="JMP142" s="4"/>
      <c r="JMQ142" s="4"/>
      <c r="JMR142" s="4"/>
      <c r="JMS142" s="4"/>
      <c r="JMT142" s="4"/>
      <c r="JMU142" s="4"/>
      <c r="JMV142" s="4"/>
      <c r="JMW142" s="4"/>
      <c r="JMX142" s="4"/>
      <c r="JMY142" s="4"/>
      <c r="JMZ142" s="4"/>
      <c r="JNA142" s="4"/>
      <c r="JNB142" s="4"/>
      <c r="JNC142" s="4"/>
      <c r="JND142" s="4"/>
      <c r="JNE142" s="4"/>
      <c r="JNF142" s="4"/>
      <c r="JNG142" s="4"/>
      <c r="JNH142" s="4"/>
      <c r="JNI142" s="4"/>
      <c r="JNJ142" s="4"/>
      <c r="JNK142" s="4"/>
      <c r="JNL142" s="4"/>
      <c r="JNM142" s="4"/>
      <c r="JNN142" s="4"/>
      <c r="JNO142" s="4"/>
      <c r="JNP142" s="4"/>
      <c r="JNQ142" s="4"/>
      <c r="JNR142" s="4"/>
      <c r="JNS142" s="4"/>
      <c r="JNT142" s="4"/>
      <c r="JNU142" s="4"/>
      <c r="JNV142" s="4"/>
      <c r="JNW142" s="4"/>
      <c r="JNX142" s="4"/>
      <c r="JNY142" s="4"/>
      <c r="JNZ142" s="4"/>
      <c r="JOA142" s="4"/>
      <c r="JOB142" s="4"/>
      <c r="JOC142" s="4"/>
      <c r="JOD142" s="4"/>
      <c r="JOE142" s="4"/>
      <c r="JOF142" s="4"/>
      <c r="JOG142" s="4"/>
      <c r="JOH142" s="4"/>
      <c r="JOI142" s="4"/>
      <c r="JOJ142" s="4"/>
      <c r="JOK142" s="4"/>
      <c r="JOL142" s="4"/>
      <c r="JOM142" s="4"/>
      <c r="JON142" s="4"/>
      <c r="JOO142" s="4"/>
      <c r="JOP142" s="4"/>
      <c r="JOQ142" s="4"/>
      <c r="JOR142" s="4"/>
      <c r="JOS142" s="4"/>
      <c r="JOT142" s="4"/>
      <c r="JOU142" s="4"/>
      <c r="JOV142" s="4"/>
      <c r="JOW142" s="4"/>
      <c r="JOX142" s="4"/>
      <c r="JOY142" s="4"/>
      <c r="JOZ142" s="4"/>
      <c r="JPA142" s="4"/>
      <c r="JPB142" s="4"/>
      <c r="JPC142" s="4"/>
      <c r="JPD142" s="4"/>
      <c r="JPE142" s="4"/>
      <c r="JPF142" s="4"/>
      <c r="JPG142" s="4"/>
      <c r="JPH142" s="4"/>
      <c r="JPI142" s="4"/>
      <c r="JPJ142" s="4"/>
      <c r="JPK142" s="4"/>
      <c r="JPL142" s="4"/>
      <c r="JPM142" s="4"/>
      <c r="JPN142" s="4"/>
      <c r="JPO142" s="4"/>
      <c r="JPP142" s="4"/>
      <c r="JPQ142" s="4"/>
      <c r="JPR142" s="4"/>
      <c r="JPS142" s="4"/>
      <c r="JPT142" s="4"/>
      <c r="JPU142" s="4"/>
      <c r="JPV142" s="4"/>
      <c r="JPW142" s="4"/>
      <c r="JPX142" s="4"/>
      <c r="JPY142" s="4"/>
      <c r="JPZ142" s="4"/>
      <c r="JQA142" s="4"/>
      <c r="JQB142" s="4"/>
      <c r="JQC142" s="4"/>
      <c r="JQD142" s="4"/>
      <c r="JQE142" s="4"/>
      <c r="JQF142" s="4"/>
      <c r="JQG142" s="4"/>
      <c r="JQH142" s="4"/>
      <c r="JQI142" s="4"/>
      <c r="JQJ142" s="4"/>
      <c r="JQK142" s="4"/>
      <c r="JQL142" s="4"/>
      <c r="JQM142" s="4"/>
      <c r="JQN142" s="4"/>
      <c r="JQO142" s="4"/>
      <c r="JQP142" s="4"/>
      <c r="JQQ142" s="4"/>
      <c r="JQR142" s="4"/>
      <c r="JQS142" s="4"/>
      <c r="JQT142" s="4"/>
      <c r="JQU142" s="4"/>
      <c r="JQV142" s="4"/>
      <c r="JQW142" s="4"/>
      <c r="JQX142" s="4"/>
      <c r="JQY142" s="4"/>
      <c r="JQZ142" s="4"/>
      <c r="JRA142" s="4"/>
      <c r="JRB142" s="4"/>
      <c r="JRC142" s="4"/>
      <c r="JRD142" s="4"/>
      <c r="JRE142" s="4"/>
      <c r="JRF142" s="4"/>
      <c r="JRG142" s="4"/>
      <c r="JRH142" s="4"/>
      <c r="JRI142" s="4"/>
      <c r="JRJ142" s="4"/>
      <c r="JRK142" s="4"/>
      <c r="JRL142" s="4"/>
      <c r="JRM142" s="4"/>
      <c r="JRN142" s="4"/>
      <c r="JRO142" s="4"/>
      <c r="JRP142" s="4"/>
      <c r="JRQ142" s="4"/>
      <c r="JRR142" s="4"/>
      <c r="JRS142" s="4"/>
      <c r="JRT142" s="4"/>
      <c r="JRU142" s="4"/>
      <c r="JRV142" s="4"/>
      <c r="JRW142" s="4"/>
      <c r="JRX142" s="4"/>
      <c r="JRY142" s="4"/>
      <c r="JRZ142" s="4"/>
      <c r="JSA142" s="4"/>
      <c r="JSB142" s="4"/>
      <c r="JSC142" s="4"/>
      <c r="JSD142" s="4"/>
      <c r="JSE142" s="4"/>
      <c r="JSF142" s="4"/>
      <c r="JSG142" s="4"/>
      <c r="JSH142" s="4"/>
      <c r="JSI142" s="4"/>
      <c r="JSJ142" s="4"/>
      <c r="JSK142" s="4"/>
      <c r="JSL142" s="4"/>
      <c r="JSM142" s="4"/>
      <c r="JSN142" s="4"/>
      <c r="JSO142" s="4"/>
      <c r="JSP142" s="4"/>
      <c r="JSQ142" s="4"/>
      <c r="JSR142" s="4"/>
      <c r="JSS142" s="4"/>
      <c r="JST142" s="4"/>
      <c r="JSU142" s="4"/>
      <c r="JSV142" s="4"/>
      <c r="JSW142" s="4"/>
      <c r="JSX142" s="4"/>
      <c r="JSY142" s="4"/>
      <c r="JSZ142" s="4"/>
      <c r="JTA142" s="4"/>
      <c r="JTB142" s="4"/>
      <c r="JTC142" s="4"/>
      <c r="JTD142" s="4"/>
      <c r="JTE142" s="4"/>
      <c r="JTF142" s="4"/>
      <c r="JTG142" s="4"/>
      <c r="JTH142" s="4"/>
      <c r="JTI142" s="4"/>
      <c r="JTJ142" s="4"/>
      <c r="JTK142" s="4"/>
      <c r="JTL142" s="4"/>
      <c r="JTM142" s="4"/>
      <c r="JTN142" s="4"/>
      <c r="JTO142" s="4"/>
      <c r="JTP142" s="4"/>
      <c r="JTQ142" s="4"/>
      <c r="JTR142" s="4"/>
      <c r="JTS142" s="4"/>
      <c r="JTT142" s="4"/>
      <c r="JTU142" s="4"/>
      <c r="JTV142" s="4"/>
      <c r="JTW142" s="4"/>
      <c r="JTX142" s="4"/>
      <c r="JTY142" s="4"/>
      <c r="JTZ142" s="4"/>
      <c r="JUA142" s="4"/>
      <c r="JUB142" s="4"/>
      <c r="JUC142" s="4"/>
      <c r="JUD142" s="4"/>
      <c r="JUE142" s="4"/>
      <c r="JUF142" s="4"/>
      <c r="JUG142" s="4"/>
      <c r="JUH142" s="4"/>
      <c r="JUI142" s="4"/>
      <c r="JUJ142" s="4"/>
      <c r="JUK142" s="4"/>
      <c r="JUL142" s="4"/>
      <c r="JUM142" s="4"/>
      <c r="JUN142" s="4"/>
      <c r="JUO142" s="4"/>
      <c r="JUP142" s="4"/>
      <c r="JUQ142" s="4"/>
      <c r="JUR142" s="4"/>
      <c r="JUS142" s="4"/>
      <c r="JUT142" s="4"/>
      <c r="JUU142" s="4"/>
      <c r="JUV142" s="4"/>
      <c r="JUW142" s="4"/>
      <c r="JUX142" s="4"/>
      <c r="JUY142" s="4"/>
      <c r="JUZ142" s="4"/>
      <c r="JVA142" s="4"/>
      <c r="JVB142" s="4"/>
      <c r="JVC142" s="4"/>
      <c r="JVD142" s="4"/>
      <c r="JVE142" s="4"/>
      <c r="JVF142" s="4"/>
      <c r="JVG142" s="4"/>
      <c r="JVH142" s="4"/>
      <c r="JVI142" s="4"/>
      <c r="JVJ142" s="4"/>
      <c r="JVK142" s="4"/>
      <c r="JVL142" s="4"/>
      <c r="JVM142" s="4"/>
      <c r="JVN142" s="4"/>
      <c r="JVO142" s="4"/>
      <c r="JVP142" s="4"/>
      <c r="JVQ142" s="4"/>
      <c r="JVR142" s="4"/>
      <c r="JVS142" s="4"/>
      <c r="JVT142" s="4"/>
      <c r="JVU142" s="4"/>
      <c r="JVV142" s="4"/>
      <c r="JVW142" s="4"/>
      <c r="JVX142" s="4"/>
      <c r="JVY142" s="4"/>
      <c r="JVZ142" s="4"/>
      <c r="JWA142" s="4"/>
      <c r="JWB142" s="4"/>
      <c r="JWC142" s="4"/>
      <c r="JWD142" s="4"/>
      <c r="JWE142" s="4"/>
      <c r="JWF142" s="4"/>
      <c r="JWG142" s="4"/>
      <c r="JWH142" s="4"/>
      <c r="JWI142" s="4"/>
      <c r="JWJ142" s="4"/>
      <c r="JWK142" s="4"/>
      <c r="JWL142" s="4"/>
      <c r="JWM142" s="4"/>
      <c r="JWN142" s="4"/>
      <c r="JWO142" s="4"/>
      <c r="JWP142" s="4"/>
      <c r="JWQ142" s="4"/>
      <c r="JWR142" s="4"/>
      <c r="JWS142" s="4"/>
      <c r="JWT142" s="4"/>
      <c r="JWU142" s="4"/>
      <c r="JWV142" s="4"/>
      <c r="JWW142" s="4"/>
      <c r="JWX142" s="4"/>
      <c r="JWY142" s="4"/>
      <c r="JWZ142" s="4"/>
      <c r="JXA142" s="4"/>
      <c r="JXB142" s="4"/>
      <c r="JXC142" s="4"/>
      <c r="JXD142" s="4"/>
      <c r="JXE142" s="4"/>
      <c r="JXF142" s="4"/>
      <c r="JXG142" s="4"/>
      <c r="JXH142" s="4"/>
      <c r="JXI142" s="4"/>
      <c r="JXJ142" s="4"/>
      <c r="JXK142" s="4"/>
      <c r="JXL142" s="4"/>
      <c r="JXM142" s="4"/>
      <c r="JXN142" s="4"/>
      <c r="JXO142" s="4"/>
      <c r="JXP142" s="4"/>
      <c r="JXQ142" s="4"/>
      <c r="JXR142" s="4"/>
      <c r="JXS142" s="4"/>
      <c r="JXT142" s="4"/>
      <c r="JXU142" s="4"/>
      <c r="JXV142" s="4"/>
      <c r="JXW142" s="4"/>
      <c r="JXX142" s="4"/>
      <c r="JXY142" s="4"/>
      <c r="JXZ142" s="4"/>
      <c r="JYA142" s="4"/>
      <c r="JYB142" s="4"/>
      <c r="JYC142" s="4"/>
      <c r="JYD142" s="4"/>
      <c r="JYE142" s="4"/>
      <c r="JYF142" s="4"/>
      <c r="JYG142" s="4"/>
      <c r="JYH142" s="4"/>
      <c r="JYI142" s="4"/>
      <c r="JYJ142" s="4"/>
      <c r="JYK142" s="4"/>
      <c r="JYL142" s="4"/>
      <c r="JYM142" s="4"/>
      <c r="JYN142" s="4"/>
      <c r="JYO142" s="4"/>
      <c r="JYP142" s="4"/>
      <c r="JYQ142" s="4"/>
      <c r="JYR142" s="4"/>
      <c r="JYS142" s="4"/>
      <c r="JYT142" s="4"/>
      <c r="JYU142" s="4"/>
      <c r="JYV142" s="4"/>
      <c r="JYW142" s="4"/>
      <c r="JYX142" s="4"/>
      <c r="JYY142" s="4"/>
      <c r="JYZ142" s="4"/>
      <c r="JZA142" s="4"/>
      <c r="JZB142" s="4"/>
      <c r="JZC142" s="4"/>
      <c r="JZD142" s="4"/>
      <c r="JZE142" s="4"/>
      <c r="JZF142" s="4"/>
      <c r="JZG142" s="4"/>
      <c r="JZH142" s="4"/>
      <c r="JZI142" s="4"/>
      <c r="JZJ142" s="4"/>
      <c r="JZK142" s="4"/>
      <c r="JZL142" s="4"/>
      <c r="JZM142" s="4"/>
      <c r="JZN142" s="4"/>
      <c r="JZO142" s="4"/>
      <c r="JZP142" s="4"/>
      <c r="JZQ142" s="4"/>
      <c r="JZR142" s="4"/>
      <c r="JZS142" s="4"/>
      <c r="JZT142" s="4"/>
      <c r="JZU142" s="4"/>
      <c r="JZV142" s="4"/>
      <c r="JZW142" s="4"/>
      <c r="JZX142" s="4"/>
      <c r="JZY142" s="4"/>
      <c r="JZZ142" s="4"/>
      <c r="KAA142" s="4"/>
      <c r="KAB142" s="4"/>
      <c r="KAC142" s="4"/>
      <c r="KAD142" s="4"/>
      <c r="KAE142" s="4"/>
      <c r="KAF142" s="4"/>
      <c r="KAG142" s="4"/>
      <c r="KAH142" s="4"/>
      <c r="KAI142" s="4"/>
      <c r="KAJ142" s="4"/>
      <c r="KAK142" s="4"/>
      <c r="KAL142" s="4"/>
      <c r="KAM142" s="4"/>
      <c r="KAN142" s="4"/>
      <c r="KAO142" s="4"/>
      <c r="KAP142" s="4"/>
      <c r="KAQ142" s="4"/>
      <c r="KAR142" s="4"/>
      <c r="KAS142" s="4"/>
      <c r="KAT142" s="4"/>
      <c r="KAU142" s="4"/>
      <c r="KAV142" s="4"/>
      <c r="KAW142" s="4"/>
      <c r="KAX142" s="4"/>
      <c r="KAY142" s="4"/>
      <c r="KAZ142" s="4"/>
      <c r="KBA142" s="4"/>
      <c r="KBB142" s="4"/>
      <c r="KBC142" s="4"/>
      <c r="KBD142" s="4"/>
      <c r="KBE142" s="4"/>
      <c r="KBF142" s="4"/>
      <c r="KBG142" s="4"/>
      <c r="KBH142" s="4"/>
      <c r="KBI142" s="4"/>
      <c r="KBJ142" s="4"/>
      <c r="KBK142" s="4"/>
      <c r="KBL142" s="4"/>
      <c r="KBM142" s="4"/>
      <c r="KBN142" s="4"/>
      <c r="KBO142" s="4"/>
      <c r="KBP142" s="4"/>
      <c r="KBQ142" s="4"/>
      <c r="KBR142" s="4"/>
      <c r="KBS142" s="4"/>
      <c r="KBT142" s="4"/>
      <c r="KBU142" s="4"/>
      <c r="KBV142" s="4"/>
      <c r="KBW142" s="4"/>
      <c r="KBX142" s="4"/>
      <c r="KBY142" s="4"/>
      <c r="KBZ142" s="4"/>
      <c r="KCA142" s="4"/>
      <c r="KCB142" s="4"/>
      <c r="KCC142" s="4"/>
      <c r="KCD142" s="4"/>
      <c r="KCE142" s="4"/>
      <c r="KCF142" s="4"/>
      <c r="KCG142" s="4"/>
      <c r="KCH142" s="4"/>
      <c r="KCI142" s="4"/>
      <c r="KCJ142" s="4"/>
      <c r="KCK142" s="4"/>
      <c r="KCL142" s="4"/>
      <c r="KCM142" s="4"/>
      <c r="KCN142" s="4"/>
      <c r="KCO142" s="4"/>
      <c r="KCP142" s="4"/>
      <c r="KCQ142" s="4"/>
      <c r="KCR142" s="4"/>
      <c r="KCS142" s="4"/>
      <c r="KCT142" s="4"/>
      <c r="KCU142" s="4"/>
      <c r="KCV142" s="4"/>
      <c r="KCW142" s="4"/>
      <c r="KCX142" s="4"/>
      <c r="KCY142" s="4"/>
      <c r="KCZ142" s="4"/>
      <c r="KDA142" s="4"/>
      <c r="KDB142" s="4"/>
      <c r="KDC142" s="4"/>
      <c r="KDD142" s="4"/>
      <c r="KDE142" s="4"/>
      <c r="KDF142" s="4"/>
      <c r="KDG142" s="4"/>
      <c r="KDH142" s="4"/>
      <c r="KDI142" s="4"/>
      <c r="KDJ142" s="4"/>
      <c r="KDK142" s="4"/>
      <c r="KDL142" s="4"/>
      <c r="KDM142" s="4"/>
      <c r="KDN142" s="4"/>
      <c r="KDO142" s="4"/>
      <c r="KDP142" s="4"/>
      <c r="KDQ142" s="4"/>
      <c r="KDR142" s="4"/>
      <c r="KDS142" s="4"/>
      <c r="KDT142" s="4"/>
      <c r="KDU142" s="4"/>
      <c r="KDV142" s="4"/>
      <c r="KDW142" s="4"/>
      <c r="KDX142" s="4"/>
      <c r="KDY142" s="4"/>
      <c r="KDZ142" s="4"/>
      <c r="KEA142" s="4"/>
      <c r="KEB142" s="4"/>
      <c r="KEC142" s="4"/>
      <c r="KED142" s="4"/>
      <c r="KEE142" s="4"/>
      <c r="KEF142" s="4"/>
      <c r="KEG142" s="4"/>
      <c r="KEH142" s="4"/>
      <c r="KEI142" s="4"/>
      <c r="KEJ142" s="4"/>
      <c r="KEK142" s="4"/>
      <c r="KEL142" s="4"/>
      <c r="KEM142" s="4"/>
      <c r="KEN142" s="4"/>
      <c r="KEO142" s="4"/>
      <c r="KEP142" s="4"/>
      <c r="KEQ142" s="4"/>
      <c r="KER142" s="4"/>
      <c r="KES142" s="4"/>
      <c r="KET142" s="4"/>
      <c r="KEU142" s="4"/>
      <c r="KEV142" s="4"/>
      <c r="KEW142" s="4"/>
      <c r="KEX142" s="4"/>
      <c r="KEY142" s="4"/>
      <c r="KEZ142" s="4"/>
      <c r="KFA142" s="4"/>
      <c r="KFB142" s="4"/>
      <c r="KFC142" s="4"/>
      <c r="KFD142" s="4"/>
      <c r="KFE142" s="4"/>
      <c r="KFF142" s="4"/>
      <c r="KFG142" s="4"/>
      <c r="KFH142" s="4"/>
      <c r="KFI142" s="4"/>
      <c r="KFJ142" s="4"/>
      <c r="KFK142" s="4"/>
      <c r="KFL142" s="4"/>
      <c r="KFM142" s="4"/>
      <c r="KFN142" s="4"/>
      <c r="KFO142" s="4"/>
      <c r="KFP142" s="4"/>
      <c r="KFQ142" s="4"/>
      <c r="KFR142" s="4"/>
      <c r="KFS142" s="4"/>
      <c r="KFT142" s="4"/>
      <c r="KFU142" s="4"/>
      <c r="KFV142" s="4"/>
      <c r="KFW142" s="4"/>
      <c r="KFX142" s="4"/>
      <c r="KFY142" s="4"/>
      <c r="KFZ142" s="4"/>
      <c r="KGA142" s="4"/>
      <c r="KGB142" s="4"/>
      <c r="KGC142" s="4"/>
      <c r="KGD142" s="4"/>
      <c r="KGE142" s="4"/>
      <c r="KGF142" s="4"/>
      <c r="KGG142" s="4"/>
      <c r="KGH142" s="4"/>
      <c r="KGI142" s="4"/>
      <c r="KGJ142" s="4"/>
      <c r="KGK142" s="4"/>
      <c r="KGL142" s="4"/>
      <c r="KGM142" s="4"/>
      <c r="KGN142" s="4"/>
      <c r="KGO142" s="4"/>
      <c r="KGP142" s="4"/>
      <c r="KGQ142" s="4"/>
      <c r="KGR142" s="4"/>
      <c r="KGS142" s="4"/>
      <c r="KGT142" s="4"/>
      <c r="KGU142" s="4"/>
      <c r="KGV142" s="4"/>
      <c r="KGW142" s="4"/>
      <c r="KGX142" s="4"/>
      <c r="KGY142" s="4"/>
      <c r="KGZ142" s="4"/>
      <c r="KHA142" s="4"/>
      <c r="KHB142" s="4"/>
      <c r="KHC142" s="4"/>
      <c r="KHD142" s="4"/>
      <c r="KHE142" s="4"/>
      <c r="KHF142" s="4"/>
      <c r="KHG142" s="4"/>
      <c r="KHH142" s="4"/>
      <c r="KHI142" s="4"/>
      <c r="KHJ142" s="4"/>
      <c r="KHK142" s="4"/>
      <c r="KHL142" s="4"/>
      <c r="KHM142" s="4"/>
      <c r="KHN142" s="4"/>
      <c r="KHO142" s="4"/>
      <c r="KHP142" s="4"/>
      <c r="KHQ142" s="4"/>
      <c r="KHR142" s="4"/>
      <c r="KHS142" s="4"/>
      <c r="KHT142" s="4"/>
      <c r="KHU142" s="4"/>
      <c r="KHV142" s="4"/>
      <c r="KHW142" s="4"/>
      <c r="KHX142" s="4"/>
      <c r="KHY142" s="4"/>
      <c r="KHZ142" s="4"/>
      <c r="KIA142" s="4"/>
      <c r="KIB142" s="4"/>
      <c r="KIC142" s="4"/>
      <c r="KID142" s="4"/>
      <c r="KIE142" s="4"/>
      <c r="KIF142" s="4"/>
      <c r="KIG142" s="4"/>
      <c r="KIH142" s="4"/>
      <c r="KII142" s="4"/>
      <c r="KIJ142" s="4"/>
      <c r="KIK142" s="4"/>
      <c r="KIL142" s="4"/>
      <c r="KIM142" s="4"/>
      <c r="KIN142" s="4"/>
      <c r="KIO142" s="4"/>
      <c r="KIP142" s="4"/>
      <c r="KIQ142" s="4"/>
      <c r="KIR142" s="4"/>
      <c r="KIS142" s="4"/>
      <c r="KIT142" s="4"/>
      <c r="KIU142" s="4"/>
      <c r="KIV142" s="4"/>
      <c r="KIW142" s="4"/>
      <c r="KIX142" s="4"/>
      <c r="KIY142" s="4"/>
      <c r="KIZ142" s="4"/>
      <c r="KJA142" s="4"/>
      <c r="KJB142" s="4"/>
      <c r="KJC142" s="4"/>
      <c r="KJD142" s="4"/>
      <c r="KJE142" s="4"/>
      <c r="KJF142" s="4"/>
      <c r="KJG142" s="4"/>
      <c r="KJH142" s="4"/>
      <c r="KJI142" s="4"/>
      <c r="KJJ142" s="4"/>
      <c r="KJK142" s="4"/>
      <c r="KJL142" s="4"/>
      <c r="KJM142" s="4"/>
      <c r="KJN142" s="4"/>
      <c r="KJO142" s="4"/>
      <c r="KJP142" s="4"/>
      <c r="KJQ142" s="4"/>
      <c r="KJR142" s="4"/>
      <c r="KJS142" s="4"/>
      <c r="KJT142" s="4"/>
      <c r="KJU142" s="4"/>
      <c r="KJV142" s="4"/>
      <c r="KJW142" s="4"/>
      <c r="KJX142" s="4"/>
      <c r="KJY142" s="4"/>
      <c r="KJZ142" s="4"/>
      <c r="KKA142" s="4"/>
      <c r="KKB142" s="4"/>
      <c r="KKC142" s="4"/>
      <c r="KKD142" s="4"/>
      <c r="KKE142" s="4"/>
      <c r="KKF142" s="4"/>
      <c r="KKG142" s="4"/>
      <c r="KKH142" s="4"/>
      <c r="KKI142" s="4"/>
      <c r="KKJ142" s="4"/>
      <c r="KKK142" s="4"/>
      <c r="KKL142" s="4"/>
      <c r="KKM142" s="4"/>
      <c r="KKN142" s="4"/>
      <c r="KKO142" s="4"/>
      <c r="KKP142" s="4"/>
      <c r="KKQ142" s="4"/>
      <c r="KKR142" s="4"/>
      <c r="KKS142" s="4"/>
      <c r="KKT142" s="4"/>
      <c r="KKU142" s="4"/>
      <c r="KKV142" s="4"/>
      <c r="KKW142" s="4"/>
      <c r="KKX142" s="4"/>
      <c r="KKY142" s="4"/>
      <c r="KKZ142" s="4"/>
      <c r="KLA142" s="4"/>
      <c r="KLB142" s="4"/>
      <c r="KLC142" s="4"/>
      <c r="KLD142" s="4"/>
      <c r="KLE142" s="4"/>
      <c r="KLF142" s="4"/>
      <c r="KLG142" s="4"/>
      <c r="KLH142" s="4"/>
      <c r="KLI142" s="4"/>
      <c r="KLJ142" s="4"/>
      <c r="KLK142" s="4"/>
      <c r="KLL142" s="4"/>
      <c r="KLM142" s="4"/>
      <c r="KLN142" s="4"/>
      <c r="KLO142" s="4"/>
      <c r="KLP142" s="4"/>
      <c r="KLQ142" s="4"/>
      <c r="KLR142" s="4"/>
      <c r="KLS142" s="4"/>
      <c r="KLT142" s="4"/>
      <c r="KLU142" s="4"/>
      <c r="KLV142" s="4"/>
      <c r="KLW142" s="4"/>
      <c r="KLX142" s="4"/>
      <c r="KLY142" s="4"/>
      <c r="KLZ142" s="4"/>
      <c r="KMA142" s="4"/>
      <c r="KMB142" s="4"/>
      <c r="KMC142" s="4"/>
      <c r="KMD142" s="4"/>
      <c r="KME142" s="4"/>
      <c r="KMF142" s="4"/>
      <c r="KMG142" s="4"/>
      <c r="KMH142" s="4"/>
      <c r="KMI142" s="4"/>
      <c r="KMJ142" s="4"/>
      <c r="KMK142" s="4"/>
      <c r="KML142" s="4"/>
      <c r="KMM142" s="4"/>
      <c r="KMN142" s="4"/>
      <c r="KMO142" s="4"/>
      <c r="KMP142" s="4"/>
      <c r="KMQ142" s="4"/>
      <c r="KMR142" s="4"/>
      <c r="KMS142" s="4"/>
      <c r="KMT142" s="4"/>
      <c r="KMU142" s="4"/>
      <c r="KMV142" s="4"/>
      <c r="KMW142" s="4"/>
      <c r="KMX142" s="4"/>
      <c r="KMY142" s="4"/>
      <c r="KMZ142" s="4"/>
      <c r="KNA142" s="4"/>
      <c r="KNB142" s="4"/>
      <c r="KNC142" s="4"/>
      <c r="KND142" s="4"/>
      <c r="KNE142" s="4"/>
      <c r="KNF142" s="4"/>
      <c r="KNG142" s="4"/>
      <c r="KNH142" s="4"/>
      <c r="KNI142" s="4"/>
      <c r="KNJ142" s="4"/>
      <c r="KNK142" s="4"/>
      <c r="KNL142" s="4"/>
      <c r="KNM142" s="4"/>
      <c r="KNN142" s="4"/>
      <c r="KNO142" s="4"/>
      <c r="KNP142" s="4"/>
      <c r="KNQ142" s="4"/>
      <c r="KNR142" s="4"/>
      <c r="KNS142" s="4"/>
      <c r="KNT142" s="4"/>
      <c r="KNU142" s="4"/>
      <c r="KNV142" s="4"/>
      <c r="KNW142" s="4"/>
      <c r="KNX142" s="4"/>
      <c r="KNY142" s="4"/>
      <c r="KNZ142" s="4"/>
      <c r="KOA142" s="4"/>
      <c r="KOB142" s="4"/>
      <c r="KOC142" s="4"/>
      <c r="KOD142" s="4"/>
      <c r="KOE142" s="4"/>
      <c r="KOF142" s="4"/>
      <c r="KOG142" s="4"/>
      <c r="KOH142" s="4"/>
      <c r="KOI142" s="4"/>
      <c r="KOJ142" s="4"/>
      <c r="KOK142" s="4"/>
      <c r="KOL142" s="4"/>
      <c r="KOM142" s="4"/>
      <c r="KON142" s="4"/>
      <c r="KOO142" s="4"/>
      <c r="KOP142" s="4"/>
      <c r="KOQ142" s="4"/>
      <c r="KOR142" s="4"/>
      <c r="KOS142" s="4"/>
      <c r="KOT142" s="4"/>
      <c r="KOU142" s="4"/>
      <c r="KOV142" s="4"/>
      <c r="KOW142" s="4"/>
      <c r="KOX142" s="4"/>
      <c r="KOY142" s="4"/>
      <c r="KOZ142" s="4"/>
      <c r="KPA142" s="4"/>
      <c r="KPB142" s="4"/>
      <c r="KPC142" s="4"/>
      <c r="KPD142" s="4"/>
      <c r="KPE142" s="4"/>
      <c r="KPF142" s="4"/>
      <c r="KPG142" s="4"/>
      <c r="KPH142" s="4"/>
      <c r="KPI142" s="4"/>
      <c r="KPJ142" s="4"/>
      <c r="KPK142" s="4"/>
      <c r="KPL142" s="4"/>
      <c r="KPM142" s="4"/>
      <c r="KPN142" s="4"/>
      <c r="KPO142" s="4"/>
      <c r="KPP142" s="4"/>
      <c r="KPQ142" s="4"/>
      <c r="KPR142" s="4"/>
      <c r="KPS142" s="4"/>
      <c r="KPT142" s="4"/>
      <c r="KPU142" s="4"/>
      <c r="KPV142" s="4"/>
      <c r="KPW142" s="4"/>
      <c r="KPX142" s="4"/>
      <c r="KPY142" s="4"/>
      <c r="KPZ142" s="4"/>
      <c r="KQA142" s="4"/>
      <c r="KQB142" s="4"/>
      <c r="KQC142" s="4"/>
      <c r="KQD142" s="4"/>
      <c r="KQE142" s="4"/>
      <c r="KQF142" s="4"/>
      <c r="KQG142" s="4"/>
      <c r="KQH142" s="4"/>
      <c r="KQI142" s="4"/>
      <c r="KQJ142" s="4"/>
      <c r="KQK142" s="4"/>
      <c r="KQL142" s="4"/>
      <c r="KQM142" s="4"/>
      <c r="KQN142" s="4"/>
      <c r="KQO142" s="4"/>
      <c r="KQP142" s="4"/>
      <c r="KQQ142" s="4"/>
      <c r="KQR142" s="4"/>
      <c r="KQS142" s="4"/>
      <c r="KQT142" s="4"/>
      <c r="KQU142" s="4"/>
      <c r="KQV142" s="4"/>
      <c r="KQW142" s="4"/>
      <c r="KQX142" s="4"/>
      <c r="KQY142" s="4"/>
      <c r="KQZ142" s="4"/>
      <c r="KRA142" s="4"/>
      <c r="KRB142" s="4"/>
      <c r="KRC142" s="4"/>
      <c r="KRD142" s="4"/>
      <c r="KRE142" s="4"/>
      <c r="KRF142" s="4"/>
      <c r="KRG142" s="4"/>
      <c r="KRH142" s="4"/>
      <c r="KRI142" s="4"/>
      <c r="KRJ142" s="4"/>
      <c r="KRK142" s="4"/>
      <c r="KRL142" s="4"/>
      <c r="KRM142" s="4"/>
      <c r="KRN142" s="4"/>
      <c r="KRO142" s="4"/>
      <c r="KRP142" s="4"/>
      <c r="KRQ142" s="4"/>
      <c r="KRR142" s="4"/>
      <c r="KRS142" s="4"/>
      <c r="KRT142" s="4"/>
      <c r="KRU142" s="4"/>
      <c r="KRV142" s="4"/>
      <c r="KRW142" s="4"/>
      <c r="KRX142" s="4"/>
      <c r="KRY142" s="4"/>
      <c r="KRZ142" s="4"/>
      <c r="KSA142" s="4"/>
      <c r="KSB142" s="4"/>
      <c r="KSC142" s="4"/>
      <c r="KSD142" s="4"/>
      <c r="KSE142" s="4"/>
      <c r="KSF142" s="4"/>
      <c r="KSG142" s="4"/>
      <c r="KSH142" s="4"/>
      <c r="KSI142" s="4"/>
      <c r="KSJ142" s="4"/>
      <c r="KSK142" s="4"/>
      <c r="KSL142" s="4"/>
      <c r="KSM142" s="4"/>
      <c r="KSN142" s="4"/>
      <c r="KSO142" s="4"/>
      <c r="KSP142" s="4"/>
      <c r="KSQ142" s="4"/>
      <c r="KSR142" s="4"/>
      <c r="KSS142" s="4"/>
      <c r="KST142" s="4"/>
      <c r="KSU142" s="4"/>
      <c r="KSV142" s="4"/>
      <c r="KSW142" s="4"/>
      <c r="KSX142" s="4"/>
      <c r="KSY142" s="4"/>
      <c r="KSZ142" s="4"/>
      <c r="KTA142" s="4"/>
      <c r="KTB142" s="4"/>
      <c r="KTC142" s="4"/>
      <c r="KTD142" s="4"/>
      <c r="KTE142" s="4"/>
      <c r="KTF142" s="4"/>
      <c r="KTG142" s="4"/>
      <c r="KTH142" s="4"/>
      <c r="KTI142" s="4"/>
      <c r="KTJ142" s="4"/>
      <c r="KTK142" s="4"/>
      <c r="KTL142" s="4"/>
      <c r="KTM142" s="4"/>
      <c r="KTN142" s="4"/>
      <c r="KTO142" s="4"/>
      <c r="KTP142" s="4"/>
      <c r="KTQ142" s="4"/>
      <c r="KTR142" s="4"/>
      <c r="KTS142" s="4"/>
      <c r="KTT142" s="4"/>
      <c r="KTU142" s="4"/>
      <c r="KTV142" s="4"/>
      <c r="KTW142" s="4"/>
      <c r="KTX142" s="4"/>
      <c r="KTY142" s="4"/>
      <c r="KTZ142" s="4"/>
      <c r="KUA142" s="4"/>
      <c r="KUB142" s="4"/>
      <c r="KUC142" s="4"/>
      <c r="KUD142" s="4"/>
      <c r="KUE142" s="4"/>
      <c r="KUF142" s="4"/>
      <c r="KUG142" s="4"/>
      <c r="KUH142" s="4"/>
      <c r="KUI142" s="4"/>
      <c r="KUJ142" s="4"/>
      <c r="KUK142" s="4"/>
      <c r="KUL142" s="4"/>
      <c r="KUM142" s="4"/>
      <c r="KUN142" s="4"/>
      <c r="KUO142" s="4"/>
      <c r="KUP142" s="4"/>
      <c r="KUQ142" s="4"/>
      <c r="KUR142" s="4"/>
      <c r="KUS142" s="4"/>
      <c r="KUT142" s="4"/>
      <c r="KUU142" s="4"/>
      <c r="KUV142" s="4"/>
      <c r="KUW142" s="4"/>
      <c r="KUX142" s="4"/>
      <c r="KUY142" s="4"/>
      <c r="KUZ142" s="4"/>
      <c r="KVA142" s="4"/>
      <c r="KVB142" s="4"/>
      <c r="KVC142" s="4"/>
      <c r="KVD142" s="4"/>
      <c r="KVE142" s="4"/>
      <c r="KVF142" s="4"/>
      <c r="KVG142" s="4"/>
      <c r="KVH142" s="4"/>
      <c r="KVI142" s="4"/>
      <c r="KVJ142" s="4"/>
      <c r="KVK142" s="4"/>
      <c r="KVL142" s="4"/>
      <c r="KVM142" s="4"/>
      <c r="KVN142" s="4"/>
      <c r="KVO142" s="4"/>
      <c r="KVP142" s="4"/>
      <c r="KVQ142" s="4"/>
      <c r="KVR142" s="4"/>
      <c r="KVS142" s="4"/>
      <c r="KVT142" s="4"/>
      <c r="KVU142" s="4"/>
      <c r="KVV142" s="4"/>
      <c r="KVW142" s="4"/>
      <c r="KVX142" s="4"/>
      <c r="KVY142" s="4"/>
      <c r="KVZ142" s="4"/>
      <c r="KWA142" s="4"/>
      <c r="KWB142" s="4"/>
      <c r="KWC142" s="4"/>
      <c r="KWD142" s="4"/>
      <c r="KWE142" s="4"/>
      <c r="KWF142" s="4"/>
      <c r="KWG142" s="4"/>
      <c r="KWH142" s="4"/>
      <c r="KWI142" s="4"/>
      <c r="KWJ142" s="4"/>
      <c r="KWK142" s="4"/>
      <c r="KWL142" s="4"/>
      <c r="KWM142" s="4"/>
      <c r="KWN142" s="4"/>
      <c r="KWO142" s="4"/>
      <c r="KWP142" s="4"/>
      <c r="KWQ142" s="4"/>
      <c r="KWR142" s="4"/>
      <c r="KWS142" s="4"/>
      <c r="KWT142" s="4"/>
      <c r="KWU142" s="4"/>
      <c r="KWV142" s="4"/>
      <c r="KWW142" s="4"/>
      <c r="KWX142" s="4"/>
      <c r="KWY142" s="4"/>
      <c r="KWZ142" s="4"/>
      <c r="KXA142" s="4"/>
      <c r="KXB142" s="4"/>
      <c r="KXC142" s="4"/>
      <c r="KXD142" s="4"/>
      <c r="KXE142" s="4"/>
      <c r="KXF142" s="4"/>
      <c r="KXG142" s="4"/>
      <c r="KXH142" s="4"/>
      <c r="KXI142" s="4"/>
      <c r="KXJ142" s="4"/>
      <c r="KXK142" s="4"/>
      <c r="KXL142" s="4"/>
      <c r="KXM142" s="4"/>
      <c r="KXN142" s="4"/>
      <c r="KXO142" s="4"/>
      <c r="KXP142" s="4"/>
      <c r="KXQ142" s="4"/>
      <c r="KXR142" s="4"/>
      <c r="KXS142" s="4"/>
      <c r="KXT142" s="4"/>
      <c r="KXU142" s="4"/>
      <c r="KXV142" s="4"/>
      <c r="KXW142" s="4"/>
      <c r="KXX142" s="4"/>
      <c r="KXY142" s="4"/>
      <c r="KXZ142" s="4"/>
      <c r="KYA142" s="4"/>
      <c r="KYB142" s="4"/>
      <c r="KYC142" s="4"/>
      <c r="KYD142" s="4"/>
      <c r="KYE142" s="4"/>
      <c r="KYF142" s="4"/>
      <c r="KYG142" s="4"/>
      <c r="KYH142" s="4"/>
      <c r="KYI142" s="4"/>
      <c r="KYJ142" s="4"/>
      <c r="KYK142" s="4"/>
      <c r="KYL142" s="4"/>
      <c r="KYM142" s="4"/>
      <c r="KYN142" s="4"/>
      <c r="KYO142" s="4"/>
      <c r="KYP142" s="4"/>
      <c r="KYQ142" s="4"/>
      <c r="KYR142" s="4"/>
      <c r="KYS142" s="4"/>
      <c r="KYT142" s="4"/>
      <c r="KYU142" s="4"/>
      <c r="KYV142" s="4"/>
      <c r="KYW142" s="4"/>
      <c r="KYX142" s="4"/>
      <c r="KYY142" s="4"/>
      <c r="KYZ142" s="4"/>
      <c r="KZA142" s="4"/>
      <c r="KZB142" s="4"/>
      <c r="KZC142" s="4"/>
      <c r="KZD142" s="4"/>
      <c r="KZE142" s="4"/>
      <c r="KZF142" s="4"/>
      <c r="KZG142" s="4"/>
      <c r="KZH142" s="4"/>
      <c r="KZI142" s="4"/>
      <c r="KZJ142" s="4"/>
      <c r="KZK142" s="4"/>
      <c r="KZL142" s="4"/>
      <c r="KZM142" s="4"/>
      <c r="KZN142" s="4"/>
      <c r="KZO142" s="4"/>
      <c r="KZP142" s="4"/>
      <c r="KZQ142" s="4"/>
      <c r="KZR142" s="4"/>
      <c r="KZS142" s="4"/>
      <c r="KZT142" s="4"/>
      <c r="KZU142" s="4"/>
      <c r="KZV142" s="4"/>
      <c r="KZW142" s="4"/>
      <c r="KZX142" s="4"/>
      <c r="KZY142" s="4"/>
      <c r="KZZ142" s="4"/>
      <c r="LAA142" s="4"/>
      <c r="LAB142" s="4"/>
      <c r="LAC142" s="4"/>
      <c r="LAD142" s="4"/>
      <c r="LAE142" s="4"/>
      <c r="LAF142" s="4"/>
      <c r="LAG142" s="4"/>
      <c r="LAH142" s="4"/>
      <c r="LAI142" s="4"/>
      <c r="LAJ142" s="4"/>
      <c r="LAK142" s="4"/>
      <c r="LAL142" s="4"/>
      <c r="LAM142" s="4"/>
      <c r="LAN142" s="4"/>
      <c r="LAO142" s="4"/>
      <c r="LAP142" s="4"/>
      <c r="LAQ142" s="4"/>
      <c r="LAR142" s="4"/>
      <c r="LAS142" s="4"/>
      <c r="LAT142" s="4"/>
      <c r="LAU142" s="4"/>
      <c r="LAV142" s="4"/>
      <c r="LAW142" s="4"/>
      <c r="LAX142" s="4"/>
      <c r="LAY142" s="4"/>
      <c r="LAZ142" s="4"/>
      <c r="LBA142" s="4"/>
      <c r="LBB142" s="4"/>
      <c r="LBC142" s="4"/>
      <c r="LBD142" s="4"/>
      <c r="LBE142" s="4"/>
      <c r="LBF142" s="4"/>
      <c r="LBG142" s="4"/>
      <c r="LBH142" s="4"/>
      <c r="LBI142" s="4"/>
      <c r="LBJ142" s="4"/>
      <c r="LBK142" s="4"/>
      <c r="LBL142" s="4"/>
      <c r="LBM142" s="4"/>
      <c r="LBN142" s="4"/>
      <c r="LBO142" s="4"/>
      <c r="LBP142" s="4"/>
      <c r="LBQ142" s="4"/>
      <c r="LBR142" s="4"/>
      <c r="LBS142" s="4"/>
      <c r="LBT142" s="4"/>
      <c r="LBU142" s="4"/>
      <c r="LBV142" s="4"/>
      <c r="LBW142" s="4"/>
      <c r="LBX142" s="4"/>
      <c r="LBY142" s="4"/>
      <c r="LBZ142" s="4"/>
      <c r="LCA142" s="4"/>
      <c r="LCB142" s="4"/>
      <c r="LCC142" s="4"/>
      <c r="LCD142" s="4"/>
      <c r="LCE142" s="4"/>
      <c r="LCF142" s="4"/>
      <c r="LCG142" s="4"/>
      <c r="LCH142" s="4"/>
      <c r="LCI142" s="4"/>
      <c r="LCJ142" s="4"/>
      <c r="LCK142" s="4"/>
      <c r="LCL142" s="4"/>
      <c r="LCM142" s="4"/>
      <c r="LCN142" s="4"/>
      <c r="LCO142" s="4"/>
      <c r="LCP142" s="4"/>
      <c r="LCQ142" s="4"/>
      <c r="LCR142" s="4"/>
      <c r="LCS142" s="4"/>
      <c r="LCT142" s="4"/>
      <c r="LCU142" s="4"/>
      <c r="LCV142" s="4"/>
      <c r="LCW142" s="4"/>
      <c r="LCX142" s="4"/>
      <c r="LCY142" s="4"/>
      <c r="LCZ142" s="4"/>
      <c r="LDA142" s="4"/>
      <c r="LDB142" s="4"/>
      <c r="LDC142" s="4"/>
      <c r="LDD142" s="4"/>
      <c r="LDE142" s="4"/>
      <c r="LDF142" s="4"/>
      <c r="LDG142" s="4"/>
      <c r="LDH142" s="4"/>
      <c r="LDI142" s="4"/>
      <c r="LDJ142" s="4"/>
      <c r="LDK142" s="4"/>
      <c r="LDL142" s="4"/>
      <c r="LDM142" s="4"/>
      <c r="LDN142" s="4"/>
      <c r="LDO142" s="4"/>
      <c r="LDP142" s="4"/>
      <c r="LDQ142" s="4"/>
      <c r="LDR142" s="4"/>
      <c r="LDS142" s="4"/>
      <c r="LDT142" s="4"/>
      <c r="LDU142" s="4"/>
      <c r="LDV142" s="4"/>
      <c r="LDW142" s="4"/>
      <c r="LDX142" s="4"/>
      <c r="LDY142" s="4"/>
      <c r="LDZ142" s="4"/>
      <c r="LEA142" s="4"/>
      <c r="LEB142" s="4"/>
      <c r="LEC142" s="4"/>
      <c r="LED142" s="4"/>
      <c r="LEE142" s="4"/>
      <c r="LEF142" s="4"/>
      <c r="LEG142" s="4"/>
      <c r="LEH142" s="4"/>
      <c r="LEI142" s="4"/>
      <c r="LEJ142" s="4"/>
      <c r="LEK142" s="4"/>
      <c r="LEL142" s="4"/>
      <c r="LEM142" s="4"/>
      <c r="LEN142" s="4"/>
      <c r="LEO142" s="4"/>
      <c r="LEP142" s="4"/>
      <c r="LEQ142" s="4"/>
      <c r="LER142" s="4"/>
      <c r="LES142" s="4"/>
      <c r="LET142" s="4"/>
      <c r="LEU142" s="4"/>
      <c r="LEV142" s="4"/>
      <c r="LEW142" s="4"/>
      <c r="LEX142" s="4"/>
      <c r="LEY142" s="4"/>
      <c r="LEZ142" s="4"/>
      <c r="LFA142" s="4"/>
      <c r="LFB142" s="4"/>
      <c r="LFC142" s="4"/>
      <c r="LFD142" s="4"/>
      <c r="LFE142" s="4"/>
      <c r="LFF142" s="4"/>
      <c r="LFG142" s="4"/>
      <c r="LFH142" s="4"/>
      <c r="LFI142" s="4"/>
      <c r="LFJ142" s="4"/>
      <c r="LFK142" s="4"/>
      <c r="LFL142" s="4"/>
      <c r="LFM142" s="4"/>
      <c r="LFN142" s="4"/>
      <c r="LFO142" s="4"/>
      <c r="LFP142" s="4"/>
      <c r="LFQ142" s="4"/>
      <c r="LFR142" s="4"/>
      <c r="LFS142" s="4"/>
      <c r="LFT142" s="4"/>
      <c r="LFU142" s="4"/>
      <c r="LFV142" s="4"/>
      <c r="LFW142" s="4"/>
      <c r="LFX142" s="4"/>
      <c r="LFY142" s="4"/>
      <c r="LFZ142" s="4"/>
      <c r="LGA142" s="4"/>
      <c r="LGB142" s="4"/>
      <c r="LGC142" s="4"/>
      <c r="LGD142" s="4"/>
      <c r="LGE142" s="4"/>
      <c r="LGF142" s="4"/>
      <c r="LGG142" s="4"/>
      <c r="LGH142" s="4"/>
      <c r="LGI142" s="4"/>
      <c r="LGJ142" s="4"/>
      <c r="LGK142" s="4"/>
      <c r="LGL142" s="4"/>
      <c r="LGM142" s="4"/>
      <c r="LGN142" s="4"/>
      <c r="LGO142" s="4"/>
      <c r="LGP142" s="4"/>
      <c r="LGQ142" s="4"/>
      <c r="LGR142" s="4"/>
      <c r="LGS142" s="4"/>
      <c r="LGT142" s="4"/>
      <c r="LGU142" s="4"/>
      <c r="LGV142" s="4"/>
      <c r="LGW142" s="4"/>
      <c r="LGX142" s="4"/>
      <c r="LGY142" s="4"/>
      <c r="LGZ142" s="4"/>
      <c r="LHA142" s="4"/>
      <c r="LHB142" s="4"/>
      <c r="LHC142" s="4"/>
      <c r="LHD142" s="4"/>
      <c r="LHE142" s="4"/>
      <c r="LHF142" s="4"/>
      <c r="LHG142" s="4"/>
      <c r="LHH142" s="4"/>
      <c r="LHI142" s="4"/>
      <c r="LHJ142" s="4"/>
      <c r="LHK142" s="4"/>
      <c r="LHL142" s="4"/>
      <c r="LHM142" s="4"/>
      <c r="LHN142" s="4"/>
      <c r="LHO142" s="4"/>
      <c r="LHP142" s="4"/>
      <c r="LHQ142" s="4"/>
      <c r="LHR142" s="4"/>
      <c r="LHS142" s="4"/>
      <c r="LHT142" s="4"/>
      <c r="LHU142" s="4"/>
      <c r="LHV142" s="4"/>
      <c r="LHW142" s="4"/>
      <c r="LHX142" s="4"/>
      <c r="LHY142" s="4"/>
      <c r="LHZ142" s="4"/>
      <c r="LIA142" s="4"/>
      <c r="LIB142" s="4"/>
      <c r="LIC142" s="4"/>
      <c r="LID142" s="4"/>
      <c r="LIE142" s="4"/>
      <c r="LIF142" s="4"/>
      <c r="LIG142" s="4"/>
      <c r="LIH142" s="4"/>
      <c r="LII142" s="4"/>
      <c r="LIJ142" s="4"/>
      <c r="LIK142" s="4"/>
      <c r="LIL142" s="4"/>
      <c r="LIM142" s="4"/>
      <c r="LIN142" s="4"/>
      <c r="LIO142" s="4"/>
      <c r="LIP142" s="4"/>
      <c r="LIQ142" s="4"/>
      <c r="LIR142" s="4"/>
      <c r="LIS142" s="4"/>
      <c r="LIT142" s="4"/>
      <c r="LIU142" s="4"/>
      <c r="LIV142" s="4"/>
      <c r="LIW142" s="4"/>
      <c r="LIX142" s="4"/>
      <c r="LIY142" s="4"/>
      <c r="LIZ142" s="4"/>
      <c r="LJA142" s="4"/>
      <c r="LJB142" s="4"/>
      <c r="LJC142" s="4"/>
      <c r="LJD142" s="4"/>
      <c r="LJE142" s="4"/>
      <c r="LJF142" s="4"/>
      <c r="LJG142" s="4"/>
      <c r="LJH142" s="4"/>
      <c r="LJI142" s="4"/>
      <c r="LJJ142" s="4"/>
      <c r="LJK142" s="4"/>
      <c r="LJL142" s="4"/>
      <c r="LJM142" s="4"/>
      <c r="LJN142" s="4"/>
      <c r="LJO142" s="4"/>
      <c r="LJP142" s="4"/>
      <c r="LJQ142" s="4"/>
      <c r="LJR142" s="4"/>
      <c r="LJS142" s="4"/>
      <c r="LJT142" s="4"/>
      <c r="LJU142" s="4"/>
      <c r="LJV142" s="4"/>
      <c r="LJW142" s="4"/>
      <c r="LJX142" s="4"/>
      <c r="LJY142" s="4"/>
      <c r="LJZ142" s="4"/>
      <c r="LKA142" s="4"/>
      <c r="LKB142" s="4"/>
      <c r="LKC142" s="4"/>
      <c r="LKD142" s="4"/>
      <c r="LKE142" s="4"/>
      <c r="LKF142" s="4"/>
      <c r="LKG142" s="4"/>
      <c r="LKH142" s="4"/>
      <c r="LKI142" s="4"/>
      <c r="LKJ142" s="4"/>
      <c r="LKK142" s="4"/>
      <c r="LKL142" s="4"/>
      <c r="LKM142" s="4"/>
      <c r="LKN142" s="4"/>
      <c r="LKO142" s="4"/>
      <c r="LKP142" s="4"/>
      <c r="LKQ142" s="4"/>
      <c r="LKR142" s="4"/>
      <c r="LKS142" s="4"/>
      <c r="LKT142" s="4"/>
      <c r="LKU142" s="4"/>
      <c r="LKV142" s="4"/>
      <c r="LKW142" s="4"/>
      <c r="LKX142" s="4"/>
      <c r="LKY142" s="4"/>
      <c r="LKZ142" s="4"/>
      <c r="LLA142" s="4"/>
      <c r="LLB142" s="4"/>
      <c r="LLC142" s="4"/>
      <c r="LLD142" s="4"/>
      <c r="LLE142" s="4"/>
      <c r="LLF142" s="4"/>
      <c r="LLG142" s="4"/>
      <c r="LLH142" s="4"/>
      <c r="LLI142" s="4"/>
      <c r="LLJ142" s="4"/>
      <c r="LLK142" s="4"/>
      <c r="LLL142" s="4"/>
      <c r="LLM142" s="4"/>
      <c r="LLN142" s="4"/>
      <c r="LLO142" s="4"/>
      <c r="LLP142" s="4"/>
      <c r="LLQ142" s="4"/>
      <c r="LLR142" s="4"/>
      <c r="LLS142" s="4"/>
      <c r="LLT142" s="4"/>
      <c r="LLU142" s="4"/>
      <c r="LLV142" s="4"/>
      <c r="LLW142" s="4"/>
      <c r="LLX142" s="4"/>
      <c r="LLY142" s="4"/>
      <c r="LLZ142" s="4"/>
      <c r="LMA142" s="4"/>
      <c r="LMB142" s="4"/>
      <c r="LMC142" s="4"/>
      <c r="LMD142" s="4"/>
      <c r="LME142" s="4"/>
      <c r="LMF142" s="4"/>
      <c r="LMG142" s="4"/>
      <c r="LMH142" s="4"/>
      <c r="LMI142" s="4"/>
      <c r="LMJ142" s="4"/>
      <c r="LMK142" s="4"/>
      <c r="LML142" s="4"/>
      <c r="LMM142" s="4"/>
      <c r="LMN142" s="4"/>
      <c r="LMO142" s="4"/>
      <c r="LMP142" s="4"/>
      <c r="LMQ142" s="4"/>
      <c r="LMR142" s="4"/>
      <c r="LMS142" s="4"/>
      <c r="LMT142" s="4"/>
      <c r="LMU142" s="4"/>
      <c r="LMV142" s="4"/>
      <c r="LMW142" s="4"/>
      <c r="LMX142" s="4"/>
      <c r="LMY142" s="4"/>
      <c r="LMZ142" s="4"/>
      <c r="LNA142" s="4"/>
      <c r="LNB142" s="4"/>
      <c r="LNC142" s="4"/>
      <c r="LND142" s="4"/>
      <c r="LNE142" s="4"/>
      <c r="LNF142" s="4"/>
      <c r="LNG142" s="4"/>
      <c r="LNH142" s="4"/>
      <c r="LNI142" s="4"/>
      <c r="LNJ142" s="4"/>
      <c r="LNK142" s="4"/>
      <c r="LNL142" s="4"/>
      <c r="LNM142" s="4"/>
      <c r="LNN142" s="4"/>
      <c r="LNO142" s="4"/>
      <c r="LNP142" s="4"/>
      <c r="LNQ142" s="4"/>
      <c r="LNR142" s="4"/>
      <c r="LNS142" s="4"/>
      <c r="LNT142" s="4"/>
      <c r="LNU142" s="4"/>
      <c r="LNV142" s="4"/>
      <c r="LNW142" s="4"/>
      <c r="LNX142" s="4"/>
      <c r="LNY142" s="4"/>
      <c r="LNZ142" s="4"/>
      <c r="LOA142" s="4"/>
      <c r="LOB142" s="4"/>
      <c r="LOC142" s="4"/>
      <c r="LOD142" s="4"/>
      <c r="LOE142" s="4"/>
      <c r="LOF142" s="4"/>
      <c r="LOG142" s="4"/>
      <c r="LOH142" s="4"/>
      <c r="LOI142" s="4"/>
      <c r="LOJ142" s="4"/>
      <c r="LOK142" s="4"/>
      <c r="LOL142" s="4"/>
      <c r="LOM142" s="4"/>
      <c r="LON142" s="4"/>
      <c r="LOO142" s="4"/>
      <c r="LOP142" s="4"/>
      <c r="LOQ142" s="4"/>
      <c r="LOR142" s="4"/>
      <c r="LOS142" s="4"/>
      <c r="LOT142" s="4"/>
      <c r="LOU142" s="4"/>
      <c r="LOV142" s="4"/>
      <c r="LOW142" s="4"/>
      <c r="LOX142" s="4"/>
      <c r="LOY142" s="4"/>
      <c r="LOZ142" s="4"/>
      <c r="LPA142" s="4"/>
      <c r="LPB142" s="4"/>
      <c r="LPC142" s="4"/>
      <c r="LPD142" s="4"/>
      <c r="LPE142" s="4"/>
      <c r="LPF142" s="4"/>
      <c r="LPG142" s="4"/>
      <c r="LPH142" s="4"/>
      <c r="LPI142" s="4"/>
      <c r="LPJ142" s="4"/>
      <c r="LPK142" s="4"/>
      <c r="LPL142" s="4"/>
      <c r="LPM142" s="4"/>
      <c r="LPN142" s="4"/>
      <c r="LPO142" s="4"/>
      <c r="LPP142" s="4"/>
      <c r="LPQ142" s="4"/>
      <c r="LPR142" s="4"/>
      <c r="LPS142" s="4"/>
      <c r="LPT142" s="4"/>
      <c r="LPU142" s="4"/>
      <c r="LPV142" s="4"/>
      <c r="LPW142" s="4"/>
      <c r="LPX142" s="4"/>
      <c r="LPY142" s="4"/>
      <c r="LPZ142" s="4"/>
      <c r="LQA142" s="4"/>
      <c r="LQB142" s="4"/>
      <c r="LQC142" s="4"/>
      <c r="LQD142" s="4"/>
      <c r="LQE142" s="4"/>
      <c r="LQF142" s="4"/>
      <c r="LQG142" s="4"/>
      <c r="LQH142" s="4"/>
      <c r="LQI142" s="4"/>
      <c r="LQJ142" s="4"/>
      <c r="LQK142" s="4"/>
      <c r="LQL142" s="4"/>
      <c r="LQM142" s="4"/>
      <c r="LQN142" s="4"/>
      <c r="LQO142" s="4"/>
      <c r="LQP142" s="4"/>
      <c r="LQQ142" s="4"/>
      <c r="LQR142" s="4"/>
      <c r="LQS142" s="4"/>
      <c r="LQT142" s="4"/>
      <c r="LQU142" s="4"/>
      <c r="LQV142" s="4"/>
      <c r="LQW142" s="4"/>
      <c r="LQX142" s="4"/>
      <c r="LQY142" s="4"/>
      <c r="LQZ142" s="4"/>
      <c r="LRA142" s="4"/>
      <c r="LRB142" s="4"/>
      <c r="LRC142" s="4"/>
      <c r="LRD142" s="4"/>
      <c r="LRE142" s="4"/>
      <c r="LRF142" s="4"/>
      <c r="LRG142" s="4"/>
      <c r="LRH142" s="4"/>
      <c r="LRI142" s="4"/>
      <c r="LRJ142" s="4"/>
      <c r="LRK142" s="4"/>
      <c r="LRL142" s="4"/>
      <c r="LRM142" s="4"/>
      <c r="LRN142" s="4"/>
      <c r="LRO142" s="4"/>
      <c r="LRP142" s="4"/>
      <c r="LRQ142" s="4"/>
      <c r="LRR142" s="4"/>
      <c r="LRS142" s="4"/>
      <c r="LRT142" s="4"/>
      <c r="LRU142" s="4"/>
      <c r="LRV142" s="4"/>
      <c r="LRW142" s="4"/>
      <c r="LRX142" s="4"/>
      <c r="LRY142" s="4"/>
      <c r="LRZ142" s="4"/>
      <c r="LSA142" s="4"/>
      <c r="LSB142" s="4"/>
      <c r="LSC142" s="4"/>
      <c r="LSD142" s="4"/>
      <c r="LSE142" s="4"/>
      <c r="LSF142" s="4"/>
      <c r="LSG142" s="4"/>
      <c r="LSH142" s="4"/>
      <c r="LSI142" s="4"/>
      <c r="LSJ142" s="4"/>
      <c r="LSK142" s="4"/>
      <c r="LSL142" s="4"/>
      <c r="LSM142" s="4"/>
      <c r="LSN142" s="4"/>
      <c r="LSO142" s="4"/>
      <c r="LSP142" s="4"/>
      <c r="LSQ142" s="4"/>
      <c r="LSR142" s="4"/>
      <c r="LSS142" s="4"/>
      <c r="LST142" s="4"/>
      <c r="LSU142" s="4"/>
      <c r="LSV142" s="4"/>
      <c r="LSW142" s="4"/>
      <c r="LSX142" s="4"/>
      <c r="LSY142" s="4"/>
      <c r="LSZ142" s="4"/>
      <c r="LTA142" s="4"/>
      <c r="LTB142" s="4"/>
      <c r="LTC142" s="4"/>
      <c r="LTD142" s="4"/>
      <c r="LTE142" s="4"/>
      <c r="LTF142" s="4"/>
      <c r="LTG142" s="4"/>
      <c r="LTH142" s="4"/>
      <c r="LTI142" s="4"/>
      <c r="LTJ142" s="4"/>
      <c r="LTK142" s="4"/>
      <c r="LTL142" s="4"/>
      <c r="LTM142" s="4"/>
      <c r="LTN142" s="4"/>
      <c r="LTO142" s="4"/>
      <c r="LTP142" s="4"/>
      <c r="LTQ142" s="4"/>
      <c r="LTR142" s="4"/>
      <c r="LTS142" s="4"/>
      <c r="LTT142" s="4"/>
      <c r="LTU142" s="4"/>
      <c r="LTV142" s="4"/>
      <c r="LTW142" s="4"/>
      <c r="LTX142" s="4"/>
      <c r="LTY142" s="4"/>
      <c r="LTZ142" s="4"/>
      <c r="LUA142" s="4"/>
      <c r="LUB142" s="4"/>
      <c r="LUC142" s="4"/>
      <c r="LUD142" s="4"/>
      <c r="LUE142" s="4"/>
      <c r="LUF142" s="4"/>
      <c r="LUG142" s="4"/>
      <c r="LUH142" s="4"/>
      <c r="LUI142" s="4"/>
      <c r="LUJ142" s="4"/>
      <c r="LUK142" s="4"/>
      <c r="LUL142" s="4"/>
      <c r="LUM142" s="4"/>
      <c r="LUN142" s="4"/>
      <c r="LUO142" s="4"/>
      <c r="LUP142" s="4"/>
      <c r="LUQ142" s="4"/>
      <c r="LUR142" s="4"/>
      <c r="LUS142" s="4"/>
      <c r="LUT142" s="4"/>
      <c r="LUU142" s="4"/>
      <c r="LUV142" s="4"/>
      <c r="LUW142" s="4"/>
      <c r="LUX142" s="4"/>
      <c r="LUY142" s="4"/>
      <c r="LUZ142" s="4"/>
      <c r="LVA142" s="4"/>
      <c r="LVB142" s="4"/>
      <c r="LVC142" s="4"/>
      <c r="LVD142" s="4"/>
      <c r="LVE142" s="4"/>
      <c r="LVF142" s="4"/>
      <c r="LVG142" s="4"/>
      <c r="LVH142" s="4"/>
      <c r="LVI142" s="4"/>
      <c r="LVJ142" s="4"/>
      <c r="LVK142" s="4"/>
      <c r="LVL142" s="4"/>
      <c r="LVM142" s="4"/>
      <c r="LVN142" s="4"/>
      <c r="LVO142" s="4"/>
      <c r="LVP142" s="4"/>
      <c r="LVQ142" s="4"/>
      <c r="LVR142" s="4"/>
      <c r="LVS142" s="4"/>
      <c r="LVT142" s="4"/>
      <c r="LVU142" s="4"/>
      <c r="LVV142" s="4"/>
      <c r="LVW142" s="4"/>
      <c r="LVX142" s="4"/>
      <c r="LVY142" s="4"/>
      <c r="LVZ142" s="4"/>
      <c r="LWA142" s="4"/>
      <c r="LWB142" s="4"/>
      <c r="LWC142" s="4"/>
      <c r="LWD142" s="4"/>
      <c r="LWE142" s="4"/>
      <c r="LWF142" s="4"/>
      <c r="LWG142" s="4"/>
      <c r="LWH142" s="4"/>
      <c r="LWI142" s="4"/>
      <c r="LWJ142" s="4"/>
      <c r="LWK142" s="4"/>
      <c r="LWL142" s="4"/>
      <c r="LWM142" s="4"/>
      <c r="LWN142" s="4"/>
      <c r="LWO142" s="4"/>
      <c r="LWP142" s="4"/>
      <c r="LWQ142" s="4"/>
      <c r="LWR142" s="4"/>
      <c r="LWS142" s="4"/>
      <c r="LWT142" s="4"/>
      <c r="LWU142" s="4"/>
      <c r="LWV142" s="4"/>
      <c r="LWW142" s="4"/>
      <c r="LWX142" s="4"/>
      <c r="LWY142" s="4"/>
      <c r="LWZ142" s="4"/>
      <c r="LXA142" s="4"/>
      <c r="LXB142" s="4"/>
      <c r="LXC142" s="4"/>
      <c r="LXD142" s="4"/>
      <c r="LXE142" s="4"/>
      <c r="LXF142" s="4"/>
      <c r="LXG142" s="4"/>
      <c r="LXH142" s="4"/>
      <c r="LXI142" s="4"/>
      <c r="LXJ142" s="4"/>
      <c r="LXK142" s="4"/>
      <c r="LXL142" s="4"/>
      <c r="LXM142" s="4"/>
      <c r="LXN142" s="4"/>
      <c r="LXO142" s="4"/>
      <c r="LXP142" s="4"/>
      <c r="LXQ142" s="4"/>
      <c r="LXR142" s="4"/>
      <c r="LXS142" s="4"/>
      <c r="LXT142" s="4"/>
      <c r="LXU142" s="4"/>
      <c r="LXV142" s="4"/>
      <c r="LXW142" s="4"/>
      <c r="LXX142" s="4"/>
      <c r="LXY142" s="4"/>
      <c r="LXZ142" s="4"/>
      <c r="LYA142" s="4"/>
      <c r="LYB142" s="4"/>
      <c r="LYC142" s="4"/>
      <c r="LYD142" s="4"/>
      <c r="LYE142" s="4"/>
      <c r="LYF142" s="4"/>
      <c r="LYG142" s="4"/>
      <c r="LYH142" s="4"/>
      <c r="LYI142" s="4"/>
      <c r="LYJ142" s="4"/>
      <c r="LYK142" s="4"/>
      <c r="LYL142" s="4"/>
      <c r="LYM142" s="4"/>
      <c r="LYN142" s="4"/>
      <c r="LYO142" s="4"/>
      <c r="LYP142" s="4"/>
      <c r="LYQ142" s="4"/>
      <c r="LYR142" s="4"/>
      <c r="LYS142" s="4"/>
      <c r="LYT142" s="4"/>
      <c r="LYU142" s="4"/>
      <c r="LYV142" s="4"/>
      <c r="LYW142" s="4"/>
      <c r="LYX142" s="4"/>
      <c r="LYY142" s="4"/>
      <c r="LYZ142" s="4"/>
      <c r="LZA142" s="4"/>
      <c r="LZB142" s="4"/>
      <c r="LZC142" s="4"/>
      <c r="LZD142" s="4"/>
      <c r="LZE142" s="4"/>
      <c r="LZF142" s="4"/>
      <c r="LZG142" s="4"/>
      <c r="LZH142" s="4"/>
      <c r="LZI142" s="4"/>
      <c r="LZJ142" s="4"/>
      <c r="LZK142" s="4"/>
      <c r="LZL142" s="4"/>
      <c r="LZM142" s="4"/>
      <c r="LZN142" s="4"/>
      <c r="LZO142" s="4"/>
      <c r="LZP142" s="4"/>
      <c r="LZQ142" s="4"/>
      <c r="LZR142" s="4"/>
      <c r="LZS142" s="4"/>
      <c r="LZT142" s="4"/>
      <c r="LZU142" s="4"/>
      <c r="LZV142" s="4"/>
      <c r="LZW142" s="4"/>
      <c r="LZX142" s="4"/>
      <c r="LZY142" s="4"/>
      <c r="LZZ142" s="4"/>
      <c r="MAA142" s="4"/>
      <c r="MAB142" s="4"/>
      <c r="MAC142" s="4"/>
      <c r="MAD142" s="4"/>
      <c r="MAE142" s="4"/>
      <c r="MAF142" s="4"/>
      <c r="MAG142" s="4"/>
      <c r="MAH142" s="4"/>
      <c r="MAI142" s="4"/>
      <c r="MAJ142" s="4"/>
      <c r="MAK142" s="4"/>
      <c r="MAL142" s="4"/>
      <c r="MAM142" s="4"/>
      <c r="MAN142" s="4"/>
      <c r="MAO142" s="4"/>
      <c r="MAP142" s="4"/>
      <c r="MAQ142" s="4"/>
      <c r="MAR142" s="4"/>
      <c r="MAS142" s="4"/>
      <c r="MAT142" s="4"/>
      <c r="MAU142" s="4"/>
      <c r="MAV142" s="4"/>
      <c r="MAW142" s="4"/>
      <c r="MAX142" s="4"/>
      <c r="MAY142" s="4"/>
      <c r="MAZ142" s="4"/>
      <c r="MBA142" s="4"/>
      <c r="MBB142" s="4"/>
      <c r="MBC142" s="4"/>
      <c r="MBD142" s="4"/>
      <c r="MBE142" s="4"/>
      <c r="MBF142" s="4"/>
      <c r="MBG142" s="4"/>
      <c r="MBH142" s="4"/>
      <c r="MBI142" s="4"/>
      <c r="MBJ142" s="4"/>
      <c r="MBK142" s="4"/>
      <c r="MBL142" s="4"/>
      <c r="MBM142" s="4"/>
      <c r="MBN142" s="4"/>
      <c r="MBO142" s="4"/>
      <c r="MBP142" s="4"/>
      <c r="MBQ142" s="4"/>
      <c r="MBR142" s="4"/>
      <c r="MBS142" s="4"/>
      <c r="MBT142" s="4"/>
      <c r="MBU142" s="4"/>
      <c r="MBV142" s="4"/>
      <c r="MBW142" s="4"/>
      <c r="MBX142" s="4"/>
      <c r="MBY142" s="4"/>
      <c r="MBZ142" s="4"/>
      <c r="MCA142" s="4"/>
      <c r="MCB142" s="4"/>
      <c r="MCC142" s="4"/>
      <c r="MCD142" s="4"/>
      <c r="MCE142" s="4"/>
      <c r="MCF142" s="4"/>
      <c r="MCG142" s="4"/>
      <c r="MCH142" s="4"/>
      <c r="MCI142" s="4"/>
      <c r="MCJ142" s="4"/>
      <c r="MCK142" s="4"/>
      <c r="MCL142" s="4"/>
      <c r="MCM142" s="4"/>
      <c r="MCN142" s="4"/>
      <c r="MCO142" s="4"/>
      <c r="MCP142" s="4"/>
      <c r="MCQ142" s="4"/>
      <c r="MCR142" s="4"/>
      <c r="MCS142" s="4"/>
      <c r="MCT142" s="4"/>
      <c r="MCU142" s="4"/>
      <c r="MCV142" s="4"/>
      <c r="MCW142" s="4"/>
      <c r="MCX142" s="4"/>
      <c r="MCY142" s="4"/>
      <c r="MCZ142" s="4"/>
      <c r="MDA142" s="4"/>
      <c r="MDB142" s="4"/>
      <c r="MDC142" s="4"/>
      <c r="MDD142" s="4"/>
      <c r="MDE142" s="4"/>
      <c r="MDF142" s="4"/>
      <c r="MDG142" s="4"/>
      <c r="MDH142" s="4"/>
      <c r="MDI142" s="4"/>
      <c r="MDJ142" s="4"/>
      <c r="MDK142" s="4"/>
      <c r="MDL142" s="4"/>
      <c r="MDM142" s="4"/>
      <c r="MDN142" s="4"/>
      <c r="MDO142" s="4"/>
      <c r="MDP142" s="4"/>
      <c r="MDQ142" s="4"/>
      <c r="MDR142" s="4"/>
      <c r="MDS142" s="4"/>
      <c r="MDT142" s="4"/>
      <c r="MDU142" s="4"/>
      <c r="MDV142" s="4"/>
      <c r="MDW142" s="4"/>
      <c r="MDX142" s="4"/>
      <c r="MDY142" s="4"/>
      <c r="MDZ142" s="4"/>
      <c r="MEA142" s="4"/>
      <c r="MEB142" s="4"/>
      <c r="MEC142" s="4"/>
      <c r="MED142" s="4"/>
      <c r="MEE142" s="4"/>
      <c r="MEF142" s="4"/>
      <c r="MEG142" s="4"/>
      <c r="MEH142" s="4"/>
      <c r="MEI142" s="4"/>
      <c r="MEJ142" s="4"/>
      <c r="MEK142" s="4"/>
      <c r="MEL142" s="4"/>
      <c r="MEM142" s="4"/>
      <c r="MEN142" s="4"/>
      <c r="MEO142" s="4"/>
      <c r="MEP142" s="4"/>
      <c r="MEQ142" s="4"/>
      <c r="MER142" s="4"/>
      <c r="MES142" s="4"/>
      <c r="MET142" s="4"/>
      <c r="MEU142" s="4"/>
      <c r="MEV142" s="4"/>
      <c r="MEW142" s="4"/>
      <c r="MEX142" s="4"/>
      <c r="MEY142" s="4"/>
      <c r="MEZ142" s="4"/>
      <c r="MFA142" s="4"/>
      <c r="MFB142" s="4"/>
      <c r="MFC142" s="4"/>
      <c r="MFD142" s="4"/>
      <c r="MFE142" s="4"/>
      <c r="MFF142" s="4"/>
      <c r="MFG142" s="4"/>
      <c r="MFH142" s="4"/>
      <c r="MFI142" s="4"/>
      <c r="MFJ142" s="4"/>
      <c r="MFK142" s="4"/>
      <c r="MFL142" s="4"/>
      <c r="MFM142" s="4"/>
      <c r="MFN142" s="4"/>
      <c r="MFO142" s="4"/>
      <c r="MFP142" s="4"/>
      <c r="MFQ142" s="4"/>
      <c r="MFR142" s="4"/>
      <c r="MFS142" s="4"/>
      <c r="MFT142" s="4"/>
      <c r="MFU142" s="4"/>
      <c r="MFV142" s="4"/>
      <c r="MFW142" s="4"/>
      <c r="MFX142" s="4"/>
      <c r="MFY142" s="4"/>
      <c r="MFZ142" s="4"/>
      <c r="MGA142" s="4"/>
      <c r="MGB142" s="4"/>
      <c r="MGC142" s="4"/>
      <c r="MGD142" s="4"/>
      <c r="MGE142" s="4"/>
      <c r="MGF142" s="4"/>
      <c r="MGG142" s="4"/>
      <c r="MGH142" s="4"/>
      <c r="MGI142" s="4"/>
      <c r="MGJ142" s="4"/>
      <c r="MGK142" s="4"/>
      <c r="MGL142" s="4"/>
      <c r="MGM142" s="4"/>
      <c r="MGN142" s="4"/>
      <c r="MGO142" s="4"/>
      <c r="MGP142" s="4"/>
      <c r="MGQ142" s="4"/>
      <c r="MGR142" s="4"/>
      <c r="MGS142" s="4"/>
      <c r="MGT142" s="4"/>
      <c r="MGU142" s="4"/>
      <c r="MGV142" s="4"/>
      <c r="MGW142" s="4"/>
      <c r="MGX142" s="4"/>
      <c r="MGY142" s="4"/>
      <c r="MGZ142" s="4"/>
      <c r="MHA142" s="4"/>
      <c r="MHB142" s="4"/>
      <c r="MHC142" s="4"/>
      <c r="MHD142" s="4"/>
      <c r="MHE142" s="4"/>
      <c r="MHF142" s="4"/>
      <c r="MHG142" s="4"/>
      <c r="MHH142" s="4"/>
      <c r="MHI142" s="4"/>
      <c r="MHJ142" s="4"/>
      <c r="MHK142" s="4"/>
      <c r="MHL142" s="4"/>
      <c r="MHM142" s="4"/>
      <c r="MHN142" s="4"/>
      <c r="MHO142" s="4"/>
      <c r="MHP142" s="4"/>
      <c r="MHQ142" s="4"/>
      <c r="MHR142" s="4"/>
      <c r="MHS142" s="4"/>
      <c r="MHT142" s="4"/>
      <c r="MHU142" s="4"/>
      <c r="MHV142" s="4"/>
      <c r="MHW142" s="4"/>
      <c r="MHX142" s="4"/>
      <c r="MHY142" s="4"/>
      <c r="MHZ142" s="4"/>
      <c r="MIA142" s="4"/>
      <c r="MIB142" s="4"/>
      <c r="MIC142" s="4"/>
      <c r="MID142" s="4"/>
      <c r="MIE142" s="4"/>
      <c r="MIF142" s="4"/>
      <c r="MIG142" s="4"/>
      <c r="MIH142" s="4"/>
      <c r="MII142" s="4"/>
      <c r="MIJ142" s="4"/>
      <c r="MIK142" s="4"/>
      <c r="MIL142" s="4"/>
      <c r="MIM142" s="4"/>
      <c r="MIN142" s="4"/>
      <c r="MIO142" s="4"/>
      <c r="MIP142" s="4"/>
      <c r="MIQ142" s="4"/>
      <c r="MIR142" s="4"/>
      <c r="MIS142" s="4"/>
      <c r="MIT142" s="4"/>
      <c r="MIU142" s="4"/>
      <c r="MIV142" s="4"/>
      <c r="MIW142" s="4"/>
      <c r="MIX142" s="4"/>
      <c r="MIY142" s="4"/>
      <c r="MIZ142" s="4"/>
      <c r="MJA142" s="4"/>
      <c r="MJB142" s="4"/>
      <c r="MJC142" s="4"/>
      <c r="MJD142" s="4"/>
      <c r="MJE142" s="4"/>
      <c r="MJF142" s="4"/>
      <c r="MJG142" s="4"/>
      <c r="MJH142" s="4"/>
      <c r="MJI142" s="4"/>
      <c r="MJJ142" s="4"/>
      <c r="MJK142" s="4"/>
      <c r="MJL142" s="4"/>
      <c r="MJM142" s="4"/>
      <c r="MJN142" s="4"/>
      <c r="MJO142" s="4"/>
      <c r="MJP142" s="4"/>
      <c r="MJQ142" s="4"/>
      <c r="MJR142" s="4"/>
      <c r="MJS142" s="4"/>
      <c r="MJT142" s="4"/>
      <c r="MJU142" s="4"/>
      <c r="MJV142" s="4"/>
      <c r="MJW142" s="4"/>
      <c r="MJX142" s="4"/>
      <c r="MJY142" s="4"/>
      <c r="MJZ142" s="4"/>
      <c r="MKA142" s="4"/>
      <c r="MKB142" s="4"/>
      <c r="MKC142" s="4"/>
      <c r="MKD142" s="4"/>
      <c r="MKE142" s="4"/>
      <c r="MKF142" s="4"/>
      <c r="MKG142" s="4"/>
      <c r="MKH142" s="4"/>
      <c r="MKI142" s="4"/>
      <c r="MKJ142" s="4"/>
      <c r="MKK142" s="4"/>
      <c r="MKL142" s="4"/>
      <c r="MKM142" s="4"/>
      <c r="MKN142" s="4"/>
      <c r="MKO142" s="4"/>
      <c r="MKP142" s="4"/>
      <c r="MKQ142" s="4"/>
      <c r="MKR142" s="4"/>
      <c r="MKS142" s="4"/>
      <c r="MKT142" s="4"/>
      <c r="MKU142" s="4"/>
      <c r="MKV142" s="4"/>
      <c r="MKW142" s="4"/>
      <c r="MKX142" s="4"/>
      <c r="MKY142" s="4"/>
      <c r="MKZ142" s="4"/>
      <c r="MLA142" s="4"/>
      <c r="MLB142" s="4"/>
      <c r="MLC142" s="4"/>
      <c r="MLD142" s="4"/>
      <c r="MLE142" s="4"/>
      <c r="MLF142" s="4"/>
      <c r="MLG142" s="4"/>
      <c r="MLH142" s="4"/>
      <c r="MLI142" s="4"/>
      <c r="MLJ142" s="4"/>
      <c r="MLK142" s="4"/>
      <c r="MLL142" s="4"/>
      <c r="MLM142" s="4"/>
      <c r="MLN142" s="4"/>
      <c r="MLO142" s="4"/>
      <c r="MLP142" s="4"/>
      <c r="MLQ142" s="4"/>
      <c r="MLR142" s="4"/>
      <c r="MLS142" s="4"/>
      <c r="MLT142" s="4"/>
      <c r="MLU142" s="4"/>
      <c r="MLV142" s="4"/>
      <c r="MLW142" s="4"/>
      <c r="MLX142" s="4"/>
      <c r="MLY142" s="4"/>
      <c r="MLZ142" s="4"/>
      <c r="MMA142" s="4"/>
      <c r="MMB142" s="4"/>
      <c r="MMC142" s="4"/>
      <c r="MMD142" s="4"/>
      <c r="MME142" s="4"/>
      <c r="MMF142" s="4"/>
      <c r="MMG142" s="4"/>
      <c r="MMH142" s="4"/>
      <c r="MMI142" s="4"/>
      <c r="MMJ142" s="4"/>
      <c r="MMK142" s="4"/>
      <c r="MML142" s="4"/>
      <c r="MMM142" s="4"/>
      <c r="MMN142" s="4"/>
      <c r="MMO142" s="4"/>
      <c r="MMP142" s="4"/>
      <c r="MMQ142" s="4"/>
      <c r="MMR142" s="4"/>
      <c r="MMS142" s="4"/>
      <c r="MMT142" s="4"/>
      <c r="MMU142" s="4"/>
      <c r="MMV142" s="4"/>
      <c r="MMW142" s="4"/>
      <c r="MMX142" s="4"/>
      <c r="MMY142" s="4"/>
      <c r="MMZ142" s="4"/>
      <c r="MNA142" s="4"/>
      <c r="MNB142" s="4"/>
      <c r="MNC142" s="4"/>
      <c r="MND142" s="4"/>
      <c r="MNE142" s="4"/>
      <c r="MNF142" s="4"/>
      <c r="MNG142" s="4"/>
      <c r="MNH142" s="4"/>
      <c r="MNI142" s="4"/>
      <c r="MNJ142" s="4"/>
      <c r="MNK142" s="4"/>
      <c r="MNL142" s="4"/>
      <c r="MNM142" s="4"/>
      <c r="MNN142" s="4"/>
      <c r="MNO142" s="4"/>
      <c r="MNP142" s="4"/>
      <c r="MNQ142" s="4"/>
      <c r="MNR142" s="4"/>
      <c r="MNS142" s="4"/>
      <c r="MNT142" s="4"/>
      <c r="MNU142" s="4"/>
      <c r="MNV142" s="4"/>
      <c r="MNW142" s="4"/>
      <c r="MNX142" s="4"/>
      <c r="MNY142" s="4"/>
      <c r="MNZ142" s="4"/>
      <c r="MOA142" s="4"/>
      <c r="MOB142" s="4"/>
      <c r="MOC142" s="4"/>
      <c r="MOD142" s="4"/>
      <c r="MOE142" s="4"/>
      <c r="MOF142" s="4"/>
      <c r="MOG142" s="4"/>
      <c r="MOH142" s="4"/>
      <c r="MOI142" s="4"/>
      <c r="MOJ142" s="4"/>
      <c r="MOK142" s="4"/>
      <c r="MOL142" s="4"/>
      <c r="MOM142" s="4"/>
      <c r="MON142" s="4"/>
      <c r="MOO142" s="4"/>
      <c r="MOP142" s="4"/>
      <c r="MOQ142" s="4"/>
      <c r="MOR142" s="4"/>
      <c r="MOS142" s="4"/>
      <c r="MOT142" s="4"/>
      <c r="MOU142" s="4"/>
      <c r="MOV142" s="4"/>
      <c r="MOW142" s="4"/>
      <c r="MOX142" s="4"/>
      <c r="MOY142" s="4"/>
      <c r="MOZ142" s="4"/>
      <c r="MPA142" s="4"/>
      <c r="MPB142" s="4"/>
      <c r="MPC142" s="4"/>
      <c r="MPD142" s="4"/>
      <c r="MPE142" s="4"/>
      <c r="MPF142" s="4"/>
      <c r="MPG142" s="4"/>
      <c r="MPH142" s="4"/>
      <c r="MPI142" s="4"/>
      <c r="MPJ142" s="4"/>
      <c r="MPK142" s="4"/>
      <c r="MPL142" s="4"/>
      <c r="MPM142" s="4"/>
      <c r="MPN142" s="4"/>
      <c r="MPO142" s="4"/>
      <c r="MPP142" s="4"/>
      <c r="MPQ142" s="4"/>
      <c r="MPR142" s="4"/>
      <c r="MPS142" s="4"/>
      <c r="MPT142" s="4"/>
      <c r="MPU142" s="4"/>
      <c r="MPV142" s="4"/>
      <c r="MPW142" s="4"/>
      <c r="MPX142" s="4"/>
      <c r="MPY142" s="4"/>
      <c r="MPZ142" s="4"/>
      <c r="MQA142" s="4"/>
      <c r="MQB142" s="4"/>
      <c r="MQC142" s="4"/>
      <c r="MQD142" s="4"/>
      <c r="MQE142" s="4"/>
      <c r="MQF142" s="4"/>
      <c r="MQG142" s="4"/>
      <c r="MQH142" s="4"/>
      <c r="MQI142" s="4"/>
      <c r="MQJ142" s="4"/>
      <c r="MQK142" s="4"/>
      <c r="MQL142" s="4"/>
      <c r="MQM142" s="4"/>
      <c r="MQN142" s="4"/>
      <c r="MQO142" s="4"/>
      <c r="MQP142" s="4"/>
      <c r="MQQ142" s="4"/>
      <c r="MQR142" s="4"/>
      <c r="MQS142" s="4"/>
      <c r="MQT142" s="4"/>
      <c r="MQU142" s="4"/>
      <c r="MQV142" s="4"/>
      <c r="MQW142" s="4"/>
      <c r="MQX142" s="4"/>
      <c r="MQY142" s="4"/>
      <c r="MQZ142" s="4"/>
      <c r="MRA142" s="4"/>
      <c r="MRB142" s="4"/>
      <c r="MRC142" s="4"/>
      <c r="MRD142" s="4"/>
      <c r="MRE142" s="4"/>
      <c r="MRF142" s="4"/>
      <c r="MRG142" s="4"/>
      <c r="MRH142" s="4"/>
      <c r="MRI142" s="4"/>
      <c r="MRJ142" s="4"/>
      <c r="MRK142" s="4"/>
      <c r="MRL142" s="4"/>
      <c r="MRM142" s="4"/>
      <c r="MRN142" s="4"/>
      <c r="MRO142" s="4"/>
      <c r="MRP142" s="4"/>
      <c r="MRQ142" s="4"/>
      <c r="MRR142" s="4"/>
      <c r="MRS142" s="4"/>
      <c r="MRT142" s="4"/>
      <c r="MRU142" s="4"/>
      <c r="MRV142" s="4"/>
      <c r="MRW142" s="4"/>
      <c r="MRX142" s="4"/>
      <c r="MRY142" s="4"/>
      <c r="MRZ142" s="4"/>
      <c r="MSA142" s="4"/>
      <c r="MSB142" s="4"/>
      <c r="MSC142" s="4"/>
      <c r="MSD142" s="4"/>
      <c r="MSE142" s="4"/>
      <c r="MSF142" s="4"/>
      <c r="MSG142" s="4"/>
      <c r="MSH142" s="4"/>
      <c r="MSI142" s="4"/>
      <c r="MSJ142" s="4"/>
      <c r="MSK142" s="4"/>
      <c r="MSL142" s="4"/>
      <c r="MSM142" s="4"/>
      <c r="MSN142" s="4"/>
      <c r="MSO142" s="4"/>
      <c r="MSP142" s="4"/>
      <c r="MSQ142" s="4"/>
      <c r="MSR142" s="4"/>
      <c r="MSS142" s="4"/>
      <c r="MST142" s="4"/>
      <c r="MSU142" s="4"/>
      <c r="MSV142" s="4"/>
      <c r="MSW142" s="4"/>
      <c r="MSX142" s="4"/>
      <c r="MSY142" s="4"/>
      <c r="MSZ142" s="4"/>
      <c r="MTA142" s="4"/>
      <c r="MTB142" s="4"/>
      <c r="MTC142" s="4"/>
      <c r="MTD142" s="4"/>
      <c r="MTE142" s="4"/>
      <c r="MTF142" s="4"/>
      <c r="MTG142" s="4"/>
      <c r="MTH142" s="4"/>
      <c r="MTI142" s="4"/>
      <c r="MTJ142" s="4"/>
      <c r="MTK142" s="4"/>
      <c r="MTL142" s="4"/>
      <c r="MTM142" s="4"/>
      <c r="MTN142" s="4"/>
      <c r="MTO142" s="4"/>
      <c r="MTP142" s="4"/>
      <c r="MTQ142" s="4"/>
      <c r="MTR142" s="4"/>
      <c r="MTS142" s="4"/>
      <c r="MTT142" s="4"/>
      <c r="MTU142" s="4"/>
      <c r="MTV142" s="4"/>
      <c r="MTW142" s="4"/>
      <c r="MTX142" s="4"/>
      <c r="MTY142" s="4"/>
      <c r="MTZ142" s="4"/>
      <c r="MUA142" s="4"/>
      <c r="MUB142" s="4"/>
      <c r="MUC142" s="4"/>
      <c r="MUD142" s="4"/>
      <c r="MUE142" s="4"/>
      <c r="MUF142" s="4"/>
      <c r="MUG142" s="4"/>
      <c r="MUH142" s="4"/>
      <c r="MUI142" s="4"/>
      <c r="MUJ142" s="4"/>
      <c r="MUK142" s="4"/>
      <c r="MUL142" s="4"/>
      <c r="MUM142" s="4"/>
      <c r="MUN142" s="4"/>
      <c r="MUO142" s="4"/>
      <c r="MUP142" s="4"/>
      <c r="MUQ142" s="4"/>
      <c r="MUR142" s="4"/>
      <c r="MUS142" s="4"/>
      <c r="MUT142" s="4"/>
      <c r="MUU142" s="4"/>
      <c r="MUV142" s="4"/>
      <c r="MUW142" s="4"/>
      <c r="MUX142" s="4"/>
      <c r="MUY142" s="4"/>
      <c r="MUZ142" s="4"/>
      <c r="MVA142" s="4"/>
      <c r="MVB142" s="4"/>
      <c r="MVC142" s="4"/>
      <c r="MVD142" s="4"/>
      <c r="MVE142" s="4"/>
      <c r="MVF142" s="4"/>
      <c r="MVG142" s="4"/>
      <c r="MVH142" s="4"/>
      <c r="MVI142" s="4"/>
      <c r="MVJ142" s="4"/>
      <c r="MVK142" s="4"/>
      <c r="MVL142" s="4"/>
      <c r="MVM142" s="4"/>
      <c r="MVN142" s="4"/>
      <c r="MVO142" s="4"/>
      <c r="MVP142" s="4"/>
      <c r="MVQ142" s="4"/>
      <c r="MVR142" s="4"/>
      <c r="MVS142" s="4"/>
      <c r="MVT142" s="4"/>
      <c r="MVU142" s="4"/>
      <c r="MVV142" s="4"/>
      <c r="MVW142" s="4"/>
      <c r="MVX142" s="4"/>
      <c r="MVY142" s="4"/>
      <c r="MVZ142" s="4"/>
      <c r="MWA142" s="4"/>
      <c r="MWB142" s="4"/>
      <c r="MWC142" s="4"/>
      <c r="MWD142" s="4"/>
      <c r="MWE142" s="4"/>
      <c r="MWF142" s="4"/>
      <c r="MWG142" s="4"/>
      <c r="MWH142" s="4"/>
      <c r="MWI142" s="4"/>
      <c r="MWJ142" s="4"/>
      <c r="MWK142" s="4"/>
      <c r="MWL142" s="4"/>
      <c r="MWM142" s="4"/>
      <c r="MWN142" s="4"/>
      <c r="MWO142" s="4"/>
      <c r="MWP142" s="4"/>
      <c r="MWQ142" s="4"/>
      <c r="MWR142" s="4"/>
      <c r="MWS142" s="4"/>
      <c r="MWT142" s="4"/>
      <c r="MWU142" s="4"/>
      <c r="MWV142" s="4"/>
      <c r="MWW142" s="4"/>
      <c r="MWX142" s="4"/>
      <c r="MWY142" s="4"/>
      <c r="MWZ142" s="4"/>
      <c r="MXA142" s="4"/>
      <c r="MXB142" s="4"/>
      <c r="MXC142" s="4"/>
      <c r="MXD142" s="4"/>
      <c r="MXE142" s="4"/>
      <c r="MXF142" s="4"/>
      <c r="MXG142" s="4"/>
      <c r="MXH142" s="4"/>
      <c r="MXI142" s="4"/>
      <c r="MXJ142" s="4"/>
      <c r="MXK142" s="4"/>
      <c r="MXL142" s="4"/>
      <c r="MXM142" s="4"/>
      <c r="MXN142" s="4"/>
      <c r="MXO142" s="4"/>
      <c r="MXP142" s="4"/>
      <c r="MXQ142" s="4"/>
      <c r="MXR142" s="4"/>
      <c r="MXS142" s="4"/>
      <c r="MXT142" s="4"/>
      <c r="MXU142" s="4"/>
      <c r="MXV142" s="4"/>
      <c r="MXW142" s="4"/>
      <c r="MXX142" s="4"/>
      <c r="MXY142" s="4"/>
      <c r="MXZ142" s="4"/>
      <c r="MYA142" s="4"/>
      <c r="MYB142" s="4"/>
      <c r="MYC142" s="4"/>
      <c r="MYD142" s="4"/>
      <c r="MYE142" s="4"/>
      <c r="MYF142" s="4"/>
      <c r="MYG142" s="4"/>
      <c r="MYH142" s="4"/>
      <c r="MYI142" s="4"/>
      <c r="MYJ142" s="4"/>
      <c r="MYK142" s="4"/>
      <c r="MYL142" s="4"/>
      <c r="MYM142" s="4"/>
      <c r="MYN142" s="4"/>
      <c r="MYO142" s="4"/>
      <c r="MYP142" s="4"/>
      <c r="MYQ142" s="4"/>
      <c r="MYR142" s="4"/>
      <c r="MYS142" s="4"/>
      <c r="MYT142" s="4"/>
      <c r="MYU142" s="4"/>
      <c r="MYV142" s="4"/>
      <c r="MYW142" s="4"/>
      <c r="MYX142" s="4"/>
      <c r="MYY142" s="4"/>
      <c r="MYZ142" s="4"/>
      <c r="MZA142" s="4"/>
      <c r="MZB142" s="4"/>
      <c r="MZC142" s="4"/>
      <c r="MZD142" s="4"/>
      <c r="MZE142" s="4"/>
      <c r="MZF142" s="4"/>
      <c r="MZG142" s="4"/>
      <c r="MZH142" s="4"/>
      <c r="MZI142" s="4"/>
      <c r="MZJ142" s="4"/>
      <c r="MZK142" s="4"/>
      <c r="MZL142" s="4"/>
      <c r="MZM142" s="4"/>
      <c r="MZN142" s="4"/>
      <c r="MZO142" s="4"/>
      <c r="MZP142" s="4"/>
      <c r="MZQ142" s="4"/>
      <c r="MZR142" s="4"/>
      <c r="MZS142" s="4"/>
      <c r="MZT142" s="4"/>
      <c r="MZU142" s="4"/>
      <c r="MZV142" s="4"/>
      <c r="MZW142" s="4"/>
      <c r="MZX142" s="4"/>
      <c r="MZY142" s="4"/>
      <c r="MZZ142" s="4"/>
      <c r="NAA142" s="4"/>
      <c r="NAB142" s="4"/>
      <c r="NAC142" s="4"/>
      <c r="NAD142" s="4"/>
      <c r="NAE142" s="4"/>
      <c r="NAF142" s="4"/>
      <c r="NAG142" s="4"/>
      <c r="NAH142" s="4"/>
      <c r="NAI142" s="4"/>
      <c r="NAJ142" s="4"/>
      <c r="NAK142" s="4"/>
      <c r="NAL142" s="4"/>
      <c r="NAM142" s="4"/>
      <c r="NAN142" s="4"/>
      <c r="NAO142" s="4"/>
      <c r="NAP142" s="4"/>
      <c r="NAQ142" s="4"/>
      <c r="NAR142" s="4"/>
      <c r="NAS142" s="4"/>
      <c r="NAT142" s="4"/>
      <c r="NAU142" s="4"/>
      <c r="NAV142" s="4"/>
      <c r="NAW142" s="4"/>
      <c r="NAX142" s="4"/>
      <c r="NAY142" s="4"/>
      <c r="NAZ142" s="4"/>
      <c r="NBA142" s="4"/>
      <c r="NBB142" s="4"/>
      <c r="NBC142" s="4"/>
      <c r="NBD142" s="4"/>
      <c r="NBE142" s="4"/>
      <c r="NBF142" s="4"/>
      <c r="NBG142" s="4"/>
      <c r="NBH142" s="4"/>
      <c r="NBI142" s="4"/>
      <c r="NBJ142" s="4"/>
      <c r="NBK142" s="4"/>
      <c r="NBL142" s="4"/>
      <c r="NBM142" s="4"/>
      <c r="NBN142" s="4"/>
      <c r="NBO142" s="4"/>
      <c r="NBP142" s="4"/>
      <c r="NBQ142" s="4"/>
      <c r="NBR142" s="4"/>
      <c r="NBS142" s="4"/>
      <c r="NBT142" s="4"/>
      <c r="NBU142" s="4"/>
      <c r="NBV142" s="4"/>
      <c r="NBW142" s="4"/>
      <c r="NBX142" s="4"/>
      <c r="NBY142" s="4"/>
      <c r="NBZ142" s="4"/>
      <c r="NCA142" s="4"/>
      <c r="NCB142" s="4"/>
      <c r="NCC142" s="4"/>
      <c r="NCD142" s="4"/>
      <c r="NCE142" s="4"/>
      <c r="NCF142" s="4"/>
      <c r="NCG142" s="4"/>
      <c r="NCH142" s="4"/>
      <c r="NCI142" s="4"/>
      <c r="NCJ142" s="4"/>
      <c r="NCK142" s="4"/>
      <c r="NCL142" s="4"/>
      <c r="NCM142" s="4"/>
      <c r="NCN142" s="4"/>
      <c r="NCO142" s="4"/>
      <c r="NCP142" s="4"/>
      <c r="NCQ142" s="4"/>
      <c r="NCR142" s="4"/>
      <c r="NCS142" s="4"/>
      <c r="NCT142" s="4"/>
      <c r="NCU142" s="4"/>
      <c r="NCV142" s="4"/>
      <c r="NCW142" s="4"/>
      <c r="NCX142" s="4"/>
      <c r="NCY142" s="4"/>
      <c r="NCZ142" s="4"/>
      <c r="NDA142" s="4"/>
      <c r="NDB142" s="4"/>
      <c r="NDC142" s="4"/>
      <c r="NDD142" s="4"/>
      <c r="NDE142" s="4"/>
      <c r="NDF142" s="4"/>
      <c r="NDG142" s="4"/>
      <c r="NDH142" s="4"/>
      <c r="NDI142" s="4"/>
      <c r="NDJ142" s="4"/>
      <c r="NDK142" s="4"/>
      <c r="NDL142" s="4"/>
      <c r="NDM142" s="4"/>
      <c r="NDN142" s="4"/>
      <c r="NDO142" s="4"/>
      <c r="NDP142" s="4"/>
      <c r="NDQ142" s="4"/>
      <c r="NDR142" s="4"/>
      <c r="NDS142" s="4"/>
      <c r="NDT142" s="4"/>
      <c r="NDU142" s="4"/>
      <c r="NDV142" s="4"/>
      <c r="NDW142" s="4"/>
      <c r="NDX142" s="4"/>
      <c r="NDY142" s="4"/>
      <c r="NDZ142" s="4"/>
      <c r="NEA142" s="4"/>
      <c r="NEB142" s="4"/>
      <c r="NEC142" s="4"/>
      <c r="NED142" s="4"/>
      <c r="NEE142" s="4"/>
      <c r="NEF142" s="4"/>
      <c r="NEG142" s="4"/>
      <c r="NEH142" s="4"/>
      <c r="NEI142" s="4"/>
      <c r="NEJ142" s="4"/>
      <c r="NEK142" s="4"/>
      <c r="NEL142" s="4"/>
      <c r="NEM142" s="4"/>
      <c r="NEN142" s="4"/>
      <c r="NEO142" s="4"/>
      <c r="NEP142" s="4"/>
      <c r="NEQ142" s="4"/>
      <c r="NER142" s="4"/>
      <c r="NES142" s="4"/>
      <c r="NET142" s="4"/>
      <c r="NEU142" s="4"/>
      <c r="NEV142" s="4"/>
      <c r="NEW142" s="4"/>
      <c r="NEX142" s="4"/>
      <c r="NEY142" s="4"/>
      <c r="NEZ142" s="4"/>
      <c r="NFA142" s="4"/>
      <c r="NFB142" s="4"/>
      <c r="NFC142" s="4"/>
      <c r="NFD142" s="4"/>
      <c r="NFE142" s="4"/>
      <c r="NFF142" s="4"/>
      <c r="NFG142" s="4"/>
      <c r="NFH142" s="4"/>
      <c r="NFI142" s="4"/>
      <c r="NFJ142" s="4"/>
      <c r="NFK142" s="4"/>
      <c r="NFL142" s="4"/>
      <c r="NFM142" s="4"/>
      <c r="NFN142" s="4"/>
      <c r="NFO142" s="4"/>
      <c r="NFP142" s="4"/>
      <c r="NFQ142" s="4"/>
      <c r="NFR142" s="4"/>
      <c r="NFS142" s="4"/>
      <c r="NFT142" s="4"/>
      <c r="NFU142" s="4"/>
      <c r="NFV142" s="4"/>
      <c r="NFW142" s="4"/>
      <c r="NFX142" s="4"/>
      <c r="NFY142" s="4"/>
      <c r="NFZ142" s="4"/>
      <c r="NGA142" s="4"/>
      <c r="NGB142" s="4"/>
      <c r="NGC142" s="4"/>
      <c r="NGD142" s="4"/>
      <c r="NGE142" s="4"/>
      <c r="NGF142" s="4"/>
      <c r="NGG142" s="4"/>
      <c r="NGH142" s="4"/>
      <c r="NGI142" s="4"/>
      <c r="NGJ142" s="4"/>
      <c r="NGK142" s="4"/>
      <c r="NGL142" s="4"/>
      <c r="NGM142" s="4"/>
      <c r="NGN142" s="4"/>
      <c r="NGO142" s="4"/>
      <c r="NGP142" s="4"/>
      <c r="NGQ142" s="4"/>
      <c r="NGR142" s="4"/>
      <c r="NGS142" s="4"/>
      <c r="NGT142" s="4"/>
      <c r="NGU142" s="4"/>
      <c r="NGV142" s="4"/>
      <c r="NGW142" s="4"/>
      <c r="NGX142" s="4"/>
      <c r="NGY142" s="4"/>
      <c r="NGZ142" s="4"/>
      <c r="NHA142" s="4"/>
      <c r="NHB142" s="4"/>
      <c r="NHC142" s="4"/>
      <c r="NHD142" s="4"/>
      <c r="NHE142" s="4"/>
      <c r="NHF142" s="4"/>
      <c r="NHG142" s="4"/>
      <c r="NHH142" s="4"/>
      <c r="NHI142" s="4"/>
      <c r="NHJ142" s="4"/>
      <c r="NHK142" s="4"/>
      <c r="NHL142" s="4"/>
      <c r="NHM142" s="4"/>
      <c r="NHN142" s="4"/>
      <c r="NHO142" s="4"/>
      <c r="NHP142" s="4"/>
      <c r="NHQ142" s="4"/>
      <c r="NHR142" s="4"/>
      <c r="NHS142" s="4"/>
      <c r="NHT142" s="4"/>
      <c r="NHU142" s="4"/>
      <c r="NHV142" s="4"/>
      <c r="NHW142" s="4"/>
      <c r="NHX142" s="4"/>
      <c r="NHY142" s="4"/>
      <c r="NHZ142" s="4"/>
      <c r="NIA142" s="4"/>
      <c r="NIB142" s="4"/>
      <c r="NIC142" s="4"/>
      <c r="NID142" s="4"/>
      <c r="NIE142" s="4"/>
      <c r="NIF142" s="4"/>
      <c r="NIG142" s="4"/>
      <c r="NIH142" s="4"/>
      <c r="NII142" s="4"/>
      <c r="NIJ142" s="4"/>
      <c r="NIK142" s="4"/>
      <c r="NIL142" s="4"/>
      <c r="NIM142" s="4"/>
      <c r="NIN142" s="4"/>
      <c r="NIO142" s="4"/>
      <c r="NIP142" s="4"/>
      <c r="NIQ142" s="4"/>
      <c r="NIR142" s="4"/>
      <c r="NIS142" s="4"/>
      <c r="NIT142" s="4"/>
      <c r="NIU142" s="4"/>
      <c r="NIV142" s="4"/>
      <c r="NIW142" s="4"/>
      <c r="NIX142" s="4"/>
      <c r="NIY142" s="4"/>
      <c r="NIZ142" s="4"/>
      <c r="NJA142" s="4"/>
      <c r="NJB142" s="4"/>
      <c r="NJC142" s="4"/>
      <c r="NJD142" s="4"/>
      <c r="NJE142" s="4"/>
      <c r="NJF142" s="4"/>
      <c r="NJG142" s="4"/>
      <c r="NJH142" s="4"/>
      <c r="NJI142" s="4"/>
      <c r="NJJ142" s="4"/>
      <c r="NJK142" s="4"/>
      <c r="NJL142" s="4"/>
      <c r="NJM142" s="4"/>
      <c r="NJN142" s="4"/>
      <c r="NJO142" s="4"/>
      <c r="NJP142" s="4"/>
      <c r="NJQ142" s="4"/>
      <c r="NJR142" s="4"/>
      <c r="NJS142" s="4"/>
      <c r="NJT142" s="4"/>
      <c r="NJU142" s="4"/>
      <c r="NJV142" s="4"/>
      <c r="NJW142" s="4"/>
      <c r="NJX142" s="4"/>
      <c r="NJY142" s="4"/>
      <c r="NJZ142" s="4"/>
      <c r="NKA142" s="4"/>
      <c r="NKB142" s="4"/>
      <c r="NKC142" s="4"/>
      <c r="NKD142" s="4"/>
      <c r="NKE142" s="4"/>
      <c r="NKF142" s="4"/>
      <c r="NKG142" s="4"/>
      <c r="NKH142" s="4"/>
      <c r="NKI142" s="4"/>
      <c r="NKJ142" s="4"/>
      <c r="NKK142" s="4"/>
      <c r="NKL142" s="4"/>
      <c r="NKM142" s="4"/>
      <c r="NKN142" s="4"/>
      <c r="NKO142" s="4"/>
      <c r="NKP142" s="4"/>
      <c r="NKQ142" s="4"/>
      <c r="NKR142" s="4"/>
      <c r="NKS142" s="4"/>
      <c r="NKT142" s="4"/>
      <c r="NKU142" s="4"/>
      <c r="NKV142" s="4"/>
      <c r="NKW142" s="4"/>
      <c r="NKX142" s="4"/>
      <c r="NKY142" s="4"/>
      <c r="NKZ142" s="4"/>
      <c r="NLA142" s="4"/>
      <c r="NLB142" s="4"/>
      <c r="NLC142" s="4"/>
      <c r="NLD142" s="4"/>
      <c r="NLE142" s="4"/>
      <c r="NLF142" s="4"/>
      <c r="NLG142" s="4"/>
      <c r="NLH142" s="4"/>
      <c r="NLI142" s="4"/>
      <c r="NLJ142" s="4"/>
      <c r="NLK142" s="4"/>
      <c r="NLL142" s="4"/>
      <c r="NLM142" s="4"/>
      <c r="NLN142" s="4"/>
      <c r="NLO142" s="4"/>
      <c r="NLP142" s="4"/>
      <c r="NLQ142" s="4"/>
      <c r="NLR142" s="4"/>
      <c r="NLS142" s="4"/>
      <c r="NLT142" s="4"/>
      <c r="NLU142" s="4"/>
      <c r="NLV142" s="4"/>
      <c r="NLW142" s="4"/>
      <c r="NLX142" s="4"/>
      <c r="NLY142" s="4"/>
      <c r="NLZ142" s="4"/>
      <c r="NMA142" s="4"/>
      <c r="NMB142" s="4"/>
      <c r="NMC142" s="4"/>
      <c r="NMD142" s="4"/>
      <c r="NME142" s="4"/>
      <c r="NMF142" s="4"/>
      <c r="NMG142" s="4"/>
      <c r="NMH142" s="4"/>
      <c r="NMI142" s="4"/>
      <c r="NMJ142" s="4"/>
      <c r="NMK142" s="4"/>
      <c r="NML142" s="4"/>
      <c r="NMM142" s="4"/>
      <c r="NMN142" s="4"/>
      <c r="NMO142" s="4"/>
      <c r="NMP142" s="4"/>
      <c r="NMQ142" s="4"/>
      <c r="NMR142" s="4"/>
      <c r="NMS142" s="4"/>
      <c r="NMT142" s="4"/>
      <c r="NMU142" s="4"/>
      <c r="NMV142" s="4"/>
      <c r="NMW142" s="4"/>
      <c r="NMX142" s="4"/>
      <c r="NMY142" s="4"/>
      <c r="NMZ142" s="4"/>
      <c r="NNA142" s="4"/>
      <c r="NNB142" s="4"/>
      <c r="NNC142" s="4"/>
      <c r="NND142" s="4"/>
      <c r="NNE142" s="4"/>
      <c r="NNF142" s="4"/>
      <c r="NNG142" s="4"/>
      <c r="NNH142" s="4"/>
      <c r="NNI142" s="4"/>
      <c r="NNJ142" s="4"/>
      <c r="NNK142" s="4"/>
      <c r="NNL142" s="4"/>
      <c r="NNM142" s="4"/>
      <c r="NNN142" s="4"/>
      <c r="NNO142" s="4"/>
      <c r="NNP142" s="4"/>
      <c r="NNQ142" s="4"/>
      <c r="NNR142" s="4"/>
      <c r="NNS142" s="4"/>
      <c r="NNT142" s="4"/>
      <c r="NNU142" s="4"/>
      <c r="NNV142" s="4"/>
      <c r="NNW142" s="4"/>
      <c r="NNX142" s="4"/>
      <c r="NNY142" s="4"/>
      <c r="NNZ142" s="4"/>
      <c r="NOA142" s="4"/>
      <c r="NOB142" s="4"/>
      <c r="NOC142" s="4"/>
      <c r="NOD142" s="4"/>
      <c r="NOE142" s="4"/>
      <c r="NOF142" s="4"/>
      <c r="NOG142" s="4"/>
      <c r="NOH142" s="4"/>
      <c r="NOI142" s="4"/>
      <c r="NOJ142" s="4"/>
      <c r="NOK142" s="4"/>
      <c r="NOL142" s="4"/>
      <c r="NOM142" s="4"/>
      <c r="NON142" s="4"/>
      <c r="NOO142" s="4"/>
      <c r="NOP142" s="4"/>
      <c r="NOQ142" s="4"/>
      <c r="NOR142" s="4"/>
      <c r="NOS142" s="4"/>
      <c r="NOT142" s="4"/>
      <c r="NOU142" s="4"/>
      <c r="NOV142" s="4"/>
      <c r="NOW142" s="4"/>
      <c r="NOX142" s="4"/>
      <c r="NOY142" s="4"/>
      <c r="NOZ142" s="4"/>
      <c r="NPA142" s="4"/>
      <c r="NPB142" s="4"/>
      <c r="NPC142" s="4"/>
      <c r="NPD142" s="4"/>
      <c r="NPE142" s="4"/>
      <c r="NPF142" s="4"/>
      <c r="NPG142" s="4"/>
      <c r="NPH142" s="4"/>
      <c r="NPI142" s="4"/>
      <c r="NPJ142" s="4"/>
      <c r="NPK142" s="4"/>
      <c r="NPL142" s="4"/>
      <c r="NPM142" s="4"/>
      <c r="NPN142" s="4"/>
      <c r="NPO142" s="4"/>
      <c r="NPP142" s="4"/>
      <c r="NPQ142" s="4"/>
      <c r="NPR142" s="4"/>
      <c r="NPS142" s="4"/>
      <c r="NPT142" s="4"/>
      <c r="NPU142" s="4"/>
      <c r="NPV142" s="4"/>
      <c r="NPW142" s="4"/>
      <c r="NPX142" s="4"/>
      <c r="NPY142" s="4"/>
      <c r="NPZ142" s="4"/>
      <c r="NQA142" s="4"/>
      <c r="NQB142" s="4"/>
      <c r="NQC142" s="4"/>
      <c r="NQD142" s="4"/>
      <c r="NQE142" s="4"/>
      <c r="NQF142" s="4"/>
      <c r="NQG142" s="4"/>
      <c r="NQH142" s="4"/>
      <c r="NQI142" s="4"/>
      <c r="NQJ142" s="4"/>
      <c r="NQK142" s="4"/>
      <c r="NQL142" s="4"/>
      <c r="NQM142" s="4"/>
      <c r="NQN142" s="4"/>
      <c r="NQO142" s="4"/>
      <c r="NQP142" s="4"/>
      <c r="NQQ142" s="4"/>
      <c r="NQR142" s="4"/>
      <c r="NQS142" s="4"/>
      <c r="NQT142" s="4"/>
      <c r="NQU142" s="4"/>
      <c r="NQV142" s="4"/>
      <c r="NQW142" s="4"/>
      <c r="NQX142" s="4"/>
      <c r="NQY142" s="4"/>
      <c r="NQZ142" s="4"/>
      <c r="NRA142" s="4"/>
      <c r="NRB142" s="4"/>
      <c r="NRC142" s="4"/>
      <c r="NRD142" s="4"/>
      <c r="NRE142" s="4"/>
      <c r="NRF142" s="4"/>
      <c r="NRG142" s="4"/>
      <c r="NRH142" s="4"/>
      <c r="NRI142" s="4"/>
      <c r="NRJ142" s="4"/>
      <c r="NRK142" s="4"/>
      <c r="NRL142" s="4"/>
      <c r="NRM142" s="4"/>
      <c r="NRN142" s="4"/>
      <c r="NRO142" s="4"/>
      <c r="NRP142" s="4"/>
      <c r="NRQ142" s="4"/>
      <c r="NRR142" s="4"/>
      <c r="NRS142" s="4"/>
      <c r="NRT142" s="4"/>
      <c r="NRU142" s="4"/>
      <c r="NRV142" s="4"/>
      <c r="NRW142" s="4"/>
      <c r="NRX142" s="4"/>
      <c r="NRY142" s="4"/>
      <c r="NRZ142" s="4"/>
      <c r="NSA142" s="4"/>
      <c r="NSB142" s="4"/>
      <c r="NSC142" s="4"/>
      <c r="NSD142" s="4"/>
      <c r="NSE142" s="4"/>
      <c r="NSF142" s="4"/>
      <c r="NSG142" s="4"/>
      <c r="NSH142" s="4"/>
      <c r="NSI142" s="4"/>
      <c r="NSJ142" s="4"/>
      <c r="NSK142" s="4"/>
      <c r="NSL142" s="4"/>
      <c r="NSM142" s="4"/>
      <c r="NSN142" s="4"/>
      <c r="NSO142" s="4"/>
      <c r="NSP142" s="4"/>
      <c r="NSQ142" s="4"/>
      <c r="NSR142" s="4"/>
      <c r="NSS142" s="4"/>
      <c r="NST142" s="4"/>
      <c r="NSU142" s="4"/>
      <c r="NSV142" s="4"/>
      <c r="NSW142" s="4"/>
      <c r="NSX142" s="4"/>
      <c r="NSY142" s="4"/>
      <c r="NSZ142" s="4"/>
      <c r="NTA142" s="4"/>
      <c r="NTB142" s="4"/>
      <c r="NTC142" s="4"/>
      <c r="NTD142" s="4"/>
      <c r="NTE142" s="4"/>
      <c r="NTF142" s="4"/>
      <c r="NTG142" s="4"/>
      <c r="NTH142" s="4"/>
      <c r="NTI142" s="4"/>
      <c r="NTJ142" s="4"/>
      <c r="NTK142" s="4"/>
      <c r="NTL142" s="4"/>
      <c r="NTM142" s="4"/>
      <c r="NTN142" s="4"/>
      <c r="NTO142" s="4"/>
      <c r="NTP142" s="4"/>
      <c r="NTQ142" s="4"/>
      <c r="NTR142" s="4"/>
      <c r="NTS142" s="4"/>
      <c r="NTT142" s="4"/>
      <c r="NTU142" s="4"/>
      <c r="NTV142" s="4"/>
      <c r="NTW142" s="4"/>
      <c r="NTX142" s="4"/>
      <c r="NTY142" s="4"/>
      <c r="NTZ142" s="4"/>
      <c r="NUA142" s="4"/>
      <c r="NUB142" s="4"/>
      <c r="NUC142" s="4"/>
      <c r="NUD142" s="4"/>
      <c r="NUE142" s="4"/>
      <c r="NUF142" s="4"/>
      <c r="NUG142" s="4"/>
      <c r="NUH142" s="4"/>
      <c r="NUI142" s="4"/>
      <c r="NUJ142" s="4"/>
      <c r="NUK142" s="4"/>
      <c r="NUL142" s="4"/>
      <c r="NUM142" s="4"/>
      <c r="NUN142" s="4"/>
      <c r="NUO142" s="4"/>
      <c r="NUP142" s="4"/>
      <c r="NUQ142" s="4"/>
      <c r="NUR142" s="4"/>
      <c r="NUS142" s="4"/>
      <c r="NUT142" s="4"/>
      <c r="NUU142" s="4"/>
      <c r="NUV142" s="4"/>
      <c r="NUW142" s="4"/>
      <c r="NUX142" s="4"/>
      <c r="NUY142" s="4"/>
      <c r="NUZ142" s="4"/>
      <c r="NVA142" s="4"/>
      <c r="NVB142" s="4"/>
      <c r="NVC142" s="4"/>
      <c r="NVD142" s="4"/>
      <c r="NVE142" s="4"/>
      <c r="NVF142" s="4"/>
      <c r="NVG142" s="4"/>
      <c r="NVH142" s="4"/>
      <c r="NVI142" s="4"/>
      <c r="NVJ142" s="4"/>
      <c r="NVK142" s="4"/>
      <c r="NVL142" s="4"/>
      <c r="NVM142" s="4"/>
      <c r="NVN142" s="4"/>
      <c r="NVO142" s="4"/>
      <c r="NVP142" s="4"/>
      <c r="NVQ142" s="4"/>
      <c r="NVR142" s="4"/>
      <c r="NVS142" s="4"/>
      <c r="NVT142" s="4"/>
      <c r="NVU142" s="4"/>
      <c r="NVV142" s="4"/>
      <c r="NVW142" s="4"/>
      <c r="NVX142" s="4"/>
      <c r="NVY142" s="4"/>
      <c r="NVZ142" s="4"/>
      <c r="NWA142" s="4"/>
      <c r="NWB142" s="4"/>
      <c r="NWC142" s="4"/>
      <c r="NWD142" s="4"/>
      <c r="NWE142" s="4"/>
      <c r="NWF142" s="4"/>
      <c r="NWG142" s="4"/>
      <c r="NWH142" s="4"/>
      <c r="NWI142" s="4"/>
      <c r="NWJ142" s="4"/>
      <c r="NWK142" s="4"/>
      <c r="NWL142" s="4"/>
      <c r="NWM142" s="4"/>
      <c r="NWN142" s="4"/>
      <c r="NWO142" s="4"/>
      <c r="NWP142" s="4"/>
      <c r="NWQ142" s="4"/>
      <c r="NWR142" s="4"/>
      <c r="NWS142" s="4"/>
      <c r="NWT142" s="4"/>
      <c r="NWU142" s="4"/>
      <c r="NWV142" s="4"/>
      <c r="NWW142" s="4"/>
      <c r="NWX142" s="4"/>
      <c r="NWY142" s="4"/>
      <c r="NWZ142" s="4"/>
      <c r="NXA142" s="4"/>
      <c r="NXB142" s="4"/>
      <c r="NXC142" s="4"/>
      <c r="NXD142" s="4"/>
      <c r="NXE142" s="4"/>
      <c r="NXF142" s="4"/>
      <c r="NXG142" s="4"/>
      <c r="NXH142" s="4"/>
      <c r="NXI142" s="4"/>
      <c r="NXJ142" s="4"/>
      <c r="NXK142" s="4"/>
      <c r="NXL142" s="4"/>
      <c r="NXM142" s="4"/>
      <c r="NXN142" s="4"/>
      <c r="NXO142" s="4"/>
      <c r="NXP142" s="4"/>
      <c r="NXQ142" s="4"/>
      <c r="NXR142" s="4"/>
      <c r="NXS142" s="4"/>
      <c r="NXT142" s="4"/>
      <c r="NXU142" s="4"/>
      <c r="NXV142" s="4"/>
      <c r="NXW142" s="4"/>
      <c r="NXX142" s="4"/>
      <c r="NXY142" s="4"/>
      <c r="NXZ142" s="4"/>
      <c r="NYA142" s="4"/>
      <c r="NYB142" s="4"/>
      <c r="NYC142" s="4"/>
      <c r="NYD142" s="4"/>
      <c r="NYE142" s="4"/>
      <c r="NYF142" s="4"/>
      <c r="NYG142" s="4"/>
      <c r="NYH142" s="4"/>
      <c r="NYI142" s="4"/>
      <c r="NYJ142" s="4"/>
      <c r="NYK142" s="4"/>
      <c r="NYL142" s="4"/>
      <c r="NYM142" s="4"/>
      <c r="NYN142" s="4"/>
      <c r="NYO142" s="4"/>
      <c r="NYP142" s="4"/>
      <c r="NYQ142" s="4"/>
      <c r="NYR142" s="4"/>
      <c r="NYS142" s="4"/>
      <c r="NYT142" s="4"/>
      <c r="NYU142" s="4"/>
      <c r="NYV142" s="4"/>
      <c r="NYW142" s="4"/>
      <c r="NYX142" s="4"/>
      <c r="NYY142" s="4"/>
      <c r="NYZ142" s="4"/>
      <c r="NZA142" s="4"/>
      <c r="NZB142" s="4"/>
      <c r="NZC142" s="4"/>
      <c r="NZD142" s="4"/>
      <c r="NZE142" s="4"/>
      <c r="NZF142" s="4"/>
      <c r="NZG142" s="4"/>
      <c r="NZH142" s="4"/>
      <c r="NZI142" s="4"/>
      <c r="NZJ142" s="4"/>
      <c r="NZK142" s="4"/>
      <c r="NZL142" s="4"/>
      <c r="NZM142" s="4"/>
      <c r="NZN142" s="4"/>
      <c r="NZO142" s="4"/>
      <c r="NZP142" s="4"/>
      <c r="NZQ142" s="4"/>
      <c r="NZR142" s="4"/>
      <c r="NZS142" s="4"/>
      <c r="NZT142" s="4"/>
      <c r="NZU142" s="4"/>
      <c r="NZV142" s="4"/>
      <c r="NZW142" s="4"/>
      <c r="NZX142" s="4"/>
      <c r="NZY142" s="4"/>
      <c r="NZZ142" s="4"/>
      <c r="OAA142" s="4"/>
      <c r="OAB142" s="4"/>
      <c r="OAC142" s="4"/>
      <c r="OAD142" s="4"/>
      <c r="OAE142" s="4"/>
      <c r="OAF142" s="4"/>
      <c r="OAG142" s="4"/>
      <c r="OAH142" s="4"/>
      <c r="OAI142" s="4"/>
      <c r="OAJ142" s="4"/>
      <c r="OAK142" s="4"/>
      <c r="OAL142" s="4"/>
      <c r="OAM142" s="4"/>
      <c r="OAN142" s="4"/>
      <c r="OAO142" s="4"/>
      <c r="OAP142" s="4"/>
      <c r="OAQ142" s="4"/>
      <c r="OAR142" s="4"/>
      <c r="OAS142" s="4"/>
      <c r="OAT142" s="4"/>
      <c r="OAU142" s="4"/>
      <c r="OAV142" s="4"/>
      <c r="OAW142" s="4"/>
      <c r="OAX142" s="4"/>
      <c r="OAY142" s="4"/>
      <c r="OAZ142" s="4"/>
      <c r="OBA142" s="4"/>
      <c r="OBB142" s="4"/>
      <c r="OBC142" s="4"/>
      <c r="OBD142" s="4"/>
      <c r="OBE142" s="4"/>
      <c r="OBF142" s="4"/>
      <c r="OBG142" s="4"/>
      <c r="OBH142" s="4"/>
      <c r="OBI142" s="4"/>
      <c r="OBJ142" s="4"/>
      <c r="OBK142" s="4"/>
      <c r="OBL142" s="4"/>
      <c r="OBM142" s="4"/>
      <c r="OBN142" s="4"/>
      <c r="OBO142" s="4"/>
      <c r="OBP142" s="4"/>
      <c r="OBQ142" s="4"/>
      <c r="OBR142" s="4"/>
      <c r="OBS142" s="4"/>
      <c r="OBT142" s="4"/>
      <c r="OBU142" s="4"/>
      <c r="OBV142" s="4"/>
      <c r="OBW142" s="4"/>
      <c r="OBX142" s="4"/>
      <c r="OBY142" s="4"/>
      <c r="OBZ142" s="4"/>
      <c r="OCA142" s="4"/>
      <c r="OCB142" s="4"/>
      <c r="OCC142" s="4"/>
      <c r="OCD142" s="4"/>
      <c r="OCE142" s="4"/>
      <c r="OCF142" s="4"/>
      <c r="OCG142" s="4"/>
      <c r="OCH142" s="4"/>
      <c r="OCI142" s="4"/>
      <c r="OCJ142" s="4"/>
      <c r="OCK142" s="4"/>
      <c r="OCL142" s="4"/>
      <c r="OCM142" s="4"/>
      <c r="OCN142" s="4"/>
      <c r="OCO142" s="4"/>
      <c r="OCP142" s="4"/>
      <c r="OCQ142" s="4"/>
      <c r="OCR142" s="4"/>
      <c r="OCS142" s="4"/>
      <c r="OCT142" s="4"/>
      <c r="OCU142" s="4"/>
      <c r="OCV142" s="4"/>
      <c r="OCW142" s="4"/>
      <c r="OCX142" s="4"/>
      <c r="OCY142" s="4"/>
      <c r="OCZ142" s="4"/>
      <c r="ODA142" s="4"/>
      <c r="ODB142" s="4"/>
      <c r="ODC142" s="4"/>
      <c r="ODD142" s="4"/>
      <c r="ODE142" s="4"/>
      <c r="ODF142" s="4"/>
      <c r="ODG142" s="4"/>
      <c r="ODH142" s="4"/>
      <c r="ODI142" s="4"/>
      <c r="ODJ142" s="4"/>
      <c r="ODK142" s="4"/>
      <c r="ODL142" s="4"/>
      <c r="ODM142" s="4"/>
      <c r="ODN142" s="4"/>
      <c r="ODO142" s="4"/>
      <c r="ODP142" s="4"/>
      <c r="ODQ142" s="4"/>
      <c r="ODR142" s="4"/>
      <c r="ODS142" s="4"/>
      <c r="ODT142" s="4"/>
      <c r="ODU142" s="4"/>
      <c r="ODV142" s="4"/>
      <c r="ODW142" s="4"/>
      <c r="ODX142" s="4"/>
      <c r="ODY142" s="4"/>
      <c r="ODZ142" s="4"/>
      <c r="OEA142" s="4"/>
      <c r="OEB142" s="4"/>
      <c r="OEC142" s="4"/>
      <c r="OED142" s="4"/>
      <c r="OEE142" s="4"/>
      <c r="OEF142" s="4"/>
      <c r="OEG142" s="4"/>
      <c r="OEH142" s="4"/>
      <c r="OEI142" s="4"/>
      <c r="OEJ142" s="4"/>
      <c r="OEK142" s="4"/>
      <c r="OEL142" s="4"/>
      <c r="OEM142" s="4"/>
      <c r="OEN142" s="4"/>
      <c r="OEO142" s="4"/>
      <c r="OEP142" s="4"/>
      <c r="OEQ142" s="4"/>
      <c r="OER142" s="4"/>
      <c r="OES142" s="4"/>
      <c r="OET142" s="4"/>
      <c r="OEU142" s="4"/>
      <c r="OEV142" s="4"/>
      <c r="OEW142" s="4"/>
      <c r="OEX142" s="4"/>
      <c r="OEY142" s="4"/>
      <c r="OEZ142" s="4"/>
      <c r="OFA142" s="4"/>
      <c r="OFB142" s="4"/>
      <c r="OFC142" s="4"/>
      <c r="OFD142" s="4"/>
      <c r="OFE142" s="4"/>
      <c r="OFF142" s="4"/>
      <c r="OFG142" s="4"/>
      <c r="OFH142" s="4"/>
      <c r="OFI142" s="4"/>
      <c r="OFJ142" s="4"/>
      <c r="OFK142" s="4"/>
      <c r="OFL142" s="4"/>
      <c r="OFM142" s="4"/>
      <c r="OFN142" s="4"/>
      <c r="OFO142" s="4"/>
      <c r="OFP142" s="4"/>
      <c r="OFQ142" s="4"/>
      <c r="OFR142" s="4"/>
      <c r="OFS142" s="4"/>
      <c r="OFT142" s="4"/>
      <c r="OFU142" s="4"/>
      <c r="OFV142" s="4"/>
      <c r="OFW142" s="4"/>
      <c r="OFX142" s="4"/>
      <c r="OFY142" s="4"/>
      <c r="OFZ142" s="4"/>
      <c r="OGA142" s="4"/>
      <c r="OGB142" s="4"/>
      <c r="OGC142" s="4"/>
      <c r="OGD142" s="4"/>
      <c r="OGE142" s="4"/>
      <c r="OGF142" s="4"/>
      <c r="OGG142" s="4"/>
      <c r="OGH142" s="4"/>
      <c r="OGI142" s="4"/>
      <c r="OGJ142" s="4"/>
      <c r="OGK142" s="4"/>
      <c r="OGL142" s="4"/>
      <c r="OGM142" s="4"/>
      <c r="OGN142" s="4"/>
      <c r="OGO142" s="4"/>
      <c r="OGP142" s="4"/>
      <c r="OGQ142" s="4"/>
      <c r="OGR142" s="4"/>
      <c r="OGS142" s="4"/>
      <c r="OGT142" s="4"/>
      <c r="OGU142" s="4"/>
      <c r="OGV142" s="4"/>
      <c r="OGW142" s="4"/>
      <c r="OGX142" s="4"/>
      <c r="OGY142" s="4"/>
      <c r="OGZ142" s="4"/>
      <c r="OHA142" s="4"/>
      <c r="OHB142" s="4"/>
      <c r="OHC142" s="4"/>
      <c r="OHD142" s="4"/>
      <c r="OHE142" s="4"/>
      <c r="OHF142" s="4"/>
      <c r="OHG142" s="4"/>
      <c r="OHH142" s="4"/>
      <c r="OHI142" s="4"/>
      <c r="OHJ142" s="4"/>
      <c r="OHK142" s="4"/>
      <c r="OHL142" s="4"/>
      <c r="OHM142" s="4"/>
      <c r="OHN142" s="4"/>
      <c r="OHO142" s="4"/>
      <c r="OHP142" s="4"/>
      <c r="OHQ142" s="4"/>
      <c r="OHR142" s="4"/>
      <c r="OHS142" s="4"/>
      <c r="OHT142" s="4"/>
      <c r="OHU142" s="4"/>
      <c r="OHV142" s="4"/>
      <c r="OHW142" s="4"/>
      <c r="OHX142" s="4"/>
      <c r="OHY142" s="4"/>
      <c r="OHZ142" s="4"/>
      <c r="OIA142" s="4"/>
      <c r="OIB142" s="4"/>
      <c r="OIC142" s="4"/>
      <c r="OID142" s="4"/>
      <c r="OIE142" s="4"/>
      <c r="OIF142" s="4"/>
      <c r="OIG142" s="4"/>
      <c r="OIH142" s="4"/>
      <c r="OII142" s="4"/>
      <c r="OIJ142" s="4"/>
      <c r="OIK142" s="4"/>
      <c r="OIL142" s="4"/>
      <c r="OIM142" s="4"/>
      <c r="OIN142" s="4"/>
      <c r="OIO142" s="4"/>
      <c r="OIP142" s="4"/>
      <c r="OIQ142" s="4"/>
      <c r="OIR142" s="4"/>
      <c r="OIS142" s="4"/>
      <c r="OIT142" s="4"/>
      <c r="OIU142" s="4"/>
      <c r="OIV142" s="4"/>
      <c r="OIW142" s="4"/>
      <c r="OIX142" s="4"/>
      <c r="OIY142" s="4"/>
      <c r="OIZ142" s="4"/>
      <c r="OJA142" s="4"/>
      <c r="OJB142" s="4"/>
      <c r="OJC142" s="4"/>
      <c r="OJD142" s="4"/>
      <c r="OJE142" s="4"/>
      <c r="OJF142" s="4"/>
      <c r="OJG142" s="4"/>
      <c r="OJH142" s="4"/>
      <c r="OJI142" s="4"/>
      <c r="OJJ142" s="4"/>
      <c r="OJK142" s="4"/>
      <c r="OJL142" s="4"/>
      <c r="OJM142" s="4"/>
      <c r="OJN142" s="4"/>
      <c r="OJO142" s="4"/>
      <c r="OJP142" s="4"/>
      <c r="OJQ142" s="4"/>
      <c r="OJR142" s="4"/>
      <c r="OJS142" s="4"/>
      <c r="OJT142" s="4"/>
      <c r="OJU142" s="4"/>
      <c r="OJV142" s="4"/>
      <c r="OJW142" s="4"/>
      <c r="OJX142" s="4"/>
      <c r="OJY142" s="4"/>
      <c r="OJZ142" s="4"/>
      <c r="OKA142" s="4"/>
      <c r="OKB142" s="4"/>
      <c r="OKC142" s="4"/>
      <c r="OKD142" s="4"/>
      <c r="OKE142" s="4"/>
      <c r="OKF142" s="4"/>
      <c r="OKG142" s="4"/>
      <c r="OKH142" s="4"/>
      <c r="OKI142" s="4"/>
      <c r="OKJ142" s="4"/>
      <c r="OKK142" s="4"/>
      <c r="OKL142" s="4"/>
      <c r="OKM142" s="4"/>
      <c r="OKN142" s="4"/>
      <c r="OKO142" s="4"/>
      <c r="OKP142" s="4"/>
      <c r="OKQ142" s="4"/>
      <c r="OKR142" s="4"/>
      <c r="OKS142" s="4"/>
      <c r="OKT142" s="4"/>
      <c r="OKU142" s="4"/>
      <c r="OKV142" s="4"/>
      <c r="OKW142" s="4"/>
      <c r="OKX142" s="4"/>
      <c r="OKY142" s="4"/>
      <c r="OKZ142" s="4"/>
      <c r="OLA142" s="4"/>
      <c r="OLB142" s="4"/>
      <c r="OLC142" s="4"/>
      <c r="OLD142" s="4"/>
      <c r="OLE142" s="4"/>
      <c r="OLF142" s="4"/>
      <c r="OLG142" s="4"/>
      <c r="OLH142" s="4"/>
      <c r="OLI142" s="4"/>
      <c r="OLJ142" s="4"/>
      <c r="OLK142" s="4"/>
      <c r="OLL142" s="4"/>
      <c r="OLM142" s="4"/>
      <c r="OLN142" s="4"/>
      <c r="OLO142" s="4"/>
      <c r="OLP142" s="4"/>
      <c r="OLQ142" s="4"/>
      <c r="OLR142" s="4"/>
      <c r="OLS142" s="4"/>
      <c r="OLT142" s="4"/>
      <c r="OLU142" s="4"/>
      <c r="OLV142" s="4"/>
      <c r="OLW142" s="4"/>
      <c r="OLX142" s="4"/>
      <c r="OLY142" s="4"/>
      <c r="OLZ142" s="4"/>
      <c r="OMA142" s="4"/>
      <c r="OMB142" s="4"/>
      <c r="OMC142" s="4"/>
      <c r="OMD142" s="4"/>
      <c r="OME142" s="4"/>
      <c r="OMF142" s="4"/>
      <c r="OMG142" s="4"/>
      <c r="OMH142" s="4"/>
      <c r="OMI142" s="4"/>
      <c r="OMJ142" s="4"/>
      <c r="OMK142" s="4"/>
      <c r="OML142" s="4"/>
      <c r="OMM142" s="4"/>
      <c r="OMN142" s="4"/>
      <c r="OMO142" s="4"/>
      <c r="OMP142" s="4"/>
      <c r="OMQ142" s="4"/>
      <c r="OMR142" s="4"/>
      <c r="OMS142" s="4"/>
      <c r="OMT142" s="4"/>
      <c r="OMU142" s="4"/>
      <c r="OMV142" s="4"/>
      <c r="OMW142" s="4"/>
      <c r="OMX142" s="4"/>
      <c r="OMY142" s="4"/>
      <c r="OMZ142" s="4"/>
      <c r="ONA142" s="4"/>
      <c r="ONB142" s="4"/>
      <c r="ONC142" s="4"/>
      <c r="OND142" s="4"/>
      <c r="ONE142" s="4"/>
      <c r="ONF142" s="4"/>
      <c r="ONG142" s="4"/>
      <c r="ONH142" s="4"/>
      <c r="ONI142" s="4"/>
      <c r="ONJ142" s="4"/>
      <c r="ONK142" s="4"/>
      <c r="ONL142" s="4"/>
      <c r="ONM142" s="4"/>
      <c r="ONN142" s="4"/>
      <c r="ONO142" s="4"/>
      <c r="ONP142" s="4"/>
      <c r="ONQ142" s="4"/>
      <c r="ONR142" s="4"/>
      <c r="ONS142" s="4"/>
      <c r="ONT142" s="4"/>
      <c r="ONU142" s="4"/>
      <c r="ONV142" s="4"/>
      <c r="ONW142" s="4"/>
      <c r="ONX142" s="4"/>
      <c r="ONY142" s="4"/>
      <c r="ONZ142" s="4"/>
      <c r="OOA142" s="4"/>
      <c r="OOB142" s="4"/>
      <c r="OOC142" s="4"/>
      <c r="OOD142" s="4"/>
      <c r="OOE142" s="4"/>
      <c r="OOF142" s="4"/>
      <c r="OOG142" s="4"/>
      <c r="OOH142" s="4"/>
      <c r="OOI142" s="4"/>
      <c r="OOJ142" s="4"/>
      <c r="OOK142" s="4"/>
      <c r="OOL142" s="4"/>
      <c r="OOM142" s="4"/>
      <c r="OON142" s="4"/>
      <c r="OOO142" s="4"/>
      <c r="OOP142" s="4"/>
      <c r="OOQ142" s="4"/>
      <c r="OOR142" s="4"/>
      <c r="OOS142" s="4"/>
      <c r="OOT142" s="4"/>
      <c r="OOU142" s="4"/>
      <c r="OOV142" s="4"/>
      <c r="OOW142" s="4"/>
      <c r="OOX142" s="4"/>
      <c r="OOY142" s="4"/>
      <c r="OOZ142" s="4"/>
      <c r="OPA142" s="4"/>
      <c r="OPB142" s="4"/>
      <c r="OPC142" s="4"/>
      <c r="OPD142" s="4"/>
      <c r="OPE142" s="4"/>
      <c r="OPF142" s="4"/>
      <c r="OPG142" s="4"/>
      <c r="OPH142" s="4"/>
      <c r="OPI142" s="4"/>
      <c r="OPJ142" s="4"/>
      <c r="OPK142" s="4"/>
      <c r="OPL142" s="4"/>
      <c r="OPM142" s="4"/>
      <c r="OPN142" s="4"/>
      <c r="OPO142" s="4"/>
      <c r="OPP142" s="4"/>
      <c r="OPQ142" s="4"/>
      <c r="OPR142" s="4"/>
      <c r="OPS142" s="4"/>
      <c r="OPT142" s="4"/>
      <c r="OPU142" s="4"/>
      <c r="OPV142" s="4"/>
      <c r="OPW142" s="4"/>
      <c r="OPX142" s="4"/>
      <c r="OPY142" s="4"/>
      <c r="OPZ142" s="4"/>
      <c r="OQA142" s="4"/>
      <c r="OQB142" s="4"/>
      <c r="OQC142" s="4"/>
      <c r="OQD142" s="4"/>
      <c r="OQE142" s="4"/>
      <c r="OQF142" s="4"/>
      <c r="OQG142" s="4"/>
      <c r="OQH142" s="4"/>
      <c r="OQI142" s="4"/>
      <c r="OQJ142" s="4"/>
      <c r="OQK142" s="4"/>
      <c r="OQL142" s="4"/>
      <c r="OQM142" s="4"/>
      <c r="OQN142" s="4"/>
      <c r="OQO142" s="4"/>
      <c r="OQP142" s="4"/>
      <c r="OQQ142" s="4"/>
      <c r="OQR142" s="4"/>
      <c r="OQS142" s="4"/>
      <c r="OQT142" s="4"/>
      <c r="OQU142" s="4"/>
      <c r="OQV142" s="4"/>
      <c r="OQW142" s="4"/>
      <c r="OQX142" s="4"/>
      <c r="OQY142" s="4"/>
      <c r="OQZ142" s="4"/>
      <c r="ORA142" s="4"/>
      <c r="ORB142" s="4"/>
      <c r="ORC142" s="4"/>
      <c r="ORD142" s="4"/>
      <c r="ORE142" s="4"/>
      <c r="ORF142" s="4"/>
      <c r="ORG142" s="4"/>
      <c r="ORH142" s="4"/>
      <c r="ORI142" s="4"/>
      <c r="ORJ142" s="4"/>
      <c r="ORK142" s="4"/>
      <c r="ORL142" s="4"/>
      <c r="ORM142" s="4"/>
      <c r="ORN142" s="4"/>
      <c r="ORO142" s="4"/>
      <c r="ORP142" s="4"/>
      <c r="ORQ142" s="4"/>
      <c r="ORR142" s="4"/>
      <c r="ORS142" s="4"/>
      <c r="ORT142" s="4"/>
      <c r="ORU142" s="4"/>
      <c r="ORV142" s="4"/>
      <c r="ORW142" s="4"/>
      <c r="ORX142" s="4"/>
      <c r="ORY142" s="4"/>
      <c r="ORZ142" s="4"/>
      <c r="OSA142" s="4"/>
      <c r="OSB142" s="4"/>
      <c r="OSC142" s="4"/>
      <c r="OSD142" s="4"/>
      <c r="OSE142" s="4"/>
      <c r="OSF142" s="4"/>
      <c r="OSG142" s="4"/>
      <c r="OSH142" s="4"/>
      <c r="OSI142" s="4"/>
      <c r="OSJ142" s="4"/>
      <c r="OSK142" s="4"/>
      <c r="OSL142" s="4"/>
      <c r="OSM142" s="4"/>
      <c r="OSN142" s="4"/>
      <c r="OSO142" s="4"/>
      <c r="OSP142" s="4"/>
      <c r="OSQ142" s="4"/>
      <c r="OSR142" s="4"/>
      <c r="OSS142" s="4"/>
      <c r="OST142" s="4"/>
      <c r="OSU142" s="4"/>
      <c r="OSV142" s="4"/>
      <c r="OSW142" s="4"/>
      <c r="OSX142" s="4"/>
      <c r="OSY142" s="4"/>
      <c r="OSZ142" s="4"/>
      <c r="OTA142" s="4"/>
      <c r="OTB142" s="4"/>
      <c r="OTC142" s="4"/>
      <c r="OTD142" s="4"/>
      <c r="OTE142" s="4"/>
      <c r="OTF142" s="4"/>
      <c r="OTG142" s="4"/>
      <c r="OTH142" s="4"/>
      <c r="OTI142" s="4"/>
      <c r="OTJ142" s="4"/>
      <c r="OTK142" s="4"/>
      <c r="OTL142" s="4"/>
      <c r="OTM142" s="4"/>
      <c r="OTN142" s="4"/>
      <c r="OTO142" s="4"/>
      <c r="OTP142" s="4"/>
      <c r="OTQ142" s="4"/>
      <c r="OTR142" s="4"/>
      <c r="OTS142" s="4"/>
      <c r="OTT142" s="4"/>
      <c r="OTU142" s="4"/>
      <c r="OTV142" s="4"/>
      <c r="OTW142" s="4"/>
      <c r="OTX142" s="4"/>
      <c r="OTY142" s="4"/>
      <c r="OTZ142" s="4"/>
      <c r="OUA142" s="4"/>
      <c r="OUB142" s="4"/>
      <c r="OUC142" s="4"/>
      <c r="OUD142" s="4"/>
      <c r="OUE142" s="4"/>
      <c r="OUF142" s="4"/>
      <c r="OUG142" s="4"/>
      <c r="OUH142" s="4"/>
      <c r="OUI142" s="4"/>
      <c r="OUJ142" s="4"/>
      <c r="OUK142" s="4"/>
      <c r="OUL142" s="4"/>
      <c r="OUM142" s="4"/>
      <c r="OUN142" s="4"/>
      <c r="OUO142" s="4"/>
      <c r="OUP142" s="4"/>
      <c r="OUQ142" s="4"/>
      <c r="OUR142" s="4"/>
      <c r="OUS142" s="4"/>
      <c r="OUT142" s="4"/>
      <c r="OUU142" s="4"/>
      <c r="OUV142" s="4"/>
      <c r="OUW142" s="4"/>
      <c r="OUX142" s="4"/>
      <c r="OUY142" s="4"/>
      <c r="OUZ142" s="4"/>
      <c r="OVA142" s="4"/>
      <c r="OVB142" s="4"/>
      <c r="OVC142" s="4"/>
      <c r="OVD142" s="4"/>
      <c r="OVE142" s="4"/>
      <c r="OVF142" s="4"/>
      <c r="OVG142" s="4"/>
      <c r="OVH142" s="4"/>
      <c r="OVI142" s="4"/>
      <c r="OVJ142" s="4"/>
      <c r="OVK142" s="4"/>
      <c r="OVL142" s="4"/>
      <c r="OVM142" s="4"/>
      <c r="OVN142" s="4"/>
      <c r="OVO142" s="4"/>
      <c r="OVP142" s="4"/>
      <c r="OVQ142" s="4"/>
      <c r="OVR142" s="4"/>
      <c r="OVS142" s="4"/>
      <c r="OVT142" s="4"/>
      <c r="OVU142" s="4"/>
      <c r="OVV142" s="4"/>
      <c r="OVW142" s="4"/>
      <c r="OVX142" s="4"/>
      <c r="OVY142" s="4"/>
      <c r="OVZ142" s="4"/>
      <c r="OWA142" s="4"/>
      <c r="OWB142" s="4"/>
      <c r="OWC142" s="4"/>
      <c r="OWD142" s="4"/>
      <c r="OWE142" s="4"/>
      <c r="OWF142" s="4"/>
      <c r="OWG142" s="4"/>
      <c r="OWH142" s="4"/>
      <c r="OWI142" s="4"/>
      <c r="OWJ142" s="4"/>
      <c r="OWK142" s="4"/>
      <c r="OWL142" s="4"/>
      <c r="OWM142" s="4"/>
      <c r="OWN142" s="4"/>
      <c r="OWO142" s="4"/>
      <c r="OWP142" s="4"/>
      <c r="OWQ142" s="4"/>
      <c r="OWR142" s="4"/>
      <c r="OWS142" s="4"/>
      <c r="OWT142" s="4"/>
      <c r="OWU142" s="4"/>
      <c r="OWV142" s="4"/>
      <c r="OWW142" s="4"/>
      <c r="OWX142" s="4"/>
      <c r="OWY142" s="4"/>
      <c r="OWZ142" s="4"/>
      <c r="OXA142" s="4"/>
      <c r="OXB142" s="4"/>
      <c r="OXC142" s="4"/>
      <c r="OXD142" s="4"/>
      <c r="OXE142" s="4"/>
      <c r="OXF142" s="4"/>
      <c r="OXG142" s="4"/>
      <c r="OXH142" s="4"/>
      <c r="OXI142" s="4"/>
      <c r="OXJ142" s="4"/>
      <c r="OXK142" s="4"/>
      <c r="OXL142" s="4"/>
      <c r="OXM142" s="4"/>
      <c r="OXN142" s="4"/>
      <c r="OXO142" s="4"/>
      <c r="OXP142" s="4"/>
      <c r="OXQ142" s="4"/>
      <c r="OXR142" s="4"/>
      <c r="OXS142" s="4"/>
      <c r="OXT142" s="4"/>
      <c r="OXU142" s="4"/>
      <c r="OXV142" s="4"/>
      <c r="OXW142" s="4"/>
      <c r="OXX142" s="4"/>
      <c r="OXY142" s="4"/>
      <c r="OXZ142" s="4"/>
      <c r="OYA142" s="4"/>
      <c r="OYB142" s="4"/>
      <c r="OYC142" s="4"/>
      <c r="OYD142" s="4"/>
      <c r="OYE142" s="4"/>
      <c r="OYF142" s="4"/>
      <c r="OYG142" s="4"/>
      <c r="OYH142" s="4"/>
      <c r="OYI142" s="4"/>
      <c r="OYJ142" s="4"/>
      <c r="OYK142" s="4"/>
      <c r="OYL142" s="4"/>
      <c r="OYM142" s="4"/>
      <c r="OYN142" s="4"/>
      <c r="OYO142" s="4"/>
      <c r="OYP142" s="4"/>
      <c r="OYQ142" s="4"/>
      <c r="OYR142" s="4"/>
      <c r="OYS142" s="4"/>
      <c r="OYT142" s="4"/>
      <c r="OYU142" s="4"/>
      <c r="OYV142" s="4"/>
      <c r="OYW142" s="4"/>
      <c r="OYX142" s="4"/>
      <c r="OYY142" s="4"/>
      <c r="OYZ142" s="4"/>
      <c r="OZA142" s="4"/>
      <c r="OZB142" s="4"/>
      <c r="OZC142" s="4"/>
      <c r="OZD142" s="4"/>
      <c r="OZE142" s="4"/>
      <c r="OZF142" s="4"/>
      <c r="OZG142" s="4"/>
      <c r="OZH142" s="4"/>
      <c r="OZI142" s="4"/>
      <c r="OZJ142" s="4"/>
      <c r="OZK142" s="4"/>
      <c r="OZL142" s="4"/>
      <c r="OZM142" s="4"/>
      <c r="OZN142" s="4"/>
      <c r="OZO142" s="4"/>
      <c r="OZP142" s="4"/>
      <c r="OZQ142" s="4"/>
      <c r="OZR142" s="4"/>
      <c r="OZS142" s="4"/>
      <c r="OZT142" s="4"/>
      <c r="OZU142" s="4"/>
      <c r="OZV142" s="4"/>
      <c r="OZW142" s="4"/>
      <c r="OZX142" s="4"/>
      <c r="OZY142" s="4"/>
      <c r="OZZ142" s="4"/>
      <c r="PAA142" s="4"/>
      <c r="PAB142" s="4"/>
      <c r="PAC142" s="4"/>
      <c r="PAD142" s="4"/>
      <c r="PAE142" s="4"/>
      <c r="PAF142" s="4"/>
      <c r="PAG142" s="4"/>
      <c r="PAH142" s="4"/>
      <c r="PAI142" s="4"/>
      <c r="PAJ142" s="4"/>
      <c r="PAK142" s="4"/>
      <c r="PAL142" s="4"/>
      <c r="PAM142" s="4"/>
      <c r="PAN142" s="4"/>
      <c r="PAO142" s="4"/>
      <c r="PAP142" s="4"/>
      <c r="PAQ142" s="4"/>
      <c r="PAR142" s="4"/>
      <c r="PAS142" s="4"/>
      <c r="PAT142" s="4"/>
      <c r="PAU142" s="4"/>
      <c r="PAV142" s="4"/>
      <c r="PAW142" s="4"/>
      <c r="PAX142" s="4"/>
      <c r="PAY142" s="4"/>
      <c r="PAZ142" s="4"/>
      <c r="PBA142" s="4"/>
      <c r="PBB142" s="4"/>
      <c r="PBC142" s="4"/>
      <c r="PBD142" s="4"/>
      <c r="PBE142" s="4"/>
      <c r="PBF142" s="4"/>
      <c r="PBG142" s="4"/>
      <c r="PBH142" s="4"/>
      <c r="PBI142" s="4"/>
      <c r="PBJ142" s="4"/>
      <c r="PBK142" s="4"/>
      <c r="PBL142" s="4"/>
      <c r="PBM142" s="4"/>
      <c r="PBN142" s="4"/>
      <c r="PBO142" s="4"/>
      <c r="PBP142" s="4"/>
      <c r="PBQ142" s="4"/>
      <c r="PBR142" s="4"/>
      <c r="PBS142" s="4"/>
      <c r="PBT142" s="4"/>
      <c r="PBU142" s="4"/>
      <c r="PBV142" s="4"/>
      <c r="PBW142" s="4"/>
      <c r="PBX142" s="4"/>
      <c r="PBY142" s="4"/>
      <c r="PBZ142" s="4"/>
      <c r="PCA142" s="4"/>
      <c r="PCB142" s="4"/>
      <c r="PCC142" s="4"/>
      <c r="PCD142" s="4"/>
      <c r="PCE142" s="4"/>
      <c r="PCF142" s="4"/>
      <c r="PCG142" s="4"/>
      <c r="PCH142" s="4"/>
      <c r="PCI142" s="4"/>
      <c r="PCJ142" s="4"/>
      <c r="PCK142" s="4"/>
      <c r="PCL142" s="4"/>
      <c r="PCM142" s="4"/>
      <c r="PCN142" s="4"/>
      <c r="PCO142" s="4"/>
      <c r="PCP142" s="4"/>
      <c r="PCQ142" s="4"/>
      <c r="PCR142" s="4"/>
      <c r="PCS142" s="4"/>
      <c r="PCT142" s="4"/>
      <c r="PCU142" s="4"/>
      <c r="PCV142" s="4"/>
      <c r="PCW142" s="4"/>
      <c r="PCX142" s="4"/>
      <c r="PCY142" s="4"/>
      <c r="PCZ142" s="4"/>
      <c r="PDA142" s="4"/>
      <c r="PDB142" s="4"/>
      <c r="PDC142" s="4"/>
      <c r="PDD142" s="4"/>
      <c r="PDE142" s="4"/>
      <c r="PDF142" s="4"/>
      <c r="PDG142" s="4"/>
      <c r="PDH142" s="4"/>
      <c r="PDI142" s="4"/>
      <c r="PDJ142" s="4"/>
      <c r="PDK142" s="4"/>
      <c r="PDL142" s="4"/>
      <c r="PDM142" s="4"/>
      <c r="PDN142" s="4"/>
      <c r="PDO142" s="4"/>
      <c r="PDP142" s="4"/>
      <c r="PDQ142" s="4"/>
      <c r="PDR142" s="4"/>
      <c r="PDS142" s="4"/>
      <c r="PDT142" s="4"/>
      <c r="PDU142" s="4"/>
      <c r="PDV142" s="4"/>
      <c r="PDW142" s="4"/>
      <c r="PDX142" s="4"/>
      <c r="PDY142" s="4"/>
      <c r="PDZ142" s="4"/>
      <c r="PEA142" s="4"/>
      <c r="PEB142" s="4"/>
      <c r="PEC142" s="4"/>
      <c r="PED142" s="4"/>
      <c r="PEE142" s="4"/>
      <c r="PEF142" s="4"/>
      <c r="PEG142" s="4"/>
      <c r="PEH142" s="4"/>
      <c r="PEI142" s="4"/>
      <c r="PEJ142" s="4"/>
      <c r="PEK142" s="4"/>
      <c r="PEL142" s="4"/>
      <c r="PEM142" s="4"/>
      <c r="PEN142" s="4"/>
      <c r="PEO142" s="4"/>
      <c r="PEP142" s="4"/>
      <c r="PEQ142" s="4"/>
      <c r="PER142" s="4"/>
      <c r="PES142" s="4"/>
      <c r="PET142" s="4"/>
      <c r="PEU142" s="4"/>
      <c r="PEV142" s="4"/>
      <c r="PEW142" s="4"/>
      <c r="PEX142" s="4"/>
      <c r="PEY142" s="4"/>
      <c r="PEZ142" s="4"/>
      <c r="PFA142" s="4"/>
      <c r="PFB142" s="4"/>
      <c r="PFC142" s="4"/>
      <c r="PFD142" s="4"/>
      <c r="PFE142" s="4"/>
      <c r="PFF142" s="4"/>
      <c r="PFG142" s="4"/>
      <c r="PFH142" s="4"/>
      <c r="PFI142" s="4"/>
      <c r="PFJ142" s="4"/>
      <c r="PFK142" s="4"/>
      <c r="PFL142" s="4"/>
      <c r="PFM142" s="4"/>
      <c r="PFN142" s="4"/>
      <c r="PFO142" s="4"/>
      <c r="PFP142" s="4"/>
      <c r="PFQ142" s="4"/>
      <c r="PFR142" s="4"/>
      <c r="PFS142" s="4"/>
      <c r="PFT142" s="4"/>
      <c r="PFU142" s="4"/>
      <c r="PFV142" s="4"/>
      <c r="PFW142" s="4"/>
      <c r="PFX142" s="4"/>
      <c r="PFY142" s="4"/>
      <c r="PFZ142" s="4"/>
      <c r="PGA142" s="4"/>
      <c r="PGB142" s="4"/>
      <c r="PGC142" s="4"/>
      <c r="PGD142" s="4"/>
      <c r="PGE142" s="4"/>
      <c r="PGF142" s="4"/>
      <c r="PGG142" s="4"/>
      <c r="PGH142" s="4"/>
      <c r="PGI142" s="4"/>
      <c r="PGJ142" s="4"/>
      <c r="PGK142" s="4"/>
      <c r="PGL142" s="4"/>
      <c r="PGM142" s="4"/>
      <c r="PGN142" s="4"/>
      <c r="PGO142" s="4"/>
      <c r="PGP142" s="4"/>
      <c r="PGQ142" s="4"/>
      <c r="PGR142" s="4"/>
      <c r="PGS142" s="4"/>
      <c r="PGT142" s="4"/>
      <c r="PGU142" s="4"/>
      <c r="PGV142" s="4"/>
      <c r="PGW142" s="4"/>
      <c r="PGX142" s="4"/>
      <c r="PGY142" s="4"/>
      <c r="PGZ142" s="4"/>
      <c r="PHA142" s="4"/>
      <c r="PHB142" s="4"/>
      <c r="PHC142" s="4"/>
      <c r="PHD142" s="4"/>
      <c r="PHE142" s="4"/>
      <c r="PHF142" s="4"/>
      <c r="PHG142" s="4"/>
      <c r="PHH142" s="4"/>
      <c r="PHI142" s="4"/>
      <c r="PHJ142" s="4"/>
      <c r="PHK142" s="4"/>
      <c r="PHL142" s="4"/>
      <c r="PHM142" s="4"/>
      <c r="PHN142" s="4"/>
      <c r="PHO142" s="4"/>
      <c r="PHP142" s="4"/>
      <c r="PHQ142" s="4"/>
      <c r="PHR142" s="4"/>
      <c r="PHS142" s="4"/>
      <c r="PHT142" s="4"/>
      <c r="PHU142" s="4"/>
      <c r="PHV142" s="4"/>
      <c r="PHW142" s="4"/>
      <c r="PHX142" s="4"/>
      <c r="PHY142" s="4"/>
      <c r="PHZ142" s="4"/>
      <c r="PIA142" s="4"/>
      <c r="PIB142" s="4"/>
      <c r="PIC142" s="4"/>
      <c r="PID142" s="4"/>
      <c r="PIE142" s="4"/>
      <c r="PIF142" s="4"/>
      <c r="PIG142" s="4"/>
      <c r="PIH142" s="4"/>
      <c r="PII142" s="4"/>
      <c r="PIJ142" s="4"/>
      <c r="PIK142" s="4"/>
      <c r="PIL142" s="4"/>
      <c r="PIM142" s="4"/>
      <c r="PIN142" s="4"/>
      <c r="PIO142" s="4"/>
      <c r="PIP142" s="4"/>
      <c r="PIQ142" s="4"/>
      <c r="PIR142" s="4"/>
      <c r="PIS142" s="4"/>
      <c r="PIT142" s="4"/>
      <c r="PIU142" s="4"/>
      <c r="PIV142" s="4"/>
      <c r="PIW142" s="4"/>
      <c r="PIX142" s="4"/>
      <c r="PIY142" s="4"/>
      <c r="PIZ142" s="4"/>
      <c r="PJA142" s="4"/>
      <c r="PJB142" s="4"/>
      <c r="PJC142" s="4"/>
      <c r="PJD142" s="4"/>
      <c r="PJE142" s="4"/>
      <c r="PJF142" s="4"/>
      <c r="PJG142" s="4"/>
      <c r="PJH142" s="4"/>
      <c r="PJI142" s="4"/>
      <c r="PJJ142" s="4"/>
      <c r="PJK142" s="4"/>
      <c r="PJL142" s="4"/>
      <c r="PJM142" s="4"/>
      <c r="PJN142" s="4"/>
      <c r="PJO142" s="4"/>
      <c r="PJP142" s="4"/>
      <c r="PJQ142" s="4"/>
      <c r="PJR142" s="4"/>
      <c r="PJS142" s="4"/>
      <c r="PJT142" s="4"/>
      <c r="PJU142" s="4"/>
      <c r="PJV142" s="4"/>
      <c r="PJW142" s="4"/>
      <c r="PJX142" s="4"/>
      <c r="PJY142" s="4"/>
      <c r="PJZ142" s="4"/>
      <c r="PKA142" s="4"/>
      <c r="PKB142" s="4"/>
      <c r="PKC142" s="4"/>
      <c r="PKD142" s="4"/>
      <c r="PKE142" s="4"/>
      <c r="PKF142" s="4"/>
      <c r="PKG142" s="4"/>
      <c r="PKH142" s="4"/>
      <c r="PKI142" s="4"/>
      <c r="PKJ142" s="4"/>
      <c r="PKK142" s="4"/>
      <c r="PKL142" s="4"/>
      <c r="PKM142" s="4"/>
      <c r="PKN142" s="4"/>
      <c r="PKO142" s="4"/>
      <c r="PKP142" s="4"/>
      <c r="PKQ142" s="4"/>
      <c r="PKR142" s="4"/>
      <c r="PKS142" s="4"/>
      <c r="PKT142" s="4"/>
      <c r="PKU142" s="4"/>
      <c r="PKV142" s="4"/>
      <c r="PKW142" s="4"/>
      <c r="PKX142" s="4"/>
      <c r="PKY142" s="4"/>
      <c r="PKZ142" s="4"/>
      <c r="PLA142" s="4"/>
      <c r="PLB142" s="4"/>
      <c r="PLC142" s="4"/>
      <c r="PLD142" s="4"/>
      <c r="PLE142" s="4"/>
      <c r="PLF142" s="4"/>
      <c r="PLG142" s="4"/>
      <c r="PLH142" s="4"/>
      <c r="PLI142" s="4"/>
      <c r="PLJ142" s="4"/>
      <c r="PLK142" s="4"/>
      <c r="PLL142" s="4"/>
      <c r="PLM142" s="4"/>
      <c r="PLN142" s="4"/>
      <c r="PLO142" s="4"/>
      <c r="PLP142" s="4"/>
      <c r="PLQ142" s="4"/>
      <c r="PLR142" s="4"/>
      <c r="PLS142" s="4"/>
      <c r="PLT142" s="4"/>
      <c r="PLU142" s="4"/>
      <c r="PLV142" s="4"/>
      <c r="PLW142" s="4"/>
      <c r="PLX142" s="4"/>
      <c r="PLY142" s="4"/>
      <c r="PLZ142" s="4"/>
      <c r="PMA142" s="4"/>
      <c r="PMB142" s="4"/>
      <c r="PMC142" s="4"/>
      <c r="PMD142" s="4"/>
      <c r="PME142" s="4"/>
      <c r="PMF142" s="4"/>
      <c r="PMG142" s="4"/>
      <c r="PMH142" s="4"/>
      <c r="PMI142" s="4"/>
      <c r="PMJ142" s="4"/>
      <c r="PMK142" s="4"/>
      <c r="PML142" s="4"/>
      <c r="PMM142" s="4"/>
      <c r="PMN142" s="4"/>
      <c r="PMO142" s="4"/>
      <c r="PMP142" s="4"/>
      <c r="PMQ142" s="4"/>
      <c r="PMR142" s="4"/>
      <c r="PMS142" s="4"/>
      <c r="PMT142" s="4"/>
      <c r="PMU142" s="4"/>
      <c r="PMV142" s="4"/>
      <c r="PMW142" s="4"/>
      <c r="PMX142" s="4"/>
      <c r="PMY142" s="4"/>
      <c r="PMZ142" s="4"/>
      <c r="PNA142" s="4"/>
      <c r="PNB142" s="4"/>
      <c r="PNC142" s="4"/>
      <c r="PND142" s="4"/>
      <c r="PNE142" s="4"/>
      <c r="PNF142" s="4"/>
      <c r="PNG142" s="4"/>
      <c r="PNH142" s="4"/>
      <c r="PNI142" s="4"/>
      <c r="PNJ142" s="4"/>
      <c r="PNK142" s="4"/>
      <c r="PNL142" s="4"/>
      <c r="PNM142" s="4"/>
      <c r="PNN142" s="4"/>
      <c r="PNO142" s="4"/>
      <c r="PNP142" s="4"/>
      <c r="PNQ142" s="4"/>
      <c r="PNR142" s="4"/>
      <c r="PNS142" s="4"/>
      <c r="PNT142" s="4"/>
      <c r="PNU142" s="4"/>
      <c r="PNV142" s="4"/>
      <c r="PNW142" s="4"/>
      <c r="PNX142" s="4"/>
      <c r="PNY142" s="4"/>
      <c r="PNZ142" s="4"/>
      <c r="POA142" s="4"/>
      <c r="POB142" s="4"/>
      <c r="POC142" s="4"/>
      <c r="POD142" s="4"/>
      <c r="POE142" s="4"/>
      <c r="POF142" s="4"/>
      <c r="POG142" s="4"/>
      <c r="POH142" s="4"/>
      <c r="POI142" s="4"/>
      <c r="POJ142" s="4"/>
      <c r="POK142" s="4"/>
      <c r="POL142" s="4"/>
      <c r="POM142" s="4"/>
      <c r="PON142" s="4"/>
      <c r="POO142" s="4"/>
      <c r="POP142" s="4"/>
      <c r="POQ142" s="4"/>
      <c r="POR142" s="4"/>
      <c r="POS142" s="4"/>
      <c r="POT142" s="4"/>
      <c r="POU142" s="4"/>
      <c r="POV142" s="4"/>
      <c r="POW142" s="4"/>
      <c r="POX142" s="4"/>
      <c r="POY142" s="4"/>
      <c r="POZ142" s="4"/>
      <c r="PPA142" s="4"/>
      <c r="PPB142" s="4"/>
      <c r="PPC142" s="4"/>
      <c r="PPD142" s="4"/>
      <c r="PPE142" s="4"/>
      <c r="PPF142" s="4"/>
      <c r="PPG142" s="4"/>
      <c r="PPH142" s="4"/>
      <c r="PPI142" s="4"/>
      <c r="PPJ142" s="4"/>
      <c r="PPK142" s="4"/>
      <c r="PPL142" s="4"/>
      <c r="PPM142" s="4"/>
      <c r="PPN142" s="4"/>
      <c r="PPO142" s="4"/>
      <c r="PPP142" s="4"/>
      <c r="PPQ142" s="4"/>
      <c r="PPR142" s="4"/>
      <c r="PPS142" s="4"/>
      <c r="PPT142" s="4"/>
      <c r="PPU142" s="4"/>
      <c r="PPV142" s="4"/>
      <c r="PPW142" s="4"/>
      <c r="PPX142" s="4"/>
      <c r="PPY142" s="4"/>
      <c r="PPZ142" s="4"/>
      <c r="PQA142" s="4"/>
      <c r="PQB142" s="4"/>
      <c r="PQC142" s="4"/>
      <c r="PQD142" s="4"/>
      <c r="PQE142" s="4"/>
      <c r="PQF142" s="4"/>
      <c r="PQG142" s="4"/>
      <c r="PQH142" s="4"/>
      <c r="PQI142" s="4"/>
      <c r="PQJ142" s="4"/>
      <c r="PQK142" s="4"/>
      <c r="PQL142" s="4"/>
      <c r="PQM142" s="4"/>
      <c r="PQN142" s="4"/>
      <c r="PQO142" s="4"/>
      <c r="PQP142" s="4"/>
      <c r="PQQ142" s="4"/>
      <c r="PQR142" s="4"/>
      <c r="PQS142" s="4"/>
      <c r="PQT142" s="4"/>
      <c r="PQU142" s="4"/>
      <c r="PQV142" s="4"/>
      <c r="PQW142" s="4"/>
      <c r="PQX142" s="4"/>
      <c r="PQY142" s="4"/>
      <c r="PQZ142" s="4"/>
      <c r="PRA142" s="4"/>
      <c r="PRB142" s="4"/>
      <c r="PRC142" s="4"/>
      <c r="PRD142" s="4"/>
      <c r="PRE142" s="4"/>
      <c r="PRF142" s="4"/>
      <c r="PRG142" s="4"/>
      <c r="PRH142" s="4"/>
      <c r="PRI142" s="4"/>
      <c r="PRJ142" s="4"/>
      <c r="PRK142" s="4"/>
      <c r="PRL142" s="4"/>
      <c r="PRM142" s="4"/>
      <c r="PRN142" s="4"/>
      <c r="PRO142" s="4"/>
      <c r="PRP142" s="4"/>
      <c r="PRQ142" s="4"/>
      <c r="PRR142" s="4"/>
      <c r="PRS142" s="4"/>
      <c r="PRT142" s="4"/>
      <c r="PRU142" s="4"/>
      <c r="PRV142" s="4"/>
      <c r="PRW142" s="4"/>
      <c r="PRX142" s="4"/>
      <c r="PRY142" s="4"/>
      <c r="PRZ142" s="4"/>
      <c r="PSA142" s="4"/>
      <c r="PSB142" s="4"/>
      <c r="PSC142" s="4"/>
      <c r="PSD142" s="4"/>
      <c r="PSE142" s="4"/>
      <c r="PSF142" s="4"/>
      <c r="PSG142" s="4"/>
      <c r="PSH142" s="4"/>
      <c r="PSI142" s="4"/>
      <c r="PSJ142" s="4"/>
      <c r="PSK142" s="4"/>
      <c r="PSL142" s="4"/>
      <c r="PSM142" s="4"/>
      <c r="PSN142" s="4"/>
      <c r="PSO142" s="4"/>
      <c r="PSP142" s="4"/>
      <c r="PSQ142" s="4"/>
      <c r="PSR142" s="4"/>
      <c r="PSS142" s="4"/>
      <c r="PST142" s="4"/>
      <c r="PSU142" s="4"/>
      <c r="PSV142" s="4"/>
      <c r="PSW142" s="4"/>
      <c r="PSX142" s="4"/>
      <c r="PSY142" s="4"/>
      <c r="PSZ142" s="4"/>
      <c r="PTA142" s="4"/>
      <c r="PTB142" s="4"/>
      <c r="PTC142" s="4"/>
      <c r="PTD142" s="4"/>
      <c r="PTE142" s="4"/>
      <c r="PTF142" s="4"/>
      <c r="PTG142" s="4"/>
      <c r="PTH142" s="4"/>
      <c r="PTI142" s="4"/>
      <c r="PTJ142" s="4"/>
      <c r="PTK142" s="4"/>
      <c r="PTL142" s="4"/>
      <c r="PTM142" s="4"/>
      <c r="PTN142" s="4"/>
      <c r="PTO142" s="4"/>
      <c r="PTP142" s="4"/>
      <c r="PTQ142" s="4"/>
      <c r="PTR142" s="4"/>
      <c r="PTS142" s="4"/>
      <c r="PTT142" s="4"/>
      <c r="PTU142" s="4"/>
      <c r="PTV142" s="4"/>
      <c r="PTW142" s="4"/>
      <c r="PTX142" s="4"/>
      <c r="PTY142" s="4"/>
      <c r="PTZ142" s="4"/>
      <c r="PUA142" s="4"/>
      <c r="PUB142" s="4"/>
      <c r="PUC142" s="4"/>
      <c r="PUD142" s="4"/>
      <c r="PUE142" s="4"/>
      <c r="PUF142" s="4"/>
      <c r="PUG142" s="4"/>
      <c r="PUH142" s="4"/>
      <c r="PUI142" s="4"/>
      <c r="PUJ142" s="4"/>
      <c r="PUK142" s="4"/>
      <c r="PUL142" s="4"/>
      <c r="PUM142" s="4"/>
      <c r="PUN142" s="4"/>
      <c r="PUO142" s="4"/>
      <c r="PUP142" s="4"/>
      <c r="PUQ142" s="4"/>
      <c r="PUR142" s="4"/>
      <c r="PUS142" s="4"/>
      <c r="PUT142" s="4"/>
      <c r="PUU142" s="4"/>
      <c r="PUV142" s="4"/>
      <c r="PUW142" s="4"/>
      <c r="PUX142" s="4"/>
      <c r="PUY142" s="4"/>
      <c r="PUZ142" s="4"/>
      <c r="PVA142" s="4"/>
      <c r="PVB142" s="4"/>
      <c r="PVC142" s="4"/>
      <c r="PVD142" s="4"/>
      <c r="PVE142" s="4"/>
      <c r="PVF142" s="4"/>
      <c r="PVG142" s="4"/>
      <c r="PVH142" s="4"/>
      <c r="PVI142" s="4"/>
      <c r="PVJ142" s="4"/>
      <c r="PVK142" s="4"/>
      <c r="PVL142" s="4"/>
      <c r="PVM142" s="4"/>
      <c r="PVN142" s="4"/>
      <c r="PVO142" s="4"/>
      <c r="PVP142" s="4"/>
      <c r="PVQ142" s="4"/>
      <c r="PVR142" s="4"/>
      <c r="PVS142" s="4"/>
      <c r="PVT142" s="4"/>
      <c r="PVU142" s="4"/>
      <c r="PVV142" s="4"/>
      <c r="PVW142" s="4"/>
      <c r="PVX142" s="4"/>
      <c r="PVY142" s="4"/>
      <c r="PVZ142" s="4"/>
      <c r="PWA142" s="4"/>
      <c r="PWB142" s="4"/>
      <c r="PWC142" s="4"/>
      <c r="PWD142" s="4"/>
      <c r="PWE142" s="4"/>
      <c r="PWF142" s="4"/>
      <c r="PWG142" s="4"/>
      <c r="PWH142" s="4"/>
      <c r="PWI142" s="4"/>
      <c r="PWJ142" s="4"/>
      <c r="PWK142" s="4"/>
      <c r="PWL142" s="4"/>
      <c r="PWM142" s="4"/>
      <c r="PWN142" s="4"/>
      <c r="PWO142" s="4"/>
      <c r="PWP142" s="4"/>
      <c r="PWQ142" s="4"/>
      <c r="PWR142" s="4"/>
      <c r="PWS142" s="4"/>
      <c r="PWT142" s="4"/>
      <c r="PWU142" s="4"/>
      <c r="PWV142" s="4"/>
      <c r="PWW142" s="4"/>
      <c r="PWX142" s="4"/>
      <c r="PWY142" s="4"/>
      <c r="PWZ142" s="4"/>
      <c r="PXA142" s="4"/>
      <c r="PXB142" s="4"/>
      <c r="PXC142" s="4"/>
      <c r="PXD142" s="4"/>
      <c r="PXE142" s="4"/>
      <c r="PXF142" s="4"/>
      <c r="PXG142" s="4"/>
      <c r="PXH142" s="4"/>
      <c r="PXI142" s="4"/>
      <c r="PXJ142" s="4"/>
      <c r="PXK142" s="4"/>
      <c r="PXL142" s="4"/>
      <c r="PXM142" s="4"/>
      <c r="PXN142" s="4"/>
      <c r="PXO142" s="4"/>
      <c r="PXP142" s="4"/>
      <c r="PXQ142" s="4"/>
      <c r="PXR142" s="4"/>
      <c r="PXS142" s="4"/>
      <c r="PXT142" s="4"/>
      <c r="PXU142" s="4"/>
      <c r="PXV142" s="4"/>
      <c r="PXW142" s="4"/>
      <c r="PXX142" s="4"/>
      <c r="PXY142" s="4"/>
      <c r="PXZ142" s="4"/>
      <c r="PYA142" s="4"/>
      <c r="PYB142" s="4"/>
      <c r="PYC142" s="4"/>
      <c r="PYD142" s="4"/>
      <c r="PYE142" s="4"/>
      <c r="PYF142" s="4"/>
      <c r="PYG142" s="4"/>
      <c r="PYH142" s="4"/>
      <c r="PYI142" s="4"/>
      <c r="PYJ142" s="4"/>
      <c r="PYK142" s="4"/>
      <c r="PYL142" s="4"/>
      <c r="PYM142" s="4"/>
      <c r="PYN142" s="4"/>
      <c r="PYO142" s="4"/>
      <c r="PYP142" s="4"/>
      <c r="PYQ142" s="4"/>
      <c r="PYR142" s="4"/>
      <c r="PYS142" s="4"/>
      <c r="PYT142" s="4"/>
      <c r="PYU142" s="4"/>
      <c r="PYV142" s="4"/>
      <c r="PYW142" s="4"/>
      <c r="PYX142" s="4"/>
      <c r="PYY142" s="4"/>
      <c r="PYZ142" s="4"/>
      <c r="PZA142" s="4"/>
      <c r="PZB142" s="4"/>
      <c r="PZC142" s="4"/>
      <c r="PZD142" s="4"/>
      <c r="PZE142" s="4"/>
      <c r="PZF142" s="4"/>
      <c r="PZG142" s="4"/>
      <c r="PZH142" s="4"/>
      <c r="PZI142" s="4"/>
      <c r="PZJ142" s="4"/>
      <c r="PZK142" s="4"/>
      <c r="PZL142" s="4"/>
      <c r="PZM142" s="4"/>
      <c r="PZN142" s="4"/>
      <c r="PZO142" s="4"/>
      <c r="PZP142" s="4"/>
      <c r="PZQ142" s="4"/>
      <c r="PZR142" s="4"/>
      <c r="PZS142" s="4"/>
      <c r="PZT142" s="4"/>
      <c r="PZU142" s="4"/>
      <c r="PZV142" s="4"/>
      <c r="PZW142" s="4"/>
      <c r="PZX142" s="4"/>
      <c r="PZY142" s="4"/>
      <c r="PZZ142" s="4"/>
      <c r="QAA142" s="4"/>
      <c r="QAB142" s="4"/>
      <c r="QAC142" s="4"/>
      <c r="QAD142" s="4"/>
      <c r="QAE142" s="4"/>
      <c r="QAF142" s="4"/>
      <c r="QAG142" s="4"/>
      <c r="QAH142" s="4"/>
      <c r="QAI142" s="4"/>
      <c r="QAJ142" s="4"/>
      <c r="QAK142" s="4"/>
      <c r="QAL142" s="4"/>
      <c r="QAM142" s="4"/>
      <c r="QAN142" s="4"/>
      <c r="QAO142" s="4"/>
      <c r="QAP142" s="4"/>
      <c r="QAQ142" s="4"/>
      <c r="QAR142" s="4"/>
      <c r="QAS142" s="4"/>
      <c r="QAT142" s="4"/>
      <c r="QAU142" s="4"/>
      <c r="QAV142" s="4"/>
      <c r="QAW142" s="4"/>
      <c r="QAX142" s="4"/>
      <c r="QAY142" s="4"/>
      <c r="QAZ142" s="4"/>
      <c r="QBA142" s="4"/>
      <c r="QBB142" s="4"/>
      <c r="QBC142" s="4"/>
      <c r="QBD142" s="4"/>
      <c r="QBE142" s="4"/>
      <c r="QBF142" s="4"/>
      <c r="QBG142" s="4"/>
      <c r="QBH142" s="4"/>
      <c r="QBI142" s="4"/>
      <c r="QBJ142" s="4"/>
      <c r="QBK142" s="4"/>
      <c r="QBL142" s="4"/>
      <c r="QBM142" s="4"/>
      <c r="QBN142" s="4"/>
      <c r="QBO142" s="4"/>
      <c r="QBP142" s="4"/>
      <c r="QBQ142" s="4"/>
      <c r="QBR142" s="4"/>
      <c r="QBS142" s="4"/>
      <c r="QBT142" s="4"/>
      <c r="QBU142" s="4"/>
      <c r="QBV142" s="4"/>
      <c r="QBW142" s="4"/>
      <c r="QBX142" s="4"/>
      <c r="QBY142" s="4"/>
      <c r="QBZ142" s="4"/>
      <c r="QCA142" s="4"/>
      <c r="QCB142" s="4"/>
      <c r="QCC142" s="4"/>
      <c r="QCD142" s="4"/>
      <c r="QCE142" s="4"/>
      <c r="QCF142" s="4"/>
      <c r="QCG142" s="4"/>
      <c r="QCH142" s="4"/>
      <c r="QCI142" s="4"/>
      <c r="QCJ142" s="4"/>
      <c r="QCK142" s="4"/>
      <c r="QCL142" s="4"/>
      <c r="QCM142" s="4"/>
      <c r="QCN142" s="4"/>
      <c r="QCO142" s="4"/>
      <c r="QCP142" s="4"/>
      <c r="QCQ142" s="4"/>
      <c r="QCR142" s="4"/>
      <c r="QCS142" s="4"/>
      <c r="QCT142" s="4"/>
      <c r="QCU142" s="4"/>
      <c r="QCV142" s="4"/>
      <c r="QCW142" s="4"/>
      <c r="QCX142" s="4"/>
      <c r="QCY142" s="4"/>
      <c r="QCZ142" s="4"/>
      <c r="QDA142" s="4"/>
      <c r="QDB142" s="4"/>
      <c r="QDC142" s="4"/>
      <c r="QDD142" s="4"/>
      <c r="QDE142" s="4"/>
      <c r="QDF142" s="4"/>
      <c r="QDG142" s="4"/>
      <c r="QDH142" s="4"/>
      <c r="QDI142" s="4"/>
      <c r="QDJ142" s="4"/>
      <c r="QDK142" s="4"/>
      <c r="QDL142" s="4"/>
      <c r="QDM142" s="4"/>
      <c r="QDN142" s="4"/>
      <c r="QDO142" s="4"/>
      <c r="QDP142" s="4"/>
      <c r="QDQ142" s="4"/>
      <c r="QDR142" s="4"/>
      <c r="QDS142" s="4"/>
      <c r="QDT142" s="4"/>
      <c r="QDU142" s="4"/>
      <c r="QDV142" s="4"/>
      <c r="QDW142" s="4"/>
      <c r="QDX142" s="4"/>
      <c r="QDY142" s="4"/>
      <c r="QDZ142" s="4"/>
      <c r="QEA142" s="4"/>
      <c r="QEB142" s="4"/>
      <c r="QEC142" s="4"/>
      <c r="QED142" s="4"/>
      <c r="QEE142" s="4"/>
      <c r="QEF142" s="4"/>
      <c r="QEG142" s="4"/>
      <c r="QEH142" s="4"/>
      <c r="QEI142" s="4"/>
      <c r="QEJ142" s="4"/>
      <c r="QEK142" s="4"/>
      <c r="QEL142" s="4"/>
      <c r="QEM142" s="4"/>
      <c r="QEN142" s="4"/>
      <c r="QEO142" s="4"/>
      <c r="QEP142" s="4"/>
      <c r="QEQ142" s="4"/>
      <c r="QER142" s="4"/>
      <c r="QES142" s="4"/>
      <c r="QET142" s="4"/>
      <c r="QEU142" s="4"/>
      <c r="QEV142" s="4"/>
      <c r="QEW142" s="4"/>
      <c r="QEX142" s="4"/>
      <c r="QEY142" s="4"/>
      <c r="QEZ142" s="4"/>
      <c r="QFA142" s="4"/>
      <c r="QFB142" s="4"/>
      <c r="QFC142" s="4"/>
      <c r="QFD142" s="4"/>
      <c r="QFE142" s="4"/>
      <c r="QFF142" s="4"/>
      <c r="QFG142" s="4"/>
      <c r="QFH142" s="4"/>
      <c r="QFI142" s="4"/>
      <c r="QFJ142" s="4"/>
      <c r="QFK142" s="4"/>
      <c r="QFL142" s="4"/>
      <c r="QFM142" s="4"/>
      <c r="QFN142" s="4"/>
      <c r="QFO142" s="4"/>
      <c r="QFP142" s="4"/>
      <c r="QFQ142" s="4"/>
      <c r="QFR142" s="4"/>
      <c r="QFS142" s="4"/>
      <c r="QFT142" s="4"/>
      <c r="QFU142" s="4"/>
      <c r="QFV142" s="4"/>
      <c r="QFW142" s="4"/>
      <c r="QFX142" s="4"/>
      <c r="QFY142" s="4"/>
      <c r="QFZ142" s="4"/>
      <c r="QGA142" s="4"/>
      <c r="QGB142" s="4"/>
      <c r="QGC142" s="4"/>
      <c r="QGD142" s="4"/>
      <c r="QGE142" s="4"/>
      <c r="QGF142" s="4"/>
      <c r="QGG142" s="4"/>
      <c r="QGH142" s="4"/>
      <c r="QGI142" s="4"/>
      <c r="QGJ142" s="4"/>
      <c r="QGK142" s="4"/>
      <c r="QGL142" s="4"/>
      <c r="QGM142" s="4"/>
      <c r="QGN142" s="4"/>
      <c r="QGO142" s="4"/>
      <c r="QGP142" s="4"/>
      <c r="QGQ142" s="4"/>
      <c r="QGR142" s="4"/>
      <c r="QGS142" s="4"/>
      <c r="QGT142" s="4"/>
      <c r="QGU142" s="4"/>
      <c r="QGV142" s="4"/>
      <c r="QGW142" s="4"/>
      <c r="QGX142" s="4"/>
      <c r="QGY142" s="4"/>
      <c r="QGZ142" s="4"/>
      <c r="QHA142" s="4"/>
      <c r="QHB142" s="4"/>
      <c r="QHC142" s="4"/>
      <c r="QHD142" s="4"/>
      <c r="QHE142" s="4"/>
      <c r="QHF142" s="4"/>
      <c r="QHG142" s="4"/>
      <c r="QHH142" s="4"/>
      <c r="QHI142" s="4"/>
      <c r="QHJ142" s="4"/>
      <c r="QHK142" s="4"/>
      <c r="QHL142" s="4"/>
      <c r="QHM142" s="4"/>
      <c r="QHN142" s="4"/>
      <c r="QHO142" s="4"/>
      <c r="QHP142" s="4"/>
      <c r="QHQ142" s="4"/>
      <c r="QHR142" s="4"/>
      <c r="QHS142" s="4"/>
      <c r="QHT142" s="4"/>
      <c r="QHU142" s="4"/>
      <c r="QHV142" s="4"/>
      <c r="QHW142" s="4"/>
      <c r="QHX142" s="4"/>
      <c r="QHY142" s="4"/>
      <c r="QHZ142" s="4"/>
      <c r="QIA142" s="4"/>
      <c r="QIB142" s="4"/>
      <c r="QIC142" s="4"/>
      <c r="QID142" s="4"/>
      <c r="QIE142" s="4"/>
      <c r="QIF142" s="4"/>
      <c r="QIG142" s="4"/>
      <c r="QIH142" s="4"/>
      <c r="QII142" s="4"/>
      <c r="QIJ142" s="4"/>
      <c r="QIK142" s="4"/>
      <c r="QIL142" s="4"/>
      <c r="QIM142" s="4"/>
      <c r="QIN142" s="4"/>
      <c r="QIO142" s="4"/>
      <c r="QIP142" s="4"/>
      <c r="QIQ142" s="4"/>
      <c r="QIR142" s="4"/>
      <c r="QIS142" s="4"/>
      <c r="QIT142" s="4"/>
      <c r="QIU142" s="4"/>
      <c r="QIV142" s="4"/>
      <c r="QIW142" s="4"/>
      <c r="QIX142" s="4"/>
      <c r="QIY142" s="4"/>
      <c r="QIZ142" s="4"/>
      <c r="QJA142" s="4"/>
      <c r="QJB142" s="4"/>
      <c r="QJC142" s="4"/>
      <c r="QJD142" s="4"/>
      <c r="QJE142" s="4"/>
      <c r="QJF142" s="4"/>
      <c r="QJG142" s="4"/>
      <c r="QJH142" s="4"/>
      <c r="QJI142" s="4"/>
      <c r="QJJ142" s="4"/>
      <c r="QJK142" s="4"/>
      <c r="QJL142" s="4"/>
      <c r="QJM142" s="4"/>
      <c r="QJN142" s="4"/>
      <c r="QJO142" s="4"/>
      <c r="QJP142" s="4"/>
      <c r="QJQ142" s="4"/>
      <c r="QJR142" s="4"/>
      <c r="QJS142" s="4"/>
      <c r="QJT142" s="4"/>
      <c r="QJU142" s="4"/>
      <c r="QJV142" s="4"/>
      <c r="QJW142" s="4"/>
      <c r="QJX142" s="4"/>
      <c r="QJY142" s="4"/>
      <c r="QJZ142" s="4"/>
      <c r="QKA142" s="4"/>
      <c r="QKB142" s="4"/>
      <c r="QKC142" s="4"/>
      <c r="QKD142" s="4"/>
      <c r="QKE142" s="4"/>
      <c r="QKF142" s="4"/>
      <c r="QKG142" s="4"/>
      <c r="QKH142" s="4"/>
      <c r="QKI142" s="4"/>
      <c r="QKJ142" s="4"/>
      <c r="QKK142" s="4"/>
      <c r="QKL142" s="4"/>
      <c r="QKM142" s="4"/>
      <c r="QKN142" s="4"/>
      <c r="QKO142" s="4"/>
      <c r="QKP142" s="4"/>
      <c r="QKQ142" s="4"/>
      <c r="QKR142" s="4"/>
      <c r="QKS142" s="4"/>
      <c r="QKT142" s="4"/>
      <c r="QKU142" s="4"/>
      <c r="QKV142" s="4"/>
      <c r="QKW142" s="4"/>
      <c r="QKX142" s="4"/>
      <c r="QKY142" s="4"/>
      <c r="QKZ142" s="4"/>
      <c r="QLA142" s="4"/>
      <c r="QLB142" s="4"/>
      <c r="QLC142" s="4"/>
      <c r="QLD142" s="4"/>
      <c r="QLE142" s="4"/>
      <c r="QLF142" s="4"/>
      <c r="QLG142" s="4"/>
      <c r="QLH142" s="4"/>
      <c r="QLI142" s="4"/>
      <c r="QLJ142" s="4"/>
      <c r="QLK142" s="4"/>
      <c r="QLL142" s="4"/>
      <c r="QLM142" s="4"/>
      <c r="QLN142" s="4"/>
      <c r="QLO142" s="4"/>
      <c r="QLP142" s="4"/>
      <c r="QLQ142" s="4"/>
      <c r="QLR142" s="4"/>
      <c r="QLS142" s="4"/>
      <c r="QLT142" s="4"/>
      <c r="QLU142" s="4"/>
      <c r="QLV142" s="4"/>
      <c r="QLW142" s="4"/>
      <c r="QLX142" s="4"/>
      <c r="QLY142" s="4"/>
      <c r="QLZ142" s="4"/>
      <c r="QMA142" s="4"/>
      <c r="QMB142" s="4"/>
      <c r="QMC142" s="4"/>
      <c r="QMD142" s="4"/>
      <c r="QME142" s="4"/>
      <c r="QMF142" s="4"/>
      <c r="QMG142" s="4"/>
      <c r="QMH142" s="4"/>
      <c r="QMI142" s="4"/>
      <c r="QMJ142" s="4"/>
      <c r="QMK142" s="4"/>
      <c r="QML142" s="4"/>
      <c r="QMM142" s="4"/>
      <c r="QMN142" s="4"/>
      <c r="QMO142" s="4"/>
      <c r="QMP142" s="4"/>
      <c r="QMQ142" s="4"/>
      <c r="QMR142" s="4"/>
      <c r="QMS142" s="4"/>
      <c r="QMT142" s="4"/>
      <c r="QMU142" s="4"/>
      <c r="QMV142" s="4"/>
      <c r="QMW142" s="4"/>
      <c r="QMX142" s="4"/>
      <c r="QMY142" s="4"/>
      <c r="QMZ142" s="4"/>
      <c r="QNA142" s="4"/>
      <c r="QNB142" s="4"/>
      <c r="QNC142" s="4"/>
      <c r="QND142" s="4"/>
      <c r="QNE142" s="4"/>
      <c r="QNF142" s="4"/>
      <c r="QNG142" s="4"/>
      <c r="QNH142" s="4"/>
      <c r="QNI142" s="4"/>
      <c r="QNJ142" s="4"/>
      <c r="QNK142" s="4"/>
      <c r="QNL142" s="4"/>
      <c r="QNM142" s="4"/>
      <c r="QNN142" s="4"/>
      <c r="QNO142" s="4"/>
      <c r="QNP142" s="4"/>
      <c r="QNQ142" s="4"/>
      <c r="QNR142" s="4"/>
      <c r="QNS142" s="4"/>
      <c r="QNT142" s="4"/>
      <c r="QNU142" s="4"/>
      <c r="QNV142" s="4"/>
      <c r="QNW142" s="4"/>
      <c r="QNX142" s="4"/>
      <c r="QNY142" s="4"/>
      <c r="QNZ142" s="4"/>
      <c r="QOA142" s="4"/>
      <c r="QOB142" s="4"/>
      <c r="QOC142" s="4"/>
      <c r="QOD142" s="4"/>
      <c r="QOE142" s="4"/>
      <c r="QOF142" s="4"/>
      <c r="QOG142" s="4"/>
      <c r="QOH142" s="4"/>
      <c r="QOI142" s="4"/>
      <c r="QOJ142" s="4"/>
      <c r="QOK142" s="4"/>
      <c r="QOL142" s="4"/>
      <c r="QOM142" s="4"/>
      <c r="QON142" s="4"/>
      <c r="QOO142" s="4"/>
      <c r="QOP142" s="4"/>
      <c r="QOQ142" s="4"/>
      <c r="QOR142" s="4"/>
      <c r="QOS142" s="4"/>
      <c r="QOT142" s="4"/>
      <c r="QOU142" s="4"/>
      <c r="QOV142" s="4"/>
      <c r="QOW142" s="4"/>
      <c r="QOX142" s="4"/>
      <c r="QOY142" s="4"/>
      <c r="QOZ142" s="4"/>
      <c r="QPA142" s="4"/>
      <c r="QPB142" s="4"/>
      <c r="QPC142" s="4"/>
      <c r="QPD142" s="4"/>
      <c r="QPE142" s="4"/>
      <c r="QPF142" s="4"/>
      <c r="QPG142" s="4"/>
      <c r="QPH142" s="4"/>
      <c r="QPI142" s="4"/>
      <c r="QPJ142" s="4"/>
      <c r="QPK142" s="4"/>
      <c r="QPL142" s="4"/>
      <c r="QPM142" s="4"/>
      <c r="QPN142" s="4"/>
      <c r="QPO142" s="4"/>
      <c r="QPP142" s="4"/>
      <c r="QPQ142" s="4"/>
      <c r="QPR142" s="4"/>
      <c r="QPS142" s="4"/>
      <c r="QPT142" s="4"/>
      <c r="QPU142" s="4"/>
      <c r="QPV142" s="4"/>
      <c r="QPW142" s="4"/>
      <c r="QPX142" s="4"/>
      <c r="QPY142" s="4"/>
      <c r="QPZ142" s="4"/>
      <c r="QQA142" s="4"/>
      <c r="QQB142" s="4"/>
      <c r="QQC142" s="4"/>
      <c r="QQD142" s="4"/>
      <c r="QQE142" s="4"/>
      <c r="QQF142" s="4"/>
      <c r="QQG142" s="4"/>
      <c r="QQH142" s="4"/>
      <c r="QQI142" s="4"/>
      <c r="QQJ142" s="4"/>
      <c r="QQK142" s="4"/>
      <c r="QQL142" s="4"/>
      <c r="QQM142" s="4"/>
      <c r="QQN142" s="4"/>
      <c r="QQO142" s="4"/>
      <c r="QQP142" s="4"/>
      <c r="QQQ142" s="4"/>
      <c r="QQR142" s="4"/>
      <c r="QQS142" s="4"/>
      <c r="QQT142" s="4"/>
      <c r="QQU142" s="4"/>
      <c r="QQV142" s="4"/>
      <c r="QQW142" s="4"/>
      <c r="QQX142" s="4"/>
      <c r="QQY142" s="4"/>
      <c r="QQZ142" s="4"/>
      <c r="QRA142" s="4"/>
      <c r="QRB142" s="4"/>
      <c r="QRC142" s="4"/>
      <c r="QRD142" s="4"/>
      <c r="QRE142" s="4"/>
      <c r="QRF142" s="4"/>
      <c r="QRG142" s="4"/>
      <c r="QRH142" s="4"/>
      <c r="QRI142" s="4"/>
      <c r="QRJ142" s="4"/>
      <c r="QRK142" s="4"/>
      <c r="QRL142" s="4"/>
      <c r="QRM142" s="4"/>
      <c r="QRN142" s="4"/>
      <c r="QRO142" s="4"/>
      <c r="QRP142" s="4"/>
      <c r="QRQ142" s="4"/>
      <c r="QRR142" s="4"/>
      <c r="QRS142" s="4"/>
      <c r="QRT142" s="4"/>
      <c r="QRU142" s="4"/>
      <c r="QRV142" s="4"/>
      <c r="QRW142" s="4"/>
      <c r="QRX142" s="4"/>
      <c r="QRY142" s="4"/>
      <c r="QRZ142" s="4"/>
      <c r="QSA142" s="4"/>
      <c r="QSB142" s="4"/>
      <c r="QSC142" s="4"/>
      <c r="QSD142" s="4"/>
      <c r="QSE142" s="4"/>
      <c r="QSF142" s="4"/>
      <c r="QSG142" s="4"/>
      <c r="QSH142" s="4"/>
      <c r="QSI142" s="4"/>
      <c r="QSJ142" s="4"/>
      <c r="QSK142" s="4"/>
      <c r="QSL142" s="4"/>
      <c r="QSM142" s="4"/>
      <c r="QSN142" s="4"/>
      <c r="QSO142" s="4"/>
      <c r="QSP142" s="4"/>
      <c r="QSQ142" s="4"/>
      <c r="QSR142" s="4"/>
      <c r="QSS142" s="4"/>
      <c r="QST142" s="4"/>
      <c r="QSU142" s="4"/>
      <c r="QSV142" s="4"/>
      <c r="QSW142" s="4"/>
      <c r="QSX142" s="4"/>
      <c r="QSY142" s="4"/>
      <c r="QSZ142" s="4"/>
      <c r="QTA142" s="4"/>
      <c r="QTB142" s="4"/>
      <c r="QTC142" s="4"/>
      <c r="QTD142" s="4"/>
      <c r="QTE142" s="4"/>
      <c r="QTF142" s="4"/>
      <c r="QTG142" s="4"/>
      <c r="QTH142" s="4"/>
      <c r="QTI142" s="4"/>
      <c r="QTJ142" s="4"/>
      <c r="QTK142" s="4"/>
      <c r="QTL142" s="4"/>
      <c r="QTM142" s="4"/>
      <c r="QTN142" s="4"/>
      <c r="QTO142" s="4"/>
      <c r="QTP142" s="4"/>
      <c r="QTQ142" s="4"/>
      <c r="QTR142" s="4"/>
      <c r="QTS142" s="4"/>
      <c r="QTT142" s="4"/>
      <c r="QTU142" s="4"/>
      <c r="QTV142" s="4"/>
      <c r="QTW142" s="4"/>
      <c r="QTX142" s="4"/>
      <c r="QTY142" s="4"/>
      <c r="QTZ142" s="4"/>
      <c r="QUA142" s="4"/>
      <c r="QUB142" s="4"/>
      <c r="QUC142" s="4"/>
      <c r="QUD142" s="4"/>
      <c r="QUE142" s="4"/>
      <c r="QUF142" s="4"/>
      <c r="QUG142" s="4"/>
      <c r="QUH142" s="4"/>
      <c r="QUI142" s="4"/>
      <c r="QUJ142" s="4"/>
      <c r="QUK142" s="4"/>
      <c r="QUL142" s="4"/>
      <c r="QUM142" s="4"/>
      <c r="QUN142" s="4"/>
      <c r="QUO142" s="4"/>
      <c r="QUP142" s="4"/>
      <c r="QUQ142" s="4"/>
      <c r="QUR142" s="4"/>
      <c r="QUS142" s="4"/>
      <c r="QUT142" s="4"/>
      <c r="QUU142" s="4"/>
      <c r="QUV142" s="4"/>
      <c r="QUW142" s="4"/>
      <c r="QUX142" s="4"/>
      <c r="QUY142" s="4"/>
      <c r="QUZ142" s="4"/>
      <c r="QVA142" s="4"/>
      <c r="QVB142" s="4"/>
      <c r="QVC142" s="4"/>
      <c r="QVD142" s="4"/>
      <c r="QVE142" s="4"/>
      <c r="QVF142" s="4"/>
      <c r="QVG142" s="4"/>
      <c r="QVH142" s="4"/>
      <c r="QVI142" s="4"/>
      <c r="QVJ142" s="4"/>
      <c r="QVK142" s="4"/>
      <c r="QVL142" s="4"/>
      <c r="QVM142" s="4"/>
      <c r="QVN142" s="4"/>
      <c r="QVO142" s="4"/>
      <c r="QVP142" s="4"/>
      <c r="QVQ142" s="4"/>
      <c r="QVR142" s="4"/>
      <c r="QVS142" s="4"/>
      <c r="QVT142" s="4"/>
      <c r="QVU142" s="4"/>
      <c r="QVV142" s="4"/>
      <c r="QVW142" s="4"/>
      <c r="QVX142" s="4"/>
      <c r="QVY142" s="4"/>
      <c r="QVZ142" s="4"/>
      <c r="QWA142" s="4"/>
      <c r="QWB142" s="4"/>
      <c r="QWC142" s="4"/>
      <c r="QWD142" s="4"/>
      <c r="QWE142" s="4"/>
      <c r="QWF142" s="4"/>
      <c r="QWG142" s="4"/>
      <c r="QWH142" s="4"/>
      <c r="QWI142" s="4"/>
      <c r="QWJ142" s="4"/>
      <c r="QWK142" s="4"/>
      <c r="QWL142" s="4"/>
      <c r="QWM142" s="4"/>
      <c r="QWN142" s="4"/>
      <c r="QWO142" s="4"/>
      <c r="QWP142" s="4"/>
      <c r="QWQ142" s="4"/>
      <c r="QWR142" s="4"/>
      <c r="QWS142" s="4"/>
      <c r="QWT142" s="4"/>
      <c r="QWU142" s="4"/>
      <c r="QWV142" s="4"/>
      <c r="QWW142" s="4"/>
      <c r="QWX142" s="4"/>
      <c r="QWY142" s="4"/>
      <c r="QWZ142" s="4"/>
      <c r="QXA142" s="4"/>
      <c r="QXB142" s="4"/>
      <c r="QXC142" s="4"/>
      <c r="QXD142" s="4"/>
      <c r="QXE142" s="4"/>
      <c r="QXF142" s="4"/>
      <c r="QXG142" s="4"/>
      <c r="QXH142" s="4"/>
      <c r="QXI142" s="4"/>
      <c r="QXJ142" s="4"/>
      <c r="QXK142" s="4"/>
      <c r="QXL142" s="4"/>
      <c r="QXM142" s="4"/>
      <c r="QXN142" s="4"/>
      <c r="QXO142" s="4"/>
      <c r="QXP142" s="4"/>
      <c r="QXQ142" s="4"/>
      <c r="QXR142" s="4"/>
      <c r="QXS142" s="4"/>
      <c r="QXT142" s="4"/>
      <c r="QXU142" s="4"/>
      <c r="QXV142" s="4"/>
      <c r="QXW142" s="4"/>
      <c r="QXX142" s="4"/>
      <c r="QXY142" s="4"/>
      <c r="QXZ142" s="4"/>
      <c r="QYA142" s="4"/>
      <c r="QYB142" s="4"/>
      <c r="QYC142" s="4"/>
      <c r="QYD142" s="4"/>
      <c r="QYE142" s="4"/>
      <c r="QYF142" s="4"/>
      <c r="QYG142" s="4"/>
      <c r="QYH142" s="4"/>
      <c r="QYI142" s="4"/>
      <c r="QYJ142" s="4"/>
      <c r="QYK142" s="4"/>
      <c r="QYL142" s="4"/>
      <c r="QYM142" s="4"/>
      <c r="QYN142" s="4"/>
      <c r="QYO142" s="4"/>
      <c r="QYP142" s="4"/>
      <c r="QYQ142" s="4"/>
      <c r="QYR142" s="4"/>
      <c r="QYS142" s="4"/>
      <c r="QYT142" s="4"/>
      <c r="QYU142" s="4"/>
      <c r="QYV142" s="4"/>
      <c r="QYW142" s="4"/>
      <c r="QYX142" s="4"/>
      <c r="QYY142" s="4"/>
      <c r="QYZ142" s="4"/>
      <c r="QZA142" s="4"/>
      <c r="QZB142" s="4"/>
      <c r="QZC142" s="4"/>
      <c r="QZD142" s="4"/>
      <c r="QZE142" s="4"/>
      <c r="QZF142" s="4"/>
      <c r="QZG142" s="4"/>
      <c r="QZH142" s="4"/>
      <c r="QZI142" s="4"/>
      <c r="QZJ142" s="4"/>
      <c r="QZK142" s="4"/>
      <c r="QZL142" s="4"/>
      <c r="QZM142" s="4"/>
      <c r="QZN142" s="4"/>
      <c r="QZO142" s="4"/>
      <c r="QZP142" s="4"/>
      <c r="QZQ142" s="4"/>
      <c r="QZR142" s="4"/>
      <c r="QZS142" s="4"/>
      <c r="QZT142" s="4"/>
      <c r="QZU142" s="4"/>
      <c r="QZV142" s="4"/>
      <c r="QZW142" s="4"/>
      <c r="QZX142" s="4"/>
      <c r="QZY142" s="4"/>
      <c r="QZZ142" s="4"/>
      <c r="RAA142" s="4"/>
      <c r="RAB142" s="4"/>
      <c r="RAC142" s="4"/>
      <c r="RAD142" s="4"/>
      <c r="RAE142" s="4"/>
      <c r="RAF142" s="4"/>
      <c r="RAG142" s="4"/>
      <c r="RAH142" s="4"/>
      <c r="RAI142" s="4"/>
      <c r="RAJ142" s="4"/>
      <c r="RAK142" s="4"/>
      <c r="RAL142" s="4"/>
      <c r="RAM142" s="4"/>
      <c r="RAN142" s="4"/>
      <c r="RAO142" s="4"/>
      <c r="RAP142" s="4"/>
      <c r="RAQ142" s="4"/>
      <c r="RAR142" s="4"/>
      <c r="RAS142" s="4"/>
      <c r="RAT142" s="4"/>
      <c r="RAU142" s="4"/>
      <c r="RAV142" s="4"/>
      <c r="RAW142" s="4"/>
      <c r="RAX142" s="4"/>
      <c r="RAY142" s="4"/>
      <c r="RAZ142" s="4"/>
      <c r="RBA142" s="4"/>
      <c r="RBB142" s="4"/>
      <c r="RBC142" s="4"/>
      <c r="RBD142" s="4"/>
      <c r="RBE142" s="4"/>
      <c r="RBF142" s="4"/>
      <c r="RBG142" s="4"/>
      <c r="RBH142" s="4"/>
      <c r="RBI142" s="4"/>
      <c r="RBJ142" s="4"/>
      <c r="RBK142" s="4"/>
      <c r="RBL142" s="4"/>
      <c r="RBM142" s="4"/>
      <c r="RBN142" s="4"/>
      <c r="RBO142" s="4"/>
      <c r="RBP142" s="4"/>
      <c r="RBQ142" s="4"/>
      <c r="RBR142" s="4"/>
      <c r="RBS142" s="4"/>
      <c r="RBT142" s="4"/>
      <c r="RBU142" s="4"/>
      <c r="RBV142" s="4"/>
      <c r="RBW142" s="4"/>
      <c r="RBX142" s="4"/>
      <c r="RBY142" s="4"/>
      <c r="RBZ142" s="4"/>
      <c r="RCA142" s="4"/>
      <c r="RCB142" s="4"/>
      <c r="RCC142" s="4"/>
      <c r="RCD142" s="4"/>
      <c r="RCE142" s="4"/>
      <c r="RCF142" s="4"/>
      <c r="RCG142" s="4"/>
      <c r="RCH142" s="4"/>
      <c r="RCI142" s="4"/>
      <c r="RCJ142" s="4"/>
      <c r="RCK142" s="4"/>
      <c r="RCL142" s="4"/>
      <c r="RCM142" s="4"/>
      <c r="RCN142" s="4"/>
      <c r="RCO142" s="4"/>
      <c r="RCP142" s="4"/>
      <c r="RCQ142" s="4"/>
      <c r="RCR142" s="4"/>
      <c r="RCS142" s="4"/>
      <c r="RCT142" s="4"/>
      <c r="RCU142" s="4"/>
      <c r="RCV142" s="4"/>
      <c r="RCW142" s="4"/>
      <c r="RCX142" s="4"/>
      <c r="RCY142" s="4"/>
      <c r="RCZ142" s="4"/>
      <c r="RDA142" s="4"/>
      <c r="RDB142" s="4"/>
      <c r="RDC142" s="4"/>
      <c r="RDD142" s="4"/>
      <c r="RDE142" s="4"/>
      <c r="RDF142" s="4"/>
      <c r="RDG142" s="4"/>
      <c r="RDH142" s="4"/>
      <c r="RDI142" s="4"/>
      <c r="RDJ142" s="4"/>
      <c r="RDK142" s="4"/>
      <c r="RDL142" s="4"/>
      <c r="RDM142" s="4"/>
      <c r="RDN142" s="4"/>
      <c r="RDO142" s="4"/>
      <c r="RDP142" s="4"/>
      <c r="RDQ142" s="4"/>
      <c r="RDR142" s="4"/>
      <c r="RDS142" s="4"/>
      <c r="RDT142" s="4"/>
      <c r="RDU142" s="4"/>
      <c r="RDV142" s="4"/>
      <c r="RDW142" s="4"/>
      <c r="RDX142" s="4"/>
      <c r="RDY142" s="4"/>
      <c r="RDZ142" s="4"/>
      <c r="REA142" s="4"/>
      <c r="REB142" s="4"/>
      <c r="REC142" s="4"/>
      <c r="RED142" s="4"/>
      <c r="REE142" s="4"/>
      <c r="REF142" s="4"/>
      <c r="REG142" s="4"/>
      <c r="REH142" s="4"/>
      <c r="REI142" s="4"/>
      <c r="REJ142" s="4"/>
      <c r="REK142" s="4"/>
      <c r="REL142" s="4"/>
      <c r="REM142" s="4"/>
      <c r="REN142" s="4"/>
      <c r="REO142" s="4"/>
      <c r="REP142" s="4"/>
      <c r="REQ142" s="4"/>
      <c r="RER142" s="4"/>
      <c r="RES142" s="4"/>
      <c r="RET142" s="4"/>
      <c r="REU142" s="4"/>
      <c r="REV142" s="4"/>
      <c r="REW142" s="4"/>
      <c r="REX142" s="4"/>
      <c r="REY142" s="4"/>
      <c r="REZ142" s="4"/>
      <c r="RFA142" s="4"/>
      <c r="RFB142" s="4"/>
      <c r="RFC142" s="4"/>
      <c r="RFD142" s="4"/>
      <c r="RFE142" s="4"/>
      <c r="RFF142" s="4"/>
      <c r="RFG142" s="4"/>
      <c r="RFH142" s="4"/>
      <c r="RFI142" s="4"/>
      <c r="RFJ142" s="4"/>
      <c r="RFK142" s="4"/>
      <c r="RFL142" s="4"/>
      <c r="RFM142" s="4"/>
      <c r="RFN142" s="4"/>
      <c r="RFO142" s="4"/>
      <c r="RFP142" s="4"/>
      <c r="RFQ142" s="4"/>
      <c r="RFR142" s="4"/>
      <c r="RFS142" s="4"/>
      <c r="RFT142" s="4"/>
      <c r="RFU142" s="4"/>
      <c r="RFV142" s="4"/>
      <c r="RFW142" s="4"/>
      <c r="RFX142" s="4"/>
      <c r="RFY142" s="4"/>
      <c r="RFZ142" s="4"/>
      <c r="RGA142" s="4"/>
      <c r="RGB142" s="4"/>
      <c r="RGC142" s="4"/>
      <c r="RGD142" s="4"/>
      <c r="RGE142" s="4"/>
      <c r="RGF142" s="4"/>
      <c r="RGG142" s="4"/>
      <c r="RGH142" s="4"/>
      <c r="RGI142" s="4"/>
      <c r="RGJ142" s="4"/>
      <c r="RGK142" s="4"/>
      <c r="RGL142" s="4"/>
      <c r="RGM142" s="4"/>
      <c r="RGN142" s="4"/>
      <c r="RGO142" s="4"/>
      <c r="RGP142" s="4"/>
      <c r="RGQ142" s="4"/>
      <c r="RGR142" s="4"/>
      <c r="RGS142" s="4"/>
      <c r="RGT142" s="4"/>
      <c r="RGU142" s="4"/>
      <c r="RGV142" s="4"/>
      <c r="RGW142" s="4"/>
      <c r="RGX142" s="4"/>
      <c r="RGY142" s="4"/>
      <c r="RGZ142" s="4"/>
      <c r="RHA142" s="4"/>
      <c r="RHB142" s="4"/>
      <c r="RHC142" s="4"/>
      <c r="RHD142" s="4"/>
      <c r="RHE142" s="4"/>
      <c r="RHF142" s="4"/>
      <c r="RHG142" s="4"/>
      <c r="RHH142" s="4"/>
      <c r="RHI142" s="4"/>
      <c r="RHJ142" s="4"/>
      <c r="RHK142" s="4"/>
      <c r="RHL142" s="4"/>
      <c r="RHM142" s="4"/>
      <c r="RHN142" s="4"/>
      <c r="RHO142" s="4"/>
      <c r="RHP142" s="4"/>
      <c r="RHQ142" s="4"/>
      <c r="RHR142" s="4"/>
      <c r="RHS142" s="4"/>
      <c r="RHT142" s="4"/>
      <c r="RHU142" s="4"/>
      <c r="RHV142" s="4"/>
      <c r="RHW142" s="4"/>
      <c r="RHX142" s="4"/>
      <c r="RHY142" s="4"/>
      <c r="RHZ142" s="4"/>
      <c r="RIA142" s="4"/>
      <c r="RIB142" s="4"/>
      <c r="RIC142" s="4"/>
      <c r="RID142" s="4"/>
      <c r="RIE142" s="4"/>
      <c r="RIF142" s="4"/>
      <c r="RIG142" s="4"/>
      <c r="RIH142" s="4"/>
      <c r="RII142" s="4"/>
      <c r="RIJ142" s="4"/>
      <c r="RIK142" s="4"/>
      <c r="RIL142" s="4"/>
      <c r="RIM142" s="4"/>
      <c r="RIN142" s="4"/>
      <c r="RIO142" s="4"/>
      <c r="RIP142" s="4"/>
      <c r="RIQ142" s="4"/>
      <c r="RIR142" s="4"/>
      <c r="RIS142" s="4"/>
      <c r="RIT142" s="4"/>
      <c r="RIU142" s="4"/>
      <c r="RIV142" s="4"/>
      <c r="RIW142" s="4"/>
      <c r="RIX142" s="4"/>
      <c r="RIY142" s="4"/>
      <c r="RIZ142" s="4"/>
      <c r="RJA142" s="4"/>
      <c r="RJB142" s="4"/>
      <c r="RJC142" s="4"/>
      <c r="RJD142" s="4"/>
      <c r="RJE142" s="4"/>
      <c r="RJF142" s="4"/>
      <c r="RJG142" s="4"/>
      <c r="RJH142" s="4"/>
      <c r="RJI142" s="4"/>
      <c r="RJJ142" s="4"/>
      <c r="RJK142" s="4"/>
      <c r="RJL142" s="4"/>
      <c r="RJM142" s="4"/>
      <c r="RJN142" s="4"/>
      <c r="RJO142" s="4"/>
      <c r="RJP142" s="4"/>
      <c r="RJQ142" s="4"/>
      <c r="RJR142" s="4"/>
      <c r="RJS142" s="4"/>
      <c r="RJT142" s="4"/>
      <c r="RJU142" s="4"/>
      <c r="RJV142" s="4"/>
      <c r="RJW142" s="4"/>
      <c r="RJX142" s="4"/>
      <c r="RJY142" s="4"/>
      <c r="RJZ142" s="4"/>
      <c r="RKA142" s="4"/>
      <c r="RKB142" s="4"/>
      <c r="RKC142" s="4"/>
      <c r="RKD142" s="4"/>
      <c r="RKE142" s="4"/>
      <c r="RKF142" s="4"/>
      <c r="RKG142" s="4"/>
      <c r="RKH142" s="4"/>
      <c r="RKI142" s="4"/>
      <c r="RKJ142" s="4"/>
      <c r="RKK142" s="4"/>
      <c r="RKL142" s="4"/>
      <c r="RKM142" s="4"/>
      <c r="RKN142" s="4"/>
      <c r="RKO142" s="4"/>
      <c r="RKP142" s="4"/>
      <c r="RKQ142" s="4"/>
      <c r="RKR142" s="4"/>
      <c r="RKS142" s="4"/>
      <c r="RKT142" s="4"/>
      <c r="RKU142" s="4"/>
      <c r="RKV142" s="4"/>
      <c r="RKW142" s="4"/>
      <c r="RKX142" s="4"/>
      <c r="RKY142" s="4"/>
      <c r="RKZ142" s="4"/>
      <c r="RLA142" s="4"/>
      <c r="RLB142" s="4"/>
      <c r="RLC142" s="4"/>
      <c r="RLD142" s="4"/>
      <c r="RLE142" s="4"/>
      <c r="RLF142" s="4"/>
      <c r="RLG142" s="4"/>
      <c r="RLH142" s="4"/>
      <c r="RLI142" s="4"/>
      <c r="RLJ142" s="4"/>
      <c r="RLK142" s="4"/>
      <c r="RLL142" s="4"/>
      <c r="RLM142" s="4"/>
      <c r="RLN142" s="4"/>
      <c r="RLO142" s="4"/>
      <c r="RLP142" s="4"/>
      <c r="RLQ142" s="4"/>
      <c r="RLR142" s="4"/>
      <c r="RLS142" s="4"/>
      <c r="RLT142" s="4"/>
      <c r="RLU142" s="4"/>
      <c r="RLV142" s="4"/>
      <c r="RLW142" s="4"/>
      <c r="RLX142" s="4"/>
      <c r="RLY142" s="4"/>
      <c r="RLZ142" s="4"/>
      <c r="RMA142" s="4"/>
      <c r="RMB142" s="4"/>
      <c r="RMC142" s="4"/>
      <c r="RMD142" s="4"/>
      <c r="RME142" s="4"/>
      <c r="RMF142" s="4"/>
      <c r="RMG142" s="4"/>
      <c r="RMH142" s="4"/>
      <c r="RMI142" s="4"/>
      <c r="RMJ142" s="4"/>
      <c r="RMK142" s="4"/>
      <c r="RML142" s="4"/>
      <c r="RMM142" s="4"/>
      <c r="RMN142" s="4"/>
      <c r="RMO142" s="4"/>
      <c r="RMP142" s="4"/>
      <c r="RMQ142" s="4"/>
      <c r="RMR142" s="4"/>
      <c r="RMS142" s="4"/>
      <c r="RMT142" s="4"/>
      <c r="RMU142" s="4"/>
      <c r="RMV142" s="4"/>
      <c r="RMW142" s="4"/>
      <c r="RMX142" s="4"/>
      <c r="RMY142" s="4"/>
      <c r="RMZ142" s="4"/>
      <c r="RNA142" s="4"/>
      <c r="RNB142" s="4"/>
      <c r="RNC142" s="4"/>
      <c r="RND142" s="4"/>
      <c r="RNE142" s="4"/>
      <c r="RNF142" s="4"/>
      <c r="RNG142" s="4"/>
      <c r="RNH142" s="4"/>
      <c r="RNI142" s="4"/>
      <c r="RNJ142" s="4"/>
      <c r="RNK142" s="4"/>
      <c r="RNL142" s="4"/>
      <c r="RNM142" s="4"/>
      <c r="RNN142" s="4"/>
      <c r="RNO142" s="4"/>
      <c r="RNP142" s="4"/>
      <c r="RNQ142" s="4"/>
      <c r="RNR142" s="4"/>
      <c r="RNS142" s="4"/>
      <c r="RNT142" s="4"/>
      <c r="RNU142" s="4"/>
      <c r="RNV142" s="4"/>
      <c r="RNW142" s="4"/>
      <c r="RNX142" s="4"/>
      <c r="RNY142" s="4"/>
      <c r="RNZ142" s="4"/>
      <c r="ROA142" s="4"/>
      <c r="ROB142" s="4"/>
      <c r="ROC142" s="4"/>
      <c r="ROD142" s="4"/>
      <c r="ROE142" s="4"/>
      <c r="ROF142" s="4"/>
      <c r="ROG142" s="4"/>
      <c r="ROH142" s="4"/>
      <c r="ROI142" s="4"/>
      <c r="ROJ142" s="4"/>
      <c r="ROK142" s="4"/>
      <c r="ROL142" s="4"/>
      <c r="ROM142" s="4"/>
      <c r="RON142" s="4"/>
      <c r="ROO142" s="4"/>
      <c r="ROP142" s="4"/>
      <c r="ROQ142" s="4"/>
      <c r="ROR142" s="4"/>
      <c r="ROS142" s="4"/>
      <c r="ROT142" s="4"/>
      <c r="ROU142" s="4"/>
      <c r="ROV142" s="4"/>
      <c r="ROW142" s="4"/>
      <c r="ROX142" s="4"/>
      <c r="ROY142" s="4"/>
      <c r="ROZ142" s="4"/>
      <c r="RPA142" s="4"/>
      <c r="RPB142" s="4"/>
      <c r="RPC142" s="4"/>
      <c r="RPD142" s="4"/>
      <c r="RPE142" s="4"/>
      <c r="RPF142" s="4"/>
      <c r="RPG142" s="4"/>
      <c r="RPH142" s="4"/>
      <c r="RPI142" s="4"/>
      <c r="RPJ142" s="4"/>
      <c r="RPK142" s="4"/>
      <c r="RPL142" s="4"/>
      <c r="RPM142" s="4"/>
      <c r="RPN142" s="4"/>
      <c r="RPO142" s="4"/>
      <c r="RPP142" s="4"/>
      <c r="RPQ142" s="4"/>
      <c r="RPR142" s="4"/>
      <c r="RPS142" s="4"/>
      <c r="RPT142" s="4"/>
      <c r="RPU142" s="4"/>
      <c r="RPV142" s="4"/>
      <c r="RPW142" s="4"/>
      <c r="RPX142" s="4"/>
      <c r="RPY142" s="4"/>
      <c r="RPZ142" s="4"/>
      <c r="RQA142" s="4"/>
      <c r="RQB142" s="4"/>
      <c r="RQC142" s="4"/>
      <c r="RQD142" s="4"/>
      <c r="RQE142" s="4"/>
      <c r="RQF142" s="4"/>
      <c r="RQG142" s="4"/>
      <c r="RQH142" s="4"/>
      <c r="RQI142" s="4"/>
      <c r="RQJ142" s="4"/>
      <c r="RQK142" s="4"/>
      <c r="RQL142" s="4"/>
      <c r="RQM142" s="4"/>
      <c r="RQN142" s="4"/>
      <c r="RQO142" s="4"/>
      <c r="RQP142" s="4"/>
      <c r="RQQ142" s="4"/>
      <c r="RQR142" s="4"/>
      <c r="RQS142" s="4"/>
      <c r="RQT142" s="4"/>
      <c r="RQU142" s="4"/>
      <c r="RQV142" s="4"/>
      <c r="RQW142" s="4"/>
      <c r="RQX142" s="4"/>
      <c r="RQY142" s="4"/>
      <c r="RQZ142" s="4"/>
      <c r="RRA142" s="4"/>
      <c r="RRB142" s="4"/>
      <c r="RRC142" s="4"/>
      <c r="RRD142" s="4"/>
      <c r="RRE142" s="4"/>
      <c r="RRF142" s="4"/>
      <c r="RRG142" s="4"/>
      <c r="RRH142" s="4"/>
      <c r="RRI142" s="4"/>
      <c r="RRJ142" s="4"/>
      <c r="RRK142" s="4"/>
      <c r="RRL142" s="4"/>
      <c r="RRM142" s="4"/>
      <c r="RRN142" s="4"/>
      <c r="RRO142" s="4"/>
      <c r="RRP142" s="4"/>
      <c r="RRQ142" s="4"/>
      <c r="RRR142" s="4"/>
      <c r="RRS142" s="4"/>
      <c r="RRT142" s="4"/>
      <c r="RRU142" s="4"/>
      <c r="RRV142" s="4"/>
      <c r="RRW142" s="4"/>
      <c r="RRX142" s="4"/>
      <c r="RRY142" s="4"/>
      <c r="RRZ142" s="4"/>
      <c r="RSA142" s="4"/>
      <c r="RSB142" s="4"/>
      <c r="RSC142" s="4"/>
      <c r="RSD142" s="4"/>
      <c r="RSE142" s="4"/>
      <c r="RSF142" s="4"/>
      <c r="RSG142" s="4"/>
      <c r="RSH142" s="4"/>
      <c r="RSI142" s="4"/>
      <c r="RSJ142" s="4"/>
      <c r="RSK142" s="4"/>
      <c r="RSL142" s="4"/>
      <c r="RSM142" s="4"/>
      <c r="RSN142" s="4"/>
      <c r="RSO142" s="4"/>
      <c r="RSP142" s="4"/>
      <c r="RSQ142" s="4"/>
      <c r="RSR142" s="4"/>
      <c r="RSS142" s="4"/>
      <c r="RST142" s="4"/>
      <c r="RSU142" s="4"/>
      <c r="RSV142" s="4"/>
      <c r="RSW142" s="4"/>
      <c r="RSX142" s="4"/>
      <c r="RSY142" s="4"/>
      <c r="RSZ142" s="4"/>
      <c r="RTA142" s="4"/>
      <c r="RTB142" s="4"/>
      <c r="RTC142" s="4"/>
      <c r="RTD142" s="4"/>
      <c r="RTE142" s="4"/>
      <c r="RTF142" s="4"/>
      <c r="RTG142" s="4"/>
      <c r="RTH142" s="4"/>
      <c r="RTI142" s="4"/>
      <c r="RTJ142" s="4"/>
      <c r="RTK142" s="4"/>
      <c r="RTL142" s="4"/>
      <c r="RTM142" s="4"/>
      <c r="RTN142" s="4"/>
      <c r="RTO142" s="4"/>
      <c r="RTP142" s="4"/>
      <c r="RTQ142" s="4"/>
      <c r="RTR142" s="4"/>
      <c r="RTS142" s="4"/>
      <c r="RTT142" s="4"/>
      <c r="RTU142" s="4"/>
      <c r="RTV142" s="4"/>
      <c r="RTW142" s="4"/>
      <c r="RTX142" s="4"/>
      <c r="RTY142" s="4"/>
      <c r="RTZ142" s="4"/>
      <c r="RUA142" s="4"/>
      <c r="RUB142" s="4"/>
      <c r="RUC142" s="4"/>
      <c r="RUD142" s="4"/>
      <c r="RUE142" s="4"/>
      <c r="RUF142" s="4"/>
      <c r="RUG142" s="4"/>
      <c r="RUH142" s="4"/>
      <c r="RUI142" s="4"/>
      <c r="RUJ142" s="4"/>
      <c r="RUK142" s="4"/>
      <c r="RUL142" s="4"/>
      <c r="RUM142" s="4"/>
      <c r="RUN142" s="4"/>
      <c r="RUO142" s="4"/>
      <c r="RUP142" s="4"/>
      <c r="RUQ142" s="4"/>
      <c r="RUR142" s="4"/>
      <c r="RUS142" s="4"/>
      <c r="RUT142" s="4"/>
      <c r="RUU142" s="4"/>
      <c r="RUV142" s="4"/>
      <c r="RUW142" s="4"/>
      <c r="RUX142" s="4"/>
      <c r="RUY142" s="4"/>
      <c r="RUZ142" s="4"/>
      <c r="RVA142" s="4"/>
      <c r="RVB142" s="4"/>
      <c r="RVC142" s="4"/>
      <c r="RVD142" s="4"/>
      <c r="RVE142" s="4"/>
      <c r="RVF142" s="4"/>
      <c r="RVG142" s="4"/>
      <c r="RVH142" s="4"/>
      <c r="RVI142" s="4"/>
      <c r="RVJ142" s="4"/>
      <c r="RVK142" s="4"/>
      <c r="RVL142" s="4"/>
      <c r="RVM142" s="4"/>
      <c r="RVN142" s="4"/>
      <c r="RVO142" s="4"/>
      <c r="RVP142" s="4"/>
      <c r="RVQ142" s="4"/>
      <c r="RVR142" s="4"/>
      <c r="RVS142" s="4"/>
      <c r="RVT142" s="4"/>
      <c r="RVU142" s="4"/>
      <c r="RVV142" s="4"/>
      <c r="RVW142" s="4"/>
      <c r="RVX142" s="4"/>
      <c r="RVY142" s="4"/>
      <c r="RVZ142" s="4"/>
      <c r="RWA142" s="4"/>
      <c r="RWB142" s="4"/>
      <c r="RWC142" s="4"/>
      <c r="RWD142" s="4"/>
      <c r="RWE142" s="4"/>
      <c r="RWF142" s="4"/>
      <c r="RWG142" s="4"/>
      <c r="RWH142" s="4"/>
      <c r="RWI142" s="4"/>
      <c r="RWJ142" s="4"/>
      <c r="RWK142" s="4"/>
      <c r="RWL142" s="4"/>
      <c r="RWM142" s="4"/>
      <c r="RWN142" s="4"/>
      <c r="RWO142" s="4"/>
      <c r="RWP142" s="4"/>
      <c r="RWQ142" s="4"/>
      <c r="RWR142" s="4"/>
      <c r="RWS142" s="4"/>
      <c r="RWT142" s="4"/>
      <c r="RWU142" s="4"/>
      <c r="RWV142" s="4"/>
      <c r="RWW142" s="4"/>
      <c r="RWX142" s="4"/>
      <c r="RWY142" s="4"/>
      <c r="RWZ142" s="4"/>
      <c r="RXA142" s="4"/>
      <c r="RXB142" s="4"/>
      <c r="RXC142" s="4"/>
      <c r="RXD142" s="4"/>
      <c r="RXE142" s="4"/>
      <c r="RXF142" s="4"/>
      <c r="RXG142" s="4"/>
      <c r="RXH142" s="4"/>
      <c r="RXI142" s="4"/>
      <c r="RXJ142" s="4"/>
      <c r="RXK142" s="4"/>
      <c r="RXL142" s="4"/>
      <c r="RXM142" s="4"/>
      <c r="RXN142" s="4"/>
      <c r="RXO142" s="4"/>
      <c r="RXP142" s="4"/>
      <c r="RXQ142" s="4"/>
      <c r="RXR142" s="4"/>
      <c r="RXS142" s="4"/>
      <c r="RXT142" s="4"/>
      <c r="RXU142" s="4"/>
      <c r="RXV142" s="4"/>
      <c r="RXW142" s="4"/>
      <c r="RXX142" s="4"/>
      <c r="RXY142" s="4"/>
      <c r="RXZ142" s="4"/>
      <c r="RYA142" s="4"/>
      <c r="RYB142" s="4"/>
      <c r="RYC142" s="4"/>
      <c r="RYD142" s="4"/>
      <c r="RYE142" s="4"/>
      <c r="RYF142" s="4"/>
      <c r="RYG142" s="4"/>
      <c r="RYH142" s="4"/>
      <c r="RYI142" s="4"/>
      <c r="RYJ142" s="4"/>
      <c r="RYK142" s="4"/>
      <c r="RYL142" s="4"/>
      <c r="RYM142" s="4"/>
      <c r="RYN142" s="4"/>
      <c r="RYO142" s="4"/>
      <c r="RYP142" s="4"/>
      <c r="RYQ142" s="4"/>
      <c r="RYR142" s="4"/>
      <c r="RYS142" s="4"/>
      <c r="RYT142" s="4"/>
      <c r="RYU142" s="4"/>
      <c r="RYV142" s="4"/>
      <c r="RYW142" s="4"/>
      <c r="RYX142" s="4"/>
      <c r="RYY142" s="4"/>
      <c r="RYZ142" s="4"/>
      <c r="RZA142" s="4"/>
      <c r="RZB142" s="4"/>
      <c r="RZC142" s="4"/>
      <c r="RZD142" s="4"/>
      <c r="RZE142" s="4"/>
      <c r="RZF142" s="4"/>
      <c r="RZG142" s="4"/>
      <c r="RZH142" s="4"/>
      <c r="RZI142" s="4"/>
      <c r="RZJ142" s="4"/>
      <c r="RZK142" s="4"/>
      <c r="RZL142" s="4"/>
      <c r="RZM142" s="4"/>
      <c r="RZN142" s="4"/>
      <c r="RZO142" s="4"/>
      <c r="RZP142" s="4"/>
      <c r="RZQ142" s="4"/>
      <c r="RZR142" s="4"/>
      <c r="RZS142" s="4"/>
      <c r="RZT142" s="4"/>
      <c r="RZU142" s="4"/>
      <c r="RZV142" s="4"/>
      <c r="RZW142" s="4"/>
      <c r="RZX142" s="4"/>
      <c r="RZY142" s="4"/>
      <c r="RZZ142" s="4"/>
      <c r="SAA142" s="4"/>
      <c r="SAB142" s="4"/>
      <c r="SAC142" s="4"/>
      <c r="SAD142" s="4"/>
      <c r="SAE142" s="4"/>
      <c r="SAF142" s="4"/>
      <c r="SAG142" s="4"/>
      <c r="SAH142" s="4"/>
      <c r="SAI142" s="4"/>
      <c r="SAJ142" s="4"/>
      <c r="SAK142" s="4"/>
      <c r="SAL142" s="4"/>
      <c r="SAM142" s="4"/>
      <c r="SAN142" s="4"/>
      <c r="SAO142" s="4"/>
      <c r="SAP142" s="4"/>
      <c r="SAQ142" s="4"/>
      <c r="SAR142" s="4"/>
      <c r="SAS142" s="4"/>
      <c r="SAT142" s="4"/>
      <c r="SAU142" s="4"/>
      <c r="SAV142" s="4"/>
      <c r="SAW142" s="4"/>
      <c r="SAX142" s="4"/>
      <c r="SAY142" s="4"/>
      <c r="SAZ142" s="4"/>
      <c r="SBA142" s="4"/>
      <c r="SBB142" s="4"/>
      <c r="SBC142" s="4"/>
      <c r="SBD142" s="4"/>
      <c r="SBE142" s="4"/>
      <c r="SBF142" s="4"/>
      <c r="SBG142" s="4"/>
      <c r="SBH142" s="4"/>
      <c r="SBI142" s="4"/>
      <c r="SBJ142" s="4"/>
      <c r="SBK142" s="4"/>
      <c r="SBL142" s="4"/>
      <c r="SBM142" s="4"/>
      <c r="SBN142" s="4"/>
      <c r="SBO142" s="4"/>
      <c r="SBP142" s="4"/>
      <c r="SBQ142" s="4"/>
      <c r="SBR142" s="4"/>
      <c r="SBS142" s="4"/>
      <c r="SBT142" s="4"/>
      <c r="SBU142" s="4"/>
      <c r="SBV142" s="4"/>
      <c r="SBW142" s="4"/>
      <c r="SBX142" s="4"/>
      <c r="SBY142" s="4"/>
      <c r="SBZ142" s="4"/>
      <c r="SCA142" s="4"/>
      <c r="SCB142" s="4"/>
      <c r="SCC142" s="4"/>
      <c r="SCD142" s="4"/>
      <c r="SCE142" s="4"/>
      <c r="SCF142" s="4"/>
      <c r="SCG142" s="4"/>
      <c r="SCH142" s="4"/>
      <c r="SCI142" s="4"/>
      <c r="SCJ142" s="4"/>
      <c r="SCK142" s="4"/>
      <c r="SCL142" s="4"/>
      <c r="SCM142" s="4"/>
      <c r="SCN142" s="4"/>
      <c r="SCO142" s="4"/>
      <c r="SCP142" s="4"/>
      <c r="SCQ142" s="4"/>
      <c r="SCR142" s="4"/>
      <c r="SCS142" s="4"/>
      <c r="SCT142" s="4"/>
      <c r="SCU142" s="4"/>
      <c r="SCV142" s="4"/>
      <c r="SCW142" s="4"/>
      <c r="SCX142" s="4"/>
      <c r="SCY142" s="4"/>
      <c r="SCZ142" s="4"/>
      <c r="SDA142" s="4"/>
      <c r="SDB142" s="4"/>
      <c r="SDC142" s="4"/>
      <c r="SDD142" s="4"/>
      <c r="SDE142" s="4"/>
      <c r="SDF142" s="4"/>
      <c r="SDG142" s="4"/>
      <c r="SDH142" s="4"/>
      <c r="SDI142" s="4"/>
      <c r="SDJ142" s="4"/>
      <c r="SDK142" s="4"/>
      <c r="SDL142" s="4"/>
      <c r="SDM142" s="4"/>
      <c r="SDN142" s="4"/>
      <c r="SDO142" s="4"/>
      <c r="SDP142" s="4"/>
      <c r="SDQ142" s="4"/>
      <c r="SDR142" s="4"/>
      <c r="SDS142" s="4"/>
      <c r="SDT142" s="4"/>
      <c r="SDU142" s="4"/>
      <c r="SDV142" s="4"/>
      <c r="SDW142" s="4"/>
      <c r="SDX142" s="4"/>
      <c r="SDY142" s="4"/>
      <c r="SDZ142" s="4"/>
      <c r="SEA142" s="4"/>
      <c r="SEB142" s="4"/>
      <c r="SEC142" s="4"/>
      <c r="SED142" s="4"/>
      <c r="SEE142" s="4"/>
      <c r="SEF142" s="4"/>
      <c r="SEG142" s="4"/>
      <c r="SEH142" s="4"/>
      <c r="SEI142" s="4"/>
      <c r="SEJ142" s="4"/>
      <c r="SEK142" s="4"/>
      <c r="SEL142" s="4"/>
      <c r="SEM142" s="4"/>
      <c r="SEN142" s="4"/>
      <c r="SEO142" s="4"/>
      <c r="SEP142" s="4"/>
      <c r="SEQ142" s="4"/>
      <c r="SER142" s="4"/>
      <c r="SES142" s="4"/>
      <c r="SET142" s="4"/>
      <c r="SEU142" s="4"/>
      <c r="SEV142" s="4"/>
      <c r="SEW142" s="4"/>
      <c r="SEX142" s="4"/>
      <c r="SEY142" s="4"/>
      <c r="SEZ142" s="4"/>
      <c r="SFA142" s="4"/>
      <c r="SFB142" s="4"/>
      <c r="SFC142" s="4"/>
      <c r="SFD142" s="4"/>
      <c r="SFE142" s="4"/>
      <c r="SFF142" s="4"/>
      <c r="SFG142" s="4"/>
      <c r="SFH142" s="4"/>
      <c r="SFI142" s="4"/>
      <c r="SFJ142" s="4"/>
      <c r="SFK142" s="4"/>
      <c r="SFL142" s="4"/>
      <c r="SFM142" s="4"/>
      <c r="SFN142" s="4"/>
      <c r="SFO142" s="4"/>
      <c r="SFP142" s="4"/>
      <c r="SFQ142" s="4"/>
      <c r="SFR142" s="4"/>
      <c r="SFS142" s="4"/>
      <c r="SFT142" s="4"/>
      <c r="SFU142" s="4"/>
      <c r="SFV142" s="4"/>
      <c r="SFW142" s="4"/>
      <c r="SFX142" s="4"/>
      <c r="SFY142" s="4"/>
      <c r="SFZ142" s="4"/>
      <c r="SGA142" s="4"/>
      <c r="SGB142" s="4"/>
      <c r="SGC142" s="4"/>
      <c r="SGD142" s="4"/>
      <c r="SGE142" s="4"/>
      <c r="SGF142" s="4"/>
      <c r="SGG142" s="4"/>
      <c r="SGH142" s="4"/>
      <c r="SGI142" s="4"/>
      <c r="SGJ142" s="4"/>
      <c r="SGK142" s="4"/>
      <c r="SGL142" s="4"/>
      <c r="SGM142" s="4"/>
      <c r="SGN142" s="4"/>
      <c r="SGO142" s="4"/>
      <c r="SGP142" s="4"/>
      <c r="SGQ142" s="4"/>
      <c r="SGR142" s="4"/>
      <c r="SGS142" s="4"/>
      <c r="SGT142" s="4"/>
      <c r="SGU142" s="4"/>
      <c r="SGV142" s="4"/>
      <c r="SGW142" s="4"/>
      <c r="SGX142" s="4"/>
      <c r="SGY142" s="4"/>
      <c r="SGZ142" s="4"/>
      <c r="SHA142" s="4"/>
      <c r="SHB142" s="4"/>
      <c r="SHC142" s="4"/>
      <c r="SHD142" s="4"/>
      <c r="SHE142" s="4"/>
      <c r="SHF142" s="4"/>
      <c r="SHG142" s="4"/>
      <c r="SHH142" s="4"/>
      <c r="SHI142" s="4"/>
      <c r="SHJ142" s="4"/>
      <c r="SHK142" s="4"/>
      <c r="SHL142" s="4"/>
      <c r="SHM142" s="4"/>
      <c r="SHN142" s="4"/>
      <c r="SHO142" s="4"/>
      <c r="SHP142" s="4"/>
      <c r="SHQ142" s="4"/>
      <c r="SHR142" s="4"/>
      <c r="SHS142" s="4"/>
      <c r="SHT142" s="4"/>
      <c r="SHU142" s="4"/>
      <c r="SHV142" s="4"/>
      <c r="SHW142" s="4"/>
      <c r="SHX142" s="4"/>
      <c r="SHY142" s="4"/>
      <c r="SHZ142" s="4"/>
      <c r="SIA142" s="4"/>
      <c r="SIB142" s="4"/>
      <c r="SIC142" s="4"/>
      <c r="SID142" s="4"/>
      <c r="SIE142" s="4"/>
      <c r="SIF142" s="4"/>
      <c r="SIG142" s="4"/>
      <c r="SIH142" s="4"/>
      <c r="SII142" s="4"/>
      <c r="SIJ142" s="4"/>
      <c r="SIK142" s="4"/>
      <c r="SIL142" s="4"/>
      <c r="SIM142" s="4"/>
      <c r="SIN142" s="4"/>
      <c r="SIO142" s="4"/>
      <c r="SIP142" s="4"/>
      <c r="SIQ142" s="4"/>
      <c r="SIR142" s="4"/>
      <c r="SIS142" s="4"/>
      <c r="SIT142" s="4"/>
      <c r="SIU142" s="4"/>
      <c r="SIV142" s="4"/>
      <c r="SIW142" s="4"/>
      <c r="SIX142" s="4"/>
      <c r="SIY142" s="4"/>
      <c r="SIZ142" s="4"/>
      <c r="SJA142" s="4"/>
      <c r="SJB142" s="4"/>
      <c r="SJC142" s="4"/>
      <c r="SJD142" s="4"/>
      <c r="SJE142" s="4"/>
      <c r="SJF142" s="4"/>
      <c r="SJG142" s="4"/>
      <c r="SJH142" s="4"/>
      <c r="SJI142" s="4"/>
      <c r="SJJ142" s="4"/>
      <c r="SJK142" s="4"/>
      <c r="SJL142" s="4"/>
      <c r="SJM142" s="4"/>
      <c r="SJN142" s="4"/>
      <c r="SJO142" s="4"/>
      <c r="SJP142" s="4"/>
      <c r="SJQ142" s="4"/>
      <c r="SJR142" s="4"/>
      <c r="SJS142" s="4"/>
      <c r="SJT142" s="4"/>
      <c r="SJU142" s="4"/>
      <c r="SJV142" s="4"/>
      <c r="SJW142" s="4"/>
      <c r="SJX142" s="4"/>
      <c r="SJY142" s="4"/>
      <c r="SJZ142" s="4"/>
      <c r="SKA142" s="4"/>
      <c r="SKB142" s="4"/>
      <c r="SKC142" s="4"/>
      <c r="SKD142" s="4"/>
      <c r="SKE142" s="4"/>
      <c r="SKF142" s="4"/>
      <c r="SKG142" s="4"/>
      <c r="SKH142" s="4"/>
      <c r="SKI142" s="4"/>
      <c r="SKJ142" s="4"/>
      <c r="SKK142" s="4"/>
      <c r="SKL142" s="4"/>
      <c r="SKM142" s="4"/>
      <c r="SKN142" s="4"/>
      <c r="SKO142" s="4"/>
      <c r="SKP142" s="4"/>
      <c r="SKQ142" s="4"/>
      <c r="SKR142" s="4"/>
      <c r="SKS142" s="4"/>
      <c r="SKT142" s="4"/>
      <c r="SKU142" s="4"/>
      <c r="SKV142" s="4"/>
      <c r="SKW142" s="4"/>
      <c r="SKX142" s="4"/>
      <c r="SKY142" s="4"/>
      <c r="SKZ142" s="4"/>
      <c r="SLA142" s="4"/>
      <c r="SLB142" s="4"/>
      <c r="SLC142" s="4"/>
      <c r="SLD142" s="4"/>
      <c r="SLE142" s="4"/>
      <c r="SLF142" s="4"/>
      <c r="SLG142" s="4"/>
      <c r="SLH142" s="4"/>
      <c r="SLI142" s="4"/>
      <c r="SLJ142" s="4"/>
      <c r="SLK142" s="4"/>
      <c r="SLL142" s="4"/>
      <c r="SLM142" s="4"/>
      <c r="SLN142" s="4"/>
      <c r="SLO142" s="4"/>
      <c r="SLP142" s="4"/>
      <c r="SLQ142" s="4"/>
      <c r="SLR142" s="4"/>
      <c r="SLS142" s="4"/>
      <c r="SLT142" s="4"/>
      <c r="SLU142" s="4"/>
      <c r="SLV142" s="4"/>
      <c r="SLW142" s="4"/>
      <c r="SLX142" s="4"/>
      <c r="SLY142" s="4"/>
      <c r="SLZ142" s="4"/>
      <c r="SMA142" s="4"/>
      <c r="SMB142" s="4"/>
      <c r="SMC142" s="4"/>
      <c r="SMD142" s="4"/>
      <c r="SME142" s="4"/>
      <c r="SMF142" s="4"/>
      <c r="SMG142" s="4"/>
      <c r="SMH142" s="4"/>
      <c r="SMI142" s="4"/>
      <c r="SMJ142" s="4"/>
      <c r="SMK142" s="4"/>
      <c r="SML142" s="4"/>
      <c r="SMM142" s="4"/>
      <c r="SMN142" s="4"/>
      <c r="SMO142" s="4"/>
      <c r="SMP142" s="4"/>
      <c r="SMQ142" s="4"/>
      <c r="SMR142" s="4"/>
      <c r="SMS142" s="4"/>
      <c r="SMT142" s="4"/>
      <c r="SMU142" s="4"/>
      <c r="SMV142" s="4"/>
      <c r="SMW142" s="4"/>
      <c r="SMX142" s="4"/>
      <c r="SMY142" s="4"/>
      <c r="SMZ142" s="4"/>
      <c r="SNA142" s="4"/>
      <c r="SNB142" s="4"/>
      <c r="SNC142" s="4"/>
      <c r="SND142" s="4"/>
      <c r="SNE142" s="4"/>
      <c r="SNF142" s="4"/>
      <c r="SNG142" s="4"/>
      <c r="SNH142" s="4"/>
      <c r="SNI142" s="4"/>
      <c r="SNJ142" s="4"/>
      <c r="SNK142" s="4"/>
      <c r="SNL142" s="4"/>
      <c r="SNM142" s="4"/>
      <c r="SNN142" s="4"/>
      <c r="SNO142" s="4"/>
      <c r="SNP142" s="4"/>
      <c r="SNQ142" s="4"/>
      <c r="SNR142" s="4"/>
      <c r="SNS142" s="4"/>
      <c r="SNT142" s="4"/>
      <c r="SNU142" s="4"/>
      <c r="SNV142" s="4"/>
      <c r="SNW142" s="4"/>
      <c r="SNX142" s="4"/>
      <c r="SNY142" s="4"/>
      <c r="SNZ142" s="4"/>
      <c r="SOA142" s="4"/>
      <c r="SOB142" s="4"/>
      <c r="SOC142" s="4"/>
      <c r="SOD142" s="4"/>
      <c r="SOE142" s="4"/>
      <c r="SOF142" s="4"/>
      <c r="SOG142" s="4"/>
      <c r="SOH142" s="4"/>
      <c r="SOI142" s="4"/>
      <c r="SOJ142" s="4"/>
      <c r="SOK142" s="4"/>
      <c r="SOL142" s="4"/>
      <c r="SOM142" s="4"/>
      <c r="SON142" s="4"/>
      <c r="SOO142" s="4"/>
      <c r="SOP142" s="4"/>
      <c r="SOQ142" s="4"/>
      <c r="SOR142" s="4"/>
      <c r="SOS142" s="4"/>
      <c r="SOT142" s="4"/>
      <c r="SOU142" s="4"/>
      <c r="SOV142" s="4"/>
      <c r="SOW142" s="4"/>
      <c r="SOX142" s="4"/>
      <c r="SOY142" s="4"/>
      <c r="SOZ142" s="4"/>
      <c r="SPA142" s="4"/>
      <c r="SPB142" s="4"/>
      <c r="SPC142" s="4"/>
      <c r="SPD142" s="4"/>
      <c r="SPE142" s="4"/>
      <c r="SPF142" s="4"/>
      <c r="SPG142" s="4"/>
      <c r="SPH142" s="4"/>
      <c r="SPI142" s="4"/>
      <c r="SPJ142" s="4"/>
      <c r="SPK142" s="4"/>
      <c r="SPL142" s="4"/>
      <c r="SPM142" s="4"/>
      <c r="SPN142" s="4"/>
      <c r="SPO142" s="4"/>
      <c r="SPP142" s="4"/>
      <c r="SPQ142" s="4"/>
      <c r="SPR142" s="4"/>
      <c r="SPS142" s="4"/>
      <c r="SPT142" s="4"/>
      <c r="SPU142" s="4"/>
      <c r="SPV142" s="4"/>
      <c r="SPW142" s="4"/>
      <c r="SPX142" s="4"/>
      <c r="SPY142" s="4"/>
      <c r="SPZ142" s="4"/>
      <c r="SQA142" s="4"/>
      <c r="SQB142" s="4"/>
      <c r="SQC142" s="4"/>
      <c r="SQD142" s="4"/>
      <c r="SQE142" s="4"/>
      <c r="SQF142" s="4"/>
      <c r="SQG142" s="4"/>
      <c r="SQH142" s="4"/>
      <c r="SQI142" s="4"/>
      <c r="SQJ142" s="4"/>
      <c r="SQK142" s="4"/>
      <c r="SQL142" s="4"/>
      <c r="SQM142" s="4"/>
      <c r="SQN142" s="4"/>
      <c r="SQO142" s="4"/>
      <c r="SQP142" s="4"/>
      <c r="SQQ142" s="4"/>
      <c r="SQR142" s="4"/>
      <c r="SQS142" s="4"/>
      <c r="SQT142" s="4"/>
      <c r="SQU142" s="4"/>
      <c r="SQV142" s="4"/>
      <c r="SQW142" s="4"/>
      <c r="SQX142" s="4"/>
      <c r="SQY142" s="4"/>
      <c r="SQZ142" s="4"/>
      <c r="SRA142" s="4"/>
      <c r="SRB142" s="4"/>
      <c r="SRC142" s="4"/>
      <c r="SRD142" s="4"/>
      <c r="SRE142" s="4"/>
      <c r="SRF142" s="4"/>
      <c r="SRG142" s="4"/>
      <c r="SRH142" s="4"/>
      <c r="SRI142" s="4"/>
      <c r="SRJ142" s="4"/>
      <c r="SRK142" s="4"/>
      <c r="SRL142" s="4"/>
      <c r="SRM142" s="4"/>
      <c r="SRN142" s="4"/>
      <c r="SRO142" s="4"/>
      <c r="SRP142" s="4"/>
      <c r="SRQ142" s="4"/>
      <c r="SRR142" s="4"/>
      <c r="SRS142" s="4"/>
      <c r="SRT142" s="4"/>
      <c r="SRU142" s="4"/>
      <c r="SRV142" s="4"/>
      <c r="SRW142" s="4"/>
      <c r="SRX142" s="4"/>
      <c r="SRY142" s="4"/>
      <c r="SRZ142" s="4"/>
      <c r="SSA142" s="4"/>
      <c r="SSB142" s="4"/>
      <c r="SSC142" s="4"/>
      <c r="SSD142" s="4"/>
      <c r="SSE142" s="4"/>
      <c r="SSF142" s="4"/>
      <c r="SSG142" s="4"/>
      <c r="SSH142" s="4"/>
      <c r="SSI142" s="4"/>
      <c r="SSJ142" s="4"/>
      <c r="SSK142" s="4"/>
      <c r="SSL142" s="4"/>
      <c r="SSM142" s="4"/>
      <c r="SSN142" s="4"/>
      <c r="SSO142" s="4"/>
      <c r="SSP142" s="4"/>
      <c r="SSQ142" s="4"/>
      <c r="SSR142" s="4"/>
      <c r="SSS142" s="4"/>
      <c r="SST142" s="4"/>
      <c r="SSU142" s="4"/>
      <c r="SSV142" s="4"/>
      <c r="SSW142" s="4"/>
      <c r="SSX142" s="4"/>
      <c r="SSY142" s="4"/>
      <c r="SSZ142" s="4"/>
      <c r="STA142" s="4"/>
      <c r="STB142" s="4"/>
      <c r="STC142" s="4"/>
      <c r="STD142" s="4"/>
      <c r="STE142" s="4"/>
      <c r="STF142" s="4"/>
      <c r="STG142" s="4"/>
      <c r="STH142" s="4"/>
      <c r="STI142" s="4"/>
      <c r="STJ142" s="4"/>
      <c r="STK142" s="4"/>
      <c r="STL142" s="4"/>
      <c r="STM142" s="4"/>
      <c r="STN142" s="4"/>
      <c r="STO142" s="4"/>
      <c r="STP142" s="4"/>
      <c r="STQ142" s="4"/>
      <c r="STR142" s="4"/>
      <c r="STS142" s="4"/>
      <c r="STT142" s="4"/>
      <c r="STU142" s="4"/>
      <c r="STV142" s="4"/>
      <c r="STW142" s="4"/>
      <c r="STX142" s="4"/>
      <c r="STY142" s="4"/>
      <c r="STZ142" s="4"/>
      <c r="SUA142" s="4"/>
      <c r="SUB142" s="4"/>
      <c r="SUC142" s="4"/>
      <c r="SUD142" s="4"/>
      <c r="SUE142" s="4"/>
      <c r="SUF142" s="4"/>
      <c r="SUG142" s="4"/>
      <c r="SUH142" s="4"/>
      <c r="SUI142" s="4"/>
      <c r="SUJ142" s="4"/>
      <c r="SUK142" s="4"/>
      <c r="SUL142" s="4"/>
      <c r="SUM142" s="4"/>
      <c r="SUN142" s="4"/>
      <c r="SUO142" s="4"/>
      <c r="SUP142" s="4"/>
      <c r="SUQ142" s="4"/>
      <c r="SUR142" s="4"/>
      <c r="SUS142" s="4"/>
      <c r="SUT142" s="4"/>
      <c r="SUU142" s="4"/>
      <c r="SUV142" s="4"/>
      <c r="SUW142" s="4"/>
      <c r="SUX142" s="4"/>
      <c r="SUY142" s="4"/>
      <c r="SUZ142" s="4"/>
      <c r="SVA142" s="4"/>
      <c r="SVB142" s="4"/>
      <c r="SVC142" s="4"/>
      <c r="SVD142" s="4"/>
      <c r="SVE142" s="4"/>
      <c r="SVF142" s="4"/>
      <c r="SVG142" s="4"/>
      <c r="SVH142" s="4"/>
      <c r="SVI142" s="4"/>
      <c r="SVJ142" s="4"/>
      <c r="SVK142" s="4"/>
      <c r="SVL142" s="4"/>
      <c r="SVM142" s="4"/>
      <c r="SVN142" s="4"/>
      <c r="SVO142" s="4"/>
      <c r="SVP142" s="4"/>
      <c r="SVQ142" s="4"/>
      <c r="SVR142" s="4"/>
      <c r="SVS142" s="4"/>
      <c r="SVT142" s="4"/>
      <c r="SVU142" s="4"/>
      <c r="SVV142" s="4"/>
      <c r="SVW142" s="4"/>
      <c r="SVX142" s="4"/>
      <c r="SVY142" s="4"/>
      <c r="SVZ142" s="4"/>
      <c r="SWA142" s="4"/>
      <c r="SWB142" s="4"/>
      <c r="SWC142" s="4"/>
      <c r="SWD142" s="4"/>
      <c r="SWE142" s="4"/>
      <c r="SWF142" s="4"/>
      <c r="SWG142" s="4"/>
      <c r="SWH142" s="4"/>
      <c r="SWI142" s="4"/>
      <c r="SWJ142" s="4"/>
      <c r="SWK142" s="4"/>
      <c r="SWL142" s="4"/>
      <c r="SWM142" s="4"/>
      <c r="SWN142" s="4"/>
      <c r="SWO142" s="4"/>
      <c r="SWP142" s="4"/>
      <c r="SWQ142" s="4"/>
      <c r="SWR142" s="4"/>
      <c r="SWS142" s="4"/>
      <c r="SWT142" s="4"/>
      <c r="SWU142" s="4"/>
      <c r="SWV142" s="4"/>
      <c r="SWW142" s="4"/>
      <c r="SWX142" s="4"/>
      <c r="SWY142" s="4"/>
      <c r="SWZ142" s="4"/>
      <c r="SXA142" s="4"/>
      <c r="SXB142" s="4"/>
      <c r="SXC142" s="4"/>
      <c r="SXD142" s="4"/>
      <c r="SXE142" s="4"/>
      <c r="SXF142" s="4"/>
      <c r="SXG142" s="4"/>
      <c r="SXH142" s="4"/>
      <c r="SXI142" s="4"/>
      <c r="SXJ142" s="4"/>
      <c r="SXK142" s="4"/>
      <c r="SXL142" s="4"/>
      <c r="SXM142" s="4"/>
      <c r="SXN142" s="4"/>
      <c r="SXO142" s="4"/>
      <c r="SXP142" s="4"/>
      <c r="SXQ142" s="4"/>
      <c r="SXR142" s="4"/>
      <c r="SXS142" s="4"/>
      <c r="SXT142" s="4"/>
      <c r="SXU142" s="4"/>
      <c r="SXV142" s="4"/>
      <c r="SXW142" s="4"/>
      <c r="SXX142" s="4"/>
      <c r="SXY142" s="4"/>
      <c r="SXZ142" s="4"/>
      <c r="SYA142" s="4"/>
      <c r="SYB142" s="4"/>
      <c r="SYC142" s="4"/>
      <c r="SYD142" s="4"/>
      <c r="SYE142" s="4"/>
      <c r="SYF142" s="4"/>
      <c r="SYG142" s="4"/>
      <c r="SYH142" s="4"/>
      <c r="SYI142" s="4"/>
      <c r="SYJ142" s="4"/>
      <c r="SYK142" s="4"/>
      <c r="SYL142" s="4"/>
      <c r="SYM142" s="4"/>
      <c r="SYN142" s="4"/>
      <c r="SYO142" s="4"/>
      <c r="SYP142" s="4"/>
      <c r="SYQ142" s="4"/>
      <c r="SYR142" s="4"/>
      <c r="SYS142" s="4"/>
      <c r="SYT142" s="4"/>
      <c r="SYU142" s="4"/>
      <c r="SYV142" s="4"/>
      <c r="SYW142" s="4"/>
      <c r="SYX142" s="4"/>
      <c r="SYY142" s="4"/>
      <c r="SYZ142" s="4"/>
      <c r="SZA142" s="4"/>
      <c r="SZB142" s="4"/>
      <c r="SZC142" s="4"/>
      <c r="SZD142" s="4"/>
      <c r="SZE142" s="4"/>
      <c r="SZF142" s="4"/>
      <c r="SZG142" s="4"/>
      <c r="SZH142" s="4"/>
      <c r="SZI142" s="4"/>
      <c r="SZJ142" s="4"/>
      <c r="SZK142" s="4"/>
      <c r="SZL142" s="4"/>
      <c r="SZM142" s="4"/>
      <c r="SZN142" s="4"/>
      <c r="SZO142" s="4"/>
      <c r="SZP142" s="4"/>
      <c r="SZQ142" s="4"/>
      <c r="SZR142" s="4"/>
      <c r="SZS142" s="4"/>
      <c r="SZT142" s="4"/>
      <c r="SZU142" s="4"/>
      <c r="SZV142" s="4"/>
      <c r="SZW142" s="4"/>
      <c r="SZX142" s="4"/>
      <c r="SZY142" s="4"/>
      <c r="SZZ142" s="4"/>
      <c r="TAA142" s="4"/>
      <c r="TAB142" s="4"/>
      <c r="TAC142" s="4"/>
      <c r="TAD142" s="4"/>
      <c r="TAE142" s="4"/>
      <c r="TAF142" s="4"/>
      <c r="TAG142" s="4"/>
      <c r="TAH142" s="4"/>
      <c r="TAI142" s="4"/>
      <c r="TAJ142" s="4"/>
      <c r="TAK142" s="4"/>
      <c r="TAL142" s="4"/>
      <c r="TAM142" s="4"/>
      <c r="TAN142" s="4"/>
      <c r="TAO142" s="4"/>
      <c r="TAP142" s="4"/>
      <c r="TAQ142" s="4"/>
      <c r="TAR142" s="4"/>
      <c r="TAS142" s="4"/>
      <c r="TAT142" s="4"/>
      <c r="TAU142" s="4"/>
      <c r="TAV142" s="4"/>
      <c r="TAW142" s="4"/>
      <c r="TAX142" s="4"/>
      <c r="TAY142" s="4"/>
      <c r="TAZ142" s="4"/>
      <c r="TBA142" s="4"/>
      <c r="TBB142" s="4"/>
      <c r="TBC142" s="4"/>
      <c r="TBD142" s="4"/>
      <c r="TBE142" s="4"/>
      <c r="TBF142" s="4"/>
      <c r="TBG142" s="4"/>
      <c r="TBH142" s="4"/>
      <c r="TBI142" s="4"/>
      <c r="TBJ142" s="4"/>
      <c r="TBK142" s="4"/>
      <c r="TBL142" s="4"/>
      <c r="TBM142" s="4"/>
      <c r="TBN142" s="4"/>
      <c r="TBO142" s="4"/>
      <c r="TBP142" s="4"/>
      <c r="TBQ142" s="4"/>
      <c r="TBR142" s="4"/>
      <c r="TBS142" s="4"/>
      <c r="TBT142" s="4"/>
      <c r="TBU142" s="4"/>
      <c r="TBV142" s="4"/>
      <c r="TBW142" s="4"/>
      <c r="TBX142" s="4"/>
      <c r="TBY142" s="4"/>
      <c r="TBZ142" s="4"/>
      <c r="TCA142" s="4"/>
      <c r="TCB142" s="4"/>
      <c r="TCC142" s="4"/>
      <c r="TCD142" s="4"/>
      <c r="TCE142" s="4"/>
      <c r="TCF142" s="4"/>
      <c r="TCG142" s="4"/>
      <c r="TCH142" s="4"/>
      <c r="TCI142" s="4"/>
      <c r="TCJ142" s="4"/>
      <c r="TCK142" s="4"/>
      <c r="TCL142" s="4"/>
      <c r="TCM142" s="4"/>
      <c r="TCN142" s="4"/>
      <c r="TCO142" s="4"/>
      <c r="TCP142" s="4"/>
      <c r="TCQ142" s="4"/>
      <c r="TCR142" s="4"/>
      <c r="TCS142" s="4"/>
      <c r="TCT142" s="4"/>
      <c r="TCU142" s="4"/>
      <c r="TCV142" s="4"/>
      <c r="TCW142" s="4"/>
      <c r="TCX142" s="4"/>
      <c r="TCY142" s="4"/>
      <c r="TCZ142" s="4"/>
      <c r="TDA142" s="4"/>
      <c r="TDB142" s="4"/>
      <c r="TDC142" s="4"/>
      <c r="TDD142" s="4"/>
      <c r="TDE142" s="4"/>
      <c r="TDF142" s="4"/>
      <c r="TDG142" s="4"/>
      <c r="TDH142" s="4"/>
      <c r="TDI142" s="4"/>
      <c r="TDJ142" s="4"/>
      <c r="TDK142" s="4"/>
      <c r="TDL142" s="4"/>
      <c r="TDM142" s="4"/>
      <c r="TDN142" s="4"/>
      <c r="TDO142" s="4"/>
      <c r="TDP142" s="4"/>
      <c r="TDQ142" s="4"/>
      <c r="TDR142" s="4"/>
      <c r="TDS142" s="4"/>
      <c r="TDT142" s="4"/>
      <c r="TDU142" s="4"/>
      <c r="TDV142" s="4"/>
      <c r="TDW142" s="4"/>
      <c r="TDX142" s="4"/>
      <c r="TDY142" s="4"/>
      <c r="TDZ142" s="4"/>
      <c r="TEA142" s="4"/>
      <c r="TEB142" s="4"/>
      <c r="TEC142" s="4"/>
      <c r="TED142" s="4"/>
      <c r="TEE142" s="4"/>
      <c r="TEF142" s="4"/>
      <c r="TEG142" s="4"/>
      <c r="TEH142" s="4"/>
      <c r="TEI142" s="4"/>
      <c r="TEJ142" s="4"/>
      <c r="TEK142" s="4"/>
      <c r="TEL142" s="4"/>
      <c r="TEM142" s="4"/>
      <c r="TEN142" s="4"/>
      <c r="TEO142" s="4"/>
      <c r="TEP142" s="4"/>
      <c r="TEQ142" s="4"/>
      <c r="TER142" s="4"/>
      <c r="TES142" s="4"/>
      <c r="TET142" s="4"/>
      <c r="TEU142" s="4"/>
      <c r="TEV142" s="4"/>
      <c r="TEW142" s="4"/>
      <c r="TEX142" s="4"/>
      <c r="TEY142" s="4"/>
      <c r="TEZ142" s="4"/>
      <c r="TFA142" s="4"/>
      <c r="TFB142" s="4"/>
      <c r="TFC142" s="4"/>
      <c r="TFD142" s="4"/>
      <c r="TFE142" s="4"/>
      <c r="TFF142" s="4"/>
      <c r="TFG142" s="4"/>
      <c r="TFH142" s="4"/>
      <c r="TFI142" s="4"/>
      <c r="TFJ142" s="4"/>
      <c r="TFK142" s="4"/>
      <c r="TFL142" s="4"/>
      <c r="TFM142" s="4"/>
      <c r="TFN142" s="4"/>
      <c r="TFO142" s="4"/>
      <c r="TFP142" s="4"/>
      <c r="TFQ142" s="4"/>
      <c r="TFR142" s="4"/>
      <c r="TFS142" s="4"/>
      <c r="TFT142" s="4"/>
      <c r="TFU142" s="4"/>
      <c r="TFV142" s="4"/>
      <c r="TFW142" s="4"/>
      <c r="TFX142" s="4"/>
      <c r="TFY142" s="4"/>
      <c r="TFZ142" s="4"/>
      <c r="TGA142" s="4"/>
      <c r="TGB142" s="4"/>
      <c r="TGC142" s="4"/>
      <c r="TGD142" s="4"/>
      <c r="TGE142" s="4"/>
      <c r="TGF142" s="4"/>
      <c r="TGG142" s="4"/>
      <c r="TGH142" s="4"/>
      <c r="TGI142" s="4"/>
      <c r="TGJ142" s="4"/>
      <c r="TGK142" s="4"/>
      <c r="TGL142" s="4"/>
      <c r="TGM142" s="4"/>
      <c r="TGN142" s="4"/>
      <c r="TGO142" s="4"/>
      <c r="TGP142" s="4"/>
      <c r="TGQ142" s="4"/>
      <c r="TGR142" s="4"/>
      <c r="TGS142" s="4"/>
      <c r="TGT142" s="4"/>
      <c r="TGU142" s="4"/>
      <c r="TGV142" s="4"/>
      <c r="TGW142" s="4"/>
      <c r="TGX142" s="4"/>
      <c r="TGY142" s="4"/>
      <c r="TGZ142" s="4"/>
      <c r="THA142" s="4"/>
      <c r="THB142" s="4"/>
      <c r="THC142" s="4"/>
      <c r="THD142" s="4"/>
      <c r="THE142" s="4"/>
      <c r="THF142" s="4"/>
      <c r="THG142" s="4"/>
      <c r="THH142" s="4"/>
      <c r="THI142" s="4"/>
      <c r="THJ142" s="4"/>
      <c r="THK142" s="4"/>
      <c r="THL142" s="4"/>
      <c r="THM142" s="4"/>
      <c r="THN142" s="4"/>
      <c r="THO142" s="4"/>
      <c r="THP142" s="4"/>
      <c r="THQ142" s="4"/>
      <c r="THR142" s="4"/>
      <c r="THS142" s="4"/>
      <c r="THT142" s="4"/>
      <c r="THU142" s="4"/>
      <c r="THV142" s="4"/>
      <c r="THW142" s="4"/>
      <c r="THX142" s="4"/>
      <c r="THY142" s="4"/>
      <c r="THZ142" s="4"/>
      <c r="TIA142" s="4"/>
      <c r="TIB142" s="4"/>
      <c r="TIC142" s="4"/>
      <c r="TID142" s="4"/>
      <c r="TIE142" s="4"/>
      <c r="TIF142" s="4"/>
      <c r="TIG142" s="4"/>
      <c r="TIH142" s="4"/>
      <c r="TII142" s="4"/>
      <c r="TIJ142" s="4"/>
      <c r="TIK142" s="4"/>
      <c r="TIL142" s="4"/>
      <c r="TIM142" s="4"/>
      <c r="TIN142" s="4"/>
      <c r="TIO142" s="4"/>
      <c r="TIP142" s="4"/>
      <c r="TIQ142" s="4"/>
      <c r="TIR142" s="4"/>
      <c r="TIS142" s="4"/>
      <c r="TIT142" s="4"/>
      <c r="TIU142" s="4"/>
      <c r="TIV142" s="4"/>
      <c r="TIW142" s="4"/>
      <c r="TIX142" s="4"/>
      <c r="TIY142" s="4"/>
      <c r="TIZ142" s="4"/>
      <c r="TJA142" s="4"/>
      <c r="TJB142" s="4"/>
      <c r="TJC142" s="4"/>
      <c r="TJD142" s="4"/>
      <c r="TJE142" s="4"/>
      <c r="TJF142" s="4"/>
      <c r="TJG142" s="4"/>
      <c r="TJH142" s="4"/>
      <c r="TJI142" s="4"/>
      <c r="TJJ142" s="4"/>
      <c r="TJK142" s="4"/>
      <c r="TJL142" s="4"/>
      <c r="TJM142" s="4"/>
      <c r="TJN142" s="4"/>
      <c r="TJO142" s="4"/>
      <c r="TJP142" s="4"/>
      <c r="TJQ142" s="4"/>
      <c r="TJR142" s="4"/>
      <c r="TJS142" s="4"/>
      <c r="TJT142" s="4"/>
      <c r="TJU142" s="4"/>
      <c r="TJV142" s="4"/>
      <c r="TJW142" s="4"/>
      <c r="TJX142" s="4"/>
      <c r="TJY142" s="4"/>
      <c r="TJZ142" s="4"/>
      <c r="TKA142" s="4"/>
      <c r="TKB142" s="4"/>
      <c r="TKC142" s="4"/>
      <c r="TKD142" s="4"/>
      <c r="TKE142" s="4"/>
      <c r="TKF142" s="4"/>
      <c r="TKG142" s="4"/>
      <c r="TKH142" s="4"/>
      <c r="TKI142" s="4"/>
      <c r="TKJ142" s="4"/>
      <c r="TKK142" s="4"/>
      <c r="TKL142" s="4"/>
      <c r="TKM142" s="4"/>
      <c r="TKN142" s="4"/>
      <c r="TKO142" s="4"/>
      <c r="TKP142" s="4"/>
      <c r="TKQ142" s="4"/>
      <c r="TKR142" s="4"/>
      <c r="TKS142" s="4"/>
      <c r="TKT142" s="4"/>
      <c r="TKU142" s="4"/>
      <c r="TKV142" s="4"/>
      <c r="TKW142" s="4"/>
      <c r="TKX142" s="4"/>
      <c r="TKY142" s="4"/>
      <c r="TKZ142" s="4"/>
      <c r="TLA142" s="4"/>
      <c r="TLB142" s="4"/>
      <c r="TLC142" s="4"/>
      <c r="TLD142" s="4"/>
      <c r="TLE142" s="4"/>
      <c r="TLF142" s="4"/>
      <c r="TLG142" s="4"/>
      <c r="TLH142" s="4"/>
      <c r="TLI142" s="4"/>
      <c r="TLJ142" s="4"/>
      <c r="TLK142" s="4"/>
      <c r="TLL142" s="4"/>
      <c r="TLM142" s="4"/>
      <c r="TLN142" s="4"/>
      <c r="TLO142" s="4"/>
      <c r="TLP142" s="4"/>
      <c r="TLQ142" s="4"/>
      <c r="TLR142" s="4"/>
      <c r="TLS142" s="4"/>
      <c r="TLT142" s="4"/>
      <c r="TLU142" s="4"/>
      <c r="TLV142" s="4"/>
      <c r="TLW142" s="4"/>
      <c r="TLX142" s="4"/>
      <c r="TLY142" s="4"/>
      <c r="TLZ142" s="4"/>
      <c r="TMA142" s="4"/>
      <c r="TMB142" s="4"/>
      <c r="TMC142" s="4"/>
      <c r="TMD142" s="4"/>
      <c r="TME142" s="4"/>
      <c r="TMF142" s="4"/>
      <c r="TMG142" s="4"/>
      <c r="TMH142" s="4"/>
      <c r="TMI142" s="4"/>
      <c r="TMJ142" s="4"/>
      <c r="TMK142" s="4"/>
      <c r="TML142" s="4"/>
      <c r="TMM142" s="4"/>
      <c r="TMN142" s="4"/>
      <c r="TMO142" s="4"/>
      <c r="TMP142" s="4"/>
      <c r="TMQ142" s="4"/>
      <c r="TMR142" s="4"/>
      <c r="TMS142" s="4"/>
      <c r="TMT142" s="4"/>
      <c r="TMU142" s="4"/>
      <c r="TMV142" s="4"/>
      <c r="TMW142" s="4"/>
      <c r="TMX142" s="4"/>
      <c r="TMY142" s="4"/>
      <c r="TMZ142" s="4"/>
      <c r="TNA142" s="4"/>
      <c r="TNB142" s="4"/>
      <c r="TNC142" s="4"/>
      <c r="TND142" s="4"/>
      <c r="TNE142" s="4"/>
      <c r="TNF142" s="4"/>
      <c r="TNG142" s="4"/>
      <c r="TNH142" s="4"/>
      <c r="TNI142" s="4"/>
      <c r="TNJ142" s="4"/>
      <c r="TNK142" s="4"/>
      <c r="TNL142" s="4"/>
      <c r="TNM142" s="4"/>
      <c r="TNN142" s="4"/>
      <c r="TNO142" s="4"/>
      <c r="TNP142" s="4"/>
      <c r="TNQ142" s="4"/>
      <c r="TNR142" s="4"/>
      <c r="TNS142" s="4"/>
      <c r="TNT142" s="4"/>
      <c r="TNU142" s="4"/>
      <c r="TNV142" s="4"/>
      <c r="TNW142" s="4"/>
      <c r="TNX142" s="4"/>
      <c r="TNY142" s="4"/>
      <c r="TNZ142" s="4"/>
      <c r="TOA142" s="4"/>
      <c r="TOB142" s="4"/>
      <c r="TOC142" s="4"/>
      <c r="TOD142" s="4"/>
      <c r="TOE142" s="4"/>
      <c r="TOF142" s="4"/>
      <c r="TOG142" s="4"/>
      <c r="TOH142" s="4"/>
      <c r="TOI142" s="4"/>
      <c r="TOJ142" s="4"/>
      <c r="TOK142" s="4"/>
      <c r="TOL142" s="4"/>
      <c r="TOM142" s="4"/>
      <c r="TON142" s="4"/>
      <c r="TOO142" s="4"/>
      <c r="TOP142" s="4"/>
      <c r="TOQ142" s="4"/>
      <c r="TOR142" s="4"/>
      <c r="TOS142" s="4"/>
      <c r="TOT142" s="4"/>
      <c r="TOU142" s="4"/>
      <c r="TOV142" s="4"/>
      <c r="TOW142" s="4"/>
      <c r="TOX142" s="4"/>
      <c r="TOY142" s="4"/>
      <c r="TOZ142" s="4"/>
      <c r="TPA142" s="4"/>
      <c r="TPB142" s="4"/>
      <c r="TPC142" s="4"/>
      <c r="TPD142" s="4"/>
      <c r="TPE142" s="4"/>
      <c r="TPF142" s="4"/>
      <c r="TPG142" s="4"/>
      <c r="TPH142" s="4"/>
      <c r="TPI142" s="4"/>
      <c r="TPJ142" s="4"/>
      <c r="TPK142" s="4"/>
      <c r="TPL142" s="4"/>
      <c r="TPM142" s="4"/>
      <c r="TPN142" s="4"/>
      <c r="TPO142" s="4"/>
      <c r="TPP142" s="4"/>
      <c r="TPQ142" s="4"/>
      <c r="TPR142" s="4"/>
      <c r="TPS142" s="4"/>
      <c r="TPT142" s="4"/>
      <c r="TPU142" s="4"/>
      <c r="TPV142" s="4"/>
      <c r="TPW142" s="4"/>
      <c r="TPX142" s="4"/>
      <c r="TPY142" s="4"/>
      <c r="TPZ142" s="4"/>
      <c r="TQA142" s="4"/>
      <c r="TQB142" s="4"/>
      <c r="TQC142" s="4"/>
      <c r="TQD142" s="4"/>
      <c r="TQE142" s="4"/>
      <c r="TQF142" s="4"/>
      <c r="TQG142" s="4"/>
      <c r="TQH142" s="4"/>
      <c r="TQI142" s="4"/>
      <c r="TQJ142" s="4"/>
      <c r="TQK142" s="4"/>
      <c r="TQL142" s="4"/>
      <c r="TQM142" s="4"/>
      <c r="TQN142" s="4"/>
      <c r="TQO142" s="4"/>
      <c r="TQP142" s="4"/>
      <c r="TQQ142" s="4"/>
      <c r="TQR142" s="4"/>
      <c r="TQS142" s="4"/>
      <c r="TQT142" s="4"/>
      <c r="TQU142" s="4"/>
      <c r="TQV142" s="4"/>
      <c r="TQW142" s="4"/>
      <c r="TQX142" s="4"/>
      <c r="TQY142" s="4"/>
      <c r="TQZ142" s="4"/>
      <c r="TRA142" s="4"/>
      <c r="TRB142" s="4"/>
      <c r="TRC142" s="4"/>
      <c r="TRD142" s="4"/>
      <c r="TRE142" s="4"/>
      <c r="TRF142" s="4"/>
      <c r="TRG142" s="4"/>
      <c r="TRH142" s="4"/>
      <c r="TRI142" s="4"/>
      <c r="TRJ142" s="4"/>
      <c r="TRK142" s="4"/>
      <c r="TRL142" s="4"/>
      <c r="TRM142" s="4"/>
      <c r="TRN142" s="4"/>
      <c r="TRO142" s="4"/>
      <c r="TRP142" s="4"/>
      <c r="TRQ142" s="4"/>
      <c r="TRR142" s="4"/>
      <c r="TRS142" s="4"/>
      <c r="TRT142" s="4"/>
      <c r="TRU142" s="4"/>
      <c r="TRV142" s="4"/>
      <c r="TRW142" s="4"/>
      <c r="TRX142" s="4"/>
      <c r="TRY142" s="4"/>
      <c r="TRZ142" s="4"/>
      <c r="TSA142" s="4"/>
      <c r="TSB142" s="4"/>
      <c r="TSC142" s="4"/>
      <c r="TSD142" s="4"/>
      <c r="TSE142" s="4"/>
      <c r="TSF142" s="4"/>
      <c r="TSG142" s="4"/>
      <c r="TSH142" s="4"/>
      <c r="TSI142" s="4"/>
      <c r="TSJ142" s="4"/>
      <c r="TSK142" s="4"/>
      <c r="TSL142" s="4"/>
      <c r="TSM142" s="4"/>
      <c r="TSN142" s="4"/>
      <c r="TSO142" s="4"/>
      <c r="TSP142" s="4"/>
      <c r="TSQ142" s="4"/>
      <c r="TSR142" s="4"/>
      <c r="TSS142" s="4"/>
      <c r="TST142" s="4"/>
      <c r="TSU142" s="4"/>
      <c r="TSV142" s="4"/>
      <c r="TSW142" s="4"/>
      <c r="TSX142" s="4"/>
      <c r="TSY142" s="4"/>
      <c r="TSZ142" s="4"/>
      <c r="TTA142" s="4"/>
      <c r="TTB142" s="4"/>
      <c r="TTC142" s="4"/>
      <c r="TTD142" s="4"/>
      <c r="TTE142" s="4"/>
      <c r="TTF142" s="4"/>
      <c r="TTG142" s="4"/>
      <c r="TTH142" s="4"/>
      <c r="TTI142" s="4"/>
      <c r="TTJ142" s="4"/>
      <c r="TTK142" s="4"/>
      <c r="TTL142" s="4"/>
      <c r="TTM142" s="4"/>
      <c r="TTN142" s="4"/>
      <c r="TTO142" s="4"/>
      <c r="TTP142" s="4"/>
      <c r="TTQ142" s="4"/>
      <c r="TTR142" s="4"/>
      <c r="TTS142" s="4"/>
      <c r="TTT142" s="4"/>
      <c r="TTU142" s="4"/>
      <c r="TTV142" s="4"/>
      <c r="TTW142" s="4"/>
      <c r="TTX142" s="4"/>
      <c r="TTY142" s="4"/>
      <c r="TTZ142" s="4"/>
      <c r="TUA142" s="4"/>
      <c r="TUB142" s="4"/>
      <c r="TUC142" s="4"/>
      <c r="TUD142" s="4"/>
      <c r="TUE142" s="4"/>
      <c r="TUF142" s="4"/>
      <c r="TUG142" s="4"/>
      <c r="TUH142" s="4"/>
      <c r="TUI142" s="4"/>
      <c r="TUJ142" s="4"/>
      <c r="TUK142" s="4"/>
      <c r="TUL142" s="4"/>
      <c r="TUM142" s="4"/>
      <c r="TUN142" s="4"/>
      <c r="TUO142" s="4"/>
      <c r="TUP142" s="4"/>
      <c r="TUQ142" s="4"/>
      <c r="TUR142" s="4"/>
      <c r="TUS142" s="4"/>
      <c r="TUT142" s="4"/>
      <c r="TUU142" s="4"/>
      <c r="TUV142" s="4"/>
      <c r="TUW142" s="4"/>
      <c r="TUX142" s="4"/>
      <c r="TUY142" s="4"/>
      <c r="TUZ142" s="4"/>
      <c r="TVA142" s="4"/>
      <c r="TVB142" s="4"/>
      <c r="TVC142" s="4"/>
      <c r="TVD142" s="4"/>
      <c r="TVE142" s="4"/>
      <c r="TVF142" s="4"/>
      <c r="TVG142" s="4"/>
      <c r="TVH142" s="4"/>
      <c r="TVI142" s="4"/>
      <c r="TVJ142" s="4"/>
      <c r="TVK142" s="4"/>
      <c r="TVL142" s="4"/>
      <c r="TVM142" s="4"/>
      <c r="TVN142" s="4"/>
      <c r="TVO142" s="4"/>
      <c r="TVP142" s="4"/>
      <c r="TVQ142" s="4"/>
      <c r="TVR142" s="4"/>
      <c r="TVS142" s="4"/>
      <c r="TVT142" s="4"/>
      <c r="TVU142" s="4"/>
      <c r="TVV142" s="4"/>
      <c r="TVW142" s="4"/>
      <c r="TVX142" s="4"/>
      <c r="TVY142" s="4"/>
      <c r="TVZ142" s="4"/>
      <c r="TWA142" s="4"/>
      <c r="TWB142" s="4"/>
      <c r="TWC142" s="4"/>
      <c r="TWD142" s="4"/>
      <c r="TWE142" s="4"/>
      <c r="TWF142" s="4"/>
      <c r="TWG142" s="4"/>
      <c r="TWH142" s="4"/>
      <c r="TWI142" s="4"/>
      <c r="TWJ142" s="4"/>
      <c r="TWK142" s="4"/>
      <c r="TWL142" s="4"/>
      <c r="TWM142" s="4"/>
      <c r="TWN142" s="4"/>
      <c r="TWO142" s="4"/>
      <c r="TWP142" s="4"/>
      <c r="TWQ142" s="4"/>
      <c r="TWR142" s="4"/>
      <c r="TWS142" s="4"/>
      <c r="TWT142" s="4"/>
      <c r="TWU142" s="4"/>
      <c r="TWV142" s="4"/>
      <c r="TWW142" s="4"/>
      <c r="TWX142" s="4"/>
      <c r="TWY142" s="4"/>
      <c r="TWZ142" s="4"/>
      <c r="TXA142" s="4"/>
      <c r="TXB142" s="4"/>
      <c r="TXC142" s="4"/>
      <c r="TXD142" s="4"/>
      <c r="TXE142" s="4"/>
      <c r="TXF142" s="4"/>
      <c r="TXG142" s="4"/>
      <c r="TXH142" s="4"/>
      <c r="TXI142" s="4"/>
      <c r="TXJ142" s="4"/>
      <c r="TXK142" s="4"/>
      <c r="TXL142" s="4"/>
      <c r="TXM142" s="4"/>
      <c r="TXN142" s="4"/>
      <c r="TXO142" s="4"/>
      <c r="TXP142" s="4"/>
      <c r="TXQ142" s="4"/>
      <c r="TXR142" s="4"/>
      <c r="TXS142" s="4"/>
      <c r="TXT142" s="4"/>
      <c r="TXU142" s="4"/>
      <c r="TXV142" s="4"/>
      <c r="TXW142" s="4"/>
      <c r="TXX142" s="4"/>
      <c r="TXY142" s="4"/>
      <c r="TXZ142" s="4"/>
      <c r="TYA142" s="4"/>
      <c r="TYB142" s="4"/>
      <c r="TYC142" s="4"/>
      <c r="TYD142" s="4"/>
      <c r="TYE142" s="4"/>
      <c r="TYF142" s="4"/>
      <c r="TYG142" s="4"/>
      <c r="TYH142" s="4"/>
      <c r="TYI142" s="4"/>
      <c r="TYJ142" s="4"/>
      <c r="TYK142" s="4"/>
      <c r="TYL142" s="4"/>
      <c r="TYM142" s="4"/>
      <c r="TYN142" s="4"/>
      <c r="TYO142" s="4"/>
      <c r="TYP142" s="4"/>
      <c r="TYQ142" s="4"/>
      <c r="TYR142" s="4"/>
      <c r="TYS142" s="4"/>
      <c r="TYT142" s="4"/>
      <c r="TYU142" s="4"/>
      <c r="TYV142" s="4"/>
      <c r="TYW142" s="4"/>
      <c r="TYX142" s="4"/>
      <c r="TYY142" s="4"/>
      <c r="TYZ142" s="4"/>
      <c r="TZA142" s="4"/>
      <c r="TZB142" s="4"/>
      <c r="TZC142" s="4"/>
      <c r="TZD142" s="4"/>
      <c r="TZE142" s="4"/>
      <c r="TZF142" s="4"/>
      <c r="TZG142" s="4"/>
      <c r="TZH142" s="4"/>
      <c r="TZI142" s="4"/>
      <c r="TZJ142" s="4"/>
      <c r="TZK142" s="4"/>
      <c r="TZL142" s="4"/>
      <c r="TZM142" s="4"/>
      <c r="TZN142" s="4"/>
      <c r="TZO142" s="4"/>
      <c r="TZP142" s="4"/>
      <c r="TZQ142" s="4"/>
      <c r="TZR142" s="4"/>
      <c r="TZS142" s="4"/>
      <c r="TZT142" s="4"/>
      <c r="TZU142" s="4"/>
      <c r="TZV142" s="4"/>
      <c r="TZW142" s="4"/>
      <c r="TZX142" s="4"/>
      <c r="TZY142" s="4"/>
      <c r="TZZ142" s="4"/>
      <c r="UAA142" s="4"/>
      <c r="UAB142" s="4"/>
      <c r="UAC142" s="4"/>
      <c r="UAD142" s="4"/>
      <c r="UAE142" s="4"/>
      <c r="UAF142" s="4"/>
      <c r="UAG142" s="4"/>
      <c r="UAH142" s="4"/>
      <c r="UAI142" s="4"/>
      <c r="UAJ142" s="4"/>
      <c r="UAK142" s="4"/>
      <c r="UAL142" s="4"/>
      <c r="UAM142" s="4"/>
      <c r="UAN142" s="4"/>
      <c r="UAO142" s="4"/>
      <c r="UAP142" s="4"/>
      <c r="UAQ142" s="4"/>
      <c r="UAR142" s="4"/>
      <c r="UAS142" s="4"/>
      <c r="UAT142" s="4"/>
      <c r="UAU142" s="4"/>
      <c r="UAV142" s="4"/>
      <c r="UAW142" s="4"/>
      <c r="UAX142" s="4"/>
      <c r="UAY142" s="4"/>
      <c r="UAZ142" s="4"/>
      <c r="UBA142" s="4"/>
      <c r="UBB142" s="4"/>
      <c r="UBC142" s="4"/>
      <c r="UBD142" s="4"/>
      <c r="UBE142" s="4"/>
      <c r="UBF142" s="4"/>
      <c r="UBG142" s="4"/>
      <c r="UBH142" s="4"/>
      <c r="UBI142" s="4"/>
      <c r="UBJ142" s="4"/>
      <c r="UBK142" s="4"/>
      <c r="UBL142" s="4"/>
      <c r="UBM142" s="4"/>
      <c r="UBN142" s="4"/>
      <c r="UBO142" s="4"/>
      <c r="UBP142" s="4"/>
      <c r="UBQ142" s="4"/>
      <c r="UBR142" s="4"/>
      <c r="UBS142" s="4"/>
      <c r="UBT142" s="4"/>
      <c r="UBU142" s="4"/>
      <c r="UBV142" s="4"/>
      <c r="UBW142" s="4"/>
      <c r="UBX142" s="4"/>
      <c r="UBY142" s="4"/>
      <c r="UBZ142" s="4"/>
      <c r="UCA142" s="4"/>
      <c r="UCB142" s="4"/>
      <c r="UCC142" s="4"/>
      <c r="UCD142" s="4"/>
      <c r="UCE142" s="4"/>
      <c r="UCF142" s="4"/>
      <c r="UCG142" s="4"/>
      <c r="UCH142" s="4"/>
      <c r="UCI142" s="4"/>
      <c r="UCJ142" s="4"/>
      <c r="UCK142" s="4"/>
      <c r="UCL142" s="4"/>
      <c r="UCM142" s="4"/>
      <c r="UCN142" s="4"/>
      <c r="UCO142" s="4"/>
      <c r="UCP142" s="4"/>
      <c r="UCQ142" s="4"/>
      <c r="UCR142" s="4"/>
      <c r="UCS142" s="4"/>
      <c r="UCT142" s="4"/>
      <c r="UCU142" s="4"/>
      <c r="UCV142" s="4"/>
      <c r="UCW142" s="4"/>
      <c r="UCX142" s="4"/>
      <c r="UCY142" s="4"/>
      <c r="UCZ142" s="4"/>
      <c r="UDA142" s="4"/>
      <c r="UDB142" s="4"/>
      <c r="UDC142" s="4"/>
      <c r="UDD142" s="4"/>
      <c r="UDE142" s="4"/>
      <c r="UDF142" s="4"/>
      <c r="UDG142" s="4"/>
      <c r="UDH142" s="4"/>
      <c r="UDI142" s="4"/>
      <c r="UDJ142" s="4"/>
      <c r="UDK142" s="4"/>
      <c r="UDL142" s="4"/>
      <c r="UDM142" s="4"/>
      <c r="UDN142" s="4"/>
      <c r="UDO142" s="4"/>
      <c r="UDP142" s="4"/>
      <c r="UDQ142" s="4"/>
      <c r="UDR142" s="4"/>
      <c r="UDS142" s="4"/>
      <c r="UDT142" s="4"/>
      <c r="UDU142" s="4"/>
      <c r="UDV142" s="4"/>
      <c r="UDW142" s="4"/>
      <c r="UDX142" s="4"/>
      <c r="UDY142" s="4"/>
      <c r="UDZ142" s="4"/>
      <c r="UEA142" s="4"/>
      <c r="UEB142" s="4"/>
      <c r="UEC142" s="4"/>
      <c r="UED142" s="4"/>
      <c r="UEE142" s="4"/>
      <c r="UEF142" s="4"/>
      <c r="UEG142" s="4"/>
      <c r="UEH142" s="4"/>
      <c r="UEI142" s="4"/>
      <c r="UEJ142" s="4"/>
      <c r="UEK142" s="4"/>
      <c r="UEL142" s="4"/>
      <c r="UEM142" s="4"/>
      <c r="UEN142" s="4"/>
      <c r="UEO142" s="4"/>
      <c r="UEP142" s="4"/>
      <c r="UEQ142" s="4"/>
      <c r="UER142" s="4"/>
      <c r="UES142" s="4"/>
      <c r="UET142" s="4"/>
      <c r="UEU142" s="4"/>
      <c r="UEV142" s="4"/>
      <c r="UEW142" s="4"/>
      <c r="UEX142" s="4"/>
      <c r="UEY142" s="4"/>
      <c r="UEZ142" s="4"/>
      <c r="UFA142" s="4"/>
      <c r="UFB142" s="4"/>
      <c r="UFC142" s="4"/>
      <c r="UFD142" s="4"/>
      <c r="UFE142" s="4"/>
      <c r="UFF142" s="4"/>
      <c r="UFG142" s="4"/>
      <c r="UFH142" s="4"/>
      <c r="UFI142" s="4"/>
      <c r="UFJ142" s="4"/>
      <c r="UFK142" s="4"/>
      <c r="UFL142" s="4"/>
      <c r="UFM142" s="4"/>
      <c r="UFN142" s="4"/>
      <c r="UFO142" s="4"/>
      <c r="UFP142" s="4"/>
      <c r="UFQ142" s="4"/>
      <c r="UFR142" s="4"/>
      <c r="UFS142" s="4"/>
      <c r="UFT142" s="4"/>
      <c r="UFU142" s="4"/>
      <c r="UFV142" s="4"/>
      <c r="UFW142" s="4"/>
      <c r="UFX142" s="4"/>
      <c r="UFY142" s="4"/>
      <c r="UFZ142" s="4"/>
      <c r="UGA142" s="4"/>
      <c r="UGB142" s="4"/>
      <c r="UGC142" s="4"/>
      <c r="UGD142" s="4"/>
      <c r="UGE142" s="4"/>
      <c r="UGF142" s="4"/>
      <c r="UGG142" s="4"/>
      <c r="UGH142" s="4"/>
      <c r="UGI142" s="4"/>
      <c r="UGJ142" s="4"/>
      <c r="UGK142" s="4"/>
      <c r="UGL142" s="4"/>
      <c r="UGM142" s="4"/>
      <c r="UGN142" s="4"/>
      <c r="UGO142" s="4"/>
      <c r="UGP142" s="4"/>
      <c r="UGQ142" s="4"/>
      <c r="UGR142" s="4"/>
      <c r="UGS142" s="4"/>
      <c r="UGT142" s="4"/>
      <c r="UGU142" s="4"/>
      <c r="UGV142" s="4"/>
      <c r="UGW142" s="4"/>
      <c r="UGX142" s="4"/>
      <c r="UGY142" s="4"/>
      <c r="UGZ142" s="4"/>
      <c r="UHA142" s="4"/>
      <c r="UHB142" s="4"/>
      <c r="UHC142" s="4"/>
      <c r="UHD142" s="4"/>
      <c r="UHE142" s="4"/>
      <c r="UHF142" s="4"/>
      <c r="UHG142" s="4"/>
      <c r="UHH142" s="4"/>
      <c r="UHI142" s="4"/>
      <c r="UHJ142" s="4"/>
      <c r="UHK142" s="4"/>
      <c r="UHL142" s="4"/>
      <c r="UHM142" s="4"/>
      <c r="UHN142" s="4"/>
      <c r="UHO142" s="4"/>
      <c r="UHP142" s="4"/>
      <c r="UHQ142" s="4"/>
      <c r="UHR142" s="4"/>
      <c r="UHS142" s="4"/>
      <c r="UHT142" s="4"/>
      <c r="UHU142" s="4"/>
      <c r="UHV142" s="4"/>
      <c r="UHW142" s="4"/>
      <c r="UHX142" s="4"/>
      <c r="UHY142" s="4"/>
      <c r="UHZ142" s="4"/>
      <c r="UIA142" s="4"/>
      <c r="UIB142" s="4"/>
      <c r="UIC142" s="4"/>
      <c r="UID142" s="4"/>
      <c r="UIE142" s="4"/>
      <c r="UIF142" s="4"/>
      <c r="UIG142" s="4"/>
      <c r="UIH142" s="4"/>
      <c r="UII142" s="4"/>
      <c r="UIJ142" s="4"/>
      <c r="UIK142" s="4"/>
      <c r="UIL142" s="4"/>
      <c r="UIM142" s="4"/>
      <c r="UIN142" s="4"/>
      <c r="UIO142" s="4"/>
      <c r="UIP142" s="4"/>
      <c r="UIQ142" s="4"/>
      <c r="UIR142" s="4"/>
      <c r="UIS142" s="4"/>
      <c r="UIT142" s="4"/>
      <c r="UIU142" s="4"/>
      <c r="UIV142" s="4"/>
      <c r="UIW142" s="4"/>
      <c r="UIX142" s="4"/>
      <c r="UIY142" s="4"/>
      <c r="UIZ142" s="4"/>
      <c r="UJA142" s="4"/>
      <c r="UJB142" s="4"/>
      <c r="UJC142" s="4"/>
      <c r="UJD142" s="4"/>
      <c r="UJE142" s="4"/>
      <c r="UJF142" s="4"/>
      <c r="UJG142" s="4"/>
      <c r="UJH142" s="4"/>
      <c r="UJI142" s="4"/>
      <c r="UJJ142" s="4"/>
      <c r="UJK142" s="4"/>
      <c r="UJL142" s="4"/>
      <c r="UJM142" s="4"/>
      <c r="UJN142" s="4"/>
      <c r="UJO142" s="4"/>
      <c r="UJP142" s="4"/>
      <c r="UJQ142" s="4"/>
      <c r="UJR142" s="4"/>
      <c r="UJS142" s="4"/>
      <c r="UJT142" s="4"/>
      <c r="UJU142" s="4"/>
      <c r="UJV142" s="4"/>
      <c r="UJW142" s="4"/>
      <c r="UJX142" s="4"/>
      <c r="UJY142" s="4"/>
      <c r="UJZ142" s="4"/>
      <c r="UKA142" s="4"/>
      <c r="UKB142" s="4"/>
      <c r="UKC142" s="4"/>
      <c r="UKD142" s="4"/>
      <c r="UKE142" s="4"/>
      <c r="UKF142" s="4"/>
      <c r="UKG142" s="4"/>
      <c r="UKH142" s="4"/>
      <c r="UKI142" s="4"/>
      <c r="UKJ142" s="4"/>
      <c r="UKK142" s="4"/>
      <c r="UKL142" s="4"/>
      <c r="UKM142" s="4"/>
      <c r="UKN142" s="4"/>
      <c r="UKO142" s="4"/>
      <c r="UKP142" s="4"/>
      <c r="UKQ142" s="4"/>
      <c r="UKR142" s="4"/>
      <c r="UKS142" s="4"/>
      <c r="UKT142" s="4"/>
      <c r="UKU142" s="4"/>
      <c r="UKV142" s="4"/>
      <c r="UKW142" s="4"/>
      <c r="UKX142" s="4"/>
      <c r="UKY142" s="4"/>
      <c r="UKZ142" s="4"/>
      <c r="ULA142" s="4"/>
      <c r="ULB142" s="4"/>
      <c r="ULC142" s="4"/>
      <c r="ULD142" s="4"/>
      <c r="ULE142" s="4"/>
      <c r="ULF142" s="4"/>
      <c r="ULG142" s="4"/>
      <c r="ULH142" s="4"/>
      <c r="ULI142" s="4"/>
      <c r="ULJ142" s="4"/>
      <c r="ULK142" s="4"/>
      <c r="ULL142" s="4"/>
      <c r="ULM142" s="4"/>
      <c r="ULN142" s="4"/>
      <c r="ULO142" s="4"/>
      <c r="ULP142" s="4"/>
      <c r="ULQ142" s="4"/>
      <c r="ULR142" s="4"/>
      <c r="ULS142" s="4"/>
      <c r="ULT142" s="4"/>
      <c r="ULU142" s="4"/>
      <c r="ULV142" s="4"/>
      <c r="ULW142" s="4"/>
      <c r="ULX142" s="4"/>
      <c r="ULY142" s="4"/>
      <c r="ULZ142" s="4"/>
      <c r="UMA142" s="4"/>
      <c r="UMB142" s="4"/>
      <c r="UMC142" s="4"/>
      <c r="UMD142" s="4"/>
      <c r="UME142" s="4"/>
      <c r="UMF142" s="4"/>
      <c r="UMG142" s="4"/>
      <c r="UMH142" s="4"/>
      <c r="UMI142" s="4"/>
      <c r="UMJ142" s="4"/>
      <c r="UMK142" s="4"/>
      <c r="UML142" s="4"/>
      <c r="UMM142" s="4"/>
      <c r="UMN142" s="4"/>
      <c r="UMO142" s="4"/>
      <c r="UMP142" s="4"/>
      <c r="UMQ142" s="4"/>
      <c r="UMR142" s="4"/>
      <c r="UMS142" s="4"/>
      <c r="UMT142" s="4"/>
      <c r="UMU142" s="4"/>
      <c r="UMV142" s="4"/>
      <c r="UMW142" s="4"/>
      <c r="UMX142" s="4"/>
      <c r="UMY142" s="4"/>
      <c r="UMZ142" s="4"/>
      <c r="UNA142" s="4"/>
      <c r="UNB142" s="4"/>
      <c r="UNC142" s="4"/>
      <c r="UND142" s="4"/>
      <c r="UNE142" s="4"/>
      <c r="UNF142" s="4"/>
      <c r="UNG142" s="4"/>
      <c r="UNH142" s="4"/>
      <c r="UNI142" s="4"/>
      <c r="UNJ142" s="4"/>
      <c r="UNK142" s="4"/>
      <c r="UNL142" s="4"/>
      <c r="UNM142" s="4"/>
      <c r="UNN142" s="4"/>
      <c r="UNO142" s="4"/>
      <c r="UNP142" s="4"/>
      <c r="UNQ142" s="4"/>
      <c r="UNR142" s="4"/>
      <c r="UNS142" s="4"/>
      <c r="UNT142" s="4"/>
      <c r="UNU142" s="4"/>
      <c r="UNV142" s="4"/>
      <c r="UNW142" s="4"/>
      <c r="UNX142" s="4"/>
      <c r="UNY142" s="4"/>
      <c r="UNZ142" s="4"/>
      <c r="UOA142" s="4"/>
      <c r="UOB142" s="4"/>
      <c r="UOC142" s="4"/>
      <c r="UOD142" s="4"/>
      <c r="UOE142" s="4"/>
      <c r="UOF142" s="4"/>
      <c r="UOG142" s="4"/>
      <c r="UOH142" s="4"/>
      <c r="UOI142" s="4"/>
      <c r="UOJ142" s="4"/>
      <c r="UOK142" s="4"/>
      <c r="UOL142" s="4"/>
      <c r="UOM142" s="4"/>
      <c r="UON142" s="4"/>
      <c r="UOO142" s="4"/>
      <c r="UOP142" s="4"/>
      <c r="UOQ142" s="4"/>
      <c r="UOR142" s="4"/>
      <c r="UOS142" s="4"/>
      <c r="UOT142" s="4"/>
      <c r="UOU142" s="4"/>
      <c r="UOV142" s="4"/>
      <c r="UOW142" s="4"/>
      <c r="UOX142" s="4"/>
      <c r="UOY142" s="4"/>
      <c r="UOZ142" s="4"/>
      <c r="UPA142" s="4"/>
      <c r="UPB142" s="4"/>
      <c r="UPC142" s="4"/>
      <c r="UPD142" s="4"/>
      <c r="UPE142" s="4"/>
      <c r="UPF142" s="4"/>
      <c r="UPG142" s="4"/>
      <c r="UPH142" s="4"/>
      <c r="UPI142" s="4"/>
      <c r="UPJ142" s="4"/>
      <c r="UPK142" s="4"/>
      <c r="UPL142" s="4"/>
      <c r="UPM142" s="4"/>
      <c r="UPN142" s="4"/>
      <c r="UPO142" s="4"/>
      <c r="UPP142" s="4"/>
      <c r="UPQ142" s="4"/>
      <c r="UPR142" s="4"/>
      <c r="UPS142" s="4"/>
      <c r="UPT142" s="4"/>
      <c r="UPU142" s="4"/>
      <c r="UPV142" s="4"/>
      <c r="UPW142" s="4"/>
      <c r="UPX142" s="4"/>
      <c r="UPY142" s="4"/>
      <c r="UPZ142" s="4"/>
      <c r="UQA142" s="4"/>
      <c r="UQB142" s="4"/>
      <c r="UQC142" s="4"/>
      <c r="UQD142" s="4"/>
      <c r="UQE142" s="4"/>
      <c r="UQF142" s="4"/>
      <c r="UQG142" s="4"/>
      <c r="UQH142" s="4"/>
      <c r="UQI142" s="4"/>
      <c r="UQJ142" s="4"/>
      <c r="UQK142" s="4"/>
      <c r="UQL142" s="4"/>
      <c r="UQM142" s="4"/>
      <c r="UQN142" s="4"/>
      <c r="UQO142" s="4"/>
      <c r="UQP142" s="4"/>
      <c r="UQQ142" s="4"/>
      <c r="UQR142" s="4"/>
      <c r="UQS142" s="4"/>
      <c r="UQT142" s="4"/>
      <c r="UQU142" s="4"/>
      <c r="UQV142" s="4"/>
      <c r="UQW142" s="4"/>
      <c r="UQX142" s="4"/>
      <c r="UQY142" s="4"/>
      <c r="UQZ142" s="4"/>
      <c r="URA142" s="4"/>
      <c r="URB142" s="4"/>
      <c r="URC142" s="4"/>
      <c r="URD142" s="4"/>
      <c r="URE142" s="4"/>
      <c r="URF142" s="4"/>
      <c r="URG142" s="4"/>
      <c r="URH142" s="4"/>
      <c r="URI142" s="4"/>
      <c r="URJ142" s="4"/>
      <c r="URK142" s="4"/>
      <c r="URL142" s="4"/>
      <c r="URM142" s="4"/>
      <c r="URN142" s="4"/>
      <c r="URO142" s="4"/>
      <c r="URP142" s="4"/>
      <c r="URQ142" s="4"/>
      <c r="URR142" s="4"/>
      <c r="URS142" s="4"/>
      <c r="URT142" s="4"/>
      <c r="URU142" s="4"/>
      <c r="URV142" s="4"/>
      <c r="URW142" s="4"/>
      <c r="URX142" s="4"/>
      <c r="URY142" s="4"/>
      <c r="URZ142" s="4"/>
      <c r="USA142" s="4"/>
      <c r="USB142" s="4"/>
      <c r="USC142" s="4"/>
      <c r="USD142" s="4"/>
      <c r="USE142" s="4"/>
      <c r="USF142" s="4"/>
      <c r="USG142" s="4"/>
      <c r="USH142" s="4"/>
      <c r="USI142" s="4"/>
      <c r="USJ142" s="4"/>
      <c r="USK142" s="4"/>
      <c r="USL142" s="4"/>
      <c r="USM142" s="4"/>
      <c r="USN142" s="4"/>
      <c r="USO142" s="4"/>
      <c r="USP142" s="4"/>
      <c r="USQ142" s="4"/>
      <c r="USR142" s="4"/>
      <c r="USS142" s="4"/>
      <c r="UST142" s="4"/>
      <c r="USU142" s="4"/>
      <c r="USV142" s="4"/>
      <c r="USW142" s="4"/>
      <c r="USX142" s="4"/>
      <c r="USY142" s="4"/>
      <c r="USZ142" s="4"/>
      <c r="UTA142" s="4"/>
      <c r="UTB142" s="4"/>
      <c r="UTC142" s="4"/>
      <c r="UTD142" s="4"/>
      <c r="UTE142" s="4"/>
      <c r="UTF142" s="4"/>
      <c r="UTG142" s="4"/>
      <c r="UTH142" s="4"/>
      <c r="UTI142" s="4"/>
      <c r="UTJ142" s="4"/>
      <c r="UTK142" s="4"/>
      <c r="UTL142" s="4"/>
      <c r="UTM142" s="4"/>
      <c r="UTN142" s="4"/>
      <c r="UTO142" s="4"/>
      <c r="UTP142" s="4"/>
      <c r="UTQ142" s="4"/>
      <c r="UTR142" s="4"/>
      <c r="UTS142" s="4"/>
      <c r="UTT142" s="4"/>
      <c r="UTU142" s="4"/>
      <c r="UTV142" s="4"/>
      <c r="UTW142" s="4"/>
      <c r="UTX142" s="4"/>
      <c r="UTY142" s="4"/>
      <c r="UTZ142" s="4"/>
      <c r="UUA142" s="4"/>
      <c r="UUB142" s="4"/>
      <c r="UUC142" s="4"/>
      <c r="UUD142" s="4"/>
      <c r="UUE142" s="4"/>
      <c r="UUF142" s="4"/>
      <c r="UUG142" s="4"/>
      <c r="UUH142" s="4"/>
      <c r="UUI142" s="4"/>
      <c r="UUJ142" s="4"/>
      <c r="UUK142" s="4"/>
      <c r="UUL142" s="4"/>
      <c r="UUM142" s="4"/>
      <c r="UUN142" s="4"/>
      <c r="UUO142" s="4"/>
      <c r="UUP142" s="4"/>
      <c r="UUQ142" s="4"/>
      <c r="UUR142" s="4"/>
      <c r="UUS142" s="4"/>
      <c r="UUT142" s="4"/>
      <c r="UUU142" s="4"/>
      <c r="UUV142" s="4"/>
      <c r="UUW142" s="4"/>
      <c r="UUX142" s="4"/>
      <c r="UUY142" s="4"/>
      <c r="UUZ142" s="4"/>
      <c r="UVA142" s="4"/>
      <c r="UVB142" s="4"/>
      <c r="UVC142" s="4"/>
      <c r="UVD142" s="4"/>
      <c r="UVE142" s="4"/>
      <c r="UVF142" s="4"/>
      <c r="UVG142" s="4"/>
      <c r="UVH142" s="4"/>
      <c r="UVI142" s="4"/>
      <c r="UVJ142" s="4"/>
      <c r="UVK142" s="4"/>
      <c r="UVL142" s="4"/>
      <c r="UVM142" s="4"/>
      <c r="UVN142" s="4"/>
      <c r="UVO142" s="4"/>
      <c r="UVP142" s="4"/>
      <c r="UVQ142" s="4"/>
      <c r="UVR142" s="4"/>
      <c r="UVS142" s="4"/>
      <c r="UVT142" s="4"/>
      <c r="UVU142" s="4"/>
      <c r="UVV142" s="4"/>
      <c r="UVW142" s="4"/>
      <c r="UVX142" s="4"/>
      <c r="UVY142" s="4"/>
      <c r="UVZ142" s="4"/>
      <c r="UWA142" s="4"/>
      <c r="UWB142" s="4"/>
      <c r="UWC142" s="4"/>
      <c r="UWD142" s="4"/>
      <c r="UWE142" s="4"/>
      <c r="UWF142" s="4"/>
      <c r="UWG142" s="4"/>
      <c r="UWH142" s="4"/>
      <c r="UWI142" s="4"/>
      <c r="UWJ142" s="4"/>
      <c r="UWK142" s="4"/>
      <c r="UWL142" s="4"/>
      <c r="UWM142" s="4"/>
      <c r="UWN142" s="4"/>
      <c r="UWO142" s="4"/>
      <c r="UWP142" s="4"/>
      <c r="UWQ142" s="4"/>
      <c r="UWR142" s="4"/>
      <c r="UWS142" s="4"/>
      <c r="UWT142" s="4"/>
      <c r="UWU142" s="4"/>
      <c r="UWV142" s="4"/>
      <c r="UWW142" s="4"/>
      <c r="UWX142" s="4"/>
      <c r="UWY142" s="4"/>
      <c r="UWZ142" s="4"/>
      <c r="UXA142" s="4"/>
      <c r="UXB142" s="4"/>
      <c r="UXC142" s="4"/>
      <c r="UXD142" s="4"/>
      <c r="UXE142" s="4"/>
      <c r="UXF142" s="4"/>
      <c r="UXG142" s="4"/>
      <c r="UXH142" s="4"/>
      <c r="UXI142" s="4"/>
      <c r="UXJ142" s="4"/>
      <c r="UXK142" s="4"/>
      <c r="UXL142" s="4"/>
      <c r="UXM142" s="4"/>
      <c r="UXN142" s="4"/>
      <c r="UXO142" s="4"/>
      <c r="UXP142" s="4"/>
      <c r="UXQ142" s="4"/>
      <c r="UXR142" s="4"/>
      <c r="UXS142" s="4"/>
      <c r="UXT142" s="4"/>
      <c r="UXU142" s="4"/>
      <c r="UXV142" s="4"/>
      <c r="UXW142" s="4"/>
      <c r="UXX142" s="4"/>
      <c r="UXY142" s="4"/>
      <c r="UXZ142" s="4"/>
      <c r="UYA142" s="4"/>
      <c r="UYB142" s="4"/>
      <c r="UYC142" s="4"/>
      <c r="UYD142" s="4"/>
      <c r="UYE142" s="4"/>
      <c r="UYF142" s="4"/>
      <c r="UYG142" s="4"/>
      <c r="UYH142" s="4"/>
      <c r="UYI142" s="4"/>
      <c r="UYJ142" s="4"/>
      <c r="UYK142" s="4"/>
      <c r="UYL142" s="4"/>
      <c r="UYM142" s="4"/>
      <c r="UYN142" s="4"/>
      <c r="UYO142" s="4"/>
      <c r="UYP142" s="4"/>
      <c r="UYQ142" s="4"/>
      <c r="UYR142" s="4"/>
      <c r="UYS142" s="4"/>
      <c r="UYT142" s="4"/>
      <c r="UYU142" s="4"/>
      <c r="UYV142" s="4"/>
      <c r="UYW142" s="4"/>
      <c r="UYX142" s="4"/>
      <c r="UYY142" s="4"/>
      <c r="UYZ142" s="4"/>
      <c r="UZA142" s="4"/>
      <c r="UZB142" s="4"/>
      <c r="UZC142" s="4"/>
      <c r="UZD142" s="4"/>
      <c r="UZE142" s="4"/>
      <c r="UZF142" s="4"/>
      <c r="UZG142" s="4"/>
      <c r="UZH142" s="4"/>
      <c r="UZI142" s="4"/>
      <c r="UZJ142" s="4"/>
      <c r="UZK142" s="4"/>
      <c r="UZL142" s="4"/>
      <c r="UZM142" s="4"/>
      <c r="UZN142" s="4"/>
      <c r="UZO142" s="4"/>
      <c r="UZP142" s="4"/>
      <c r="UZQ142" s="4"/>
      <c r="UZR142" s="4"/>
      <c r="UZS142" s="4"/>
      <c r="UZT142" s="4"/>
      <c r="UZU142" s="4"/>
      <c r="UZV142" s="4"/>
      <c r="UZW142" s="4"/>
      <c r="UZX142" s="4"/>
      <c r="UZY142" s="4"/>
      <c r="UZZ142" s="4"/>
      <c r="VAA142" s="4"/>
      <c r="VAB142" s="4"/>
      <c r="VAC142" s="4"/>
      <c r="VAD142" s="4"/>
      <c r="VAE142" s="4"/>
      <c r="VAF142" s="4"/>
      <c r="VAG142" s="4"/>
      <c r="VAH142" s="4"/>
      <c r="VAI142" s="4"/>
      <c r="VAJ142" s="4"/>
      <c r="VAK142" s="4"/>
      <c r="VAL142" s="4"/>
      <c r="VAM142" s="4"/>
      <c r="VAN142" s="4"/>
      <c r="VAO142" s="4"/>
      <c r="VAP142" s="4"/>
      <c r="VAQ142" s="4"/>
      <c r="VAR142" s="4"/>
      <c r="VAS142" s="4"/>
      <c r="VAT142" s="4"/>
      <c r="VAU142" s="4"/>
      <c r="VAV142" s="4"/>
      <c r="VAW142" s="4"/>
      <c r="VAX142" s="4"/>
      <c r="VAY142" s="4"/>
      <c r="VAZ142" s="4"/>
      <c r="VBA142" s="4"/>
      <c r="VBB142" s="4"/>
      <c r="VBC142" s="4"/>
      <c r="VBD142" s="4"/>
      <c r="VBE142" s="4"/>
      <c r="VBF142" s="4"/>
      <c r="VBG142" s="4"/>
      <c r="VBH142" s="4"/>
      <c r="VBI142" s="4"/>
      <c r="VBJ142" s="4"/>
      <c r="VBK142" s="4"/>
      <c r="VBL142" s="4"/>
      <c r="VBM142" s="4"/>
      <c r="VBN142" s="4"/>
      <c r="VBO142" s="4"/>
      <c r="VBP142" s="4"/>
      <c r="VBQ142" s="4"/>
      <c r="VBR142" s="4"/>
      <c r="VBS142" s="4"/>
      <c r="VBT142" s="4"/>
      <c r="VBU142" s="4"/>
      <c r="VBV142" s="4"/>
      <c r="VBW142" s="4"/>
      <c r="VBX142" s="4"/>
      <c r="VBY142" s="4"/>
      <c r="VBZ142" s="4"/>
      <c r="VCA142" s="4"/>
      <c r="VCB142" s="4"/>
      <c r="VCC142" s="4"/>
      <c r="VCD142" s="4"/>
      <c r="VCE142" s="4"/>
      <c r="VCF142" s="4"/>
      <c r="VCG142" s="4"/>
      <c r="VCH142" s="4"/>
      <c r="VCI142" s="4"/>
      <c r="VCJ142" s="4"/>
      <c r="VCK142" s="4"/>
      <c r="VCL142" s="4"/>
      <c r="VCM142" s="4"/>
      <c r="VCN142" s="4"/>
      <c r="VCO142" s="4"/>
      <c r="VCP142" s="4"/>
      <c r="VCQ142" s="4"/>
      <c r="VCR142" s="4"/>
      <c r="VCS142" s="4"/>
      <c r="VCT142" s="4"/>
      <c r="VCU142" s="4"/>
      <c r="VCV142" s="4"/>
      <c r="VCW142" s="4"/>
      <c r="VCX142" s="4"/>
      <c r="VCY142" s="4"/>
      <c r="VCZ142" s="4"/>
      <c r="VDA142" s="4"/>
      <c r="VDB142" s="4"/>
      <c r="VDC142" s="4"/>
      <c r="VDD142" s="4"/>
      <c r="VDE142" s="4"/>
      <c r="VDF142" s="4"/>
      <c r="VDG142" s="4"/>
      <c r="VDH142" s="4"/>
      <c r="VDI142" s="4"/>
      <c r="VDJ142" s="4"/>
      <c r="VDK142" s="4"/>
      <c r="VDL142" s="4"/>
      <c r="VDM142" s="4"/>
      <c r="VDN142" s="4"/>
      <c r="VDO142" s="4"/>
      <c r="VDP142" s="4"/>
      <c r="VDQ142" s="4"/>
      <c r="VDR142" s="4"/>
      <c r="VDS142" s="4"/>
      <c r="VDT142" s="4"/>
      <c r="VDU142" s="4"/>
      <c r="VDV142" s="4"/>
      <c r="VDW142" s="4"/>
      <c r="VDX142" s="4"/>
      <c r="VDY142" s="4"/>
      <c r="VDZ142" s="4"/>
      <c r="VEA142" s="4"/>
      <c r="VEB142" s="4"/>
      <c r="VEC142" s="4"/>
      <c r="VED142" s="4"/>
      <c r="VEE142" s="4"/>
      <c r="VEF142" s="4"/>
      <c r="VEG142" s="4"/>
      <c r="VEH142" s="4"/>
      <c r="VEI142" s="4"/>
      <c r="VEJ142" s="4"/>
      <c r="VEK142" s="4"/>
      <c r="VEL142" s="4"/>
      <c r="VEM142" s="4"/>
      <c r="VEN142" s="4"/>
      <c r="VEO142" s="4"/>
      <c r="VEP142" s="4"/>
      <c r="VEQ142" s="4"/>
      <c r="VER142" s="4"/>
      <c r="VES142" s="4"/>
      <c r="VET142" s="4"/>
      <c r="VEU142" s="4"/>
      <c r="VEV142" s="4"/>
      <c r="VEW142" s="4"/>
      <c r="VEX142" s="4"/>
      <c r="VEY142" s="4"/>
      <c r="VEZ142" s="4"/>
      <c r="VFA142" s="4"/>
      <c r="VFB142" s="4"/>
      <c r="VFC142" s="4"/>
      <c r="VFD142" s="4"/>
      <c r="VFE142" s="4"/>
      <c r="VFF142" s="4"/>
      <c r="VFG142" s="4"/>
      <c r="VFH142" s="4"/>
      <c r="VFI142" s="4"/>
      <c r="VFJ142" s="4"/>
      <c r="VFK142" s="4"/>
      <c r="VFL142" s="4"/>
      <c r="VFM142" s="4"/>
      <c r="VFN142" s="4"/>
      <c r="VFO142" s="4"/>
      <c r="VFP142" s="4"/>
      <c r="VFQ142" s="4"/>
      <c r="VFR142" s="4"/>
      <c r="VFS142" s="4"/>
      <c r="VFT142" s="4"/>
      <c r="VFU142" s="4"/>
      <c r="VFV142" s="4"/>
      <c r="VFW142" s="4"/>
      <c r="VFX142" s="4"/>
      <c r="VFY142" s="4"/>
      <c r="VFZ142" s="4"/>
      <c r="VGA142" s="4"/>
      <c r="VGB142" s="4"/>
      <c r="VGC142" s="4"/>
      <c r="VGD142" s="4"/>
      <c r="VGE142" s="4"/>
      <c r="VGF142" s="4"/>
      <c r="VGG142" s="4"/>
      <c r="VGH142" s="4"/>
      <c r="VGI142" s="4"/>
      <c r="VGJ142" s="4"/>
      <c r="VGK142" s="4"/>
      <c r="VGL142" s="4"/>
      <c r="VGM142" s="4"/>
      <c r="VGN142" s="4"/>
      <c r="VGO142" s="4"/>
      <c r="VGP142" s="4"/>
      <c r="VGQ142" s="4"/>
      <c r="VGR142" s="4"/>
      <c r="VGS142" s="4"/>
      <c r="VGT142" s="4"/>
      <c r="VGU142" s="4"/>
      <c r="VGV142" s="4"/>
      <c r="VGW142" s="4"/>
      <c r="VGX142" s="4"/>
      <c r="VGY142" s="4"/>
      <c r="VGZ142" s="4"/>
      <c r="VHA142" s="4"/>
      <c r="VHB142" s="4"/>
      <c r="VHC142" s="4"/>
      <c r="VHD142" s="4"/>
      <c r="VHE142" s="4"/>
      <c r="VHF142" s="4"/>
      <c r="VHG142" s="4"/>
      <c r="VHH142" s="4"/>
      <c r="VHI142" s="4"/>
      <c r="VHJ142" s="4"/>
      <c r="VHK142" s="4"/>
      <c r="VHL142" s="4"/>
      <c r="VHM142" s="4"/>
      <c r="VHN142" s="4"/>
      <c r="VHO142" s="4"/>
      <c r="VHP142" s="4"/>
      <c r="VHQ142" s="4"/>
      <c r="VHR142" s="4"/>
      <c r="VHS142" s="4"/>
      <c r="VHT142" s="4"/>
      <c r="VHU142" s="4"/>
      <c r="VHV142" s="4"/>
      <c r="VHW142" s="4"/>
      <c r="VHX142" s="4"/>
      <c r="VHY142" s="4"/>
      <c r="VHZ142" s="4"/>
      <c r="VIA142" s="4"/>
      <c r="VIB142" s="4"/>
      <c r="VIC142" s="4"/>
      <c r="VID142" s="4"/>
      <c r="VIE142" s="4"/>
      <c r="VIF142" s="4"/>
      <c r="VIG142" s="4"/>
      <c r="VIH142" s="4"/>
      <c r="VII142" s="4"/>
      <c r="VIJ142" s="4"/>
      <c r="VIK142" s="4"/>
      <c r="VIL142" s="4"/>
      <c r="VIM142" s="4"/>
      <c r="VIN142" s="4"/>
      <c r="VIO142" s="4"/>
      <c r="VIP142" s="4"/>
      <c r="VIQ142" s="4"/>
      <c r="VIR142" s="4"/>
      <c r="VIS142" s="4"/>
      <c r="VIT142" s="4"/>
      <c r="VIU142" s="4"/>
      <c r="VIV142" s="4"/>
      <c r="VIW142" s="4"/>
      <c r="VIX142" s="4"/>
      <c r="VIY142" s="4"/>
      <c r="VIZ142" s="4"/>
      <c r="VJA142" s="4"/>
      <c r="VJB142" s="4"/>
      <c r="VJC142" s="4"/>
      <c r="VJD142" s="4"/>
      <c r="VJE142" s="4"/>
      <c r="VJF142" s="4"/>
      <c r="VJG142" s="4"/>
      <c r="VJH142" s="4"/>
      <c r="VJI142" s="4"/>
      <c r="VJJ142" s="4"/>
      <c r="VJK142" s="4"/>
      <c r="VJL142" s="4"/>
      <c r="VJM142" s="4"/>
      <c r="VJN142" s="4"/>
      <c r="VJO142" s="4"/>
      <c r="VJP142" s="4"/>
      <c r="VJQ142" s="4"/>
      <c r="VJR142" s="4"/>
      <c r="VJS142" s="4"/>
      <c r="VJT142" s="4"/>
      <c r="VJU142" s="4"/>
      <c r="VJV142" s="4"/>
      <c r="VJW142" s="4"/>
      <c r="VJX142" s="4"/>
      <c r="VJY142" s="4"/>
      <c r="VJZ142" s="4"/>
      <c r="VKA142" s="4"/>
      <c r="VKB142" s="4"/>
      <c r="VKC142" s="4"/>
      <c r="VKD142" s="4"/>
      <c r="VKE142" s="4"/>
      <c r="VKF142" s="4"/>
      <c r="VKG142" s="4"/>
      <c r="VKH142" s="4"/>
      <c r="VKI142" s="4"/>
      <c r="VKJ142" s="4"/>
      <c r="VKK142" s="4"/>
      <c r="VKL142" s="4"/>
      <c r="VKM142" s="4"/>
      <c r="VKN142" s="4"/>
      <c r="VKO142" s="4"/>
      <c r="VKP142" s="4"/>
      <c r="VKQ142" s="4"/>
      <c r="VKR142" s="4"/>
      <c r="VKS142" s="4"/>
      <c r="VKT142" s="4"/>
      <c r="VKU142" s="4"/>
      <c r="VKV142" s="4"/>
      <c r="VKW142" s="4"/>
      <c r="VKX142" s="4"/>
      <c r="VKY142" s="4"/>
      <c r="VKZ142" s="4"/>
      <c r="VLA142" s="4"/>
      <c r="VLB142" s="4"/>
      <c r="VLC142" s="4"/>
      <c r="VLD142" s="4"/>
      <c r="VLE142" s="4"/>
      <c r="VLF142" s="4"/>
      <c r="VLG142" s="4"/>
      <c r="VLH142" s="4"/>
      <c r="VLI142" s="4"/>
      <c r="VLJ142" s="4"/>
      <c r="VLK142" s="4"/>
      <c r="VLL142" s="4"/>
      <c r="VLM142" s="4"/>
      <c r="VLN142" s="4"/>
      <c r="VLO142" s="4"/>
      <c r="VLP142" s="4"/>
      <c r="VLQ142" s="4"/>
      <c r="VLR142" s="4"/>
      <c r="VLS142" s="4"/>
      <c r="VLT142" s="4"/>
      <c r="VLU142" s="4"/>
      <c r="VLV142" s="4"/>
      <c r="VLW142" s="4"/>
      <c r="VLX142" s="4"/>
      <c r="VLY142" s="4"/>
      <c r="VLZ142" s="4"/>
      <c r="VMA142" s="4"/>
      <c r="VMB142" s="4"/>
      <c r="VMC142" s="4"/>
      <c r="VMD142" s="4"/>
      <c r="VME142" s="4"/>
      <c r="VMF142" s="4"/>
      <c r="VMG142" s="4"/>
      <c r="VMH142" s="4"/>
      <c r="VMI142" s="4"/>
      <c r="VMJ142" s="4"/>
      <c r="VMK142" s="4"/>
      <c r="VML142" s="4"/>
      <c r="VMM142" s="4"/>
      <c r="VMN142" s="4"/>
      <c r="VMO142" s="4"/>
      <c r="VMP142" s="4"/>
      <c r="VMQ142" s="4"/>
      <c r="VMR142" s="4"/>
      <c r="VMS142" s="4"/>
      <c r="VMT142" s="4"/>
      <c r="VMU142" s="4"/>
      <c r="VMV142" s="4"/>
      <c r="VMW142" s="4"/>
      <c r="VMX142" s="4"/>
      <c r="VMY142" s="4"/>
      <c r="VMZ142" s="4"/>
      <c r="VNA142" s="4"/>
      <c r="VNB142" s="4"/>
      <c r="VNC142" s="4"/>
      <c r="VND142" s="4"/>
      <c r="VNE142" s="4"/>
      <c r="VNF142" s="4"/>
      <c r="VNG142" s="4"/>
      <c r="VNH142" s="4"/>
      <c r="VNI142" s="4"/>
      <c r="VNJ142" s="4"/>
      <c r="VNK142" s="4"/>
      <c r="VNL142" s="4"/>
      <c r="VNM142" s="4"/>
      <c r="VNN142" s="4"/>
      <c r="VNO142" s="4"/>
      <c r="VNP142" s="4"/>
      <c r="VNQ142" s="4"/>
      <c r="VNR142" s="4"/>
      <c r="VNS142" s="4"/>
      <c r="VNT142" s="4"/>
      <c r="VNU142" s="4"/>
      <c r="VNV142" s="4"/>
      <c r="VNW142" s="4"/>
      <c r="VNX142" s="4"/>
      <c r="VNY142" s="4"/>
      <c r="VNZ142" s="4"/>
      <c r="VOA142" s="4"/>
      <c r="VOB142" s="4"/>
      <c r="VOC142" s="4"/>
      <c r="VOD142" s="4"/>
      <c r="VOE142" s="4"/>
      <c r="VOF142" s="4"/>
      <c r="VOG142" s="4"/>
      <c r="VOH142" s="4"/>
      <c r="VOI142" s="4"/>
      <c r="VOJ142" s="4"/>
      <c r="VOK142" s="4"/>
      <c r="VOL142" s="4"/>
      <c r="VOM142" s="4"/>
      <c r="VON142" s="4"/>
      <c r="VOO142" s="4"/>
      <c r="VOP142" s="4"/>
      <c r="VOQ142" s="4"/>
      <c r="VOR142" s="4"/>
      <c r="VOS142" s="4"/>
      <c r="VOT142" s="4"/>
      <c r="VOU142" s="4"/>
      <c r="VOV142" s="4"/>
      <c r="VOW142" s="4"/>
      <c r="VOX142" s="4"/>
      <c r="VOY142" s="4"/>
      <c r="VOZ142" s="4"/>
      <c r="VPA142" s="4"/>
      <c r="VPB142" s="4"/>
      <c r="VPC142" s="4"/>
      <c r="VPD142" s="4"/>
      <c r="VPE142" s="4"/>
      <c r="VPF142" s="4"/>
      <c r="VPG142" s="4"/>
      <c r="VPH142" s="4"/>
      <c r="VPI142" s="4"/>
      <c r="VPJ142" s="4"/>
      <c r="VPK142" s="4"/>
      <c r="VPL142" s="4"/>
      <c r="VPM142" s="4"/>
      <c r="VPN142" s="4"/>
      <c r="VPO142" s="4"/>
      <c r="VPP142" s="4"/>
      <c r="VPQ142" s="4"/>
      <c r="VPR142" s="4"/>
      <c r="VPS142" s="4"/>
      <c r="VPT142" s="4"/>
      <c r="VPU142" s="4"/>
      <c r="VPV142" s="4"/>
      <c r="VPW142" s="4"/>
      <c r="VPX142" s="4"/>
      <c r="VPY142" s="4"/>
      <c r="VPZ142" s="4"/>
      <c r="VQA142" s="4"/>
      <c r="VQB142" s="4"/>
      <c r="VQC142" s="4"/>
      <c r="VQD142" s="4"/>
      <c r="VQE142" s="4"/>
      <c r="VQF142" s="4"/>
      <c r="VQG142" s="4"/>
      <c r="VQH142" s="4"/>
      <c r="VQI142" s="4"/>
      <c r="VQJ142" s="4"/>
      <c r="VQK142" s="4"/>
      <c r="VQL142" s="4"/>
      <c r="VQM142" s="4"/>
      <c r="VQN142" s="4"/>
      <c r="VQO142" s="4"/>
      <c r="VQP142" s="4"/>
      <c r="VQQ142" s="4"/>
      <c r="VQR142" s="4"/>
      <c r="VQS142" s="4"/>
      <c r="VQT142" s="4"/>
      <c r="VQU142" s="4"/>
      <c r="VQV142" s="4"/>
      <c r="VQW142" s="4"/>
      <c r="VQX142" s="4"/>
      <c r="VQY142" s="4"/>
      <c r="VQZ142" s="4"/>
      <c r="VRA142" s="4"/>
      <c r="VRB142" s="4"/>
      <c r="VRC142" s="4"/>
      <c r="VRD142" s="4"/>
      <c r="VRE142" s="4"/>
      <c r="VRF142" s="4"/>
      <c r="VRG142" s="4"/>
      <c r="VRH142" s="4"/>
      <c r="VRI142" s="4"/>
      <c r="VRJ142" s="4"/>
      <c r="VRK142" s="4"/>
      <c r="VRL142" s="4"/>
      <c r="VRM142" s="4"/>
      <c r="VRN142" s="4"/>
      <c r="VRO142" s="4"/>
      <c r="VRP142" s="4"/>
      <c r="VRQ142" s="4"/>
      <c r="VRR142" s="4"/>
      <c r="VRS142" s="4"/>
      <c r="VRT142" s="4"/>
      <c r="VRU142" s="4"/>
      <c r="VRV142" s="4"/>
      <c r="VRW142" s="4"/>
      <c r="VRX142" s="4"/>
      <c r="VRY142" s="4"/>
      <c r="VRZ142" s="4"/>
      <c r="VSA142" s="4"/>
      <c r="VSB142" s="4"/>
      <c r="VSC142" s="4"/>
      <c r="VSD142" s="4"/>
      <c r="VSE142" s="4"/>
      <c r="VSF142" s="4"/>
      <c r="VSG142" s="4"/>
      <c r="VSH142" s="4"/>
      <c r="VSI142" s="4"/>
      <c r="VSJ142" s="4"/>
      <c r="VSK142" s="4"/>
      <c r="VSL142" s="4"/>
      <c r="VSM142" s="4"/>
      <c r="VSN142" s="4"/>
      <c r="VSO142" s="4"/>
      <c r="VSP142" s="4"/>
      <c r="VSQ142" s="4"/>
      <c r="VSR142" s="4"/>
      <c r="VSS142" s="4"/>
      <c r="VST142" s="4"/>
      <c r="VSU142" s="4"/>
      <c r="VSV142" s="4"/>
      <c r="VSW142" s="4"/>
      <c r="VSX142" s="4"/>
      <c r="VSY142" s="4"/>
      <c r="VSZ142" s="4"/>
      <c r="VTA142" s="4"/>
      <c r="VTB142" s="4"/>
      <c r="VTC142" s="4"/>
      <c r="VTD142" s="4"/>
      <c r="VTE142" s="4"/>
      <c r="VTF142" s="4"/>
      <c r="VTG142" s="4"/>
      <c r="VTH142" s="4"/>
      <c r="VTI142" s="4"/>
      <c r="VTJ142" s="4"/>
      <c r="VTK142" s="4"/>
      <c r="VTL142" s="4"/>
      <c r="VTM142" s="4"/>
      <c r="VTN142" s="4"/>
      <c r="VTO142" s="4"/>
      <c r="VTP142" s="4"/>
      <c r="VTQ142" s="4"/>
      <c r="VTR142" s="4"/>
      <c r="VTS142" s="4"/>
      <c r="VTT142" s="4"/>
      <c r="VTU142" s="4"/>
      <c r="VTV142" s="4"/>
      <c r="VTW142" s="4"/>
      <c r="VTX142" s="4"/>
      <c r="VTY142" s="4"/>
      <c r="VTZ142" s="4"/>
      <c r="VUA142" s="4"/>
      <c r="VUB142" s="4"/>
      <c r="VUC142" s="4"/>
      <c r="VUD142" s="4"/>
      <c r="VUE142" s="4"/>
      <c r="VUF142" s="4"/>
      <c r="VUG142" s="4"/>
      <c r="VUH142" s="4"/>
      <c r="VUI142" s="4"/>
      <c r="VUJ142" s="4"/>
      <c r="VUK142" s="4"/>
      <c r="VUL142" s="4"/>
      <c r="VUM142" s="4"/>
      <c r="VUN142" s="4"/>
      <c r="VUO142" s="4"/>
      <c r="VUP142" s="4"/>
      <c r="VUQ142" s="4"/>
      <c r="VUR142" s="4"/>
      <c r="VUS142" s="4"/>
      <c r="VUT142" s="4"/>
      <c r="VUU142" s="4"/>
      <c r="VUV142" s="4"/>
      <c r="VUW142" s="4"/>
      <c r="VUX142" s="4"/>
      <c r="VUY142" s="4"/>
      <c r="VUZ142" s="4"/>
      <c r="VVA142" s="4"/>
      <c r="VVB142" s="4"/>
      <c r="VVC142" s="4"/>
      <c r="VVD142" s="4"/>
      <c r="VVE142" s="4"/>
      <c r="VVF142" s="4"/>
      <c r="VVG142" s="4"/>
      <c r="VVH142" s="4"/>
      <c r="VVI142" s="4"/>
      <c r="VVJ142" s="4"/>
      <c r="VVK142" s="4"/>
      <c r="VVL142" s="4"/>
      <c r="VVM142" s="4"/>
      <c r="VVN142" s="4"/>
      <c r="VVO142" s="4"/>
      <c r="VVP142" s="4"/>
      <c r="VVQ142" s="4"/>
      <c r="VVR142" s="4"/>
      <c r="VVS142" s="4"/>
      <c r="VVT142" s="4"/>
      <c r="VVU142" s="4"/>
      <c r="VVV142" s="4"/>
      <c r="VVW142" s="4"/>
      <c r="VVX142" s="4"/>
      <c r="VVY142" s="4"/>
      <c r="VVZ142" s="4"/>
      <c r="VWA142" s="4"/>
      <c r="VWB142" s="4"/>
      <c r="VWC142" s="4"/>
      <c r="VWD142" s="4"/>
      <c r="VWE142" s="4"/>
      <c r="VWF142" s="4"/>
      <c r="VWG142" s="4"/>
      <c r="VWH142" s="4"/>
      <c r="VWI142" s="4"/>
      <c r="VWJ142" s="4"/>
      <c r="VWK142" s="4"/>
      <c r="VWL142" s="4"/>
      <c r="VWM142" s="4"/>
      <c r="VWN142" s="4"/>
      <c r="VWO142" s="4"/>
      <c r="VWP142" s="4"/>
      <c r="VWQ142" s="4"/>
      <c r="VWR142" s="4"/>
      <c r="VWS142" s="4"/>
      <c r="VWT142" s="4"/>
      <c r="VWU142" s="4"/>
      <c r="VWV142" s="4"/>
      <c r="VWW142" s="4"/>
      <c r="VWX142" s="4"/>
      <c r="VWY142" s="4"/>
      <c r="VWZ142" s="4"/>
      <c r="VXA142" s="4"/>
      <c r="VXB142" s="4"/>
      <c r="VXC142" s="4"/>
      <c r="VXD142" s="4"/>
      <c r="VXE142" s="4"/>
      <c r="VXF142" s="4"/>
      <c r="VXG142" s="4"/>
      <c r="VXH142" s="4"/>
      <c r="VXI142" s="4"/>
      <c r="VXJ142" s="4"/>
      <c r="VXK142" s="4"/>
      <c r="VXL142" s="4"/>
      <c r="VXM142" s="4"/>
      <c r="VXN142" s="4"/>
      <c r="VXO142" s="4"/>
      <c r="VXP142" s="4"/>
      <c r="VXQ142" s="4"/>
      <c r="VXR142" s="4"/>
      <c r="VXS142" s="4"/>
      <c r="VXT142" s="4"/>
      <c r="VXU142" s="4"/>
      <c r="VXV142" s="4"/>
      <c r="VXW142" s="4"/>
      <c r="VXX142" s="4"/>
      <c r="VXY142" s="4"/>
      <c r="VXZ142" s="4"/>
      <c r="VYA142" s="4"/>
      <c r="VYB142" s="4"/>
      <c r="VYC142" s="4"/>
      <c r="VYD142" s="4"/>
      <c r="VYE142" s="4"/>
      <c r="VYF142" s="4"/>
      <c r="VYG142" s="4"/>
      <c r="VYH142" s="4"/>
      <c r="VYI142" s="4"/>
      <c r="VYJ142" s="4"/>
      <c r="VYK142" s="4"/>
      <c r="VYL142" s="4"/>
      <c r="VYM142" s="4"/>
      <c r="VYN142" s="4"/>
      <c r="VYO142" s="4"/>
      <c r="VYP142" s="4"/>
      <c r="VYQ142" s="4"/>
      <c r="VYR142" s="4"/>
      <c r="VYS142" s="4"/>
      <c r="VYT142" s="4"/>
      <c r="VYU142" s="4"/>
      <c r="VYV142" s="4"/>
      <c r="VYW142" s="4"/>
      <c r="VYX142" s="4"/>
      <c r="VYY142" s="4"/>
      <c r="VYZ142" s="4"/>
      <c r="VZA142" s="4"/>
      <c r="VZB142" s="4"/>
      <c r="VZC142" s="4"/>
      <c r="VZD142" s="4"/>
      <c r="VZE142" s="4"/>
      <c r="VZF142" s="4"/>
      <c r="VZG142" s="4"/>
      <c r="VZH142" s="4"/>
      <c r="VZI142" s="4"/>
      <c r="VZJ142" s="4"/>
      <c r="VZK142" s="4"/>
      <c r="VZL142" s="4"/>
      <c r="VZM142" s="4"/>
      <c r="VZN142" s="4"/>
      <c r="VZO142" s="4"/>
      <c r="VZP142" s="4"/>
      <c r="VZQ142" s="4"/>
      <c r="VZR142" s="4"/>
      <c r="VZS142" s="4"/>
      <c r="VZT142" s="4"/>
      <c r="VZU142" s="4"/>
      <c r="VZV142" s="4"/>
      <c r="VZW142" s="4"/>
      <c r="VZX142" s="4"/>
      <c r="VZY142" s="4"/>
      <c r="VZZ142" s="4"/>
      <c r="WAA142" s="4"/>
      <c r="WAB142" s="4"/>
      <c r="WAC142" s="4"/>
      <c r="WAD142" s="4"/>
      <c r="WAE142" s="4"/>
      <c r="WAF142" s="4"/>
      <c r="WAG142" s="4"/>
      <c r="WAH142" s="4"/>
      <c r="WAI142" s="4"/>
      <c r="WAJ142" s="4"/>
      <c r="WAK142" s="4"/>
      <c r="WAL142" s="4"/>
      <c r="WAM142" s="4"/>
      <c r="WAN142" s="4"/>
      <c r="WAO142" s="4"/>
      <c r="WAP142" s="4"/>
      <c r="WAQ142" s="4"/>
      <c r="WAR142" s="4"/>
      <c r="WAS142" s="4"/>
      <c r="WAT142" s="4"/>
      <c r="WAU142" s="4"/>
      <c r="WAV142" s="4"/>
      <c r="WAW142" s="4"/>
      <c r="WAX142" s="4"/>
      <c r="WAY142" s="4"/>
      <c r="WAZ142" s="4"/>
      <c r="WBA142" s="4"/>
      <c r="WBB142" s="4"/>
      <c r="WBC142" s="4"/>
      <c r="WBD142" s="4"/>
      <c r="WBE142" s="4"/>
      <c r="WBF142" s="4"/>
      <c r="WBG142" s="4"/>
      <c r="WBH142" s="4"/>
      <c r="WBI142" s="4"/>
      <c r="WBJ142" s="4"/>
      <c r="WBK142" s="4"/>
      <c r="WBL142" s="4"/>
      <c r="WBM142" s="4"/>
      <c r="WBN142" s="4"/>
      <c r="WBO142" s="4"/>
      <c r="WBP142" s="4"/>
      <c r="WBQ142" s="4"/>
      <c r="WBR142" s="4"/>
      <c r="WBS142" s="4"/>
      <c r="WBT142" s="4"/>
      <c r="WBU142" s="4"/>
      <c r="WBV142" s="4"/>
      <c r="WBW142" s="4"/>
      <c r="WBX142" s="4"/>
      <c r="WBY142" s="4"/>
      <c r="WBZ142" s="4"/>
      <c r="WCA142" s="4"/>
      <c r="WCB142" s="4"/>
      <c r="WCC142" s="4"/>
      <c r="WCD142" s="4"/>
      <c r="WCE142" s="4"/>
      <c r="WCF142" s="4"/>
      <c r="WCG142" s="4"/>
      <c r="WCH142" s="4"/>
      <c r="WCI142" s="4"/>
      <c r="WCJ142" s="4"/>
      <c r="WCK142" s="4"/>
      <c r="WCL142" s="4"/>
      <c r="WCM142" s="4"/>
      <c r="WCN142" s="4"/>
      <c r="WCO142" s="4"/>
      <c r="WCP142" s="4"/>
      <c r="WCQ142" s="4"/>
      <c r="WCR142" s="4"/>
      <c r="WCS142" s="4"/>
      <c r="WCT142" s="4"/>
      <c r="WCU142" s="4"/>
      <c r="WCV142" s="4"/>
      <c r="WCW142" s="4"/>
      <c r="WCX142" s="4"/>
      <c r="WCY142" s="4"/>
      <c r="WCZ142" s="4"/>
      <c r="WDA142" s="4"/>
      <c r="WDB142" s="4"/>
      <c r="WDC142" s="4"/>
      <c r="WDD142" s="4"/>
      <c r="WDE142" s="4"/>
      <c r="WDF142" s="4"/>
      <c r="WDG142" s="4"/>
      <c r="WDH142" s="4"/>
      <c r="WDI142" s="4"/>
      <c r="WDJ142" s="4"/>
      <c r="WDK142" s="4"/>
      <c r="WDL142" s="4"/>
      <c r="WDM142" s="4"/>
      <c r="WDN142" s="4"/>
      <c r="WDO142" s="4"/>
      <c r="WDP142" s="4"/>
      <c r="WDQ142" s="4"/>
      <c r="WDR142" s="4"/>
      <c r="WDS142" s="4"/>
      <c r="WDT142" s="4"/>
      <c r="WDU142" s="4"/>
      <c r="WDV142" s="4"/>
      <c r="WDW142" s="4"/>
      <c r="WDX142" s="4"/>
      <c r="WDY142" s="4"/>
      <c r="WDZ142" s="4"/>
      <c r="WEA142" s="4"/>
      <c r="WEB142" s="4"/>
      <c r="WEC142" s="4"/>
      <c r="WED142" s="4"/>
      <c r="WEE142" s="4"/>
      <c r="WEF142" s="4"/>
      <c r="WEG142" s="4"/>
      <c r="WEH142" s="4"/>
      <c r="WEI142" s="4"/>
      <c r="WEJ142" s="4"/>
      <c r="WEK142" s="4"/>
      <c r="WEL142" s="4"/>
      <c r="WEM142" s="4"/>
      <c r="WEN142" s="4"/>
      <c r="WEO142" s="4"/>
      <c r="WEP142" s="4"/>
      <c r="WEQ142" s="4"/>
      <c r="WER142" s="4"/>
      <c r="WES142" s="4"/>
      <c r="WET142" s="4"/>
      <c r="WEU142" s="4"/>
      <c r="WEV142" s="4"/>
      <c r="WEW142" s="4"/>
      <c r="WEX142" s="4"/>
      <c r="WEY142" s="4"/>
      <c r="WEZ142" s="4"/>
      <c r="WFA142" s="4"/>
      <c r="WFB142" s="4"/>
      <c r="WFC142" s="4"/>
      <c r="WFD142" s="4"/>
      <c r="WFE142" s="4"/>
      <c r="WFF142" s="4"/>
      <c r="WFG142" s="4"/>
      <c r="WFH142" s="4"/>
      <c r="WFI142" s="4"/>
      <c r="WFJ142" s="4"/>
      <c r="WFK142" s="4"/>
      <c r="WFL142" s="4"/>
      <c r="WFM142" s="4"/>
      <c r="WFN142" s="4"/>
      <c r="WFO142" s="4"/>
      <c r="WFP142" s="4"/>
      <c r="WFQ142" s="4"/>
      <c r="WFR142" s="4"/>
      <c r="WFS142" s="4"/>
      <c r="WFT142" s="4"/>
      <c r="WFU142" s="4"/>
      <c r="WFV142" s="4"/>
      <c r="WFW142" s="4"/>
      <c r="WFX142" s="4"/>
      <c r="WFY142" s="4"/>
      <c r="WFZ142" s="4"/>
      <c r="WGA142" s="4"/>
      <c r="WGB142" s="4"/>
      <c r="WGC142" s="4"/>
      <c r="WGD142" s="4"/>
      <c r="WGE142" s="4"/>
      <c r="WGF142" s="4"/>
      <c r="WGG142" s="4"/>
      <c r="WGH142" s="4"/>
      <c r="WGI142" s="4"/>
      <c r="WGJ142" s="4"/>
      <c r="WGK142" s="4"/>
      <c r="WGL142" s="4"/>
      <c r="WGM142" s="4"/>
      <c r="WGN142" s="4"/>
      <c r="WGO142" s="4"/>
      <c r="WGP142" s="4"/>
      <c r="WGQ142" s="4"/>
      <c r="WGR142" s="4"/>
      <c r="WGS142" s="4"/>
      <c r="WGT142" s="4"/>
      <c r="WGU142" s="4"/>
      <c r="WGV142" s="4"/>
      <c r="WGW142" s="4"/>
      <c r="WGX142" s="4"/>
      <c r="WGY142" s="4"/>
      <c r="WGZ142" s="4"/>
      <c r="WHA142" s="4"/>
      <c r="WHB142" s="4"/>
      <c r="WHC142" s="4"/>
      <c r="WHD142" s="4"/>
      <c r="WHE142" s="4"/>
      <c r="WHF142" s="4"/>
      <c r="WHG142" s="4"/>
      <c r="WHH142" s="4"/>
      <c r="WHI142" s="4"/>
      <c r="WHJ142" s="4"/>
      <c r="WHK142" s="4"/>
      <c r="WHL142" s="4"/>
      <c r="WHM142" s="4"/>
      <c r="WHN142" s="4"/>
      <c r="WHO142" s="4"/>
      <c r="WHP142" s="4"/>
      <c r="WHQ142" s="4"/>
      <c r="WHR142" s="4"/>
      <c r="WHS142" s="4"/>
      <c r="WHT142" s="4"/>
      <c r="WHU142" s="4"/>
      <c r="WHV142" s="4"/>
      <c r="WHW142" s="4"/>
      <c r="WHX142" s="4"/>
      <c r="WHY142" s="4"/>
      <c r="WHZ142" s="4"/>
      <c r="WIA142" s="4"/>
      <c r="WIB142" s="4"/>
      <c r="WIC142" s="4"/>
      <c r="WID142" s="4"/>
      <c r="WIE142" s="4"/>
      <c r="WIF142" s="4"/>
      <c r="WIG142" s="4"/>
      <c r="WIH142" s="4"/>
      <c r="WII142" s="4"/>
      <c r="WIJ142" s="4"/>
      <c r="WIK142" s="4"/>
      <c r="WIL142" s="4"/>
      <c r="WIM142" s="4"/>
      <c r="WIN142" s="4"/>
      <c r="WIO142" s="4"/>
      <c r="WIP142" s="4"/>
      <c r="WIQ142" s="4"/>
      <c r="WIR142" s="4"/>
      <c r="WIS142" s="4"/>
      <c r="WIT142" s="4"/>
      <c r="WIU142" s="4"/>
      <c r="WIV142" s="4"/>
      <c r="WIW142" s="4"/>
      <c r="WIX142" s="4"/>
      <c r="WIY142" s="4"/>
      <c r="WIZ142" s="4"/>
      <c r="WJA142" s="4"/>
      <c r="WJB142" s="4"/>
      <c r="WJC142" s="4"/>
      <c r="WJD142" s="4"/>
      <c r="WJE142" s="4"/>
      <c r="WJF142" s="4"/>
      <c r="WJG142" s="4"/>
      <c r="WJH142" s="4"/>
      <c r="WJI142" s="4"/>
      <c r="WJJ142" s="4"/>
      <c r="WJK142" s="4"/>
      <c r="WJL142" s="4"/>
      <c r="WJM142" s="4"/>
      <c r="WJN142" s="4"/>
      <c r="WJO142" s="4"/>
      <c r="WJP142" s="4"/>
      <c r="WJQ142" s="4"/>
      <c r="WJR142" s="4"/>
      <c r="WJS142" s="4"/>
      <c r="WJT142" s="4"/>
      <c r="WJU142" s="4"/>
      <c r="WJV142" s="4"/>
      <c r="WJW142" s="4"/>
      <c r="WJX142" s="4"/>
      <c r="WJY142" s="4"/>
      <c r="WJZ142" s="4"/>
      <c r="WKA142" s="4"/>
      <c r="WKB142" s="4"/>
      <c r="WKC142" s="4"/>
      <c r="WKD142" s="4"/>
      <c r="WKE142" s="4"/>
      <c r="WKF142" s="4"/>
      <c r="WKG142" s="4"/>
      <c r="WKH142" s="4"/>
      <c r="WKI142" s="4"/>
      <c r="WKJ142" s="4"/>
      <c r="WKK142" s="4"/>
      <c r="WKL142" s="4"/>
      <c r="WKM142" s="4"/>
      <c r="WKN142" s="4"/>
      <c r="WKO142" s="4"/>
      <c r="WKP142" s="4"/>
      <c r="WKQ142" s="4"/>
      <c r="WKR142" s="4"/>
      <c r="WKS142" s="4"/>
      <c r="WKT142" s="4"/>
      <c r="WKU142" s="4"/>
      <c r="WKV142" s="4"/>
      <c r="WKW142" s="4"/>
      <c r="WKX142" s="4"/>
      <c r="WKY142" s="4"/>
      <c r="WKZ142" s="4"/>
      <c r="WLA142" s="4"/>
      <c r="WLB142" s="4"/>
      <c r="WLC142" s="4"/>
      <c r="WLD142" s="4"/>
      <c r="WLE142" s="4"/>
      <c r="WLF142" s="4"/>
      <c r="WLG142" s="4"/>
      <c r="WLH142" s="4"/>
      <c r="WLI142" s="4"/>
      <c r="WLJ142" s="4"/>
      <c r="WLK142" s="4"/>
      <c r="WLL142" s="4"/>
      <c r="WLM142" s="4"/>
      <c r="WLN142" s="4"/>
      <c r="WLO142" s="4"/>
      <c r="WLP142" s="4"/>
      <c r="WLQ142" s="4"/>
      <c r="WLR142" s="4"/>
      <c r="WLS142" s="4"/>
      <c r="WLT142" s="4"/>
      <c r="WLU142" s="4"/>
      <c r="WLV142" s="4"/>
      <c r="WLW142" s="4"/>
      <c r="WLX142" s="4"/>
      <c r="WLY142" s="4"/>
      <c r="WLZ142" s="4"/>
      <c r="WMA142" s="4"/>
      <c r="WMB142" s="4"/>
      <c r="WMC142" s="4"/>
      <c r="WMD142" s="4"/>
      <c r="WME142" s="4"/>
      <c r="WMF142" s="4"/>
      <c r="WMG142" s="4"/>
      <c r="WMH142" s="4"/>
      <c r="WMI142" s="4"/>
      <c r="WMJ142" s="4"/>
      <c r="WMK142" s="4"/>
      <c r="WML142" s="4"/>
      <c r="WMM142" s="4"/>
      <c r="WMN142" s="4"/>
      <c r="WMO142" s="4"/>
      <c r="WMP142" s="4"/>
      <c r="WMQ142" s="4"/>
      <c r="WMR142" s="4"/>
      <c r="WMS142" s="4"/>
      <c r="WMT142" s="4"/>
      <c r="WMU142" s="4"/>
      <c r="WMV142" s="4"/>
      <c r="WMW142" s="4"/>
      <c r="WMX142" s="4"/>
      <c r="WMY142" s="4"/>
      <c r="WMZ142" s="4"/>
      <c r="WNA142" s="4"/>
      <c r="WNB142" s="4"/>
      <c r="WNC142" s="4"/>
      <c r="WND142" s="4"/>
      <c r="WNE142" s="4"/>
      <c r="WNF142" s="4"/>
      <c r="WNG142" s="4"/>
      <c r="WNH142" s="4"/>
      <c r="WNI142" s="4"/>
      <c r="WNJ142" s="4"/>
      <c r="WNK142" s="4"/>
      <c r="WNL142" s="4"/>
      <c r="WNM142" s="4"/>
      <c r="WNN142" s="4"/>
      <c r="WNO142" s="4"/>
      <c r="WNP142" s="4"/>
      <c r="WNQ142" s="4"/>
      <c r="WNR142" s="4"/>
      <c r="WNS142" s="4"/>
      <c r="WNT142" s="4"/>
      <c r="WNU142" s="4"/>
      <c r="WNV142" s="4"/>
      <c r="WNW142" s="4"/>
      <c r="WNX142" s="4"/>
      <c r="WNY142" s="4"/>
      <c r="WNZ142" s="4"/>
      <c r="WOA142" s="4"/>
      <c r="WOB142" s="4"/>
      <c r="WOC142" s="4"/>
      <c r="WOD142" s="4"/>
      <c r="WOE142" s="4"/>
      <c r="WOF142" s="4"/>
      <c r="WOG142" s="4"/>
      <c r="WOH142" s="4"/>
      <c r="WOI142" s="4"/>
      <c r="WOJ142" s="4"/>
      <c r="WOK142" s="4"/>
      <c r="WOL142" s="4"/>
      <c r="WOM142" s="4"/>
      <c r="WON142" s="4"/>
      <c r="WOO142" s="4"/>
      <c r="WOP142" s="4"/>
      <c r="WOQ142" s="4"/>
      <c r="WOR142" s="4"/>
      <c r="WOS142" s="4"/>
      <c r="WOT142" s="4"/>
      <c r="WOU142" s="4"/>
      <c r="WOV142" s="4"/>
      <c r="WOW142" s="4"/>
      <c r="WOX142" s="4"/>
      <c r="WOY142" s="4"/>
      <c r="WOZ142" s="4"/>
      <c r="WPA142" s="4"/>
      <c r="WPB142" s="4"/>
      <c r="WPC142" s="4"/>
      <c r="WPD142" s="4"/>
      <c r="WPE142" s="4"/>
      <c r="WPF142" s="4"/>
      <c r="WPG142" s="4"/>
      <c r="WPH142" s="4"/>
      <c r="WPI142" s="4"/>
      <c r="WPJ142" s="4"/>
      <c r="WPK142" s="4"/>
      <c r="WPL142" s="4"/>
      <c r="WPM142" s="4"/>
      <c r="WPN142" s="4"/>
      <c r="WPO142" s="4"/>
      <c r="WPP142" s="4"/>
      <c r="WPQ142" s="4"/>
      <c r="WPR142" s="4"/>
      <c r="WPS142" s="4"/>
      <c r="WPT142" s="4"/>
      <c r="WPU142" s="4"/>
      <c r="WPV142" s="4"/>
      <c r="WPW142" s="4"/>
      <c r="WPX142" s="4"/>
      <c r="WPY142" s="4"/>
      <c r="WPZ142" s="4"/>
      <c r="WQA142" s="4"/>
      <c r="WQB142" s="4"/>
      <c r="WQC142" s="4"/>
      <c r="WQD142" s="4"/>
      <c r="WQE142" s="4"/>
      <c r="WQF142" s="4"/>
      <c r="WQG142" s="4"/>
      <c r="WQH142" s="4"/>
      <c r="WQI142" s="4"/>
      <c r="WQJ142" s="4"/>
      <c r="WQK142" s="4"/>
      <c r="WQL142" s="4"/>
      <c r="WQM142" s="4"/>
      <c r="WQN142" s="4"/>
      <c r="WQO142" s="4"/>
      <c r="WQP142" s="4"/>
      <c r="WQQ142" s="4"/>
      <c r="WQR142" s="4"/>
      <c r="WQS142" s="4"/>
      <c r="WQT142" s="4"/>
      <c r="WQU142" s="4"/>
      <c r="WQV142" s="4"/>
      <c r="WQW142" s="4"/>
      <c r="WQX142" s="4"/>
      <c r="WQY142" s="4"/>
      <c r="WQZ142" s="4"/>
      <c r="WRA142" s="4"/>
      <c r="WRB142" s="4"/>
      <c r="WRC142" s="4"/>
      <c r="WRD142" s="4"/>
      <c r="WRE142" s="4"/>
      <c r="WRF142" s="4"/>
      <c r="WRG142" s="4"/>
      <c r="WRH142" s="4"/>
      <c r="WRI142" s="4"/>
      <c r="WRJ142" s="4"/>
      <c r="WRK142" s="4"/>
      <c r="WRL142" s="4"/>
      <c r="WRM142" s="4"/>
      <c r="WRN142" s="4"/>
      <c r="WRO142" s="4"/>
      <c r="WRP142" s="4"/>
      <c r="WRQ142" s="4"/>
      <c r="WRR142" s="4"/>
      <c r="WRS142" s="4"/>
      <c r="WRT142" s="4"/>
      <c r="WRU142" s="4"/>
      <c r="WRV142" s="4"/>
      <c r="WRW142" s="4"/>
      <c r="WRX142" s="4"/>
      <c r="WRY142" s="4"/>
      <c r="WRZ142" s="4"/>
      <c r="WSA142" s="4"/>
      <c r="WSB142" s="4"/>
      <c r="WSC142" s="4"/>
      <c r="WSD142" s="4"/>
      <c r="WSE142" s="4"/>
      <c r="WSF142" s="4"/>
      <c r="WSG142" s="4"/>
      <c r="WSH142" s="4"/>
      <c r="WSI142" s="4"/>
      <c r="WSJ142" s="4"/>
      <c r="WSK142" s="4"/>
      <c r="WSL142" s="4"/>
      <c r="WSM142" s="4"/>
      <c r="WSN142" s="4"/>
      <c r="WSO142" s="4"/>
      <c r="WSP142" s="4"/>
      <c r="WSQ142" s="4"/>
      <c r="WSR142" s="4"/>
      <c r="WSS142" s="4"/>
      <c r="WST142" s="4"/>
      <c r="WSU142" s="4"/>
      <c r="WSV142" s="4"/>
      <c r="WSW142" s="4"/>
      <c r="WSX142" s="4"/>
      <c r="WSY142" s="4"/>
      <c r="WSZ142" s="4"/>
      <c r="WTA142" s="4"/>
      <c r="WTB142" s="4"/>
      <c r="WTC142" s="4"/>
      <c r="WTD142" s="4"/>
      <c r="WTE142" s="4"/>
      <c r="WTF142" s="4"/>
      <c r="WTG142" s="4"/>
      <c r="WTH142" s="4"/>
      <c r="WTI142" s="4"/>
      <c r="WTJ142" s="4"/>
      <c r="WTK142" s="4"/>
      <c r="WTL142" s="4"/>
      <c r="WTM142" s="4"/>
      <c r="WTN142" s="4"/>
      <c r="WTO142" s="4"/>
      <c r="WTP142" s="4"/>
      <c r="WTQ142" s="4"/>
      <c r="WTR142" s="4"/>
      <c r="WTS142" s="4"/>
      <c r="WTT142" s="4"/>
      <c r="WTU142" s="4"/>
      <c r="WTV142" s="4"/>
      <c r="WTW142" s="4"/>
      <c r="WTX142" s="4"/>
      <c r="WTY142" s="4"/>
      <c r="WTZ142" s="4"/>
      <c r="WUA142" s="4"/>
      <c r="WUB142" s="4"/>
      <c r="WUC142" s="4"/>
      <c r="WUD142" s="4"/>
      <c r="WUE142" s="4"/>
      <c r="WUF142" s="4"/>
      <c r="WUG142" s="4"/>
      <c r="WUH142" s="4"/>
      <c r="WUI142" s="4"/>
      <c r="WUJ142" s="4"/>
      <c r="WUK142" s="4"/>
      <c r="WUL142" s="4"/>
      <c r="WUM142" s="4"/>
      <c r="WUN142" s="4"/>
      <c r="WUO142" s="4"/>
      <c r="WUP142" s="4"/>
      <c r="WUQ142" s="4"/>
      <c r="WUR142" s="4"/>
      <c r="WUS142" s="4"/>
      <c r="WUT142" s="4"/>
      <c r="WUU142" s="4"/>
      <c r="WUV142" s="4"/>
      <c r="WUW142" s="4"/>
      <c r="WUX142" s="4"/>
      <c r="WUY142" s="4"/>
      <c r="WUZ142" s="4"/>
      <c r="WVA142" s="4"/>
      <c r="WVB142" s="4"/>
      <c r="WVC142" s="4"/>
      <c r="WVD142" s="4"/>
      <c r="WVE142" s="4"/>
      <c r="WVF142" s="4"/>
      <c r="WVG142" s="4"/>
      <c r="WVH142" s="4"/>
      <c r="WVI142" s="4"/>
      <c r="WVJ142" s="4"/>
      <c r="WVK142" s="4"/>
      <c r="WVL142" s="4"/>
      <c r="WVM142" s="4"/>
      <c r="WVN142" s="4"/>
      <c r="WVO142" s="4"/>
      <c r="WVP142" s="4"/>
      <c r="WVQ142" s="4"/>
      <c r="WVR142" s="4"/>
      <c r="WVS142" s="4"/>
      <c r="WVT142" s="4"/>
      <c r="WVU142" s="4"/>
      <c r="WVV142" s="4"/>
      <c r="WVW142" s="4"/>
      <c r="WVX142" s="4"/>
      <c r="WVY142" s="4"/>
      <c r="WVZ142" s="4"/>
      <c r="WWA142" s="4"/>
      <c r="WWB142" s="4"/>
      <c r="WWC142" s="4"/>
      <c r="WWD142" s="4"/>
      <c r="WWE142" s="4"/>
      <c r="WWF142" s="4"/>
      <c r="WWG142" s="4"/>
      <c r="WWH142" s="4"/>
      <c r="WWI142" s="4"/>
      <c r="WWJ142" s="4"/>
      <c r="WWK142" s="4"/>
      <c r="WWL142" s="4"/>
      <c r="WWM142" s="4"/>
      <c r="WWN142" s="4"/>
      <c r="WWO142" s="4"/>
      <c r="WWP142" s="4"/>
      <c r="WWQ142" s="4"/>
      <c r="WWR142" s="4"/>
      <c r="WWS142" s="4"/>
      <c r="WWT142" s="4"/>
      <c r="WWU142" s="4"/>
      <c r="WWV142" s="4"/>
      <c r="WWW142" s="4"/>
      <c r="WWX142" s="4"/>
      <c r="WWY142" s="4"/>
      <c r="WWZ142" s="4"/>
      <c r="WXA142" s="4"/>
      <c r="WXB142" s="4"/>
      <c r="WXC142" s="4"/>
      <c r="WXD142" s="4"/>
      <c r="WXE142" s="4"/>
      <c r="WXF142" s="4"/>
      <c r="WXG142" s="4"/>
      <c r="WXH142" s="4"/>
      <c r="WXI142" s="4"/>
      <c r="WXJ142" s="4"/>
      <c r="WXK142" s="4"/>
      <c r="WXL142" s="4"/>
      <c r="WXM142" s="4"/>
      <c r="WXN142" s="4"/>
      <c r="WXO142" s="4"/>
      <c r="WXP142" s="4"/>
      <c r="WXQ142" s="4"/>
      <c r="WXR142" s="4"/>
      <c r="WXS142" s="4"/>
      <c r="WXT142" s="4"/>
      <c r="WXU142" s="4"/>
      <c r="WXV142" s="4"/>
      <c r="WXW142" s="4"/>
      <c r="WXX142" s="4"/>
      <c r="WXY142" s="4"/>
      <c r="WXZ142" s="4"/>
      <c r="WYA142" s="4"/>
      <c r="WYB142" s="4"/>
      <c r="WYC142" s="4"/>
      <c r="WYD142" s="4"/>
      <c r="WYE142" s="4"/>
      <c r="WYF142" s="4"/>
      <c r="WYG142" s="4"/>
      <c r="WYH142" s="4"/>
      <c r="WYI142" s="4"/>
      <c r="WYJ142" s="4"/>
      <c r="WYK142" s="4"/>
      <c r="WYL142" s="4"/>
      <c r="WYM142" s="4"/>
      <c r="WYN142" s="4"/>
      <c r="WYO142" s="4"/>
      <c r="WYP142" s="4"/>
      <c r="WYQ142" s="4"/>
      <c r="WYR142" s="4"/>
      <c r="WYS142" s="4"/>
      <c r="WYT142" s="4"/>
      <c r="WYU142" s="4"/>
      <c r="WYV142" s="4"/>
      <c r="WYW142" s="4"/>
      <c r="WYX142" s="4"/>
      <c r="WYY142" s="4"/>
      <c r="WYZ142" s="4"/>
      <c r="WZA142" s="4"/>
      <c r="WZB142" s="4"/>
      <c r="WZC142" s="4"/>
      <c r="WZD142" s="4"/>
      <c r="WZE142" s="4"/>
      <c r="WZF142" s="4"/>
      <c r="WZG142" s="4"/>
      <c r="WZH142" s="4"/>
      <c r="WZI142" s="4"/>
      <c r="WZJ142" s="4"/>
      <c r="WZK142" s="4"/>
      <c r="WZL142" s="4"/>
      <c r="WZM142" s="4"/>
      <c r="WZN142" s="4"/>
      <c r="WZO142" s="4"/>
      <c r="WZP142" s="4"/>
      <c r="WZQ142" s="4"/>
      <c r="WZR142" s="4"/>
      <c r="WZS142" s="4"/>
      <c r="WZT142" s="4"/>
      <c r="WZU142" s="4"/>
      <c r="WZV142" s="4"/>
      <c r="WZW142" s="4"/>
      <c r="WZX142" s="4"/>
      <c r="WZY142" s="4"/>
      <c r="WZZ142" s="4"/>
      <c r="XAA142" s="4"/>
      <c r="XAB142" s="4"/>
      <c r="XAC142" s="4"/>
      <c r="XAD142" s="4"/>
      <c r="XAE142" s="4"/>
      <c r="XAF142" s="4"/>
      <c r="XAG142" s="4"/>
      <c r="XAH142" s="4"/>
      <c r="XAI142" s="4"/>
      <c r="XAJ142" s="4"/>
      <c r="XAK142" s="4"/>
      <c r="XAL142" s="4"/>
      <c r="XAM142" s="4"/>
      <c r="XAN142" s="4"/>
      <c r="XAO142" s="4"/>
      <c r="XAP142" s="4"/>
      <c r="XAQ142" s="4"/>
      <c r="XAR142" s="4"/>
      <c r="XAS142" s="4"/>
      <c r="XAT142" s="4"/>
      <c r="XAU142" s="4"/>
      <c r="XAV142" s="4"/>
      <c r="XAW142" s="4"/>
      <c r="XAX142" s="4"/>
      <c r="XAY142" s="4"/>
      <c r="XAZ142" s="4"/>
      <c r="XBA142" s="4"/>
      <c r="XBB142" s="4"/>
      <c r="XBC142" s="4"/>
      <c r="XBD142" s="4"/>
      <c r="XBE142" s="4"/>
      <c r="XBF142" s="4"/>
      <c r="XBG142" s="4"/>
      <c r="XBH142" s="4"/>
      <c r="XBI142" s="4"/>
      <c r="XBJ142" s="4"/>
      <c r="XBK142" s="4"/>
      <c r="XBL142" s="4"/>
      <c r="XBM142" s="4"/>
      <c r="XBN142" s="4"/>
      <c r="XBO142" s="4"/>
      <c r="XBP142" s="4"/>
      <c r="XBQ142" s="4"/>
      <c r="XBR142" s="4"/>
      <c r="XBS142" s="4"/>
      <c r="XBT142" s="4"/>
      <c r="XBU142" s="4"/>
      <c r="XBV142" s="4"/>
      <c r="XBW142" s="4"/>
      <c r="XBX142" s="4"/>
      <c r="XBY142" s="4"/>
      <c r="XBZ142" s="4"/>
      <c r="XCA142" s="4"/>
      <c r="XCB142" s="4"/>
      <c r="XCC142" s="4"/>
      <c r="XCD142" s="4"/>
      <c r="XCE142" s="4"/>
      <c r="XCF142" s="4"/>
      <c r="XCG142" s="4"/>
      <c r="XCH142" s="4"/>
      <c r="XCI142" s="4"/>
      <c r="XCJ142" s="4"/>
      <c r="XCK142" s="4"/>
      <c r="XCL142" s="4"/>
      <c r="XCM142" s="4"/>
      <c r="XCN142" s="4"/>
      <c r="XCO142" s="4"/>
      <c r="XCP142" s="4"/>
      <c r="XCQ142" s="4"/>
      <c r="XCR142" s="4"/>
      <c r="XCS142" s="4"/>
      <c r="XCT142" s="4"/>
      <c r="XCU142" s="4"/>
      <c r="XCV142" s="4"/>
      <c r="XCW142" s="4"/>
      <c r="XCX142" s="4"/>
      <c r="XCY142" s="4"/>
      <c r="XCZ142" s="4"/>
      <c r="XDA142" s="4"/>
      <c r="XDB142" s="4"/>
      <c r="XDC142" s="4"/>
      <c r="XDD142" s="4"/>
      <c r="XDE142" s="4"/>
      <c r="XDF142" s="4"/>
      <c r="XDG142" s="4"/>
      <c r="XDH142" s="4"/>
      <c r="XDI142" s="4"/>
      <c r="XDJ142" s="4"/>
      <c r="XDK142" s="4"/>
      <c r="XDL142" s="4"/>
      <c r="XDM142" s="4"/>
      <c r="XDN142" s="4"/>
      <c r="XDO142" s="4"/>
      <c r="XDP142" s="4"/>
      <c r="XDQ142" s="4"/>
      <c r="XDR142" s="4"/>
      <c r="XDS142" s="4"/>
      <c r="XDT142" s="4"/>
      <c r="XDU142" s="4"/>
      <c r="XDV142" s="4"/>
      <c r="XDW142" s="4"/>
      <c r="XDX142" s="4"/>
      <c r="XDY142" s="4"/>
      <c r="XDZ142" s="4"/>
      <c r="XEA142" s="4"/>
      <c r="XEB142" s="4"/>
      <c r="XEC142" s="4"/>
      <c r="XED142" s="4"/>
      <c r="XEE142" s="4"/>
      <c r="XEF142" s="4"/>
      <c r="XEG142" s="4"/>
      <c r="XEH142" s="4"/>
      <c r="XEI142" s="4"/>
      <c r="XEJ142" s="4"/>
      <c r="XEK142" s="4"/>
      <c r="XEL142" s="4"/>
      <c r="XEM142" s="4"/>
      <c r="XEN142" s="4"/>
      <c r="XEO142" s="4"/>
      <c r="XEP142" s="4"/>
      <c r="XEQ142" s="4"/>
      <c r="XER142" s="4"/>
      <c r="XES142" s="4"/>
      <c r="XET142" s="4"/>
      <c r="XEU142" s="4"/>
      <c r="XEV142" s="4"/>
      <c r="XEW142" s="4"/>
      <c r="XEX142" s="4"/>
      <c r="XEY142" s="4"/>
      <c r="XEZ142" s="4"/>
      <c r="XFA142" s="4"/>
      <c r="XFB142" s="4"/>
      <c r="XFC142" s="4"/>
    </row>
    <row r="143" spans="1:16383" ht="18" x14ac:dyDescent="0.25">
      <c r="A143" s="422" t="s">
        <v>2969</v>
      </c>
      <c r="B143" s="422"/>
      <c r="C143" s="308"/>
      <c r="D143" s="4"/>
      <c r="E143" s="4"/>
      <c r="F143" s="308"/>
      <c r="G143" s="4"/>
      <c r="H143" s="541"/>
      <c r="I143" s="5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  <c r="ZM143" s="4"/>
      <c r="ZN143" s="4"/>
      <c r="ZO143" s="4"/>
      <c r="ZP143" s="4"/>
      <c r="ZQ143" s="4"/>
      <c r="ZR143" s="4"/>
      <c r="ZS143" s="4"/>
      <c r="ZT143" s="4"/>
      <c r="ZU143" s="4"/>
      <c r="ZV143" s="4"/>
      <c r="ZW143" s="4"/>
      <c r="ZX143" s="4"/>
      <c r="ZY143" s="4"/>
      <c r="ZZ143" s="4"/>
      <c r="AAA143" s="4"/>
      <c r="AAB143" s="4"/>
      <c r="AAC143" s="4"/>
      <c r="AAD143" s="4"/>
      <c r="AAE143" s="4"/>
      <c r="AAF143" s="4"/>
      <c r="AAG143" s="4"/>
      <c r="AAH143" s="4"/>
      <c r="AAI143" s="4"/>
      <c r="AAJ143" s="4"/>
      <c r="AAK143" s="4"/>
      <c r="AAL143" s="4"/>
      <c r="AAM143" s="4"/>
      <c r="AAN143" s="4"/>
      <c r="AAO143" s="4"/>
      <c r="AAP143" s="4"/>
      <c r="AAQ143" s="4"/>
      <c r="AAR143" s="4"/>
      <c r="AAS143" s="4"/>
      <c r="AAT143" s="4"/>
      <c r="AAU143" s="4"/>
      <c r="AAV143" s="4"/>
      <c r="AAW143" s="4"/>
      <c r="AAX143" s="4"/>
      <c r="AAY143" s="4"/>
      <c r="AAZ143" s="4"/>
      <c r="ABA143" s="4"/>
      <c r="ABB143" s="4"/>
      <c r="ABC143" s="4"/>
      <c r="ABD143" s="4"/>
      <c r="ABE143" s="4"/>
      <c r="ABF143" s="4"/>
      <c r="ABG143" s="4"/>
      <c r="ABH143" s="4"/>
      <c r="ABI143" s="4"/>
      <c r="ABJ143" s="4"/>
      <c r="ABK143" s="4"/>
      <c r="ABL143" s="4"/>
      <c r="ABM143" s="4"/>
      <c r="ABN143" s="4"/>
      <c r="ABO143" s="4"/>
      <c r="ABP143" s="4"/>
      <c r="ABQ143" s="4"/>
      <c r="ABR143" s="4"/>
      <c r="ABS143" s="4"/>
      <c r="ABT143" s="4"/>
      <c r="ABU143" s="4"/>
      <c r="ABV143" s="4"/>
      <c r="ABW143" s="4"/>
      <c r="ABX143" s="4"/>
      <c r="ABY143" s="4"/>
      <c r="ABZ143" s="4"/>
      <c r="ACA143" s="4"/>
      <c r="ACB143" s="4"/>
      <c r="ACC143" s="4"/>
      <c r="ACD143" s="4"/>
      <c r="ACE143" s="4"/>
      <c r="ACF143" s="4"/>
      <c r="ACG143" s="4"/>
      <c r="ACH143" s="4"/>
      <c r="ACI143" s="4"/>
      <c r="ACJ143" s="4"/>
      <c r="ACK143" s="4"/>
      <c r="ACL143" s="4"/>
      <c r="ACM143" s="4"/>
      <c r="ACN143" s="4"/>
      <c r="ACO143" s="4"/>
      <c r="ACP143" s="4"/>
      <c r="ACQ143" s="4"/>
      <c r="ACR143" s="4"/>
      <c r="ACS143" s="4"/>
      <c r="ACT143" s="4"/>
      <c r="ACU143" s="4"/>
      <c r="ACV143" s="4"/>
      <c r="ACW143" s="4"/>
      <c r="ACX143" s="4"/>
      <c r="ACY143" s="4"/>
      <c r="ACZ143" s="4"/>
      <c r="ADA143" s="4"/>
      <c r="ADB143" s="4"/>
      <c r="ADC143" s="4"/>
      <c r="ADD143" s="4"/>
      <c r="ADE143" s="4"/>
      <c r="ADF143" s="4"/>
      <c r="ADG143" s="4"/>
      <c r="ADH143" s="4"/>
      <c r="ADI143" s="4"/>
      <c r="ADJ143" s="4"/>
      <c r="ADK143" s="4"/>
      <c r="ADL143" s="4"/>
      <c r="ADM143" s="4"/>
      <c r="ADN143" s="4"/>
      <c r="ADO143" s="4"/>
      <c r="ADP143" s="4"/>
      <c r="ADQ143" s="4"/>
      <c r="ADR143" s="4"/>
      <c r="ADS143" s="4"/>
      <c r="ADT143" s="4"/>
      <c r="ADU143" s="4"/>
      <c r="ADV143" s="4"/>
      <c r="ADW143" s="4"/>
      <c r="ADX143" s="4"/>
      <c r="ADY143" s="4"/>
      <c r="ADZ143" s="4"/>
      <c r="AEA143" s="4"/>
      <c r="AEB143" s="4"/>
      <c r="AEC143" s="4"/>
      <c r="AED143" s="4"/>
      <c r="AEE143" s="4"/>
      <c r="AEF143" s="4"/>
      <c r="AEG143" s="4"/>
      <c r="AEH143" s="4"/>
      <c r="AEI143" s="4"/>
      <c r="AEJ143" s="4"/>
      <c r="AEK143" s="4"/>
      <c r="AEL143" s="4"/>
      <c r="AEM143" s="4"/>
      <c r="AEN143" s="4"/>
      <c r="AEO143" s="4"/>
      <c r="AEP143" s="4"/>
      <c r="AEQ143" s="4"/>
      <c r="AER143" s="4"/>
      <c r="AES143" s="4"/>
      <c r="AET143" s="4"/>
      <c r="AEU143" s="4"/>
      <c r="AEV143" s="4"/>
      <c r="AEW143" s="4"/>
      <c r="AEX143" s="4"/>
      <c r="AEY143" s="4"/>
      <c r="AEZ143" s="4"/>
      <c r="AFA143" s="4"/>
      <c r="AFB143" s="4"/>
      <c r="AFC143" s="4"/>
      <c r="AFD143" s="4"/>
      <c r="AFE143" s="4"/>
      <c r="AFF143" s="4"/>
      <c r="AFG143" s="4"/>
      <c r="AFH143" s="4"/>
      <c r="AFI143" s="4"/>
      <c r="AFJ143" s="4"/>
      <c r="AFK143" s="4"/>
      <c r="AFL143" s="4"/>
      <c r="AFM143" s="4"/>
      <c r="AFN143" s="4"/>
      <c r="AFO143" s="4"/>
      <c r="AFP143" s="4"/>
      <c r="AFQ143" s="4"/>
      <c r="AFR143" s="4"/>
      <c r="AFS143" s="4"/>
      <c r="AFT143" s="4"/>
      <c r="AFU143" s="4"/>
      <c r="AFV143" s="4"/>
      <c r="AFW143" s="4"/>
      <c r="AFX143" s="4"/>
      <c r="AFY143" s="4"/>
      <c r="AFZ143" s="4"/>
      <c r="AGA143" s="4"/>
      <c r="AGB143" s="4"/>
      <c r="AGC143" s="4"/>
      <c r="AGD143" s="4"/>
      <c r="AGE143" s="4"/>
      <c r="AGF143" s="4"/>
      <c r="AGG143" s="4"/>
      <c r="AGH143" s="4"/>
      <c r="AGI143" s="4"/>
      <c r="AGJ143" s="4"/>
      <c r="AGK143" s="4"/>
      <c r="AGL143" s="4"/>
      <c r="AGM143" s="4"/>
      <c r="AGN143" s="4"/>
      <c r="AGO143" s="4"/>
      <c r="AGP143" s="4"/>
      <c r="AGQ143" s="4"/>
      <c r="AGR143" s="4"/>
      <c r="AGS143" s="4"/>
      <c r="AGT143" s="4"/>
      <c r="AGU143" s="4"/>
      <c r="AGV143" s="4"/>
      <c r="AGW143" s="4"/>
      <c r="AGX143" s="4"/>
      <c r="AGY143" s="4"/>
      <c r="AGZ143" s="4"/>
      <c r="AHA143" s="4"/>
      <c r="AHB143" s="4"/>
      <c r="AHC143" s="4"/>
      <c r="AHD143" s="4"/>
      <c r="AHE143" s="4"/>
      <c r="AHF143" s="4"/>
      <c r="AHG143" s="4"/>
      <c r="AHH143" s="4"/>
      <c r="AHI143" s="4"/>
      <c r="AHJ143" s="4"/>
      <c r="AHK143" s="4"/>
      <c r="AHL143" s="4"/>
      <c r="AHM143" s="4"/>
      <c r="AHN143" s="4"/>
      <c r="AHO143" s="4"/>
      <c r="AHP143" s="4"/>
      <c r="AHQ143" s="4"/>
      <c r="AHR143" s="4"/>
      <c r="AHS143" s="4"/>
      <c r="AHT143" s="4"/>
      <c r="AHU143" s="4"/>
      <c r="AHV143" s="4"/>
      <c r="AHW143" s="4"/>
      <c r="AHX143" s="4"/>
      <c r="AHY143" s="4"/>
      <c r="AHZ143" s="4"/>
      <c r="AIA143" s="4"/>
      <c r="AIB143" s="4"/>
      <c r="AIC143" s="4"/>
      <c r="AID143" s="4"/>
      <c r="AIE143" s="4"/>
      <c r="AIF143" s="4"/>
      <c r="AIG143" s="4"/>
      <c r="AIH143" s="4"/>
      <c r="AII143" s="4"/>
      <c r="AIJ143" s="4"/>
      <c r="AIK143" s="4"/>
      <c r="AIL143" s="4"/>
      <c r="AIM143" s="4"/>
      <c r="AIN143" s="4"/>
      <c r="AIO143" s="4"/>
      <c r="AIP143" s="4"/>
      <c r="AIQ143" s="4"/>
      <c r="AIR143" s="4"/>
      <c r="AIS143" s="4"/>
      <c r="AIT143" s="4"/>
      <c r="AIU143" s="4"/>
      <c r="AIV143" s="4"/>
      <c r="AIW143" s="4"/>
      <c r="AIX143" s="4"/>
      <c r="AIY143" s="4"/>
      <c r="AIZ143" s="4"/>
      <c r="AJA143" s="4"/>
      <c r="AJB143" s="4"/>
      <c r="AJC143" s="4"/>
      <c r="AJD143" s="4"/>
      <c r="AJE143" s="4"/>
      <c r="AJF143" s="4"/>
      <c r="AJG143" s="4"/>
      <c r="AJH143" s="4"/>
      <c r="AJI143" s="4"/>
      <c r="AJJ143" s="4"/>
      <c r="AJK143" s="4"/>
      <c r="AJL143" s="4"/>
      <c r="AJM143" s="4"/>
      <c r="AJN143" s="4"/>
      <c r="AJO143" s="4"/>
      <c r="AJP143" s="4"/>
      <c r="AJQ143" s="4"/>
      <c r="AJR143" s="4"/>
      <c r="AJS143" s="4"/>
      <c r="AJT143" s="4"/>
      <c r="AJU143" s="4"/>
      <c r="AJV143" s="4"/>
      <c r="AJW143" s="4"/>
      <c r="AJX143" s="4"/>
      <c r="AJY143" s="4"/>
      <c r="AJZ143" s="4"/>
      <c r="AKA143" s="4"/>
      <c r="AKB143" s="4"/>
      <c r="AKC143" s="4"/>
      <c r="AKD143" s="4"/>
      <c r="AKE143" s="4"/>
      <c r="AKF143" s="4"/>
      <c r="AKG143" s="4"/>
      <c r="AKH143" s="4"/>
      <c r="AKI143" s="4"/>
      <c r="AKJ143" s="4"/>
      <c r="AKK143" s="4"/>
      <c r="AKL143" s="4"/>
      <c r="AKM143" s="4"/>
      <c r="AKN143" s="4"/>
      <c r="AKO143" s="4"/>
      <c r="AKP143" s="4"/>
      <c r="AKQ143" s="4"/>
      <c r="AKR143" s="4"/>
      <c r="AKS143" s="4"/>
      <c r="AKT143" s="4"/>
      <c r="AKU143" s="4"/>
      <c r="AKV143" s="4"/>
      <c r="AKW143" s="4"/>
      <c r="AKX143" s="4"/>
      <c r="AKY143" s="4"/>
      <c r="AKZ143" s="4"/>
      <c r="ALA143" s="4"/>
      <c r="ALB143" s="4"/>
      <c r="ALC143" s="4"/>
      <c r="ALD143" s="4"/>
      <c r="ALE143" s="4"/>
      <c r="ALF143" s="4"/>
      <c r="ALG143" s="4"/>
      <c r="ALH143" s="4"/>
      <c r="ALI143" s="4"/>
      <c r="ALJ143" s="4"/>
      <c r="ALK143" s="4"/>
      <c r="ALL143" s="4"/>
      <c r="ALM143" s="4"/>
      <c r="ALN143" s="4"/>
      <c r="ALO143" s="4"/>
      <c r="ALP143" s="4"/>
      <c r="ALQ143" s="4"/>
      <c r="ALR143" s="4"/>
      <c r="ALS143" s="4"/>
      <c r="ALT143" s="4"/>
      <c r="ALU143" s="4"/>
      <c r="ALV143" s="4"/>
      <c r="ALW143" s="4"/>
      <c r="ALX143" s="4"/>
      <c r="ALY143" s="4"/>
      <c r="ALZ143" s="4"/>
      <c r="AMA143" s="4"/>
      <c r="AMB143" s="4"/>
      <c r="AMC143" s="4"/>
      <c r="AMD143" s="4"/>
      <c r="AME143" s="4"/>
      <c r="AMF143" s="4"/>
      <c r="AMG143" s="4"/>
      <c r="AMH143" s="4"/>
      <c r="AMI143" s="4"/>
      <c r="AMJ143" s="4"/>
      <c r="AMK143" s="4"/>
      <c r="AML143" s="4"/>
      <c r="AMM143" s="4"/>
      <c r="AMN143" s="4"/>
      <c r="AMO143" s="4"/>
      <c r="AMP143" s="4"/>
      <c r="AMQ143" s="4"/>
      <c r="AMR143" s="4"/>
      <c r="AMS143" s="4"/>
      <c r="AMT143" s="4"/>
      <c r="AMU143" s="4"/>
      <c r="AMV143" s="4"/>
      <c r="AMW143" s="4"/>
      <c r="AMX143" s="4"/>
      <c r="AMY143" s="4"/>
      <c r="AMZ143" s="4"/>
      <c r="ANA143" s="4"/>
      <c r="ANB143" s="4"/>
      <c r="ANC143" s="4"/>
      <c r="AND143" s="4"/>
      <c r="ANE143" s="4"/>
      <c r="ANF143" s="4"/>
      <c r="ANG143" s="4"/>
      <c r="ANH143" s="4"/>
      <c r="ANI143" s="4"/>
      <c r="ANJ143" s="4"/>
      <c r="ANK143" s="4"/>
      <c r="ANL143" s="4"/>
      <c r="ANM143" s="4"/>
      <c r="ANN143" s="4"/>
      <c r="ANO143" s="4"/>
      <c r="ANP143" s="4"/>
      <c r="ANQ143" s="4"/>
      <c r="ANR143" s="4"/>
      <c r="ANS143" s="4"/>
      <c r="ANT143" s="4"/>
      <c r="ANU143" s="4"/>
      <c r="ANV143" s="4"/>
      <c r="ANW143" s="4"/>
      <c r="ANX143" s="4"/>
      <c r="ANY143" s="4"/>
      <c r="ANZ143" s="4"/>
      <c r="AOA143" s="4"/>
      <c r="AOB143" s="4"/>
      <c r="AOC143" s="4"/>
      <c r="AOD143" s="4"/>
      <c r="AOE143" s="4"/>
      <c r="AOF143" s="4"/>
      <c r="AOG143" s="4"/>
      <c r="AOH143" s="4"/>
      <c r="AOI143" s="4"/>
      <c r="AOJ143" s="4"/>
      <c r="AOK143" s="4"/>
      <c r="AOL143" s="4"/>
      <c r="AOM143" s="4"/>
      <c r="AON143" s="4"/>
      <c r="AOO143" s="4"/>
      <c r="AOP143" s="4"/>
      <c r="AOQ143" s="4"/>
      <c r="AOR143" s="4"/>
      <c r="AOS143" s="4"/>
      <c r="AOT143" s="4"/>
      <c r="AOU143" s="4"/>
      <c r="AOV143" s="4"/>
      <c r="AOW143" s="4"/>
      <c r="AOX143" s="4"/>
      <c r="AOY143" s="4"/>
      <c r="AOZ143" s="4"/>
      <c r="APA143" s="4"/>
      <c r="APB143" s="4"/>
      <c r="APC143" s="4"/>
      <c r="APD143" s="4"/>
      <c r="APE143" s="4"/>
      <c r="APF143" s="4"/>
      <c r="APG143" s="4"/>
      <c r="APH143" s="4"/>
      <c r="API143" s="4"/>
      <c r="APJ143" s="4"/>
      <c r="APK143" s="4"/>
      <c r="APL143" s="4"/>
      <c r="APM143" s="4"/>
      <c r="APN143" s="4"/>
      <c r="APO143" s="4"/>
      <c r="APP143" s="4"/>
      <c r="APQ143" s="4"/>
      <c r="APR143" s="4"/>
      <c r="APS143" s="4"/>
      <c r="APT143" s="4"/>
      <c r="APU143" s="4"/>
      <c r="APV143" s="4"/>
      <c r="APW143" s="4"/>
      <c r="APX143" s="4"/>
      <c r="APY143" s="4"/>
      <c r="APZ143" s="4"/>
      <c r="AQA143" s="4"/>
      <c r="AQB143" s="4"/>
      <c r="AQC143" s="4"/>
      <c r="AQD143" s="4"/>
      <c r="AQE143" s="4"/>
      <c r="AQF143" s="4"/>
      <c r="AQG143" s="4"/>
      <c r="AQH143" s="4"/>
      <c r="AQI143" s="4"/>
      <c r="AQJ143" s="4"/>
      <c r="AQK143" s="4"/>
      <c r="AQL143" s="4"/>
      <c r="AQM143" s="4"/>
      <c r="AQN143" s="4"/>
      <c r="AQO143" s="4"/>
      <c r="AQP143" s="4"/>
      <c r="AQQ143" s="4"/>
      <c r="AQR143" s="4"/>
      <c r="AQS143" s="4"/>
      <c r="AQT143" s="4"/>
      <c r="AQU143" s="4"/>
      <c r="AQV143" s="4"/>
      <c r="AQW143" s="4"/>
      <c r="AQX143" s="4"/>
      <c r="AQY143" s="4"/>
      <c r="AQZ143" s="4"/>
      <c r="ARA143" s="4"/>
      <c r="ARB143" s="4"/>
      <c r="ARC143" s="4"/>
      <c r="ARD143" s="4"/>
      <c r="ARE143" s="4"/>
      <c r="ARF143" s="4"/>
      <c r="ARG143" s="4"/>
      <c r="ARH143" s="4"/>
      <c r="ARI143" s="4"/>
      <c r="ARJ143" s="4"/>
      <c r="ARK143" s="4"/>
      <c r="ARL143" s="4"/>
      <c r="ARM143" s="4"/>
      <c r="ARN143" s="4"/>
      <c r="ARO143" s="4"/>
      <c r="ARP143" s="4"/>
      <c r="ARQ143" s="4"/>
      <c r="ARR143" s="4"/>
      <c r="ARS143" s="4"/>
      <c r="ART143" s="4"/>
      <c r="ARU143" s="4"/>
      <c r="ARV143" s="4"/>
      <c r="ARW143" s="4"/>
      <c r="ARX143" s="4"/>
      <c r="ARY143" s="4"/>
      <c r="ARZ143" s="4"/>
      <c r="ASA143" s="4"/>
      <c r="ASB143" s="4"/>
      <c r="ASC143" s="4"/>
      <c r="ASD143" s="4"/>
      <c r="ASE143" s="4"/>
      <c r="ASF143" s="4"/>
      <c r="ASG143" s="4"/>
      <c r="ASH143" s="4"/>
      <c r="ASI143" s="4"/>
      <c r="ASJ143" s="4"/>
      <c r="ASK143" s="4"/>
      <c r="ASL143" s="4"/>
      <c r="ASM143" s="4"/>
      <c r="ASN143" s="4"/>
      <c r="ASO143" s="4"/>
      <c r="ASP143" s="4"/>
      <c r="ASQ143" s="4"/>
      <c r="ASR143" s="4"/>
      <c r="ASS143" s="4"/>
      <c r="AST143" s="4"/>
      <c r="ASU143" s="4"/>
      <c r="ASV143" s="4"/>
      <c r="ASW143" s="4"/>
      <c r="ASX143" s="4"/>
      <c r="ASY143" s="4"/>
      <c r="ASZ143" s="4"/>
      <c r="ATA143" s="4"/>
      <c r="ATB143" s="4"/>
      <c r="ATC143" s="4"/>
      <c r="ATD143" s="4"/>
      <c r="ATE143" s="4"/>
      <c r="ATF143" s="4"/>
      <c r="ATG143" s="4"/>
      <c r="ATH143" s="4"/>
      <c r="ATI143" s="4"/>
      <c r="ATJ143" s="4"/>
      <c r="ATK143" s="4"/>
      <c r="ATL143" s="4"/>
      <c r="ATM143" s="4"/>
      <c r="ATN143" s="4"/>
      <c r="ATO143" s="4"/>
      <c r="ATP143" s="4"/>
      <c r="ATQ143" s="4"/>
      <c r="ATR143" s="4"/>
      <c r="ATS143" s="4"/>
      <c r="ATT143" s="4"/>
      <c r="ATU143" s="4"/>
      <c r="ATV143" s="4"/>
      <c r="ATW143" s="4"/>
      <c r="ATX143" s="4"/>
      <c r="ATY143" s="4"/>
      <c r="ATZ143" s="4"/>
      <c r="AUA143" s="4"/>
      <c r="AUB143" s="4"/>
      <c r="AUC143" s="4"/>
      <c r="AUD143" s="4"/>
      <c r="AUE143" s="4"/>
      <c r="AUF143" s="4"/>
      <c r="AUG143" s="4"/>
      <c r="AUH143" s="4"/>
      <c r="AUI143" s="4"/>
      <c r="AUJ143" s="4"/>
      <c r="AUK143" s="4"/>
      <c r="AUL143" s="4"/>
      <c r="AUM143" s="4"/>
      <c r="AUN143" s="4"/>
      <c r="AUO143" s="4"/>
      <c r="AUP143" s="4"/>
      <c r="AUQ143" s="4"/>
      <c r="AUR143" s="4"/>
      <c r="AUS143" s="4"/>
      <c r="AUT143" s="4"/>
      <c r="AUU143" s="4"/>
      <c r="AUV143" s="4"/>
      <c r="AUW143" s="4"/>
      <c r="AUX143" s="4"/>
      <c r="AUY143" s="4"/>
      <c r="AUZ143" s="4"/>
      <c r="AVA143" s="4"/>
      <c r="AVB143" s="4"/>
      <c r="AVC143" s="4"/>
      <c r="AVD143" s="4"/>
      <c r="AVE143" s="4"/>
      <c r="AVF143" s="4"/>
      <c r="AVG143" s="4"/>
      <c r="AVH143" s="4"/>
      <c r="AVI143" s="4"/>
      <c r="AVJ143" s="4"/>
      <c r="AVK143" s="4"/>
      <c r="AVL143" s="4"/>
      <c r="AVM143" s="4"/>
      <c r="AVN143" s="4"/>
      <c r="AVO143" s="4"/>
      <c r="AVP143" s="4"/>
      <c r="AVQ143" s="4"/>
      <c r="AVR143" s="4"/>
      <c r="AVS143" s="4"/>
      <c r="AVT143" s="4"/>
      <c r="AVU143" s="4"/>
      <c r="AVV143" s="4"/>
      <c r="AVW143" s="4"/>
      <c r="AVX143" s="4"/>
      <c r="AVY143" s="4"/>
      <c r="AVZ143" s="4"/>
      <c r="AWA143" s="4"/>
      <c r="AWB143" s="4"/>
      <c r="AWC143" s="4"/>
      <c r="AWD143" s="4"/>
      <c r="AWE143" s="4"/>
      <c r="AWF143" s="4"/>
      <c r="AWG143" s="4"/>
      <c r="AWH143" s="4"/>
      <c r="AWI143" s="4"/>
      <c r="AWJ143" s="4"/>
      <c r="AWK143" s="4"/>
      <c r="AWL143" s="4"/>
      <c r="AWM143" s="4"/>
      <c r="AWN143" s="4"/>
      <c r="AWO143" s="4"/>
      <c r="AWP143" s="4"/>
      <c r="AWQ143" s="4"/>
      <c r="AWR143" s="4"/>
      <c r="AWS143" s="4"/>
      <c r="AWT143" s="4"/>
      <c r="AWU143" s="4"/>
      <c r="AWV143" s="4"/>
      <c r="AWW143" s="4"/>
      <c r="AWX143" s="4"/>
      <c r="AWY143" s="4"/>
      <c r="AWZ143" s="4"/>
      <c r="AXA143" s="4"/>
      <c r="AXB143" s="4"/>
      <c r="AXC143" s="4"/>
      <c r="AXD143" s="4"/>
      <c r="AXE143" s="4"/>
      <c r="AXF143" s="4"/>
      <c r="AXG143" s="4"/>
      <c r="AXH143" s="4"/>
      <c r="AXI143" s="4"/>
      <c r="AXJ143" s="4"/>
      <c r="AXK143" s="4"/>
      <c r="AXL143" s="4"/>
      <c r="AXM143" s="4"/>
      <c r="AXN143" s="4"/>
      <c r="AXO143" s="4"/>
      <c r="AXP143" s="4"/>
      <c r="AXQ143" s="4"/>
      <c r="AXR143" s="4"/>
      <c r="AXS143" s="4"/>
      <c r="AXT143" s="4"/>
      <c r="AXU143" s="4"/>
      <c r="AXV143" s="4"/>
      <c r="AXW143" s="4"/>
      <c r="AXX143" s="4"/>
      <c r="AXY143" s="4"/>
      <c r="AXZ143" s="4"/>
      <c r="AYA143" s="4"/>
      <c r="AYB143" s="4"/>
      <c r="AYC143" s="4"/>
      <c r="AYD143" s="4"/>
      <c r="AYE143" s="4"/>
      <c r="AYF143" s="4"/>
      <c r="AYG143" s="4"/>
      <c r="AYH143" s="4"/>
      <c r="AYI143" s="4"/>
      <c r="AYJ143" s="4"/>
      <c r="AYK143" s="4"/>
      <c r="AYL143" s="4"/>
      <c r="AYM143" s="4"/>
      <c r="AYN143" s="4"/>
      <c r="AYO143" s="4"/>
      <c r="AYP143" s="4"/>
      <c r="AYQ143" s="4"/>
      <c r="AYR143" s="4"/>
      <c r="AYS143" s="4"/>
      <c r="AYT143" s="4"/>
      <c r="AYU143" s="4"/>
      <c r="AYV143" s="4"/>
      <c r="AYW143" s="4"/>
      <c r="AYX143" s="4"/>
      <c r="AYY143" s="4"/>
      <c r="AYZ143" s="4"/>
      <c r="AZA143" s="4"/>
      <c r="AZB143" s="4"/>
      <c r="AZC143" s="4"/>
      <c r="AZD143" s="4"/>
      <c r="AZE143" s="4"/>
      <c r="AZF143" s="4"/>
      <c r="AZG143" s="4"/>
      <c r="AZH143" s="4"/>
      <c r="AZI143" s="4"/>
      <c r="AZJ143" s="4"/>
      <c r="AZK143" s="4"/>
      <c r="AZL143" s="4"/>
      <c r="AZM143" s="4"/>
      <c r="AZN143" s="4"/>
      <c r="AZO143" s="4"/>
      <c r="AZP143" s="4"/>
      <c r="AZQ143" s="4"/>
      <c r="AZR143" s="4"/>
      <c r="AZS143" s="4"/>
      <c r="AZT143" s="4"/>
      <c r="AZU143" s="4"/>
      <c r="AZV143" s="4"/>
      <c r="AZW143" s="4"/>
      <c r="AZX143" s="4"/>
      <c r="AZY143" s="4"/>
      <c r="AZZ143" s="4"/>
      <c r="BAA143" s="4"/>
      <c r="BAB143" s="4"/>
      <c r="BAC143" s="4"/>
      <c r="BAD143" s="4"/>
      <c r="BAE143" s="4"/>
      <c r="BAF143" s="4"/>
      <c r="BAG143" s="4"/>
      <c r="BAH143" s="4"/>
      <c r="BAI143" s="4"/>
      <c r="BAJ143" s="4"/>
      <c r="BAK143" s="4"/>
      <c r="BAL143" s="4"/>
      <c r="BAM143" s="4"/>
      <c r="BAN143" s="4"/>
      <c r="BAO143" s="4"/>
      <c r="BAP143" s="4"/>
      <c r="BAQ143" s="4"/>
      <c r="BAR143" s="4"/>
      <c r="BAS143" s="4"/>
      <c r="BAT143" s="4"/>
      <c r="BAU143" s="4"/>
      <c r="BAV143" s="4"/>
      <c r="BAW143" s="4"/>
      <c r="BAX143" s="4"/>
      <c r="BAY143" s="4"/>
      <c r="BAZ143" s="4"/>
      <c r="BBA143" s="4"/>
      <c r="BBB143" s="4"/>
      <c r="BBC143" s="4"/>
      <c r="BBD143" s="4"/>
      <c r="BBE143" s="4"/>
      <c r="BBF143" s="4"/>
      <c r="BBG143" s="4"/>
      <c r="BBH143" s="4"/>
      <c r="BBI143" s="4"/>
      <c r="BBJ143" s="4"/>
      <c r="BBK143" s="4"/>
      <c r="BBL143" s="4"/>
      <c r="BBM143" s="4"/>
      <c r="BBN143" s="4"/>
      <c r="BBO143" s="4"/>
      <c r="BBP143" s="4"/>
      <c r="BBQ143" s="4"/>
      <c r="BBR143" s="4"/>
      <c r="BBS143" s="4"/>
      <c r="BBT143" s="4"/>
      <c r="BBU143" s="4"/>
      <c r="BBV143" s="4"/>
      <c r="BBW143" s="4"/>
      <c r="BBX143" s="4"/>
      <c r="BBY143" s="4"/>
      <c r="BBZ143" s="4"/>
      <c r="BCA143" s="4"/>
      <c r="BCB143" s="4"/>
      <c r="BCC143" s="4"/>
      <c r="BCD143" s="4"/>
      <c r="BCE143" s="4"/>
      <c r="BCF143" s="4"/>
      <c r="BCG143" s="4"/>
      <c r="BCH143" s="4"/>
      <c r="BCI143" s="4"/>
      <c r="BCJ143" s="4"/>
      <c r="BCK143" s="4"/>
      <c r="BCL143" s="4"/>
      <c r="BCM143" s="4"/>
      <c r="BCN143" s="4"/>
      <c r="BCO143" s="4"/>
      <c r="BCP143" s="4"/>
      <c r="BCQ143" s="4"/>
      <c r="BCR143" s="4"/>
      <c r="BCS143" s="4"/>
      <c r="BCT143" s="4"/>
      <c r="BCU143" s="4"/>
      <c r="BCV143" s="4"/>
      <c r="BCW143" s="4"/>
      <c r="BCX143" s="4"/>
      <c r="BCY143" s="4"/>
      <c r="BCZ143" s="4"/>
      <c r="BDA143" s="4"/>
      <c r="BDB143" s="4"/>
      <c r="BDC143" s="4"/>
      <c r="BDD143" s="4"/>
      <c r="BDE143" s="4"/>
      <c r="BDF143" s="4"/>
      <c r="BDG143" s="4"/>
      <c r="BDH143" s="4"/>
      <c r="BDI143" s="4"/>
      <c r="BDJ143" s="4"/>
      <c r="BDK143" s="4"/>
      <c r="BDL143" s="4"/>
      <c r="BDM143" s="4"/>
      <c r="BDN143" s="4"/>
      <c r="BDO143" s="4"/>
      <c r="BDP143" s="4"/>
      <c r="BDQ143" s="4"/>
      <c r="BDR143" s="4"/>
      <c r="BDS143" s="4"/>
      <c r="BDT143" s="4"/>
      <c r="BDU143" s="4"/>
      <c r="BDV143" s="4"/>
      <c r="BDW143" s="4"/>
      <c r="BDX143" s="4"/>
      <c r="BDY143" s="4"/>
      <c r="BDZ143" s="4"/>
      <c r="BEA143" s="4"/>
      <c r="BEB143" s="4"/>
      <c r="BEC143" s="4"/>
      <c r="BED143" s="4"/>
      <c r="BEE143" s="4"/>
      <c r="BEF143" s="4"/>
      <c r="BEG143" s="4"/>
      <c r="BEH143" s="4"/>
      <c r="BEI143" s="4"/>
      <c r="BEJ143" s="4"/>
      <c r="BEK143" s="4"/>
      <c r="BEL143" s="4"/>
      <c r="BEM143" s="4"/>
      <c r="BEN143" s="4"/>
      <c r="BEO143" s="4"/>
      <c r="BEP143" s="4"/>
      <c r="BEQ143" s="4"/>
      <c r="BER143" s="4"/>
      <c r="BES143" s="4"/>
      <c r="BET143" s="4"/>
      <c r="BEU143" s="4"/>
      <c r="BEV143" s="4"/>
      <c r="BEW143" s="4"/>
      <c r="BEX143" s="4"/>
      <c r="BEY143" s="4"/>
      <c r="BEZ143" s="4"/>
      <c r="BFA143" s="4"/>
      <c r="BFB143" s="4"/>
      <c r="BFC143" s="4"/>
      <c r="BFD143" s="4"/>
      <c r="BFE143" s="4"/>
      <c r="BFF143" s="4"/>
      <c r="BFG143" s="4"/>
      <c r="BFH143" s="4"/>
      <c r="BFI143" s="4"/>
      <c r="BFJ143" s="4"/>
      <c r="BFK143" s="4"/>
      <c r="BFL143" s="4"/>
      <c r="BFM143" s="4"/>
      <c r="BFN143" s="4"/>
      <c r="BFO143" s="4"/>
      <c r="BFP143" s="4"/>
      <c r="BFQ143" s="4"/>
      <c r="BFR143" s="4"/>
      <c r="BFS143" s="4"/>
      <c r="BFT143" s="4"/>
      <c r="BFU143" s="4"/>
      <c r="BFV143" s="4"/>
      <c r="BFW143" s="4"/>
      <c r="BFX143" s="4"/>
      <c r="BFY143" s="4"/>
      <c r="BFZ143" s="4"/>
      <c r="BGA143" s="4"/>
      <c r="BGB143" s="4"/>
      <c r="BGC143" s="4"/>
      <c r="BGD143" s="4"/>
      <c r="BGE143" s="4"/>
      <c r="BGF143" s="4"/>
      <c r="BGG143" s="4"/>
      <c r="BGH143" s="4"/>
      <c r="BGI143" s="4"/>
      <c r="BGJ143" s="4"/>
      <c r="BGK143" s="4"/>
      <c r="BGL143" s="4"/>
      <c r="BGM143" s="4"/>
      <c r="BGN143" s="4"/>
      <c r="BGO143" s="4"/>
      <c r="BGP143" s="4"/>
      <c r="BGQ143" s="4"/>
      <c r="BGR143" s="4"/>
      <c r="BGS143" s="4"/>
      <c r="BGT143" s="4"/>
      <c r="BGU143" s="4"/>
      <c r="BGV143" s="4"/>
      <c r="BGW143" s="4"/>
      <c r="BGX143" s="4"/>
      <c r="BGY143" s="4"/>
      <c r="BGZ143" s="4"/>
      <c r="BHA143" s="4"/>
      <c r="BHB143" s="4"/>
      <c r="BHC143" s="4"/>
      <c r="BHD143" s="4"/>
      <c r="BHE143" s="4"/>
      <c r="BHF143" s="4"/>
      <c r="BHG143" s="4"/>
      <c r="BHH143" s="4"/>
      <c r="BHI143" s="4"/>
      <c r="BHJ143" s="4"/>
      <c r="BHK143" s="4"/>
      <c r="BHL143" s="4"/>
      <c r="BHM143" s="4"/>
      <c r="BHN143" s="4"/>
      <c r="BHO143" s="4"/>
      <c r="BHP143" s="4"/>
      <c r="BHQ143" s="4"/>
      <c r="BHR143" s="4"/>
      <c r="BHS143" s="4"/>
      <c r="BHT143" s="4"/>
      <c r="BHU143" s="4"/>
      <c r="BHV143" s="4"/>
      <c r="BHW143" s="4"/>
      <c r="BHX143" s="4"/>
      <c r="BHY143" s="4"/>
      <c r="BHZ143" s="4"/>
      <c r="BIA143" s="4"/>
      <c r="BIB143" s="4"/>
      <c r="BIC143" s="4"/>
      <c r="BID143" s="4"/>
      <c r="BIE143" s="4"/>
      <c r="BIF143" s="4"/>
      <c r="BIG143" s="4"/>
      <c r="BIH143" s="4"/>
      <c r="BII143" s="4"/>
      <c r="BIJ143" s="4"/>
      <c r="BIK143" s="4"/>
      <c r="BIL143" s="4"/>
      <c r="BIM143" s="4"/>
      <c r="BIN143" s="4"/>
      <c r="BIO143" s="4"/>
      <c r="BIP143" s="4"/>
      <c r="BIQ143" s="4"/>
      <c r="BIR143" s="4"/>
      <c r="BIS143" s="4"/>
      <c r="BIT143" s="4"/>
      <c r="BIU143" s="4"/>
      <c r="BIV143" s="4"/>
      <c r="BIW143" s="4"/>
      <c r="BIX143" s="4"/>
      <c r="BIY143" s="4"/>
      <c r="BIZ143" s="4"/>
      <c r="BJA143" s="4"/>
      <c r="BJB143" s="4"/>
      <c r="BJC143" s="4"/>
      <c r="BJD143" s="4"/>
      <c r="BJE143" s="4"/>
      <c r="BJF143" s="4"/>
      <c r="BJG143" s="4"/>
      <c r="BJH143" s="4"/>
      <c r="BJI143" s="4"/>
      <c r="BJJ143" s="4"/>
      <c r="BJK143" s="4"/>
      <c r="BJL143" s="4"/>
      <c r="BJM143" s="4"/>
      <c r="BJN143" s="4"/>
      <c r="BJO143" s="4"/>
      <c r="BJP143" s="4"/>
      <c r="BJQ143" s="4"/>
      <c r="BJR143" s="4"/>
      <c r="BJS143" s="4"/>
      <c r="BJT143" s="4"/>
      <c r="BJU143" s="4"/>
      <c r="BJV143" s="4"/>
      <c r="BJW143" s="4"/>
      <c r="BJX143" s="4"/>
      <c r="BJY143" s="4"/>
      <c r="BJZ143" s="4"/>
      <c r="BKA143" s="4"/>
      <c r="BKB143" s="4"/>
      <c r="BKC143" s="4"/>
      <c r="BKD143" s="4"/>
      <c r="BKE143" s="4"/>
      <c r="BKF143" s="4"/>
      <c r="BKG143" s="4"/>
      <c r="BKH143" s="4"/>
      <c r="BKI143" s="4"/>
      <c r="BKJ143" s="4"/>
      <c r="BKK143" s="4"/>
      <c r="BKL143" s="4"/>
      <c r="BKM143" s="4"/>
      <c r="BKN143" s="4"/>
      <c r="BKO143" s="4"/>
      <c r="BKP143" s="4"/>
      <c r="BKQ143" s="4"/>
      <c r="BKR143" s="4"/>
      <c r="BKS143" s="4"/>
      <c r="BKT143" s="4"/>
      <c r="BKU143" s="4"/>
      <c r="BKV143" s="4"/>
      <c r="BKW143" s="4"/>
      <c r="BKX143" s="4"/>
      <c r="BKY143" s="4"/>
      <c r="BKZ143" s="4"/>
      <c r="BLA143" s="4"/>
      <c r="BLB143" s="4"/>
      <c r="BLC143" s="4"/>
      <c r="BLD143" s="4"/>
      <c r="BLE143" s="4"/>
      <c r="BLF143" s="4"/>
      <c r="BLG143" s="4"/>
      <c r="BLH143" s="4"/>
      <c r="BLI143" s="4"/>
      <c r="BLJ143" s="4"/>
      <c r="BLK143" s="4"/>
      <c r="BLL143" s="4"/>
      <c r="BLM143" s="4"/>
      <c r="BLN143" s="4"/>
      <c r="BLO143" s="4"/>
      <c r="BLP143" s="4"/>
      <c r="BLQ143" s="4"/>
      <c r="BLR143" s="4"/>
      <c r="BLS143" s="4"/>
      <c r="BLT143" s="4"/>
      <c r="BLU143" s="4"/>
      <c r="BLV143" s="4"/>
      <c r="BLW143" s="4"/>
      <c r="BLX143" s="4"/>
      <c r="BLY143" s="4"/>
      <c r="BLZ143" s="4"/>
      <c r="BMA143" s="4"/>
      <c r="BMB143" s="4"/>
      <c r="BMC143" s="4"/>
      <c r="BMD143" s="4"/>
      <c r="BME143" s="4"/>
      <c r="BMF143" s="4"/>
      <c r="BMG143" s="4"/>
      <c r="BMH143" s="4"/>
      <c r="BMI143" s="4"/>
      <c r="BMJ143" s="4"/>
      <c r="BMK143" s="4"/>
      <c r="BML143" s="4"/>
      <c r="BMM143" s="4"/>
      <c r="BMN143" s="4"/>
      <c r="BMO143" s="4"/>
      <c r="BMP143" s="4"/>
      <c r="BMQ143" s="4"/>
      <c r="BMR143" s="4"/>
      <c r="BMS143" s="4"/>
      <c r="BMT143" s="4"/>
      <c r="BMU143" s="4"/>
      <c r="BMV143" s="4"/>
      <c r="BMW143" s="4"/>
      <c r="BMX143" s="4"/>
      <c r="BMY143" s="4"/>
      <c r="BMZ143" s="4"/>
      <c r="BNA143" s="4"/>
      <c r="BNB143" s="4"/>
      <c r="BNC143" s="4"/>
      <c r="BND143" s="4"/>
      <c r="BNE143" s="4"/>
      <c r="BNF143" s="4"/>
      <c r="BNG143" s="4"/>
      <c r="BNH143" s="4"/>
      <c r="BNI143" s="4"/>
      <c r="BNJ143" s="4"/>
      <c r="BNK143" s="4"/>
      <c r="BNL143" s="4"/>
      <c r="BNM143" s="4"/>
      <c r="BNN143" s="4"/>
      <c r="BNO143" s="4"/>
      <c r="BNP143" s="4"/>
      <c r="BNQ143" s="4"/>
      <c r="BNR143" s="4"/>
      <c r="BNS143" s="4"/>
      <c r="BNT143" s="4"/>
      <c r="BNU143" s="4"/>
      <c r="BNV143" s="4"/>
      <c r="BNW143" s="4"/>
      <c r="BNX143" s="4"/>
      <c r="BNY143" s="4"/>
      <c r="BNZ143" s="4"/>
      <c r="BOA143" s="4"/>
      <c r="BOB143" s="4"/>
      <c r="BOC143" s="4"/>
      <c r="BOD143" s="4"/>
      <c r="BOE143" s="4"/>
      <c r="BOF143" s="4"/>
      <c r="BOG143" s="4"/>
      <c r="BOH143" s="4"/>
      <c r="BOI143" s="4"/>
      <c r="BOJ143" s="4"/>
      <c r="BOK143" s="4"/>
      <c r="BOL143" s="4"/>
      <c r="BOM143" s="4"/>
      <c r="BON143" s="4"/>
      <c r="BOO143" s="4"/>
      <c r="BOP143" s="4"/>
      <c r="BOQ143" s="4"/>
      <c r="BOR143" s="4"/>
      <c r="BOS143" s="4"/>
      <c r="BOT143" s="4"/>
      <c r="BOU143" s="4"/>
      <c r="BOV143" s="4"/>
      <c r="BOW143" s="4"/>
      <c r="BOX143" s="4"/>
      <c r="BOY143" s="4"/>
      <c r="BOZ143" s="4"/>
      <c r="BPA143" s="4"/>
      <c r="BPB143" s="4"/>
      <c r="BPC143" s="4"/>
      <c r="BPD143" s="4"/>
      <c r="BPE143" s="4"/>
      <c r="BPF143" s="4"/>
      <c r="BPG143" s="4"/>
      <c r="BPH143" s="4"/>
      <c r="BPI143" s="4"/>
      <c r="BPJ143" s="4"/>
      <c r="BPK143" s="4"/>
      <c r="BPL143" s="4"/>
      <c r="BPM143" s="4"/>
      <c r="BPN143" s="4"/>
      <c r="BPO143" s="4"/>
      <c r="BPP143" s="4"/>
      <c r="BPQ143" s="4"/>
      <c r="BPR143" s="4"/>
      <c r="BPS143" s="4"/>
      <c r="BPT143" s="4"/>
      <c r="BPU143" s="4"/>
      <c r="BPV143" s="4"/>
      <c r="BPW143" s="4"/>
      <c r="BPX143" s="4"/>
      <c r="BPY143" s="4"/>
      <c r="BPZ143" s="4"/>
      <c r="BQA143" s="4"/>
      <c r="BQB143" s="4"/>
      <c r="BQC143" s="4"/>
      <c r="BQD143" s="4"/>
      <c r="BQE143" s="4"/>
      <c r="BQF143" s="4"/>
      <c r="BQG143" s="4"/>
      <c r="BQH143" s="4"/>
      <c r="BQI143" s="4"/>
      <c r="BQJ143" s="4"/>
      <c r="BQK143" s="4"/>
      <c r="BQL143" s="4"/>
      <c r="BQM143" s="4"/>
      <c r="BQN143" s="4"/>
      <c r="BQO143" s="4"/>
      <c r="BQP143" s="4"/>
      <c r="BQQ143" s="4"/>
      <c r="BQR143" s="4"/>
      <c r="BQS143" s="4"/>
      <c r="BQT143" s="4"/>
      <c r="BQU143" s="4"/>
      <c r="BQV143" s="4"/>
      <c r="BQW143" s="4"/>
      <c r="BQX143" s="4"/>
      <c r="BQY143" s="4"/>
      <c r="BQZ143" s="4"/>
      <c r="BRA143" s="4"/>
      <c r="BRB143" s="4"/>
      <c r="BRC143" s="4"/>
      <c r="BRD143" s="4"/>
      <c r="BRE143" s="4"/>
      <c r="BRF143" s="4"/>
      <c r="BRG143" s="4"/>
      <c r="BRH143" s="4"/>
      <c r="BRI143" s="4"/>
      <c r="BRJ143" s="4"/>
      <c r="BRK143" s="4"/>
      <c r="BRL143" s="4"/>
      <c r="BRM143" s="4"/>
      <c r="BRN143" s="4"/>
      <c r="BRO143" s="4"/>
      <c r="BRP143" s="4"/>
      <c r="BRQ143" s="4"/>
      <c r="BRR143" s="4"/>
      <c r="BRS143" s="4"/>
      <c r="BRT143" s="4"/>
      <c r="BRU143" s="4"/>
      <c r="BRV143" s="4"/>
      <c r="BRW143" s="4"/>
      <c r="BRX143" s="4"/>
      <c r="BRY143" s="4"/>
      <c r="BRZ143" s="4"/>
      <c r="BSA143" s="4"/>
      <c r="BSB143" s="4"/>
      <c r="BSC143" s="4"/>
      <c r="BSD143" s="4"/>
      <c r="BSE143" s="4"/>
      <c r="BSF143" s="4"/>
      <c r="BSG143" s="4"/>
      <c r="BSH143" s="4"/>
      <c r="BSI143" s="4"/>
      <c r="BSJ143" s="4"/>
      <c r="BSK143" s="4"/>
      <c r="BSL143" s="4"/>
      <c r="BSM143" s="4"/>
      <c r="BSN143" s="4"/>
      <c r="BSO143" s="4"/>
      <c r="BSP143" s="4"/>
      <c r="BSQ143" s="4"/>
      <c r="BSR143" s="4"/>
      <c r="BSS143" s="4"/>
      <c r="BST143" s="4"/>
      <c r="BSU143" s="4"/>
      <c r="BSV143" s="4"/>
      <c r="BSW143" s="4"/>
      <c r="BSX143" s="4"/>
      <c r="BSY143" s="4"/>
      <c r="BSZ143" s="4"/>
      <c r="BTA143" s="4"/>
      <c r="BTB143" s="4"/>
      <c r="BTC143" s="4"/>
      <c r="BTD143" s="4"/>
      <c r="BTE143" s="4"/>
      <c r="BTF143" s="4"/>
      <c r="BTG143" s="4"/>
      <c r="BTH143" s="4"/>
      <c r="BTI143" s="4"/>
      <c r="BTJ143" s="4"/>
      <c r="BTK143" s="4"/>
      <c r="BTL143" s="4"/>
      <c r="BTM143" s="4"/>
      <c r="BTN143" s="4"/>
      <c r="BTO143" s="4"/>
      <c r="BTP143" s="4"/>
      <c r="BTQ143" s="4"/>
      <c r="BTR143" s="4"/>
      <c r="BTS143" s="4"/>
      <c r="BTT143" s="4"/>
      <c r="BTU143" s="4"/>
      <c r="BTV143" s="4"/>
      <c r="BTW143" s="4"/>
      <c r="BTX143" s="4"/>
      <c r="BTY143" s="4"/>
      <c r="BTZ143" s="4"/>
      <c r="BUA143" s="4"/>
      <c r="BUB143" s="4"/>
      <c r="BUC143" s="4"/>
      <c r="BUD143" s="4"/>
      <c r="BUE143" s="4"/>
      <c r="BUF143" s="4"/>
      <c r="BUG143" s="4"/>
      <c r="BUH143" s="4"/>
      <c r="BUI143" s="4"/>
      <c r="BUJ143" s="4"/>
      <c r="BUK143" s="4"/>
      <c r="BUL143" s="4"/>
      <c r="BUM143" s="4"/>
      <c r="BUN143" s="4"/>
      <c r="BUO143" s="4"/>
      <c r="BUP143" s="4"/>
      <c r="BUQ143" s="4"/>
      <c r="BUR143" s="4"/>
      <c r="BUS143" s="4"/>
      <c r="BUT143" s="4"/>
      <c r="BUU143" s="4"/>
      <c r="BUV143" s="4"/>
      <c r="BUW143" s="4"/>
      <c r="BUX143" s="4"/>
      <c r="BUY143" s="4"/>
      <c r="BUZ143" s="4"/>
      <c r="BVA143" s="4"/>
      <c r="BVB143" s="4"/>
      <c r="BVC143" s="4"/>
      <c r="BVD143" s="4"/>
      <c r="BVE143" s="4"/>
      <c r="BVF143" s="4"/>
      <c r="BVG143" s="4"/>
      <c r="BVH143" s="4"/>
      <c r="BVI143" s="4"/>
      <c r="BVJ143" s="4"/>
      <c r="BVK143" s="4"/>
      <c r="BVL143" s="4"/>
      <c r="BVM143" s="4"/>
      <c r="BVN143" s="4"/>
      <c r="BVO143" s="4"/>
      <c r="BVP143" s="4"/>
      <c r="BVQ143" s="4"/>
      <c r="BVR143" s="4"/>
      <c r="BVS143" s="4"/>
      <c r="BVT143" s="4"/>
      <c r="BVU143" s="4"/>
      <c r="BVV143" s="4"/>
      <c r="BVW143" s="4"/>
      <c r="BVX143" s="4"/>
      <c r="BVY143" s="4"/>
      <c r="BVZ143" s="4"/>
      <c r="BWA143" s="4"/>
      <c r="BWB143" s="4"/>
      <c r="BWC143" s="4"/>
      <c r="BWD143" s="4"/>
      <c r="BWE143" s="4"/>
      <c r="BWF143" s="4"/>
      <c r="BWG143" s="4"/>
      <c r="BWH143" s="4"/>
      <c r="BWI143" s="4"/>
      <c r="BWJ143" s="4"/>
      <c r="BWK143" s="4"/>
      <c r="BWL143" s="4"/>
      <c r="BWM143" s="4"/>
      <c r="BWN143" s="4"/>
      <c r="BWO143" s="4"/>
      <c r="BWP143" s="4"/>
      <c r="BWQ143" s="4"/>
      <c r="BWR143" s="4"/>
      <c r="BWS143" s="4"/>
      <c r="BWT143" s="4"/>
      <c r="BWU143" s="4"/>
      <c r="BWV143" s="4"/>
      <c r="BWW143" s="4"/>
      <c r="BWX143" s="4"/>
      <c r="BWY143" s="4"/>
      <c r="BWZ143" s="4"/>
      <c r="BXA143" s="4"/>
      <c r="BXB143" s="4"/>
      <c r="BXC143" s="4"/>
      <c r="BXD143" s="4"/>
      <c r="BXE143" s="4"/>
      <c r="BXF143" s="4"/>
      <c r="BXG143" s="4"/>
      <c r="BXH143" s="4"/>
      <c r="BXI143" s="4"/>
      <c r="BXJ143" s="4"/>
      <c r="BXK143" s="4"/>
      <c r="BXL143" s="4"/>
      <c r="BXM143" s="4"/>
      <c r="BXN143" s="4"/>
      <c r="BXO143" s="4"/>
      <c r="BXP143" s="4"/>
      <c r="BXQ143" s="4"/>
      <c r="BXR143" s="4"/>
      <c r="BXS143" s="4"/>
      <c r="BXT143" s="4"/>
      <c r="BXU143" s="4"/>
      <c r="BXV143" s="4"/>
      <c r="BXW143" s="4"/>
      <c r="BXX143" s="4"/>
      <c r="BXY143" s="4"/>
      <c r="BXZ143" s="4"/>
      <c r="BYA143" s="4"/>
      <c r="BYB143" s="4"/>
      <c r="BYC143" s="4"/>
      <c r="BYD143" s="4"/>
      <c r="BYE143" s="4"/>
      <c r="BYF143" s="4"/>
      <c r="BYG143" s="4"/>
      <c r="BYH143" s="4"/>
      <c r="BYI143" s="4"/>
      <c r="BYJ143" s="4"/>
      <c r="BYK143" s="4"/>
      <c r="BYL143" s="4"/>
      <c r="BYM143" s="4"/>
      <c r="BYN143" s="4"/>
      <c r="BYO143" s="4"/>
      <c r="BYP143" s="4"/>
      <c r="BYQ143" s="4"/>
      <c r="BYR143" s="4"/>
      <c r="BYS143" s="4"/>
      <c r="BYT143" s="4"/>
      <c r="BYU143" s="4"/>
      <c r="BYV143" s="4"/>
      <c r="BYW143" s="4"/>
      <c r="BYX143" s="4"/>
      <c r="BYY143" s="4"/>
      <c r="BYZ143" s="4"/>
      <c r="BZA143" s="4"/>
      <c r="BZB143" s="4"/>
      <c r="BZC143" s="4"/>
      <c r="BZD143" s="4"/>
      <c r="BZE143" s="4"/>
      <c r="BZF143" s="4"/>
      <c r="BZG143" s="4"/>
      <c r="BZH143" s="4"/>
      <c r="BZI143" s="4"/>
      <c r="BZJ143" s="4"/>
      <c r="BZK143" s="4"/>
      <c r="BZL143" s="4"/>
      <c r="BZM143" s="4"/>
      <c r="BZN143" s="4"/>
      <c r="BZO143" s="4"/>
      <c r="BZP143" s="4"/>
      <c r="BZQ143" s="4"/>
      <c r="BZR143" s="4"/>
      <c r="BZS143" s="4"/>
      <c r="BZT143" s="4"/>
      <c r="BZU143" s="4"/>
      <c r="BZV143" s="4"/>
      <c r="BZW143" s="4"/>
      <c r="BZX143" s="4"/>
      <c r="BZY143" s="4"/>
      <c r="BZZ143" s="4"/>
      <c r="CAA143" s="4"/>
      <c r="CAB143" s="4"/>
      <c r="CAC143" s="4"/>
      <c r="CAD143" s="4"/>
      <c r="CAE143" s="4"/>
      <c r="CAF143" s="4"/>
      <c r="CAG143" s="4"/>
      <c r="CAH143" s="4"/>
      <c r="CAI143" s="4"/>
      <c r="CAJ143" s="4"/>
      <c r="CAK143" s="4"/>
      <c r="CAL143" s="4"/>
      <c r="CAM143" s="4"/>
      <c r="CAN143" s="4"/>
      <c r="CAO143" s="4"/>
      <c r="CAP143" s="4"/>
      <c r="CAQ143" s="4"/>
      <c r="CAR143" s="4"/>
      <c r="CAS143" s="4"/>
      <c r="CAT143" s="4"/>
      <c r="CAU143" s="4"/>
      <c r="CAV143" s="4"/>
      <c r="CAW143" s="4"/>
      <c r="CAX143" s="4"/>
      <c r="CAY143" s="4"/>
      <c r="CAZ143" s="4"/>
      <c r="CBA143" s="4"/>
      <c r="CBB143" s="4"/>
      <c r="CBC143" s="4"/>
      <c r="CBD143" s="4"/>
      <c r="CBE143" s="4"/>
      <c r="CBF143" s="4"/>
      <c r="CBG143" s="4"/>
      <c r="CBH143" s="4"/>
      <c r="CBI143" s="4"/>
      <c r="CBJ143" s="4"/>
      <c r="CBK143" s="4"/>
      <c r="CBL143" s="4"/>
      <c r="CBM143" s="4"/>
      <c r="CBN143" s="4"/>
      <c r="CBO143" s="4"/>
      <c r="CBP143" s="4"/>
      <c r="CBQ143" s="4"/>
      <c r="CBR143" s="4"/>
      <c r="CBS143" s="4"/>
      <c r="CBT143" s="4"/>
      <c r="CBU143" s="4"/>
      <c r="CBV143" s="4"/>
      <c r="CBW143" s="4"/>
      <c r="CBX143" s="4"/>
      <c r="CBY143" s="4"/>
      <c r="CBZ143" s="4"/>
      <c r="CCA143" s="4"/>
      <c r="CCB143" s="4"/>
      <c r="CCC143" s="4"/>
      <c r="CCD143" s="4"/>
      <c r="CCE143" s="4"/>
      <c r="CCF143" s="4"/>
      <c r="CCG143" s="4"/>
      <c r="CCH143" s="4"/>
      <c r="CCI143" s="4"/>
      <c r="CCJ143" s="4"/>
      <c r="CCK143" s="4"/>
      <c r="CCL143" s="4"/>
      <c r="CCM143" s="4"/>
      <c r="CCN143" s="4"/>
      <c r="CCO143" s="4"/>
      <c r="CCP143" s="4"/>
      <c r="CCQ143" s="4"/>
      <c r="CCR143" s="4"/>
      <c r="CCS143" s="4"/>
      <c r="CCT143" s="4"/>
      <c r="CCU143" s="4"/>
      <c r="CCV143" s="4"/>
      <c r="CCW143" s="4"/>
      <c r="CCX143" s="4"/>
      <c r="CCY143" s="4"/>
      <c r="CCZ143" s="4"/>
      <c r="CDA143" s="4"/>
      <c r="CDB143" s="4"/>
      <c r="CDC143" s="4"/>
      <c r="CDD143" s="4"/>
      <c r="CDE143" s="4"/>
      <c r="CDF143" s="4"/>
      <c r="CDG143" s="4"/>
      <c r="CDH143" s="4"/>
      <c r="CDI143" s="4"/>
      <c r="CDJ143" s="4"/>
      <c r="CDK143" s="4"/>
      <c r="CDL143" s="4"/>
      <c r="CDM143" s="4"/>
      <c r="CDN143" s="4"/>
      <c r="CDO143" s="4"/>
      <c r="CDP143" s="4"/>
      <c r="CDQ143" s="4"/>
      <c r="CDR143" s="4"/>
      <c r="CDS143" s="4"/>
      <c r="CDT143" s="4"/>
      <c r="CDU143" s="4"/>
      <c r="CDV143" s="4"/>
      <c r="CDW143" s="4"/>
      <c r="CDX143" s="4"/>
      <c r="CDY143" s="4"/>
      <c r="CDZ143" s="4"/>
      <c r="CEA143" s="4"/>
      <c r="CEB143" s="4"/>
      <c r="CEC143" s="4"/>
      <c r="CED143" s="4"/>
      <c r="CEE143" s="4"/>
      <c r="CEF143" s="4"/>
      <c r="CEG143" s="4"/>
      <c r="CEH143" s="4"/>
      <c r="CEI143" s="4"/>
      <c r="CEJ143" s="4"/>
      <c r="CEK143" s="4"/>
      <c r="CEL143" s="4"/>
      <c r="CEM143" s="4"/>
      <c r="CEN143" s="4"/>
      <c r="CEO143" s="4"/>
      <c r="CEP143" s="4"/>
      <c r="CEQ143" s="4"/>
      <c r="CER143" s="4"/>
      <c r="CES143" s="4"/>
      <c r="CET143" s="4"/>
      <c r="CEU143" s="4"/>
      <c r="CEV143" s="4"/>
      <c r="CEW143" s="4"/>
      <c r="CEX143" s="4"/>
      <c r="CEY143" s="4"/>
      <c r="CEZ143" s="4"/>
      <c r="CFA143" s="4"/>
      <c r="CFB143" s="4"/>
      <c r="CFC143" s="4"/>
      <c r="CFD143" s="4"/>
      <c r="CFE143" s="4"/>
      <c r="CFF143" s="4"/>
      <c r="CFG143" s="4"/>
      <c r="CFH143" s="4"/>
      <c r="CFI143" s="4"/>
      <c r="CFJ143" s="4"/>
      <c r="CFK143" s="4"/>
      <c r="CFL143" s="4"/>
      <c r="CFM143" s="4"/>
      <c r="CFN143" s="4"/>
      <c r="CFO143" s="4"/>
      <c r="CFP143" s="4"/>
      <c r="CFQ143" s="4"/>
      <c r="CFR143" s="4"/>
      <c r="CFS143" s="4"/>
      <c r="CFT143" s="4"/>
      <c r="CFU143" s="4"/>
      <c r="CFV143" s="4"/>
      <c r="CFW143" s="4"/>
      <c r="CFX143" s="4"/>
      <c r="CFY143" s="4"/>
      <c r="CFZ143" s="4"/>
      <c r="CGA143" s="4"/>
      <c r="CGB143" s="4"/>
      <c r="CGC143" s="4"/>
      <c r="CGD143" s="4"/>
      <c r="CGE143" s="4"/>
      <c r="CGF143" s="4"/>
      <c r="CGG143" s="4"/>
      <c r="CGH143" s="4"/>
      <c r="CGI143" s="4"/>
      <c r="CGJ143" s="4"/>
      <c r="CGK143" s="4"/>
      <c r="CGL143" s="4"/>
      <c r="CGM143" s="4"/>
      <c r="CGN143" s="4"/>
      <c r="CGO143" s="4"/>
      <c r="CGP143" s="4"/>
      <c r="CGQ143" s="4"/>
      <c r="CGR143" s="4"/>
      <c r="CGS143" s="4"/>
      <c r="CGT143" s="4"/>
      <c r="CGU143" s="4"/>
      <c r="CGV143" s="4"/>
      <c r="CGW143" s="4"/>
      <c r="CGX143" s="4"/>
      <c r="CGY143" s="4"/>
      <c r="CGZ143" s="4"/>
      <c r="CHA143" s="4"/>
      <c r="CHB143" s="4"/>
      <c r="CHC143" s="4"/>
      <c r="CHD143" s="4"/>
      <c r="CHE143" s="4"/>
      <c r="CHF143" s="4"/>
      <c r="CHG143" s="4"/>
      <c r="CHH143" s="4"/>
      <c r="CHI143" s="4"/>
      <c r="CHJ143" s="4"/>
      <c r="CHK143" s="4"/>
      <c r="CHL143" s="4"/>
      <c r="CHM143" s="4"/>
      <c r="CHN143" s="4"/>
      <c r="CHO143" s="4"/>
      <c r="CHP143" s="4"/>
      <c r="CHQ143" s="4"/>
      <c r="CHR143" s="4"/>
      <c r="CHS143" s="4"/>
      <c r="CHT143" s="4"/>
      <c r="CHU143" s="4"/>
      <c r="CHV143" s="4"/>
      <c r="CHW143" s="4"/>
      <c r="CHX143" s="4"/>
      <c r="CHY143" s="4"/>
      <c r="CHZ143" s="4"/>
      <c r="CIA143" s="4"/>
      <c r="CIB143" s="4"/>
      <c r="CIC143" s="4"/>
      <c r="CID143" s="4"/>
      <c r="CIE143" s="4"/>
      <c r="CIF143" s="4"/>
      <c r="CIG143" s="4"/>
      <c r="CIH143" s="4"/>
      <c r="CII143" s="4"/>
      <c r="CIJ143" s="4"/>
      <c r="CIK143" s="4"/>
      <c r="CIL143" s="4"/>
      <c r="CIM143" s="4"/>
      <c r="CIN143" s="4"/>
      <c r="CIO143" s="4"/>
      <c r="CIP143" s="4"/>
      <c r="CIQ143" s="4"/>
      <c r="CIR143" s="4"/>
      <c r="CIS143" s="4"/>
      <c r="CIT143" s="4"/>
      <c r="CIU143" s="4"/>
      <c r="CIV143" s="4"/>
      <c r="CIW143" s="4"/>
      <c r="CIX143" s="4"/>
      <c r="CIY143" s="4"/>
      <c r="CIZ143" s="4"/>
      <c r="CJA143" s="4"/>
      <c r="CJB143" s="4"/>
      <c r="CJC143" s="4"/>
      <c r="CJD143" s="4"/>
      <c r="CJE143" s="4"/>
      <c r="CJF143" s="4"/>
      <c r="CJG143" s="4"/>
      <c r="CJH143" s="4"/>
      <c r="CJI143" s="4"/>
      <c r="CJJ143" s="4"/>
      <c r="CJK143" s="4"/>
      <c r="CJL143" s="4"/>
      <c r="CJM143" s="4"/>
      <c r="CJN143" s="4"/>
      <c r="CJO143" s="4"/>
      <c r="CJP143" s="4"/>
      <c r="CJQ143" s="4"/>
      <c r="CJR143" s="4"/>
      <c r="CJS143" s="4"/>
      <c r="CJT143" s="4"/>
      <c r="CJU143" s="4"/>
      <c r="CJV143" s="4"/>
      <c r="CJW143" s="4"/>
      <c r="CJX143" s="4"/>
      <c r="CJY143" s="4"/>
      <c r="CJZ143" s="4"/>
      <c r="CKA143" s="4"/>
      <c r="CKB143" s="4"/>
      <c r="CKC143" s="4"/>
      <c r="CKD143" s="4"/>
      <c r="CKE143" s="4"/>
      <c r="CKF143" s="4"/>
      <c r="CKG143" s="4"/>
      <c r="CKH143" s="4"/>
      <c r="CKI143" s="4"/>
      <c r="CKJ143" s="4"/>
      <c r="CKK143" s="4"/>
      <c r="CKL143" s="4"/>
      <c r="CKM143" s="4"/>
      <c r="CKN143" s="4"/>
      <c r="CKO143" s="4"/>
      <c r="CKP143" s="4"/>
      <c r="CKQ143" s="4"/>
      <c r="CKR143" s="4"/>
      <c r="CKS143" s="4"/>
      <c r="CKT143" s="4"/>
      <c r="CKU143" s="4"/>
      <c r="CKV143" s="4"/>
      <c r="CKW143" s="4"/>
      <c r="CKX143" s="4"/>
      <c r="CKY143" s="4"/>
      <c r="CKZ143" s="4"/>
      <c r="CLA143" s="4"/>
      <c r="CLB143" s="4"/>
      <c r="CLC143" s="4"/>
      <c r="CLD143" s="4"/>
      <c r="CLE143" s="4"/>
      <c r="CLF143" s="4"/>
      <c r="CLG143" s="4"/>
      <c r="CLH143" s="4"/>
      <c r="CLI143" s="4"/>
      <c r="CLJ143" s="4"/>
      <c r="CLK143" s="4"/>
      <c r="CLL143" s="4"/>
      <c r="CLM143" s="4"/>
      <c r="CLN143" s="4"/>
      <c r="CLO143" s="4"/>
      <c r="CLP143" s="4"/>
      <c r="CLQ143" s="4"/>
      <c r="CLR143" s="4"/>
      <c r="CLS143" s="4"/>
      <c r="CLT143" s="4"/>
      <c r="CLU143" s="4"/>
      <c r="CLV143" s="4"/>
      <c r="CLW143" s="4"/>
      <c r="CLX143" s="4"/>
      <c r="CLY143" s="4"/>
      <c r="CLZ143" s="4"/>
      <c r="CMA143" s="4"/>
      <c r="CMB143" s="4"/>
      <c r="CMC143" s="4"/>
      <c r="CMD143" s="4"/>
      <c r="CME143" s="4"/>
      <c r="CMF143" s="4"/>
      <c r="CMG143" s="4"/>
      <c r="CMH143" s="4"/>
      <c r="CMI143" s="4"/>
      <c r="CMJ143" s="4"/>
      <c r="CMK143" s="4"/>
      <c r="CML143" s="4"/>
      <c r="CMM143" s="4"/>
      <c r="CMN143" s="4"/>
      <c r="CMO143" s="4"/>
      <c r="CMP143" s="4"/>
      <c r="CMQ143" s="4"/>
      <c r="CMR143" s="4"/>
      <c r="CMS143" s="4"/>
      <c r="CMT143" s="4"/>
      <c r="CMU143" s="4"/>
      <c r="CMV143" s="4"/>
      <c r="CMW143" s="4"/>
      <c r="CMX143" s="4"/>
      <c r="CMY143" s="4"/>
      <c r="CMZ143" s="4"/>
      <c r="CNA143" s="4"/>
      <c r="CNB143" s="4"/>
      <c r="CNC143" s="4"/>
      <c r="CND143" s="4"/>
      <c r="CNE143" s="4"/>
      <c r="CNF143" s="4"/>
      <c r="CNG143" s="4"/>
      <c r="CNH143" s="4"/>
      <c r="CNI143" s="4"/>
      <c r="CNJ143" s="4"/>
      <c r="CNK143" s="4"/>
      <c r="CNL143" s="4"/>
      <c r="CNM143" s="4"/>
      <c r="CNN143" s="4"/>
      <c r="CNO143" s="4"/>
      <c r="CNP143" s="4"/>
      <c r="CNQ143" s="4"/>
      <c r="CNR143" s="4"/>
      <c r="CNS143" s="4"/>
      <c r="CNT143" s="4"/>
      <c r="CNU143" s="4"/>
      <c r="CNV143" s="4"/>
      <c r="CNW143" s="4"/>
      <c r="CNX143" s="4"/>
      <c r="CNY143" s="4"/>
      <c r="CNZ143" s="4"/>
      <c r="COA143" s="4"/>
      <c r="COB143" s="4"/>
      <c r="COC143" s="4"/>
      <c r="COD143" s="4"/>
      <c r="COE143" s="4"/>
      <c r="COF143" s="4"/>
      <c r="COG143" s="4"/>
      <c r="COH143" s="4"/>
      <c r="COI143" s="4"/>
      <c r="COJ143" s="4"/>
      <c r="COK143" s="4"/>
      <c r="COL143" s="4"/>
      <c r="COM143" s="4"/>
      <c r="CON143" s="4"/>
      <c r="COO143" s="4"/>
      <c r="COP143" s="4"/>
      <c r="COQ143" s="4"/>
      <c r="COR143" s="4"/>
      <c r="COS143" s="4"/>
      <c r="COT143" s="4"/>
      <c r="COU143" s="4"/>
      <c r="COV143" s="4"/>
      <c r="COW143" s="4"/>
      <c r="COX143" s="4"/>
      <c r="COY143" s="4"/>
      <c r="COZ143" s="4"/>
      <c r="CPA143" s="4"/>
      <c r="CPB143" s="4"/>
      <c r="CPC143" s="4"/>
      <c r="CPD143" s="4"/>
      <c r="CPE143" s="4"/>
      <c r="CPF143" s="4"/>
      <c r="CPG143" s="4"/>
      <c r="CPH143" s="4"/>
      <c r="CPI143" s="4"/>
      <c r="CPJ143" s="4"/>
      <c r="CPK143" s="4"/>
      <c r="CPL143" s="4"/>
      <c r="CPM143" s="4"/>
      <c r="CPN143" s="4"/>
      <c r="CPO143" s="4"/>
      <c r="CPP143" s="4"/>
      <c r="CPQ143" s="4"/>
      <c r="CPR143" s="4"/>
      <c r="CPS143" s="4"/>
      <c r="CPT143" s="4"/>
      <c r="CPU143" s="4"/>
      <c r="CPV143" s="4"/>
      <c r="CPW143" s="4"/>
      <c r="CPX143" s="4"/>
      <c r="CPY143" s="4"/>
      <c r="CPZ143" s="4"/>
      <c r="CQA143" s="4"/>
      <c r="CQB143" s="4"/>
      <c r="CQC143" s="4"/>
      <c r="CQD143" s="4"/>
      <c r="CQE143" s="4"/>
      <c r="CQF143" s="4"/>
      <c r="CQG143" s="4"/>
      <c r="CQH143" s="4"/>
      <c r="CQI143" s="4"/>
      <c r="CQJ143" s="4"/>
      <c r="CQK143" s="4"/>
      <c r="CQL143" s="4"/>
      <c r="CQM143" s="4"/>
      <c r="CQN143" s="4"/>
      <c r="CQO143" s="4"/>
      <c r="CQP143" s="4"/>
      <c r="CQQ143" s="4"/>
      <c r="CQR143" s="4"/>
      <c r="CQS143" s="4"/>
      <c r="CQT143" s="4"/>
      <c r="CQU143" s="4"/>
      <c r="CQV143" s="4"/>
      <c r="CQW143" s="4"/>
      <c r="CQX143" s="4"/>
      <c r="CQY143" s="4"/>
      <c r="CQZ143" s="4"/>
      <c r="CRA143" s="4"/>
      <c r="CRB143" s="4"/>
      <c r="CRC143" s="4"/>
      <c r="CRD143" s="4"/>
      <c r="CRE143" s="4"/>
      <c r="CRF143" s="4"/>
      <c r="CRG143" s="4"/>
      <c r="CRH143" s="4"/>
      <c r="CRI143" s="4"/>
      <c r="CRJ143" s="4"/>
      <c r="CRK143" s="4"/>
      <c r="CRL143" s="4"/>
      <c r="CRM143" s="4"/>
      <c r="CRN143" s="4"/>
      <c r="CRO143" s="4"/>
      <c r="CRP143" s="4"/>
      <c r="CRQ143" s="4"/>
      <c r="CRR143" s="4"/>
      <c r="CRS143" s="4"/>
      <c r="CRT143" s="4"/>
      <c r="CRU143" s="4"/>
      <c r="CRV143" s="4"/>
      <c r="CRW143" s="4"/>
      <c r="CRX143" s="4"/>
      <c r="CRY143" s="4"/>
      <c r="CRZ143" s="4"/>
      <c r="CSA143" s="4"/>
      <c r="CSB143" s="4"/>
      <c r="CSC143" s="4"/>
      <c r="CSD143" s="4"/>
      <c r="CSE143" s="4"/>
      <c r="CSF143" s="4"/>
      <c r="CSG143" s="4"/>
      <c r="CSH143" s="4"/>
      <c r="CSI143" s="4"/>
      <c r="CSJ143" s="4"/>
      <c r="CSK143" s="4"/>
      <c r="CSL143" s="4"/>
      <c r="CSM143" s="4"/>
      <c r="CSN143" s="4"/>
      <c r="CSO143" s="4"/>
      <c r="CSP143" s="4"/>
      <c r="CSQ143" s="4"/>
      <c r="CSR143" s="4"/>
      <c r="CSS143" s="4"/>
      <c r="CST143" s="4"/>
      <c r="CSU143" s="4"/>
      <c r="CSV143" s="4"/>
      <c r="CSW143" s="4"/>
      <c r="CSX143" s="4"/>
      <c r="CSY143" s="4"/>
      <c r="CSZ143" s="4"/>
      <c r="CTA143" s="4"/>
      <c r="CTB143" s="4"/>
      <c r="CTC143" s="4"/>
      <c r="CTD143" s="4"/>
      <c r="CTE143" s="4"/>
      <c r="CTF143" s="4"/>
      <c r="CTG143" s="4"/>
      <c r="CTH143" s="4"/>
      <c r="CTI143" s="4"/>
      <c r="CTJ143" s="4"/>
      <c r="CTK143" s="4"/>
      <c r="CTL143" s="4"/>
      <c r="CTM143" s="4"/>
      <c r="CTN143" s="4"/>
      <c r="CTO143" s="4"/>
      <c r="CTP143" s="4"/>
      <c r="CTQ143" s="4"/>
      <c r="CTR143" s="4"/>
      <c r="CTS143" s="4"/>
      <c r="CTT143" s="4"/>
      <c r="CTU143" s="4"/>
      <c r="CTV143" s="4"/>
      <c r="CTW143" s="4"/>
      <c r="CTX143" s="4"/>
      <c r="CTY143" s="4"/>
      <c r="CTZ143" s="4"/>
      <c r="CUA143" s="4"/>
      <c r="CUB143" s="4"/>
      <c r="CUC143" s="4"/>
      <c r="CUD143" s="4"/>
      <c r="CUE143" s="4"/>
      <c r="CUF143" s="4"/>
      <c r="CUG143" s="4"/>
      <c r="CUH143" s="4"/>
      <c r="CUI143" s="4"/>
      <c r="CUJ143" s="4"/>
      <c r="CUK143" s="4"/>
      <c r="CUL143" s="4"/>
      <c r="CUM143" s="4"/>
      <c r="CUN143" s="4"/>
      <c r="CUO143" s="4"/>
      <c r="CUP143" s="4"/>
      <c r="CUQ143" s="4"/>
      <c r="CUR143" s="4"/>
      <c r="CUS143" s="4"/>
      <c r="CUT143" s="4"/>
      <c r="CUU143" s="4"/>
      <c r="CUV143" s="4"/>
      <c r="CUW143" s="4"/>
      <c r="CUX143" s="4"/>
      <c r="CUY143" s="4"/>
      <c r="CUZ143" s="4"/>
      <c r="CVA143" s="4"/>
      <c r="CVB143" s="4"/>
      <c r="CVC143" s="4"/>
      <c r="CVD143" s="4"/>
      <c r="CVE143" s="4"/>
      <c r="CVF143" s="4"/>
      <c r="CVG143" s="4"/>
      <c r="CVH143" s="4"/>
      <c r="CVI143" s="4"/>
      <c r="CVJ143" s="4"/>
      <c r="CVK143" s="4"/>
      <c r="CVL143" s="4"/>
      <c r="CVM143" s="4"/>
      <c r="CVN143" s="4"/>
      <c r="CVO143" s="4"/>
      <c r="CVP143" s="4"/>
      <c r="CVQ143" s="4"/>
      <c r="CVR143" s="4"/>
      <c r="CVS143" s="4"/>
      <c r="CVT143" s="4"/>
      <c r="CVU143" s="4"/>
      <c r="CVV143" s="4"/>
      <c r="CVW143" s="4"/>
      <c r="CVX143" s="4"/>
      <c r="CVY143" s="4"/>
      <c r="CVZ143" s="4"/>
      <c r="CWA143" s="4"/>
      <c r="CWB143" s="4"/>
      <c r="CWC143" s="4"/>
      <c r="CWD143" s="4"/>
      <c r="CWE143" s="4"/>
      <c r="CWF143" s="4"/>
      <c r="CWG143" s="4"/>
      <c r="CWH143" s="4"/>
      <c r="CWI143" s="4"/>
      <c r="CWJ143" s="4"/>
      <c r="CWK143" s="4"/>
      <c r="CWL143" s="4"/>
      <c r="CWM143" s="4"/>
      <c r="CWN143" s="4"/>
      <c r="CWO143" s="4"/>
      <c r="CWP143" s="4"/>
      <c r="CWQ143" s="4"/>
      <c r="CWR143" s="4"/>
      <c r="CWS143" s="4"/>
      <c r="CWT143" s="4"/>
      <c r="CWU143" s="4"/>
      <c r="CWV143" s="4"/>
      <c r="CWW143" s="4"/>
      <c r="CWX143" s="4"/>
      <c r="CWY143" s="4"/>
      <c r="CWZ143" s="4"/>
      <c r="CXA143" s="4"/>
      <c r="CXB143" s="4"/>
      <c r="CXC143" s="4"/>
      <c r="CXD143" s="4"/>
      <c r="CXE143" s="4"/>
      <c r="CXF143" s="4"/>
      <c r="CXG143" s="4"/>
      <c r="CXH143" s="4"/>
      <c r="CXI143" s="4"/>
      <c r="CXJ143" s="4"/>
      <c r="CXK143" s="4"/>
      <c r="CXL143" s="4"/>
      <c r="CXM143" s="4"/>
      <c r="CXN143" s="4"/>
      <c r="CXO143" s="4"/>
      <c r="CXP143" s="4"/>
      <c r="CXQ143" s="4"/>
      <c r="CXR143" s="4"/>
      <c r="CXS143" s="4"/>
      <c r="CXT143" s="4"/>
      <c r="CXU143" s="4"/>
      <c r="CXV143" s="4"/>
      <c r="CXW143" s="4"/>
      <c r="CXX143" s="4"/>
      <c r="CXY143" s="4"/>
      <c r="CXZ143" s="4"/>
      <c r="CYA143" s="4"/>
      <c r="CYB143" s="4"/>
      <c r="CYC143" s="4"/>
      <c r="CYD143" s="4"/>
      <c r="CYE143" s="4"/>
      <c r="CYF143" s="4"/>
      <c r="CYG143" s="4"/>
      <c r="CYH143" s="4"/>
      <c r="CYI143" s="4"/>
      <c r="CYJ143" s="4"/>
      <c r="CYK143" s="4"/>
      <c r="CYL143" s="4"/>
      <c r="CYM143" s="4"/>
      <c r="CYN143" s="4"/>
      <c r="CYO143" s="4"/>
      <c r="CYP143" s="4"/>
      <c r="CYQ143" s="4"/>
      <c r="CYR143" s="4"/>
      <c r="CYS143" s="4"/>
      <c r="CYT143" s="4"/>
      <c r="CYU143" s="4"/>
      <c r="CYV143" s="4"/>
      <c r="CYW143" s="4"/>
      <c r="CYX143" s="4"/>
      <c r="CYY143" s="4"/>
      <c r="CYZ143" s="4"/>
      <c r="CZA143" s="4"/>
      <c r="CZB143" s="4"/>
      <c r="CZC143" s="4"/>
      <c r="CZD143" s="4"/>
      <c r="CZE143" s="4"/>
      <c r="CZF143" s="4"/>
      <c r="CZG143" s="4"/>
      <c r="CZH143" s="4"/>
      <c r="CZI143" s="4"/>
      <c r="CZJ143" s="4"/>
      <c r="CZK143" s="4"/>
      <c r="CZL143" s="4"/>
      <c r="CZM143" s="4"/>
      <c r="CZN143" s="4"/>
      <c r="CZO143" s="4"/>
      <c r="CZP143" s="4"/>
      <c r="CZQ143" s="4"/>
      <c r="CZR143" s="4"/>
      <c r="CZS143" s="4"/>
      <c r="CZT143" s="4"/>
      <c r="CZU143" s="4"/>
      <c r="CZV143" s="4"/>
      <c r="CZW143" s="4"/>
      <c r="CZX143" s="4"/>
      <c r="CZY143" s="4"/>
      <c r="CZZ143" s="4"/>
      <c r="DAA143" s="4"/>
      <c r="DAB143" s="4"/>
      <c r="DAC143" s="4"/>
      <c r="DAD143" s="4"/>
      <c r="DAE143" s="4"/>
      <c r="DAF143" s="4"/>
      <c r="DAG143" s="4"/>
      <c r="DAH143" s="4"/>
      <c r="DAI143" s="4"/>
      <c r="DAJ143" s="4"/>
      <c r="DAK143" s="4"/>
      <c r="DAL143" s="4"/>
      <c r="DAM143" s="4"/>
      <c r="DAN143" s="4"/>
      <c r="DAO143" s="4"/>
      <c r="DAP143" s="4"/>
      <c r="DAQ143" s="4"/>
      <c r="DAR143" s="4"/>
      <c r="DAS143" s="4"/>
      <c r="DAT143" s="4"/>
      <c r="DAU143" s="4"/>
      <c r="DAV143" s="4"/>
      <c r="DAW143" s="4"/>
      <c r="DAX143" s="4"/>
      <c r="DAY143" s="4"/>
      <c r="DAZ143" s="4"/>
      <c r="DBA143" s="4"/>
      <c r="DBB143" s="4"/>
      <c r="DBC143" s="4"/>
      <c r="DBD143" s="4"/>
      <c r="DBE143" s="4"/>
      <c r="DBF143" s="4"/>
      <c r="DBG143" s="4"/>
      <c r="DBH143" s="4"/>
      <c r="DBI143" s="4"/>
      <c r="DBJ143" s="4"/>
      <c r="DBK143" s="4"/>
      <c r="DBL143" s="4"/>
      <c r="DBM143" s="4"/>
      <c r="DBN143" s="4"/>
      <c r="DBO143" s="4"/>
      <c r="DBP143" s="4"/>
      <c r="DBQ143" s="4"/>
      <c r="DBR143" s="4"/>
      <c r="DBS143" s="4"/>
      <c r="DBT143" s="4"/>
      <c r="DBU143" s="4"/>
      <c r="DBV143" s="4"/>
      <c r="DBW143" s="4"/>
      <c r="DBX143" s="4"/>
      <c r="DBY143" s="4"/>
      <c r="DBZ143" s="4"/>
      <c r="DCA143" s="4"/>
      <c r="DCB143" s="4"/>
      <c r="DCC143" s="4"/>
      <c r="DCD143" s="4"/>
      <c r="DCE143" s="4"/>
      <c r="DCF143" s="4"/>
      <c r="DCG143" s="4"/>
      <c r="DCH143" s="4"/>
      <c r="DCI143" s="4"/>
      <c r="DCJ143" s="4"/>
      <c r="DCK143" s="4"/>
      <c r="DCL143" s="4"/>
      <c r="DCM143" s="4"/>
      <c r="DCN143" s="4"/>
      <c r="DCO143" s="4"/>
      <c r="DCP143" s="4"/>
      <c r="DCQ143" s="4"/>
      <c r="DCR143" s="4"/>
      <c r="DCS143" s="4"/>
      <c r="DCT143" s="4"/>
      <c r="DCU143" s="4"/>
      <c r="DCV143" s="4"/>
      <c r="DCW143" s="4"/>
      <c r="DCX143" s="4"/>
      <c r="DCY143" s="4"/>
      <c r="DCZ143" s="4"/>
      <c r="DDA143" s="4"/>
      <c r="DDB143" s="4"/>
      <c r="DDC143" s="4"/>
      <c r="DDD143" s="4"/>
      <c r="DDE143" s="4"/>
      <c r="DDF143" s="4"/>
      <c r="DDG143" s="4"/>
      <c r="DDH143" s="4"/>
      <c r="DDI143" s="4"/>
      <c r="DDJ143" s="4"/>
      <c r="DDK143" s="4"/>
      <c r="DDL143" s="4"/>
      <c r="DDM143" s="4"/>
      <c r="DDN143" s="4"/>
      <c r="DDO143" s="4"/>
      <c r="DDP143" s="4"/>
      <c r="DDQ143" s="4"/>
      <c r="DDR143" s="4"/>
      <c r="DDS143" s="4"/>
      <c r="DDT143" s="4"/>
      <c r="DDU143" s="4"/>
      <c r="DDV143" s="4"/>
      <c r="DDW143" s="4"/>
      <c r="DDX143" s="4"/>
      <c r="DDY143" s="4"/>
      <c r="DDZ143" s="4"/>
      <c r="DEA143" s="4"/>
      <c r="DEB143" s="4"/>
      <c r="DEC143" s="4"/>
      <c r="DED143" s="4"/>
      <c r="DEE143" s="4"/>
      <c r="DEF143" s="4"/>
      <c r="DEG143" s="4"/>
      <c r="DEH143" s="4"/>
      <c r="DEI143" s="4"/>
      <c r="DEJ143" s="4"/>
      <c r="DEK143" s="4"/>
      <c r="DEL143" s="4"/>
      <c r="DEM143" s="4"/>
      <c r="DEN143" s="4"/>
      <c r="DEO143" s="4"/>
      <c r="DEP143" s="4"/>
      <c r="DEQ143" s="4"/>
      <c r="DER143" s="4"/>
      <c r="DES143" s="4"/>
      <c r="DET143" s="4"/>
      <c r="DEU143" s="4"/>
      <c r="DEV143" s="4"/>
      <c r="DEW143" s="4"/>
      <c r="DEX143" s="4"/>
      <c r="DEY143" s="4"/>
      <c r="DEZ143" s="4"/>
      <c r="DFA143" s="4"/>
      <c r="DFB143" s="4"/>
      <c r="DFC143" s="4"/>
      <c r="DFD143" s="4"/>
      <c r="DFE143" s="4"/>
      <c r="DFF143" s="4"/>
      <c r="DFG143" s="4"/>
      <c r="DFH143" s="4"/>
      <c r="DFI143" s="4"/>
      <c r="DFJ143" s="4"/>
      <c r="DFK143" s="4"/>
      <c r="DFL143" s="4"/>
      <c r="DFM143" s="4"/>
      <c r="DFN143" s="4"/>
      <c r="DFO143" s="4"/>
      <c r="DFP143" s="4"/>
      <c r="DFQ143" s="4"/>
      <c r="DFR143" s="4"/>
      <c r="DFS143" s="4"/>
      <c r="DFT143" s="4"/>
      <c r="DFU143" s="4"/>
      <c r="DFV143" s="4"/>
      <c r="DFW143" s="4"/>
      <c r="DFX143" s="4"/>
      <c r="DFY143" s="4"/>
      <c r="DFZ143" s="4"/>
      <c r="DGA143" s="4"/>
      <c r="DGB143" s="4"/>
      <c r="DGC143" s="4"/>
      <c r="DGD143" s="4"/>
      <c r="DGE143" s="4"/>
      <c r="DGF143" s="4"/>
      <c r="DGG143" s="4"/>
      <c r="DGH143" s="4"/>
      <c r="DGI143" s="4"/>
      <c r="DGJ143" s="4"/>
      <c r="DGK143" s="4"/>
      <c r="DGL143" s="4"/>
      <c r="DGM143" s="4"/>
      <c r="DGN143" s="4"/>
      <c r="DGO143" s="4"/>
      <c r="DGP143" s="4"/>
      <c r="DGQ143" s="4"/>
      <c r="DGR143" s="4"/>
      <c r="DGS143" s="4"/>
      <c r="DGT143" s="4"/>
      <c r="DGU143" s="4"/>
      <c r="DGV143" s="4"/>
      <c r="DGW143" s="4"/>
      <c r="DGX143" s="4"/>
      <c r="DGY143" s="4"/>
      <c r="DGZ143" s="4"/>
      <c r="DHA143" s="4"/>
      <c r="DHB143" s="4"/>
      <c r="DHC143" s="4"/>
      <c r="DHD143" s="4"/>
      <c r="DHE143" s="4"/>
      <c r="DHF143" s="4"/>
      <c r="DHG143" s="4"/>
      <c r="DHH143" s="4"/>
      <c r="DHI143" s="4"/>
      <c r="DHJ143" s="4"/>
      <c r="DHK143" s="4"/>
      <c r="DHL143" s="4"/>
      <c r="DHM143" s="4"/>
      <c r="DHN143" s="4"/>
      <c r="DHO143" s="4"/>
      <c r="DHP143" s="4"/>
      <c r="DHQ143" s="4"/>
      <c r="DHR143" s="4"/>
      <c r="DHS143" s="4"/>
      <c r="DHT143" s="4"/>
      <c r="DHU143" s="4"/>
      <c r="DHV143" s="4"/>
      <c r="DHW143" s="4"/>
      <c r="DHX143" s="4"/>
      <c r="DHY143" s="4"/>
      <c r="DHZ143" s="4"/>
      <c r="DIA143" s="4"/>
      <c r="DIB143" s="4"/>
      <c r="DIC143" s="4"/>
      <c r="DID143" s="4"/>
      <c r="DIE143" s="4"/>
      <c r="DIF143" s="4"/>
      <c r="DIG143" s="4"/>
      <c r="DIH143" s="4"/>
      <c r="DII143" s="4"/>
      <c r="DIJ143" s="4"/>
      <c r="DIK143" s="4"/>
      <c r="DIL143" s="4"/>
      <c r="DIM143" s="4"/>
      <c r="DIN143" s="4"/>
      <c r="DIO143" s="4"/>
      <c r="DIP143" s="4"/>
      <c r="DIQ143" s="4"/>
      <c r="DIR143" s="4"/>
      <c r="DIS143" s="4"/>
      <c r="DIT143" s="4"/>
      <c r="DIU143" s="4"/>
      <c r="DIV143" s="4"/>
      <c r="DIW143" s="4"/>
      <c r="DIX143" s="4"/>
      <c r="DIY143" s="4"/>
      <c r="DIZ143" s="4"/>
      <c r="DJA143" s="4"/>
      <c r="DJB143" s="4"/>
      <c r="DJC143" s="4"/>
      <c r="DJD143" s="4"/>
      <c r="DJE143" s="4"/>
      <c r="DJF143" s="4"/>
      <c r="DJG143" s="4"/>
      <c r="DJH143" s="4"/>
      <c r="DJI143" s="4"/>
      <c r="DJJ143" s="4"/>
      <c r="DJK143" s="4"/>
      <c r="DJL143" s="4"/>
      <c r="DJM143" s="4"/>
      <c r="DJN143" s="4"/>
      <c r="DJO143" s="4"/>
      <c r="DJP143" s="4"/>
      <c r="DJQ143" s="4"/>
      <c r="DJR143" s="4"/>
      <c r="DJS143" s="4"/>
      <c r="DJT143" s="4"/>
      <c r="DJU143" s="4"/>
      <c r="DJV143" s="4"/>
      <c r="DJW143" s="4"/>
      <c r="DJX143" s="4"/>
      <c r="DJY143" s="4"/>
      <c r="DJZ143" s="4"/>
      <c r="DKA143" s="4"/>
      <c r="DKB143" s="4"/>
      <c r="DKC143" s="4"/>
      <c r="DKD143" s="4"/>
      <c r="DKE143" s="4"/>
      <c r="DKF143" s="4"/>
      <c r="DKG143" s="4"/>
      <c r="DKH143" s="4"/>
      <c r="DKI143" s="4"/>
      <c r="DKJ143" s="4"/>
      <c r="DKK143" s="4"/>
      <c r="DKL143" s="4"/>
      <c r="DKM143" s="4"/>
      <c r="DKN143" s="4"/>
      <c r="DKO143" s="4"/>
      <c r="DKP143" s="4"/>
      <c r="DKQ143" s="4"/>
      <c r="DKR143" s="4"/>
      <c r="DKS143" s="4"/>
      <c r="DKT143" s="4"/>
      <c r="DKU143" s="4"/>
      <c r="DKV143" s="4"/>
      <c r="DKW143" s="4"/>
      <c r="DKX143" s="4"/>
      <c r="DKY143" s="4"/>
      <c r="DKZ143" s="4"/>
      <c r="DLA143" s="4"/>
      <c r="DLB143" s="4"/>
      <c r="DLC143" s="4"/>
      <c r="DLD143" s="4"/>
      <c r="DLE143" s="4"/>
      <c r="DLF143" s="4"/>
      <c r="DLG143" s="4"/>
      <c r="DLH143" s="4"/>
      <c r="DLI143" s="4"/>
      <c r="DLJ143" s="4"/>
      <c r="DLK143" s="4"/>
      <c r="DLL143" s="4"/>
      <c r="DLM143" s="4"/>
      <c r="DLN143" s="4"/>
      <c r="DLO143" s="4"/>
      <c r="DLP143" s="4"/>
      <c r="DLQ143" s="4"/>
      <c r="DLR143" s="4"/>
      <c r="DLS143" s="4"/>
      <c r="DLT143" s="4"/>
      <c r="DLU143" s="4"/>
      <c r="DLV143" s="4"/>
      <c r="DLW143" s="4"/>
      <c r="DLX143" s="4"/>
      <c r="DLY143" s="4"/>
      <c r="DLZ143" s="4"/>
      <c r="DMA143" s="4"/>
      <c r="DMB143" s="4"/>
      <c r="DMC143" s="4"/>
      <c r="DMD143" s="4"/>
      <c r="DME143" s="4"/>
      <c r="DMF143" s="4"/>
      <c r="DMG143" s="4"/>
      <c r="DMH143" s="4"/>
      <c r="DMI143" s="4"/>
      <c r="DMJ143" s="4"/>
      <c r="DMK143" s="4"/>
      <c r="DML143" s="4"/>
      <c r="DMM143" s="4"/>
      <c r="DMN143" s="4"/>
      <c r="DMO143" s="4"/>
      <c r="DMP143" s="4"/>
      <c r="DMQ143" s="4"/>
      <c r="DMR143" s="4"/>
      <c r="DMS143" s="4"/>
      <c r="DMT143" s="4"/>
      <c r="DMU143" s="4"/>
      <c r="DMV143" s="4"/>
      <c r="DMW143" s="4"/>
      <c r="DMX143" s="4"/>
      <c r="DMY143" s="4"/>
      <c r="DMZ143" s="4"/>
      <c r="DNA143" s="4"/>
      <c r="DNB143" s="4"/>
      <c r="DNC143" s="4"/>
      <c r="DND143" s="4"/>
      <c r="DNE143" s="4"/>
      <c r="DNF143" s="4"/>
      <c r="DNG143" s="4"/>
      <c r="DNH143" s="4"/>
      <c r="DNI143" s="4"/>
      <c r="DNJ143" s="4"/>
      <c r="DNK143" s="4"/>
      <c r="DNL143" s="4"/>
      <c r="DNM143" s="4"/>
      <c r="DNN143" s="4"/>
      <c r="DNO143" s="4"/>
      <c r="DNP143" s="4"/>
      <c r="DNQ143" s="4"/>
      <c r="DNR143" s="4"/>
      <c r="DNS143" s="4"/>
      <c r="DNT143" s="4"/>
      <c r="DNU143" s="4"/>
      <c r="DNV143" s="4"/>
      <c r="DNW143" s="4"/>
      <c r="DNX143" s="4"/>
      <c r="DNY143" s="4"/>
      <c r="DNZ143" s="4"/>
      <c r="DOA143" s="4"/>
      <c r="DOB143" s="4"/>
      <c r="DOC143" s="4"/>
      <c r="DOD143" s="4"/>
      <c r="DOE143" s="4"/>
      <c r="DOF143" s="4"/>
      <c r="DOG143" s="4"/>
      <c r="DOH143" s="4"/>
      <c r="DOI143" s="4"/>
      <c r="DOJ143" s="4"/>
      <c r="DOK143" s="4"/>
      <c r="DOL143" s="4"/>
      <c r="DOM143" s="4"/>
      <c r="DON143" s="4"/>
      <c r="DOO143" s="4"/>
      <c r="DOP143" s="4"/>
      <c r="DOQ143" s="4"/>
      <c r="DOR143" s="4"/>
      <c r="DOS143" s="4"/>
      <c r="DOT143" s="4"/>
      <c r="DOU143" s="4"/>
      <c r="DOV143" s="4"/>
      <c r="DOW143" s="4"/>
      <c r="DOX143" s="4"/>
      <c r="DOY143" s="4"/>
      <c r="DOZ143" s="4"/>
      <c r="DPA143" s="4"/>
      <c r="DPB143" s="4"/>
      <c r="DPC143" s="4"/>
      <c r="DPD143" s="4"/>
      <c r="DPE143" s="4"/>
      <c r="DPF143" s="4"/>
      <c r="DPG143" s="4"/>
      <c r="DPH143" s="4"/>
      <c r="DPI143" s="4"/>
      <c r="DPJ143" s="4"/>
      <c r="DPK143" s="4"/>
      <c r="DPL143" s="4"/>
      <c r="DPM143" s="4"/>
      <c r="DPN143" s="4"/>
      <c r="DPO143" s="4"/>
      <c r="DPP143" s="4"/>
      <c r="DPQ143" s="4"/>
      <c r="DPR143" s="4"/>
      <c r="DPS143" s="4"/>
      <c r="DPT143" s="4"/>
      <c r="DPU143" s="4"/>
      <c r="DPV143" s="4"/>
      <c r="DPW143" s="4"/>
      <c r="DPX143" s="4"/>
      <c r="DPY143" s="4"/>
      <c r="DPZ143" s="4"/>
      <c r="DQA143" s="4"/>
      <c r="DQB143" s="4"/>
      <c r="DQC143" s="4"/>
      <c r="DQD143" s="4"/>
      <c r="DQE143" s="4"/>
      <c r="DQF143" s="4"/>
      <c r="DQG143" s="4"/>
      <c r="DQH143" s="4"/>
      <c r="DQI143" s="4"/>
      <c r="DQJ143" s="4"/>
      <c r="DQK143" s="4"/>
      <c r="DQL143" s="4"/>
      <c r="DQM143" s="4"/>
      <c r="DQN143" s="4"/>
      <c r="DQO143" s="4"/>
      <c r="DQP143" s="4"/>
      <c r="DQQ143" s="4"/>
      <c r="DQR143" s="4"/>
      <c r="DQS143" s="4"/>
      <c r="DQT143" s="4"/>
      <c r="DQU143" s="4"/>
      <c r="DQV143" s="4"/>
      <c r="DQW143" s="4"/>
      <c r="DQX143" s="4"/>
      <c r="DQY143" s="4"/>
      <c r="DQZ143" s="4"/>
      <c r="DRA143" s="4"/>
      <c r="DRB143" s="4"/>
      <c r="DRC143" s="4"/>
      <c r="DRD143" s="4"/>
      <c r="DRE143" s="4"/>
      <c r="DRF143" s="4"/>
      <c r="DRG143" s="4"/>
      <c r="DRH143" s="4"/>
      <c r="DRI143" s="4"/>
      <c r="DRJ143" s="4"/>
      <c r="DRK143" s="4"/>
      <c r="DRL143" s="4"/>
      <c r="DRM143" s="4"/>
      <c r="DRN143" s="4"/>
      <c r="DRO143" s="4"/>
      <c r="DRP143" s="4"/>
      <c r="DRQ143" s="4"/>
      <c r="DRR143" s="4"/>
      <c r="DRS143" s="4"/>
      <c r="DRT143" s="4"/>
      <c r="DRU143" s="4"/>
      <c r="DRV143" s="4"/>
      <c r="DRW143" s="4"/>
      <c r="DRX143" s="4"/>
      <c r="DRY143" s="4"/>
      <c r="DRZ143" s="4"/>
      <c r="DSA143" s="4"/>
      <c r="DSB143" s="4"/>
      <c r="DSC143" s="4"/>
      <c r="DSD143" s="4"/>
      <c r="DSE143" s="4"/>
      <c r="DSF143" s="4"/>
      <c r="DSG143" s="4"/>
      <c r="DSH143" s="4"/>
      <c r="DSI143" s="4"/>
      <c r="DSJ143" s="4"/>
      <c r="DSK143" s="4"/>
      <c r="DSL143" s="4"/>
      <c r="DSM143" s="4"/>
      <c r="DSN143" s="4"/>
      <c r="DSO143" s="4"/>
      <c r="DSP143" s="4"/>
      <c r="DSQ143" s="4"/>
      <c r="DSR143" s="4"/>
      <c r="DSS143" s="4"/>
      <c r="DST143" s="4"/>
      <c r="DSU143" s="4"/>
      <c r="DSV143" s="4"/>
      <c r="DSW143" s="4"/>
      <c r="DSX143" s="4"/>
      <c r="DSY143" s="4"/>
      <c r="DSZ143" s="4"/>
      <c r="DTA143" s="4"/>
      <c r="DTB143" s="4"/>
      <c r="DTC143" s="4"/>
      <c r="DTD143" s="4"/>
      <c r="DTE143" s="4"/>
      <c r="DTF143" s="4"/>
      <c r="DTG143" s="4"/>
      <c r="DTH143" s="4"/>
      <c r="DTI143" s="4"/>
      <c r="DTJ143" s="4"/>
      <c r="DTK143" s="4"/>
      <c r="DTL143" s="4"/>
      <c r="DTM143" s="4"/>
      <c r="DTN143" s="4"/>
      <c r="DTO143" s="4"/>
      <c r="DTP143" s="4"/>
      <c r="DTQ143" s="4"/>
      <c r="DTR143" s="4"/>
      <c r="DTS143" s="4"/>
      <c r="DTT143" s="4"/>
      <c r="DTU143" s="4"/>
      <c r="DTV143" s="4"/>
      <c r="DTW143" s="4"/>
      <c r="DTX143" s="4"/>
      <c r="DTY143" s="4"/>
      <c r="DTZ143" s="4"/>
      <c r="DUA143" s="4"/>
      <c r="DUB143" s="4"/>
      <c r="DUC143" s="4"/>
      <c r="DUD143" s="4"/>
      <c r="DUE143" s="4"/>
      <c r="DUF143" s="4"/>
      <c r="DUG143" s="4"/>
      <c r="DUH143" s="4"/>
      <c r="DUI143" s="4"/>
      <c r="DUJ143" s="4"/>
      <c r="DUK143" s="4"/>
      <c r="DUL143" s="4"/>
      <c r="DUM143" s="4"/>
      <c r="DUN143" s="4"/>
      <c r="DUO143" s="4"/>
      <c r="DUP143" s="4"/>
      <c r="DUQ143" s="4"/>
      <c r="DUR143" s="4"/>
      <c r="DUS143" s="4"/>
      <c r="DUT143" s="4"/>
      <c r="DUU143" s="4"/>
      <c r="DUV143" s="4"/>
      <c r="DUW143" s="4"/>
      <c r="DUX143" s="4"/>
      <c r="DUY143" s="4"/>
      <c r="DUZ143" s="4"/>
      <c r="DVA143" s="4"/>
      <c r="DVB143" s="4"/>
      <c r="DVC143" s="4"/>
      <c r="DVD143" s="4"/>
      <c r="DVE143" s="4"/>
      <c r="DVF143" s="4"/>
      <c r="DVG143" s="4"/>
      <c r="DVH143" s="4"/>
      <c r="DVI143" s="4"/>
      <c r="DVJ143" s="4"/>
      <c r="DVK143" s="4"/>
      <c r="DVL143" s="4"/>
      <c r="DVM143" s="4"/>
      <c r="DVN143" s="4"/>
      <c r="DVO143" s="4"/>
      <c r="DVP143" s="4"/>
      <c r="DVQ143" s="4"/>
      <c r="DVR143" s="4"/>
      <c r="DVS143" s="4"/>
      <c r="DVT143" s="4"/>
      <c r="DVU143" s="4"/>
      <c r="DVV143" s="4"/>
      <c r="DVW143" s="4"/>
      <c r="DVX143" s="4"/>
      <c r="DVY143" s="4"/>
      <c r="DVZ143" s="4"/>
      <c r="DWA143" s="4"/>
      <c r="DWB143" s="4"/>
      <c r="DWC143" s="4"/>
      <c r="DWD143" s="4"/>
      <c r="DWE143" s="4"/>
      <c r="DWF143" s="4"/>
      <c r="DWG143" s="4"/>
      <c r="DWH143" s="4"/>
      <c r="DWI143" s="4"/>
      <c r="DWJ143" s="4"/>
      <c r="DWK143" s="4"/>
      <c r="DWL143" s="4"/>
      <c r="DWM143" s="4"/>
      <c r="DWN143" s="4"/>
      <c r="DWO143" s="4"/>
      <c r="DWP143" s="4"/>
      <c r="DWQ143" s="4"/>
      <c r="DWR143" s="4"/>
      <c r="DWS143" s="4"/>
      <c r="DWT143" s="4"/>
      <c r="DWU143" s="4"/>
      <c r="DWV143" s="4"/>
      <c r="DWW143" s="4"/>
      <c r="DWX143" s="4"/>
      <c r="DWY143" s="4"/>
      <c r="DWZ143" s="4"/>
      <c r="DXA143" s="4"/>
      <c r="DXB143" s="4"/>
      <c r="DXC143" s="4"/>
      <c r="DXD143" s="4"/>
      <c r="DXE143" s="4"/>
      <c r="DXF143" s="4"/>
      <c r="DXG143" s="4"/>
      <c r="DXH143" s="4"/>
      <c r="DXI143" s="4"/>
      <c r="DXJ143" s="4"/>
      <c r="DXK143" s="4"/>
      <c r="DXL143" s="4"/>
      <c r="DXM143" s="4"/>
      <c r="DXN143" s="4"/>
      <c r="DXO143" s="4"/>
      <c r="DXP143" s="4"/>
      <c r="DXQ143" s="4"/>
      <c r="DXR143" s="4"/>
      <c r="DXS143" s="4"/>
      <c r="DXT143" s="4"/>
      <c r="DXU143" s="4"/>
      <c r="DXV143" s="4"/>
      <c r="DXW143" s="4"/>
      <c r="DXX143" s="4"/>
      <c r="DXY143" s="4"/>
      <c r="DXZ143" s="4"/>
      <c r="DYA143" s="4"/>
      <c r="DYB143" s="4"/>
      <c r="DYC143" s="4"/>
      <c r="DYD143" s="4"/>
      <c r="DYE143" s="4"/>
      <c r="DYF143" s="4"/>
      <c r="DYG143" s="4"/>
      <c r="DYH143" s="4"/>
      <c r="DYI143" s="4"/>
      <c r="DYJ143" s="4"/>
      <c r="DYK143" s="4"/>
      <c r="DYL143" s="4"/>
      <c r="DYM143" s="4"/>
      <c r="DYN143" s="4"/>
      <c r="DYO143" s="4"/>
      <c r="DYP143" s="4"/>
      <c r="DYQ143" s="4"/>
      <c r="DYR143" s="4"/>
      <c r="DYS143" s="4"/>
      <c r="DYT143" s="4"/>
      <c r="DYU143" s="4"/>
      <c r="DYV143" s="4"/>
      <c r="DYW143" s="4"/>
      <c r="DYX143" s="4"/>
      <c r="DYY143" s="4"/>
      <c r="DYZ143" s="4"/>
      <c r="DZA143" s="4"/>
      <c r="DZB143" s="4"/>
      <c r="DZC143" s="4"/>
      <c r="DZD143" s="4"/>
      <c r="DZE143" s="4"/>
      <c r="DZF143" s="4"/>
      <c r="DZG143" s="4"/>
      <c r="DZH143" s="4"/>
      <c r="DZI143" s="4"/>
      <c r="DZJ143" s="4"/>
      <c r="DZK143" s="4"/>
      <c r="DZL143" s="4"/>
      <c r="DZM143" s="4"/>
      <c r="DZN143" s="4"/>
      <c r="DZO143" s="4"/>
      <c r="DZP143" s="4"/>
      <c r="DZQ143" s="4"/>
      <c r="DZR143" s="4"/>
      <c r="DZS143" s="4"/>
      <c r="DZT143" s="4"/>
      <c r="DZU143" s="4"/>
      <c r="DZV143" s="4"/>
      <c r="DZW143" s="4"/>
      <c r="DZX143" s="4"/>
      <c r="DZY143" s="4"/>
      <c r="DZZ143" s="4"/>
      <c r="EAA143" s="4"/>
      <c r="EAB143" s="4"/>
      <c r="EAC143" s="4"/>
      <c r="EAD143" s="4"/>
      <c r="EAE143" s="4"/>
      <c r="EAF143" s="4"/>
      <c r="EAG143" s="4"/>
      <c r="EAH143" s="4"/>
      <c r="EAI143" s="4"/>
      <c r="EAJ143" s="4"/>
      <c r="EAK143" s="4"/>
      <c r="EAL143" s="4"/>
      <c r="EAM143" s="4"/>
      <c r="EAN143" s="4"/>
      <c r="EAO143" s="4"/>
      <c r="EAP143" s="4"/>
      <c r="EAQ143" s="4"/>
      <c r="EAR143" s="4"/>
      <c r="EAS143" s="4"/>
      <c r="EAT143" s="4"/>
      <c r="EAU143" s="4"/>
      <c r="EAV143" s="4"/>
      <c r="EAW143" s="4"/>
      <c r="EAX143" s="4"/>
      <c r="EAY143" s="4"/>
      <c r="EAZ143" s="4"/>
      <c r="EBA143" s="4"/>
      <c r="EBB143" s="4"/>
      <c r="EBC143" s="4"/>
      <c r="EBD143" s="4"/>
      <c r="EBE143" s="4"/>
      <c r="EBF143" s="4"/>
      <c r="EBG143" s="4"/>
      <c r="EBH143" s="4"/>
      <c r="EBI143" s="4"/>
      <c r="EBJ143" s="4"/>
      <c r="EBK143" s="4"/>
      <c r="EBL143" s="4"/>
      <c r="EBM143" s="4"/>
      <c r="EBN143" s="4"/>
      <c r="EBO143" s="4"/>
      <c r="EBP143" s="4"/>
      <c r="EBQ143" s="4"/>
      <c r="EBR143" s="4"/>
      <c r="EBS143" s="4"/>
      <c r="EBT143" s="4"/>
      <c r="EBU143" s="4"/>
      <c r="EBV143" s="4"/>
      <c r="EBW143" s="4"/>
      <c r="EBX143" s="4"/>
      <c r="EBY143" s="4"/>
      <c r="EBZ143" s="4"/>
      <c r="ECA143" s="4"/>
      <c r="ECB143" s="4"/>
      <c r="ECC143" s="4"/>
      <c r="ECD143" s="4"/>
      <c r="ECE143" s="4"/>
      <c r="ECF143" s="4"/>
      <c r="ECG143" s="4"/>
      <c r="ECH143" s="4"/>
      <c r="ECI143" s="4"/>
      <c r="ECJ143" s="4"/>
      <c r="ECK143" s="4"/>
      <c r="ECL143" s="4"/>
      <c r="ECM143" s="4"/>
      <c r="ECN143" s="4"/>
      <c r="ECO143" s="4"/>
      <c r="ECP143" s="4"/>
      <c r="ECQ143" s="4"/>
      <c r="ECR143" s="4"/>
      <c r="ECS143" s="4"/>
      <c r="ECT143" s="4"/>
      <c r="ECU143" s="4"/>
      <c r="ECV143" s="4"/>
      <c r="ECW143" s="4"/>
      <c r="ECX143" s="4"/>
      <c r="ECY143" s="4"/>
      <c r="ECZ143" s="4"/>
      <c r="EDA143" s="4"/>
      <c r="EDB143" s="4"/>
      <c r="EDC143" s="4"/>
      <c r="EDD143" s="4"/>
      <c r="EDE143" s="4"/>
      <c r="EDF143" s="4"/>
      <c r="EDG143" s="4"/>
      <c r="EDH143" s="4"/>
      <c r="EDI143" s="4"/>
      <c r="EDJ143" s="4"/>
      <c r="EDK143" s="4"/>
      <c r="EDL143" s="4"/>
      <c r="EDM143" s="4"/>
      <c r="EDN143" s="4"/>
      <c r="EDO143" s="4"/>
      <c r="EDP143" s="4"/>
      <c r="EDQ143" s="4"/>
      <c r="EDR143" s="4"/>
      <c r="EDS143" s="4"/>
      <c r="EDT143" s="4"/>
      <c r="EDU143" s="4"/>
      <c r="EDV143" s="4"/>
      <c r="EDW143" s="4"/>
      <c r="EDX143" s="4"/>
      <c r="EDY143" s="4"/>
      <c r="EDZ143" s="4"/>
      <c r="EEA143" s="4"/>
      <c r="EEB143" s="4"/>
      <c r="EEC143" s="4"/>
      <c r="EED143" s="4"/>
      <c r="EEE143" s="4"/>
      <c r="EEF143" s="4"/>
      <c r="EEG143" s="4"/>
      <c r="EEH143" s="4"/>
      <c r="EEI143" s="4"/>
      <c r="EEJ143" s="4"/>
      <c r="EEK143" s="4"/>
      <c r="EEL143" s="4"/>
      <c r="EEM143" s="4"/>
      <c r="EEN143" s="4"/>
      <c r="EEO143" s="4"/>
      <c r="EEP143" s="4"/>
      <c r="EEQ143" s="4"/>
      <c r="EER143" s="4"/>
      <c r="EES143" s="4"/>
      <c r="EET143" s="4"/>
      <c r="EEU143" s="4"/>
      <c r="EEV143" s="4"/>
      <c r="EEW143" s="4"/>
      <c r="EEX143" s="4"/>
      <c r="EEY143" s="4"/>
      <c r="EEZ143" s="4"/>
      <c r="EFA143" s="4"/>
      <c r="EFB143" s="4"/>
      <c r="EFC143" s="4"/>
      <c r="EFD143" s="4"/>
      <c r="EFE143" s="4"/>
      <c r="EFF143" s="4"/>
      <c r="EFG143" s="4"/>
      <c r="EFH143" s="4"/>
      <c r="EFI143" s="4"/>
      <c r="EFJ143" s="4"/>
      <c r="EFK143" s="4"/>
      <c r="EFL143" s="4"/>
      <c r="EFM143" s="4"/>
      <c r="EFN143" s="4"/>
      <c r="EFO143" s="4"/>
      <c r="EFP143" s="4"/>
      <c r="EFQ143" s="4"/>
      <c r="EFR143" s="4"/>
      <c r="EFS143" s="4"/>
      <c r="EFT143" s="4"/>
      <c r="EFU143" s="4"/>
      <c r="EFV143" s="4"/>
      <c r="EFW143" s="4"/>
      <c r="EFX143" s="4"/>
      <c r="EFY143" s="4"/>
      <c r="EFZ143" s="4"/>
      <c r="EGA143" s="4"/>
      <c r="EGB143" s="4"/>
      <c r="EGC143" s="4"/>
      <c r="EGD143" s="4"/>
      <c r="EGE143" s="4"/>
      <c r="EGF143" s="4"/>
      <c r="EGG143" s="4"/>
      <c r="EGH143" s="4"/>
      <c r="EGI143" s="4"/>
      <c r="EGJ143" s="4"/>
      <c r="EGK143" s="4"/>
      <c r="EGL143" s="4"/>
      <c r="EGM143" s="4"/>
      <c r="EGN143" s="4"/>
      <c r="EGO143" s="4"/>
      <c r="EGP143" s="4"/>
      <c r="EGQ143" s="4"/>
      <c r="EGR143" s="4"/>
      <c r="EGS143" s="4"/>
      <c r="EGT143" s="4"/>
      <c r="EGU143" s="4"/>
      <c r="EGV143" s="4"/>
      <c r="EGW143" s="4"/>
      <c r="EGX143" s="4"/>
      <c r="EGY143" s="4"/>
      <c r="EGZ143" s="4"/>
      <c r="EHA143" s="4"/>
      <c r="EHB143" s="4"/>
      <c r="EHC143" s="4"/>
      <c r="EHD143" s="4"/>
      <c r="EHE143" s="4"/>
      <c r="EHF143" s="4"/>
      <c r="EHG143" s="4"/>
      <c r="EHH143" s="4"/>
      <c r="EHI143" s="4"/>
      <c r="EHJ143" s="4"/>
      <c r="EHK143" s="4"/>
      <c r="EHL143" s="4"/>
      <c r="EHM143" s="4"/>
      <c r="EHN143" s="4"/>
      <c r="EHO143" s="4"/>
      <c r="EHP143" s="4"/>
      <c r="EHQ143" s="4"/>
      <c r="EHR143" s="4"/>
      <c r="EHS143" s="4"/>
      <c r="EHT143" s="4"/>
      <c r="EHU143" s="4"/>
      <c r="EHV143" s="4"/>
      <c r="EHW143" s="4"/>
      <c r="EHX143" s="4"/>
      <c r="EHY143" s="4"/>
      <c r="EHZ143" s="4"/>
      <c r="EIA143" s="4"/>
      <c r="EIB143" s="4"/>
      <c r="EIC143" s="4"/>
      <c r="EID143" s="4"/>
      <c r="EIE143" s="4"/>
      <c r="EIF143" s="4"/>
      <c r="EIG143" s="4"/>
      <c r="EIH143" s="4"/>
      <c r="EII143" s="4"/>
      <c r="EIJ143" s="4"/>
      <c r="EIK143" s="4"/>
      <c r="EIL143" s="4"/>
      <c r="EIM143" s="4"/>
      <c r="EIN143" s="4"/>
      <c r="EIO143" s="4"/>
      <c r="EIP143" s="4"/>
      <c r="EIQ143" s="4"/>
      <c r="EIR143" s="4"/>
      <c r="EIS143" s="4"/>
      <c r="EIT143" s="4"/>
      <c r="EIU143" s="4"/>
      <c r="EIV143" s="4"/>
      <c r="EIW143" s="4"/>
      <c r="EIX143" s="4"/>
      <c r="EIY143" s="4"/>
      <c r="EIZ143" s="4"/>
      <c r="EJA143" s="4"/>
      <c r="EJB143" s="4"/>
      <c r="EJC143" s="4"/>
      <c r="EJD143" s="4"/>
      <c r="EJE143" s="4"/>
      <c r="EJF143" s="4"/>
      <c r="EJG143" s="4"/>
      <c r="EJH143" s="4"/>
      <c r="EJI143" s="4"/>
      <c r="EJJ143" s="4"/>
      <c r="EJK143" s="4"/>
      <c r="EJL143" s="4"/>
      <c r="EJM143" s="4"/>
      <c r="EJN143" s="4"/>
      <c r="EJO143" s="4"/>
      <c r="EJP143" s="4"/>
      <c r="EJQ143" s="4"/>
      <c r="EJR143" s="4"/>
      <c r="EJS143" s="4"/>
      <c r="EJT143" s="4"/>
      <c r="EJU143" s="4"/>
      <c r="EJV143" s="4"/>
      <c r="EJW143" s="4"/>
      <c r="EJX143" s="4"/>
      <c r="EJY143" s="4"/>
      <c r="EJZ143" s="4"/>
      <c r="EKA143" s="4"/>
      <c r="EKB143" s="4"/>
      <c r="EKC143" s="4"/>
      <c r="EKD143" s="4"/>
      <c r="EKE143" s="4"/>
      <c r="EKF143" s="4"/>
      <c r="EKG143" s="4"/>
      <c r="EKH143" s="4"/>
      <c r="EKI143" s="4"/>
      <c r="EKJ143" s="4"/>
      <c r="EKK143" s="4"/>
      <c r="EKL143" s="4"/>
      <c r="EKM143" s="4"/>
      <c r="EKN143" s="4"/>
      <c r="EKO143" s="4"/>
      <c r="EKP143" s="4"/>
      <c r="EKQ143" s="4"/>
      <c r="EKR143" s="4"/>
      <c r="EKS143" s="4"/>
      <c r="EKT143" s="4"/>
      <c r="EKU143" s="4"/>
      <c r="EKV143" s="4"/>
      <c r="EKW143" s="4"/>
      <c r="EKX143" s="4"/>
      <c r="EKY143" s="4"/>
      <c r="EKZ143" s="4"/>
      <c r="ELA143" s="4"/>
      <c r="ELB143" s="4"/>
      <c r="ELC143" s="4"/>
      <c r="ELD143" s="4"/>
      <c r="ELE143" s="4"/>
      <c r="ELF143" s="4"/>
      <c r="ELG143" s="4"/>
      <c r="ELH143" s="4"/>
      <c r="ELI143" s="4"/>
      <c r="ELJ143" s="4"/>
      <c r="ELK143" s="4"/>
      <c r="ELL143" s="4"/>
      <c r="ELM143" s="4"/>
      <c r="ELN143" s="4"/>
      <c r="ELO143" s="4"/>
      <c r="ELP143" s="4"/>
      <c r="ELQ143" s="4"/>
      <c r="ELR143" s="4"/>
      <c r="ELS143" s="4"/>
      <c r="ELT143" s="4"/>
      <c r="ELU143" s="4"/>
      <c r="ELV143" s="4"/>
      <c r="ELW143" s="4"/>
      <c r="ELX143" s="4"/>
      <c r="ELY143" s="4"/>
      <c r="ELZ143" s="4"/>
      <c r="EMA143" s="4"/>
      <c r="EMB143" s="4"/>
      <c r="EMC143" s="4"/>
      <c r="EMD143" s="4"/>
      <c r="EME143" s="4"/>
      <c r="EMF143" s="4"/>
      <c r="EMG143" s="4"/>
      <c r="EMH143" s="4"/>
      <c r="EMI143" s="4"/>
      <c r="EMJ143" s="4"/>
      <c r="EMK143" s="4"/>
      <c r="EML143" s="4"/>
      <c r="EMM143" s="4"/>
      <c r="EMN143" s="4"/>
      <c r="EMO143" s="4"/>
      <c r="EMP143" s="4"/>
      <c r="EMQ143" s="4"/>
      <c r="EMR143" s="4"/>
      <c r="EMS143" s="4"/>
      <c r="EMT143" s="4"/>
      <c r="EMU143" s="4"/>
      <c r="EMV143" s="4"/>
      <c r="EMW143" s="4"/>
      <c r="EMX143" s="4"/>
      <c r="EMY143" s="4"/>
      <c r="EMZ143" s="4"/>
      <c r="ENA143" s="4"/>
      <c r="ENB143" s="4"/>
      <c r="ENC143" s="4"/>
      <c r="END143" s="4"/>
      <c r="ENE143" s="4"/>
      <c r="ENF143" s="4"/>
      <c r="ENG143" s="4"/>
      <c r="ENH143" s="4"/>
      <c r="ENI143" s="4"/>
      <c r="ENJ143" s="4"/>
      <c r="ENK143" s="4"/>
      <c r="ENL143" s="4"/>
      <c r="ENM143" s="4"/>
      <c r="ENN143" s="4"/>
      <c r="ENO143" s="4"/>
      <c r="ENP143" s="4"/>
      <c r="ENQ143" s="4"/>
      <c r="ENR143" s="4"/>
      <c r="ENS143" s="4"/>
      <c r="ENT143" s="4"/>
      <c r="ENU143" s="4"/>
      <c r="ENV143" s="4"/>
      <c r="ENW143" s="4"/>
      <c r="ENX143" s="4"/>
      <c r="ENY143" s="4"/>
      <c r="ENZ143" s="4"/>
      <c r="EOA143" s="4"/>
      <c r="EOB143" s="4"/>
      <c r="EOC143" s="4"/>
      <c r="EOD143" s="4"/>
      <c r="EOE143" s="4"/>
      <c r="EOF143" s="4"/>
      <c r="EOG143" s="4"/>
      <c r="EOH143" s="4"/>
      <c r="EOI143" s="4"/>
      <c r="EOJ143" s="4"/>
      <c r="EOK143" s="4"/>
      <c r="EOL143" s="4"/>
      <c r="EOM143" s="4"/>
      <c r="EON143" s="4"/>
      <c r="EOO143" s="4"/>
      <c r="EOP143" s="4"/>
      <c r="EOQ143" s="4"/>
      <c r="EOR143" s="4"/>
      <c r="EOS143" s="4"/>
      <c r="EOT143" s="4"/>
      <c r="EOU143" s="4"/>
      <c r="EOV143" s="4"/>
      <c r="EOW143" s="4"/>
      <c r="EOX143" s="4"/>
      <c r="EOY143" s="4"/>
      <c r="EOZ143" s="4"/>
      <c r="EPA143" s="4"/>
      <c r="EPB143" s="4"/>
      <c r="EPC143" s="4"/>
      <c r="EPD143" s="4"/>
      <c r="EPE143" s="4"/>
      <c r="EPF143" s="4"/>
      <c r="EPG143" s="4"/>
      <c r="EPH143" s="4"/>
      <c r="EPI143" s="4"/>
      <c r="EPJ143" s="4"/>
      <c r="EPK143" s="4"/>
      <c r="EPL143" s="4"/>
      <c r="EPM143" s="4"/>
      <c r="EPN143" s="4"/>
      <c r="EPO143" s="4"/>
      <c r="EPP143" s="4"/>
      <c r="EPQ143" s="4"/>
      <c r="EPR143" s="4"/>
      <c r="EPS143" s="4"/>
      <c r="EPT143" s="4"/>
      <c r="EPU143" s="4"/>
      <c r="EPV143" s="4"/>
      <c r="EPW143" s="4"/>
      <c r="EPX143" s="4"/>
      <c r="EPY143" s="4"/>
      <c r="EPZ143" s="4"/>
      <c r="EQA143" s="4"/>
      <c r="EQB143" s="4"/>
      <c r="EQC143" s="4"/>
      <c r="EQD143" s="4"/>
      <c r="EQE143" s="4"/>
      <c r="EQF143" s="4"/>
      <c r="EQG143" s="4"/>
      <c r="EQH143" s="4"/>
      <c r="EQI143" s="4"/>
      <c r="EQJ143" s="4"/>
      <c r="EQK143" s="4"/>
      <c r="EQL143" s="4"/>
      <c r="EQM143" s="4"/>
      <c r="EQN143" s="4"/>
      <c r="EQO143" s="4"/>
      <c r="EQP143" s="4"/>
      <c r="EQQ143" s="4"/>
      <c r="EQR143" s="4"/>
      <c r="EQS143" s="4"/>
      <c r="EQT143" s="4"/>
      <c r="EQU143" s="4"/>
      <c r="EQV143" s="4"/>
      <c r="EQW143" s="4"/>
      <c r="EQX143" s="4"/>
      <c r="EQY143" s="4"/>
      <c r="EQZ143" s="4"/>
      <c r="ERA143" s="4"/>
      <c r="ERB143" s="4"/>
      <c r="ERC143" s="4"/>
      <c r="ERD143" s="4"/>
      <c r="ERE143" s="4"/>
      <c r="ERF143" s="4"/>
      <c r="ERG143" s="4"/>
      <c r="ERH143" s="4"/>
      <c r="ERI143" s="4"/>
      <c r="ERJ143" s="4"/>
      <c r="ERK143" s="4"/>
      <c r="ERL143" s="4"/>
      <c r="ERM143" s="4"/>
      <c r="ERN143" s="4"/>
      <c r="ERO143" s="4"/>
      <c r="ERP143" s="4"/>
      <c r="ERQ143" s="4"/>
      <c r="ERR143" s="4"/>
      <c r="ERS143" s="4"/>
      <c r="ERT143" s="4"/>
      <c r="ERU143" s="4"/>
      <c r="ERV143" s="4"/>
      <c r="ERW143" s="4"/>
      <c r="ERX143" s="4"/>
      <c r="ERY143" s="4"/>
      <c r="ERZ143" s="4"/>
      <c r="ESA143" s="4"/>
      <c r="ESB143" s="4"/>
      <c r="ESC143" s="4"/>
      <c r="ESD143" s="4"/>
      <c r="ESE143" s="4"/>
      <c r="ESF143" s="4"/>
      <c r="ESG143" s="4"/>
      <c r="ESH143" s="4"/>
      <c r="ESI143" s="4"/>
      <c r="ESJ143" s="4"/>
      <c r="ESK143" s="4"/>
      <c r="ESL143" s="4"/>
      <c r="ESM143" s="4"/>
      <c r="ESN143" s="4"/>
      <c r="ESO143" s="4"/>
      <c r="ESP143" s="4"/>
      <c r="ESQ143" s="4"/>
      <c r="ESR143" s="4"/>
      <c r="ESS143" s="4"/>
      <c r="EST143" s="4"/>
      <c r="ESU143" s="4"/>
      <c r="ESV143" s="4"/>
      <c r="ESW143" s="4"/>
      <c r="ESX143" s="4"/>
      <c r="ESY143" s="4"/>
      <c r="ESZ143" s="4"/>
      <c r="ETA143" s="4"/>
      <c r="ETB143" s="4"/>
      <c r="ETC143" s="4"/>
      <c r="ETD143" s="4"/>
      <c r="ETE143" s="4"/>
      <c r="ETF143" s="4"/>
      <c r="ETG143" s="4"/>
      <c r="ETH143" s="4"/>
      <c r="ETI143" s="4"/>
      <c r="ETJ143" s="4"/>
      <c r="ETK143" s="4"/>
      <c r="ETL143" s="4"/>
      <c r="ETM143" s="4"/>
      <c r="ETN143" s="4"/>
      <c r="ETO143" s="4"/>
      <c r="ETP143" s="4"/>
      <c r="ETQ143" s="4"/>
      <c r="ETR143" s="4"/>
      <c r="ETS143" s="4"/>
      <c r="ETT143" s="4"/>
      <c r="ETU143" s="4"/>
      <c r="ETV143" s="4"/>
      <c r="ETW143" s="4"/>
      <c r="ETX143" s="4"/>
      <c r="ETY143" s="4"/>
      <c r="ETZ143" s="4"/>
      <c r="EUA143" s="4"/>
      <c r="EUB143" s="4"/>
      <c r="EUC143" s="4"/>
      <c r="EUD143" s="4"/>
      <c r="EUE143" s="4"/>
      <c r="EUF143" s="4"/>
      <c r="EUG143" s="4"/>
      <c r="EUH143" s="4"/>
      <c r="EUI143" s="4"/>
      <c r="EUJ143" s="4"/>
      <c r="EUK143" s="4"/>
      <c r="EUL143" s="4"/>
      <c r="EUM143" s="4"/>
      <c r="EUN143" s="4"/>
      <c r="EUO143" s="4"/>
      <c r="EUP143" s="4"/>
      <c r="EUQ143" s="4"/>
      <c r="EUR143" s="4"/>
      <c r="EUS143" s="4"/>
      <c r="EUT143" s="4"/>
      <c r="EUU143" s="4"/>
      <c r="EUV143" s="4"/>
      <c r="EUW143" s="4"/>
      <c r="EUX143" s="4"/>
      <c r="EUY143" s="4"/>
      <c r="EUZ143" s="4"/>
      <c r="EVA143" s="4"/>
      <c r="EVB143" s="4"/>
      <c r="EVC143" s="4"/>
      <c r="EVD143" s="4"/>
      <c r="EVE143" s="4"/>
      <c r="EVF143" s="4"/>
      <c r="EVG143" s="4"/>
      <c r="EVH143" s="4"/>
      <c r="EVI143" s="4"/>
      <c r="EVJ143" s="4"/>
      <c r="EVK143" s="4"/>
      <c r="EVL143" s="4"/>
      <c r="EVM143" s="4"/>
      <c r="EVN143" s="4"/>
      <c r="EVO143" s="4"/>
      <c r="EVP143" s="4"/>
      <c r="EVQ143" s="4"/>
      <c r="EVR143" s="4"/>
      <c r="EVS143" s="4"/>
      <c r="EVT143" s="4"/>
      <c r="EVU143" s="4"/>
      <c r="EVV143" s="4"/>
      <c r="EVW143" s="4"/>
      <c r="EVX143" s="4"/>
      <c r="EVY143" s="4"/>
      <c r="EVZ143" s="4"/>
      <c r="EWA143" s="4"/>
      <c r="EWB143" s="4"/>
      <c r="EWC143" s="4"/>
      <c r="EWD143" s="4"/>
      <c r="EWE143" s="4"/>
      <c r="EWF143" s="4"/>
      <c r="EWG143" s="4"/>
      <c r="EWH143" s="4"/>
      <c r="EWI143" s="4"/>
      <c r="EWJ143" s="4"/>
      <c r="EWK143" s="4"/>
      <c r="EWL143" s="4"/>
      <c r="EWM143" s="4"/>
      <c r="EWN143" s="4"/>
      <c r="EWO143" s="4"/>
      <c r="EWP143" s="4"/>
      <c r="EWQ143" s="4"/>
      <c r="EWR143" s="4"/>
      <c r="EWS143" s="4"/>
      <c r="EWT143" s="4"/>
      <c r="EWU143" s="4"/>
      <c r="EWV143" s="4"/>
      <c r="EWW143" s="4"/>
      <c r="EWX143" s="4"/>
      <c r="EWY143" s="4"/>
      <c r="EWZ143" s="4"/>
      <c r="EXA143" s="4"/>
      <c r="EXB143" s="4"/>
      <c r="EXC143" s="4"/>
      <c r="EXD143" s="4"/>
      <c r="EXE143" s="4"/>
      <c r="EXF143" s="4"/>
      <c r="EXG143" s="4"/>
      <c r="EXH143" s="4"/>
      <c r="EXI143" s="4"/>
      <c r="EXJ143" s="4"/>
      <c r="EXK143" s="4"/>
      <c r="EXL143" s="4"/>
      <c r="EXM143" s="4"/>
      <c r="EXN143" s="4"/>
      <c r="EXO143" s="4"/>
      <c r="EXP143" s="4"/>
      <c r="EXQ143" s="4"/>
      <c r="EXR143" s="4"/>
      <c r="EXS143" s="4"/>
      <c r="EXT143" s="4"/>
      <c r="EXU143" s="4"/>
      <c r="EXV143" s="4"/>
      <c r="EXW143" s="4"/>
      <c r="EXX143" s="4"/>
      <c r="EXY143" s="4"/>
      <c r="EXZ143" s="4"/>
      <c r="EYA143" s="4"/>
      <c r="EYB143" s="4"/>
      <c r="EYC143" s="4"/>
      <c r="EYD143" s="4"/>
      <c r="EYE143" s="4"/>
      <c r="EYF143" s="4"/>
      <c r="EYG143" s="4"/>
      <c r="EYH143" s="4"/>
      <c r="EYI143" s="4"/>
      <c r="EYJ143" s="4"/>
      <c r="EYK143" s="4"/>
      <c r="EYL143" s="4"/>
      <c r="EYM143" s="4"/>
      <c r="EYN143" s="4"/>
      <c r="EYO143" s="4"/>
      <c r="EYP143" s="4"/>
      <c r="EYQ143" s="4"/>
      <c r="EYR143" s="4"/>
      <c r="EYS143" s="4"/>
      <c r="EYT143" s="4"/>
      <c r="EYU143" s="4"/>
      <c r="EYV143" s="4"/>
      <c r="EYW143" s="4"/>
      <c r="EYX143" s="4"/>
      <c r="EYY143" s="4"/>
      <c r="EYZ143" s="4"/>
      <c r="EZA143" s="4"/>
      <c r="EZB143" s="4"/>
      <c r="EZC143" s="4"/>
      <c r="EZD143" s="4"/>
      <c r="EZE143" s="4"/>
      <c r="EZF143" s="4"/>
      <c r="EZG143" s="4"/>
      <c r="EZH143" s="4"/>
      <c r="EZI143" s="4"/>
      <c r="EZJ143" s="4"/>
      <c r="EZK143" s="4"/>
      <c r="EZL143" s="4"/>
      <c r="EZM143" s="4"/>
      <c r="EZN143" s="4"/>
      <c r="EZO143" s="4"/>
      <c r="EZP143" s="4"/>
      <c r="EZQ143" s="4"/>
      <c r="EZR143" s="4"/>
      <c r="EZS143" s="4"/>
      <c r="EZT143" s="4"/>
      <c r="EZU143" s="4"/>
      <c r="EZV143" s="4"/>
      <c r="EZW143" s="4"/>
      <c r="EZX143" s="4"/>
      <c r="EZY143" s="4"/>
      <c r="EZZ143" s="4"/>
      <c r="FAA143" s="4"/>
      <c r="FAB143" s="4"/>
      <c r="FAC143" s="4"/>
      <c r="FAD143" s="4"/>
      <c r="FAE143" s="4"/>
      <c r="FAF143" s="4"/>
      <c r="FAG143" s="4"/>
      <c r="FAH143" s="4"/>
      <c r="FAI143" s="4"/>
      <c r="FAJ143" s="4"/>
      <c r="FAK143" s="4"/>
      <c r="FAL143" s="4"/>
      <c r="FAM143" s="4"/>
      <c r="FAN143" s="4"/>
      <c r="FAO143" s="4"/>
      <c r="FAP143" s="4"/>
      <c r="FAQ143" s="4"/>
      <c r="FAR143" s="4"/>
      <c r="FAS143" s="4"/>
      <c r="FAT143" s="4"/>
      <c r="FAU143" s="4"/>
      <c r="FAV143" s="4"/>
      <c r="FAW143" s="4"/>
      <c r="FAX143" s="4"/>
      <c r="FAY143" s="4"/>
      <c r="FAZ143" s="4"/>
      <c r="FBA143" s="4"/>
      <c r="FBB143" s="4"/>
      <c r="FBC143" s="4"/>
      <c r="FBD143" s="4"/>
      <c r="FBE143" s="4"/>
      <c r="FBF143" s="4"/>
      <c r="FBG143" s="4"/>
      <c r="FBH143" s="4"/>
      <c r="FBI143" s="4"/>
      <c r="FBJ143" s="4"/>
      <c r="FBK143" s="4"/>
      <c r="FBL143" s="4"/>
      <c r="FBM143" s="4"/>
      <c r="FBN143" s="4"/>
      <c r="FBO143" s="4"/>
      <c r="FBP143" s="4"/>
      <c r="FBQ143" s="4"/>
      <c r="FBR143" s="4"/>
      <c r="FBS143" s="4"/>
      <c r="FBT143" s="4"/>
      <c r="FBU143" s="4"/>
      <c r="FBV143" s="4"/>
      <c r="FBW143" s="4"/>
      <c r="FBX143" s="4"/>
      <c r="FBY143" s="4"/>
      <c r="FBZ143" s="4"/>
      <c r="FCA143" s="4"/>
      <c r="FCB143" s="4"/>
      <c r="FCC143" s="4"/>
      <c r="FCD143" s="4"/>
      <c r="FCE143" s="4"/>
      <c r="FCF143" s="4"/>
      <c r="FCG143" s="4"/>
      <c r="FCH143" s="4"/>
      <c r="FCI143" s="4"/>
      <c r="FCJ143" s="4"/>
      <c r="FCK143" s="4"/>
      <c r="FCL143" s="4"/>
      <c r="FCM143" s="4"/>
      <c r="FCN143" s="4"/>
      <c r="FCO143" s="4"/>
      <c r="FCP143" s="4"/>
      <c r="FCQ143" s="4"/>
      <c r="FCR143" s="4"/>
      <c r="FCS143" s="4"/>
      <c r="FCT143" s="4"/>
      <c r="FCU143" s="4"/>
      <c r="FCV143" s="4"/>
      <c r="FCW143" s="4"/>
      <c r="FCX143" s="4"/>
      <c r="FCY143" s="4"/>
      <c r="FCZ143" s="4"/>
      <c r="FDA143" s="4"/>
      <c r="FDB143" s="4"/>
      <c r="FDC143" s="4"/>
      <c r="FDD143" s="4"/>
      <c r="FDE143" s="4"/>
      <c r="FDF143" s="4"/>
      <c r="FDG143" s="4"/>
      <c r="FDH143" s="4"/>
      <c r="FDI143" s="4"/>
      <c r="FDJ143" s="4"/>
      <c r="FDK143" s="4"/>
      <c r="FDL143" s="4"/>
      <c r="FDM143" s="4"/>
      <c r="FDN143" s="4"/>
      <c r="FDO143" s="4"/>
      <c r="FDP143" s="4"/>
      <c r="FDQ143" s="4"/>
      <c r="FDR143" s="4"/>
      <c r="FDS143" s="4"/>
      <c r="FDT143" s="4"/>
      <c r="FDU143" s="4"/>
      <c r="FDV143" s="4"/>
      <c r="FDW143" s="4"/>
      <c r="FDX143" s="4"/>
      <c r="FDY143" s="4"/>
      <c r="FDZ143" s="4"/>
      <c r="FEA143" s="4"/>
      <c r="FEB143" s="4"/>
      <c r="FEC143" s="4"/>
      <c r="FED143" s="4"/>
      <c r="FEE143" s="4"/>
      <c r="FEF143" s="4"/>
      <c r="FEG143" s="4"/>
      <c r="FEH143" s="4"/>
      <c r="FEI143" s="4"/>
      <c r="FEJ143" s="4"/>
      <c r="FEK143" s="4"/>
      <c r="FEL143" s="4"/>
      <c r="FEM143" s="4"/>
      <c r="FEN143" s="4"/>
      <c r="FEO143" s="4"/>
      <c r="FEP143" s="4"/>
      <c r="FEQ143" s="4"/>
      <c r="FER143" s="4"/>
      <c r="FES143" s="4"/>
      <c r="FET143" s="4"/>
      <c r="FEU143" s="4"/>
      <c r="FEV143" s="4"/>
      <c r="FEW143" s="4"/>
      <c r="FEX143" s="4"/>
      <c r="FEY143" s="4"/>
      <c r="FEZ143" s="4"/>
      <c r="FFA143" s="4"/>
      <c r="FFB143" s="4"/>
      <c r="FFC143" s="4"/>
      <c r="FFD143" s="4"/>
      <c r="FFE143" s="4"/>
      <c r="FFF143" s="4"/>
      <c r="FFG143" s="4"/>
      <c r="FFH143" s="4"/>
      <c r="FFI143" s="4"/>
      <c r="FFJ143" s="4"/>
      <c r="FFK143" s="4"/>
      <c r="FFL143" s="4"/>
      <c r="FFM143" s="4"/>
      <c r="FFN143" s="4"/>
      <c r="FFO143" s="4"/>
      <c r="FFP143" s="4"/>
      <c r="FFQ143" s="4"/>
      <c r="FFR143" s="4"/>
      <c r="FFS143" s="4"/>
      <c r="FFT143" s="4"/>
      <c r="FFU143" s="4"/>
      <c r="FFV143" s="4"/>
      <c r="FFW143" s="4"/>
      <c r="FFX143" s="4"/>
      <c r="FFY143" s="4"/>
      <c r="FFZ143" s="4"/>
      <c r="FGA143" s="4"/>
      <c r="FGB143" s="4"/>
      <c r="FGC143" s="4"/>
      <c r="FGD143" s="4"/>
      <c r="FGE143" s="4"/>
      <c r="FGF143" s="4"/>
      <c r="FGG143" s="4"/>
      <c r="FGH143" s="4"/>
      <c r="FGI143" s="4"/>
      <c r="FGJ143" s="4"/>
      <c r="FGK143" s="4"/>
      <c r="FGL143" s="4"/>
      <c r="FGM143" s="4"/>
      <c r="FGN143" s="4"/>
      <c r="FGO143" s="4"/>
      <c r="FGP143" s="4"/>
      <c r="FGQ143" s="4"/>
      <c r="FGR143" s="4"/>
      <c r="FGS143" s="4"/>
      <c r="FGT143" s="4"/>
      <c r="FGU143" s="4"/>
      <c r="FGV143" s="4"/>
      <c r="FGW143" s="4"/>
      <c r="FGX143" s="4"/>
      <c r="FGY143" s="4"/>
      <c r="FGZ143" s="4"/>
      <c r="FHA143" s="4"/>
      <c r="FHB143" s="4"/>
      <c r="FHC143" s="4"/>
      <c r="FHD143" s="4"/>
      <c r="FHE143" s="4"/>
      <c r="FHF143" s="4"/>
      <c r="FHG143" s="4"/>
      <c r="FHH143" s="4"/>
      <c r="FHI143" s="4"/>
      <c r="FHJ143" s="4"/>
      <c r="FHK143" s="4"/>
      <c r="FHL143" s="4"/>
      <c r="FHM143" s="4"/>
      <c r="FHN143" s="4"/>
      <c r="FHO143" s="4"/>
      <c r="FHP143" s="4"/>
      <c r="FHQ143" s="4"/>
      <c r="FHR143" s="4"/>
      <c r="FHS143" s="4"/>
      <c r="FHT143" s="4"/>
      <c r="FHU143" s="4"/>
      <c r="FHV143" s="4"/>
      <c r="FHW143" s="4"/>
      <c r="FHX143" s="4"/>
      <c r="FHY143" s="4"/>
      <c r="FHZ143" s="4"/>
      <c r="FIA143" s="4"/>
      <c r="FIB143" s="4"/>
      <c r="FIC143" s="4"/>
      <c r="FID143" s="4"/>
      <c r="FIE143" s="4"/>
      <c r="FIF143" s="4"/>
      <c r="FIG143" s="4"/>
      <c r="FIH143" s="4"/>
      <c r="FII143" s="4"/>
      <c r="FIJ143" s="4"/>
      <c r="FIK143" s="4"/>
      <c r="FIL143" s="4"/>
      <c r="FIM143" s="4"/>
      <c r="FIN143" s="4"/>
      <c r="FIO143" s="4"/>
      <c r="FIP143" s="4"/>
      <c r="FIQ143" s="4"/>
      <c r="FIR143" s="4"/>
      <c r="FIS143" s="4"/>
      <c r="FIT143" s="4"/>
      <c r="FIU143" s="4"/>
      <c r="FIV143" s="4"/>
      <c r="FIW143" s="4"/>
      <c r="FIX143" s="4"/>
      <c r="FIY143" s="4"/>
      <c r="FIZ143" s="4"/>
      <c r="FJA143" s="4"/>
      <c r="FJB143" s="4"/>
      <c r="FJC143" s="4"/>
      <c r="FJD143" s="4"/>
      <c r="FJE143" s="4"/>
      <c r="FJF143" s="4"/>
      <c r="FJG143" s="4"/>
      <c r="FJH143" s="4"/>
      <c r="FJI143" s="4"/>
      <c r="FJJ143" s="4"/>
      <c r="FJK143" s="4"/>
      <c r="FJL143" s="4"/>
      <c r="FJM143" s="4"/>
      <c r="FJN143" s="4"/>
      <c r="FJO143" s="4"/>
      <c r="FJP143" s="4"/>
      <c r="FJQ143" s="4"/>
      <c r="FJR143" s="4"/>
      <c r="FJS143" s="4"/>
      <c r="FJT143" s="4"/>
      <c r="FJU143" s="4"/>
      <c r="FJV143" s="4"/>
      <c r="FJW143" s="4"/>
      <c r="FJX143" s="4"/>
      <c r="FJY143" s="4"/>
      <c r="FJZ143" s="4"/>
      <c r="FKA143" s="4"/>
      <c r="FKB143" s="4"/>
      <c r="FKC143" s="4"/>
      <c r="FKD143" s="4"/>
      <c r="FKE143" s="4"/>
      <c r="FKF143" s="4"/>
      <c r="FKG143" s="4"/>
      <c r="FKH143" s="4"/>
      <c r="FKI143" s="4"/>
      <c r="FKJ143" s="4"/>
      <c r="FKK143" s="4"/>
      <c r="FKL143" s="4"/>
      <c r="FKM143" s="4"/>
      <c r="FKN143" s="4"/>
      <c r="FKO143" s="4"/>
      <c r="FKP143" s="4"/>
      <c r="FKQ143" s="4"/>
      <c r="FKR143" s="4"/>
      <c r="FKS143" s="4"/>
      <c r="FKT143" s="4"/>
      <c r="FKU143" s="4"/>
      <c r="FKV143" s="4"/>
      <c r="FKW143" s="4"/>
      <c r="FKX143" s="4"/>
      <c r="FKY143" s="4"/>
      <c r="FKZ143" s="4"/>
      <c r="FLA143" s="4"/>
      <c r="FLB143" s="4"/>
      <c r="FLC143" s="4"/>
      <c r="FLD143" s="4"/>
      <c r="FLE143" s="4"/>
      <c r="FLF143" s="4"/>
      <c r="FLG143" s="4"/>
      <c r="FLH143" s="4"/>
      <c r="FLI143" s="4"/>
      <c r="FLJ143" s="4"/>
      <c r="FLK143" s="4"/>
      <c r="FLL143" s="4"/>
      <c r="FLM143" s="4"/>
      <c r="FLN143" s="4"/>
      <c r="FLO143" s="4"/>
      <c r="FLP143" s="4"/>
      <c r="FLQ143" s="4"/>
      <c r="FLR143" s="4"/>
      <c r="FLS143" s="4"/>
      <c r="FLT143" s="4"/>
      <c r="FLU143" s="4"/>
      <c r="FLV143" s="4"/>
      <c r="FLW143" s="4"/>
      <c r="FLX143" s="4"/>
      <c r="FLY143" s="4"/>
      <c r="FLZ143" s="4"/>
      <c r="FMA143" s="4"/>
      <c r="FMB143" s="4"/>
      <c r="FMC143" s="4"/>
      <c r="FMD143" s="4"/>
      <c r="FME143" s="4"/>
      <c r="FMF143" s="4"/>
      <c r="FMG143" s="4"/>
      <c r="FMH143" s="4"/>
      <c r="FMI143" s="4"/>
      <c r="FMJ143" s="4"/>
      <c r="FMK143" s="4"/>
      <c r="FML143" s="4"/>
      <c r="FMM143" s="4"/>
      <c r="FMN143" s="4"/>
      <c r="FMO143" s="4"/>
      <c r="FMP143" s="4"/>
      <c r="FMQ143" s="4"/>
      <c r="FMR143" s="4"/>
      <c r="FMS143" s="4"/>
      <c r="FMT143" s="4"/>
      <c r="FMU143" s="4"/>
      <c r="FMV143" s="4"/>
      <c r="FMW143" s="4"/>
      <c r="FMX143" s="4"/>
      <c r="FMY143" s="4"/>
      <c r="FMZ143" s="4"/>
      <c r="FNA143" s="4"/>
      <c r="FNB143" s="4"/>
      <c r="FNC143" s="4"/>
      <c r="FND143" s="4"/>
      <c r="FNE143" s="4"/>
      <c r="FNF143" s="4"/>
      <c r="FNG143" s="4"/>
      <c r="FNH143" s="4"/>
      <c r="FNI143" s="4"/>
      <c r="FNJ143" s="4"/>
      <c r="FNK143" s="4"/>
      <c r="FNL143" s="4"/>
      <c r="FNM143" s="4"/>
      <c r="FNN143" s="4"/>
      <c r="FNO143" s="4"/>
      <c r="FNP143" s="4"/>
      <c r="FNQ143" s="4"/>
      <c r="FNR143" s="4"/>
      <c r="FNS143" s="4"/>
      <c r="FNT143" s="4"/>
      <c r="FNU143" s="4"/>
      <c r="FNV143" s="4"/>
      <c r="FNW143" s="4"/>
      <c r="FNX143" s="4"/>
      <c r="FNY143" s="4"/>
      <c r="FNZ143" s="4"/>
      <c r="FOA143" s="4"/>
      <c r="FOB143" s="4"/>
      <c r="FOC143" s="4"/>
      <c r="FOD143" s="4"/>
      <c r="FOE143" s="4"/>
      <c r="FOF143" s="4"/>
      <c r="FOG143" s="4"/>
      <c r="FOH143" s="4"/>
      <c r="FOI143" s="4"/>
      <c r="FOJ143" s="4"/>
      <c r="FOK143" s="4"/>
      <c r="FOL143" s="4"/>
      <c r="FOM143" s="4"/>
      <c r="FON143" s="4"/>
      <c r="FOO143" s="4"/>
      <c r="FOP143" s="4"/>
      <c r="FOQ143" s="4"/>
      <c r="FOR143" s="4"/>
      <c r="FOS143" s="4"/>
      <c r="FOT143" s="4"/>
      <c r="FOU143" s="4"/>
      <c r="FOV143" s="4"/>
      <c r="FOW143" s="4"/>
      <c r="FOX143" s="4"/>
      <c r="FOY143" s="4"/>
      <c r="FOZ143" s="4"/>
      <c r="FPA143" s="4"/>
      <c r="FPB143" s="4"/>
      <c r="FPC143" s="4"/>
      <c r="FPD143" s="4"/>
      <c r="FPE143" s="4"/>
      <c r="FPF143" s="4"/>
      <c r="FPG143" s="4"/>
      <c r="FPH143" s="4"/>
      <c r="FPI143" s="4"/>
      <c r="FPJ143" s="4"/>
      <c r="FPK143" s="4"/>
      <c r="FPL143" s="4"/>
      <c r="FPM143" s="4"/>
      <c r="FPN143" s="4"/>
      <c r="FPO143" s="4"/>
      <c r="FPP143" s="4"/>
      <c r="FPQ143" s="4"/>
      <c r="FPR143" s="4"/>
      <c r="FPS143" s="4"/>
      <c r="FPT143" s="4"/>
      <c r="FPU143" s="4"/>
      <c r="FPV143" s="4"/>
      <c r="FPW143" s="4"/>
      <c r="FPX143" s="4"/>
      <c r="FPY143" s="4"/>
      <c r="FPZ143" s="4"/>
      <c r="FQA143" s="4"/>
      <c r="FQB143" s="4"/>
      <c r="FQC143" s="4"/>
      <c r="FQD143" s="4"/>
      <c r="FQE143" s="4"/>
      <c r="FQF143" s="4"/>
      <c r="FQG143" s="4"/>
      <c r="FQH143" s="4"/>
      <c r="FQI143" s="4"/>
      <c r="FQJ143" s="4"/>
      <c r="FQK143" s="4"/>
      <c r="FQL143" s="4"/>
      <c r="FQM143" s="4"/>
      <c r="FQN143" s="4"/>
      <c r="FQO143" s="4"/>
      <c r="FQP143" s="4"/>
      <c r="FQQ143" s="4"/>
      <c r="FQR143" s="4"/>
      <c r="FQS143" s="4"/>
      <c r="FQT143" s="4"/>
      <c r="FQU143" s="4"/>
      <c r="FQV143" s="4"/>
      <c r="FQW143" s="4"/>
      <c r="FQX143" s="4"/>
      <c r="FQY143" s="4"/>
      <c r="FQZ143" s="4"/>
      <c r="FRA143" s="4"/>
      <c r="FRB143" s="4"/>
      <c r="FRC143" s="4"/>
      <c r="FRD143" s="4"/>
      <c r="FRE143" s="4"/>
      <c r="FRF143" s="4"/>
      <c r="FRG143" s="4"/>
      <c r="FRH143" s="4"/>
      <c r="FRI143" s="4"/>
      <c r="FRJ143" s="4"/>
      <c r="FRK143" s="4"/>
      <c r="FRL143" s="4"/>
      <c r="FRM143" s="4"/>
      <c r="FRN143" s="4"/>
      <c r="FRO143" s="4"/>
      <c r="FRP143" s="4"/>
      <c r="FRQ143" s="4"/>
      <c r="FRR143" s="4"/>
      <c r="FRS143" s="4"/>
      <c r="FRT143" s="4"/>
      <c r="FRU143" s="4"/>
      <c r="FRV143" s="4"/>
      <c r="FRW143" s="4"/>
      <c r="FRX143" s="4"/>
      <c r="FRY143" s="4"/>
      <c r="FRZ143" s="4"/>
      <c r="FSA143" s="4"/>
      <c r="FSB143" s="4"/>
      <c r="FSC143" s="4"/>
      <c r="FSD143" s="4"/>
      <c r="FSE143" s="4"/>
      <c r="FSF143" s="4"/>
      <c r="FSG143" s="4"/>
      <c r="FSH143" s="4"/>
      <c r="FSI143" s="4"/>
      <c r="FSJ143" s="4"/>
      <c r="FSK143" s="4"/>
      <c r="FSL143" s="4"/>
      <c r="FSM143" s="4"/>
      <c r="FSN143" s="4"/>
      <c r="FSO143" s="4"/>
      <c r="FSP143" s="4"/>
      <c r="FSQ143" s="4"/>
      <c r="FSR143" s="4"/>
      <c r="FSS143" s="4"/>
      <c r="FST143" s="4"/>
      <c r="FSU143" s="4"/>
      <c r="FSV143" s="4"/>
      <c r="FSW143" s="4"/>
      <c r="FSX143" s="4"/>
      <c r="FSY143" s="4"/>
      <c r="FSZ143" s="4"/>
      <c r="FTA143" s="4"/>
      <c r="FTB143" s="4"/>
      <c r="FTC143" s="4"/>
      <c r="FTD143" s="4"/>
      <c r="FTE143" s="4"/>
      <c r="FTF143" s="4"/>
      <c r="FTG143" s="4"/>
      <c r="FTH143" s="4"/>
      <c r="FTI143" s="4"/>
      <c r="FTJ143" s="4"/>
      <c r="FTK143" s="4"/>
      <c r="FTL143" s="4"/>
      <c r="FTM143" s="4"/>
      <c r="FTN143" s="4"/>
      <c r="FTO143" s="4"/>
      <c r="FTP143" s="4"/>
      <c r="FTQ143" s="4"/>
      <c r="FTR143" s="4"/>
      <c r="FTS143" s="4"/>
      <c r="FTT143" s="4"/>
      <c r="FTU143" s="4"/>
      <c r="FTV143" s="4"/>
      <c r="FTW143" s="4"/>
      <c r="FTX143" s="4"/>
      <c r="FTY143" s="4"/>
      <c r="FTZ143" s="4"/>
      <c r="FUA143" s="4"/>
      <c r="FUB143" s="4"/>
      <c r="FUC143" s="4"/>
      <c r="FUD143" s="4"/>
      <c r="FUE143" s="4"/>
      <c r="FUF143" s="4"/>
      <c r="FUG143" s="4"/>
      <c r="FUH143" s="4"/>
      <c r="FUI143" s="4"/>
      <c r="FUJ143" s="4"/>
      <c r="FUK143" s="4"/>
      <c r="FUL143" s="4"/>
      <c r="FUM143" s="4"/>
      <c r="FUN143" s="4"/>
      <c r="FUO143" s="4"/>
      <c r="FUP143" s="4"/>
      <c r="FUQ143" s="4"/>
      <c r="FUR143" s="4"/>
      <c r="FUS143" s="4"/>
      <c r="FUT143" s="4"/>
      <c r="FUU143" s="4"/>
      <c r="FUV143" s="4"/>
      <c r="FUW143" s="4"/>
      <c r="FUX143" s="4"/>
      <c r="FUY143" s="4"/>
      <c r="FUZ143" s="4"/>
      <c r="FVA143" s="4"/>
      <c r="FVB143" s="4"/>
      <c r="FVC143" s="4"/>
      <c r="FVD143" s="4"/>
      <c r="FVE143" s="4"/>
      <c r="FVF143" s="4"/>
      <c r="FVG143" s="4"/>
      <c r="FVH143" s="4"/>
      <c r="FVI143" s="4"/>
      <c r="FVJ143" s="4"/>
      <c r="FVK143" s="4"/>
      <c r="FVL143" s="4"/>
      <c r="FVM143" s="4"/>
      <c r="FVN143" s="4"/>
      <c r="FVO143" s="4"/>
      <c r="FVP143" s="4"/>
      <c r="FVQ143" s="4"/>
      <c r="FVR143" s="4"/>
      <c r="FVS143" s="4"/>
      <c r="FVT143" s="4"/>
      <c r="FVU143" s="4"/>
      <c r="FVV143" s="4"/>
      <c r="FVW143" s="4"/>
      <c r="FVX143" s="4"/>
      <c r="FVY143" s="4"/>
      <c r="FVZ143" s="4"/>
      <c r="FWA143" s="4"/>
      <c r="FWB143" s="4"/>
      <c r="FWC143" s="4"/>
      <c r="FWD143" s="4"/>
      <c r="FWE143" s="4"/>
      <c r="FWF143" s="4"/>
      <c r="FWG143" s="4"/>
      <c r="FWH143" s="4"/>
      <c r="FWI143" s="4"/>
      <c r="FWJ143" s="4"/>
      <c r="FWK143" s="4"/>
      <c r="FWL143" s="4"/>
      <c r="FWM143" s="4"/>
      <c r="FWN143" s="4"/>
      <c r="FWO143" s="4"/>
      <c r="FWP143" s="4"/>
      <c r="FWQ143" s="4"/>
      <c r="FWR143" s="4"/>
      <c r="FWS143" s="4"/>
      <c r="FWT143" s="4"/>
      <c r="FWU143" s="4"/>
      <c r="FWV143" s="4"/>
      <c r="FWW143" s="4"/>
      <c r="FWX143" s="4"/>
      <c r="FWY143" s="4"/>
      <c r="FWZ143" s="4"/>
      <c r="FXA143" s="4"/>
      <c r="FXB143" s="4"/>
      <c r="FXC143" s="4"/>
      <c r="FXD143" s="4"/>
      <c r="FXE143" s="4"/>
      <c r="FXF143" s="4"/>
      <c r="FXG143" s="4"/>
      <c r="FXH143" s="4"/>
      <c r="FXI143" s="4"/>
      <c r="FXJ143" s="4"/>
      <c r="FXK143" s="4"/>
      <c r="FXL143" s="4"/>
      <c r="FXM143" s="4"/>
      <c r="FXN143" s="4"/>
      <c r="FXO143" s="4"/>
      <c r="FXP143" s="4"/>
      <c r="FXQ143" s="4"/>
      <c r="FXR143" s="4"/>
      <c r="FXS143" s="4"/>
      <c r="FXT143" s="4"/>
      <c r="FXU143" s="4"/>
      <c r="FXV143" s="4"/>
      <c r="FXW143" s="4"/>
      <c r="FXX143" s="4"/>
      <c r="FXY143" s="4"/>
      <c r="FXZ143" s="4"/>
      <c r="FYA143" s="4"/>
      <c r="FYB143" s="4"/>
      <c r="FYC143" s="4"/>
      <c r="FYD143" s="4"/>
      <c r="FYE143" s="4"/>
      <c r="FYF143" s="4"/>
      <c r="FYG143" s="4"/>
      <c r="FYH143" s="4"/>
      <c r="FYI143" s="4"/>
      <c r="FYJ143" s="4"/>
      <c r="FYK143" s="4"/>
      <c r="FYL143" s="4"/>
      <c r="FYM143" s="4"/>
      <c r="FYN143" s="4"/>
      <c r="FYO143" s="4"/>
      <c r="FYP143" s="4"/>
      <c r="FYQ143" s="4"/>
      <c r="FYR143" s="4"/>
      <c r="FYS143" s="4"/>
      <c r="FYT143" s="4"/>
      <c r="FYU143" s="4"/>
      <c r="FYV143" s="4"/>
      <c r="FYW143" s="4"/>
      <c r="FYX143" s="4"/>
      <c r="FYY143" s="4"/>
      <c r="FYZ143" s="4"/>
      <c r="FZA143" s="4"/>
      <c r="FZB143" s="4"/>
      <c r="FZC143" s="4"/>
      <c r="FZD143" s="4"/>
      <c r="FZE143" s="4"/>
      <c r="FZF143" s="4"/>
      <c r="FZG143" s="4"/>
      <c r="FZH143" s="4"/>
      <c r="FZI143" s="4"/>
      <c r="FZJ143" s="4"/>
      <c r="FZK143" s="4"/>
      <c r="FZL143" s="4"/>
      <c r="FZM143" s="4"/>
      <c r="FZN143" s="4"/>
      <c r="FZO143" s="4"/>
      <c r="FZP143" s="4"/>
      <c r="FZQ143" s="4"/>
      <c r="FZR143" s="4"/>
      <c r="FZS143" s="4"/>
      <c r="FZT143" s="4"/>
      <c r="FZU143" s="4"/>
      <c r="FZV143" s="4"/>
      <c r="FZW143" s="4"/>
      <c r="FZX143" s="4"/>
      <c r="FZY143" s="4"/>
      <c r="FZZ143" s="4"/>
      <c r="GAA143" s="4"/>
      <c r="GAB143" s="4"/>
      <c r="GAC143" s="4"/>
      <c r="GAD143" s="4"/>
      <c r="GAE143" s="4"/>
      <c r="GAF143" s="4"/>
      <c r="GAG143" s="4"/>
      <c r="GAH143" s="4"/>
      <c r="GAI143" s="4"/>
      <c r="GAJ143" s="4"/>
      <c r="GAK143" s="4"/>
      <c r="GAL143" s="4"/>
      <c r="GAM143" s="4"/>
      <c r="GAN143" s="4"/>
      <c r="GAO143" s="4"/>
      <c r="GAP143" s="4"/>
      <c r="GAQ143" s="4"/>
      <c r="GAR143" s="4"/>
      <c r="GAS143" s="4"/>
      <c r="GAT143" s="4"/>
      <c r="GAU143" s="4"/>
      <c r="GAV143" s="4"/>
      <c r="GAW143" s="4"/>
      <c r="GAX143" s="4"/>
      <c r="GAY143" s="4"/>
      <c r="GAZ143" s="4"/>
      <c r="GBA143" s="4"/>
      <c r="GBB143" s="4"/>
      <c r="GBC143" s="4"/>
      <c r="GBD143" s="4"/>
      <c r="GBE143" s="4"/>
      <c r="GBF143" s="4"/>
      <c r="GBG143" s="4"/>
      <c r="GBH143" s="4"/>
      <c r="GBI143" s="4"/>
      <c r="GBJ143" s="4"/>
      <c r="GBK143" s="4"/>
      <c r="GBL143" s="4"/>
      <c r="GBM143" s="4"/>
      <c r="GBN143" s="4"/>
      <c r="GBO143" s="4"/>
      <c r="GBP143" s="4"/>
      <c r="GBQ143" s="4"/>
      <c r="GBR143" s="4"/>
      <c r="GBS143" s="4"/>
      <c r="GBT143" s="4"/>
      <c r="GBU143" s="4"/>
      <c r="GBV143" s="4"/>
      <c r="GBW143" s="4"/>
      <c r="GBX143" s="4"/>
      <c r="GBY143" s="4"/>
      <c r="GBZ143" s="4"/>
      <c r="GCA143" s="4"/>
      <c r="GCB143" s="4"/>
      <c r="GCC143" s="4"/>
      <c r="GCD143" s="4"/>
      <c r="GCE143" s="4"/>
      <c r="GCF143" s="4"/>
      <c r="GCG143" s="4"/>
      <c r="GCH143" s="4"/>
      <c r="GCI143" s="4"/>
      <c r="GCJ143" s="4"/>
      <c r="GCK143" s="4"/>
      <c r="GCL143" s="4"/>
      <c r="GCM143" s="4"/>
      <c r="GCN143" s="4"/>
      <c r="GCO143" s="4"/>
      <c r="GCP143" s="4"/>
      <c r="GCQ143" s="4"/>
      <c r="GCR143" s="4"/>
      <c r="GCS143" s="4"/>
      <c r="GCT143" s="4"/>
      <c r="GCU143" s="4"/>
      <c r="GCV143" s="4"/>
      <c r="GCW143" s="4"/>
      <c r="GCX143" s="4"/>
      <c r="GCY143" s="4"/>
      <c r="GCZ143" s="4"/>
      <c r="GDA143" s="4"/>
      <c r="GDB143" s="4"/>
      <c r="GDC143" s="4"/>
      <c r="GDD143" s="4"/>
      <c r="GDE143" s="4"/>
      <c r="GDF143" s="4"/>
      <c r="GDG143" s="4"/>
      <c r="GDH143" s="4"/>
      <c r="GDI143" s="4"/>
      <c r="GDJ143" s="4"/>
      <c r="GDK143" s="4"/>
      <c r="GDL143" s="4"/>
      <c r="GDM143" s="4"/>
      <c r="GDN143" s="4"/>
      <c r="GDO143" s="4"/>
      <c r="GDP143" s="4"/>
      <c r="GDQ143" s="4"/>
      <c r="GDR143" s="4"/>
      <c r="GDS143" s="4"/>
      <c r="GDT143" s="4"/>
      <c r="GDU143" s="4"/>
      <c r="GDV143" s="4"/>
      <c r="GDW143" s="4"/>
      <c r="GDX143" s="4"/>
      <c r="GDY143" s="4"/>
      <c r="GDZ143" s="4"/>
      <c r="GEA143" s="4"/>
      <c r="GEB143" s="4"/>
      <c r="GEC143" s="4"/>
      <c r="GED143" s="4"/>
      <c r="GEE143" s="4"/>
      <c r="GEF143" s="4"/>
      <c r="GEG143" s="4"/>
      <c r="GEH143" s="4"/>
      <c r="GEI143" s="4"/>
      <c r="GEJ143" s="4"/>
      <c r="GEK143" s="4"/>
      <c r="GEL143" s="4"/>
      <c r="GEM143" s="4"/>
      <c r="GEN143" s="4"/>
      <c r="GEO143" s="4"/>
      <c r="GEP143" s="4"/>
      <c r="GEQ143" s="4"/>
      <c r="GER143" s="4"/>
      <c r="GES143" s="4"/>
      <c r="GET143" s="4"/>
      <c r="GEU143" s="4"/>
      <c r="GEV143" s="4"/>
      <c r="GEW143" s="4"/>
      <c r="GEX143" s="4"/>
      <c r="GEY143" s="4"/>
      <c r="GEZ143" s="4"/>
      <c r="GFA143" s="4"/>
      <c r="GFB143" s="4"/>
      <c r="GFC143" s="4"/>
      <c r="GFD143" s="4"/>
      <c r="GFE143" s="4"/>
      <c r="GFF143" s="4"/>
      <c r="GFG143" s="4"/>
      <c r="GFH143" s="4"/>
      <c r="GFI143" s="4"/>
      <c r="GFJ143" s="4"/>
      <c r="GFK143" s="4"/>
      <c r="GFL143" s="4"/>
      <c r="GFM143" s="4"/>
      <c r="GFN143" s="4"/>
      <c r="GFO143" s="4"/>
      <c r="GFP143" s="4"/>
      <c r="GFQ143" s="4"/>
      <c r="GFR143" s="4"/>
      <c r="GFS143" s="4"/>
      <c r="GFT143" s="4"/>
      <c r="GFU143" s="4"/>
      <c r="GFV143" s="4"/>
      <c r="GFW143" s="4"/>
      <c r="GFX143" s="4"/>
      <c r="GFY143" s="4"/>
      <c r="GFZ143" s="4"/>
      <c r="GGA143" s="4"/>
      <c r="GGB143" s="4"/>
      <c r="GGC143" s="4"/>
      <c r="GGD143" s="4"/>
      <c r="GGE143" s="4"/>
      <c r="GGF143" s="4"/>
      <c r="GGG143" s="4"/>
      <c r="GGH143" s="4"/>
      <c r="GGI143" s="4"/>
      <c r="GGJ143" s="4"/>
      <c r="GGK143" s="4"/>
      <c r="GGL143" s="4"/>
      <c r="GGM143" s="4"/>
      <c r="GGN143" s="4"/>
      <c r="GGO143" s="4"/>
      <c r="GGP143" s="4"/>
      <c r="GGQ143" s="4"/>
      <c r="GGR143" s="4"/>
      <c r="GGS143" s="4"/>
      <c r="GGT143" s="4"/>
      <c r="GGU143" s="4"/>
      <c r="GGV143" s="4"/>
      <c r="GGW143" s="4"/>
      <c r="GGX143" s="4"/>
      <c r="GGY143" s="4"/>
      <c r="GGZ143" s="4"/>
      <c r="GHA143" s="4"/>
      <c r="GHB143" s="4"/>
      <c r="GHC143" s="4"/>
      <c r="GHD143" s="4"/>
      <c r="GHE143" s="4"/>
      <c r="GHF143" s="4"/>
      <c r="GHG143" s="4"/>
      <c r="GHH143" s="4"/>
      <c r="GHI143" s="4"/>
      <c r="GHJ143" s="4"/>
      <c r="GHK143" s="4"/>
      <c r="GHL143" s="4"/>
      <c r="GHM143" s="4"/>
      <c r="GHN143" s="4"/>
      <c r="GHO143" s="4"/>
      <c r="GHP143" s="4"/>
      <c r="GHQ143" s="4"/>
      <c r="GHR143" s="4"/>
      <c r="GHS143" s="4"/>
      <c r="GHT143" s="4"/>
      <c r="GHU143" s="4"/>
      <c r="GHV143" s="4"/>
      <c r="GHW143" s="4"/>
      <c r="GHX143" s="4"/>
      <c r="GHY143" s="4"/>
      <c r="GHZ143" s="4"/>
      <c r="GIA143" s="4"/>
      <c r="GIB143" s="4"/>
      <c r="GIC143" s="4"/>
      <c r="GID143" s="4"/>
      <c r="GIE143" s="4"/>
      <c r="GIF143" s="4"/>
      <c r="GIG143" s="4"/>
      <c r="GIH143" s="4"/>
      <c r="GII143" s="4"/>
      <c r="GIJ143" s="4"/>
      <c r="GIK143" s="4"/>
      <c r="GIL143" s="4"/>
      <c r="GIM143" s="4"/>
      <c r="GIN143" s="4"/>
      <c r="GIO143" s="4"/>
      <c r="GIP143" s="4"/>
      <c r="GIQ143" s="4"/>
      <c r="GIR143" s="4"/>
      <c r="GIS143" s="4"/>
      <c r="GIT143" s="4"/>
      <c r="GIU143" s="4"/>
      <c r="GIV143" s="4"/>
      <c r="GIW143" s="4"/>
      <c r="GIX143" s="4"/>
      <c r="GIY143" s="4"/>
      <c r="GIZ143" s="4"/>
      <c r="GJA143" s="4"/>
      <c r="GJB143" s="4"/>
      <c r="GJC143" s="4"/>
      <c r="GJD143" s="4"/>
      <c r="GJE143" s="4"/>
      <c r="GJF143" s="4"/>
      <c r="GJG143" s="4"/>
      <c r="GJH143" s="4"/>
      <c r="GJI143" s="4"/>
      <c r="GJJ143" s="4"/>
      <c r="GJK143" s="4"/>
      <c r="GJL143" s="4"/>
      <c r="GJM143" s="4"/>
      <c r="GJN143" s="4"/>
      <c r="GJO143" s="4"/>
      <c r="GJP143" s="4"/>
      <c r="GJQ143" s="4"/>
      <c r="GJR143" s="4"/>
      <c r="GJS143" s="4"/>
      <c r="GJT143" s="4"/>
      <c r="GJU143" s="4"/>
      <c r="GJV143" s="4"/>
      <c r="GJW143" s="4"/>
      <c r="GJX143" s="4"/>
      <c r="GJY143" s="4"/>
      <c r="GJZ143" s="4"/>
      <c r="GKA143" s="4"/>
      <c r="GKB143" s="4"/>
      <c r="GKC143" s="4"/>
      <c r="GKD143" s="4"/>
      <c r="GKE143" s="4"/>
      <c r="GKF143" s="4"/>
      <c r="GKG143" s="4"/>
      <c r="GKH143" s="4"/>
      <c r="GKI143" s="4"/>
      <c r="GKJ143" s="4"/>
      <c r="GKK143" s="4"/>
      <c r="GKL143" s="4"/>
      <c r="GKM143" s="4"/>
      <c r="GKN143" s="4"/>
      <c r="GKO143" s="4"/>
      <c r="GKP143" s="4"/>
      <c r="GKQ143" s="4"/>
      <c r="GKR143" s="4"/>
      <c r="GKS143" s="4"/>
      <c r="GKT143" s="4"/>
      <c r="GKU143" s="4"/>
      <c r="GKV143" s="4"/>
      <c r="GKW143" s="4"/>
      <c r="GKX143" s="4"/>
      <c r="GKY143" s="4"/>
      <c r="GKZ143" s="4"/>
      <c r="GLA143" s="4"/>
      <c r="GLB143" s="4"/>
      <c r="GLC143" s="4"/>
      <c r="GLD143" s="4"/>
      <c r="GLE143" s="4"/>
      <c r="GLF143" s="4"/>
      <c r="GLG143" s="4"/>
      <c r="GLH143" s="4"/>
      <c r="GLI143" s="4"/>
      <c r="GLJ143" s="4"/>
      <c r="GLK143" s="4"/>
      <c r="GLL143" s="4"/>
      <c r="GLM143" s="4"/>
      <c r="GLN143" s="4"/>
      <c r="GLO143" s="4"/>
      <c r="GLP143" s="4"/>
      <c r="GLQ143" s="4"/>
      <c r="GLR143" s="4"/>
      <c r="GLS143" s="4"/>
      <c r="GLT143" s="4"/>
      <c r="GLU143" s="4"/>
      <c r="GLV143" s="4"/>
      <c r="GLW143" s="4"/>
      <c r="GLX143" s="4"/>
      <c r="GLY143" s="4"/>
      <c r="GLZ143" s="4"/>
      <c r="GMA143" s="4"/>
      <c r="GMB143" s="4"/>
      <c r="GMC143" s="4"/>
      <c r="GMD143" s="4"/>
      <c r="GME143" s="4"/>
      <c r="GMF143" s="4"/>
      <c r="GMG143" s="4"/>
      <c r="GMH143" s="4"/>
      <c r="GMI143" s="4"/>
      <c r="GMJ143" s="4"/>
      <c r="GMK143" s="4"/>
      <c r="GML143" s="4"/>
      <c r="GMM143" s="4"/>
      <c r="GMN143" s="4"/>
      <c r="GMO143" s="4"/>
      <c r="GMP143" s="4"/>
      <c r="GMQ143" s="4"/>
      <c r="GMR143" s="4"/>
      <c r="GMS143" s="4"/>
      <c r="GMT143" s="4"/>
      <c r="GMU143" s="4"/>
      <c r="GMV143" s="4"/>
      <c r="GMW143" s="4"/>
      <c r="GMX143" s="4"/>
      <c r="GMY143" s="4"/>
      <c r="GMZ143" s="4"/>
      <c r="GNA143" s="4"/>
      <c r="GNB143" s="4"/>
      <c r="GNC143" s="4"/>
      <c r="GND143" s="4"/>
      <c r="GNE143" s="4"/>
      <c r="GNF143" s="4"/>
      <c r="GNG143" s="4"/>
      <c r="GNH143" s="4"/>
      <c r="GNI143" s="4"/>
      <c r="GNJ143" s="4"/>
      <c r="GNK143" s="4"/>
      <c r="GNL143" s="4"/>
      <c r="GNM143" s="4"/>
      <c r="GNN143" s="4"/>
      <c r="GNO143" s="4"/>
      <c r="GNP143" s="4"/>
      <c r="GNQ143" s="4"/>
      <c r="GNR143" s="4"/>
      <c r="GNS143" s="4"/>
      <c r="GNT143" s="4"/>
      <c r="GNU143" s="4"/>
      <c r="GNV143" s="4"/>
      <c r="GNW143" s="4"/>
      <c r="GNX143" s="4"/>
      <c r="GNY143" s="4"/>
      <c r="GNZ143" s="4"/>
      <c r="GOA143" s="4"/>
      <c r="GOB143" s="4"/>
      <c r="GOC143" s="4"/>
      <c r="GOD143" s="4"/>
      <c r="GOE143" s="4"/>
      <c r="GOF143" s="4"/>
      <c r="GOG143" s="4"/>
      <c r="GOH143" s="4"/>
      <c r="GOI143" s="4"/>
      <c r="GOJ143" s="4"/>
      <c r="GOK143" s="4"/>
      <c r="GOL143" s="4"/>
      <c r="GOM143" s="4"/>
      <c r="GON143" s="4"/>
      <c r="GOO143" s="4"/>
      <c r="GOP143" s="4"/>
      <c r="GOQ143" s="4"/>
      <c r="GOR143" s="4"/>
      <c r="GOS143" s="4"/>
      <c r="GOT143" s="4"/>
      <c r="GOU143" s="4"/>
      <c r="GOV143" s="4"/>
      <c r="GOW143" s="4"/>
      <c r="GOX143" s="4"/>
      <c r="GOY143" s="4"/>
      <c r="GOZ143" s="4"/>
      <c r="GPA143" s="4"/>
      <c r="GPB143" s="4"/>
      <c r="GPC143" s="4"/>
      <c r="GPD143" s="4"/>
      <c r="GPE143" s="4"/>
      <c r="GPF143" s="4"/>
      <c r="GPG143" s="4"/>
      <c r="GPH143" s="4"/>
      <c r="GPI143" s="4"/>
      <c r="GPJ143" s="4"/>
      <c r="GPK143" s="4"/>
      <c r="GPL143" s="4"/>
      <c r="GPM143" s="4"/>
      <c r="GPN143" s="4"/>
      <c r="GPO143" s="4"/>
      <c r="GPP143" s="4"/>
      <c r="GPQ143" s="4"/>
      <c r="GPR143" s="4"/>
      <c r="GPS143" s="4"/>
      <c r="GPT143" s="4"/>
      <c r="GPU143" s="4"/>
      <c r="GPV143" s="4"/>
      <c r="GPW143" s="4"/>
      <c r="GPX143" s="4"/>
      <c r="GPY143" s="4"/>
      <c r="GPZ143" s="4"/>
      <c r="GQA143" s="4"/>
      <c r="GQB143" s="4"/>
      <c r="GQC143" s="4"/>
      <c r="GQD143" s="4"/>
      <c r="GQE143" s="4"/>
      <c r="GQF143" s="4"/>
      <c r="GQG143" s="4"/>
      <c r="GQH143" s="4"/>
      <c r="GQI143" s="4"/>
      <c r="GQJ143" s="4"/>
      <c r="GQK143" s="4"/>
      <c r="GQL143" s="4"/>
      <c r="GQM143" s="4"/>
      <c r="GQN143" s="4"/>
      <c r="GQO143" s="4"/>
      <c r="GQP143" s="4"/>
      <c r="GQQ143" s="4"/>
      <c r="GQR143" s="4"/>
      <c r="GQS143" s="4"/>
      <c r="GQT143" s="4"/>
      <c r="GQU143" s="4"/>
      <c r="GQV143" s="4"/>
      <c r="GQW143" s="4"/>
      <c r="GQX143" s="4"/>
      <c r="GQY143" s="4"/>
      <c r="GQZ143" s="4"/>
      <c r="GRA143" s="4"/>
      <c r="GRB143" s="4"/>
      <c r="GRC143" s="4"/>
      <c r="GRD143" s="4"/>
      <c r="GRE143" s="4"/>
      <c r="GRF143" s="4"/>
      <c r="GRG143" s="4"/>
      <c r="GRH143" s="4"/>
      <c r="GRI143" s="4"/>
      <c r="GRJ143" s="4"/>
      <c r="GRK143" s="4"/>
      <c r="GRL143" s="4"/>
      <c r="GRM143" s="4"/>
      <c r="GRN143" s="4"/>
      <c r="GRO143" s="4"/>
      <c r="GRP143" s="4"/>
      <c r="GRQ143" s="4"/>
      <c r="GRR143" s="4"/>
      <c r="GRS143" s="4"/>
      <c r="GRT143" s="4"/>
      <c r="GRU143" s="4"/>
      <c r="GRV143" s="4"/>
      <c r="GRW143" s="4"/>
      <c r="GRX143" s="4"/>
      <c r="GRY143" s="4"/>
      <c r="GRZ143" s="4"/>
      <c r="GSA143" s="4"/>
      <c r="GSB143" s="4"/>
      <c r="GSC143" s="4"/>
      <c r="GSD143" s="4"/>
      <c r="GSE143" s="4"/>
      <c r="GSF143" s="4"/>
      <c r="GSG143" s="4"/>
      <c r="GSH143" s="4"/>
      <c r="GSI143" s="4"/>
      <c r="GSJ143" s="4"/>
      <c r="GSK143" s="4"/>
      <c r="GSL143" s="4"/>
      <c r="GSM143" s="4"/>
      <c r="GSN143" s="4"/>
      <c r="GSO143" s="4"/>
      <c r="GSP143" s="4"/>
      <c r="GSQ143" s="4"/>
      <c r="GSR143" s="4"/>
      <c r="GSS143" s="4"/>
      <c r="GST143" s="4"/>
      <c r="GSU143" s="4"/>
      <c r="GSV143" s="4"/>
      <c r="GSW143" s="4"/>
      <c r="GSX143" s="4"/>
      <c r="GSY143" s="4"/>
      <c r="GSZ143" s="4"/>
      <c r="GTA143" s="4"/>
      <c r="GTB143" s="4"/>
      <c r="GTC143" s="4"/>
      <c r="GTD143" s="4"/>
      <c r="GTE143" s="4"/>
      <c r="GTF143" s="4"/>
      <c r="GTG143" s="4"/>
      <c r="GTH143" s="4"/>
      <c r="GTI143" s="4"/>
      <c r="GTJ143" s="4"/>
      <c r="GTK143" s="4"/>
      <c r="GTL143" s="4"/>
      <c r="GTM143" s="4"/>
      <c r="GTN143" s="4"/>
      <c r="GTO143" s="4"/>
      <c r="GTP143" s="4"/>
      <c r="GTQ143" s="4"/>
      <c r="GTR143" s="4"/>
      <c r="GTS143" s="4"/>
      <c r="GTT143" s="4"/>
      <c r="GTU143" s="4"/>
      <c r="GTV143" s="4"/>
      <c r="GTW143" s="4"/>
      <c r="GTX143" s="4"/>
      <c r="GTY143" s="4"/>
      <c r="GTZ143" s="4"/>
      <c r="GUA143" s="4"/>
      <c r="GUB143" s="4"/>
      <c r="GUC143" s="4"/>
      <c r="GUD143" s="4"/>
      <c r="GUE143" s="4"/>
      <c r="GUF143" s="4"/>
      <c r="GUG143" s="4"/>
      <c r="GUH143" s="4"/>
      <c r="GUI143" s="4"/>
      <c r="GUJ143" s="4"/>
      <c r="GUK143" s="4"/>
      <c r="GUL143" s="4"/>
      <c r="GUM143" s="4"/>
      <c r="GUN143" s="4"/>
      <c r="GUO143" s="4"/>
      <c r="GUP143" s="4"/>
      <c r="GUQ143" s="4"/>
      <c r="GUR143" s="4"/>
      <c r="GUS143" s="4"/>
      <c r="GUT143" s="4"/>
      <c r="GUU143" s="4"/>
      <c r="GUV143" s="4"/>
      <c r="GUW143" s="4"/>
      <c r="GUX143" s="4"/>
      <c r="GUY143" s="4"/>
      <c r="GUZ143" s="4"/>
      <c r="GVA143" s="4"/>
      <c r="GVB143" s="4"/>
      <c r="GVC143" s="4"/>
      <c r="GVD143" s="4"/>
      <c r="GVE143" s="4"/>
      <c r="GVF143" s="4"/>
      <c r="GVG143" s="4"/>
      <c r="GVH143" s="4"/>
      <c r="GVI143" s="4"/>
      <c r="GVJ143" s="4"/>
      <c r="GVK143" s="4"/>
      <c r="GVL143" s="4"/>
      <c r="GVM143" s="4"/>
      <c r="GVN143" s="4"/>
      <c r="GVO143" s="4"/>
      <c r="GVP143" s="4"/>
      <c r="GVQ143" s="4"/>
      <c r="GVR143" s="4"/>
      <c r="GVS143" s="4"/>
      <c r="GVT143" s="4"/>
      <c r="GVU143" s="4"/>
      <c r="GVV143" s="4"/>
      <c r="GVW143" s="4"/>
      <c r="GVX143" s="4"/>
      <c r="GVY143" s="4"/>
      <c r="GVZ143" s="4"/>
      <c r="GWA143" s="4"/>
      <c r="GWB143" s="4"/>
      <c r="GWC143" s="4"/>
      <c r="GWD143" s="4"/>
      <c r="GWE143" s="4"/>
      <c r="GWF143" s="4"/>
      <c r="GWG143" s="4"/>
      <c r="GWH143" s="4"/>
      <c r="GWI143" s="4"/>
      <c r="GWJ143" s="4"/>
      <c r="GWK143" s="4"/>
      <c r="GWL143" s="4"/>
      <c r="GWM143" s="4"/>
      <c r="GWN143" s="4"/>
      <c r="GWO143" s="4"/>
      <c r="GWP143" s="4"/>
      <c r="GWQ143" s="4"/>
      <c r="GWR143" s="4"/>
      <c r="GWS143" s="4"/>
      <c r="GWT143" s="4"/>
      <c r="GWU143" s="4"/>
      <c r="GWV143" s="4"/>
      <c r="GWW143" s="4"/>
      <c r="GWX143" s="4"/>
      <c r="GWY143" s="4"/>
      <c r="GWZ143" s="4"/>
      <c r="GXA143" s="4"/>
      <c r="GXB143" s="4"/>
      <c r="GXC143" s="4"/>
      <c r="GXD143" s="4"/>
      <c r="GXE143" s="4"/>
      <c r="GXF143" s="4"/>
      <c r="GXG143" s="4"/>
      <c r="GXH143" s="4"/>
      <c r="GXI143" s="4"/>
      <c r="GXJ143" s="4"/>
      <c r="GXK143" s="4"/>
      <c r="GXL143" s="4"/>
      <c r="GXM143" s="4"/>
      <c r="GXN143" s="4"/>
      <c r="GXO143" s="4"/>
      <c r="GXP143" s="4"/>
      <c r="GXQ143" s="4"/>
      <c r="GXR143" s="4"/>
      <c r="GXS143" s="4"/>
      <c r="GXT143" s="4"/>
      <c r="GXU143" s="4"/>
      <c r="GXV143" s="4"/>
      <c r="GXW143" s="4"/>
      <c r="GXX143" s="4"/>
      <c r="GXY143" s="4"/>
      <c r="GXZ143" s="4"/>
      <c r="GYA143" s="4"/>
      <c r="GYB143" s="4"/>
      <c r="GYC143" s="4"/>
      <c r="GYD143" s="4"/>
      <c r="GYE143" s="4"/>
      <c r="GYF143" s="4"/>
      <c r="GYG143" s="4"/>
      <c r="GYH143" s="4"/>
      <c r="GYI143" s="4"/>
      <c r="GYJ143" s="4"/>
      <c r="GYK143" s="4"/>
      <c r="GYL143" s="4"/>
      <c r="GYM143" s="4"/>
      <c r="GYN143" s="4"/>
      <c r="GYO143" s="4"/>
      <c r="GYP143" s="4"/>
      <c r="GYQ143" s="4"/>
      <c r="GYR143" s="4"/>
      <c r="GYS143" s="4"/>
      <c r="GYT143" s="4"/>
      <c r="GYU143" s="4"/>
      <c r="GYV143" s="4"/>
      <c r="GYW143" s="4"/>
      <c r="GYX143" s="4"/>
      <c r="GYY143" s="4"/>
      <c r="GYZ143" s="4"/>
      <c r="GZA143" s="4"/>
      <c r="GZB143" s="4"/>
      <c r="GZC143" s="4"/>
      <c r="GZD143" s="4"/>
      <c r="GZE143" s="4"/>
      <c r="GZF143" s="4"/>
      <c r="GZG143" s="4"/>
      <c r="GZH143" s="4"/>
      <c r="GZI143" s="4"/>
      <c r="GZJ143" s="4"/>
      <c r="GZK143" s="4"/>
      <c r="GZL143" s="4"/>
      <c r="GZM143" s="4"/>
      <c r="GZN143" s="4"/>
      <c r="GZO143" s="4"/>
      <c r="GZP143" s="4"/>
      <c r="GZQ143" s="4"/>
      <c r="GZR143" s="4"/>
      <c r="GZS143" s="4"/>
      <c r="GZT143" s="4"/>
      <c r="GZU143" s="4"/>
      <c r="GZV143" s="4"/>
      <c r="GZW143" s="4"/>
      <c r="GZX143" s="4"/>
      <c r="GZY143" s="4"/>
      <c r="GZZ143" s="4"/>
      <c r="HAA143" s="4"/>
      <c r="HAB143" s="4"/>
      <c r="HAC143" s="4"/>
      <c r="HAD143" s="4"/>
      <c r="HAE143" s="4"/>
      <c r="HAF143" s="4"/>
      <c r="HAG143" s="4"/>
      <c r="HAH143" s="4"/>
      <c r="HAI143" s="4"/>
      <c r="HAJ143" s="4"/>
      <c r="HAK143" s="4"/>
      <c r="HAL143" s="4"/>
      <c r="HAM143" s="4"/>
      <c r="HAN143" s="4"/>
      <c r="HAO143" s="4"/>
      <c r="HAP143" s="4"/>
      <c r="HAQ143" s="4"/>
      <c r="HAR143" s="4"/>
      <c r="HAS143" s="4"/>
      <c r="HAT143" s="4"/>
      <c r="HAU143" s="4"/>
      <c r="HAV143" s="4"/>
      <c r="HAW143" s="4"/>
      <c r="HAX143" s="4"/>
      <c r="HAY143" s="4"/>
      <c r="HAZ143" s="4"/>
      <c r="HBA143" s="4"/>
      <c r="HBB143" s="4"/>
      <c r="HBC143" s="4"/>
      <c r="HBD143" s="4"/>
      <c r="HBE143" s="4"/>
      <c r="HBF143" s="4"/>
      <c r="HBG143" s="4"/>
      <c r="HBH143" s="4"/>
      <c r="HBI143" s="4"/>
      <c r="HBJ143" s="4"/>
      <c r="HBK143" s="4"/>
      <c r="HBL143" s="4"/>
      <c r="HBM143" s="4"/>
      <c r="HBN143" s="4"/>
      <c r="HBO143" s="4"/>
      <c r="HBP143" s="4"/>
      <c r="HBQ143" s="4"/>
      <c r="HBR143" s="4"/>
      <c r="HBS143" s="4"/>
      <c r="HBT143" s="4"/>
      <c r="HBU143" s="4"/>
      <c r="HBV143" s="4"/>
      <c r="HBW143" s="4"/>
      <c r="HBX143" s="4"/>
      <c r="HBY143" s="4"/>
      <c r="HBZ143" s="4"/>
      <c r="HCA143" s="4"/>
      <c r="HCB143" s="4"/>
      <c r="HCC143" s="4"/>
      <c r="HCD143" s="4"/>
      <c r="HCE143" s="4"/>
      <c r="HCF143" s="4"/>
      <c r="HCG143" s="4"/>
      <c r="HCH143" s="4"/>
      <c r="HCI143" s="4"/>
      <c r="HCJ143" s="4"/>
      <c r="HCK143" s="4"/>
      <c r="HCL143" s="4"/>
      <c r="HCM143" s="4"/>
      <c r="HCN143" s="4"/>
      <c r="HCO143" s="4"/>
      <c r="HCP143" s="4"/>
      <c r="HCQ143" s="4"/>
      <c r="HCR143" s="4"/>
      <c r="HCS143" s="4"/>
      <c r="HCT143" s="4"/>
      <c r="HCU143" s="4"/>
      <c r="HCV143" s="4"/>
      <c r="HCW143" s="4"/>
      <c r="HCX143" s="4"/>
      <c r="HCY143" s="4"/>
      <c r="HCZ143" s="4"/>
      <c r="HDA143" s="4"/>
      <c r="HDB143" s="4"/>
      <c r="HDC143" s="4"/>
      <c r="HDD143" s="4"/>
      <c r="HDE143" s="4"/>
      <c r="HDF143" s="4"/>
      <c r="HDG143" s="4"/>
      <c r="HDH143" s="4"/>
      <c r="HDI143" s="4"/>
      <c r="HDJ143" s="4"/>
      <c r="HDK143" s="4"/>
      <c r="HDL143" s="4"/>
      <c r="HDM143" s="4"/>
      <c r="HDN143" s="4"/>
      <c r="HDO143" s="4"/>
      <c r="HDP143" s="4"/>
      <c r="HDQ143" s="4"/>
      <c r="HDR143" s="4"/>
      <c r="HDS143" s="4"/>
      <c r="HDT143" s="4"/>
      <c r="HDU143" s="4"/>
      <c r="HDV143" s="4"/>
      <c r="HDW143" s="4"/>
      <c r="HDX143" s="4"/>
      <c r="HDY143" s="4"/>
      <c r="HDZ143" s="4"/>
      <c r="HEA143" s="4"/>
      <c r="HEB143" s="4"/>
      <c r="HEC143" s="4"/>
      <c r="HED143" s="4"/>
      <c r="HEE143" s="4"/>
      <c r="HEF143" s="4"/>
      <c r="HEG143" s="4"/>
      <c r="HEH143" s="4"/>
      <c r="HEI143" s="4"/>
      <c r="HEJ143" s="4"/>
      <c r="HEK143" s="4"/>
      <c r="HEL143" s="4"/>
      <c r="HEM143" s="4"/>
      <c r="HEN143" s="4"/>
      <c r="HEO143" s="4"/>
      <c r="HEP143" s="4"/>
      <c r="HEQ143" s="4"/>
      <c r="HER143" s="4"/>
      <c r="HES143" s="4"/>
      <c r="HET143" s="4"/>
      <c r="HEU143" s="4"/>
      <c r="HEV143" s="4"/>
      <c r="HEW143" s="4"/>
      <c r="HEX143" s="4"/>
      <c r="HEY143" s="4"/>
      <c r="HEZ143" s="4"/>
      <c r="HFA143" s="4"/>
      <c r="HFB143" s="4"/>
      <c r="HFC143" s="4"/>
      <c r="HFD143" s="4"/>
      <c r="HFE143" s="4"/>
      <c r="HFF143" s="4"/>
      <c r="HFG143" s="4"/>
      <c r="HFH143" s="4"/>
      <c r="HFI143" s="4"/>
      <c r="HFJ143" s="4"/>
      <c r="HFK143" s="4"/>
      <c r="HFL143" s="4"/>
      <c r="HFM143" s="4"/>
      <c r="HFN143" s="4"/>
      <c r="HFO143" s="4"/>
      <c r="HFP143" s="4"/>
      <c r="HFQ143" s="4"/>
      <c r="HFR143" s="4"/>
      <c r="HFS143" s="4"/>
      <c r="HFT143" s="4"/>
      <c r="HFU143" s="4"/>
      <c r="HFV143" s="4"/>
      <c r="HFW143" s="4"/>
      <c r="HFX143" s="4"/>
      <c r="HFY143" s="4"/>
      <c r="HFZ143" s="4"/>
      <c r="HGA143" s="4"/>
      <c r="HGB143" s="4"/>
      <c r="HGC143" s="4"/>
      <c r="HGD143" s="4"/>
      <c r="HGE143" s="4"/>
      <c r="HGF143" s="4"/>
      <c r="HGG143" s="4"/>
      <c r="HGH143" s="4"/>
      <c r="HGI143" s="4"/>
      <c r="HGJ143" s="4"/>
      <c r="HGK143" s="4"/>
      <c r="HGL143" s="4"/>
      <c r="HGM143" s="4"/>
      <c r="HGN143" s="4"/>
      <c r="HGO143" s="4"/>
      <c r="HGP143" s="4"/>
      <c r="HGQ143" s="4"/>
      <c r="HGR143" s="4"/>
      <c r="HGS143" s="4"/>
      <c r="HGT143" s="4"/>
      <c r="HGU143" s="4"/>
      <c r="HGV143" s="4"/>
      <c r="HGW143" s="4"/>
      <c r="HGX143" s="4"/>
      <c r="HGY143" s="4"/>
      <c r="HGZ143" s="4"/>
      <c r="HHA143" s="4"/>
      <c r="HHB143" s="4"/>
      <c r="HHC143" s="4"/>
      <c r="HHD143" s="4"/>
      <c r="HHE143" s="4"/>
      <c r="HHF143" s="4"/>
      <c r="HHG143" s="4"/>
      <c r="HHH143" s="4"/>
      <c r="HHI143" s="4"/>
      <c r="HHJ143" s="4"/>
      <c r="HHK143" s="4"/>
      <c r="HHL143" s="4"/>
      <c r="HHM143" s="4"/>
      <c r="HHN143" s="4"/>
      <c r="HHO143" s="4"/>
      <c r="HHP143" s="4"/>
      <c r="HHQ143" s="4"/>
      <c r="HHR143" s="4"/>
      <c r="HHS143" s="4"/>
      <c r="HHT143" s="4"/>
      <c r="HHU143" s="4"/>
      <c r="HHV143" s="4"/>
      <c r="HHW143" s="4"/>
      <c r="HHX143" s="4"/>
      <c r="HHY143" s="4"/>
      <c r="HHZ143" s="4"/>
      <c r="HIA143" s="4"/>
      <c r="HIB143" s="4"/>
      <c r="HIC143" s="4"/>
      <c r="HID143" s="4"/>
      <c r="HIE143" s="4"/>
      <c r="HIF143" s="4"/>
      <c r="HIG143" s="4"/>
      <c r="HIH143" s="4"/>
      <c r="HII143" s="4"/>
      <c r="HIJ143" s="4"/>
      <c r="HIK143" s="4"/>
      <c r="HIL143" s="4"/>
      <c r="HIM143" s="4"/>
      <c r="HIN143" s="4"/>
      <c r="HIO143" s="4"/>
      <c r="HIP143" s="4"/>
      <c r="HIQ143" s="4"/>
      <c r="HIR143" s="4"/>
      <c r="HIS143" s="4"/>
      <c r="HIT143" s="4"/>
      <c r="HIU143" s="4"/>
      <c r="HIV143" s="4"/>
      <c r="HIW143" s="4"/>
      <c r="HIX143" s="4"/>
      <c r="HIY143" s="4"/>
      <c r="HIZ143" s="4"/>
      <c r="HJA143" s="4"/>
      <c r="HJB143" s="4"/>
      <c r="HJC143" s="4"/>
      <c r="HJD143" s="4"/>
      <c r="HJE143" s="4"/>
      <c r="HJF143" s="4"/>
      <c r="HJG143" s="4"/>
      <c r="HJH143" s="4"/>
      <c r="HJI143" s="4"/>
      <c r="HJJ143" s="4"/>
      <c r="HJK143" s="4"/>
      <c r="HJL143" s="4"/>
      <c r="HJM143" s="4"/>
      <c r="HJN143" s="4"/>
      <c r="HJO143" s="4"/>
      <c r="HJP143" s="4"/>
      <c r="HJQ143" s="4"/>
      <c r="HJR143" s="4"/>
      <c r="HJS143" s="4"/>
      <c r="HJT143" s="4"/>
      <c r="HJU143" s="4"/>
      <c r="HJV143" s="4"/>
      <c r="HJW143" s="4"/>
      <c r="HJX143" s="4"/>
      <c r="HJY143" s="4"/>
      <c r="HJZ143" s="4"/>
      <c r="HKA143" s="4"/>
      <c r="HKB143" s="4"/>
      <c r="HKC143" s="4"/>
      <c r="HKD143" s="4"/>
      <c r="HKE143" s="4"/>
      <c r="HKF143" s="4"/>
      <c r="HKG143" s="4"/>
      <c r="HKH143" s="4"/>
      <c r="HKI143" s="4"/>
      <c r="HKJ143" s="4"/>
      <c r="HKK143" s="4"/>
      <c r="HKL143" s="4"/>
      <c r="HKM143" s="4"/>
      <c r="HKN143" s="4"/>
      <c r="HKO143" s="4"/>
      <c r="HKP143" s="4"/>
      <c r="HKQ143" s="4"/>
      <c r="HKR143" s="4"/>
      <c r="HKS143" s="4"/>
      <c r="HKT143" s="4"/>
      <c r="HKU143" s="4"/>
      <c r="HKV143" s="4"/>
      <c r="HKW143" s="4"/>
      <c r="HKX143" s="4"/>
      <c r="HKY143" s="4"/>
      <c r="HKZ143" s="4"/>
      <c r="HLA143" s="4"/>
      <c r="HLB143" s="4"/>
      <c r="HLC143" s="4"/>
      <c r="HLD143" s="4"/>
      <c r="HLE143" s="4"/>
      <c r="HLF143" s="4"/>
      <c r="HLG143" s="4"/>
      <c r="HLH143" s="4"/>
      <c r="HLI143" s="4"/>
      <c r="HLJ143" s="4"/>
      <c r="HLK143" s="4"/>
      <c r="HLL143" s="4"/>
      <c r="HLM143" s="4"/>
      <c r="HLN143" s="4"/>
      <c r="HLO143" s="4"/>
      <c r="HLP143" s="4"/>
      <c r="HLQ143" s="4"/>
      <c r="HLR143" s="4"/>
      <c r="HLS143" s="4"/>
      <c r="HLT143" s="4"/>
      <c r="HLU143" s="4"/>
      <c r="HLV143" s="4"/>
      <c r="HLW143" s="4"/>
      <c r="HLX143" s="4"/>
      <c r="HLY143" s="4"/>
      <c r="HLZ143" s="4"/>
      <c r="HMA143" s="4"/>
      <c r="HMB143" s="4"/>
      <c r="HMC143" s="4"/>
      <c r="HMD143" s="4"/>
      <c r="HME143" s="4"/>
      <c r="HMF143" s="4"/>
      <c r="HMG143" s="4"/>
      <c r="HMH143" s="4"/>
      <c r="HMI143" s="4"/>
      <c r="HMJ143" s="4"/>
      <c r="HMK143" s="4"/>
      <c r="HML143" s="4"/>
      <c r="HMM143" s="4"/>
      <c r="HMN143" s="4"/>
      <c r="HMO143" s="4"/>
      <c r="HMP143" s="4"/>
      <c r="HMQ143" s="4"/>
      <c r="HMR143" s="4"/>
      <c r="HMS143" s="4"/>
      <c r="HMT143" s="4"/>
      <c r="HMU143" s="4"/>
      <c r="HMV143" s="4"/>
      <c r="HMW143" s="4"/>
      <c r="HMX143" s="4"/>
      <c r="HMY143" s="4"/>
      <c r="HMZ143" s="4"/>
      <c r="HNA143" s="4"/>
      <c r="HNB143" s="4"/>
      <c r="HNC143" s="4"/>
      <c r="HND143" s="4"/>
      <c r="HNE143" s="4"/>
      <c r="HNF143" s="4"/>
      <c r="HNG143" s="4"/>
      <c r="HNH143" s="4"/>
      <c r="HNI143" s="4"/>
      <c r="HNJ143" s="4"/>
      <c r="HNK143" s="4"/>
      <c r="HNL143" s="4"/>
      <c r="HNM143" s="4"/>
      <c r="HNN143" s="4"/>
      <c r="HNO143" s="4"/>
      <c r="HNP143" s="4"/>
      <c r="HNQ143" s="4"/>
      <c r="HNR143" s="4"/>
      <c r="HNS143" s="4"/>
      <c r="HNT143" s="4"/>
      <c r="HNU143" s="4"/>
      <c r="HNV143" s="4"/>
      <c r="HNW143" s="4"/>
      <c r="HNX143" s="4"/>
      <c r="HNY143" s="4"/>
      <c r="HNZ143" s="4"/>
      <c r="HOA143" s="4"/>
      <c r="HOB143" s="4"/>
      <c r="HOC143" s="4"/>
      <c r="HOD143" s="4"/>
      <c r="HOE143" s="4"/>
      <c r="HOF143" s="4"/>
      <c r="HOG143" s="4"/>
      <c r="HOH143" s="4"/>
      <c r="HOI143" s="4"/>
      <c r="HOJ143" s="4"/>
      <c r="HOK143" s="4"/>
      <c r="HOL143" s="4"/>
      <c r="HOM143" s="4"/>
      <c r="HON143" s="4"/>
      <c r="HOO143" s="4"/>
      <c r="HOP143" s="4"/>
      <c r="HOQ143" s="4"/>
      <c r="HOR143" s="4"/>
      <c r="HOS143" s="4"/>
      <c r="HOT143" s="4"/>
      <c r="HOU143" s="4"/>
      <c r="HOV143" s="4"/>
      <c r="HOW143" s="4"/>
      <c r="HOX143" s="4"/>
      <c r="HOY143" s="4"/>
      <c r="HOZ143" s="4"/>
      <c r="HPA143" s="4"/>
      <c r="HPB143" s="4"/>
      <c r="HPC143" s="4"/>
      <c r="HPD143" s="4"/>
      <c r="HPE143" s="4"/>
      <c r="HPF143" s="4"/>
      <c r="HPG143" s="4"/>
      <c r="HPH143" s="4"/>
      <c r="HPI143" s="4"/>
      <c r="HPJ143" s="4"/>
      <c r="HPK143" s="4"/>
      <c r="HPL143" s="4"/>
      <c r="HPM143" s="4"/>
      <c r="HPN143" s="4"/>
      <c r="HPO143" s="4"/>
      <c r="HPP143" s="4"/>
      <c r="HPQ143" s="4"/>
      <c r="HPR143" s="4"/>
      <c r="HPS143" s="4"/>
      <c r="HPT143" s="4"/>
      <c r="HPU143" s="4"/>
      <c r="HPV143" s="4"/>
      <c r="HPW143" s="4"/>
      <c r="HPX143" s="4"/>
      <c r="HPY143" s="4"/>
      <c r="HPZ143" s="4"/>
      <c r="HQA143" s="4"/>
      <c r="HQB143" s="4"/>
      <c r="HQC143" s="4"/>
      <c r="HQD143" s="4"/>
      <c r="HQE143" s="4"/>
      <c r="HQF143" s="4"/>
      <c r="HQG143" s="4"/>
      <c r="HQH143" s="4"/>
      <c r="HQI143" s="4"/>
      <c r="HQJ143" s="4"/>
      <c r="HQK143" s="4"/>
      <c r="HQL143" s="4"/>
      <c r="HQM143" s="4"/>
      <c r="HQN143" s="4"/>
      <c r="HQO143" s="4"/>
      <c r="HQP143" s="4"/>
      <c r="HQQ143" s="4"/>
      <c r="HQR143" s="4"/>
      <c r="HQS143" s="4"/>
      <c r="HQT143" s="4"/>
      <c r="HQU143" s="4"/>
      <c r="HQV143" s="4"/>
      <c r="HQW143" s="4"/>
      <c r="HQX143" s="4"/>
      <c r="HQY143" s="4"/>
      <c r="HQZ143" s="4"/>
      <c r="HRA143" s="4"/>
      <c r="HRB143" s="4"/>
      <c r="HRC143" s="4"/>
      <c r="HRD143" s="4"/>
      <c r="HRE143" s="4"/>
      <c r="HRF143" s="4"/>
      <c r="HRG143" s="4"/>
      <c r="HRH143" s="4"/>
      <c r="HRI143" s="4"/>
      <c r="HRJ143" s="4"/>
      <c r="HRK143" s="4"/>
      <c r="HRL143" s="4"/>
      <c r="HRM143" s="4"/>
      <c r="HRN143" s="4"/>
      <c r="HRO143" s="4"/>
      <c r="HRP143" s="4"/>
      <c r="HRQ143" s="4"/>
      <c r="HRR143" s="4"/>
      <c r="HRS143" s="4"/>
      <c r="HRT143" s="4"/>
      <c r="HRU143" s="4"/>
      <c r="HRV143" s="4"/>
      <c r="HRW143" s="4"/>
      <c r="HRX143" s="4"/>
      <c r="HRY143" s="4"/>
      <c r="HRZ143" s="4"/>
      <c r="HSA143" s="4"/>
      <c r="HSB143" s="4"/>
      <c r="HSC143" s="4"/>
      <c r="HSD143" s="4"/>
      <c r="HSE143" s="4"/>
      <c r="HSF143" s="4"/>
      <c r="HSG143" s="4"/>
      <c r="HSH143" s="4"/>
      <c r="HSI143" s="4"/>
      <c r="HSJ143" s="4"/>
      <c r="HSK143" s="4"/>
      <c r="HSL143" s="4"/>
      <c r="HSM143" s="4"/>
      <c r="HSN143" s="4"/>
      <c r="HSO143" s="4"/>
      <c r="HSP143" s="4"/>
      <c r="HSQ143" s="4"/>
      <c r="HSR143" s="4"/>
      <c r="HSS143" s="4"/>
      <c r="HST143" s="4"/>
      <c r="HSU143" s="4"/>
      <c r="HSV143" s="4"/>
      <c r="HSW143" s="4"/>
      <c r="HSX143" s="4"/>
      <c r="HSY143" s="4"/>
      <c r="HSZ143" s="4"/>
      <c r="HTA143" s="4"/>
      <c r="HTB143" s="4"/>
      <c r="HTC143" s="4"/>
      <c r="HTD143" s="4"/>
      <c r="HTE143" s="4"/>
      <c r="HTF143" s="4"/>
      <c r="HTG143" s="4"/>
      <c r="HTH143" s="4"/>
      <c r="HTI143" s="4"/>
      <c r="HTJ143" s="4"/>
      <c r="HTK143" s="4"/>
      <c r="HTL143" s="4"/>
      <c r="HTM143" s="4"/>
      <c r="HTN143" s="4"/>
      <c r="HTO143" s="4"/>
      <c r="HTP143" s="4"/>
      <c r="HTQ143" s="4"/>
      <c r="HTR143" s="4"/>
      <c r="HTS143" s="4"/>
      <c r="HTT143" s="4"/>
      <c r="HTU143" s="4"/>
      <c r="HTV143" s="4"/>
      <c r="HTW143" s="4"/>
      <c r="HTX143" s="4"/>
      <c r="HTY143" s="4"/>
      <c r="HTZ143" s="4"/>
      <c r="HUA143" s="4"/>
      <c r="HUB143" s="4"/>
      <c r="HUC143" s="4"/>
      <c r="HUD143" s="4"/>
      <c r="HUE143" s="4"/>
      <c r="HUF143" s="4"/>
      <c r="HUG143" s="4"/>
      <c r="HUH143" s="4"/>
      <c r="HUI143" s="4"/>
      <c r="HUJ143" s="4"/>
      <c r="HUK143" s="4"/>
      <c r="HUL143" s="4"/>
      <c r="HUM143" s="4"/>
      <c r="HUN143" s="4"/>
      <c r="HUO143" s="4"/>
      <c r="HUP143" s="4"/>
      <c r="HUQ143" s="4"/>
      <c r="HUR143" s="4"/>
      <c r="HUS143" s="4"/>
      <c r="HUT143" s="4"/>
      <c r="HUU143" s="4"/>
      <c r="HUV143" s="4"/>
      <c r="HUW143" s="4"/>
      <c r="HUX143" s="4"/>
      <c r="HUY143" s="4"/>
      <c r="HUZ143" s="4"/>
      <c r="HVA143" s="4"/>
      <c r="HVB143" s="4"/>
      <c r="HVC143" s="4"/>
      <c r="HVD143" s="4"/>
      <c r="HVE143" s="4"/>
      <c r="HVF143" s="4"/>
      <c r="HVG143" s="4"/>
      <c r="HVH143" s="4"/>
      <c r="HVI143" s="4"/>
      <c r="HVJ143" s="4"/>
      <c r="HVK143" s="4"/>
      <c r="HVL143" s="4"/>
      <c r="HVM143" s="4"/>
      <c r="HVN143" s="4"/>
      <c r="HVO143" s="4"/>
      <c r="HVP143" s="4"/>
      <c r="HVQ143" s="4"/>
      <c r="HVR143" s="4"/>
      <c r="HVS143" s="4"/>
      <c r="HVT143" s="4"/>
      <c r="HVU143" s="4"/>
      <c r="HVV143" s="4"/>
      <c r="HVW143" s="4"/>
      <c r="HVX143" s="4"/>
      <c r="HVY143" s="4"/>
      <c r="HVZ143" s="4"/>
      <c r="HWA143" s="4"/>
      <c r="HWB143" s="4"/>
      <c r="HWC143" s="4"/>
      <c r="HWD143" s="4"/>
      <c r="HWE143" s="4"/>
      <c r="HWF143" s="4"/>
      <c r="HWG143" s="4"/>
      <c r="HWH143" s="4"/>
      <c r="HWI143" s="4"/>
      <c r="HWJ143" s="4"/>
      <c r="HWK143" s="4"/>
      <c r="HWL143" s="4"/>
      <c r="HWM143" s="4"/>
      <c r="HWN143" s="4"/>
      <c r="HWO143" s="4"/>
      <c r="HWP143" s="4"/>
      <c r="HWQ143" s="4"/>
      <c r="HWR143" s="4"/>
      <c r="HWS143" s="4"/>
      <c r="HWT143" s="4"/>
      <c r="HWU143" s="4"/>
      <c r="HWV143" s="4"/>
      <c r="HWW143" s="4"/>
      <c r="HWX143" s="4"/>
      <c r="HWY143" s="4"/>
      <c r="HWZ143" s="4"/>
      <c r="HXA143" s="4"/>
      <c r="HXB143" s="4"/>
      <c r="HXC143" s="4"/>
      <c r="HXD143" s="4"/>
      <c r="HXE143" s="4"/>
      <c r="HXF143" s="4"/>
      <c r="HXG143" s="4"/>
      <c r="HXH143" s="4"/>
      <c r="HXI143" s="4"/>
      <c r="HXJ143" s="4"/>
      <c r="HXK143" s="4"/>
      <c r="HXL143" s="4"/>
      <c r="HXM143" s="4"/>
      <c r="HXN143" s="4"/>
      <c r="HXO143" s="4"/>
      <c r="HXP143" s="4"/>
      <c r="HXQ143" s="4"/>
      <c r="HXR143" s="4"/>
      <c r="HXS143" s="4"/>
      <c r="HXT143" s="4"/>
      <c r="HXU143" s="4"/>
      <c r="HXV143" s="4"/>
      <c r="HXW143" s="4"/>
      <c r="HXX143" s="4"/>
      <c r="HXY143" s="4"/>
      <c r="HXZ143" s="4"/>
      <c r="HYA143" s="4"/>
      <c r="HYB143" s="4"/>
      <c r="HYC143" s="4"/>
      <c r="HYD143" s="4"/>
      <c r="HYE143" s="4"/>
      <c r="HYF143" s="4"/>
      <c r="HYG143" s="4"/>
      <c r="HYH143" s="4"/>
      <c r="HYI143" s="4"/>
      <c r="HYJ143" s="4"/>
      <c r="HYK143" s="4"/>
      <c r="HYL143" s="4"/>
      <c r="HYM143" s="4"/>
      <c r="HYN143" s="4"/>
      <c r="HYO143" s="4"/>
      <c r="HYP143" s="4"/>
      <c r="HYQ143" s="4"/>
      <c r="HYR143" s="4"/>
      <c r="HYS143" s="4"/>
      <c r="HYT143" s="4"/>
      <c r="HYU143" s="4"/>
      <c r="HYV143" s="4"/>
      <c r="HYW143" s="4"/>
      <c r="HYX143" s="4"/>
      <c r="HYY143" s="4"/>
      <c r="HYZ143" s="4"/>
      <c r="HZA143" s="4"/>
      <c r="HZB143" s="4"/>
      <c r="HZC143" s="4"/>
      <c r="HZD143" s="4"/>
      <c r="HZE143" s="4"/>
      <c r="HZF143" s="4"/>
      <c r="HZG143" s="4"/>
      <c r="HZH143" s="4"/>
      <c r="HZI143" s="4"/>
      <c r="HZJ143" s="4"/>
      <c r="HZK143" s="4"/>
      <c r="HZL143" s="4"/>
      <c r="HZM143" s="4"/>
      <c r="HZN143" s="4"/>
      <c r="HZO143" s="4"/>
      <c r="HZP143" s="4"/>
      <c r="HZQ143" s="4"/>
      <c r="HZR143" s="4"/>
      <c r="HZS143" s="4"/>
      <c r="HZT143" s="4"/>
      <c r="HZU143" s="4"/>
      <c r="HZV143" s="4"/>
      <c r="HZW143" s="4"/>
      <c r="HZX143" s="4"/>
      <c r="HZY143" s="4"/>
      <c r="HZZ143" s="4"/>
      <c r="IAA143" s="4"/>
      <c r="IAB143" s="4"/>
      <c r="IAC143" s="4"/>
      <c r="IAD143" s="4"/>
      <c r="IAE143" s="4"/>
      <c r="IAF143" s="4"/>
      <c r="IAG143" s="4"/>
      <c r="IAH143" s="4"/>
      <c r="IAI143" s="4"/>
      <c r="IAJ143" s="4"/>
      <c r="IAK143" s="4"/>
      <c r="IAL143" s="4"/>
      <c r="IAM143" s="4"/>
      <c r="IAN143" s="4"/>
      <c r="IAO143" s="4"/>
      <c r="IAP143" s="4"/>
      <c r="IAQ143" s="4"/>
      <c r="IAR143" s="4"/>
      <c r="IAS143" s="4"/>
      <c r="IAT143" s="4"/>
      <c r="IAU143" s="4"/>
      <c r="IAV143" s="4"/>
      <c r="IAW143" s="4"/>
      <c r="IAX143" s="4"/>
      <c r="IAY143" s="4"/>
      <c r="IAZ143" s="4"/>
      <c r="IBA143" s="4"/>
      <c r="IBB143" s="4"/>
      <c r="IBC143" s="4"/>
      <c r="IBD143" s="4"/>
      <c r="IBE143" s="4"/>
      <c r="IBF143" s="4"/>
      <c r="IBG143" s="4"/>
      <c r="IBH143" s="4"/>
      <c r="IBI143" s="4"/>
      <c r="IBJ143" s="4"/>
      <c r="IBK143" s="4"/>
      <c r="IBL143" s="4"/>
      <c r="IBM143" s="4"/>
      <c r="IBN143" s="4"/>
      <c r="IBO143" s="4"/>
      <c r="IBP143" s="4"/>
      <c r="IBQ143" s="4"/>
      <c r="IBR143" s="4"/>
      <c r="IBS143" s="4"/>
      <c r="IBT143" s="4"/>
      <c r="IBU143" s="4"/>
      <c r="IBV143" s="4"/>
      <c r="IBW143" s="4"/>
      <c r="IBX143" s="4"/>
      <c r="IBY143" s="4"/>
      <c r="IBZ143" s="4"/>
      <c r="ICA143" s="4"/>
      <c r="ICB143" s="4"/>
      <c r="ICC143" s="4"/>
      <c r="ICD143" s="4"/>
      <c r="ICE143" s="4"/>
      <c r="ICF143" s="4"/>
      <c r="ICG143" s="4"/>
      <c r="ICH143" s="4"/>
      <c r="ICI143" s="4"/>
      <c r="ICJ143" s="4"/>
      <c r="ICK143" s="4"/>
      <c r="ICL143" s="4"/>
      <c r="ICM143" s="4"/>
      <c r="ICN143" s="4"/>
      <c r="ICO143" s="4"/>
      <c r="ICP143" s="4"/>
      <c r="ICQ143" s="4"/>
      <c r="ICR143" s="4"/>
      <c r="ICS143" s="4"/>
      <c r="ICT143" s="4"/>
      <c r="ICU143" s="4"/>
      <c r="ICV143" s="4"/>
      <c r="ICW143" s="4"/>
      <c r="ICX143" s="4"/>
      <c r="ICY143" s="4"/>
      <c r="ICZ143" s="4"/>
      <c r="IDA143" s="4"/>
      <c r="IDB143" s="4"/>
      <c r="IDC143" s="4"/>
      <c r="IDD143" s="4"/>
      <c r="IDE143" s="4"/>
      <c r="IDF143" s="4"/>
      <c r="IDG143" s="4"/>
      <c r="IDH143" s="4"/>
      <c r="IDI143" s="4"/>
      <c r="IDJ143" s="4"/>
      <c r="IDK143" s="4"/>
      <c r="IDL143" s="4"/>
      <c r="IDM143" s="4"/>
      <c r="IDN143" s="4"/>
      <c r="IDO143" s="4"/>
      <c r="IDP143" s="4"/>
      <c r="IDQ143" s="4"/>
      <c r="IDR143" s="4"/>
      <c r="IDS143" s="4"/>
      <c r="IDT143" s="4"/>
      <c r="IDU143" s="4"/>
      <c r="IDV143" s="4"/>
      <c r="IDW143" s="4"/>
      <c r="IDX143" s="4"/>
      <c r="IDY143" s="4"/>
      <c r="IDZ143" s="4"/>
      <c r="IEA143" s="4"/>
      <c r="IEB143" s="4"/>
      <c r="IEC143" s="4"/>
      <c r="IED143" s="4"/>
      <c r="IEE143" s="4"/>
      <c r="IEF143" s="4"/>
      <c r="IEG143" s="4"/>
      <c r="IEH143" s="4"/>
      <c r="IEI143" s="4"/>
      <c r="IEJ143" s="4"/>
      <c r="IEK143" s="4"/>
      <c r="IEL143" s="4"/>
      <c r="IEM143" s="4"/>
      <c r="IEN143" s="4"/>
      <c r="IEO143" s="4"/>
      <c r="IEP143" s="4"/>
      <c r="IEQ143" s="4"/>
      <c r="IER143" s="4"/>
      <c r="IES143" s="4"/>
      <c r="IET143" s="4"/>
      <c r="IEU143" s="4"/>
      <c r="IEV143" s="4"/>
      <c r="IEW143" s="4"/>
      <c r="IEX143" s="4"/>
      <c r="IEY143" s="4"/>
      <c r="IEZ143" s="4"/>
      <c r="IFA143" s="4"/>
      <c r="IFB143" s="4"/>
      <c r="IFC143" s="4"/>
      <c r="IFD143" s="4"/>
      <c r="IFE143" s="4"/>
      <c r="IFF143" s="4"/>
      <c r="IFG143" s="4"/>
      <c r="IFH143" s="4"/>
      <c r="IFI143" s="4"/>
      <c r="IFJ143" s="4"/>
      <c r="IFK143" s="4"/>
      <c r="IFL143" s="4"/>
      <c r="IFM143" s="4"/>
      <c r="IFN143" s="4"/>
      <c r="IFO143" s="4"/>
      <c r="IFP143" s="4"/>
      <c r="IFQ143" s="4"/>
      <c r="IFR143" s="4"/>
      <c r="IFS143" s="4"/>
      <c r="IFT143" s="4"/>
      <c r="IFU143" s="4"/>
      <c r="IFV143" s="4"/>
      <c r="IFW143" s="4"/>
      <c r="IFX143" s="4"/>
      <c r="IFY143" s="4"/>
      <c r="IFZ143" s="4"/>
      <c r="IGA143" s="4"/>
      <c r="IGB143" s="4"/>
      <c r="IGC143" s="4"/>
      <c r="IGD143" s="4"/>
      <c r="IGE143" s="4"/>
      <c r="IGF143" s="4"/>
      <c r="IGG143" s="4"/>
      <c r="IGH143" s="4"/>
      <c r="IGI143" s="4"/>
      <c r="IGJ143" s="4"/>
      <c r="IGK143" s="4"/>
      <c r="IGL143" s="4"/>
      <c r="IGM143" s="4"/>
      <c r="IGN143" s="4"/>
      <c r="IGO143" s="4"/>
      <c r="IGP143" s="4"/>
      <c r="IGQ143" s="4"/>
      <c r="IGR143" s="4"/>
      <c r="IGS143" s="4"/>
      <c r="IGT143" s="4"/>
      <c r="IGU143" s="4"/>
      <c r="IGV143" s="4"/>
      <c r="IGW143" s="4"/>
      <c r="IGX143" s="4"/>
      <c r="IGY143" s="4"/>
      <c r="IGZ143" s="4"/>
      <c r="IHA143" s="4"/>
      <c r="IHB143" s="4"/>
      <c r="IHC143" s="4"/>
      <c r="IHD143" s="4"/>
      <c r="IHE143" s="4"/>
      <c r="IHF143" s="4"/>
      <c r="IHG143" s="4"/>
      <c r="IHH143" s="4"/>
      <c r="IHI143" s="4"/>
      <c r="IHJ143" s="4"/>
      <c r="IHK143" s="4"/>
      <c r="IHL143" s="4"/>
      <c r="IHM143" s="4"/>
      <c r="IHN143" s="4"/>
      <c r="IHO143" s="4"/>
      <c r="IHP143" s="4"/>
      <c r="IHQ143" s="4"/>
      <c r="IHR143" s="4"/>
      <c r="IHS143" s="4"/>
      <c r="IHT143" s="4"/>
      <c r="IHU143" s="4"/>
      <c r="IHV143" s="4"/>
      <c r="IHW143" s="4"/>
      <c r="IHX143" s="4"/>
      <c r="IHY143" s="4"/>
      <c r="IHZ143" s="4"/>
      <c r="IIA143" s="4"/>
      <c r="IIB143" s="4"/>
      <c r="IIC143" s="4"/>
      <c r="IID143" s="4"/>
      <c r="IIE143" s="4"/>
      <c r="IIF143" s="4"/>
      <c r="IIG143" s="4"/>
      <c r="IIH143" s="4"/>
      <c r="III143" s="4"/>
      <c r="IIJ143" s="4"/>
      <c r="IIK143" s="4"/>
      <c r="IIL143" s="4"/>
      <c r="IIM143" s="4"/>
      <c r="IIN143" s="4"/>
      <c r="IIO143" s="4"/>
      <c r="IIP143" s="4"/>
      <c r="IIQ143" s="4"/>
      <c r="IIR143" s="4"/>
      <c r="IIS143" s="4"/>
      <c r="IIT143" s="4"/>
      <c r="IIU143" s="4"/>
      <c r="IIV143" s="4"/>
      <c r="IIW143" s="4"/>
      <c r="IIX143" s="4"/>
      <c r="IIY143" s="4"/>
      <c r="IIZ143" s="4"/>
      <c r="IJA143" s="4"/>
      <c r="IJB143" s="4"/>
      <c r="IJC143" s="4"/>
      <c r="IJD143" s="4"/>
      <c r="IJE143" s="4"/>
      <c r="IJF143" s="4"/>
      <c r="IJG143" s="4"/>
      <c r="IJH143" s="4"/>
      <c r="IJI143" s="4"/>
      <c r="IJJ143" s="4"/>
      <c r="IJK143" s="4"/>
      <c r="IJL143" s="4"/>
      <c r="IJM143" s="4"/>
      <c r="IJN143" s="4"/>
      <c r="IJO143" s="4"/>
      <c r="IJP143" s="4"/>
      <c r="IJQ143" s="4"/>
      <c r="IJR143" s="4"/>
      <c r="IJS143" s="4"/>
      <c r="IJT143" s="4"/>
      <c r="IJU143" s="4"/>
      <c r="IJV143" s="4"/>
      <c r="IJW143" s="4"/>
      <c r="IJX143" s="4"/>
      <c r="IJY143" s="4"/>
      <c r="IJZ143" s="4"/>
      <c r="IKA143" s="4"/>
      <c r="IKB143" s="4"/>
      <c r="IKC143" s="4"/>
      <c r="IKD143" s="4"/>
      <c r="IKE143" s="4"/>
      <c r="IKF143" s="4"/>
      <c r="IKG143" s="4"/>
      <c r="IKH143" s="4"/>
      <c r="IKI143" s="4"/>
      <c r="IKJ143" s="4"/>
      <c r="IKK143" s="4"/>
      <c r="IKL143" s="4"/>
      <c r="IKM143" s="4"/>
      <c r="IKN143" s="4"/>
      <c r="IKO143" s="4"/>
      <c r="IKP143" s="4"/>
      <c r="IKQ143" s="4"/>
      <c r="IKR143" s="4"/>
      <c r="IKS143" s="4"/>
      <c r="IKT143" s="4"/>
      <c r="IKU143" s="4"/>
      <c r="IKV143" s="4"/>
      <c r="IKW143" s="4"/>
      <c r="IKX143" s="4"/>
      <c r="IKY143" s="4"/>
      <c r="IKZ143" s="4"/>
      <c r="ILA143" s="4"/>
      <c r="ILB143" s="4"/>
      <c r="ILC143" s="4"/>
      <c r="ILD143" s="4"/>
      <c r="ILE143" s="4"/>
      <c r="ILF143" s="4"/>
      <c r="ILG143" s="4"/>
      <c r="ILH143" s="4"/>
      <c r="ILI143" s="4"/>
      <c r="ILJ143" s="4"/>
      <c r="ILK143" s="4"/>
      <c r="ILL143" s="4"/>
      <c r="ILM143" s="4"/>
      <c r="ILN143" s="4"/>
      <c r="ILO143" s="4"/>
      <c r="ILP143" s="4"/>
      <c r="ILQ143" s="4"/>
      <c r="ILR143" s="4"/>
      <c r="ILS143" s="4"/>
      <c r="ILT143" s="4"/>
      <c r="ILU143" s="4"/>
      <c r="ILV143" s="4"/>
      <c r="ILW143" s="4"/>
      <c r="ILX143" s="4"/>
      <c r="ILY143" s="4"/>
      <c r="ILZ143" s="4"/>
      <c r="IMA143" s="4"/>
      <c r="IMB143" s="4"/>
      <c r="IMC143" s="4"/>
      <c r="IMD143" s="4"/>
      <c r="IME143" s="4"/>
      <c r="IMF143" s="4"/>
      <c r="IMG143" s="4"/>
      <c r="IMH143" s="4"/>
      <c r="IMI143" s="4"/>
      <c r="IMJ143" s="4"/>
      <c r="IMK143" s="4"/>
      <c r="IML143" s="4"/>
      <c r="IMM143" s="4"/>
      <c r="IMN143" s="4"/>
      <c r="IMO143" s="4"/>
      <c r="IMP143" s="4"/>
      <c r="IMQ143" s="4"/>
      <c r="IMR143" s="4"/>
      <c r="IMS143" s="4"/>
      <c r="IMT143" s="4"/>
      <c r="IMU143" s="4"/>
      <c r="IMV143" s="4"/>
      <c r="IMW143" s="4"/>
      <c r="IMX143" s="4"/>
      <c r="IMY143" s="4"/>
      <c r="IMZ143" s="4"/>
      <c r="INA143" s="4"/>
      <c r="INB143" s="4"/>
      <c r="INC143" s="4"/>
      <c r="IND143" s="4"/>
      <c r="INE143" s="4"/>
      <c r="INF143" s="4"/>
      <c r="ING143" s="4"/>
      <c r="INH143" s="4"/>
      <c r="INI143" s="4"/>
      <c r="INJ143" s="4"/>
      <c r="INK143" s="4"/>
      <c r="INL143" s="4"/>
      <c r="INM143" s="4"/>
      <c r="INN143" s="4"/>
      <c r="INO143" s="4"/>
      <c r="INP143" s="4"/>
      <c r="INQ143" s="4"/>
      <c r="INR143" s="4"/>
      <c r="INS143" s="4"/>
      <c r="INT143" s="4"/>
      <c r="INU143" s="4"/>
      <c r="INV143" s="4"/>
      <c r="INW143" s="4"/>
      <c r="INX143" s="4"/>
      <c r="INY143" s="4"/>
      <c r="INZ143" s="4"/>
      <c r="IOA143" s="4"/>
      <c r="IOB143" s="4"/>
      <c r="IOC143" s="4"/>
      <c r="IOD143" s="4"/>
      <c r="IOE143" s="4"/>
      <c r="IOF143" s="4"/>
      <c r="IOG143" s="4"/>
      <c r="IOH143" s="4"/>
      <c r="IOI143" s="4"/>
      <c r="IOJ143" s="4"/>
      <c r="IOK143" s="4"/>
      <c r="IOL143" s="4"/>
      <c r="IOM143" s="4"/>
      <c r="ION143" s="4"/>
      <c r="IOO143" s="4"/>
      <c r="IOP143" s="4"/>
      <c r="IOQ143" s="4"/>
      <c r="IOR143" s="4"/>
      <c r="IOS143" s="4"/>
      <c r="IOT143" s="4"/>
      <c r="IOU143" s="4"/>
      <c r="IOV143" s="4"/>
      <c r="IOW143" s="4"/>
      <c r="IOX143" s="4"/>
      <c r="IOY143" s="4"/>
      <c r="IOZ143" s="4"/>
      <c r="IPA143" s="4"/>
      <c r="IPB143" s="4"/>
      <c r="IPC143" s="4"/>
      <c r="IPD143" s="4"/>
      <c r="IPE143" s="4"/>
      <c r="IPF143" s="4"/>
      <c r="IPG143" s="4"/>
      <c r="IPH143" s="4"/>
      <c r="IPI143" s="4"/>
      <c r="IPJ143" s="4"/>
      <c r="IPK143" s="4"/>
      <c r="IPL143" s="4"/>
      <c r="IPM143" s="4"/>
      <c r="IPN143" s="4"/>
      <c r="IPO143" s="4"/>
      <c r="IPP143" s="4"/>
      <c r="IPQ143" s="4"/>
      <c r="IPR143" s="4"/>
      <c r="IPS143" s="4"/>
      <c r="IPT143" s="4"/>
      <c r="IPU143" s="4"/>
      <c r="IPV143" s="4"/>
      <c r="IPW143" s="4"/>
      <c r="IPX143" s="4"/>
      <c r="IPY143" s="4"/>
      <c r="IPZ143" s="4"/>
      <c r="IQA143" s="4"/>
      <c r="IQB143" s="4"/>
      <c r="IQC143" s="4"/>
      <c r="IQD143" s="4"/>
      <c r="IQE143" s="4"/>
      <c r="IQF143" s="4"/>
      <c r="IQG143" s="4"/>
      <c r="IQH143" s="4"/>
      <c r="IQI143" s="4"/>
      <c r="IQJ143" s="4"/>
      <c r="IQK143" s="4"/>
      <c r="IQL143" s="4"/>
      <c r="IQM143" s="4"/>
      <c r="IQN143" s="4"/>
      <c r="IQO143" s="4"/>
      <c r="IQP143" s="4"/>
      <c r="IQQ143" s="4"/>
      <c r="IQR143" s="4"/>
      <c r="IQS143" s="4"/>
      <c r="IQT143" s="4"/>
      <c r="IQU143" s="4"/>
      <c r="IQV143" s="4"/>
      <c r="IQW143" s="4"/>
      <c r="IQX143" s="4"/>
      <c r="IQY143" s="4"/>
      <c r="IQZ143" s="4"/>
      <c r="IRA143" s="4"/>
      <c r="IRB143" s="4"/>
      <c r="IRC143" s="4"/>
      <c r="IRD143" s="4"/>
      <c r="IRE143" s="4"/>
      <c r="IRF143" s="4"/>
      <c r="IRG143" s="4"/>
      <c r="IRH143" s="4"/>
      <c r="IRI143" s="4"/>
      <c r="IRJ143" s="4"/>
      <c r="IRK143" s="4"/>
      <c r="IRL143" s="4"/>
      <c r="IRM143" s="4"/>
      <c r="IRN143" s="4"/>
      <c r="IRO143" s="4"/>
      <c r="IRP143" s="4"/>
      <c r="IRQ143" s="4"/>
      <c r="IRR143" s="4"/>
      <c r="IRS143" s="4"/>
      <c r="IRT143" s="4"/>
      <c r="IRU143" s="4"/>
      <c r="IRV143" s="4"/>
      <c r="IRW143" s="4"/>
      <c r="IRX143" s="4"/>
      <c r="IRY143" s="4"/>
      <c r="IRZ143" s="4"/>
      <c r="ISA143" s="4"/>
      <c r="ISB143" s="4"/>
      <c r="ISC143" s="4"/>
      <c r="ISD143" s="4"/>
      <c r="ISE143" s="4"/>
      <c r="ISF143" s="4"/>
      <c r="ISG143" s="4"/>
      <c r="ISH143" s="4"/>
      <c r="ISI143" s="4"/>
      <c r="ISJ143" s="4"/>
      <c r="ISK143" s="4"/>
      <c r="ISL143" s="4"/>
      <c r="ISM143" s="4"/>
      <c r="ISN143" s="4"/>
      <c r="ISO143" s="4"/>
      <c r="ISP143" s="4"/>
      <c r="ISQ143" s="4"/>
      <c r="ISR143" s="4"/>
      <c r="ISS143" s="4"/>
      <c r="IST143" s="4"/>
      <c r="ISU143" s="4"/>
      <c r="ISV143" s="4"/>
      <c r="ISW143" s="4"/>
      <c r="ISX143" s="4"/>
      <c r="ISY143" s="4"/>
      <c r="ISZ143" s="4"/>
      <c r="ITA143" s="4"/>
      <c r="ITB143" s="4"/>
      <c r="ITC143" s="4"/>
      <c r="ITD143" s="4"/>
      <c r="ITE143" s="4"/>
      <c r="ITF143" s="4"/>
      <c r="ITG143" s="4"/>
      <c r="ITH143" s="4"/>
      <c r="ITI143" s="4"/>
      <c r="ITJ143" s="4"/>
      <c r="ITK143" s="4"/>
      <c r="ITL143" s="4"/>
      <c r="ITM143" s="4"/>
      <c r="ITN143" s="4"/>
      <c r="ITO143" s="4"/>
      <c r="ITP143" s="4"/>
      <c r="ITQ143" s="4"/>
      <c r="ITR143" s="4"/>
      <c r="ITS143" s="4"/>
      <c r="ITT143" s="4"/>
      <c r="ITU143" s="4"/>
      <c r="ITV143" s="4"/>
      <c r="ITW143" s="4"/>
      <c r="ITX143" s="4"/>
      <c r="ITY143" s="4"/>
      <c r="ITZ143" s="4"/>
      <c r="IUA143" s="4"/>
      <c r="IUB143" s="4"/>
      <c r="IUC143" s="4"/>
      <c r="IUD143" s="4"/>
      <c r="IUE143" s="4"/>
      <c r="IUF143" s="4"/>
      <c r="IUG143" s="4"/>
      <c r="IUH143" s="4"/>
      <c r="IUI143" s="4"/>
      <c r="IUJ143" s="4"/>
      <c r="IUK143" s="4"/>
      <c r="IUL143" s="4"/>
      <c r="IUM143" s="4"/>
      <c r="IUN143" s="4"/>
      <c r="IUO143" s="4"/>
      <c r="IUP143" s="4"/>
      <c r="IUQ143" s="4"/>
      <c r="IUR143" s="4"/>
      <c r="IUS143" s="4"/>
      <c r="IUT143" s="4"/>
      <c r="IUU143" s="4"/>
      <c r="IUV143" s="4"/>
      <c r="IUW143" s="4"/>
      <c r="IUX143" s="4"/>
      <c r="IUY143" s="4"/>
      <c r="IUZ143" s="4"/>
      <c r="IVA143" s="4"/>
      <c r="IVB143" s="4"/>
      <c r="IVC143" s="4"/>
      <c r="IVD143" s="4"/>
      <c r="IVE143" s="4"/>
      <c r="IVF143" s="4"/>
      <c r="IVG143" s="4"/>
      <c r="IVH143" s="4"/>
      <c r="IVI143" s="4"/>
      <c r="IVJ143" s="4"/>
      <c r="IVK143" s="4"/>
      <c r="IVL143" s="4"/>
      <c r="IVM143" s="4"/>
      <c r="IVN143" s="4"/>
      <c r="IVO143" s="4"/>
      <c r="IVP143" s="4"/>
      <c r="IVQ143" s="4"/>
      <c r="IVR143" s="4"/>
      <c r="IVS143" s="4"/>
      <c r="IVT143" s="4"/>
      <c r="IVU143" s="4"/>
      <c r="IVV143" s="4"/>
      <c r="IVW143" s="4"/>
      <c r="IVX143" s="4"/>
      <c r="IVY143" s="4"/>
      <c r="IVZ143" s="4"/>
      <c r="IWA143" s="4"/>
      <c r="IWB143" s="4"/>
      <c r="IWC143" s="4"/>
      <c r="IWD143" s="4"/>
      <c r="IWE143" s="4"/>
      <c r="IWF143" s="4"/>
      <c r="IWG143" s="4"/>
      <c r="IWH143" s="4"/>
      <c r="IWI143" s="4"/>
      <c r="IWJ143" s="4"/>
      <c r="IWK143" s="4"/>
      <c r="IWL143" s="4"/>
      <c r="IWM143" s="4"/>
      <c r="IWN143" s="4"/>
      <c r="IWO143" s="4"/>
      <c r="IWP143" s="4"/>
      <c r="IWQ143" s="4"/>
      <c r="IWR143" s="4"/>
      <c r="IWS143" s="4"/>
      <c r="IWT143" s="4"/>
      <c r="IWU143" s="4"/>
      <c r="IWV143" s="4"/>
      <c r="IWW143" s="4"/>
      <c r="IWX143" s="4"/>
      <c r="IWY143" s="4"/>
      <c r="IWZ143" s="4"/>
      <c r="IXA143" s="4"/>
      <c r="IXB143" s="4"/>
      <c r="IXC143" s="4"/>
      <c r="IXD143" s="4"/>
      <c r="IXE143" s="4"/>
      <c r="IXF143" s="4"/>
      <c r="IXG143" s="4"/>
      <c r="IXH143" s="4"/>
      <c r="IXI143" s="4"/>
      <c r="IXJ143" s="4"/>
      <c r="IXK143" s="4"/>
      <c r="IXL143" s="4"/>
      <c r="IXM143" s="4"/>
      <c r="IXN143" s="4"/>
      <c r="IXO143" s="4"/>
      <c r="IXP143" s="4"/>
      <c r="IXQ143" s="4"/>
      <c r="IXR143" s="4"/>
      <c r="IXS143" s="4"/>
      <c r="IXT143" s="4"/>
      <c r="IXU143" s="4"/>
      <c r="IXV143" s="4"/>
      <c r="IXW143" s="4"/>
      <c r="IXX143" s="4"/>
      <c r="IXY143" s="4"/>
      <c r="IXZ143" s="4"/>
      <c r="IYA143" s="4"/>
      <c r="IYB143" s="4"/>
      <c r="IYC143" s="4"/>
      <c r="IYD143" s="4"/>
      <c r="IYE143" s="4"/>
      <c r="IYF143" s="4"/>
      <c r="IYG143" s="4"/>
      <c r="IYH143" s="4"/>
      <c r="IYI143" s="4"/>
      <c r="IYJ143" s="4"/>
      <c r="IYK143" s="4"/>
      <c r="IYL143" s="4"/>
      <c r="IYM143" s="4"/>
      <c r="IYN143" s="4"/>
      <c r="IYO143" s="4"/>
      <c r="IYP143" s="4"/>
      <c r="IYQ143" s="4"/>
      <c r="IYR143" s="4"/>
      <c r="IYS143" s="4"/>
      <c r="IYT143" s="4"/>
      <c r="IYU143" s="4"/>
      <c r="IYV143" s="4"/>
      <c r="IYW143" s="4"/>
      <c r="IYX143" s="4"/>
      <c r="IYY143" s="4"/>
      <c r="IYZ143" s="4"/>
      <c r="IZA143" s="4"/>
      <c r="IZB143" s="4"/>
      <c r="IZC143" s="4"/>
      <c r="IZD143" s="4"/>
      <c r="IZE143" s="4"/>
      <c r="IZF143" s="4"/>
      <c r="IZG143" s="4"/>
      <c r="IZH143" s="4"/>
      <c r="IZI143" s="4"/>
      <c r="IZJ143" s="4"/>
      <c r="IZK143" s="4"/>
      <c r="IZL143" s="4"/>
      <c r="IZM143" s="4"/>
      <c r="IZN143" s="4"/>
      <c r="IZO143" s="4"/>
      <c r="IZP143" s="4"/>
      <c r="IZQ143" s="4"/>
      <c r="IZR143" s="4"/>
      <c r="IZS143" s="4"/>
      <c r="IZT143" s="4"/>
      <c r="IZU143" s="4"/>
      <c r="IZV143" s="4"/>
      <c r="IZW143" s="4"/>
      <c r="IZX143" s="4"/>
      <c r="IZY143" s="4"/>
      <c r="IZZ143" s="4"/>
      <c r="JAA143" s="4"/>
      <c r="JAB143" s="4"/>
      <c r="JAC143" s="4"/>
      <c r="JAD143" s="4"/>
      <c r="JAE143" s="4"/>
      <c r="JAF143" s="4"/>
      <c r="JAG143" s="4"/>
      <c r="JAH143" s="4"/>
      <c r="JAI143" s="4"/>
      <c r="JAJ143" s="4"/>
      <c r="JAK143" s="4"/>
      <c r="JAL143" s="4"/>
      <c r="JAM143" s="4"/>
      <c r="JAN143" s="4"/>
      <c r="JAO143" s="4"/>
      <c r="JAP143" s="4"/>
      <c r="JAQ143" s="4"/>
      <c r="JAR143" s="4"/>
      <c r="JAS143" s="4"/>
      <c r="JAT143" s="4"/>
      <c r="JAU143" s="4"/>
      <c r="JAV143" s="4"/>
      <c r="JAW143" s="4"/>
      <c r="JAX143" s="4"/>
      <c r="JAY143" s="4"/>
      <c r="JAZ143" s="4"/>
      <c r="JBA143" s="4"/>
      <c r="JBB143" s="4"/>
      <c r="JBC143" s="4"/>
      <c r="JBD143" s="4"/>
      <c r="JBE143" s="4"/>
      <c r="JBF143" s="4"/>
      <c r="JBG143" s="4"/>
      <c r="JBH143" s="4"/>
      <c r="JBI143" s="4"/>
      <c r="JBJ143" s="4"/>
      <c r="JBK143" s="4"/>
      <c r="JBL143" s="4"/>
      <c r="JBM143" s="4"/>
      <c r="JBN143" s="4"/>
      <c r="JBO143" s="4"/>
      <c r="JBP143" s="4"/>
      <c r="JBQ143" s="4"/>
      <c r="JBR143" s="4"/>
      <c r="JBS143" s="4"/>
      <c r="JBT143" s="4"/>
      <c r="JBU143" s="4"/>
      <c r="JBV143" s="4"/>
      <c r="JBW143" s="4"/>
      <c r="JBX143" s="4"/>
      <c r="JBY143" s="4"/>
      <c r="JBZ143" s="4"/>
      <c r="JCA143" s="4"/>
      <c r="JCB143" s="4"/>
      <c r="JCC143" s="4"/>
      <c r="JCD143" s="4"/>
      <c r="JCE143" s="4"/>
      <c r="JCF143" s="4"/>
      <c r="JCG143" s="4"/>
      <c r="JCH143" s="4"/>
      <c r="JCI143" s="4"/>
      <c r="JCJ143" s="4"/>
      <c r="JCK143" s="4"/>
      <c r="JCL143" s="4"/>
      <c r="JCM143" s="4"/>
      <c r="JCN143" s="4"/>
      <c r="JCO143" s="4"/>
      <c r="JCP143" s="4"/>
      <c r="JCQ143" s="4"/>
      <c r="JCR143" s="4"/>
      <c r="JCS143" s="4"/>
      <c r="JCT143" s="4"/>
      <c r="JCU143" s="4"/>
      <c r="JCV143" s="4"/>
      <c r="JCW143" s="4"/>
      <c r="JCX143" s="4"/>
      <c r="JCY143" s="4"/>
      <c r="JCZ143" s="4"/>
      <c r="JDA143" s="4"/>
      <c r="JDB143" s="4"/>
      <c r="JDC143" s="4"/>
      <c r="JDD143" s="4"/>
      <c r="JDE143" s="4"/>
      <c r="JDF143" s="4"/>
      <c r="JDG143" s="4"/>
      <c r="JDH143" s="4"/>
      <c r="JDI143" s="4"/>
      <c r="JDJ143" s="4"/>
      <c r="JDK143" s="4"/>
      <c r="JDL143" s="4"/>
      <c r="JDM143" s="4"/>
      <c r="JDN143" s="4"/>
      <c r="JDO143" s="4"/>
      <c r="JDP143" s="4"/>
      <c r="JDQ143" s="4"/>
      <c r="JDR143" s="4"/>
      <c r="JDS143" s="4"/>
      <c r="JDT143" s="4"/>
      <c r="JDU143" s="4"/>
      <c r="JDV143" s="4"/>
      <c r="JDW143" s="4"/>
      <c r="JDX143" s="4"/>
      <c r="JDY143" s="4"/>
      <c r="JDZ143" s="4"/>
      <c r="JEA143" s="4"/>
      <c r="JEB143" s="4"/>
      <c r="JEC143" s="4"/>
      <c r="JED143" s="4"/>
      <c r="JEE143" s="4"/>
      <c r="JEF143" s="4"/>
      <c r="JEG143" s="4"/>
      <c r="JEH143" s="4"/>
      <c r="JEI143" s="4"/>
      <c r="JEJ143" s="4"/>
      <c r="JEK143" s="4"/>
      <c r="JEL143" s="4"/>
      <c r="JEM143" s="4"/>
      <c r="JEN143" s="4"/>
      <c r="JEO143" s="4"/>
      <c r="JEP143" s="4"/>
      <c r="JEQ143" s="4"/>
      <c r="JER143" s="4"/>
      <c r="JES143" s="4"/>
      <c r="JET143" s="4"/>
      <c r="JEU143" s="4"/>
      <c r="JEV143" s="4"/>
      <c r="JEW143" s="4"/>
      <c r="JEX143" s="4"/>
      <c r="JEY143" s="4"/>
      <c r="JEZ143" s="4"/>
      <c r="JFA143" s="4"/>
      <c r="JFB143" s="4"/>
      <c r="JFC143" s="4"/>
      <c r="JFD143" s="4"/>
      <c r="JFE143" s="4"/>
      <c r="JFF143" s="4"/>
      <c r="JFG143" s="4"/>
      <c r="JFH143" s="4"/>
      <c r="JFI143" s="4"/>
      <c r="JFJ143" s="4"/>
      <c r="JFK143" s="4"/>
      <c r="JFL143" s="4"/>
      <c r="JFM143" s="4"/>
      <c r="JFN143" s="4"/>
      <c r="JFO143" s="4"/>
      <c r="JFP143" s="4"/>
      <c r="JFQ143" s="4"/>
      <c r="JFR143" s="4"/>
      <c r="JFS143" s="4"/>
      <c r="JFT143" s="4"/>
      <c r="JFU143" s="4"/>
      <c r="JFV143" s="4"/>
      <c r="JFW143" s="4"/>
      <c r="JFX143" s="4"/>
      <c r="JFY143" s="4"/>
      <c r="JFZ143" s="4"/>
      <c r="JGA143" s="4"/>
      <c r="JGB143" s="4"/>
      <c r="JGC143" s="4"/>
      <c r="JGD143" s="4"/>
      <c r="JGE143" s="4"/>
      <c r="JGF143" s="4"/>
      <c r="JGG143" s="4"/>
      <c r="JGH143" s="4"/>
      <c r="JGI143" s="4"/>
      <c r="JGJ143" s="4"/>
      <c r="JGK143" s="4"/>
      <c r="JGL143" s="4"/>
      <c r="JGM143" s="4"/>
      <c r="JGN143" s="4"/>
      <c r="JGO143" s="4"/>
      <c r="JGP143" s="4"/>
      <c r="JGQ143" s="4"/>
      <c r="JGR143" s="4"/>
      <c r="JGS143" s="4"/>
      <c r="JGT143" s="4"/>
      <c r="JGU143" s="4"/>
      <c r="JGV143" s="4"/>
      <c r="JGW143" s="4"/>
      <c r="JGX143" s="4"/>
      <c r="JGY143" s="4"/>
      <c r="JGZ143" s="4"/>
      <c r="JHA143" s="4"/>
      <c r="JHB143" s="4"/>
      <c r="JHC143" s="4"/>
      <c r="JHD143" s="4"/>
      <c r="JHE143" s="4"/>
      <c r="JHF143" s="4"/>
      <c r="JHG143" s="4"/>
      <c r="JHH143" s="4"/>
      <c r="JHI143" s="4"/>
      <c r="JHJ143" s="4"/>
      <c r="JHK143" s="4"/>
      <c r="JHL143" s="4"/>
      <c r="JHM143" s="4"/>
      <c r="JHN143" s="4"/>
      <c r="JHO143" s="4"/>
      <c r="JHP143" s="4"/>
      <c r="JHQ143" s="4"/>
      <c r="JHR143" s="4"/>
      <c r="JHS143" s="4"/>
      <c r="JHT143" s="4"/>
      <c r="JHU143" s="4"/>
      <c r="JHV143" s="4"/>
      <c r="JHW143" s="4"/>
      <c r="JHX143" s="4"/>
      <c r="JHY143" s="4"/>
      <c r="JHZ143" s="4"/>
      <c r="JIA143" s="4"/>
      <c r="JIB143" s="4"/>
      <c r="JIC143" s="4"/>
      <c r="JID143" s="4"/>
      <c r="JIE143" s="4"/>
      <c r="JIF143" s="4"/>
      <c r="JIG143" s="4"/>
      <c r="JIH143" s="4"/>
      <c r="JII143" s="4"/>
      <c r="JIJ143" s="4"/>
      <c r="JIK143" s="4"/>
      <c r="JIL143" s="4"/>
      <c r="JIM143" s="4"/>
      <c r="JIN143" s="4"/>
      <c r="JIO143" s="4"/>
      <c r="JIP143" s="4"/>
      <c r="JIQ143" s="4"/>
      <c r="JIR143" s="4"/>
      <c r="JIS143" s="4"/>
      <c r="JIT143" s="4"/>
      <c r="JIU143" s="4"/>
      <c r="JIV143" s="4"/>
      <c r="JIW143" s="4"/>
      <c r="JIX143" s="4"/>
      <c r="JIY143" s="4"/>
      <c r="JIZ143" s="4"/>
      <c r="JJA143" s="4"/>
      <c r="JJB143" s="4"/>
      <c r="JJC143" s="4"/>
      <c r="JJD143" s="4"/>
      <c r="JJE143" s="4"/>
      <c r="JJF143" s="4"/>
      <c r="JJG143" s="4"/>
      <c r="JJH143" s="4"/>
      <c r="JJI143" s="4"/>
      <c r="JJJ143" s="4"/>
      <c r="JJK143" s="4"/>
      <c r="JJL143" s="4"/>
      <c r="JJM143" s="4"/>
      <c r="JJN143" s="4"/>
      <c r="JJO143" s="4"/>
      <c r="JJP143" s="4"/>
      <c r="JJQ143" s="4"/>
      <c r="JJR143" s="4"/>
      <c r="JJS143" s="4"/>
      <c r="JJT143" s="4"/>
      <c r="JJU143" s="4"/>
      <c r="JJV143" s="4"/>
      <c r="JJW143" s="4"/>
      <c r="JJX143" s="4"/>
      <c r="JJY143" s="4"/>
      <c r="JJZ143" s="4"/>
      <c r="JKA143" s="4"/>
      <c r="JKB143" s="4"/>
      <c r="JKC143" s="4"/>
      <c r="JKD143" s="4"/>
      <c r="JKE143" s="4"/>
      <c r="JKF143" s="4"/>
      <c r="JKG143" s="4"/>
      <c r="JKH143" s="4"/>
      <c r="JKI143" s="4"/>
      <c r="JKJ143" s="4"/>
      <c r="JKK143" s="4"/>
      <c r="JKL143" s="4"/>
      <c r="JKM143" s="4"/>
      <c r="JKN143" s="4"/>
      <c r="JKO143" s="4"/>
      <c r="JKP143" s="4"/>
      <c r="JKQ143" s="4"/>
      <c r="JKR143" s="4"/>
      <c r="JKS143" s="4"/>
      <c r="JKT143" s="4"/>
      <c r="JKU143" s="4"/>
      <c r="JKV143" s="4"/>
      <c r="JKW143" s="4"/>
      <c r="JKX143" s="4"/>
      <c r="JKY143" s="4"/>
      <c r="JKZ143" s="4"/>
      <c r="JLA143" s="4"/>
      <c r="JLB143" s="4"/>
      <c r="JLC143" s="4"/>
      <c r="JLD143" s="4"/>
      <c r="JLE143" s="4"/>
      <c r="JLF143" s="4"/>
      <c r="JLG143" s="4"/>
      <c r="JLH143" s="4"/>
      <c r="JLI143" s="4"/>
      <c r="JLJ143" s="4"/>
      <c r="JLK143" s="4"/>
      <c r="JLL143" s="4"/>
      <c r="JLM143" s="4"/>
      <c r="JLN143" s="4"/>
      <c r="JLO143" s="4"/>
      <c r="JLP143" s="4"/>
      <c r="JLQ143" s="4"/>
      <c r="JLR143" s="4"/>
      <c r="JLS143" s="4"/>
      <c r="JLT143" s="4"/>
      <c r="JLU143" s="4"/>
      <c r="JLV143" s="4"/>
      <c r="JLW143" s="4"/>
      <c r="JLX143" s="4"/>
      <c r="JLY143" s="4"/>
      <c r="JLZ143" s="4"/>
      <c r="JMA143" s="4"/>
      <c r="JMB143" s="4"/>
      <c r="JMC143" s="4"/>
      <c r="JMD143" s="4"/>
      <c r="JME143" s="4"/>
      <c r="JMF143" s="4"/>
      <c r="JMG143" s="4"/>
      <c r="JMH143" s="4"/>
      <c r="JMI143" s="4"/>
      <c r="JMJ143" s="4"/>
      <c r="JMK143" s="4"/>
      <c r="JML143" s="4"/>
      <c r="JMM143" s="4"/>
      <c r="JMN143" s="4"/>
      <c r="JMO143" s="4"/>
      <c r="JMP143" s="4"/>
      <c r="JMQ143" s="4"/>
      <c r="JMR143" s="4"/>
      <c r="JMS143" s="4"/>
      <c r="JMT143" s="4"/>
      <c r="JMU143" s="4"/>
      <c r="JMV143" s="4"/>
      <c r="JMW143" s="4"/>
      <c r="JMX143" s="4"/>
      <c r="JMY143" s="4"/>
      <c r="JMZ143" s="4"/>
      <c r="JNA143" s="4"/>
      <c r="JNB143" s="4"/>
      <c r="JNC143" s="4"/>
      <c r="JND143" s="4"/>
      <c r="JNE143" s="4"/>
      <c r="JNF143" s="4"/>
      <c r="JNG143" s="4"/>
      <c r="JNH143" s="4"/>
      <c r="JNI143" s="4"/>
      <c r="JNJ143" s="4"/>
      <c r="JNK143" s="4"/>
      <c r="JNL143" s="4"/>
      <c r="JNM143" s="4"/>
      <c r="JNN143" s="4"/>
      <c r="JNO143" s="4"/>
      <c r="JNP143" s="4"/>
      <c r="JNQ143" s="4"/>
      <c r="JNR143" s="4"/>
      <c r="JNS143" s="4"/>
      <c r="JNT143" s="4"/>
      <c r="JNU143" s="4"/>
      <c r="JNV143" s="4"/>
      <c r="JNW143" s="4"/>
      <c r="JNX143" s="4"/>
      <c r="JNY143" s="4"/>
      <c r="JNZ143" s="4"/>
      <c r="JOA143" s="4"/>
      <c r="JOB143" s="4"/>
      <c r="JOC143" s="4"/>
      <c r="JOD143" s="4"/>
      <c r="JOE143" s="4"/>
      <c r="JOF143" s="4"/>
      <c r="JOG143" s="4"/>
      <c r="JOH143" s="4"/>
      <c r="JOI143" s="4"/>
      <c r="JOJ143" s="4"/>
      <c r="JOK143" s="4"/>
      <c r="JOL143" s="4"/>
      <c r="JOM143" s="4"/>
      <c r="JON143" s="4"/>
      <c r="JOO143" s="4"/>
      <c r="JOP143" s="4"/>
      <c r="JOQ143" s="4"/>
      <c r="JOR143" s="4"/>
      <c r="JOS143" s="4"/>
      <c r="JOT143" s="4"/>
      <c r="JOU143" s="4"/>
      <c r="JOV143" s="4"/>
      <c r="JOW143" s="4"/>
      <c r="JOX143" s="4"/>
      <c r="JOY143" s="4"/>
      <c r="JOZ143" s="4"/>
      <c r="JPA143" s="4"/>
      <c r="JPB143" s="4"/>
      <c r="JPC143" s="4"/>
      <c r="JPD143" s="4"/>
      <c r="JPE143" s="4"/>
      <c r="JPF143" s="4"/>
      <c r="JPG143" s="4"/>
      <c r="JPH143" s="4"/>
      <c r="JPI143" s="4"/>
      <c r="JPJ143" s="4"/>
      <c r="JPK143" s="4"/>
      <c r="JPL143" s="4"/>
      <c r="JPM143" s="4"/>
      <c r="JPN143" s="4"/>
      <c r="JPO143" s="4"/>
      <c r="JPP143" s="4"/>
      <c r="JPQ143" s="4"/>
      <c r="JPR143" s="4"/>
      <c r="JPS143" s="4"/>
      <c r="JPT143" s="4"/>
      <c r="JPU143" s="4"/>
      <c r="JPV143" s="4"/>
      <c r="JPW143" s="4"/>
      <c r="JPX143" s="4"/>
      <c r="JPY143" s="4"/>
      <c r="JPZ143" s="4"/>
      <c r="JQA143" s="4"/>
      <c r="JQB143" s="4"/>
      <c r="JQC143" s="4"/>
      <c r="JQD143" s="4"/>
      <c r="JQE143" s="4"/>
      <c r="JQF143" s="4"/>
      <c r="JQG143" s="4"/>
      <c r="JQH143" s="4"/>
      <c r="JQI143" s="4"/>
      <c r="JQJ143" s="4"/>
      <c r="JQK143" s="4"/>
      <c r="JQL143" s="4"/>
      <c r="JQM143" s="4"/>
      <c r="JQN143" s="4"/>
      <c r="JQO143" s="4"/>
      <c r="JQP143" s="4"/>
      <c r="JQQ143" s="4"/>
      <c r="JQR143" s="4"/>
      <c r="JQS143" s="4"/>
      <c r="JQT143" s="4"/>
      <c r="JQU143" s="4"/>
      <c r="JQV143" s="4"/>
      <c r="JQW143" s="4"/>
      <c r="JQX143" s="4"/>
      <c r="JQY143" s="4"/>
      <c r="JQZ143" s="4"/>
      <c r="JRA143" s="4"/>
      <c r="JRB143" s="4"/>
      <c r="JRC143" s="4"/>
      <c r="JRD143" s="4"/>
      <c r="JRE143" s="4"/>
      <c r="JRF143" s="4"/>
      <c r="JRG143" s="4"/>
      <c r="JRH143" s="4"/>
      <c r="JRI143" s="4"/>
      <c r="JRJ143" s="4"/>
      <c r="JRK143" s="4"/>
      <c r="JRL143" s="4"/>
      <c r="JRM143" s="4"/>
      <c r="JRN143" s="4"/>
      <c r="JRO143" s="4"/>
      <c r="JRP143" s="4"/>
      <c r="JRQ143" s="4"/>
      <c r="JRR143" s="4"/>
      <c r="JRS143" s="4"/>
      <c r="JRT143" s="4"/>
      <c r="JRU143" s="4"/>
      <c r="JRV143" s="4"/>
      <c r="JRW143" s="4"/>
      <c r="JRX143" s="4"/>
      <c r="JRY143" s="4"/>
      <c r="JRZ143" s="4"/>
      <c r="JSA143" s="4"/>
      <c r="JSB143" s="4"/>
      <c r="JSC143" s="4"/>
      <c r="JSD143" s="4"/>
      <c r="JSE143" s="4"/>
      <c r="JSF143" s="4"/>
      <c r="JSG143" s="4"/>
      <c r="JSH143" s="4"/>
      <c r="JSI143" s="4"/>
      <c r="JSJ143" s="4"/>
      <c r="JSK143" s="4"/>
      <c r="JSL143" s="4"/>
      <c r="JSM143" s="4"/>
      <c r="JSN143" s="4"/>
      <c r="JSO143" s="4"/>
      <c r="JSP143" s="4"/>
      <c r="JSQ143" s="4"/>
      <c r="JSR143" s="4"/>
      <c r="JSS143" s="4"/>
      <c r="JST143" s="4"/>
      <c r="JSU143" s="4"/>
      <c r="JSV143" s="4"/>
      <c r="JSW143" s="4"/>
      <c r="JSX143" s="4"/>
      <c r="JSY143" s="4"/>
      <c r="JSZ143" s="4"/>
      <c r="JTA143" s="4"/>
      <c r="JTB143" s="4"/>
      <c r="JTC143" s="4"/>
      <c r="JTD143" s="4"/>
      <c r="JTE143" s="4"/>
      <c r="JTF143" s="4"/>
      <c r="JTG143" s="4"/>
      <c r="JTH143" s="4"/>
      <c r="JTI143" s="4"/>
      <c r="JTJ143" s="4"/>
      <c r="JTK143" s="4"/>
      <c r="JTL143" s="4"/>
      <c r="JTM143" s="4"/>
      <c r="JTN143" s="4"/>
      <c r="JTO143" s="4"/>
      <c r="JTP143" s="4"/>
      <c r="JTQ143" s="4"/>
      <c r="JTR143" s="4"/>
      <c r="JTS143" s="4"/>
      <c r="JTT143" s="4"/>
      <c r="JTU143" s="4"/>
      <c r="JTV143" s="4"/>
      <c r="JTW143" s="4"/>
      <c r="JTX143" s="4"/>
      <c r="JTY143" s="4"/>
      <c r="JTZ143" s="4"/>
      <c r="JUA143" s="4"/>
      <c r="JUB143" s="4"/>
      <c r="JUC143" s="4"/>
      <c r="JUD143" s="4"/>
      <c r="JUE143" s="4"/>
      <c r="JUF143" s="4"/>
      <c r="JUG143" s="4"/>
      <c r="JUH143" s="4"/>
      <c r="JUI143" s="4"/>
      <c r="JUJ143" s="4"/>
      <c r="JUK143" s="4"/>
      <c r="JUL143" s="4"/>
      <c r="JUM143" s="4"/>
      <c r="JUN143" s="4"/>
      <c r="JUO143" s="4"/>
      <c r="JUP143" s="4"/>
      <c r="JUQ143" s="4"/>
      <c r="JUR143" s="4"/>
      <c r="JUS143" s="4"/>
      <c r="JUT143" s="4"/>
      <c r="JUU143" s="4"/>
      <c r="JUV143" s="4"/>
      <c r="JUW143" s="4"/>
      <c r="JUX143" s="4"/>
      <c r="JUY143" s="4"/>
      <c r="JUZ143" s="4"/>
      <c r="JVA143" s="4"/>
      <c r="JVB143" s="4"/>
      <c r="JVC143" s="4"/>
      <c r="JVD143" s="4"/>
      <c r="JVE143" s="4"/>
      <c r="JVF143" s="4"/>
      <c r="JVG143" s="4"/>
      <c r="JVH143" s="4"/>
      <c r="JVI143" s="4"/>
      <c r="JVJ143" s="4"/>
      <c r="JVK143" s="4"/>
      <c r="JVL143" s="4"/>
      <c r="JVM143" s="4"/>
      <c r="JVN143" s="4"/>
      <c r="JVO143" s="4"/>
      <c r="JVP143" s="4"/>
      <c r="JVQ143" s="4"/>
      <c r="JVR143" s="4"/>
      <c r="JVS143" s="4"/>
      <c r="JVT143" s="4"/>
      <c r="JVU143" s="4"/>
      <c r="JVV143" s="4"/>
      <c r="JVW143" s="4"/>
      <c r="JVX143" s="4"/>
      <c r="JVY143" s="4"/>
      <c r="JVZ143" s="4"/>
      <c r="JWA143" s="4"/>
      <c r="JWB143" s="4"/>
      <c r="JWC143" s="4"/>
      <c r="JWD143" s="4"/>
      <c r="JWE143" s="4"/>
      <c r="JWF143" s="4"/>
      <c r="JWG143" s="4"/>
      <c r="JWH143" s="4"/>
      <c r="JWI143" s="4"/>
      <c r="JWJ143" s="4"/>
      <c r="JWK143" s="4"/>
      <c r="JWL143" s="4"/>
      <c r="JWM143" s="4"/>
      <c r="JWN143" s="4"/>
      <c r="JWO143" s="4"/>
      <c r="JWP143" s="4"/>
      <c r="JWQ143" s="4"/>
      <c r="JWR143" s="4"/>
      <c r="JWS143" s="4"/>
      <c r="JWT143" s="4"/>
      <c r="JWU143" s="4"/>
      <c r="JWV143" s="4"/>
      <c r="JWW143" s="4"/>
      <c r="JWX143" s="4"/>
      <c r="JWY143" s="4"/>
      <c r="JWZ143" s="4"/>
      <c r="JXA143" s="4"/>
      <c r="JXB143" s="4"/>
      <c r="JXC143" s="4"/>
      <c r="JXD143" s="4"/>
      <c r="JXE143" s="4"/>
      <c r="JXF143" s="4"/>
      <c r="JXG143" s="4"/>
      <c r="JXH143" s="4"/>
      <c r="JXI143" s="4"/>
      <c r="JXJ143" s="4"/>
      <c r="JXK143" s="4"/>
      <c r="JXL143" s="4"/>
      <c r="JXM143" s="4"/>
      <c r="JXN143" s="4"/>
      <c r="JXO143" s="4"/>
      <c r="JXP143" s="4"/>
      <c r="JXQ143" s="4"/>
      <c r="JXR143" s="4"/>
      <c r="JXS143" s="4"/>
      <c r="JXT143" s="4"/>
      <c r="JXU143" s="4"/>
      <c r="JXV143" s="4"/>
      <c r="JXW143" s="4"/>
      <c r="JXX143" s="4"/>
      <c r="JXY143" s="4"/>
      <c r="JXZ143" s="4"/>
      <c r="JYA143" s="4"/>
      <c r="JYB143" s="4"/>
      <c r="JYC143" s="4"/>
      <c r="JYD143" s="4"/>
      <c r="JYE143" s="4"/>
      <c r="JYF143" s="4"/>
      <c r="JYG143" s="4"/>
      <c r="JYH143" s="4"/>
      <c r="JYI143" s="4"/>
      <c r="JYJ143" s="4"/>
      <c r="JYK143" s="4"/>
      <c r="JYL143" s="4"/>
      <c r="JYM143" s="4"/>
      <c r="JYN143" s="4"/>
      <c r="JYO143" s="4"/>
      <c r="JYP143" s="4"/>
      <c r="JYQ143" s="4"/>
      <c r="JYR143" s="4"/>
      <c r="JYS143" s="4"/>
      <c r="JYT143" s="4"/>
      <c r="JYU143" s="4"/>
      <c r="JYV143" s="4"/>
      <c r="JYW143" s="4"/>
      <c r="JYX143" s="4"/>
      <c r="JYY143" s="4"/>
      <c r="JYZ143" s="4"/>
      <c r="JZA143" s="4"/>
      <c r="JZB143" s="4"/>
      <c r="JZC143" s="4"/>
      <c r="JZD143" s="4"/>
      <c r="JZE143" s="4"/>
      <c r="JZF143" s="4"/>
      <c r="JZG143" s="4"/>
      <c r="JZH143" s="4"/>
      <c r="JZI143" s="4"/>
      <c r="JZJ143" s="4"/>
      <c r="JZK143" s="4"/>
      <c r="JZL143" s="4"/>
      <c r="JZM143" s="4"/>
      <c r="JZN143" s="4"/>
      <c r="JZO143" s="4"/>
      <c r="JZP143" s="4"/>
      <c r="JZQ143" s="4"/>
      <c r="JZR143" s="4"/>
      <c r="JZS143" s="4"/>
      <c r="JZT143" s="4"/>
      <c r="JZU143" s="4"/>
      <c r="JZV143" s="4"/>
      <c r="JZW143" s="4"/>
      <c r="JZX143" s="4"/>
      <c r="JZY143" s="4"/>
      <c r="JZZ143" s="4"/>
      <c r="KAA143" s="4"/>
      <c r="KAB143" s="4"/>
      <c r="KAC143" s="4"/>
      <c r="KAD143" s="4"/>
      <c r="KAE143" s="4"/>
      <c r="KAF143" s="4"/>
      <c r="KAG143" s="4"/>
      <c r="KAH143" s="4"/>
      <c r="KAI143" s="4"/>
      <c r="KAJ143" s="4"/>
      <c r="KAK143" s="4"/>
      <c r="KAL143" s="4"/>
      <c r="KAM143" s="4"/>
      <c r="KAN143" s="4"/>
      <c r="KAO143" s="4"/>
      <c r="KAP143" s="4"/>
      <c r="KAQ143" s="4"/>
      <c r="KAR143" s="4"/>
      <c r="KAS143" s="4"/>
      <c r="KAT143" s="4"/>
      <c r="KAU143" s="4"/>
      <c r="KAV143" s="4"/>
      <c r="KAW143" s="4"/>
      <c r="KAX143" s="4"/>
      <c r="KAY143" s="4"/>
      <c r="KAZ143" s="4"/>
      <c r="KBA143" s="4"/>
      <c r="KBB143" s="4"/>
      <c r="KBC143" s="4"/>
      <c r="KBD143" s="4"/>
      <c r="KBE143" s="4"/>
      <c r="KBF143" s="4"/>
      <c r="KBG143" s="4"/>
      <c r="KBH143" s="4"/>
      <c r="KBI143" s="4"/>
      <c r="KBJ143" s="4"/>
      <c r="KBK143" s="4"/>
      <c r="KBL143" s="4"/>
      <c r="KBM143" s="4"/>
      <c r="KBN143" s="4"/>
      <c r="KBO143" s="4"/>
      <c r="KBP143" s="4"/>
      <c r="KBQ143" s="4"/>
      <c r="KBR143" s="4"/>
      <c r="KBS143" s="4"/>
      <c r="KBT143" s="4"/>
      <c r="KBU143" s="4"/>
      <c r="KBV143" s="4"/>
      <c r="KBW143" s="4"/>
      <c r="KBX143" s="4"/>
      <c r="KBY143" s="4"/>
      <c r="KBZ143" s="4"/>
      <c r="KCA143" s="4"/>
      <c r="KCB143" s="4"/>
      <c r="KCC143" s="4"/>
      <c r="KCD143" s="4"/>
      <c r="KCE143" s="4"/>
      <c r="KCF143" s="4"/>
      <c r="KCG143" s="4"/>
      <c r="KCH143" s="4"/>
      <c r="KCI143" s="4"/>
      <c r="KCJ143" s="4"/>
      <c r="KCK143" s="4"/>
      <c r="KCL143" s="4"/>
      <c r="KCM143" s="4"/>
      <c r="KCN143" s="4"/>
      <c r="KCO143" s="4"/>
      <c r="KCP143" s="4"/>
      <c r="KCQ143" s="4"/>
      <c r="KCR143" s="4"/>
      <c r="KCS143" s="4"/>
      <c r="KCT143" s="4"/>
      <c r="KCU143" s="4"/>
      <c r="KCV143" s="4"/>
      <c r="KCW143" s="4"/>
      <c r="KCX143" s="4"/>
      <c r="KCY143" s="4"/>
      <c r="KCZ143" s="4"/>
      <c r="KDA143" s="4"/>
      <c r="KDB143" s="4"/>
      <c r="KDC143" s="4"/>
      <c r="KDD143" s="4"/>
      <c r="KDE143" s="4"/>
      <c r="KDF143" s="4"/>
      <c r="KDG143" s="4"/>
      <c r="KDH143" s="4"/>
      <c r="KDI143" s="4"/>
      <c r="KDJ143" s="4"/>
      <c r="KDK143" s="4"/>
      <c r="KDL143" s="4"/>
      <c r="KDM143" s="4"/>
      <c r="KDN143" s="4"/>
      <c r="KDO143" s="4"/>
      <c r="KDP143" s="4"/>
      <c r="KDQ143" s="4"/>
      <c r="KDR143" s="4"/>
      <c r="KDS143" s="4"/>
      <c r="KDT143" s="4"/>
      <c r="KDU143" s="4"/>
      <c r="KDV143" s="4"/>
      <c r="KDW143" s="4"/>
      <c r="KDX143" s="4"/>
      <c r="KDY143" s="4"/>
      <c r="KDZ143" s="4"/>
      <c r="KEA143" s="4"/>
      <c r="KEB143" s="4"/>
      <c r="KEC143" s="4"/>
      <c r="KED143" s="4"/>
      <c r="KEE143" s="4"/>
      <c r="KEF143" s="4"/>
      <c r="KEG143" s="4"/>
      <c r="KEH143" s="4"/>
      <c r="KEI143" s="4"/>
      <c r="KEJ143" s="4"/>
      <c r="KEK143" s="4"/>
      <c r="KEL143" s="4"/>
      <c r="KEM143" s="4"/>
      <c r="KEN143" s="4"/>
      <c r="KEO143" s="4"/>
      <c r="KEP143" s="4"/>
      <c r="KEQ143" s="4"/>
      <c r="KER143" s="4"/>
      <c r="KES143" s="4"/>
      <c r="KET143" s="4"/>
      <c r="KEU143" s="4"/>
      <c r="KEV143" s="4"/>
      <c r="KEW143" s="4"/>
      <c r="KEX143" s="4"/>
      <c r="KEY143" s="4"/>
      <c r="KEZ143" s="4"/>
      <c r="KFA143" s="4"/>
      <c r="KFB143" s="4"/>
      <c r="KFC143" s="4"/>
      <c r="KFD143" s="4"/>
      <c r="KFE143" s="4"/>
      <c r="KFF143" s="4"/>
      <c r="KFG143" s="4"/>
      <c r="KFH143" s="4"/>
      <c r="KFI143" s="4"/>
      <c r="KFJ143" s="4"/>
      <c r="KFK143" s="4"/>
      <c r="KFL143" s="4"/>
      <c r="KFM143" s="4"/>
      <c r="KFN143" s="4"/>
      <c r="KFO143" s="4"/>
      <c r="KFP143" s="4"/>
      <c r="KFQ143" s="4"/>
      <c r="KFR143" s="4"/>
      <c r="KFS143" s="4"/>
      <c r="KFT143" s="4"/>
      <c r="KFU143" s="4"/>
      <c r="KFV143" s="4"/>
      <c r="KFW143" s="4"/>
      <c r="KFX143" s="4"/>
      <c r="KFY143" s="4"/>
      <c r="KFZ143" s="4"/>
      <c r="KGA143" s="4"/>
      <c r="KGB143" s="4"/>
      <c r="KGC143" s="4"/>
      <c r="KGD143" s="4"/>
      <c r="KGE143" s="4"/>
      <c r="KGF143" s="4"/>
      <c r="KGG143" s="4"/>
      <c r="KGH143" s="4"/>
      <c r="KGI143" s="4"/>
      <c r="KGJ143" s="4"/>
      <c r="KGK143" s="4"/>
      <c r="KGL143" s="4"/>
      <c r="KGM143" s="4"/>
      <c r="KGN143" s="4"/>
      <c r="KGO143" s="4"/>
      <c r="KGP143" s="4"/>
      <c r="KGQ143" s="4"/>
      <c r="KGR143" s="4"/>
      <c r="KGS143" s="4"/>
      <c r="KGT143" s="4"/>
      <c r="KGU143" s="4"/>
      <c r="KGV143" s="4"/>
      <c r="KGW143" s="4"/>
      <c r="KGX143" s="4"/>
      <c r="KGY143" s="4"/>
      <c r="KGZ143" s="4"/>
      <c r="KHA143" s="4"/>
      <c r="KHB143" s="4"/>
      <c r="KHC143" s="4"/>
      <c r="KHD143" s="4"/>
      <c r="KHE143" s="4"/>
      <c r="KHF143" s="4"/>
      <c r="KHG143" s="4"/>
      <c r="KHH143" s="4"/>
      <c r="KHI143" s="4"/>
      <c r="KHJ143" s="4"/>
      <c r="KHK143" s="4"/>
      <c r="KHL143" s="4"/>
      <c r="KHM143" s="4"/>
      <c r="KHN143" s="4"/>
      <c r="KHO143" s="4"/>
      <c r="KHP143" s="4"/>
      <c r="KHQ143" s="4"/>
      <c r="KHR143" s="4"/>
      <c r="KHS143" s="4"/>
      <c r="KHT143" s="4"/>
      <c r="KHU143" s="4"/>
      <c r="KHV143" s="4"/>
      <c r="KHW143" s="4"/>
      <c r="KHX143" s="4"/>
      <c r="KHY143" s="4"/>
      <c r="KHZ143" s="4"/>
      <c r="KIA143" s="4"/>
      <c r="KIB143" s="4"/>
      <c r="KIC143" s="4"/>
      <c r="KID143" s="4"/>
      <c r="KIE143" s="4"/>
      <c r="KIF143" s="4"/>
      <c r="KIG143" s="4"/>
      <c r="KIH143" s="4"/>
      <c r="KII143" s="4"/>
      <c r="KIJ143" s="4"/>
      <c r="KIK143" s="4"/>
      <c r="KIL143" s="4"/>
      <c r="KIM143" s="4"/>
      <c r="KIN143" s="4"/>
      <c r="KIO143" s="4"/>
      <c r="KIP143" s="4"/>
      <c r="KIQ143" s="4"/>
      <c r="KIR143" s="4"/>
      <c r="KIS143" s="4"/>
      <c r="KIT143" s="4"/>
      <c r="KIU143" s="4"/>
      <c r="KIV143" s="4"/>
      <c r="KIW143" s="4"/>
      <c r="KIX143" s="4"/>
      <c r="KIY143" s="4"/>
      <c r="KIZ143" s="4"/>
      <c r="KJA143" s="4"/>
      <c r="KJB143" s="4"/>
      <c r="KJC143" s="4"/>
      <c r="KJD143" s="4"/>
      <c r="KJE143" s="4"/>
      <c r="KJF143" s="4"/>
      <c r="KJG143" s="4"/>
      <c r="KJH143" s="4"/>
      <c r="KJI143" s="4"/>
      <c r="KJJ143" s="4"/>
      <c r="KJK143" s="4"/>
      <c r="KJL143" s="4"/>
      <c r="KJM143" s="4"/>
      <c r="KJN143" s="4"/>
      <c r="KJO143" s="4"/>
      <c r="KJP143" s="4"/>
      <c r="KJQ143" s="4"/>
      <c r="KJR143" s="4"/>
      <c r="KJS143" s="4"/>
      <c r="KJT143" s="4"/>
      <c r="KJU143" s="4"/>
      <c r="KJV143" s="4"/>
      <c r="KJW143" s="4"/>
      <c r="KJX143" s="4"/>
      <c r="KJY143" s="4"/>
      <c r="KJZ143" s="4"/>
      <c r="KKA143" s="4"/>
      <c r="KKB143" s="4"/>
      <c r="KKC143" s="4"/>
      <c r="KKD143" s="4"/>
      <c r="KKE143" s="4"/>
      <c r="KKF143" s="4"/>
      <c r="KKG143" s="4"/>
      <c r="KKH143" s="4"/>
      <c r="KKI143" s="4"/>
      <c r="KKJ143" s="4"/>
      <c r="KKK143" s="4"/>
      <c r="KKL143" s="4"/>
      <c r="KKM143" s="4"/>
      <c r="KKN143" s="4"/>
      <c r="KKO143" s="4"/>
      <c r="KKP143" s="4"/>
      <c r="KKQ143" s="4"/>
      <c r="KKR143" s="4"/>
      <c r="KKS143" s="4"/>
      <c r="KKT143" s="4"/>
      <c r="KKU143" s="4"/>
      <c r="KKV143" s="4"/>
      <c r="KKW143" s="4"/>
      <c r="KKX143" s="4"/>
      <c r="KKY143" s="4"/>
      <c r="KKZ143" s="4"/>
      <c r="KLA143" s="4"/>
      <c r="KLB143" s="4"/>
      <c r="KLC143" s="4"/>
      <c r="KLD143" s="4"/>
      <c r="KLE143" s="4"/>
      <c r="KLF143" s="4"/>
      <c r="KLG143" s="4"/>
      <c r="KLH143" s="4"/>
      <c r="KLI143" s="4"/>
      <c r="KLJ143" s="4"/>
      <c r="KLK143" s="4"/>
      <c r="KLL143" s="4"/>
      <c r="KLM143" s="4"/>
      <c r="KLN143" s="4"/>
      <c r="KLO143" s="4"/>
      <c r="KLP143" s="4"/>
      <c r="KLQ143" s="4"/>
      <c r="KLR143" s="4"/>
      <c r="KLS143" s="4"/>
      <c r="KLT143" s="4"/>
      <c r="KLU143" s="4"/>
      <c r="KLV143" s="4"/>
      <c r="KLW143" s="4"/>
      <c r="KLX143" s="4"/>
      <c r="KLY143" s="4"/>
      <c r="KLZ143" s="4"/>
      <c r="KMA143" s="4"/>
      <c r="KMB143" s="4"/>
      <c r="KMC143" s="4"/>
      <c r="KMD143" s="4"/>
      <c r="KME143" s="4"/>
      <c r="KMF143" s="4"/>
      <c r="KMG143" s="4"/>
      <c r="KMH143" s="4"/>
      <c r="KMI143" s="4"/>
      <c r="KMJ143" s="4"/>
      <c r="KMK143" s="4"/>
      <c r="KML143" s="4"/>
      <c r="KMM143" s="4"/>
      <c r="KMN143" s="4"/>
      <c r="KMO143" s="4"/>
      <c r="KMP143" s="4"/>
      <c r="KMQ143" s="4"/>
      <c r="KMR143" s="4"/>
      <c r="KMS143" s="4"/>
      <c r="KMT143" s="4"/>
      <c r="KMU143" s="4"/>
      <c r="KMV143" s="4"/>
      <c r="KMW143" s="4"/>
      <c r="KMX143" s="4"/>
      <c r="KMY143" s="4"/>
      <c r="KMZ143" s="4"/>
      <c r="KNA143" s="4"/>
      <c r="KNB143" s="4"/>
      <c r="KNC143" s="4"/>
      <c r="KND143" s="4"/>
      <c r="KNE143" s="4"/>
      <c r="KNF143" s="4"/>
      <c r="KNG143" s="4"/>
      <c r="KNH143" s="4"/>
      <c r="KNI143" s="4"/>
      <c r="KNJ143" s="4"/>
      <c r="KNK143" s="4"/>
      <c r="KNL143" s="4"/>
      <c r="KNM143" s="4"/>
      <c r="KNN143" s="4"/>
      <c r="KNO143" s="4"/>
      <c r="KNP143" s="4"/>
      <c r="KNQ143" s="4"/>
      <c r="KNR143" s="4"/>
      <c r="KNS143" s="4"/>
      <c r="KNT143" s="4"/>
      <c r="KNU143" s="4"/>
      <c r="KNV143" s="4"/>
      <c r="KNW143" s="4"/>
      <c r="KNX143" s="4"/>
      <c r="KNY143" s="4"/>
      <c r="KNZ143" s="4"/>
      <c r="KOA143" s="4"/>
      <c r="KOB143" s="4"/>
      <c r="KOC143" s="4"/>
      <c r="KOD143" s="4"/>
      <c r="KOE143" s="4"/>
      <c r="KOF143" s="4"/>
      <c r="KOG143" s="4"/>
      <c r="KOH143" s="4"/>
      <c r="KOI143" s="4"/>
      <c r="KOJ143" s="4"/>
      <c r="KOK143" s="4"/>
      <c r="KOL143" s="4"/>
      <c r="KOM143" s="4"/>
      <c r="KON143" s="4"/>
      <c r="KOO143" s="4"/>
      <c r="KOP143" s="4"/>
      <c r="KOQ143" s="4"/>
      <c r="KOR143" s="4"/>
      <c r="KOS143" s="4"/>
      <c r="KOT143" s="4"/>
      <c r="KOU143" s="4"/>
      <c r="KOV143" s="4"/>
      <c r="KOW143" s="4"/>
      <c r="KOX143" s="4"/>
      <c r="KOY143" s="4"/>
      <c r="KOZ143" s="4"/>
      <c r="KPA143" s="4"/>
      <c r="KPB143" s="4"/>
      <c r="KPC143" s="4"/>
      <c r="KPD143" s="4"/>
      <c r="KPE143" s="4"/>
      <c r="KPF143" s="4"/>
      <c r="KPG143" s="4"/>
      <c r="KPH143" s="4"/>
      <c r="KPI143" s="4"/>
      <c r="KPJ143" s="4"/>
      <c r="KPK143" s="4"/>
      <c r="KPL143" s="4"/>
      <c r="KPM143" s="4"/>
      <c r="KPN143" s="4"/>
      <c r="KPO143" s="4"/>
      <c r="KPP143" s="4"/>
      <c r="KPQ143" s="4"/>
      <c r="KPR143" s="4"/>
      <c r="KPS143" s="4"/>
      <c r="KPT143" s="4"/>
      <c r="KPU143" s="4"/>
      <c r="KPV143" s="4"/>
      <c r="KPW143" s="4"/>
      <c r="KPX143" s="4"/>
      <c r="KPY143" s="4"/>
      <c r="KPZ143" s="4"/>
      <c r="KQA143" s="4"/>
      <c r="KQB143" s="4"/>
      <c r="KQC143" s="4"/>
      <c r="KQD143" s="4"/>
      <c r="KQE143" s="4"/>
      <c r="KQF143" s="4"/>
      <c r="KQG143" s="4"/>
      <c r="KQH143" s="4"/>
      <c r="KQI143" s="4"/>
      <c r="KQJ143" s="4"/>
      <c r="KQK143" s="4"/>
      <c r="KQL143" s="4"/>
      <c r="KQM143" s="4"/>
      <c r="KQN143" s="4"/>
      <c r="KQO143" s="4"/>
      <c r="KQP143" s="4"/>
      <c r="KQQ143" s="4"/>
      <c r="KQR143" s="4"/>
      <c r="KQS143" s="4"/>
      <c r="KQT143" s="4"/>
      <c r="KQU143" s="4"/>
      <c r="KQV143" s="4"/>
      <c r="KQW143" s="4"/>
      <c r="KQX143" s="4"/>
      <c r="KQY143" s="4"/>
      <c r="KQZ143" s="4"/>
      <c r="KRA143" s="4"/>
      <c r="KRB143" s="4"/>
      <c r="KRC143" s="4"/>
      <c r="KRD143" s="4"/>
      <c r="KRE143" s="4"/>
      <c r="KRF143" s="4"/>
      <c r="KRG143" s="4"/>
      <c r="KRH143" s="4"/>
      <c r="KRI143" s="4"/>
      <c r="KRJ143" s="4"/>
      <c r="KRK143" s="4"/>
      <c r="KRL143" s="4"/>
      <c r="KRM143" s="4"/>
      <c r="KRN143" s="4"/>
      <c r="KRO143" s="4"/>
      <c r="KRP143" s="4"/>
      <c r="KRQ143" s="4"/>
      <c r="KRR143" s="4"/>
      <c r="KRS143" s="4"/>
      <c r="KRT143" s="4"/>
      <c r="KRU143" s="4"/>
      <c r="KRV143" s="4"/>
      <c r="KRW143" s="4"/>
      <c r="KRX143" s="4"/>
      <c r="KRY143" s="4"/>
      <c r="KRZ143" s="4"/>
      <c r="KSA143" s="4"/>
      <c r="KSB143" s="4"/>
      <c r="KSC143" s="4"/>
      <c r="KSD143" s="4"/>
      <c r="KSE143" s="4"/>
      <c r="KSF143" s="4"/>
      <c r="KSG143" s="4"/>
      <c r="KSH143" s="4"/>
      <c r="KSI143" s="4"/>
      <c r="KSJ143" s="4"/>
      <c r="KSK143" s="4"/>
      <c r="KSL143" s="4"/>
      <c r="KSM143" s="4"/>
      <c r="KSN143" s="4"/>
      <c r="KSO143" s="4"/>
      <c r="KSP143" s="4"/>
      <c r="KSQ143" s="4"/>
      <c r="KSR143" s="4"/>
      <c r="KSS143" s="4"/>
      <c r="KST143" s="4"/>
      <c r="KSU143" s="4"/>
      <c r="KSV143" s="4"/>
      <c r="KSW143" s="4"/>
      <c r="KSX143" s="4"/>
      <c r="KSY143" s="4"/>
      <c r="KSZ143" s="4"/>
      <c r="KTA143" s="4"/>
      <c r="KTB143" s="4"/>
      <c r="KTC143" s="4"/>
      <c r="KTD143" s="4"/>
      <c r="KTE143" s="4"/>
      <c r="KTF143" s="4"/>
      <c r="KTG143" s="4"/>
      <c r="KTH143" s="4"/>
      <c r="KTI143" s="4"/>
      <c r="KTJ143" s="4"/>
      <c r="KTK143" s="4"/>
      <c r="KTL143" s="4"/>
      <c r="KTM143" s="4"/>
      <c r="KTN143" s="4"/>
      <c r="KTO143" s="4"/>
      <c r="KTP143" s="4"/>
      <c r="KTQ143" s="4"/>
      <c r="KTR143" s="4"/>
      <c r="KTS143" s="4"/>
      <c r="KTT143" s="4"/>
      <c r="KTU143" s="4"/>
      <c r="KTV143" s="4"/>
      <c r="KTW143" s="4"/>
      <c r="KTX143" s="4"/>
      <c r="KTY143" s="4"/>
      <c r="KTZ143" s="4"/>
      <c r="KUA143" s="4"/>
      <c r="KUB143" s="4"/>
      <c r="KUC143" s="4"/>
      <c r="KUD143" s="4"/>
      <c r="KUE143" s="4"/>
      <c r="KUF143" s="4"/>
      <c r="KUG143" s="4"/>
      <c r="KUH143" s="4"/>
      <c r="KUI143" s="4"/>
      <c r="KUJ143" s="4"/>
      <c r="KUK143" s="4"/>
      <c r="KUL143" s="4"/>
      <c r="KUM143" s="4"/>
      <c r="KUN143" s="4"/>
      <c r="KUO143" s="4"/>
      <c r="KUP143" s="4"/>
      <c r="KUQ143" s="4"/>
      <c r="KUR143" s="4"/>
      <c r="KUS143" s="4"/>
      <c r="KUT143" s="4"/>
      <c r="KUU143" s="4"/>
      <c r="KUV143" s="4"/>
      <c r="KUW143" s="4"/>
      <c r="KUX143" s="4"/>
      <c r="KUY143" s="4"/>
      <c r="KUZ143" s="4"/>
      <c r="KVA143" s="4"/>
      <c r="KVB143" s="4"/>
      <c r="KVC143" s="4"/>
      <c r="KVD143" s="4"/>
      <c r="KVE143" s="4"/>
      <c r="KVF143" s="4"/>
      <c r="KVG143" s="4"/>
      <c r="KVH143" s="4"/>
      <c r="KVI143" s="4"/>
      <c r="KVJ143" s="4"/>
      <c r="KVK143" s="4"/>
      <c r="KVL143" s="4"/>
      <c r="KVM143" s="4"/>
      <c r="KVN143" s="4"/>
      <c r="KVO143" s="4"/>
      <c r="KVP143" s="4"/>
      <c r="KVQ143" s="4"/>
      <c r="KVR143" s="4"/>
      <c r="KVS143" s="4"/>
      <c r="KVT143" s="4"/>
      <c r="KVU143" s="4"/>
      <c r="KVV143" s="4"/>
      <c r="KVW143" s="4"/>
      <c r="KVX143" s="4"/>
      <c r="KVY143" s="4"/>
      <c r="KVZ143" s="4"/>
      <c r="KWA143" s="4"/>
      <c r="KWB143" s="4"/>
      <c r="KWC143" s="4"/>
      <c r="KWD143" s="4"/>
      <c r="KWE143" s="4"/>
      <c r="KWF143" s="4"/>
      <c r="KWG143" s="4"/>
      <c r="KWH143" s="4"/>
      <c r="KWI143" s="4"/>
      <c r="KWJ143" s="4"/>
      <c r="KWK143" s="4"/>
      <c r="KWL143" s="4"/>
      <c r="KWM143" s="4"/>
      <c r="KWN143" s="4"/>
      <c r="KWO143" s="4"/>
      <c r="KWP143" s="4"/>
      <c r="KWQ143" s="4"/>
      <c r="KWR143" s="4"/>
      <c r="KWS143" s="4"/>
      <c r="KWT143" s="4"/>
      <c r="KWU143" s="4"/>
      <c r="KWV143" s="4"/>
      <c r="KWW143" s="4"/>
      <c r="KWX143" s="4"/>
      <c r="KWY143" s="4"/>
      <c r="KWZ143" s="4"/>
      <c r="KXA143" s="4"/>
      <c r="KXB143" s="4"/>
      <c r="KXC143" s="4"/>
      <c r="KXD143" s="4"/>
      <c r="KXE143" s="4"/>
      <c r="KXF143" s="4"/>
      <c r="KXG143" s="4"/>
      <c r="KXH143" s="4"/>
      <c r="KXI143" s="4"/>
      <c r="KXJ143" s="4"/>
      <c r="KXK143" s="4"/>
      <c r="KXL143" s="4"/>
      <c r="KXM143" s="4"/>
      <c r="KXN143" s="4"/>
      <c r="KXO143" s="4"/>
      <c r="KXP143" s="4"/>
      <c r="KXQ143" s="4"/>
      <c r="KXR143" s="4"/>
      <c r="KXS143" s="4"/>
      <c r="KXT143" s="4"/>
      <c r="KXU143" s="4"/>
      <c r="KXV143" s="4"/>
      <c r="KXW143" s="4"/>
      <c r="KXX143" s="4"/>
      <c r="KXY143" s="4"/>
      <c r="KXZ143" s="4"/>
      <c r="KYA143" s="4"/>
      <c r="KYB143" s="4"/>
      <c r="KYC143" s="4"/>
      <c r="KYD143" s="4"/>
      <c r="KYE143" s="4"/>
      <c r="KYF143" s="4"/>
      <c r="KYG143" s="4"/>
      <c r="KYH143" s="4"/>
      <c r="KYI143" s="4"/>
      <c r="KYJ143" s="4"/>
      <c r="KYK143" s="4"/>
      <c r="KYL143" s="4"/>
      <c r="KYM143" s="4"/>
      <c r="KYN143" s="4"/>
      <c r="KYO143" s="4"/>
      <c r="KYP143" s="4"/>
      <c r="KYQ143" s="4"/>
      <c r="KYR143" s="4"/>
      <c r="KYS143" s="4"/>
      <c r="KYT143" s="4"/>
      <c r="KYU143" s="4"/>
      <c r="KYV143" s="4"/>
      <c r="KYW143" s="4"/>
      <c r="KYX143" s="4"/>
      <c r="KYY143" s="4"/>
      <c r="KYZ143" s="4"/>
      <c r="KZA143" s="4"/>
      <c r="KZB143" s="4"/>
      <c r="KZC143" s="4"/>
      <c r="KZD143" s="4"/>
      <c r="KZE143" s="4"/>
      <c r="KZF143" s="4"/>
      <c r="KZG143" s="4"/>
      <c r="KZH143" s="4"/>
      <c r="KZI143" s="4"/>
      <c r="KZJ143" s="4"/>
      <c r="KZK143" s="4"/>
      <c r="KZL143" s="4"/>
      <c r="KZM143" s="4"/>
      <c r="KZN143" s="4"/>
      <c r="KZO143" s="4"/>
      <c r="KZP143" s="4"/>
      <c r="KZQ143" s="4"/>
      <c r="KZR143" s="4"/>
      <c r="KZS143" s="4"/>
      <c r="KZT143" s="4"/>
      <c r="KZU143" s="4"/>
      <c r="KZV143" s="4"/>
      <c r="KZW143" s="4"/>
      <c r="KZX143" s="4"/>
      <c r="KZY143" s="4"/>
      <c r="KZZ143" s="4"/>
      <c r="LAA143" s="4"/>
      <c r="LAB143" s="4"/>
      <c r="LAC143" s="4"/>
      <c r="LAD143" s="4"/>
      <c r="LAE143" s="4"/>
      <c r="LAF143" s="4"/>
      <c r="LAG143" s="4"/>
      <c r="LAH143" s="4"/>
      <c r="LAI143" s="4"/>
      <c r="LAJ143" s="4"/>
      <c r="LAK143" s="4"/>
      <c r="LAL143" s="4"/>
      <c r="LAM143" s="4"/>
      <c r="LAN143" s="4"/>
      <c r="LAO143" s="4"/>
      <c r="LAP143" s="4"/>
      <c r="LAQ143" s="4"/>
      <c r="LAR143" s="4"/>
      <c r="LAS143" s="4"/>
      <c r="LAT143" s="4"/>
      <c r="LAU143" s="4"/>
      <c r="LAV143" s="4"/>
      <c r="LAW143" s="4"/>
      <c r="LAX143" s="4"/>
      <c r="LAY143" s="4"/>
      <c r="LAZ143" s="4"/>
      <c r="LBA143" s="4"/>
      <c r="LBB143" s="4"/>
      <c r="LBC143" s="4"/>
      <c r="LBD143" s="4"/>
      <c r="LBE143" s="4"/>
      <c r="LBF143" s="4"/>
      <c r="LBG143" s="4"/>
      <c r="LBH143" s="4"/>
      <c r="LBI143" s="4"/>
      <c r="LBJ143" s="4"/>
      <c r="LBK143" s="4"/>
      <c r="LBL143" s="4"/>
      <c r="LBM143" s="4"/>
      <c r="LBN143" s="4"/>
      <c r="LBO143" s="4"/>
      <c r="LBP143" s="4"/>
      <c r="LBQ143" s="4"/>
      <c r="LBR143" s="4"/>
      <c r="LBS143" s="4"/>
      <c r="LBT143" s="4"/>
      <c r="LBU143" s="4"/>
      <c r="LBV143" s="4"/>
      <c r="LBW143" s="4"/>
      <c r="LBX143" s="4"/>
      <c r="LBY143" s="4"/>
      <c r="LBZ143" s="4"/>
      <c r="LCA143" s="4"/>
      <c r="LCB143" s="4"/>
      <c r="LCC143" s="4"/>
      <c r="LCD143" s="4"/>
      <c r="LCE143" s="4"/>
      <c r="LCF143" s="4"/>
      <c r="LCG143" s="4"/>
      <c r="LCH143" s="4"/>
      <c r="LCI143" s="4"/>
      <c r="LCJ143" s="4"/>
      <c r="LCK143" s="4"/>
      <c r="LCL143" s="4"/>
      <c r="LCM143" s="4"/>
      <c r="LCN143" s="4"/>
      <c r="LCO143" s="4"/>
      <c r="LCP143" s="4"/>
      <c r="LCQ143" s="4"/>
      <c r="LCR143" s="4"/>
      <c r="LCS143" s="4"/>
      <c r="LCT143" s="4"/>
      <c r="LCU143" s="4"/>
      <c r="LCV143" s="4"/>
      <c r="LCW143" s="4"/>
      <c r="LCX143" s="4"/>
      <c r="LCY143" s="4"/>
      <c r="LCZ143" s="4"/>
      <c r="LDA143" s="4"/>
      <c r="LDB143" s="4"/>
      <c r="LDC143" s="4"/>
      <c r="LDD143" s="4"/>
      <c r="LDE143" s="4"/>
      <c r="LDF143" s="4"/>
      <c r="LDG143" s="4"/>
      <c r="LDH143" s="4"/>
      <c r="LDI143" s="4"/>
      <c r="LDJ143" s="4"/>
      <c r="LDK143" s="4"/>
      <c r="LDL143" s="4"/>
      <c r="LDM143" s="4"/>
      <c r="LDN143" s="4"/>
      <c r="LDO143" s="4"/>
      <c r="LDP143" s="4"/>
      <c r="LDQ143" s="4"/>
      <c r="LDR143" s="4"/>
      <c r="LDS143" s="4"/>
      <c r="LDT143" s="4"/>
      <c r="LDU143" s="4"/>
      <c r="LDV143" s="4"/>
      <c r="LDW143" s="4"/>
      <c r="LDX143" s="4"/>
      <c r="LDY143" s="4"/>
      <c r="LDZ143" s="4"/>
      <c r="LEA143" s="4"/>
      <c r="LEB143" s="4"/>
      <c r="LEC143" s="4"/>
      <c r="LED143" s="4"/>
      <c r="LEE143" s="4"/>
      <c r="LEF143" s="4"/>
      <c r="LEG143" s="4"/>
      <c r="LEH143" s="4"/>
      <c r="LEI143" s="4"/>
      <c r="LEJ143" s="4"/>
      <c r="LEK143" s="4"/>
      <c r="LEL143" s="4"/>
      <c r="LEM143" s="4"/>
      <c r="LEN143" s="4"/>
      <c r="LEO143" s="4"/>
      <c r="LEP143" s="4"/>
      <c r="LEQ143" s="4"/>
      <c r="LER143" s="4"/>
      <c r="LES143" s="4"/>
      <c r="LET143" s="4"/>
      <c r="LEU143" s="4"/>
      <c r="LEV143" s="4"/>
      <c r="LEW143" s="4"/>
      <c r="LEX143" s="4"/>
      <c r="LEY143" s="4"/>
      <c r="LEZ143" s="4"/>
      <c r="LFA143" s="4"/>
      <c r="LFB143" s="4"/>
      <c r="LFC143" s="4"/>
      <c r="LFD143" s="4"/>
      <c r="LFE143" s="4"/>
      <c r="LFF143" s="4"/>
      <c r="LFG143" s="4"/>
      <c r="LFH143" s="4"/>
      <c r="LFI143" s="4"/>
      <c r="LFJ143" s="4"/>
      <c r="LFK143" s="4"/>
      <c r="LFL143" s="4"/>
      <c r="LFM143" s="4"/>
      <c r="LFN143" s="4"/>
      <c r="LFO143" s="4"/>
      <c r="LFP143" s="4"/>
      <c r="LFQ143" s="4"/>
      <c r="LFR143" s="4"/>
      <c r="LFS143" s="4"/>
      <c r="LFT143" s="4"/>
      <c r="LFU143" s="4"/>
      <c r="LFV143" s="4"/>
      <c r="LFW143" s="4"/>
      <c r="LFX143" s="4"/>
      <c r="LFY143" s="4"/>
      <c r="LFZ143" s="4"/>
      <c r="LGA143" s="4"/>
      <c r="LGB143" s="4"/>
      <c r="LGC143" s="4"/>
      <c r="LGD143" s="4"/>
      <c r="LGE143" s="4"/>
      <c r="LGF143" s="4"/>
      <c r="LGG143" s="4"/>
      <c r="LGH143" s="4"/>
      <c r="LGI143" s="4"/>
      <c r="LGJ143" s="4"/>
      <c r="LGK143" s="4"/>
      <c r="LGL143" s="4"/>
      <c r="LGM143" s="4"/>
      <c r="LGN143" s="4"/>
      <c r="LGO143" s="4"/>
      <c r="LGP143" s="4"/>
      <c r="LGQ143" s="4"/>
      <c r="LGR143" s="4"/>
      <c r="LGS143" s="4"/>
      <c r="LGT143" s="4"/>
      <c r="LGU143" s="4"/>
      <c r="LGV143" s="4"/>
      <c r="LGW143" s="4"/>
      <c r="LGX143" s="4"/>
      <c r="LGY143" s="4"/>
      <c r="LGZ143" s="4"/>
      <c r="LHA143" s="4"/>
      <c r="LHB143" s="4"/>
      <c r="LHC143" s="4"/>
      <c r="LHD143" s="4"/>
      <c r="LHE143" s="4"/>
      <c r="LHF143" s="4"/>
      <c r="LHG143" s="4"/>
      <c r="LHH143" s="4"/>
      <c r="LHI143" s="4"/>
      <c r="LHJ143" s="4"/>
      <c r="LHK143" s="4"/>
      <c r="LHL143" s="4"/>
      <c r="LHM143" s="4"/>
      <c r="LHN143" s="4"/>
      <c r="LHO143" s="4"/>
      <c r="LHP143" s="4"/>
      <c r="LHQ143" s="4"/>
      <c r="LHR143" s="4"/>
      <c r="LHS143" s="4"/>
      <c r="LHT143" s="4"/>
      <c r="LHU143" s="4"/>
      <c r="LHV143" s="4"/>
      <c r="LHW143" s="4"/>
      <c r="LHX143" s="4"/>
      <c r="LHY143" s="4"/>
      <c r="LHZ143" s="4"/>
      <c r="LIA143" s="4"/>
      <c r="LIB143" s="4"/>
      <c r="LIC143" s="4"/>
      <c r="LID143" s="4"/>
      <c r="LIE143" s="4"/>
      <c r="LIF143" s="4"/>
      <c r="LIG143" s="4"/>
      <c r="LIH143" s="4"/>
      <c r="LII143" s="4"/>
      <c r="LIJ143" s="4"/>
      <c r="LIK143" s="4"/>
      <c r="LIL143" s="4"/>
      <c r="LIM143" s="4"/>
      <c r="LIN143" s="4"/>
      <c r="LIO143" s="4"/>
      <c r="LIP143" s="4"/>
      <c r="LIQ143" s="4"/>
      <c r="LIR143" s="4"/>
      <c r="LIS143" s="4"/>
      <c r="LIT143" s="4"/>
      <c r="LIU143" s="4"/>
      <c r="LIV143" s="4"/>
      <c r="LIW143" s="4"/>
      <c r="LIX143" s="4"/>
      <c r="LIY143" s="4"/>
      <c r="LIZ143" s="4"/>
      <c r="LJA143" s="4"/>
      <c r="LJB143" s="4"/>
      <c r="LJC143" s="4"/>
      <c r="LJD143" s="4"/>
      <c r="LJE143" s="4"/>
      <c r="LJF143" s="4"/>
      <c r="LJG143" s="4"/>
      <c r="LJH143" s="4"/>
      <c r="LJI143" s="4"/>
      <c r="LJJ143" s="4"/>
      <c r="LJK143" s="4"/>
      <c r="LJL143" s="4"/>
      <c r="LJM143" s="4"/>
      <c r="LJN143" s="4"/>
      <c r="LJO143" s="4"/>
      <c r="LJP143" s="4"/>
      <c r="LJQ143" s="4"/>
      <c r="LJR143" s="4"/>
      <c r="LJS143" s="4"/>
      <c r="LJT143" s="4"/>
      <c r="LJU143" s="4"/>
      <c r="LJV143" s="4"/>
      <c r="LJW143" s="4"/>
      <c r="LJX143" s="4"/>
      <c r="LJY143" s="4"/>
      <c r="LJZ143" s="4"/>
      <c r="LKA143" s="4"/>
      <c r="LKB143" s="4"/>
      <c r="LKC143" s="4"/>
      <c r="LKD143" s="4"/>
      <c r="LKE143" s="4"/>
      <c r="LKF143" s="4"/>
      <c r="LKG143" s="4"/>
      <c r="LKH143" s="4"/>
      <c r="LKI143" s="4"/>
      <c r="LKJ143" s="4"/>
      <c r="LKK143" s="4"/>
      <c r="LKL143" s="4"/>
      <c r="LKM143" s="4"/>
      <c r="LKN143" s="4"/>
      <c r="LKO143" s="4"/>
      <c r="LKP143" s="4"/>
      <c r="LKQ143" s="4"/>
      <c r="LKR143" s="4"/>
      <c r="LKS143" s="4"/>
      <c r="LKT143" s="4"/>
      <c r="LKU143" s="4"/>
      <c r="LKV143" s="4"/>
      <c r="LKW143" s="4"/>
      <c r="LKX143" s="4"/>
      <c r="LKY143" s="4"/>
      <c r="LKZ143" s="4"/>
      <c r="LLA143" s="4"/>
      <c r="LLB143" s="4"/>
      <c r="LLC143" s="4"/>
      <c r="LLD143" s="4"/>
      <c r="LLE143" s="4"/>
      <c r="LLF143" s="4"/>
      <c r="LLG143" s="4"/>
      <c r="LLH143" s="4"/>
      <c r="LLI143" s="4"/>
      <c r="LLJ143" s="4"/>
      <c r="LLK143" s="4"/>
      <c r="LLL143" s="4"/>
      <c r="LLM143" s="4"/>
      <c r="LLN143" s="4"/>
      <c r="LLO143" s="4"/>
      <c r="LLP143" s="4"/>
      <c r="LLQ143" s="4"/>
      <c r="LLR143" s="4"/>
      <c r="LLS143" s="4"/>
      <c r="LLT143" s="4"/>
      <c r="LLU143" s="4"/>
      <c r="LLV143" s="4"/>
      <c r="LLW143" s="4"/>
      <c r="LLX143" s="4"/>
      <c r="LLY143" s="4"/>
      <c r="LLZ143" s="4"/>
      <c r="LMA143" s="4"/>
      <c r="LMB143" s="4"/>
      <c r="LMC143" s="4"/>
      <c r="LMD143" s="4"/>
      <c r="LME143" s="4"/>
      <c r="LMF143" s="4"/>
      <c r="LMG143" s="4"/>
      <c r="LMH143" s="4"/>
      <c r="LMI143" s="4"/>
      <c r="LMJ143" s="4"/>
      <c r="LMK143" s="4"/>
      <c r="LML143" s="4"/>
      <c r="LMM143" s="4"/>
      <c r="LMN143" s="4"/>
      <c r="LMO143" s="4"/>
      <c r="LMP143" s="4"/>
      <c r="LMQ143" s="4"/>
      <c r="LMR143" s="4"/>
      <c r="LMS143" s="4"/>
      <c r="LMT143" s="4"/>
      <c r="LMU143" s="4"/>
      <c r="LMV143" s="4"/>
      <c r="LMW143" s="4"/>
      <c r="LMX143" s="4"/>
      <c r="LMY143" s="4"/>
      <c r="LMZ143" s="4"/>
      <c r="LNA143" s="4"/>
      <c r="LNB143" s="4"/>
      <c r="LNC143" s="4"/>
      <c r="LND143" s="4"/>
      <c r="LNE143" s="4"/>
      <c r="LNF143" s="4"/>
      <c r="LNG143" s="4"/>
      <c r="LNH143" s="4"/>
      <c r="LNI143" s="4"/>
      <c r="LNJ143" s="4"/>
      <c r="LNK143" s="4"/>
      <c r="LNL143" s="4"/>
      <c r="LNM143" s="4"/>
      <c r="LNN143" s="4"/>
      <c r="LNO143" s="4"/>
      <c r="LNP143" s="4"/>
      <c r="LNQ143" s="4"/>
      <c r="LNR143" s="4"/>
      <c r="LNS143" s="4"/>
      <c r="LNT143" s="4"/>
      <c r="LNU143" s="4"/>
      <c r="LNV143" s="4"/>
      <c r="LNW143" s="4"/>
      <c r="LNX143" s="4"/>
      <c r="LNY143" s="4"/>
      <c r="LNZ143" s="4"/>
      <c r="LOA143" s="4"/>
      <c r="LOB143" s="4"/>
      <c r="LOC143" s="4"/>
      <c r="LOD143" s="4"/>
      <c r="LOE143" s="4"/>
      <c r="LOF143" s="4"/>
      <c r="LOG143" s="4"/>
      <c r="LOH143" s="4"/>
      <c r="LOI143" s="4"/>
      <c r="LOJ143" s="4"/>
      <c r="LOK143" s="4"/>
      <c r="LOL143" s="4"/>
      <c r="LOM143" s="4"/>
      <c r="LON143" s="4"/>
      <c r="LOO143" s="4"/>
      <c r="LOP143" s="4"/>
      <c r="LOQ143" s="4"/>
      <c r="LOR143" s="4"/>
      <c r="LOS143" s="4"/>
      <c r="LOT143" s="4"/>
      <c r="LOU143" s="4"/>
      <c r="LOV143" s="4"/>
      <c r="LOW143" s="4"/>
      <c r="LOX143" s="4"/>
      <c r="LOY143" s="4"/>
      <c r="LOZ143" s="4"/>
      <c r="LPA143" s="4"/>
      <c r="LPB143" s="4"/>
      <c r="LPC143" s="4"/>
      <c r="LPD143" s="4"/>
      <c r="LPE143" s="4"/>
      <c r="LPF143" s="4"/>
      <c r="LPG143" s="4"/>
      <c r="LPH143" s="4"/>
      <c r="LPI143" s="4"/>
      <c r="LPJ143" s="4"/>
      <c r="LPK143" s="4"/>
      <c r="LPL143" s="4"/>
      <c r="LPM143" s="4"/>
      <c r="LPN143" s="4"/>
      <c r="LPO143" s="4"/>
      <c r="LPP143" s="4"/>
      <c r="LPQ143" s="4"/>
      <c r="LPR143" s="4"/>
      <c r="LPS143" s="4"/>
      <c r="LPT143" s="4"/>
      <c r="LPU143" s="4"/>
      <c r="LPV143" s="4"/>
      <c r="LPW143" s="4"/>
      <c r="LPX143" s="4"/>
      <c r="LPY143" s="4"/>
      <c r="LPZ143" s="4"/>
      <c r="LQA143" s="4"/>
      <c r="LQB143" s="4"/>
      <c r="LQC143" s="4"/>
      <c r="LQD143" s="4"/>
      <c r="LQE143" s="4"/>
      <c r="LQF143" s="4"/>
      <c r="LQG143" s="4"/>
      <c r="LQH143" s="4"/>
      <c r="LQI143" s="4"/>
      <c r="LQJ143" s="4"/>
      <c r="LQK143" s="4"/>
      <c r="LQL143" s="4"/>
      <c r="LQM143" s="4"/>
      <c r="LQN143" s="4"/>
      <c r="LQO143" s="4"/>
      <c r="LQP143" s="4"/>
      <c r="LQQ143" s="4"/>
      <c r="LQR143" s="4"/>
      <c r="LQS143" s="4"/>
      <c r="LQT143" s="4"/>
      <c r="LQU143" s="4"/>
      <c r="LQV143" s="4"/>
      <c r="LQW143" s="4"/>
      <c r="LQX143" s="4"/>
      <c r="LQY143" s="4"/>
      <c r="LQZ143" s="4"/>
      <c r="LRA143" s="4"/>
      <c r="LRB143" s="4"/>
      <c r="LRC143" s="4"/>
      <c r="LRD143" s="4"/>
      <c r="LRE143" s="4"/>
      <c r="LRF143" s="4"/>
      <c r="LRG143" s="4"/>
      <c r="LRH143" s="4"/>
      <c r="LRI143" s="4"/>
      <c r="LRJ143" s="4"/>
      <c r="LRK143" s="4"/>
      <c r="LRL143" s="4"/>
      <c r="LRM143" s="4"/>
      <c r="LRN143" s="4"/>
      <c r="LRO143" s="4"/>
      <c r="LRP143" s="4"/>
      <c r="LRQ143" s="4"/>
      <c r="LRR143" s="4"/>
      <c r="LRS143" s="4"/>
      <c r="LRT143" s="4"/>
      <c r="LRU143" s="4"/>
      <c r="LRV143" s="4"/>
      <c r="LRW143" s="4"/>
      <c r="LRX143" s="4"/>
      <c r="LRY143" s="4"/>
      <c r="LRZ143" s="4"/>
      <c r="LSA143" s="4"/>
      <c r="LSB143" s="4"/>
      <c r="LSC143" s="4"/>
      <c r="LSD143" s="4"/>
      <c r="LSE143" s="4"/>
      <c r="LSF143" s="4"/>
      <c r="LSG143" s="4"/>
      <c r="LSH143" s="4"/>
      <c r="LSI143" s="4"/>
      <c r="LSJ143" s="4"/>
      <c r="LSK143" s="4"/>
      <c r="LSL143" s="4"/>
      <c r="LSM143" s="4"/>
      <c r="LSN143" s="4"/>
      <c r="LSO143" s="4"/>
      <c r="LSP143" s="4"/>
      <c r="LSQ143" s="4"/>
      <c r="LSR143" s="4"/>
      <c r="LSS143" s="4"/>
      <c r="LST143" s="4"/>
      <c r="LSU143" s="4"/>
      <c r="LSV143" s="4"/>
      <c r="LSW143" s="4"/>
      <c r="LSX143" s="4"/>
      <c r="LSY143" s="4"/>
      <c r="LSZ143" s="4"/>
      <c r="LTA143" s="4"/>
      <c r="LTB143" s="4"/>
      <c r="LTC143" s="4"/>
      <c r="LTD143" s="4"/>
      <c r="LTE143" s="4"/>
      <c r="LTF143" s="4"/>
      <c r="LTG143" s="4"/>
      <c r="LTH143" s="4"/>
      <c r="LTI143" s="4"/>
      <c r="LTJ143" s="4"/>
      <c r="LTK143" s="4"/>
      <c r="LTL143" s="4"/>
      <c r="LTM143" s="4"/>
      <c r="LTN143" s="4"/>
      <c r="LTO143" s="4"/>
      <c r="LTP143" s="4"/>
      <c r="LTQ143" s="4"/>
      <c r="LTR143" s="4"/>
      <c r="LTS143" s="4"/>
      <c r="LTT143" s="4"/>
      <c r="LTU143" s="4"/>
      <c r="LTV143" s="4"/>
      <c r="LTW143" s="4"/>
      <c r="LTX143" s="4"/>
      <c r="LTY143" s="4"/>
      <c r="LTZ143" s="4"/>
      <c r="LUA143" s="4"/>
      <c r="LUB143" s="4"/>
      <c r="LUC143" s="4"/>
      <c r="LUD143" s="4"/>
      <c r="LUE143" s="4"/>
      <c r="LUF143" s="4"/>
      <c r="LUG143" s="4"/>
      <c r="LUH143" s="4"/>
      <c r="LUI143" s="4"/>
      <c r="LUJ143" s="4"/>
      <c r="LUK143" s="4"/>
      <c r="LUL143" s="4"/>
      <c r="LUM143" s="4"/>
      <c r="LUN143" s="4"/>
      <c r="LUO143" s="4"/>
      <c r="LUP143" s="4"/>
      <c r="LUQ143" s="4"/>
      <c r="LUR143" s="4"/>
      <c r="LUS143" s="4"/>
      <c r="LUT143" s="4"/>
      <c r="LUU143" s="4"/>
      <c r="LUV143" s="4"/>
      <c r="LUW143" s="4"/>
      <c r="LUX143" s="4"/>
      <c r="LUY143" s="4"/>
      <c r="LUZ143" s="4"/>
      <c r="LVA143" s="4"/>
      <c r="LVB143" s="4"/>
      <c r="LVC143" s="4"/>
      <c r="LVD143" s="4"/>
      <c r="LVE143" s="4"/>
      <c r="LVF143" s="4"/>
      <c r="LVG143" s="4"/>
      <c r="LVH143" s="4"/>
      <c r="LVI143" s="4"/>
      <c r="LVJ143" s="4"/>
      <c r="LVK143" s="4"/>
      <c r="LVL143" s="4"/>
      <c r="LVM143" s="4"/>
      <c r="LVN143" s="4"/>
      <c r="LVO143" s="4"/>
      <c r="LVP143" s="4"/>
      <c r="LVQ143" s="4"/>
      <c r="LVR143" s="4"/>
      <c r="LVS143" s="4"/>
      <c r="LVT143" s="4"/>
      <c r="LVU143" s="4"/>
      <c r="LVV143" s="4"/>
      <c r="LVW143" s="4"/>
      <c r="LVX143" s="4"/>
      <c r="LVY143" s="4"/>
      <c r="LVZ143" s="4"/>
      <c r="LWA143" s="4"/>
      <c r="LWB143" s="4"/>
      <c r="LWC143" s="4"/>
      <c r="LWD143" s="4"/>
      <c r="LWE143" s="4"/>
      <c r="LWF143" s="4"/>
      <c r="LWG143" s="4"/>
      <c r="LWH143" s="4"/>
      <c r="LWI143" s="4"/>
      <c r="LWJ143" s="4"/>
      <c r="LWK143" s="4"/>
      <c r="LWL143" s="4"/>
      <c r="LWM143" s="4"/>
      <c r="LWN143" s="4"/>
      <c r="LWO143" s="4"/>
      <c r="LWP143" s="4"/>
      <c r="LWQ143" s="4"/>
      <c r="LWR143" s="4"/>
      <c r="LWS143" s="4"/>
      <c r="LWT143" s="4"/>
      <c r="LWU143" s="4"/>
      <c r="LWV143" s="4"/>
      <c r="LWW143" s="4"/>
      <c r="LWX143" s="4"/>
      <c r="LWY143" s="4"/>
      <c r="LWZ143" s="4"/>
      <c r="LXA143" s="4"/>
      <c r="LXB143" s="4"/>
      <c r="LXC143" s="4"/>
      <c r="LXD143" s="4"/>
      <c r="LXE143" s="4"/>
      <c r="LXF143" s="4"/>
      <c r="LXG143" s="4"/>
      <c r="LXH143" s="4"/>
      <c r="LXI143" s="4"/>
      <c r="LXJ143" s="4"/>
      <c r="LXK143" s="4"/>
      <c r="LXL143" s="4"/>
      <c r="LXM143" s="4"/>
      <c r="LXN143" s="4"/>
      <c r="LXO143" s="4"/>
      <c r="LXP143" s="4"/>
      <c r="LXQ143" s="4"/>
      <c r="LXR143" s="4"/>
      <c r="LXS143" s="4"/>
      <c r="LXT143" s="4"/>
      <c r="LXU143" s="4"/>
      <c r="LXV143" s="4"/>
      <c r="LXW143" s="4"/>
      <c r="LXX143" s="4"/>
      <c r="LXY143" s="4"/>
      <c r="LXZ143" s="4"/>
      <c r="LYA143" s="4"/>
      <c r="LYB143" s="4"/>
      <c r="LYC143" s="4"/>
      <c r="LYD143" s="4"/>
      <c r="LYE143" s="4"/>
      <c r="LYF143" s="4"/>
      <c r="LYG143" s="4"/>
      <c r="LYH143" s="4"/>
      <c r="LYI143" s="4"/>
      <c r="LYJ143" s="4"/>
      <c r="LYK143" s="4"/>
      <c r="LYL143" s="4"/>
      <c r="LYM143" s="4"/>
      <c r="LYN143" s="4"/>
      <c r="LYO143" s="4"/>
      <c r="LYP143" s="4"/>
      <c r="LYQ143" s="4"/>
      <c r="LYR143" s="4"/>
      <c r="LYS143" s="4"/>
      <c r="LYT143" s="4"/>
      <c r="LYU143" s="4"/>
      <c r="LYV143" s="4"/>
      <c r="LYW143" s="4"/>
      <c r="LYX143" s="4"/>
      <c r="LYY143" s="4"/>
      <c r="LYZ143" s="4"/>
      <c r="LZA143" s="4"/>
      <c r="LZB143" s="4"/>
      <c r="LZC143" s="4"/>
      <c r="LZD143" s="4"/>
      <c r="LZE143" s="4"/>
      <c r="LZF143" s="4"/>
      <c r="LZG143" s="4"/>
      <c r="LZH143" s="4"/>
      <c r="LZI143" s="4"/>
      <c r="LZJ143" s="4"/>
      <c r="LZK143" s="4"/>
      <c r="LZL143" s="4"/>
      <c r="LZM143" s="4"/>
      <c r="LZN143" s="4"/>
      <c r="LZO143" s="4"/>
      <c r="LZP143" s="4"/>
      <c r="LZQ143" s="4"/>
      <c r="LZR143" s="4"/>
      <c r="LZS143" s="4"/>
      <c r="LZT143" s="4"/>
      <c r="LZU143" s="4"/>
      <c r="LZV143" s="4"/>
      <c r="LZW143" s="4"/>
      <c r="LZX143" s="4"/>
      <c r="LZY143" s="4"/>
      <c r="LZZ143" s="4"/>
      <c r="MAA143" s="4"/>
      <c r="MAB143" s="4"/>
      <c r="MAC143" s="4"/>
      <c r="MAD143" s="4"/>
      <c r="MAE143" s="4"/>
      <c r="MAF143" s="4"/>
      <c r="MAG143" s="4"/>
      <c r="MAH143" s="4"/>
      <c r="MAI143" s="4"/>
      <c r="MAJ143" s="4"/>
      <c r="MAK143" s="4"/>
      <c r="MAL143" s="4"/>
      <c r="MAM143" s="4"/>
      <c r="MAN143" s="4"/>
      <c r="MAO143" s="4"/>
      <c r="MAP143" s="4"/>
      <c r="MAQ143" s="4"/>
      <c r="MAR143" s="4"/>
      <c r="MAS143" s="4"/>
      <c r="MAT143" s="4"/>
      <c r="MAU143" s="4"/>
      <c r="MAV143" s="4"/>
      <c r="MAW143" s="4"/>
      <c r="MAX143" s="4"/>
      <c r="MAY143" s="4"/>
      <c r="MAZ143" s="4"/>
      <c r="MBA143" s="4"/>
      <c r="MBB143" s="4"/>
      <c r="MBC143" s="4"/>
      <c r="MBD143" s="4"/>
      <c r="MBE143" s="4"/>
      <c r="MBF143" s="4"/>
      <c r="MBG143" s="4"/>
      <c r="MBH143" s="4"/>
      <c r="MBI143" s="4"/>
      <c r="MBJ143" s="4"/>
      <c r="MBK143" s="4"/>
      <c r="MBL143" s="4"/>
      <c r="MBM143" s="4"/>
      <c r="MBN143" s="4"/>
      <c r="MBO143" s="4"/>
      <c r="MBP143" s="4"/>
      <c r="MBQ143" s="4"/>
      <c r="MBR143" s="4"/>
      <c r="MBS143" s="4"/>
      <c r="MBT143" s="4"/>
      <c r="MBU143" s="4"/>
      <c r="MBV143" s="4"/>
      <c r="MBW143" s="4"/>
      <c r="MBX143" s="4"/>
      <c r="MBY143" s="4"/>
      <c r="MBZ143" s="4"/>
      <c r="MCA143" s="4"/>
      <c r="MCB143" s="4"/>
      <c r="MCC143" s="4"/>
      <c r="MCD143" s="4"/>
      <c r="MCE143" s="4"/>
      <c r="MCF143" s="4"/>
      <c r="MCG143" s="4"/>
      <c r="MCH143" s="4"/>
      <c r="MCI143" s="4"/>
      <c r="MCJ143" s="4"/>
      <c r="MCK143" s="4"/>
      <c r="MCL143" s="4"/>
      <c r="MCM143" s="4"/>
      <c r="MCN143" s="4"/>
      <c r="MCO143" s="4"/>
      <c r="MCP143" s="4"/>
      <c r="MCQ143" s="4"/>
      <c r="MCR143" s="4"/>
      <c r="MCS143" s="4"/>
      <c r="MCT143" s="4"/>
      <c r="MCU143" s="4"/>
      <c r="MCV143" s="4"/>
      <c r="MCW143" s="4"/>
      <c r="MCX143" s="4"/>
      <c r="MCY143" s="4"/>
      <c r="MCZ143" s="4"/>
      <c r="MDA143" s="4"/>
      <c r="MDB143" s="4"/>
      <c r="MDC143" s="4"/>
      <c r="MDD143" s="4"/>
      <c r="MDE143" s="4"/>
      <c r="MDF143" s="4"/>
      <c r="MDG143" s="4"/>
      <c r="MDH143" s="4"/>
      <c r="MDI143" s="4"/>
      <c r="MDJ143" s="4"/>
      <c r="MDK143" s="4"/>
      <c r="MDL143" s="4"/>
      <c r="MDM143" s="4"/>
      <c r="MDN143" s="4"/>
      <c r="MDO143" s="4"/>
      <c r="MDP143" s="4"/>
      <c r="MDQ143" s="4"/>
      <c r="MDR143" s="4"/>
      <c r="MDS143" s="4"/>
      <c r="MDT143" s="4"/>
      <c r="MDU143" s="4"/>
      <c r="MDV143" s="4"/>
      <c r="MDW143" s="4"/>
      <c r="MDX143" s="4"/>
      <c r="MDY143" s="4"/>
      <c r="MDZ143" s="4"/>
      <c r="MEA143" s="4"/>
      <c r="MEB143" s="4"/>
      <c r="MEC143" s="4"/>
      <c r="MED143" s="4"/>
      <c r="MEE143" s="4"/>
      <c r="MEF143" s="4"/>
      <c r="MEG143" s="4"/>
      <c r="MEH143" s="4"/>
      <c r="MEI143" s="4"/>
      <c r="MEJ143" s="4"/>
      <c r="MEK143" s="4"/>
      <c r="MEL143" s="4"/>
      <c r="MEM143" s="4"/>
      <c r="MEN143" s="4"/>
      <c r="MEO143" s="4"/>
      <c r="MEP143" s="4"/>
      <c r="MEQ143" s="4"/>
      <c r="MER143" s="4"/>
      <c r="MES143" s="4"/>
      <c r="MET143" s="4"/>
      <c r="MEU143" s="4"/>
      <c r="MEV143" s="4"/>
      <c r="MEW143" s="4"/>
      <c r="MEX143" s="4"/>
      <c r="MEY143" s="4"/>
      <c r="MEZ143" s="4"/>
      <c r="MFA143" s="4"/>
      <c r="MFB143" s="4"/>
      <c r="MFC143" s="4"/>
      <c r="MFD143" s="4"/>
      <c r="MFE143" s="4"/>
      <c r="MFF143" s="4"/>
      <c r="MFG143" s="4"/>
      <c r="MFH143" s="4"/>
      <c r="MFI143" s="4"/>
      <c r="MFJ143" s="4"/>
      <c r="MFK143" s="4"/>
      <c r="MFL143" s="4"/>
      <c r="MFM143" s="4"/>
      <c r="MFN143" s="4"/>
      <c r="MFO143" s="4"/>
      <c r="MFP143" s="4"/>
      <c r="MFQ143" s="4"/>
      <c r="MFR143" s="4"/>
      <c r="MFS143" s="4"/>
      <c r="MFT143" s="4"/>
      <c r="MFU143" s="4"/>
      <c r="MFV143" s="4"/>
      <c r="MFW143" s="4"/>
      <c r="MFX143" s="4"/>
      <c r="MFY143" s="4"/>
      <c r="MFZ143" s="4"/>
      <c r="MGA143" s="4"/>
      <c r="MGB143" s="4"/>
      <c r="MGC143" s="4"/>
      <c r="MGD143" s="4"/>
      <c r="MGE143" s="4"/>
      <c r="MGF143" s="4"/>
      <c r="MGG143" s="4"/>
      <c r="MGH143" s="4"/>
      <c r="MGI143" s="4"/>
      <c r="MGJ143" s="4"/>
      <c r="MGK143" s="4"/>
      <c r="MGL143" s="4"/>
      <c r="MGM143" s="4"/>
      <c r="MGN143" s="4"/>
      <c r="MGO143" s="4"/>
      <c r="MGP143" s="4"/>
      <c r="MGQ143" s="4"/>
      <c r="MGR143" s="4"/>
      <c r="MGS143" s="4"/>
      <c r="MGT143" s="4"/>
      <c r="MGU143" s="4"/>
      <c r="MGV143" s="4"/>
      <c r="MGW143" s="4"/>
      <c r="MGX143" s="4"/>
      <c r="MGY143" s="4"/>
      <c r="MGZ143" s="4"/>
      <c r="MHA143" s="4"/>
      <c r="MHB143" s="4"/>
      <c r="MHC143" s="4"/>
      <c r="MHD143" s="4"/>
      <c r="MHE143" s="4"/>
      <c r="MHF143" s="4"/>
      <c r="MHG143" s="4"/>
      <c r="MHH143" s="4"/>
      <c r="MHI143" s="4"/>
      <c r="MHJ143" s="4"/>
      <c r="MHK143" s="4"/>
      <c r="MHL143" s="4"/>
      <c r="MHM143" s="4"/>
      <c r="MHN143" s="4"/>
      <c r="MHO143" s="4"/>
      <c r="MHP143" s="4"/>
      <c r="MHQ143" s="4"/>
      <c r="MHR143" s="4"/>
      <c r="MHS143" s="4"/>
      <c r="MHT143" s="4"/>
      <c r="MHU143" s="4"/>
      <c r="MHV143" s="4"/>
      <c r="MHW143" s="4"/>
      <c r="MHX143" s="4"/>
      <c r="MHY143" s="4"/>
      <c r="MHZ143" s="4"/>
      <c r="MIA143" s="4"/>
      <c r="MIB143" s="4"/>
      <c r="MIC143" s="4"/>
      <c r="MID143" s="4"/>
      <c r="MIE143" s="4"/>
      <c r="MIF143" s="4"/>
      <c r="MIG143" s="4"/>
      <c r="MIH143" s="4"/>
      <c r="MII143" s="4"/>
      <c r="MIJ143" s="4"/>
      <c r="MIK143" s="4"/>
      <c r="MIL143" s="4"/>
      <c r="MIM143" s="4"/>
      <c r="MIN143" s="4"/>
      <c r="MIO143" s="4"/>
      <c r="MIP143" s="4"/>
      <c r="MIQ143" s="4"/>
      <c r="MIR143" s="4"/>
      <c r="MIS143" s="4"/>
      <c r="MIT143" s="4"/>
      <c r="MIU143" s="4"/>
      <c r="MIV143" s="4"/>
      <c r="MIW143" s="4"/>
      <c r="MIX143" s="4"/>
      <c r="MIY143" s="4"/>
      <c r="MIZ143" s="4"/>
      <c r="MJA143" s="4"/>
      <c r="MJB143" s="4"/>
      <c r="MJC143" s="4"/>
      <c r="MJD143" s="4"/>
      <c r="MJE143" s="4"/>
      <c r="MJF143" s="4"/>
      <c r="MJG143" s="4"/>
      <c r="MJH143" s="4"/>
      <c r="MJI143" s="4"/>
      <c r="MJJ143" s="4"/>
      <c r="MJK143" s="4"/>
      <c r="MJL143" s="4"/>
      <c r="MJM143" s="4"/>
      <c r="MJN143" s="4"/>
      <c r="MJO143" s="4"/>
      <c r="MJP143" s="4"/>
      <c r="MJQ143" s="4"/>
      <c r="MJR143" s="4"/>
      <c r="MJS143" s="4"/>
      <c r="MJT143" s="4"/>
      <c r="MJU143" s="4"/>
      <c r="MJV143" s="4"/>
      <c r="MJW143" s="4"/>
      <c r="MJX143" s="4"/>
      <c r="MJY143" s="4"/>
      <c r="MJZ143" s="4"/>
      <c r="MKA143" s="4"/>
      <c r="MKB143" s="4"/>
      <c r="MKC143" s="4"/>
      <c r="MKD143" s="4"/>
      <c r="MKE143" s="4"/>
      <c r="MKF143" s="4"/>
      <c r="MKG143" s="4"/>
      <c r="MKH143" s="4"/>
      <c r="MKI143" s="4"/>
      <c r="MKJ143" s="4"/>
      <c r="MKK143" s="4"/>
      <c r="MKL143" s="4"/>
      <c r="MKM143" s="4"/>
      <c r="MKN143" s="4"/>
      <c r="MKO143" s="4"/>
      <c r="MKP143" s="4"/>
      <c r="MKQ143" s="4"/>
      <c r="MKR143" s="4"/>
      <c r="MKS143" s="4"/>
      <c r="MKT143" s="4"/>
      <c r="MKU143" s="4"/>
      <c r="MKV143" s="4"/>
      <c r="MKW143" s="4"/>
      <c r="MKX143" s="4"/>
      <c r="MKY143" s="4"/>
      <c r="MKZ143" s="4"/>
      <c r="MLA143" s="4"/>
      <c r="MLB143" s="4"/>
      <c r="MLC143" s="4"/>
      <c r="MLD143" s="4"/>
      <c r="MLE143" s="4"/>
      <c r="MLF143" s="4"/>
      <c r="MLG143" s="4"/>
      <c r="MLH143" s="4"/>
      <c r="MLI143" s="4"/>
      <c r="MLJ143" s="4"/>
      <c r="MLK143" s="4"/>
      <c r="MLL143" s="4"/>
      <c r="MLM143" s="4"/>
      <c r="MLN143" s="4"/>
      <c r="MLO143" s="4"/>
      <c r="MLP143" s="4"/>
      <c r="MLQ143" s="4"/>
      <c r="MLR143" s="4"/>
      <c r="MLS143" s="4"/>
      <c r="MLT143" s="4"/>
      <c r="MLU143" s="4"/>
      <c r="MLV143" s="4"/>
      <c r="MLW143" s="4"/>
      <c r="MLX143" s="4"/>
      <c r="MLY143" s="4"/>
      <c r="MLZ143" s="4"/>
      <c r="MMA143" s="4"/>
      <c r="MMB143" s="4"/>
      <c r="MMC143" s="4"/>
      <c r="MMD143" s="4"/>
      <c r="MME143" s="4"/>
      <c r="MMF143" s="4"/>
      <c r="MMG143" s="4"/>
      <c r="MMH143" s="4"/>
      <c r="MMI143" s="4"/>
      <c r="MMJ143" s="4"/>
      <c r="MMK143" s="4"/>
      <c r="MML143" s="4"/>
      <c r="MMM143" s="4"/>
      <c r="MMN143" s="4"/>
      <c r="MMO143" s="4"/>
      <c r="MMP143" s="4"/>
      <c r="MMQ143" s="4"/>
      <c r="MMR143" s="4"/>
      <c r="MMS143" s="4"/>
      <c r="MMT143" s="4"/>
      <c r="MMU143" s="4"/>
      <c r="MMV143" s="4"/>
      <c r="MMW143" s="4"/>
      <c r="MMX143" s="4"/>
      <c r="MMY143" s="4"/>
      <c r="MMZ143" s="4"/>
      <c r="MNA143" s="4"/>
      <c r="MNB143" s="4"/>
      <c r="MNC143" s="4"/>
      <c r="MND143" s="4"/>
      <c r="MNE143" s="4"/>
      <c r="MNF143" s="4"/>
      <c r="MNG143" s="4"/>
      <c r="MNH143" s="4"/>
      <c r="MNI143" s="4"/>
      <c r="MNJ143" s="4"/>
      <c r="MNK143" s="4"/>
      <c r="MNL143" s="4"/>
      <c r="MNM143" s="4"/>
      <c r="MNN143" s="4"/>
      <c r="MNO143" s="4"/>
      <c r="MNP143" s="4"/>
      <c r="MNQ143" s="4"/>
      <c r="MNR143" s="4"/>
      <c r="MNS143" s="4"/>
      <c r="MNT143" s="4"/>
      <c r="MNU143" s="4"/>
      <c r="MNV143" s="4"/>
      <c r="MNW143" s="4"/>
      <c r="MNX143" s="4"/>
      <c r="MNY143" s="4"/>
      <c r="MNZ143" s="4"/>
      <c r="MOA143" s="4"/>
      <c r="MOB143" s="4"/>
      <c r="MOC143" s="4"/>
      <c r="MOD143" s="4"/>
      <c r="MOE143" s="4"/>
      <c r="MOF143" s="4"/>
      <c r="MOG143" s="4"/>
      <c r="MOH143" s="4"/>
      <c r="MOI143" s="4"/>
      <c r="MOJ143" s="4"/>
      <c r="MOK143" s="4"/>
      <c r="MOL143" s="4"/>
      <c r="MOM143" s="4"/>
      <c r="MON143" s="4"/>
      <c r="MOO143" s="4"/>
      <c r="MOP143" s="4"/>
      <c r="MOQ143" s="4"/>
      <c r="MOR143" s="4"/>
      <c r="MOS143" s="4"/>
      <c r="MOT143" s="4"/>
      <c r="MOU143" s="4"/>
      <c r="MOV143" s="4"/>
      <c r="MOW143" s="4"/>
      <c r="MOX143" s="4"/>
      <c r="MOY143" s="4"/>
      <c r="MOZ143" s="4"/>
      <c r="MPA143" s="4"/>
      <c r="MPB143" s="4"/>
      <c r="MPC143" s="4"/>
      <c r="MPD143" s="4"/>
      <c r="MPE143" s="4"/>
      <c r="MPF143" s="4"/>
      <c r="MPG143" s="4"/>
      <c r="MPH143" s="4"/>
      <c r="MPI143" s="4"/>
      <c r="MPJ143" s="4"/>
      <c r="MPK143" s="4"/>
      <c r="MPL143" s="4"/>
      <c r="MPM143" s="4"/>
      <c r="MPN143" s="4"/>
      <c r="MPO143" s="4"/>
      <c r="MPP143" s="4"/>
      <c r="MPQ143" s="4"/>
      <c r="MPR143" s="4"/>
      <c r="MPS143" s="4"/>
      <c r="MPT143" s="4"/>
      <c r="MPU143" s="4"/>
      <c r="MPV143" s="4"/>
      <c r="MPW143" s="4"/>
      <c r="MPX143" s="4"/>
      <c r="MPY143" s="4"/>
      <c r="MPZ143" s="4"/>
      <c r="MQA143" s="4"/>
      <c r="MQB143" s="4"/>
      <c r="MQC143" s="4"/>
      <c r="MQD143" s="4"/>
      <c r="MQE143" s="4"/>
      <c r="MQF143" s="4"/>
      <c r="MQG143" s="4"/>
      <c r="MQH143" s="4"/>
      <c r="MQI143" s="4"/>
      <c r="MQJ143" s="4"/>
      <c r="MQK143" s="4"/>
      <c r="MQL143" s="4"/>
      <c r="MQM143" s="4"/>
      <c r="MQN143" s="4"/>
      <c r="MQO143" s="4"/>
      <c r="MQP143" s="4"/>
      <c r="MQQ143" s="4"/>
      <c r="MQR143" s="4"/>
      <c r="MQS143" s="4"/>
      <c r="MQT143" s="4"/>
      <c r="MQU143" s="4"/>
      <c r="MQV143" s="4"/>
      <c r="MQW143" s="4"/>
      <c r="MQX143" s="4"/>
      <c r="MQY143" s="4"/>
      <c r="MQZ143" s="4"/>
      <c r="MRA143" s="4"/>
      <c r="MRB143" s="4"/>
      <c r="MRC143" s="4"/>
      <c r="MRD143" s="4"/>
      <c r="MRE143" s="4"/>
      <c r="MRF143" s="4"/>
      <c r="MRG143" s="4"/>
      <c r="MRH143" s="4"/>
      <c r="MRI143" s="4"/>
      <c r="MRJ143" s="4"/>
      <c r="MRK143" s="4"/>
      <c r="MRL143" s="4"/>
      <c r="MRM143" s="4"/>
      <c r="MRN143" s="4"/>
      <c r="MRO143" s="4"/>
      <c r="MRP143" s="4"/>
      <c r="MRQ143" s="4"/>
      <c r="MRR143" s="4"/>
      <c r="MRS143" s="4"/>
      <c r="MRT143" s="4"/>
      <c r="MRU143" s="4"/>
      <c r="MRV143" s="4"/>
      <c r="MRW143" s="4"/>
      <c r="MRX143" s="4"/>
      <c r="MRY143" s="4"/>
      <c r="MRZ143" s="4"/>
      <c r="MSA143" s="4"/>
      <c r="MSB143" s="4"/>
      <c r="MSC143" s="4"/>
      <c r="MSD143" s="4"/>
      <c r="MSE143" s="4"/>
      <c r="MSF143" s="4"/>
      <c r="MSG143" s="4"/>
      <c r="MSH143" s="4"/>
      <c r="MSI143" s="4"/>
      <c r="MSJ143" s="4"/>
      <c r="MSK143" s="4"/>
      <c r="MSL143" s="4"/>
      <c r="MSM143" s="4"/>
      <c r="MSN143" s="4"/>
      <c r="MSO143" s="4"/>
      <c r="MSP143" s="4"/>
      <c r="MSQ143" s="4"/>
      <c r="MSR143" s="4"/>
      <c r="MSS143" s="4"/>
      <c r="MST143" s="4"/>
      <c r="MSU143" s="4"/>
      <c r="MSV143" s="4"/>
      <c r="MSW143" s="4"/>
      <c r="MSX143" s="4"/>
      <c r="MSY143" s="4"/>
      <c r="MSZ143" s="4"/>
      <c r="MTA143" s="4"/>
      <c r="MTB143" s="4"/>
      <c r="MTC143" s="4"/>
      <c r="MTD143" s="4"/>
      <c r="MTE143" s="4"/>
      <c r="MTF143" s="4"/>
      <c r="MTG143" s="4"/>
      <c r="MTH143" s="4"/>
      <c r="MTI143" s="4"/>
      <c r="MTJ143" s="4"/>
      <c r="MTK143" s="4"/>
      <c r="MTL143" s="4"/>
      <c r="MTM143" s="4"/>
      <c r="MTN143" s="4"/>
      <c r="MTO143" s="4"/>
      <c r="MTP143" s="4"/>
      <c r="MTQ143" s="4"/>
      <c r="MTR143" s="4"/>
      <c r="MTS143" s="4"/>
      <c r="MTT143" s="4"/>
      <c r="MTU143" s="4"/>
      <c r="MTV143" s="4"/>
      <c r="MTW143" s="4"/>
      <c r="MTX143" s="4"/>
      <c r="MTY143" s="4"/>
      <c r="MTZ143" s="4"/>
      <c r="MUA143" s="4"/>
      <c r="MUB143" s="4"/>
      <c r="MUC143" s="4"/>
      <c r="MUD143" s="4"/>
      <c r="MUE143" s="4"/>
      <c r="MUF143" s="4"/>
      <c r="MUG143" s="4"/>
      <c r="MUH143" s="4"/>
      <c r="MUI143" s="4"/>
      <c r="MUJ143" s="4"/>
      <c r="MUK143" s="4"/>
      <c r="MUL143" s="4"/>
      <c r="MUM143" s="4"/>
      <c r="MUN143" s="4"/>
      <c r="MUO143" s="4"/>
      <c r="MUP143" s="4"/>
      <c r="MUQ143" s="4"/>
      <c r="MUR143" s="4"/>
      <c r="MUS143" s="4"/>
      <c r="MUT143" s="4"/>
      <c r="MUU143" s="4"/>
      <c r="MUV143" s="4"/>
      <c r="MUW143" s="4"/>
      <c r="MUX143" s="4"/>
      <c r="MUY143" s="4"/>
      <c r="MUZ143" s="4"/>
      <c r="MVA143" s="4"/>
      <c r="MVB143" s="4"/>
      <c r="MVC143" s="4"/>
      <c r="MVD143" s="4"/>
      <c r="MVE143" s="4"/>
      <c r="MVF143" s="4"/>
      <c r="MVG143" s="4"/>
      <c r="MVH143" s="4"/>
      <c r="MVI143" s="4"/>
      <c r="MVJ143" s="4"/>
      <c r="MVK143" s="4"/>
      <c r="MVL143" s="4"/>
      <c r="MVM143" s="4"/>
      <c r="MVN143" s="4"/>
      <c r="MVO143" s="4"/>
      <c r="MVP143" s="4"/>
      <c r="MVQ143" s="4"/>
      <c r="MVR143" s="4"/>
      <c r="MVS143" s="4"/>
      <c r="MVT143" s="4"/>
      <c r="MVU143" s="4"/>
      <c r="MVV143" s="4"/>
      <c r="MVW143" s="4"/>
      <c r="MVX143" s="4"/>
      <c r="MVY143" s="4"/>
      <c r="MVZ143" s="4"/>
      <c r="MWA143" s="4"/>
      <c r="MWB143" s="4"/>
      <c r="MWC143" s="4"/>
      <c r="MWD143" s="4"/>
      <c r="MWE143" s="4"/>
      <c r="MWF143" s="4"/>
      <c r="MWG143" s="4"/>
      <c r="MWH143" s="4"/>
      <c r="MWI143" s="4"/>
      <c r="MWJ143" s="4"/>
      <c r="MWK143" s="4"/>
      <c r="MWL143" s="4"/>
      <c r="MWM143" s="4"/>
      <c r="MWN143" s="4"/>
      <c r="MWO143" s="4"/>
      <c r="MWP143" s="4"/>
      <c r="MWQ143" s="4"/>
      <c r="MWR143" s="4"/>
      <c r="MWS143" s="4"/>
      <c r="MWT143" s="4"/>
      <c r="MWU143" s="4"/>
      <c r="MWV143" s="4"/>
      <c r="MWW143" s="4"/>
      <c r="MWX143" s="4"/>
      <c r="MWY143" s="4"/>
      <c r="MWZ143" s="4"/>
      <c r="MXA143" s="4"/>
      <c r="MXB143" s="4"/>
      <c r="MXC143" s="4"/>
      <c r="MXD143" s="4"/>
      <c r="MXE143" s="4"/>
      <c r="MXF143" s="4"/>
      <c r="MXG143" s="4"/>
      <c r="MXH143" s="4"/>
      <c r="MXI143" s="4"/>
      <c r="MXJ143" s="4"/>
      <c r="MXK143" s="4"/>
      <c r="MXL143" s="4"/>
      <c r="MXM143" s="4"/>
      <c r="MXN143" s="4"/>
      <c r="MXO143" s="4"/>
      <c r="MXP143" s="4"/>
      <c r="MXQ143" s="4"/>
      <c r="MXR143" s="4"/>
      <c r="MXS143" s="4"/>
      <c r="MXT143" s="4"/>
      <c r="MXU143" s="4"/>
      <c r="MXV143" s="4"/>
      <c r="MXW143" s="4"/>
      <c r="MXX143" s="4"/>
      <c r="MXY143" s="4"/>
      <c r="MXZ143" s="4"/>
      <c r="MYA143" s="4"/>
      <c r="MYB143" s="4"/>
      <c r="MYC143" s="4"/>
      <c r="MYD143" s="4"/>
      <c r="MYE143" s="4"/>
      <c r="MYF143" s="4"/>
      <c r="MYG143" s="4"/>
      <c r="MYH143" s="4"/>
      <c r="MYI143" s="4"/>
      <c r="MYJ143" s="4"/>
      <c r="MYK143" s="4"/>
      <c r="MYL143" s="4"/>
      <c r="MYM143" s="4"/>
      <c r="MYN143" s="4"/>
      <c r="MYO143" s="4"/>
      <c r="MYP143" s="4"/>
      <c r="MYQ143" s="4"/>
      <c r="MYR143" s="4"/>
      <c r="MYS143" s="4"/>
      <c r="MYT143" s="4"/>
      <c r="MYU143" s="4"/>
      <c r="MYV143" s="4"/>
      <c r="MYW143" s="4"/>
      <c r="MYX143" s="4"/>
      <c r="MYY143" s="4"/>
      <c r="MYZ143" s="4"/>
      <c r="MZA143" s="4"/>
      <c r="MZB143" s="4"/>
      <c r="MZC143" s="4"/>
      <c r="MZD143" s="4"/>
      <c r="MZE143" s="4"/>
      <c r="MZF143" s="4"/>
      <c r="MZG143" s="4"/>
      <c r="MZH143" s="4"/>
      <c r="MZI143" s="4"/>
      <c r="MZJ143" s="4"/>
      <c r="MZK143" s="4"/>
      <c r="MZL143" s="4"/>
      <c r="MZM143" s="4"/>
      <c r="MZN143" s="4"/>
      <c r="MZO143" s="4"/>
      <c r="MZP143" s="4"/>
      <c r="MZQ143" s="4"/>
      <c r="MZR143" s="4"/>
      <c r="MZS143" s="4"/>
      <c r="MZT143" s="4"/>
      <c r="MZU143" s="4"/>
      <c r="MZV143" s="4"/>
      <c r="MZW143" s="4"/>
      <c r="MZX143" s="4"/>
      <c r="MZY143" s="4"/>
      <c r="MZZ143" s="4"/>
      <c r="NAA143" s="4"/>
      <c r="NAB143" s="4"/>
      <c r="NAC143" s="4"/>
      <c r="NAD143" s="4"/>
      <c r="NAE143" s="4"/>
      <c r="NAF143" s="4"/>
      <c r="NAG143" s="4"/>
      <c r="NAH143" s="4"/>
      <c r="NAI143" s="4"/>
      <c r="NAJ143" s="4"/>
      <c r="NAK143" s="4"/>
      <c r="NAL143" s="4"/>
      <c r="NAM143" s="4"/>
      <c r="NAN143" s="4"/>
      <c r="NAO143" s="4"/>
      <c r="NAP143" s="4"/>
      <c r="NAQ143" s="4"/>
      <c r="NAR143" s="4"/>
      <c r="NAS143" s="4"/>
      <c r="NAT143" s="4"/>
      <c r="NAU143" s="4"/>
      <c r="NAV143" s="4"/>
      <c r="NAW143" s="4"/>
      <c r="NAX143" s="4"/>
      <c r="NAY143" s="4"/>
      <c r="NAZ143" s="4"/>
      <c r="NBA143" s="4"/>
      <c r="NBB143" s="4"/>
      <c r="NBC143" s="4"/>
      <c r="NBD143" s="4"/>
      <c r="NBE143" s="4"/>
      <c r="NBF143" s="4"/>
      <c r="NBG143" s="4"/>
      <c r="NBH143" s="4"/>
      <c r="NBI143" s="4"/>
      <c r="NBJ143" s="4"/>
      <c r="NBK143" s="4"/>
      <c r="NBL143" s="4"/>
      <c r="NBM143" s="4"/>
      <c r="NBN143" s="4"/>
      <c r="NBO143" s="4"/>
      <c r="NBP143" s="4"/>
      <c r="NBQ143" s="4"/>
      <c r="NBR143" s="4"/>
      <c r="NBS143" s="4"/>
      <c r="NBT143" s="4"/>
      <c r="NBU143" s="4"/>
      <c r="NBV143" s="4"/>
      <c r="NBW143" s="4"/>
      <c r="NBX143" s="4"/>
      <c r="NBY143" s="4"/>
      <c r="NBZ143" s="4"/>
      <c r="NCA143" s="4"/>
      <c r="NCB143" s="4"/>
      <c r="NCC143" s="4"/>
      <c r="NCD143" s="4"/>
      <c r="NCE143" s="4"/>
      <c r="NCF143" s="4"/>
      <c r="NCG143" s="4"/>
      <c r="NCH143" s="4"/>
      <c r="NCI143" s="4"/>
      <c r="NCJ143" s="4"/>
      <c r="NCK143" s="4"/>
      <c r="NCL143" s="4"/>
      <c r="NCM143" s="4"/>
      <c r="NCN143" s="4"/>
      <c r="NCO143" s="4"/>
      <c r="NCP143" s="4"/>
      <c r="NCQ143" s="4"/>
      <c r="NCR143" s="4"/>
      <c r="NCS143" s="4"/>
      <c r="NCT143" s="4"/>
      <c r="NCU143" s="4"/>
      <c r="NCV143" s="4"/>
      <c r="NCW143" s="4"/>
      <c r="NCX143" s="4"/>
      <c r="NCY143" s="4"/>
      <c r="NCZ143" s="4"/>
      <c r="NDA143" s="4"/>
      <c r="NDB143" s="4"/>
      <c r="NDC143" s="4"/>
      <c r="NDD143" s="4"/>
      <c r="NDE143" s="4"/>
      <c r="NDF143" s="4"/>
      <c r="NDG143" s="4"/>
      <c r="NDH143" s="4"/>
      <c r="NDI143" s="4"/>
      <c r="NDJ143" s="4"/>
      <c r="NDK143" s="4"/>
      <c r="NDL143" s="4"/>
      <c r="NDM143" s="4"/>
      <c r="NDN143" s="4"/>
      <c r="NDO143" s="4"/>
      <c r="NDP143" s="4"/>
      <c r="NDQ143" s="4"/>
      <c r="NDR143" s="4"/>
      <c r="NDS143" s="4"/>
      <c r="NDT143" s="4"/>
      <c r="NDU143" s="4"/>
      <c r="NDV143" s="4"/>
      <c r="NDW143" s="4"/>
      <c r="NDX143" s="4"/>
      <c r="NDY143" s="4"/>
      <c r="NDZ143" s="4"/>
      <c r="NEA143" s="4"/>
      <c r="NEB143" s="4"/>
      <c r="NEC143" s="4"/>
      <c r="NED143" s="4"/>
      <c r="NEE143" s="4"/>
      <c r="NEF143" s="4"/>
      <c r="NEG143" s="4"/>
      <c r="NEH143" s="4"/>
      <c r="NEI143" s="4"/>
      <c r="NEJ143" s="4"/>
      <c r="NEK143" s="4"/>
      <c r="NEL143" s="4"/>
      <c r="NEM143" s="4"/>
      <c r="NEN143" s="4"/>
      <c r="NEO143" s="4"/>
      <c r="NEP143" s="4"/>
      <c r="NEQ143" s="4"/>
      <c r="NER143" s="4"/>
      <c r="NES143" s="4"/>
      <c r="NET143" s="4"/>
      <c r="NEU143" s="4"/>
      <c r="NEV143" s="4"/>
      <c r="NEW143" s="4"/>
      <c r="NEX143" s="4"/>
      <c r="NEY143" s="4"/>
      <c r="NEZ143" s="4"/>
      <c r="NFA143" s="4"/>
      <c r="NFB143" s="4"/>
      <c r="NFC143" s="4"/>
      <c r="NFD143" s="4"/>
      <c r="NFE143" s="4"/>
      <c r="NFF143" s="4"/>
      <c r="NFG143" s="4"/>
      <c r="NFH143" s="4"/>
      <c r="NFI143" s="4"/>
      <c r="NFJ143" s="4"/>
      <c r="NFK143" s="4"/>
      <c r="NFL143" s="4"/>
      <c r="NFM143" s="4"/>
      <c r="NFN143" s="4"/>
      <c r="NFO143" s="4"/>
      <c r="NFP143" s="4"/>
      <c r="NFQ143" s="4"/>
      <c r="NFR143" s="4"/>
      <c r="NFS143" s="4"/>
      <c r="NFT143" s="4"/>
      <c r="NFU143" s="4"/>
      <c r="NFV143" s="4"/>
      <c r="NFW143" s="4"/>
      <c r="NFX143" s="4"/>
      <c r="NFY143" s="4"/>
      <c r="NFZ143" s="4"/>
      <c r="NGA143" s="4"/>
      <c r="NGB143" s="4"/>
      <c r="NGC143" s="4"/>
      <c r="NGD143" s="4"/>
      <c r="NGE143" s="4"/>
      <c r="NGF143" s="4"/>
      <c r="NGG143" s="4"/>
      <c r="NGH143" s="4"/>
      <c r="NGI143" s="4"/>
      <c r="NGJ143" s="4"/>
      <c r="NGK143" s="4"/>
      <c r="NGL143" s="4"/>
      <c r="NGM143" s="4"/>
      <c r="NGN143" s="4"/>
      <c r="NGO143" s="4"/>
      <c r="NGP143" s="4"/>
      <c r="NGQ143" s="4"/>
      <c r="NGR143" s="4"/>
      <c r="NGS143" s="4"/>
      <c r="NGT143" s="4"/>
      <c r="NGU143" s="4"/>
      <c r="NGV143" s="4"/>
      <c r="NGW143" s="4"/>
      <c r="NGX143" s="4"/>
      <c r="NGY143" s="4"/>
      <c r="NGZ143" s="4"/>
      <c r="NHA143" s="4"/>
      <c r="NHB143" s="4"/>
      <c r="NHC143" s="4"/>
      <c r="NHD143" s="4"/>
      <c r="NHE143" s="4"/>
      <c r="NHF143" s="4"/>
      <c r="NHG143" s="4"/>
      <c r="NHH143" s="4"/>
      <c r="NHI143" s="4"/>
      <c r="NHJ143" s="4"/>
      <c r="NHK143" s="4"/>
      <c r="NHL143" s="4"/>
      <c r="NHM143" s="4"/>
      <c r="NHN143" s="4"/>
      <c r="NHO143" s="4"/>
      <c r="NHP143" s="4"/>
      <c r="NHQ143" s="4"/>
      <c r="NHR143" s="4"/>
      <c r="NHS143" s="4"/>
      <c r="NHT143" s="4"/>
      <c r="NHU143" s="4"/>
      <c r="NHV143" s="4"/>
      <c r="NHW143" s="4"/>
      <c r="NHX143" s="4"/>
      <c r="NHY143" s="4"/>
      <c r="NHZ143" s="4"/>
      <c r="NIA143" s="4"/>
      <c r="NIB143" s="4"/>
      <c r="NIC143" s="4"/>
      <c r="NID143" s="4"/>
      <c r="NIE143" s="4"/>
      <c r="NIF143" s="4"/>
      <c r="NIG143" s="4"/>
      <c r="NIH143" s="4"/>
      <c r="NII143" s="4"/>
      <c r="NIJ143" s="4"/>
      <c r="NIK143" s="4"/>
      <c r="NIL143" s="4"/>
      <c r="NIM143" s="4"/>
      <c r="NIN143" s="4"/>
      <c r="NIO143" s="4"/>
      <c r="NIP143" s="4"/>
      <c r="NIQ143" s="4"/>
      <c r="NIR143" s="4"/>
      <c r="NIS143" s="4"/>
      <c r="NIT143" s="4"/>
      <c r="NIU143" s="4"/>
      <c r="NIV143" s="4"/>
      <c r="NIW143" s="4"/>
      <c r="NIX143" s="4"/>
      <c r="NIY143" s="4"/>
      <c r="NIZ143" s="4"/>
      <c r="NJA143" s="4"/>
      <c r="NJB143" s="4"/>
      <c r="NJC143" s="4"/>
      <c r="NJD143" s="4"/>
      <c r="NJE143" s="4"/>
      <c r="NJF143" s="4"/>
      <c r="NJG143" s="4"/>
      <c r="NJH143" s="4"/>
      <c r="NJI143" s="4"/>
      <c r="NJJ143" s="4"/>
      <c r="NJK143" s="4"/>
      <c r="NJL143" s="4"/>
      <c r="NJM143" s="4"/>
      <c r="NJN143" s="4"/>
      <c r="NJO143" s="4"/>
      <c r="NJP143" s="4"/>
      <c r="NJQ143" s="4"/>
      <c r="NJR143" s="4"/>
      <c r="NJS143" s="4"/>
      <c r="NJT143" s="4"/>
      <c r="NJU143" s="4"/>
      <c r="NJV143" s="4"/>
      <c r="NJW143" s="4"/>
      <c r="NJX143" s="4"/>
      <c r="NJY143" s="4"/>
      <c r="NJZ143" s="4"/>
      <c r="NKA143" s="4"/>
      <c r="NKB143" s="4"/>
      <c r="NKC143" s="4"/>
      <c r="NKD143" s="4"/>
      <c r="NKE143" s="4"/>
      <c r="NKF143" s="4"/>
      <c r="NKG143" s="4"/>
      <c r="NKH143" s="4"/>
      <c r="NKI143" s="4"/>
      <c r="NKJ143" s="4"/>
      <c r="NKK143" s="4"/>
      <c r="NKL143" s="4"/>
      <c r="NKM143" s="4"/>
      <c r="NKN143" s="4"/>
      <c r="NKO143" s="4"/>
      <c r="NKP143" s="4"/>
      <c r="NKQ143" s="4"/>
      <c r="NKR143" s="4"/>
      <c r="NKS143" s="4"/>
      <c r="NKT143" s="4"/>
      <c r="NKU143" s="4"/>
      <c r="NKV143" s="4"/>
      <c r="NKW143" s="4"/>
      <c r="NKX143" s="4"/>
      <c r="NKY143" s="4"/>
      <c r="NKZ143" s="4"/>
      <c r="NLA143" s="4"/>
      <c r="NLB143" s="4"/>
      <c r="NLC143" s="4"/>
      <c r="NLD143" s="4"/>
      <c r="NLE143" s="4"/>
      <c r="NLF143" s="4"/>
      <c r="NLG143" s="4"/>
      <c r="NLH143" s="4"/>
      <c r="NLI143" s="4"/>
      <c r="NLJ143" s="4"/>
      <c r="NLK143" s="4"/>
      <c r="NLL143" s="4"/>
      <c r="NLM143" s="4"/>
      <c r="NLN143" s="4"/>
      <c r="NLO143" s="4"/>
      <c r="NLP143" s="4"/>
      <c r="NLQ143" s="4"/>
      <c r="NLR143" s="4"/>
      <c r="NLS143" s="4"/>
      <c r="NLT143" s="4"/>
      <c r="NLU143" s="4"/>
      <c r="NLV143" s="4"/>
      <c r="NLW143" s="4"/>
      <c r="NLX143" s="4"/>
      <c r="NLY143" s="4"/>
      <c r="NLZ143" s="4"/>
      <c r="NMA143" s="4"/>
      <c r="NMB143" s="4"/>
      <c r="NMC143" s="4"/>
      <c r="NMD143" s="4"/>
      <c r="NME143" s="4"/>
      <c r="NMF143" s="4"/>
      <c r="NMG143" s="4"/>
      <c r="NMH143" s="4"/>
      <c r="NMI143" s="4"/>
      <c r="NMJ143" s="4"/>
      <c r="NMK143" s="4"/>
      <c r="NML143" s="4"/>
      <c r="NMM143" s="4"/>
      <c r="NMN143" s="4"/>
      <c r="NMO143" s="4"/>
      <c r="NMP143" s="4"/>
      <c r="NMQ143" s="4"/>
      <c r="NMR143" s="4"/>
      <c r="NMS143" s="4"/>
      <c r="NMT143" s="4"/>
      <c r="NMU143" s="4"/>
      <c r="NMV143" s="4"/>
      <c r="NMW143" s="4"/>
      <c r="NMX143" s="4"/>
      <c r="NMY143" s="4"/>
      <c r="NMZ143" s="4"/>
      <c r="NNA143" s="4"/>
      <c r="NNB143" s="4"/>
      <c r="NNC143" s="4"/>
      <c r="NND143" s="4"/>
      <c r="NNE143" s="4"/>
      <c r="NNF143" s="4"/>
      <c r="NNG143" s="4"/>
      <c r="NNH143" s="4"/>
      <c r="NNI143" s="4"/>
      <c r="NNJ143" s="4"/>
      <c r="NNK143" s="4"/>
      <c r="NNL143" s="4"/>
      <c r="NNM143" s="4"/>
      <c r="NNN143" s="4"/>
      <c r="NNO143" s="4"/>
      <c r="NNP143" s="4"/>
      <c r="NNQ143" s="4"/>
      <c r="NNR143" s="4"/>
      <c r="NNS143" s="4"/>
      <c r="NNT143" s="4"/>
      <c r="NNU143" s="4"/>
      <c r="NNV143" s="4"/>
      <c r="NNW143" s="4"/>
      <c r="NNX143" s="4"/>
      <c r="NNY143" s="4"/>
      <c r="NNZ143" s="4"/>
      <c r="NOA143" s="4"/>
      <c r="NOB143" s="4"/>
      <c r="NOC143" s="4"/>
      <c r="NOD143" s="4"/>
      <c r="NOE143" s="4"/>
      <c r="NOF143" s="4"/>
      <c r="NOG143" s="4"/>
      <c r="NOH143" s="4"/>
      <c r="NOI143" s="4"/>
      <c r="NOJ143" s="4"/>
      <c r="NOK143" s="4"/>
      <c r="NOL143" s="4"/>
      <c r="NOM143" s="4"/>
      <c r="NON143" s="4"/>
      <c r="NOO143" s="4"/>
      <c r="NOP143" s="4"/>
      <c r="NOQ143" s="4"/>
      <c r="NOR143" s="4"/>
      <c r="NOS143" s="4"/>
      <c r="NOT143" s="4"/>
      <c r="NOU143" s="4"/>
      <c r="NOV143" s="4"/>
      <c r="NOW143" s="4"/>
      <c r="NOX143" s="4"/>
      <c r="NOY143" s="4"/>
      <c r="NOZ143" s="4"/>
      <c r="NPA143" s="4"/>
      <c r="NPB143" s="4"/>
      <c r="NPC143" s="4"/>
      <c r="NPD143" s="4"/>
      <c r="NPE143" s="4"/>
      <c r="NPF143" s="4"/>
      <c r="NPG143" s="4"/>
      <c r="NPH143" s="4"/>
      <c r="NPI143" s="4"/>
      <c r="NPJ143" s="4"/>
      <c r="NPK143" s="4"/>
      <c r="NPL143" s="4"/>
      <c r="NPM143" s="4"/>
      <c r="NPN143" s="4"/>
      <c r="NPO143" s="4"/>
      <c r="NPP143" s="4"/>
      <c r="NPQ143" s="4"/>
      <c r="NPR143" s="4"/>
      <c r="NPS143" s="4"/>
      <c r="NPT143" s="4"/>
      <c r="NPU143" s="4"/>
      <c r="NPV143" s="4"/>
      <c r="NPW143" s="4"/>
      <c r="NPX143" s="4"/>
      <c r="NPY143" s="4"/>
      <c r="NPZ143" s="4"/>
      <c r="NQA143" s="4"/>
      <c r="NQB143" s="4"/>
      <c r="NQC143" s="4"/>
      <c r="NQD143" s="4"/>
      <c r="NQE143" s="4"/>
      <c r="NQF143" s="4"/>
      <c r="NQG143" s="4"/>
      <c r="NQH143" s="4"/>
      <c r="NQI143" s="4"/>
      <c r="NQJ143" s="4"/>
      <c r="NQK143" s="4"/>
      <c r="NQL143" s="4"/>
      <c r="NQM143" s="4"/>
      <c r="NQN143" s="4"/>
      <c r="NQO143" s="4"/>
      <c r="NQP143" s="4"/>
      <c r="NQQ143" s="4"/>
      <c r="NQR143" s="4"/>
      <c r="NQS143" s="4"/>
      <c r="NQT143" s="4"/>
      <c r="NQU143" s="4"/>
      <c r="NQV143" s="4"/>
      <c r="NQW143" s="4"/>
      <c r="NQX143" s="4"/>
      <c r="NQY143" s="4"/>
      <c r="NQZ143" s="4"/>
      <c r="NRA143" s="4"/>
      <c r="NRB143" s="4"/>
      <c r="NRC143" s="4"/>
      <c r="NRD143" s="4"/>
      <c r="NRE143" s="4"/>
      <c r="NRF143" s="4"/>
      <c r="NRG143" s="4"/>
      <c r="NRH143" s="4"/>
      <c r="NRI143" s="4"/>
      <c r="NRJ143" s="4"/>
      <c r="NRK143" s="4"/>
      <c r="NRL143" s="4"/>
      <c r="NRM143" s="4"/>
      <c r="NRN143" s="4"/>
      <c r="NRO143" s="4"/>
      <c r="NRP143" s="4"/>
      <c r="NRQ143" s="4"/>
      <c r="NRR143" s="4"/>
      <c r="NRS143" s="4"/>
      <c r="NRT143" s="4"/>
      <c r="NRU143" s="4"/>
      <c r="NRV143" s="4"/>
      <c r="NRW143" s="4"/>
      <c r="NRX143" s="4"/>
      <c r="NRY143" s="4"/>
      <c r="NRZ143" s="4"/>
      <c r="NSA143" s="4"/>
      <c r="NSB143" s="4"/>
      <c r="NSC143" s="4"/>
      <c r="NSD143" s="4"/>
      <c r="NSE143" s="4"/>
      <c r="NSF143" s="4"/>
      <c r="NSG143" s="4"/>
      <c r="NSH143" s="4"/>
      <c r="NSI143" s="4"/>
      <c r="NSJ143" s="4"/>
      <c r="NSK143" s="4"/>
      <c r="NSL143" s="4"/>
      <c r="NSM143" s="4"/>
      <c r="NSN143" s="4"/>
      <c r="NSO143" s="4"/>
      <c r="NSP143" s="4"/>
      <c r="NSQ143" s="4"/>
      <c r="NSR143" s="4"/>
      <c r="NSS143" s="4"/>
      <c r="NST143" s="4"/>
      <c r="NSU143" s="4"/>
      <c r="NSV143" s="4"/>
      <c r="NSW143" s="4"/>
      <c r="NSX143" s="4"/>
      <c r="NSY143" s="4"/>
      <c r="NSZ143" s="4"/>
      <c r="NTA143" s="4"/>
      <c r="NTB143" s="4"/>
      <c r="NTC143" s="4"/>
      <c r="NTD143" s="4"/>
      <c r="NTE143" s="4"/>
      <c r="NTF143" s="4"/>
      <c r="NTG143" s="4"/>
      <c r="NTH143" s="4"/>
      <c r="NTI143" s="4"/>
      <c r="NTJ143" s="4"/>
      <c r="NTK143" s="4"/>
      <c r="NTL143" s="4"/>
      <c r="NTM143" s="4"/>
      <c r="NTN143" s="4"/>
      <c r="NTO143" s="4"/>
      <c r="NTP143" s="4"/>
      <c r="NTQ143" s="4"/>
      <c r="NTR143" s="4"/>
      <c r="NTS143" s="4"/>
      <c r="NTT143" s="4"/>
      <c r="NTU143" s="4"/>
      <c r="NTV143" s="4"/>
      <c r="NTW143" s="4"/>
      <c r="NTX143" s="4"/>
      <c r="NTY143" s="4"/>
      <c r="NTZ143" s="4"/>
      <c r="NUA143" s="4"/>
      <c r="NUB143" s="4"/>
      <c r="NUC143" s="4"/>
      <c r="NUD143" s="4"/>
      <c r="NUE143" s="4"/>
      <c r="NUF143" s="4"/>
      <c r="NUG143" s="4"/>
      <c r="NUH143" s="4"/>
      <c r="NUI143" s="4"/>
      <c r="NUJ143" s="4"/>
      <c r="NUK143" s="4"/>
      <c r="NUL143" s="4"/>
      <c r="NUM143" s="4"/>
      <c r="NUN143" s="4"/>
      <c r="NUO143" s="4"/>
      <c r="NUP143" s="4"/>
      <c r="NUQ143" s="4"/>
      <c r="NUR143" s="4"/>
      <c r="NUS143" s="4"/>
      <c r="NUT143" s="4"/>
      <c r="NUU143" s="4"/>
      <c r="NUV143" s="4"/>
      <c r="NUW143" s="4"/>
      <c r="NUX143" s="4"/>
      <c r="NUY143" s="4"/>
      <c r="NUZ143" s="4"/>
      <c r="NVA143" s="4"/>
      <c r="NVB143" s="4"/>
      <c r="NVC143" s="4"/>
      <c r="NVD143" s="4"/>
      <c r="NVE143" s="4"/>
      <c r="NVF143" s="4"/>
      <c r="NVG143" s="4"/>
      <c r="NVH143" s="4"/>
      <c r="NVI143" s="4"/>
      <c r="NVJ143" s="4"/>
      <c r="NVK143" s="4"/>
      <c r="NVL143" s="4"/>
      <c r="NVM143" s="4"/>
      <c r="NVN143" s="4"/>
      <c r="NVO143" s="4"/>
      <c r="NVP143" s="4"/>
      <c r="NVQ143" s="4"/>
      <c r="NVR143" s="4"/>
      <c r="NVS143" s="4"/>
      <c r="NVT143" s="4"/>
      <c r="NVU143" s="4"/>
      <c r="NVV143" s="4"/>
      <c r="NVW143" s="4"/>
      <c r="NVX143" s="4"/>
      <c r="NVY143" s="4"/>
      <c r="NVZ143" s="4"/>
      <c r="NWA143" s="4"/>
      <c r="NWB143" s="4"/>
      <c r="NWC143" s="4"/>
      <c r="NWD143" s="4"/>
      <c r="NWE143" s="4"/>
      <c r="NWF143" s="4"/>
      <c r="NWG143" s="4"/>
      <c r="NWH143" s="4"/>
      <c r="NWI143" s="4"/>
      <c r="NWJ143" s="4"/>
      <c r="NWK143" s="4"/>
      <c r="NWL143" s="4"/>
      <c r="NWM143" s="4"/>
      <c r="NWN143" s="4"/>
      <c r="NWO143" s="4"/>
      <c r="NWP143" s="4"/>
      <c r="NWQ143" s="4"/>
      <c r="NWR143" s="4"/>
      <c r="NWS143" s="4"/>
      <c r="NWT143" s="4"/>
      <c r="NWU143" s="4"/>
      <c r="NWV143" s="4"/>
      <c r="NWW143" s="4"/>
      <c r="NWX143" s="4"/>
      <c r="NWY143" s="4"/>
      <c r="NWZ143" s="4"/>
      <c r="NXA143" s="4"/>
      <c r="NXB143" s="4"/>
      <c r="NXC143" s="4"/>
      <c r="NXD143" s="4"/>
      <c r="NXE143" s="4"/>
      <c r="NXF143" s="4"/>
      <c r="NXG143" s="4"/>
      <c r="NXH143" s="4"/>
      <c r="NXI143" s="4"/>
      <c r="NXJ143" s="4"/>
      <c r="NXK143" s="4"/>
      <c r="NXL143" s="4"/>
      <c r="NXM143" s="4"/>
      <c r="NXN143" s="4"/>
      <c r="NXO143" s="4"/>
      <c r="NXP143" s="4"/>
      <c r="NXQ143" s="4"/>
      <c r="NXR143" s="4"/>
      <c r="NXS143" s="4"/>
      <c r="NXT143" s="4"/>
      <c r="NXU143" s="4"/>
      <c r="NXV143" s="4"/>
      <c r="NXW143" s="4"/>
      <c r="NXX143" s="4"/>
      <c r="NXY143" s="4"/>
      <c r="NXZ143" s="4"/>
      <c r="NYA143" s="4"/>
      <c r="NYB143" s="4"/>
      <c r="NYC143" s="4"/>
      <c r="NYD143" s="4"/>
      <c r="NYE143" s="4"/>
      <c r="NYF143" s="4"/>
      <c r="NYG143" s="4"/>
      <c r="NYH143" s="4"/>
      <c r="NYI143" s="4"/>
      <c r="NYJ143" s="4"/>
      <c r="NYK143" s="4"/>
      <c r="NYL143" s="4"/>
      <c r="NYM143" s="4"/>
      <c r="NYN143" s="4"/>
      <c r="NYO143" s="4"/>
      <c r="NYP143" s="4"/>
      <c r="NYQ143" s="4"/>
      <c r="NYR143" s="4"/>
      <c r="NYS143" s="4"/>
      <c r="NYT143" s="4"/>
      <c r="NYU143" s="4"/>
      <c r="NYV143" s="4"/>
      <c r="NYW143" s="4"/>
      <c r="NYX143" s="4"/>
      <c r="NYY143" s="4"/>
      <c r="NYZ143" s="4"/>
      <c r="NZA143" s="4"/>
      <c r="NZB143" s="4"/>
      <c r="NZC143" s="4"/>
      <c r="NZD143" s="4"/>
      <c r="NZE143" s="4"/>
      <c r="NZF143" s="4"/>
      <c r="NZG143" s="4"/>
      <c r="NZH143" s="4"/>
      <c r="NZI143" s="4"/>
      <c r="NZJ143" s="4"/>
      <c r="NZK143" s="4"/>
      <c r="NZL143" s="4"/>
      <c r="NZM143" s="4"/>
      <c r="NZN143" s="4"/>
      <c r="NZO143" s="4"/>
      <c r="NZP143" s="4"/>
      <c r="NZQ143" s="4"/>
      <c r="NZR143" s="4"/>
      <c r="NZS143" s="4"/>
      <c r="NZT143" s="4"/>
      <c r="NZU143" s="4"/>
      <c r="NZV143" s="4"/>
      <c r="NZW143" s="4"/>
      <c r="NZX143" s="4"/>
      <c r="NZY143" s="4"/>
      <c r="NZZ143" s="4"/>
      <c r="OAA143" s="4"/>
      <c r="OAB143" s="4"/>
      <c r="OAC143" s="4"/>
      <c r="OAD143" s="4"/>
      <c r="OAE143" s="4"/>
      <c r="OAF143" s="4"/>
      <c r="OAG143" s="4"/>
      <c r="OAH143" s="4"/>
      <c r="OAI143" s="4"/>
      <c r="OAJ143" s="4"/>
      <c r="OAK143" s="4"/>
      <c r="OAL143" s="4"/>
      <c r="OAM143" s="4"/>
      <c r="OAN143" s="4"/>
      <c r="OAO143" s="4"/>
      <c r="OAP143" s="4"/>
      <c r="OAQ143" s="4"/>
      <c r="OAR143" s="4"/>
      <c r="OAS143" s="4"/>
      <c r="OAT143" s="4"/>
      <c r="OAU143" s="4"/>
      <c r="OAV143" s="4"/>
      <c r="OAW143" s="4"/>
      <c r="OAX143" s="4"/>
      <c r="OAY143" s="4"/>
      <c r="OAZ143" s="4"/>
      <c r="OBA143" s="4"/>
      <c r="OBB143" s="4"/>
      <c r="OBC143" s="4"/>
      <c r="OBD143" s="4"/>
      <c r="OBE143" s="4"/>
      <c r="OBF143" s="4"/>
      <c r="OBG143" s="4"/>
      <c r="OBH143" s="4"/>
      <c r="OBI143" s="4"/>
      <c r="OBJ143" s="4"/>
      <c r="OBK143" s="4"/>
      <c r="OBL143" s="4"/>
      <c r="OBM143" s="4"/>
      <c r="OBN143" s="4"/>
      <c r="OBO143" s="4"/>
      <c r="OBP143" s="4"/>
      <c r="OBQ143" s="4"/>
      <c r="OBR143" s="4"/>
      <c r="OBS143" s="4"/>
      <c r="OBT143" s="4"/>
      <c r="OBU143" s="4"/>
      <c r="OBV143" s="4"/>
      <c r="OBW143" s="4"/>
      <c r="OBX143" s="4"/>
      <c r="OBY143" s="4"/>
      <c r="OBZ143" s="4"/>
      <c r="OCA143" s="4"/>
      <c r="OCB143" s="4"/>
      <c r="OCC143" s="4"/>
      <c r="OCD143" s="4"/>
      <c r="OCE143" s="4"/>
      <c r="OCF143" s="4"/>
      <c r="OCG143" s="4"/>
      <c r="OCH143" s="4"/>
      <c r="OCI143" s="4"/>
      <c r="OCJ143" s="4"/>
      <c r="OCK143" s="4"/>
      <c r="OCL143" s="4"/>
      <c r="OCM143" s="4"/>
      <c r="OCN143" s="4"/>
      <c r="OCO143" s="4"/>
      <c r="OCP143" s="4"/>
      <c r="OCQ143" s="4"/>
      <c r="OCR143" s="4"/>
      <c r="OCS143" s="4"/>
      <c r="OCT143" s="4"/>
      <c r="OCU143" s="4"/>
      <c r="OCV143" s="4"/>
      <c r="OCW143" s="4"/>
      <c r="OCX143" s="4"/>
      <c r="OCY143" s="4"/>
      <c r="OCZ143" s="4"/>
      <c r="ODA143" s="4"/>
      <c r="ODB143" s="4"/>
      <c r="ODC143" s="4"/>
      <c r="ODD143" s="4"/>
      <c r="ODE143" s="4"/>
      <c r="ODF143" s="4"/>
      <c r="ODG143" s="4"/>
      <c r="ODH143" s="4"/>
      <c r="ODI143" s="4"/>
      <c r="ODJ143" s="4"/>
      <c r="ODK143" s="4"/>
      <c r="ODL143" s="4"/>
      <c r="ODM143" s="4"/>
      <c r="ODN143" s="4"/>
      <c r="ODO143" s="4"/>
      <c r="ODP143" s="4"/>
      <c r="ODQ143" s="4"/>
      <c r="ODR143" s="4"/>
      <c r="ODS143" s="4"/>
      <c r="ODT143" s="4"/>
      <c r="ODU143" s="4"/>
      <c r="ODV143" s="4"/>
      <c r="ODW143" s="4"/>
      <c r="ODX143" s="4"/>
      <c r="ODY143" s="4"/>
      <c r="ODZ143" s="4"/>
      <c r="OEA143" s="4"/>
      <c r="OEB143" s="4"/>
      <c r="OEC143" s="4"/>
      <c r="OED143" s="4"/>
      <c r="OEE143" s="4"/>
      <c r="OEF143" s="4"/>
      <c r="OEG143" s="4"/>
      <c r="OEH143" s="4"/>
      <c r="OEI143" s="4"/>
      <c r="OEJ143" s="4"/>
      <c r="OEK143" s="4"/>
      <c r="OEL143" s="4"/>
      <c r="OEM143" s="4"/>
      <c r="OEN143" s="4"/>
      <c r="OEO143" s="4"/>
      <c r="OEP143" s="4"/>
      <c r="OEQ143" s="4"/>
      <c r="OER143" s="4"/>
      <c r="OES143" s="4"/>
      <c r="OET143" s="4"/>
      <c r="OEU143" s="4"/>
      <c r="OEV143" s="4"/>
      <c r="OEW143" s="4"/>
      <c r="OEX143" s="4"/>
      <c r="OEY143" s="4"/>
      <c r="OEZ143" s="4"/>
      <c r="OFA143" s="4"/>
      <c r="OFB143" s="4"/>
      <c r="OFC143" s="4"/>
      <c r="OFD143" s="4"/>
      <c r="OFE143" s="4"/>
      <c r="OFF143" s="4"/>
      <c r="OFG143" s="4"/>
      <c r="OFH143" s="4"/>
      <c r="OFI143" s="4"/>
      <c r="OFJ143" s="4"/>
      <c r="OFK143" s="4"/>
      <c r="OFL143" s="4"/>
      <c r="OFM143" s="4"/>
      <c r="OFN143" s="4"/>
      <c r="OFO143" s="4"/>
      <c r="OFP143" s="4"/>
      <c r="OFQ143" s="4"/>
      <c r="OFR143" s="4"/>
      <c r="OFS143" s="4"/>
      <c r="OFT143" s="4"/>
      <c r="OFU143" s="4"/>
      <c r="OFV143" s="4"/>
      <c r="OFW143" s="4"/>
      <c r="OFX143" s="4"/>
      <c r="OFY143" s="4"/>
      <c r="OFZ143" s="4"/>
      <c r="OGA143" s="4"/>
      <c r="OGB143" s="4"/>
      <c r="OGC143" s="4"/>
      <c r="OGD143" s="4"/>
      <c r="OGE143" s="4"/>
      <c r="OGF143" s="4"/>
      <c r="OGG143" s="4"/>
      <c r="OGH143" s="4"/>
      <c r="OGI143" s="4"/>
      <c r="OGJ143" s="4"/>
      <c r="OGK143" s="4"/>
      <c r="OGL143" s="4"/>
      <c r="OGM143" s="4"/>
      <c r="OGN143" s="4"/>
      <c r="OGO143" s="4"/>
      <c r="OGP143" s="4"/>
      <c r="OGQ143" s="4"/>
      <c r="OGR143" s="4"/>
      <c r="OGS143" s="4"/>
      <c r="OGT143" s="4"/>
      <c r="OGU143" s="4"/>
      <c r="OGV143" s="4"/>
      <c r="OGW143" s="4"/>
      <c r="OGX143" s="4"/>
      <c r="OGY143" s="4"/>
      <c r="OGZ143" s="4"/>
      <c r="OHA143" s="4"/>
      <c r="OHB143" s="4"/>
      <c r="OHC143" s="4"/>
      <c r="OHD143" s="4"/>
      <c r="OHE143" s="4"/>
      <c r="OHF143" s="4"/>
      <c r="OHG143" s="4"/>
      <c r="OHH143" s="4"/>
      <c r="OHI143" s="4"/>
      <c r="OHJ143" s="4"/>
      <c r="OHK143" s="4"/>
      <c r="OHL143" s="4"/>
      <c r="OHM143" s="4"/>
      <c r="OHN143" s="4"/>
      <c r="OHO143" s="4"/>
      <c r="OHP143" s="4"/>
      <c r="OHQ143" s="4"/>
      <c r="OHR143" s="4"/>
      <c r="OHS143" s="4"/>
      <c r="OHT143" s="4"/>
      <c r="OHU143" s="4"/>
      <c r="OHV143" s="4"/>
      <c r="OHW143" s="4"/>
      <c r="OHX143" s="4"/>
      <c r="OHY143" s="4"/>
      <c r="OHZ143" s="4"/>
      <c r="OIA143" s="4"/>
      <c r="OIB143" s="4"/>
      <c r="OIC143" s="4"/>
      <c r="OID143" s="4"/>
      <c r="OIE143" s="4"/>
      <c r="OIF143" s="4"/>
      <c r="OIG143" s="4"/>
      <c r="OIH143" s="4"/>
      <c r="OII143" s="4"/>
      <c r="OIJ143" s="4"/>
      <c r="OIK143" s="4"/>
      <c r="OIL143" s="4"/>
      <c r="OIM143" s="4"/>
      <c r="OIN143" s="4"/>
      <c r="OIO143" s="4"/>
      <c r="OIP143" s="4"/>
      <c r="OIQ143" s="4"/>
      <c r="OIR143" s="4"/>
      <c r="OIS143" s="4"/>
      <c r="OIT143" s="4"/>
      <c r="OIU143" s="4"/>
      <c r="OIV143" s="4"/>
      <c r="OIW143" s="4"/>
      <c r="OIX143" s="4"/>
      <c r="OIY143" s="4"/>
      <c r="OIZ143" s="4"/>
      <c r="OJA143" s="4"/>
      <c r="OJB143" s="4"/>
      <c r="OJC143" s="4"/>
      <c r="OJD143" s="4"/>
      <c r="OJE143" s="4"/>
      <c r="OJF143" s="4"/>
      <c r="OJG143" s="4"/>
      <c r="OJH143" s="4"/>
      <c r="OJI143" s="4"/>
      <c r="OJJ143" s="4"/>
      <c r="OJK143" s="4"/>
      <c r="OJL143" s="4"/>
      <c r="OJM143" s="4"/>
      <c r="OJN143" s="4"/>
      <c r="OJO143" s="4"/>
      <c r="OJP143" s="4"/>
      <c r="OJQ143" s="4"/>
      <c r="OJR143" s="4"/>
      <c r="OJS143" s="4"/>
      <c r="OJT143" s="4"/>
      <c r="OJU143" s="4"/>
      <c r="OJV143" s="4"/>
      <c r="OJW143" s="4"/>
      <c r="OJX143" s="4"/>
      <c r="OJY143" s="4"/>
      <c r="OJZ143" s="4"/>
      <c r="OKA143" s="4"/>
      <c r="OKB143" s="4"/>
      <c r="OKC143" s="4"/>
      <c r="OKD143" s="4"/>
      <c r="OKE143" s="4"/>
      <c r="OKF143" s="4"/>
      <c r="OKG143" s="4"/>
      <c r="OKH143" s="4"/>
      <c r="OKI143" s="4"/>
      <c r="OKJ143" s="4"/>
      <c r="OKK143" s="4"/>
      <c r="OKL143" s="4"/>
      <c r="OKM143" s="4"/>
      <c r="OKN143" s="4"/>
      <c r="OKO143" s="4"/>
      <c r="OKP143" s="4"/>
      <c r="OKQ143" s="4"/>
      <c r="OKR143" s="4"/>
      <c r="OKS143" s="4"/>
      <c r="OKT143" s="4"/>
      <c r="OKU143" s="4"/>
      <c r="OKV143" s="4"/>
      <c r="OKW143" s="4"/>
      <c r="OKX143" s="4"/>
      <c r="OKY143" s="4"/>
      <c r="OKZ143" s="4"/>
      <c r="OLA143" s="4"/>
      <c r="OLB143" s="4"/>
      <c r="OLC143" s="4"/>
      <c r="OLD143" s="4"/>
      <c r="OLE143" s="4"/>
      <c r="OLF143" s="4"/>
      <c r="OLG143" s="4"/>
      <c r="OLH143" s="4"/>
      <c r="OLI143" s="4"/>
      <c r="OLJ143" s="4"/>
      <c r="OLK143" s="4"/>
      <c r="OLL143" s="4"/>
      <c r="OLM143" s="4"/>
      <c r="OLN143" s="4"/>
      <c r="OLO143" s="4"/>
      <c r="OLP143" s="4"/>
      <c r="OLQ143" s="4"/>
      <c r="OLR143" s="4"/>
      <c r="OLS143" s="4"/>
      <c r="OLT143" s="4"/>
      <c r="OLU143" s="4"/>
      <c r="OLV143" s="4"/>
      <c r="OLW143" s="4"/>
      <c r="OLX143" s="4"/>
      <c r="OLY143" s="4"/>
      <c r="OLZ143" s="4"/>
      <c r="OMA143" s="4"/>
      <c r="OMB143" s="4"/>
      <c r="OMC143" s="4"/>
      <c r="OMD143" s="4"/>
      <c r="OME143" s="4"/>
      <c r="OMF143" s="4"/>
      <c r="OMG143" s="4"/>
      <c r="OMH143" s="4"/>
      <c r="OMI143" s="4"/>
      <c r="OMJ143" s="4"/>
      <c r="OMK143" s="4"/>
      <c r="OML143" s="4"/>
      <c r="OMM143" s="4"/>
      <c r="OMN143" s="4"/>
      <c r="OMO143" s="4"/>
      <c r="OMP143" s="4"/>
      <c r="OMQ143" s="4"/>
      <c r="OMR143" s="4"/>
      <c r="OMS143" s="4"/>
      <c r="OMT143" s="4"/>
      <c r="OMU143" s="4"/>
      <c r="OMV143" s="4"/>
      <c r="OMW143" s="4"/>
      <c r="OMX143" s="4"/>
      <c r="OMY143" s="4"/>
      <c r="OMZ143" s="4"/>
      <c r="ONA143" s="4"/>
      <c r="ONB143" s="4"/>
      <c r="ONC143" s="4"/>
      <c r="OND143" s="4"/>
      <c r="ONE143" s="4"/>
      <c r="ONF143" s="4"/>
      <c r="ONG143" s="4"/>
      <c r="ONH143" s="4"/>
      <c r="ONI143" s="4"/>
      <c r="ONJ143" s="4"/>
      <c r="ONK143" s="4"/>
      <c r="ONL143" s="4"/>
      <c r="ONM143" s="4"/>
      <c r="ONN143" s="4"/>
      <c r="ONO143" s="4"/>
      <c r="ONP143" s="4"/>
      <c r="ONQ143" s="4"/>
      <c r="ONR143" s="4"/>
      <c r="ONS143" s="4"/>
      <c r="ONT143" s="4"/>
      <c r="ONU143" s="4"/>
      <c r="ONV143" s="4"/>
      <c r="ONW143" s="4"/>
      <c r="ONX143" s="4"/>
      <c r="ONY143" s="4"/>
      <c r="ONZ143" s="4"/>
      <c r="OOA143" s="4"/>
      <c r="OOB143" s="4"/>
      <c r="OOC143" s="4"/>
      <c r="OOD143" s="4"/>
      <c r="OOE143" s="4"/>
      <c r="OOF143" s="4"/>
      <c r="OOG143" s="4"/>
      <c r="OOH143" s="4"/>
      <c r="OOI143" s="4"/>
      <c r="OOJ143" s="4"/>
      <c r="OOK143" s="4"/>
      <c r="OOL143" s="4"/>
      <c r="OOM143" s="4"/>
      <c r="OON143" s="4"/>
      <c r="OOO143" s="4"/>
      <c r="OOP143" s="4"/>
      <c r="OOQ143" s="4"/>
      <c r="OOR143" s="4"/>
      <c r="OOS143" s="4"/>
      <c r="OOT143" s="4"/>
      <c r="OOU143" s="4"/>
      <c r="OOV143" s="4"/>
      <c r="OOW143" s="4"/>
      <c r="OOX143" s="4"/>
      <c r="OOY143" s="4"/>
      <c r="OOZ143" s="4"/>
      <c r="OPA143" s="4"/>
      <c r="OPB143" s="4"/>
      <c r="OPC143" s="4"/>
      <c r="OPD143" s="4"/>
      <c r="OPE143" s="4"/>
      <c r="OPF143" s="4"/>
      <c r="OPG143" s="4"/>
      <c r="OPH143" s="4"/>
      <c r="OPI143" s="4"/>
      <c r="OPJ143" s="4"/>
      <c r="OPK143" s="4"/>
      <c r="OPL143" s="4"/>
      <c r="OPM143" s="4"/>
      <c r="OPN143" s="4"/>
      <c r="OPO143" s="4"/>
      <c r="OPP143" s="4"/>
      <c r="OPQ143" s="4"/>
      <c r="OPR143" s="4"/>
      <c r="OPS143" s="4"/>
      <c r="OPT143" s="4"/>
      <c r="OPU143" s="4"/>
      <c r="OPV143" s="4"/>
      <c r="OPW143" s="4"/>
      <c r="OPX143" s="4"/>
      <c r="OPY143" s="4"/>
      <c r="OPZ143" s="4"/>
      <c r="OQA143" s="4"/>
      <c r="OQB143" s="4"/>
      <c r="OQC143" s="4"/>
      <c r="OQD143" s="4"/>
      <c r="OQE143" s="4"/>
      <c r="OQF143" s="4"/>
      <c r="OQG143" s="4"/>
      <c r="OQH143" s="4"/>
      <c r="OQI143" s="4"/>
      <c r="OQJ143" s="4"/>
      <c r="OQK143" s="4"/>
      <c r="OQL143" s="4"/>
      <c r="OQM143" s="4"/>
      <c r="OQN143" s="4"/>
      <c r="OQO143" s="4"/>
      <c r="OQP143" s="4"/>
      <c r="OQQ143" s="4"/>
      <c r="OQR143" s="4"/>
      <c r="OQS143" s="4"/>
      <c r="OQT143" s="4"/>
      <c r="OQU143" s="4"/>
      <c r="OQV143" s="4"/>
      <c r="OQW143" s="4"/>
      <c r="OQX143" s="4"/>
      <c r="OQY143" s="4"/>
      <c r="OQZ143" s="4"/>
      <c r="ORA143" s="4"/>
      <c r="ORB143" s="4"/>
      <c r="ORC143" s="4"/>
      <c r="ORD143" s="4"/>
      <c r="ORE143" s="4"/>
      <c r="ORF143" s="4"/>
      <c r="ORG143" s="4"/>
      <c r="ORH143" s="4"/>
      <c r="ORI143" s="4"/>
      <c r="ORJ143" s="4"/>
      <c r="ORK143" s="4"/>
      <c r="ORL143" s="4"/>
      <c r="ORM143" s="4"/>
      <c r="ORN143" s="4"/>
      <c r="ORO143" s="4"/>
      <c r="ORP143" s="4"/>
      <c r="ORQ143" s="4"/>
      <c r="ORR143" s="4"/>
      <c r="ORS143" s="4"/>
      <c r="ORT143" s="4"/>
      <c r="ORU143" s="4"/>
      <c r="ORV143" s="4"/>
      <c r="ORW143" s="4"/>
      <c r="ORX143" s="4"/>
      <c r="ORY143" s="4"/>
      <c r="ORZ143" s="4"/>
      <c r="OSA143" s="4"/>
      <c r="OSB143" s="4"/>
      <c r="OSC143" s="4"/>
      <c r="OSD143" s="4"/>
      <c r="OSE143" s="4"/>
      <c r="OSF143" s="4"/>
      <c r="OSG143" s="4"/>
      <c r="OSH143" s="4"/>
      <c r="OSI143" s="4"/>
      <c r="OSJ143" s="4"/>
      <c r="OSK143" s="4"/>
      <c r="OSL143" s="4"/>
      <c r="OSM143" s="4"/>
      <c r="OSN143" s="4"/>
      <c r="OSO143" s="4"/>
      <c r="OSP143" s="4"/>
      <c r="OSQ143" s="4"/>
      <c r="OSR143" s="4"/>
      <c r="OSS143" s="4"/>
      <c r="OST143" s="4"/>
      <c r="OSU143" s="4"/>
      <c r="OSV143" s="4"/>
      <c r="OSW143" s="4"/>
      <c r="OSX143" s="4"/>
      <c r="OSY143" s="4"/>
      <c r="OSZ143" s="4"/>
      <c r="OTA143" s="4"/>
      <c r="OTB143" s="4"/>
      <c r="OTC143" s="4"/>
      <c r="OTD143" s="4"/>
      <c r="OTE143" s="4"/>
      <c r="OTF143" s="4"/>
      <c r="OTG143" s="4"/>
      <c r="OTH143" s="4"/>
      <c r="OTI143" s="4"/>
      <c r="OTJ143" s="4"/>
      <c r="OTK143" s="4"/>
      <c r="OTL143" s="4"/>
      <c r="OTM143" s="4"/>
      <c r="OTN143" s="4"/>
      <c r="OTO143" s="4"/>
      <c r="OTP143" s="4"/>
      <c r="OTQ143" s="4"/>
      <c r="OTR143" s="4"/>
      <c r="OTS143" s="4"/>
      <c r="OTT143" s="4"/>
      <c r="OTU143" s="4"/>
      <c r="OTV143" s="4"/>
      <c r="OTW143" s="4"/>
      <c r="OTX143" s="4"/>
      <c r="OTY143" s="4"/>
      <c r="OTZ143" s="4"/>
      <c r="OUA143" s="4"/>
      <c r="OUB143" s="4"/>
      <c r="OUC143" s="4"/>
      <c r="OUD143" s="4"/>
      <c r="OUE143" s="4"/>
      <c r="OUF143" s="4"/>
      <c r="OUG143" s="4"/>
      <c r="OUH143" s="4"/>
      <c r="OUI143" s="4"/>
      <c r="OUJ143" s="4"/>
      <c r="OUK143" s="4"/>
      <c r="OUL143" s="4"/>
      <c r="OUM143" s="4"/>
      <c r="OUN143" s="4"/>
      <c r="OUO143" s="4"/>
      <c r="OUP143" s="4"/>
      <c r="OUQ143" s="4"/>
      <c r="OUR143" s="4"/>
      <c r="OUS143" s="4"/>
      <c r="OUT143" s="4"/>
      <c r="OUU143" s="4"/>
      <c r="OUV143" s="4"/>
      <c r="OUW143" s="4"/>
      <c r="OUX143" s="4"/>
      <c r="OUY143" s="4"/>
      <c r="OUZ143" s="4"/>
      <c r="OVA143" s="4"/>
      <c r="OVB143" s="4"/>
      <c r="OVC143" s="4"/>
      <c r="OVD143" s="4"/>
      <c r="OVE143" s="4"/>
      <c r="OVF143" s="4"/>
      <c r="OVG143" s="4"/>
      <c r="OVH143" s="4"/>
      <c r="OVI143" s="4"/>
      <c r="OVJ143" s="4"/>
      <c r="OVK143" s="4"/>
      <c r="OVL143" s="4"/>
      <c r="OVM143" s="4"/>
      <c r="OVN143" s="4"/>
      <c r="OVO143" s="4"/>
      <c r="OVP143" s="4"/>
      <c r="OVQ143" s="4"/>
      <c r="OVR143" s="4"/>
      <c r="OVS143" s="4"/>
      <c r="OVT143" s="4"/>
      <c r="OVU143" s="4"/>
      <c r="OVV143" s="4"/>
      <c r="OVW143" s="4"/>
      <c r="OVX143" s="4"/>
      <c r="OVY143" s="4"/>
      <c r="OVZ143" s="4"/>
      <c r="OWA143" s="4"/>
      <c r="OWB143" s="4"/>
      <c r="OWC143" s="4"/>
      <c r="OWD143" s="4"/>
      <c r="OWE143" s="4"/>
      <c r="OWF143" s="4"/>
      <c r="OWG143" s="4"/>
      <c r="OWH143" s="4"/>
      <c r="OWI143" s="4"/>
      <c r="OWJ143" s="4"/>
      <c r="OWK143" s="4"/>
      <c r="OWL143" s="4"/>
      <c r="OWM143" s="4"/>
      <c r="OWN143" s="4"/>
      <c r="OWO143" s="4"/>
      <c r="OWP143" s="4"/>
      <c r="OWQ143" s="4"/>
      <c r="OWR143" s="4"/>
      <c r="OWS143" s="4"/>
      <c r="OWT143" s="4"/>
      <c r="OWU143" s="4"/>
      <c r="OWV143" s="4"/>
      <c r="OWW143" s="4"/>
      <c r="OWX143" s="4"/>
      <c r="OWY143" s="4"/>
      <c r="OWZ143" s="4"/>
      <c r="OXA143" s="4"/>
      <c r="OXB143" s="4"/>
      <c r="OXC143" s="4"/>
      <c r="OXD143" s="4"/>
      <c r="OXE143" s="4"/>
      <c r="OXF143" s="4"/>
      <c r="OXG143" s="4"/>
      <c r="OXH143" s="4"/>
      <c r="OXI143" s="4"/>
      <c r="OXJ143" s="4"/>
      <c r="OXK143" s="4"/>
      <c r="OXL143" s="4"/>
      <c r="OXM143" s="4"/>
      <c r="OXN143" s="4"/>
      <c r="OXO143" s="4"/>
      <c r="OXP143" s="4"/>
      <c r="OXQ143" s="4"/>
      <c r="OXR143" s="4"/>
      <c r="OXS143" s="4"/>
      <c r="OXT143" s="4"/>
      <c r="OXU143" s="4"/>
      <c r="OXV143" s="4"/>
      <c r="OXW143" s="4"/>
      <c r="OXX143" s="4"/>
      <c r="OXY143" s="4"/>
      <c r="OXZ143" s="4"/>
      <c r="OYA143" s="4"/>
      <c r="OYB143" s="4"/>
      <c r="OYC143" s="4"/>
      <c r="OYD143" s="4"/>
      <c r="OYE143" s="4"/>
      <c r="OYF143" s="4"/>
      <c r="OYG143" s="4"/>
      <c r="OYH143" s="4"/>
      <c r="OYI143" s="4"/>
      <c r="OYJ143" s="4"/>
      <c r="OYK143" s="4"/>
      <c r="OYL143" s="4"/>
      <c r="OYM143" s="4"/>
      <c r="OYN143" s="4"/>
      <c r="OYO143" s="4"/>
      <c r="OYP143" s="4"/>
      <c r="OYQ143" s="4"/>
      <c r="OYR143" s="4"/>
      <c r="OYS143" s="4"/>
      <c r="OYT143" s="4"/>
      <c r="OYU143" s="4"/>
      <c r="OYV143" s="4"/>
      <c r="OYW143" s="4"/>
      <c r="OYX143" s="4"/>
      <c r="OYY143" s="4"/>
      <c r="OYZ143" s="4"/>
      <c r="OZA143" s="4"/>
      <c r="OZB143" s="4"/>
      <c r="OZC143" s="4"/>
      <c r="OZD143" s="4"/>
      <c r="OZE143" s="4"/>
      <c r="OZF143" s="4"/>
      <c r="OZG143" s="4"/>
      <c r="OZH143" s="4"/>
      <c r="OZI143" s="4"/>
      <c r="OZJ143" s="4"/>
      <c r="OZK143" s="4"/>
      <c r="OZL143" s="4"/>
      <c r="OZM143" s="4"/>
      <c r="OZN143" s="4"/>
      <c r="OZO143" s="4"/>
      <c r="OZP143" s="4"/>
      <c r="OZQ143" s="4"/>
      <c r="OZR143" s="4"/>
      <c r="OZS143" s="4"/>
      <c r="OZT143" s="4"/>
      <c r="OZU143" s="4"/>
      <c r="OZV143" s="4"/>
      <c r="OZW143" s="4"/>
      <c r="OZX143" s="4"/>
      <c r="OZY143" s="4"/>
      <c r="OZZ143" s="4"/>
      <c r="PAA143" s="4"/>
      <c r="PAB143" s="4"/>
      <c r="PAC143" s="4"/>
      <c r="PAD143" s="4"/>
      <c r="PAE143" s="4"/>
      <c r="PAF143" s="4"/>
      <c r="PAG143" s="4"/>
      <c r="PAH143" s="4"/>
      <c r="PAI143" s="4"/>
      <c r="PAJ143" s="4"/>
      <c r="PAK143" s="4"/>
      <c r="PAL143" s="4"/>
      <c r="PAM143" s="4"/>
      <c r="PAN143" s="4"/>
      <c r="PAO143" s="4"/>
      <c r="PAP143" s="4"/>
      <c r="PAQ143" s="4"/>
      <c r="PAR143" s="4"/>
      <c r="PAS143" s="4"/>
      <c r="PAT143" s="4"/>
      <c r="PAU143" s="4"/>
      <c r="PAV143" s="4"/>
      <c r="PAW143" s="4"/>
      <c r="PAX143" s="4"/>
      <c r="PAY143" s="4"/>
      <c r="PAZ143" s="4"/>
      <c r="PBA143" s="4"/>
      <c r="PBB143" s="4"/>
      <c r="PBC143" s="4"/>
      <c r="PBD143" s="4"/>
      <c r="PBE143" s="4"/>
      <c r="PBF143" s="4"/>
      <c r="PBG143" s="4"/>
      <c r="PBH143" s="4"/>
      <c r="PBI143" s="4"/>
      <c r="PBJ143" s="4"/>
      <c r="PBK143" s="4"/>
      <c r="PBL143" s="4"/>
      <c r="PBM143" s="4"/>
      <c r="PBN143" s="4"/>
      <c r="PBO143" s="4"/>
      <c r="PBP143" s="4"/>
      <c r="PBQ143" s="4"/>
      <c r="PBR143" s="4"/>
      <c r="PBS143" s="4"/>
      <c r="PBT143" s="4"/>
      <c r="PBU143" s="4"/>
      <c r="PBV143" s="4"/>
      <c r="PBW143" s="4"/>
      <c r="PBX143" s="4"/>
      <c r="PBY143" s="4"/>
      <c r="PBZ143" s="4"/>
      <c r="PCA143" s="4"/>
      <c r="PCB143" s="4"/>
      <c r="PCC143" s="4"/>
      <c r="PCD143" s="4"/>
      <c r="PCE143" s="4"/>
      <c r="PCF143" s="4"/>
      <c r="PCG143" s="4"/>
      <c r="PCH143" s="4"/>
      <c r="PCI143" s="4"/>
      <c r="PCJ143" s="4"/>
      <c r="PCK143" s="4"/>
      <c r="PCL143" s="4"/>
      <c r="PCM143" s="4"/>
      <c r="PCN143" s="4"/>
      <c r="PCO143" s="4"/>
      <c r="PCP143" s="4"/>
      <c r="PCQ143" s="4"/>
      <c r="PCR143" s="4"/>
      <c r="PCS143" s="4"/>
      <c r="PCT143" s="4"/>
      <c r="PCU143" s="4"/>
      <c r="PCV143" s="4"/>
      <c r="PCW143" s="4"/>
      <c r="PCX143" s="4"/>
      <c r="PCY143" s="4"/>
      <c r="PCZ143" s="4"/>
      <c r="PDA143" s="4"/>
      <c r="PDB143" s="4"/>
      <c r="PDC143" s="4"/>
      <c r="PDD143" s="4"/>
      <c r="PDE143" s="4"/>
      <c r="PDF143" s="4"/>
      <c r="PDG143" s="4"/>
      <c r="PDH143" s="4"/>
      <c r="PDI143" s="4"/>
      <c r="PDJ143" s="4"/>
      <c r="PDK143" s="4"/>
      <c r="PDL143" s="4"/>
      <c r="PDM143" s="4"/>
      <c r="PDN143" s="4"/>
      <c r="PDO143" s="4"/>
      <c r="PDP143" s="4"/>
      <c r="PDQ143" s="4"/>
      <c r="PDR143" s="4"/>
      <c r="PDS143" s="4"/>
      <c r="PDT143" s="4"/>
      <c r="PDU143" s="4"/>
      <c r="PDV143" s="4"/>
      <c r="PDW143" s="4"/>
      <c r="PDX143" s="4"/>
      <c r="PDY143" s="4"/>
      <c r="PDZ143" s="4"/>
      <c r="PEA143" s="4"/>
      <c r="PEB143" s="4"/>
      <c r="PEC143" s="4"/>
      <c r="PED143" s="4"/>
      <c r="PEE143" s="4"/>
      <c r="PEF143" s="4"/>
      <c r="PEG143" s="4"/>
      <c r="PEH143" s="4"/>
      <c r="PEI143" s="4"/>
      <c r="PEJ143" s="4"/>
      <c r="PEK143" s="4"/>
      <c r="PEL143" s="4"/>
      <c r="PEM143" s="4"/>
      <c r="PEN143" s="4"/>
      <c r="PEO143" s="4"/>
      <c r="PEP143" s="4"/>
      <c r="PEQ143" s="4"/>
      <c r="PER143" s="4"/>
      <c r="PES143" s="4"/>
      <c r="PET143" s="4"/>
      <c r="PEU143" s="4"/>
      <c r="PEV143" s="4"/>
      <c r="PEW143" s="4"/>
      <c r="PEX143" s="4"/>
      <c r="PEY143" s="4"/>
      <c r="PEZ143" s="4"/>
      <c r="PFA143" s="4"/>
      <c r="PFB143" s="4"/>
      <c r="PFC143" s="4"/>
      <c r="PFD143" s="4"/>
      <c r="PFE143" s="4"/>
      <c r="PFF143" s="4"/>
      <c r="PFG143" s="4"/>
      <c r="PFH143" s="4"/>
      <c r="PFI143" s="4"/>
      <c r="PFJ143" s="4"/>
      <c r="PFK143" s="4"/>
      <c r="PFL143" s="4"/>
      <c r="PFM143" s="4"/>
      <c r="PFN143" s="4"/>
      <c r="PFO143" s="4"/>
      <c r="PFP143" s="4"/>
      <c r="PFQ143" s="4"/>
      <c r="PFR143" s="4"/>
      <c r="PFS143" s="4"/>
      <c r="PFT143" s="4"/>
      <c r="PFU143" s="4"/>
      <c r="PFV143" s="4"/>
      <c r="PFW143" s="4"/>
      <c r="PFX143" s="4"/>
      <c r="PFY143" s="4"/>
      <c r="PFZ143" s="4"/>
      <c r="PGA143" s="4"/>
      <c r="PGB143" s="4"/>
      <c r="PGC143" s="4"/>
      <c r="PGD143" s="4"/>
      <c r="PGE143" s="4"/>
      <c r="PGF143" s="4"/>
      <c r="PGG143" s="4"/>
      <c r="PGH143" s="4"/>
      <c r="PGI143" s="4"/>
      <c r="PGJ143" s="4"/>
      <c r="PGK143" s="4"/>
      <c r="PGL143" s="4"/>
      <c r="PGM143" s="4"/>
      <c r="PGN143" s="4"/>
      <c r="PGO143" s="4"/>
      <c r="PGP143" s="4"/>
      <c r="PGQ143" s="4"/>
      <c r="PGR143" s="4"/>
      <c r="PGS143" s="4"/>
      <c r="PGT143" s="4"/>
      <c r="PGU143" s="4"/>
      <c r="PGV143" s="4"/>
      <c r="PGW143" s="4"/>
      <c r="PGX143" s="4"/>
      <c r="PGY143" s="4"/>
      <c r="PGZ143" s="4"/>
      <c r="PHA143" s="4"/>
      <c r="PHB143" s="4"/>
      <c r="PHC143" s="4"/>
      <c r="PHD143" s="4"/>
      <c r="PHE143" s="4"/>
      <c r="PHF143" s="4"/>
      <c r="PHG143" s="4"/>
      <c r="PHH143" s="4"/>
      <c r="PHI143" s="4"/>
      <c r="PHJ143" s="4"/>
      <c r="PHK143" s="4"/>
      <c r="PHL143" s="4"/>
      <c r="PHM143" s="4"/>
      <c r="PHN143" s="4"/>
      <c r="PHO143" s="4"/>
      <c r="PHP143" s="4"/>
      <c r="PHQ143" s="4"/>
      <c r="PHR143" s="4"/>
      <c r="PHS143" s="4"/>
      <c r="PHT143" s="4"/>
      <c r="PHU143" s="4"/>
      <c r="PHV143" s="4"/>
      <c r="PHW143" s="4"/>
      <c r="PHX143" s="4"/>
      <c r="PHY143" s="4"/>
      <c r="PHZ143" s="4"/>
      <c r="PIA143" s="4"/>
      <c r="PIB143" s="4"/>
      <c r="PIC143" s="4"/>
      <c r="PID143" s="4"/>
      <c r="PIE143" s="4"/>
      <c r="PIF143" s="4"/>
      <c r="PIG143" s="4"/>
      <c r="PIH143" s="4"/>
      <c r="PII143" s="4"/>
      <c r="PIJ143" s="4"/>
      <c r="PIK143" s="4"/>
      <c r="PIL143" s="4"/>
      <c r="PIM143" s="4"/>
      <c r="PIN143" s="4"/>
      <c r="PIO143" s="4"/>
      <c r="PIP143" s="4"/>
      <c r="PIQ143" s="4"/>
      <c r="PIR143" s="4"/>
      <c r="PIS143" s="4"/>
      <c r="PIT143" s="4"/>
      <c r="PIU143" s="4"/>
      <c r="PIV143" s="4"/>
      <c r="PIW143" s="4"/>
      <c r="PIX143" s="4"/>
      <c r="PIY143" s="4"/>
      <c r="PIZ143" s="4"/>
      <c r="PJA143" s="4"/>
      <c r="PJB143" s="4"/>
      <c r="PJC143" s="4"/>
      <c r="PJD143" s="4"/>
      <c r="PJE143" s="4"/>
      <c r="PJF143" s="4"/>
      <c r="PJG143" s="4"/>
      <c r="PJH143" s="4"/>
      <c r="PJI143" s="4"/>
      <c r="PJJ143" s="4"/>
      <c r="PJK143" s="4"/>
      <c r="PJL143" s="4"/>
      <c r="PJM143" s="4"/>
      <c r="PJN143" s="4"/>
      <c r="PJO143" s="4"/>
      <c r="PJP143" s="4"/>
      <c r="PJQ143" s="4"/>
      <c r="PJR143" s="4"/>
      <c r="PJS143" s="4"/>
      <c r="PJT143" s="4"/>
      <c r="PJU143" s="4"/>
      <c r="PJV143" s="4"/>
      <c r="PJW143" s="4"/>
      <c r="PJX143" s="4"/>
      <c r="PJY143" s="4"/>
      <c r="PJZ143" s="4"/>
      <c r="PKA143" s="4"/>
      <c r="PKB143" s="4"/>
      <c r="PKC143" s="4"/>
      <c r="PKD143" s="4"/>
      <c r="PKE143" s="4"/>
      <c r="PKF143" s="4"/>
      <c r="PKG143" s="4"/>
      <c r="PKH143" s="4"/>
      <c r="PKI143" s="4"/>
      <c r="PKJ143" s="4"/>
      <c r="PKK143" s="4"/>
      <c r="PKL143" s="4"/>
      <c r="PKM143" s="4"/>
      <c r="PKN143" s="4"/>
      <c r="PKO143" s="4"/>
      <c r="PKP143" s="4"/>
      <c r="PKQ143" s="4"/>
      <c r="PKR143" s="4"/>
      <c r="PKS143" s="4"/>
      <c r="PKT143" s="4"/>
      <c r="PKU143" s="4"/>
      <c r="PKV143" s="4"/>
      <c r="PKW143" s="4"/>
      <c r="PKX143" s="4"/>
      <c r="PKY143" s="4"/>
      <c r="PKZ143" s="4"/>
      <c r="PLA143" s="4"/>
      <c r="PLB143" s="4"/>
      <c r="PLC143" s="4"/>
      <c r="PLD143" s="4"/>
      <c r="PLE143" s="4"/>
      <c r="PLF143" s="4"/>
      <c r="PLG143" s="4"/>
      <c r="PLH143" s="4"/>
      <c r="PLI143" s="4"/>
      <c r="PLJ143" s="4"/>
      <c r="PLK143" s="4"/>
      <c r="PLL143" s="4"/>
      <c r="PLM143" s="4"/>
      <c r="PLN143" s="4"/>
      <c r="PLO143" s="4"/>
      <c r="PLP143" s="4"/>
      <c r="PLQ143" s="4"/>
      <c r="PLR143" s="4"/>
      <c r="PLS143" s="4"/>
      <c r="PLT143" s="4"/>
      <c r="PLU143" s="4"/>
      <c r="PLV143" s="4"/>
      <c r="PLW143" s="4"/>
      <c r="PLX143" s="4"/>
      <c r="PLY143" s="4"/>
      <c r="PLZ143" s="4"/>
      <c r="PMA143" s="4"/>
      <c r="PMB143" s="4"/>
      <c r="PMC143" s="4"/>
      <c r="PMD143" s="4"/>
      <c r="PME143" s="4"/>
      <c r="PMF143" s="4"/>
      <c r="PMG143" s="4"/>
      <c r="PMH143" s="4"/>
      <c r="PMI143" s="4"/>
      <c r="PMJ143" s="4"/>
      <c r="PMK143" s="4"/>
      <c r="PML143" s="4"/>
      <c r="PMM143" s="4"/>
      <c r="PMN143" s="4"/>
      <c r="PMO143" s="4"/>
      <c r="PMP143" s="4"/>
      <c r="PMQ143" s="4"/>
      <c r="PMR143" s="4"/>
      <c r="PMS143" s="4"/>
      <c r="PMT143" s="4"/>
      <c r="PMU143" s="4"/>
      <c r="PMV143" s="4"/>
      <c r="PMW143" s="4"/>
      <c r="PMX143" s="4"/>
      <c r="PMY143" s="4"/>
      <c r="PMZ143" s="4"/>
      <c r="PNA143" s="4"/>
      <c r="PNB143" s="4"/>
      <c r="PNC143" s="4"/>
      <c r="PND143" s="4"/>
      <c r="PNE143" s="4"/>
      <c r="PNF143" s="4"/>
      <c r="PNG143" s="4"/>
      <c r="PNH143" s="4"/>
      <c r="PNI143" s="4"/>
      <c r="PNJ143" s="4"/>
      <c r="PNK143" s="4"/>
      <c r="PNL143" s="4"/>
      <c r="PNM143" s="4"/>
      <c r="PNN143" s="4"/>
      <c r="PNO143" s="4"/>
      <c r="PNP143" s="4"/>
      <c r="PNQ143" s="4"/>
      <c r="PNR143" s="4"/>
      <c r="PNS143" s="4"/>
      <c r="PNT143" s="4"/>
      <c r="PNU143" s="4"/>
      <c r="PNV143" s="4"/>
      <c r="PNW143" s="4"/>
      <c r="PNX143" s="4"/>
      <c r="PNY143" s="4"/>
      <c r="PNZ143" s="4"/>
      <c r="POA143" s="4"/>
      <c r="POB143" s="4"/>
      <c r="POC143" s="4"/>
      <c r="POD143" s="4"/>
      <c r="POE143" s="4"/>
      <c r="POF143" s="4"/>
      <c r="POG143" s="4"/>
      <c r="POH143" s="4"/>
      <c r="POI143" s="4"/>
      <c r="POJ143" s="4"/>
      <c r="POK143" s="4"/>
      <c r="POL143" s="4"/>
      <c r="POM143" s="4"/>
      <c r="PON143" s="4"/>
      <c r="POO143" s="4"/>
      <c r="POP143" s="4"/>
      <c r="POQ143" s="4"/>
      <c r="POR143" s="4"/>
      <c r="POS143" s="4"/>
      <c r="POT143" s="4"/>
      <c r="POU143" s="4"/>
      <c r="POV143" s="4"/>
      <c r="POW143" s="4"/>
      <c r="POX143" s="4"/>
      <c r="POY143" s="4"/>
      <c r="POZ143" s="4"/>
      <c r="PPA143" s="4"/>
      <c r="PPB143" s="4"/>
      <c r="PPC143" s="4"/>
      <c r="PPD143" s="4"/>
      <c r="PPE143" s="4"/>
      <c r="PPF143" s="4"/>
      <c r="PPG143" s="4"/>
      <c r="PPH143" s="4"/>
      <c r="PPI143" s="4"/>
      <c r="PPJ143" s="4"/>
      <c r="PPK143" s="4"/>
      <c r="PPL143" s="4"/>
      <c r="PPM143" s="4"/>
      <c r="PPN143" s="4"/>
      <c r="PPO143" s="4"/>
      <c r="PPP143" s="4"/>
      <c r="PPQ143" s="4"/>
      <c r="PPR143" s="4"/>
      <c r="PPS143" s="4"/>
      <c r="PPT143" s="4"/>
      <c r="PPU143" s="4"/>
      <c r="PPV143" s="4"/>
      <c r="PPW143" s="4"/>
      <c r="PPX143" s="4"/>
      <c r="PPY143" s="4"/>
      <c r="PPZ143" s="4"/>
      <c r="PQA143" s="4"/>
      <c r="PQB143" s="4"/>
      <c r="PQC143" s="4"/>
      <c r="PQD143" s="4"/>
      <c r="PQE143" s="4"/>
      <c r="PQF143" s="4"/>
      <c r="PQG143" s="4"/>
      <c r="PQH143" s="4"/>
      <c r="PQI143" s="4"/>
      <c r="PQJ143" s="4"/>
      <c r="PQK143" s="4"/>
      <c r="PQL143" s="4"/>
      <c r="PQM143" s="4"/>
      <c r="PQN143" s="4"/>
      <c r="PQO143" s="4"/>
      <c r="PQP143" s="4"/>
      <c r="PQQ143" s="4"/>
      <c r="PQR143" s="4"/>
      <c r="PQS143" s="4"/>
      <c r="PQT143" s="4"/>
      <c r="PQU143" s="4"/>
      <c r="PQV143" s="4"/>
      <c r="PQW143" s="4"/>
      <c r="PQX143" s="4"/>
      <c r="PQY143" s="4"/>
      <c r="PQZ143" s="4"/>
      <c r="PRA143" s="4"/>
      <c r="PRB143" s="4"/>
      <c r="PRC143" s="4"/>
      <c r="PRD143" s="4"/>
      <c r="PRE143" s="4"/>
      <c r="PRF143" s="4"/>
      <c r="PRG143" s="4"/>
      <c r="PRH143" s="4"/>
      <c r="PRI143" s="4"/>
      <c r="PRJ143" s="4"/>
      <c r="PRK143" s="4"/>
      <c r="PRL143" s="4"/>
      <c r="PRM143" s="4"/>
      <c r="PRN143" s="4"/>
      <c r="PRO143" s="4"/>
      <c r="PRP143" s="4"/>
      <c r="PRQ143" s="4"/>
      <c r="PRR143" s="4"/>
      <c r="PRS143" s="4"/>
      <c r="PRT143" s="4"/>
      <c r="PRU143" s="4"/>
      <c r="PRV143" s="4"/>
      <c r="PRW143" s="4"/>
      <c r="PRX143" s="4"/>
      <c r="PRY143" s="4"/>
      <c r="PRZ143" s="4"/>
      <c r="PSA143" s="4"/>
      <c r="PSB143" s="4"/>
      <c r="PSC143" s="4"/>
      <c r="PSD143" s="4"/>
      <c r="PSE143" s="4"/>
      <c r="PSF143" s="4"/>
      <c r="PSG143" s="4"/>
      <c r="PSH143" s="4"/>
      <c r="PSI143" s="4"/>
      <c r="PSJ143" s="4"/>
      <c r="PSK143" s="4"/>
      <c r="PSL143" s="4"/>
      <c r="PSM143" s="4"/>
      <c r="PSN143" s="4"/>
      <c r="PSO143" s="4"/>
      <c r="PSP143" s="4"/>
      <c r="PSQ143" s="4"/>
      <c r="PSR143" s="4"/>
      <c r="PSS143" s="4"/>
      <c r="PST143" s="4"/>
      <c r="PSU143" s="4"/>
      <c r="PSV143" s="4"/>
      <c r="PSW143" s="4"/>
      <c r="PSX143" s="4"/>
      <c r="PSY143" s="4"/>
      <c r="PSZ143" s="4"/>
      <c r="PTA143" s="4"/>
      <c r="PTB143" s="4"/>
      <c r="PTC143" s="4"/>
      <c r="PTD143" s="4"/>
      <c r="PTE143" s="4"/>
      <c r="PTF143" s="4"/>
      <c r="PTG143" s="4"/>
      <c r="PTH143" s="4"/>
      <c r="PTI143" s="4"/>
      <c r="PTJ143" s="4"/>
      <c r="PTK143" s="4"/>
      <c r="PTL143" s="4"/>
      <c r="PTM143" s="4"/>
      <c r="PTN143" s="4"/>
      <c r="PTO143" s="4"/>
      <c r="PTP143" s="4"/>
      <c r="PTQ143" s="4"/>
      <c r="PTR143" s="4"/>
      <c r="PTS143" s="4"/>
      <c r="PTT143" s="4"/>
      <c r="PTU143" s="4"/>
      <c r="PTV143" s="4"/>
      <c r="PTW143" s="4"/>
      <c r="PTX143" s="4"/>
      <c r="PTY143" s="4"/>
      <c r="PTZ143" s="4"/>
      <c r="PUA143" s="4"/>
      <c r="PUB143" s="4"/>
      <c r="PUC143" s="4"/>
      <c r="PUD143" s="4"/>
      <c r="PUE143" s="4"/>
      <c r="PUF143" s="4"/>
      <c r="PUG143" s="4"/>
      <c r="PUH143" s="4"/>
      <c r="PUI143" s="4"/>
      <c r="PUJ143" s="4"/>
      <c r="PUK143" s="4"/>
      <c r="PUL143" s="4"/>
      <c r="PUM143" s="4"/>
      <c r="PUN143" s="4"/>
      <c r="PUO143" s="4"/>
      <c r="PUP143" s="4"/>
      <c r="PUQ143" s="4"/>
      <c r="PUR143" s="4"/>
      <c r="PUS143" s="4"/>
      <c r="PUT143" s="4"/>
      <c r="PUU143" s="4"/>
      <c r="PUV143" s="4"/>
      <c r="PUW143" s="4"/>
      <c r="PUX143" s="4"/>
      <c r="PUY143" s="4"/>
      <c r="PUZ143" s="4"/>
      <c r="PVA143" s="4"/>
      <c r="PVB143" s="4"/>
      <c r="PVC143" s="4"/>
      <c r="PVD143" s="4"/>
      <c r="PVE143" s="4"/>
      <c r="PVF143" s="4"/>
      <c r="PVG143" s="4"/>
      <c r="PVH143" s="4"/>
      <c r="PVI143" s="4"/>
      <c r="PVJ143" s="4"/>
      <c r="PVK143" s="4"/>
      <c r="PVL143" s="4"/>
      <c r="PVM143" s="4"/>
      <c r="PVN143" s="4"/>
      <c r="PVO143" s="4"/>
      <c r="PVP143" s="4"/>
      <c r="PVQ143" s="4"/>
      <c r="PVR143" s="4"/>
      <c r="PVS143" s="4"/>
      <c r="PVT143" s="4"/>
      <c r="PVU143" s="4"/>
      <c r="PVV143" s="4"/>
      <c r="PVW143" s="4"/>
      <c r="PVX143" s="4"/>
      <c r="PVY143" s="4"/>
      <c r="PVZ143" s="4"/>
      <c r="PWA143" s="4"/>
      <c r="PWB143" s="4"/>
      <c r="PWC143" s="4"/>
      <c r="PWD143" s="4"/>
      <c r="PWE143" s="4"/>
      <c r="PWF143" s="4"/>
      <c r="PWG143" s="4"/>
      <c r="PWH143" s="4"/>
      <c r="PWI143" s="4"/>
      <c r="PWJ143" s="4"/>
      <c r="PWK143" s="4"/>
      <c r="PWL143" s="4"/>
      <c r="PWM143" s="4"/>
      <c r="PWN143" s="4"/>
      <c r="PWO143" s="4"/>
      <c r="PWP143" s="4"/>
      <c r="PWQ143" s="4"/>
      <c r="PWR143" s="4"/>
      <c r="PWS143" s="4"/>
      <c r="PWT143" s="4"/>
      <c r="PWU143" s="4"/>
      <c r="PWV143" s="4"/>
      <c r="PWW143" s="4"/>
      <c r="PWX143" s="4"/>
      <c r="PWY143" s="4"/>
      <c r="PWZ143" s="4"/>
      <c r="PXA143" s="4"/>
      <c r="PXB143" s="4"/>
      <c r="PXC143" s="4"/>
      <c r="PXD143" s="4"/>
      <c r="PXE143" s="4"/>
      <c r="PXF143" s="4"/>
      <c r="PXG143" s="4"/>
      <c r="PXH143" s="4"/>
      <c r="PXI143" s="4"/>
      <c r="PXJ143" s="4"/>
      <c r="PXK143" s="4"/>
      <c r="PXL143" s="4"/>
      <c r="PXM143" s="4"/>
      <c r="PXN143" s="4"/>
      <c r="PXO143" s="4"/>
      <c r="PXP143" s="4"/>
      <c r="PXQ143" s="4"/>
      <c r="PXR143" s="4"/>
      <c r="PXS143" s="4"/>
      <c r="PXT143" s="4"/>
      <c r="PXU143" s="4"/>
      <c r="PXV143" s="4"/>
      <c r="PXW143" s="4"/>
      <c r="PXX143" s="4"/>
      <c r="PXY143" s="4"/>
      <c r="PXZ143" s="4"/>
      <c r="PYA143" s="4"/>
      <c r="PYB143" s="4"/>
      <c r="PYC143" s="4"/>
      <c r="PYD143" s="4"/>
      <c r="PYE143" s="4"/>
      <c r="PYF143" s="4"/>
      <c r="PYG143" s="4"/>
      <c r="PYH143" s="4"/>
      <c r="PYI143" s="4"/>
      <c r="PYJ143" s="4"/>
      <c r="PYK143" s="4"/>
      <c r="PYL143" s="4"/>
      <c r="PYM143" s="4"/>
      <c r="PYN143" s="4"/>
      <c r="PYO143" s="4"/>
      <c r="PYP143" s="4"/>
      <c r="PYQ143" s="4"/>
      <c r="PYR143" s="4"/>
      <c r="PYS143" s="4"/>
      <c r="PYT143" s="4"/>
      <c r="PYU143" s="4"/>
      <c r="PYV143" s="4"/>
      <c r="PYW143" s="4"/>
      <c r="PYX143" s="4"/>
      <c r="PYY143" s="4"/>
      <c r="PYZ143" s="4"/>
      <c r="PZA143" s="4"/>
      <c r="PZB143" s="4"/>
      <c r="PZC143" s="4"/>
      <c r="PZD143" s="4"/>
      <c r="PZE143" s="4"/>
      <c r="PZF143" s="4"/>
      <c r="PZG143" s="4"/>
      <c r="PZH143" s="4"/>
      <c r="PZI143" s="4"/>
      <c r="PZJ143" s="4"/>
      <c r="PZK143" s="4"/>
      <c r="PZL143" s="4"/>
      <c r="PZM143" s="4"/>
      <c r="PZN143" s="4"/>
      <c r="PZO143" s="4"/>
      <c r="PZP143" s="4"/>
      <c r="PZQ143" s="4"/>
      <c r="PZR143" s="4"/>
      <c r="PZS143" s="4"/>
      <c r="PZT143" s="4"/>
      <c r="PZU143" s="4"/>
      <c r="PZV143" s="4"/>
      <c r="PZW143" s="4"/>
      <c r="PZX143" s="4"/>
      <c r="PZY143" s="4"/>
      <c r="PZZ143" s="4"/>
      <c r="QAA143" s="4"/>
      <c r="QAB143" s="4"/>
      <c r="QAC143" s="4"/>
      <c r="QAD143" s="4"/>
      <c r="QAE143" s="4"/>
      <c r="QAF143" s="4"/>
      <c r="QAG143" s="4"/>
      <c r="QAH143" s="4"/>
      <c r="QAI143" s="4"/>
      <c r="QAJ143" s="4"/>
      <c r="QAK143" s="4"/>
      <c r="QAL143" s="4"/>
      <c r="QAM143" s="4"/>
      <c r="QAN143" s="4"/>
      <c r="QAO143" s="4"/>
      <c r="QAP143" s="4"/>
      <c r="QAQ143" s="4"/>
      <c r="QAR143" s="4"/>
      <c r="QAS143" s="4"/>
      <c r="QAT143" s="4"/>
      <c r="QAU143" s="4"/>
      <c r="QAV143" s="4"/>
      <c r="QAW143" s="4"/>
      <c r="QAX143" s="4"/>
      <c r="QAY143" s="4"/>
      <c r="QAZ143" s="4"/>
      <c r="QBA143" s="4"/>
      <c r="QBB143" s="4"/>
      <c r="QBC143" s="4"/>
      <c r="QBD143" s="4"/>
      <c r="QBE143" s="4"/>
      <c r="QBF143" s="4"/>
      <c r="QBG143" s="4"/>
      <c r="QBH143" s="4"/>
      <c r="QBI143" s="4"/>
      <c r="QBJ143" s="4"/>
      <c r="QBK143" s="4"/>
      <c r="QBL143" s="4"/>
      <c r="QBM143" s="4"/>
      <c r="QBN143" s="4"/>
      <c r="QBO143" s="4"/>
      <c r="QBP143" s="4"/>
      <c r="QBQ143" s="4"/>
      <c r="QBR143" s="4"/>
      <c r="QBS143" s="4"/>
      <c r="QBT143" s="4"/>
      <c r="QBU143" s="4"/>
      <c r="QBV143" s="4"/>
      <c r="QBW143" s="4"/>
      <c r="QBX143" s="4"/>
      <c r="QBY143" s="4"/>
      <c r="QBZ143" s="4"/>
      <c r="QCA143" s="4"/>
      <c r="QCB143" s="4"/>
      <c r="QCC143" s="4"/>
      <c r="QCD143" s="4"/>
      <c r="QCE143" s="4"/>
      <c r="QCF143" s="4"/>
      <c r="QCG143" s="4"/>
      <c r="QCH143" s="4"/>
      <c r="QCI143" s="4"/>
      <c r="QCJ143" s="4"/>
      <c r="QCK143" s="4"/>
      <c r="QCL143" s="4"/>
      <c r="QCM143" s="4"/>
      <c r="QCN143" s="4"/>
      <c r="QCO143" s="4"/>
      <c r="QCP143" s="4"/>
      <c r="QCQ143" s="4"/>
      <c r="QCR143" s="4"/>
      <c r="QCS143" s="4"/>
      <c r="QCT143" s="4"/>
      <c r="QCU143" s="4"/>
      <c r="QCV143" s="4"/>
      <c r="QCW143" s="4"/>
      <c r="QCX143" s="4"/>
      <c r="QCY143" s="4"/>
      <c r="QCZ143" s="4"/>
      <c r="QDA143" s="4"/>
      <c r="QDB143" s="4"/>
      <c r="QDC143" s="4"/>
      <c r="QDD143" s="4"/>
      <c r="QDE143" s="4"/>
      <c r="QDF143" s="4"/>
      <c r="QDG143" s="4"/>
      <c r="QDH143" s="4"/>
      <c r="QDI143" s="4"/>
      <c r="QDJ143" s="4"/>
      <c r="QDK143" s="4"/>
      <c r="QDL143" s="4"/>
      <c r="QDM143" s="4"/>
      <c r="QDN143" s="4"/>
      <c r="QDO143" s="4"/>
      <c r="QDP143" s="4"/>
      <c r="QDQ143" s="4"/>
      <c r="QDR143" s="4"/>
      <c r="QDS143" s="4"/>
      <c r="QDT143" s="4"/>
      <c r="QDU143" s="4"/>
      <c r="QDV143" s="4"/>
      <c r="QDW143" s="4"/>
      <c r="QDX143" s="4"/>
      <c r="QDY143" s="4"/>
      <c r="QDZ143" s="4"/>
      <c r="QEA143" s="4"/>
      <c r="QEB143" s="4"/>
      <c r="QEC143" s="4"/>
      <c r="QED143" s="4"/>
      <c r="QEE143" s="4"/>
      <c r="QEF143" s="4"/>
      <c r="QEG143" s="4"/>
      <c r="QEH143" s="4"/>
      <c r="QEI143" s="4"/>
      <c r="QEJ143" s="4"/>
      <c r="QEK143" s="4"/>
      <c r="QEL143" s="4"/>
      <c r="QEM143" s="4"/>
      <c r="QEN143" s="4"/>
      <c r="QEO143" s="4"/>
      <c r="QEP143" s="4"/>
      <c r="QEQ143" s="4"/>
      <c r="QER143" s="4"/>
      <c r="QES143" s="4"/>
      <c r="QET143" s="4"/>
      <c r="QEU143" s="4"/>
      <c r="QEV143" s="4"/>
      <c r="QEW143" s="4"/>
      <c r="QEX143" s="4"/>
      <c r="QEY143" s="4"/>
      <c r="QEZ143" s="4"/>
      <c r="QFA143" s="4"/>
      <c r="QFB143" s="4"/>
      <c r="QFC143" s="4"/>
      <c r="QFD143" s="4"/>
      <c r="QFE143" s="4"/>
      <c r="QFF143" s="4"/>
      <c r="QFG143" s="4"/>
      <c r="QFH143" s="4"/>
      <c r="QFI143" s="4"/>
      <c r="QFJ143" s="4"/>
      <c r="QFK143" s="4"/>
      <c r="QFL143" s="4"/>
      <c r="QFM143" s="4"/>
      <c r="QFN143" s="4"/>
      <c r="QFO143" s="4"/>
      <c r="QFP143" s="4"/>
      <c r="QFQ143" s="4"/>
      <c r="QFR143" s="4"/>
      <c r="QFS143" s="4"/>
      <c r="QFT143" s="4"/>
      <c r="QFU143" s="4"/>
      <c r="QFV143" s="4"/>
      <c r="QFW143" s="4"/>
      <c r="QFX143" s="4"/>
      <c r="QFY143" s="4"/>
      <c r="QFZ143" s="4"/>
      <c r="QGA143" s="4"/>
      <c r="QGB143" s="4"/>
      <c r="QGC143" s="4"/>
      <c r="QGD143" s="4"/>
      <c r="QGE143" s="4"/>
      <c r="QGF143" s="4"/>
      <c r="QGG143" s="4"/>
      <c r="QGH143" s="4"/>
      <c r="QGI143" s="4"/>
      <c r="QGJ143" s="4"/>
      <c r="QGK143" s="4"/>
      <c r="QGL143" s="4"/>
      <c r="QGM143" s="4"/>
      <c r="QGN143" s="4"/>
      <c r="QGO143" s="4"/>
      <c r="QGP143" s="4"/>
      <c r="QGQ143" s="4"/>
      <c r="QGR143" s="4"/>
      <c r="QGS143" s="4"/>
      <c r="QGT143" s="4"/>
      <c r="QGU143" s="4"/>
      <c r="QGV143" s="4"/>
      <c r="QGW143" s="4"/>
      <c r="QGX143" s="4"/>
      <c r="QGY143" s="4"/>
      <c r="QGZ143" s="4"/>
      <c r="QHA143" s="4"/>
      <c r="QHB143" s="4"/>
      <c r="QHC143" s="4"/>
      <c r="QHD143" s="4"/>
      <c r="QHE143" s="4"/>
      <c r="QHF143" s="4"/>
      <c r="QHG143" s="4"/>
      <c r="QHH143" s="4"/>
      <c r="QHI143" s="4"/>
      <c r="QHJ143" s="4"/>
      <c r="QHK143" s="4"/>
      <c r="QHL143" s="4"/>
      <c r="QHM143" s="4"/>
      <c r="QHN143" s="4"/>
      <c r="QHO143" s="4"/>
      <c r="QHP143" s="4"/>
      <c r="QHQ143" s="4"/>
      <c r="QHR143" s="4"/>
      <c r="QHS143" s="4"/>
      <c r="QHT143" s="4"/>
      <c r="QHU143" s="4"/>
      <c r="QHV143" s="4"/>
      <c r="QHW143" s="4"/>
      <c r="QHX143" s="4"/>
      <c r="QHY143" s="4"/>
      <c r="QHZ143" s="4"/>
      <c r="QIA143" s="4"/>
      <c r="QIB143" s="4"/>
      <c r="QIC143" s="4"/>
      <c r="QID143" s="4"/>
      <c r="QIE143" s="4"/>
      <c r="QIF143" s="4"/>
      <c r="QIG143" s="4"/>
      <c r="QIH143" s="4"/>
      <c r="QII143" s="4"/>
      <c r="QIJ143" s="4"/>
      <c r="QIK143" s="4"/>
      <c r="QIL143" s="4"/>
      <c r="QIM143" s="4"/>
      <c r="QIN143" s="4"/>
      <c r="QIO143" s="4"/>
      <c r="QIP143" s="4"/>
      <c r="QIQ143" s="4"/>
      <c r="QIR143" s="4"/>
      <c r="QIS143" s="4"/>
      <c r="QIT143" s="4"/>
      <c r="QIU143" s="4"/>
      <c r="QIV143" s="4"/>
      <c r="QIW143" s="4"/>
      <c r="QIX143" s="4"/>
      <c r="QIY143" s="4"/>
      <c r="QIZ143" s="4"/>
      <c r="QJA143" s="4"/>
      <c r="QJB143" s="4"/>
      <c r="QJC143" s="4"/>
      <c r="QJD143" s="4"/>
      <c r="QJE143" s="4"/>
      <c r="QJF143" s="4"/>
      <c r="QJG143" s="4"/>
      <c r="QJH143" s="4"/>
      <c r="QJI143" s="4"/>
      <c r="QJJ143" s="4"/>
      <c r="QJK143" s="4"/>
      <c r="QJL143" s="4"/>
      <c r="QJM143" s="4"/>
      <c r="QJN143" s="4"/>
      <c r="QJO143" s="4"/>
      <c r="QJP143" s="4"/>
      <c r="QJQ143" s="4"/>
      <c r="QJR143" s="4"/>
      <c r="QJS143" s="4"/>
      <c r="QJT143" s="4"/>
      <c r="QJU143" s="4"/>
      <c r="QJV143" s="4"/>
      <c r="QJW143" s="4"/>
      <c r="QJX143" s="4"/>
      <c r="QJY143" s="4"/>
      <c r="QJZ143" s="4"/>
      <c r="QKA143" s="4"/>
      <c r="QKB143" s="4"/>
      <c r="QKC143" s="4"/>
      <c r="QKD143" s="4"/>
      <c r="QKE143" s="4"/>
      <c r="QKF143" s="4"/>
      <c r="QKG143" s="4"/>
      <c r="QKH143" s="4"/>
      <c r="QKI143" s="4"/>
      <c r="QKJ143" s="4"/>
      <c r="QKK143" s="4"/>
      <c r="QKL143" s="4"/>
      <c r="QKM143" s="4"/>
      <c r="QKN143" s="4"/>
      <c r="QKO143" s="4"/>
      <c r="QKP143" s="4"/>
      <c r="QKQ143" s="4"/>
      <c r="QKR143" s="4"/>
      <c r="QKS143" s="4"/>
      <c r="QKT143" s="4"/>
      <c r="QKU143" s="4"/>
      <c r="QKV143" s="4"/>
      <c r="QKW143" s="4"/>
      <c r="QKX143" s="4"/>
      <c r="QKY143" s="4"/>
      <c r="QKZ143" s="4"/>
      <c r="QLA143" s="4"/>
      <c r="QLB143" s="4"/>
      <c r="QLC143" s="4"/>
      <c r="QLD143" s="4"/>
      <c r="QLE143" s="4"/>
      <c r="QLF143" s="4"/>
      <c r="QLG143" s="4"/>
      <c r="QLH143" s="4"/>
      <c r="QLI143" s="4"/>
      <c r="QLJ143" s="4"/>
      <c r="QLK143" s="4"/>
      <c r="QLL143" s="4"/>
      <c r="QLM143" s="4"/>
      <c r="QLN143" s="4"/>
      <c r="QLO143" s="4"/>
      <c r="QLP143" s="4"/>
      <c r="QLQ143" s="4"/>
      <c r="QLR143" s="4"/>
      <c r="QLS143" s="4"/>
      <c r="QLT143" s="4"/>
      <c r="QLU143" s="4"/>
      <c r="QLV143" s="4"/>
      <c r="QLW143" s="4"/>
      <c r="QLX143" s="4"/>
      <c r="QLY143" s="4"/>
      <c r="QLZ143" s="4"/>
      <c r="QMA143" s="4"/>
      <c r="QMB143" s="4"/>
      <c r="QMC143" s="4"/>
      <c r="QMD143" s="4"/>
      <c r="QME143" s="4"/>
      <c r="QMF143" s="4"/>
      <c r="QMG143" s="4"/>
      <c r="QMH143" s="4"/>
      <c r="QMI143" s="4"/>
      <c r="QMJ143" s="4"/>
      <c r="QMK143" s="4"/>
      <c r="QML143" s="4"/>
      <c r="QMM143" s="4"/>
      <c r="QMN143" s="4"/>
      <c r="QMO143" s="4"/>
      <c r="QMP143" s="4"/>
      <c r="QMQ143" s="4"/>
      <c r="QMR143" s="4"/>
      <c r="QMS143" s="4"/>
      <c r="QMT143" s="4"/>
      <c r="QMU143" s="4"/>
      <c r="QMV143" s="4"/>
      <c r="QMW143" s="4"/>
      <c r="QMX143" s="4"/>
      <c r="QMY143" s="4"/>
      <c r="QMZ143" s="4"/>
      <c r="QNA143" s="4"/>
      <c r="QNB143" s="4"/>
      <c r="QNC143" s="4"/>
      <c r="QND143" s="4"/>
      <c r="QNE143" s="4"/>
      <c r="QNF143" s="4"/>
      <c r="QNG143" s="4"/>
      <c r="QNH143" s="4"/>
      <c r="QNI143" s="4"/>
      <c r="QNJ143" s="4"/>
      <c r="QNK143" s="4"/>
      <c r="QNL143" s="4"/>
      <c r="QNM143" s="4"/>
      <c r="QNN143" s="4"/>
      <c r="QNO143" s="4"/>
      <c r="QNP143" s="4"/>
      <c r="QNQ143" s="4"/>
      <c r="QNR143" s="4"/>
      <c r="QNS143" s="4"/>
      <c r="QNT143" s="4"/>
      <c r="QNU143" s="4"/>
      <c r="QNV143" s="4"/>
      <c r="QNW143" s="4"/>
      <c r="QNX143" s="4"/>
      <c r="QNY143" s="4"/>
      <c r="QNZ143" s="4"/>
      <c r="QOA143" s="4"/>
      <c r="QOB143" s="4"/>
      <c r="QOC143" s="4"/>
      <c r="QOD143" s="4"/>
      <c r="QOE143" s="4"/>
      <c r="QOF143" s="4"/>
      <c r="QOG143" s="4"/>
      <c r="QOH143" s="4"/>
      <c r="QOI143" s="4"/>
      <c r="QOJ143" s="4"/>
      <c r="QOK143" s="4"/>
      <c r="QOL143" s="4"/>
      <c r="QOM143" s="4"/>
      <c r="QON143" s="4"/>
      <c r="QOO143" s="4"/>
      <c r="QOP143" s="4"/>
      <c r="QOQ143" s="4"/>
      <c r="QOR143" s="4"/>
      <c r="QOS143" s="4"/>
      <c r="QOT143" s="4"/>
      <c r="QOU143" s="4"/>
      <c r="QOV143" s="4"/>
      <c r="QOW143" s="4"/>
      <c r="QOX143" s="4"/>
      <c r="QOY143" s="4"/>
      <c r="QOZ143" s="4"/>
      <c r="QPA143" s="4"/>
      <c r="QPB143" s="4"/>
      <c r="QPC143" s="4"/>
      <c r="QPD143" s="4"/>
      <c r="QPE143" s="4"/>
      <c r="QPF143" s="4"/>
      <c r="QPG143" s="4"/>
      <c r="QPH143" s="4"/>
      <c r="QPI143" s="4"/>
      <c r="QPJ143" s="4"/>
      <c r="QPK143" s="4"/>
      <c r="QPL143" s="4"/>
      <c r="QPM143" s="4"/>
      <c r="QPN143" s="4"/>
      <c r="QPO143" s="4"/>
      <c r="QPP143" s="4"/>
      <c r="QPQ143" s="4"/>
      <c r="QPR143" s="4"/>
      <c r="QPS143" s="4"/>
      <c r="QPT143" s="4"/>
      <c r="QPU143" s="4"/>
      <c r="QPV143" s="4"/>
      <c r="QPW143" s="4"/>
      <c r="QPX143" s="4"/>
      <c r="QPY143" s="4"/>
      <c r="QPZ143" s="4"/>
      <c r="QQA143" s="4"/>
      <c r="QQB143" s="4"/>
      <c r="QQC143" s="4"/>
      <c r="QQD143" s="4"/>
      <c r="QQE143" s="4"/>
      <c r="QQF143" s="4"/>
      <c r="QQG143" s="4"/>
      <c r="QQH143" s="4"/>
      <c r="QQI143" s="4"/>
      <c r="QQJ143" s="4"/>
      <c r="QQK143" s="4"/>
      <c r="QQL143" s="4"/>
      <c r="QQM143" s="4"/>
      <c r="QQN143" s="4"/>
      <c r="QQO143" s="4"/>
      <c r="QQP143" s="4"/>
      <c r="QQQ143" s="4"/>
      <c r="QQR143" s="4"/>
      <c r="QQS143" s="4"/>
      <c r="QQT143" s="4"/>
      <c r="QQU143" s="4"/>
      <c r="QQV143" s="4"/>
      <c r="QQW143" s="4"/>
      <c r="QQX143" s="4"/>
      <c r="QQY143" s="4"/>
      <c r="QQZ143" s="4"/>
      <c r="QRA143" s="4"/>
      <c r="QRB143" s="4"/>
      <c r="QRC143" s="4"/>
      <c r="QRD143" s="4"/>
      <c r="QRE143" s="4"/>
      <c r="QRF143" s="4"/>
      <c r="QRG143" s="4"/>
      <c r="QRH143" s="4"/>
      <c r="QRI143" s="4"/>
      <c r="QRJ143" s="4"/>
      <c r="QRK143" s="4"/>
      <c r="QRL143" s="4"/>
      <c r="QRM143" s="4"/>
      <c r="QRN143" s="4"/>
      <c r="QRO143" s="4"/>
      <c r="QRP143" s="4"/>
      <c r="QRQ143" s="4"/>
      <c r="QRR143" s="4"/>
      <c r="QRS143" s="4"/>
      <c r="QRT143" s="4"/>
      <c r="QRU143" s="4"/>
      <c r="QRV143" s="4"/>
      <c r="QRW143" s="4"/>
      <c r="QRX143" s="4"/>
      <c r="QRY143" s="4"/>
      <c r="QRZ143" s="4"/>
      <c r="QSA143" s="4"/>
      <c r="QSB143" s="4"/>
      <c r="QSC143" s="4"/>
      <c r="QSD143" s="4"/>
      <c r="QSE143" s="4"/>
      <c r="QSF143" s="4"/>
      <c r="QSG143" s="4"/>
      <c r="QSH143" s="4"/>
      <c r="QSI143" s="4"/>
      <c r="QSJ143" s="4"/>
      <c r="QSK143" s="4"/>
      <c r="QSL143" s="4"/>
      <c r="QSM143" s="4"/>
      <c r="QSN143" s="4"/>
      <c r="QSO143" s="4"/>
      <c r="QSP143" s="4"/>
      <c r="QSQ143" s="4"/>
      <c r="QSR143" s="4"/>
      <c r="QSS143" s="4"/>
      <c r="QST143" s="4"/>
      <c r="QSU143" s="4"/>
      <c r="QSV143" s="4"/>
      <c r="QSW143" s="4"/>
      <c r="QSX143" s="4"/>
      <c r="QSY143" s="4"/>
      <c r="QSZ143" s="4"/>
      <c r="QTA143" s="4"/>
      <c r="QTB143" s="4"/>
      <c r="QTC143" s="4"/>
      <c r="QTD143" s="4"/>
      <c r="QTE143" s="4"/>
      <c r="QTF143" s="4"/>
      <c r="QTG143" s="4"/>
      <c r="QTH143" s="4"/>
      <c r="QTI143" s="4"/>
      <c r="QTJ143" s="4"/>
      <c r="QTK143" s="4"/>
      <c r="QTL143" s="4"/>
      <c r="QTM143" s="4"/>
      <c r="QTN143" s="4"/>
      <c r="QTO143" s="4"/>
      <c r="QTP143" s="4"/>
      <c r="QTQ143" s="4"/>
      <c r="QTR143" s="4"/>
      <c r="QTS143" s="4"/>
      <c r="QTT143" s="4"/>
      <c r="QTU143" s="4"/>
      <c r="QTV143" s="4"/>
      <c r="QTW143" s="4"/>
      <c r="QTX143" s="4"/>
      <c r="QTY143" s="4"/>
      <c r="QTZ143" s="4"/>
      <c r="QUA143" s="4"/>
      <c r="QUB143" s="4"/>
      <c r="QUC143" s="4"/>
      <c r="QUD143" s="4"/>
      <c r="QUE143" s="4"/>
      <c r="QUF143" s="4"/>
      <c r="QUG143" s="4"/>
      <c r="QUH143" s="4"/>
      <c r="QUI143" s="4"/>
      <c r="QUJ143" s="4"/>
      <c r="QUK143" s="4"/>
      <c r="QUL143" s="4"/>
      <c r="QUM143" s="4"/>
      <c r="QUN143" s="4"/>
      <c r="QUO143" s="4"/>
      <c r="QUP143" s="4"/>
      <c r="QUQ143" s="4"/>
      <c r="QUR143" s="4"/>
      <c r="QUS143" s="4"/>
      <c r="QUT143" s="4"/>
      <c r="QUU143" s="4"/>
      <c r="QUV143" s="4"/>
      <c r="QUW143" s="4"/>
      <c r="QUX143" s="4"/>
      <c r="QUY143" s="4"/>
      <c r="QUZ143" s="4"/>
      <c r="QVA143" s="4"/>
      <c r="QVB143" s="4"/>
      <c r="QVC143" s="4"/>
      <c r="QVD143" s="4"/>
      <c r="QVE143" s="4"/>
      <c r="QVF143" s="4"/>
      <c r="QVG143" s="4"/>
      <c r="QVH143" s="4"/>
      <c r="QVI143" s="4"/>
      <c r="QVJ143" s="4"/>
      <c r="QVK143" s="4"/>
      <c r="QVL143" s="4"/>
      <c r="QVM143" s="4"/>
      <c r="QVN143" s="4"/>
      <c r="QVO143" s="4"/>
      <c r="QVP143" s="4"/>
      <c r="QVQ143" s="4"/>
      <c r="QVR143" s="4"/>
      <c r="QVS143" s="4"/>
      <c r="QVT143" s="4"/>
      <c r="QVU143" s="4"/>
      <c r="QVV143" s="4"/>
      <c r="QVW143" s="4"/>
      <c r="QVX143" s="4"/>
      <c r="QVY143" s="4"/>
      <c r="QVZ143" s="4"/>
      <c r="QWA143" s="4"/>
      <c r="QWB143" s="4"/>
      <c r="QWC143" s="4"/>
      <c r="QWD143" s="4"/>
      <c r="QWE143" s="4"/>
      <c r="QWF143" s="4"/>
      <c r="QWG143" s="4"/>
      <c r="QWH143" s="4"/>
      <c r="QWI143" s="4"/>
      <c r="QWJ143" s="4"/>
      <c r="QWK143" s="4"/>
      <c r="QWL143" s="4"/>
      <c r="QWM143" s="4"/>
      <c r="QWN143" s="4"/>
      <c r="QWO143" s="4"/>
      <c r="QWP143" s="4"/>
      <c r="QWQ143" s="4"/>
      <c r="QWR143" s="4"/>
      <c r="QWS143" s="4"/>
      <c r="QWT143" s="4"/>
      <c r="QWU143" s="4"/>
      <c r="QWV143" s="4"/>
      <c r="QWW143" s="4"/>
      <c r="QWX143" s="4"/>
      <c r="QWY143" s="4"/>
      <c r="QWZ143" s="4"/>
      <c r="QXA143" s="4"/>
      <c r="QXB143" s="4"/>
      <c r="QXC143" s="4"/>
      <c r="QXD143" s="4"/>
      <c r="QXE143" s="4"/>
      <c r="QXF143" s="4"/>
      <c r="QXG143" s="4"/>
      <c r="QXH143" s="4"/>
      <c r="QXI143" s="4"/>
      <c r="QXJ143" s="4"/>
      <c r="QXK143" s="4"/>
      <c r="QXL143" s="4"/>
      <c r="QXM143" s="4"/>
      <c r="QXN143" s="4"/>
      <c r="QXO143" s="4"/>
      <c r="QXP143" s="4"/>
      <c r="QXQ143" s="4"/>
      <c r="QXR143" s="4"/>
      <c r="QXS143" s="4"/>
      <c r="QXT143" s="4"/>
      <c r="QXU143" s="4"/>
      <c r="QXV143" s="4"/>
      <c r="QXW143" s="4"/>
      <c r="QXX143" s="4"/>
      <c r="QXY143" s="4"/>
      <c r="QXZ143" s="4"/>
      <c r="QYA143" s="4"/>
      <c r="QYB143" s="4"/>
      <c r="QYC143" s="4"/>
      <c r="QYD143" s="4"/>
      <c r="QYE143" s="4"/>
      <c r="QYF143" s="4"/>
      <c r="QYG143" s="4"/>
      <c r="QYH143" s="4"/>
      <c r="QYI143" s="4"/>
      <c r="QYJ143" s="4"/>
      <c r="QYK143" s="4"/>
      <c r="QYL143" s="4"/>
      <c r="QYM143" s="4"/>
      <c r="QYN143" s="4"/>
      <c r="QYO143" s="4"/>
      <c r="QYP143" s="4"/>
      <c r="QYQ143" s="4"/>
      <c r="QYR143" s="4"/>
      <c r="QYS143" s="4"/>
      <c r="QYT143" s="4"/>
      <c r="QYU143" s="4"/>
      <c r="QYV143" s="4"/>
      <c r="QYW143" s="4"/>
      <c r="QYX143" s="4"/>
      <c r="QYY143" s="4"/>
      <c r="QYZ143" s="4"/>
      <c r="QZA143" s="4"/>
      <c r="QZB143" s="4"/>
      <c r="QZC143" s="4"/>
      <c r="QZD143" s="4"/>
      <c r="QZE143" s="4"/>
      <c r="QZF143" s="4"/>
      <c r="QZG143" s="4"/>
      <c r="QZH143" s="4"/>
      <c r="QZI143" s="4"/>
      <c r="QZJ143" s="4"/>
      <c r="QZK143" s="4"/>
      <c r="QZL143" s="4"/>
      <c r="QZM143" s="4"/>
      <c r="QZN143" s="4"/>
      <c r="QZO143" s="4"/>
      <c r="QZP143" s="4"/>
      <c r="QZQ143" s="4"/>
      <c r="QZR143" s="4"/>
      <c r="QZS143" s="4"/>
      <c r="QZT143" s="4"/>
      <c r="QZU143" s="4"/>
      <c r="QZV143" s="4"/>
      <c r="QZW143" s="4"/>
      <c r="QZX143" s="4"/>
      <c r="QZY143" s="4"/>
      <c r="QZZ143" s="4"/>
      <c r="RAA143" s="4"/>
      <c r="RAB143" s="4"/>
      <c r="RAC143" s="4"/>
      <c r="RAD143" s="4"/>
      <c r="RAE143" s="4"/>
      <c r="RAF143" s="4"/>
      <c r="RAG143" s="4"/>
      <c r="RAH143" s="4"/>
      <c r="RAI143" s="4"/>
      <c r="RAJ143" s="4"/>
      <c r="RAK143" s="4"/>
      <c r="RAL143" s="4"/>
      <c r="RAM143" s="4"/>
      <c r="RAN143" s="4"/>
      <c r="RAO143" s="4"/>
      <c r="RAP143" s="4"/>
      <c r="RAQ143" s="4"/>
      <c r="RAR143" s="4"/>
      <c r="RAS143" s="4"/>
      <c r="RAT143" s="4"/>
      <c r="RAU143" s="4"/>
      <c r="RAV143" s="4"/>
      <c r="RAW143" s="4"/>
      <c r="RAX143" s="4"/>
      <c r="RAY143" s="4"/>
      <c r="RAZ143" s="4"/>
      <c r="RBA143" s="4"/>
      <c r="RBB143" s="4"/>
      <c r="RBC143" s="4"/>
      <c r="RBD143" s="4"/>
      <c r="RBE143" s="4"/>
      <c r="RBF143" s="4"/>
      <c r="RBG143" s="4"/>
      <c r="RBH143" s="4"/>
      <c r="RBI143" s="4"/>
      <c r="RBJ143" s="4"/>
      <c r="RBK143" s="4"/>
      <c r="RBL143" s="4"/>
      <c r="RBM143" s="4"/>
      <c r="RBN143" s="4"/>
      <c r="RBO143" s="4"/>
      <c r="RBP143" s="4"/>
      <c r="RBQ143" s="4"/>
      <c r="RBR143" s="4"/>
      <c r="RBS143" s="4"/>
      <c r="RBT143" s="4"/>
      <c r="RBU143" s="4"/>
      <c r="RBV143" s="4"/>
      <c r="RBW143" s="4"/>
      <c r="RBX143" s="4"/>
      <c r="RBY143" s="4"/>
      <c r="RBZ143" s="4"/>
      <c r="RCA143" s="4"/>
      <c r="RCB143" s="4"/>
      <c r="RCC143" s="4"/>
      <c r="RCD143" s="4"/>
      <c r="RCE143" s="4"/>
      <c r="RCF143" s="4"/>
      <c r="RCG143" s="4"/>
      <c r="RCH143" s="4"/>
      <c r="RCI143" s="4"/>
      <c r="RCJ143" s="4"/>
      <c r="RCK143" s="4"/>
      <c r="RCL143" s="4"/>
      <c r="RCM143" s="4"/>
      <c r="RCN143" s="4"/>
      <c r="RCO143" s="4"/>
      <c r="RCP143" s="4"/>
      <c r="RCQ143" s="4"/>
      <c r="RCR143" s="4"/>
      <c r="RCS143" s="4"/>
      <c r="RCT143" s="4"/>
      <c r="RCU143" s="4"/>
      <c r="RCV143" s="4"/>
      <c r="RCW143" s="4"/>
      <c r="RCX143" s="4"/>
      <c r="RCY143" s="4"/>
      <c r="RCZ143" s="4"/>
      <c r="RDA143" s="4"/>
      <c r="RDB143" s="4"/>
      <c r="RDC143" s="4"/>
      <c r="RDD143" s="4"/>
      <c r="RDE143" s="4"/>
      <c r="RDF143" s="4"/>
      <c r="RDG143" s="4"/>
      <c r="RDH143" s="4"/>
      <c r="RDI143" s="4"/>
      <c r="RDJ143" s="4"/>
      <c r="RDK143" s="4"/>
      <c r="RDL143" s="4"/>
      <c r="RDM143" s="4"/>
      <c r="RDN143" s="4"/>
      <c r="RDO143" s="4"/>
      <c r="RDP143" s="4"/>
      <c r="RDQ143" s="4"/>
      <c r="RDR143" s="4"/>
      <c r="RDS143" s="4"/>
      <c r="RDT143" s="4"/>
      <c r="RDU143" s="4"/>
      <c r="RDV143" s="4"/>
      <c r="RDW143" s="4"/>
      <c r="RDX143" s="4"/>
      <c r="RDY143" s="4"/>
      <c r="RDZ143" s="4"/>
      <c r="REA143" s="4"/>
      <c r="REB143" s="4"/>
      <c r="REC143" s="4"/>
      <c r="RED143" s="4"/>
      <c r="REE143" s="4"/>
      <c r="REF143" s="4"/>
      <c r="REG143" s="4"/>
      <c r="REH143" s="4"/>
      <c r="REI143" s="4"/>
      <c r="REJ143" s="4"/>
      <c r="REK143" s="4"/>
      <c r="REL143" s="4"/>
      <c r="REM143" s="4"/>
      <c r="REN143" s="4"/>
      <c r="REO143" s="4"/>
      <c r="REP143" s="4"/>
      <c r="REQ143" s="4"/>
      <c r="RER143" s="4"/>
      <c r="RES143" s="4"/>
      <c r="RET143" s="4"/>
      <c r="REU143" s="4"/>
      <c r="REV143" s="4"/>
      <c r="REW143" s="4"/>
      <c r="REX143" s="4"/>
      <c r="REY143" s="4"/>
      <c r="REZ143" s="4"/>
      <c r="RFA143" s="4"/>
      <c r="RFB143" s="4"/>
      <c r="RFC143" s="4"/>
      <c r="RFD143" s="4"/>
      <c r="RFE143" s="4"/>
      <c r="RFF143" s="4"/>
      <c r="RFG143" s="4"/>
      <c r="RFH143" s="4"/>
      <c r="RFI143" s="4"/>
      <c r="RFJ143" s="4"/>
      <c r="RFK143" s="4"/>
      <c r="RFL143" s="4"/>
      <c r="RFM143" s="4"/>
      <c r="RFN143" s="4"/>
      <c r="RFO143" s="4"/>
      <c r="RFP143" s="4"/>
      <c r="RFQ143" s="4"/>
      <c r="RFR143" s="4"/>
      <c r="RFS143" s="4"/>
      <c r="RFT143" s="4"/>
      <c r="RFU143" s="4"/>
      <c r="RFV143" s="4"/>
      <c r="RFW143" s="4"/>
      <c r="RFX143" s="4"/>
      <c r="RFY143" s="4"/>
      <c r="RFZ143" s="4"/>
      <c r="RGA143" s="4"/>
      <c r="RGB143" s="4"/>
      <c r="RGC143" s="4"/>
      <c r="RGD143" s="4"/>
      <c r="RGE143" s="4"/>
      <c r="RGF143" s="4"/>
      <c r="RGG143" s="4"/>
      <c r="RGH143" s="4"/>
      <c r="RGI143" s="4"/>
      <c r="RGJ143" s="4"/>
      <c r="RGK143" s="4"/>
      <c r="RGL143" s="4"/>
      <c r="RGM143" s="4"/>
      <c r="RGN143" s="4"/>
      <c r="RGO143" s="4"/>
      <c r="RGP143" s="4"/>
      <c r="RGQ143" s="4"/>
      <c r="RGR143" s="4"/>
      <c r="RGS143" s="4"/>
      <c r="RGT143" s="4"/>
      <c r="RGU143" s="4"/>
      <c r="RGV143" s="4"/>
      <c r="RGW143" s="4"/>
      <c r="RGX143" s="4"/>
      <c r="RGY143" s="4"/>
      <c r="RGZ143" s="4"/>
      <c r="RHA143" s="4"/>
      <c r="RHB143" s="4"/>
      <c r="RHC143" s="4"/>
      <c r="RHD143" s="4"/>
      <c r="RHE143" s="4"/>
      <c r="RHF143" s="4"/>
      <c r="RHG143" s="4"/>
      <c r="RHH143" s="4"/>
      <c r="RHI143" s="4"/>
      <c r="RHJ143" s="4"/>
      <c r="RHK143" s="4"/>
      <c r="RHL143" s="4"/>
      <c r="RHM143" s="4"/>
      <c r="RHN143" s="4"/>
      <c r="RHO143" s="4"/>
      <c r="RHP143" s="4"/>
      <c r="RHQ143" s="4"/>
      <c r="RHR143" s="4"/>
      <c r="RHS143" s="4"/>
      <c r="RHT143" s="4"/>
      <c r="RHU143" s="4"/>
      <c r="RHV143" s="4"/>
      <c r="RHW143" s="4"/>
      <c r="RHX143" s="4"/>
      <c r="RHY143" s="4"/>
      <c r="RHZ143" s="4"/>
      <c r="RIA143" s="4"/>
      <c r="RIB143" s="4"/>
      <c r="RIC143" s="4"/>
      <c r="RID143" s="4"/>
      <c r="RIE143" s="4"/>
      <c r="RIF143" s="4"/>
      <c r="RIG143" s="4"/>
      <c r="RIH143" s="4"/>
      <c r="RII143" s="4"/>
      <c r="RIJ143" s="4"/>
      <c r="RIK143" s="4"/>
      <c r="RIL143" s="4"/>
      <c r="RIM143" s="4"/>
      <c r="RIN143" s="4"/>
      <c r="RIO143" s="4"/>
      <c r="RIP143" s="4"/>
      <c r="RIQ143" s="4"/>
      <c r="RIR143" s="4"/>
      <c r="RIS143" s="4"/>
      <c r="RIT143" s="4"/>
      <c r="RIU143" s="4"/>
      <c r="RIV143" s="4"/>
      <c r="RIW143" s="4"/>
      <c r="RIX143" s="4"/>
      <c r="RIY143" s="4"/>
      <c r="RIZ143" s="4"/>
      <c r="RJA143" s="4"/>
      <c r="RJB143" s="4"/>
      <c r="RJC143" s="4"/>
      <c r="RJD143" s="4"/>
      <c r="RJE143" s="4"/>
      <c r="RJF143" s="4"/>
      <c r="RJG143" s="4"/>
      <c r="RJH143" s="4"/>
      <c r="RJI143" s="4"/>
      <c r="RJJ143" s="4"/>
      <c r="RJK143" s="4"/>
      <c r="RJL143" s="4"/>
      <c r="RJM143" s="4"/>
      <c r="RJN143" s="4"/>
      <c r="RJO143" s="4"/>
      <c r="RJP143" s="4"/>
      <c r="RJQ143" s="4"/>
      <c r="RJR143" s="4"/>
      <c r="RJS143" s="4"/>
      <c r="RJT143" s="4"/>
      <c r="RJU143" s="4"/>
      <c r="RJV143" s="4"/>
      <c r="RJW143" s="4"/>
      <c r="RJX143" s="4"/>
      <c r="RJY143" s="4"/>
      <c r="RJZ143" s="4"/>
      <c r="RKA143" s="4"/>
      <c r="RKB143" s="4"/>
      <c r="RKC143" s="4"/>
      <c r="RKD143" s="4"/>
      <c r="RKE143" s="4"/>
      <c r="RKF143" s="4"/>
      <c r="RKG143" s="4"/>
      <c r="RKH143" s="4"/>
      <c r="RKI143" s="4"/>
      <c r="RKJ143" s="4"/>
      <c r="RKK143" s="4"/>
      <c r="RKL143" s="4"/>
      <c r="RKM143" s="4"/>
      <c r="RKN143" s="4"/>
      <c r="RKO143" s="4"/>
      <c r="RKP143" s="4"/>
      <c r="RKQ143" s="4"/>
      <c r="RKR143" s="4"/>
      <c r="RKS143" s="4"/>
      <c r="RKT143" s="4"/>
      <c r="RKU143" s="4"/>
      <c r="RKV143" s="4"/>
      <c r="RKW143" s="4"/>
      <c r="RKX143" s="4"/>
      <c r="RKY143" s="4"/>
      <c r="RKZ143" s="4"/>
      <c r="RLA143" s="4"/>
      <c r="RLB143" s="4"/>
      <c r="RLC143" s="4"/>
      <c r="RLD143" s="4"/>
      <c r="RLE143" s="4"/>
      <c r="RLF143" s="4"/>
      <c r="RLG143" s="4"/>
      <c r="RLH143" s="4"/>
      <c r="RLI143" s="4"/>
      <c r="RLJ143" s="4"/>
      <c r="RLK143" s="4"/>
      <c r="RLL143" s="4"/>
      <c r="RLM143" s="4"/>
      <c r="RLN143" s="4"/>
      <c r="RLO143" s="4"/>
      <c r="RLP143" s="4"/>
      <c r="RLQ143" s="4"/>
      <c r="RLR143" s="4"/>
      <c r="RLS143" s="4"/>
      <c r="RLT143" s="4"/>
      <c r="RLU143" s="4"/>
      <c r="RLV143" s="4"/>
      <c r="RLW143" s="4"/>
      <c r="RLX143" s="4"/>
      <c r="RLY143" s="4"/>
      <c r="RLZ143" s="4"/>
      <c r="RMA143" s="4"/>
      <c r="RMB143" s="4"/>
      <c r="RMC143" s="4"/>
      <c r="RMD143" s="4"/>
      <c r="RME143" s="4"/>
      <c r="RMF143" s="4"/>
      <c r="RMG143" s="4"/>
      <c r="RMH143" s="4"/>
      <c r="RMI143" s="4"/>
      <c r="RMJ143" s="4"/>
      <c r="RMK143" s="4"/>
      <c r="RML143" s="4"/>
      <c r="RMM143" s="4"/>
      <c r="RMN143" s="4"/>
      <c r="RMO143" s="4"/>
      <c r="RMP143" s="4"/>
      <c r="RMQ143" s="4"/>
      <c r="RMR143" s="4"/>
      <c r="RMS143" s="4"/>
      <c r="RMT143" s="4"/>
      <c r="RMU143" s="4"/>
      <c r="RMV143" s="4"/>
      <c r="RMW143" s="4"/>
      <c r="RMX143" s="4"/>
      <c r="RMY143" s="4"/>
      <c r="RMZ143" s="4"/>
      <c r="RNA143" s="4"/>
      <c r="RNB143" s="4"/>
      <c r="RNC143" s="4"/>
      <c r="RND143" s="4"/>
      <c r="RNE143" s="4"/>
      <c r="RNF143" s="4"/>
      <c r="RNG143" s="4"/>
      <c r="RNH143" s="4"/>
      <c r="RNI143" s="4"/>
      <c r="RNJ143" s="4"/>
      <c r="RNK143" s="4"/>
      <c r="RNL143" s="4"/>
      <c r="RNM143" s="4"/>
      <c r="RNN143" s="4"/>
      <c r="RNO143" s="4"/>
      <c r="RNP143" s="4"/>
      <c r="RNQ143" s="4"/>
      <c r="RNR143" s="4"/>
      <c r="RNS143" s="4"/>
      <c r="RNT143" s="4"/>
      <c r="RNU143" s="4"/>
      <c r="RNV143" s="4"/>
      <c r="RNW143" s="4"/>
      <c r="RNX143" s="4"/>
      <c r="RNY143" s="4"/>
      <c r="RNZ143" s="4"/>
      <c r="ROA143" s="4"/>
      <c r="ROB143" s="4"/>
      <c r="ROC143" s="4"/>
      <c r="ROD143" s="4"/>
      <c r="ROE143" s="4"/>
      <c r="ROF143" s="4"/>
      <c r="ROG143" s="4"/>
      <c r="ROH143" s="4"/>
      <c r="ROI143" s="4"/>
      <c r="ROJ143" s="4"/>
      <c r="ROK143" s="4"/>
      <c r="ROL143" s="4"/>
      <c r="ROM143" s="4"/>
      <c r="RON143" s="4"/>
      <c r="ROO143" s="4"/>
      <c r="ROP143" s="4"/>
      <c r="ROQ143" s="4"/>
      <c r="ROR143" s="4"/>
      <c r="ROS143" s="4"/>
      <c r="ROT143" s="4"/>
      <c r="ROU143" s="4"/>
      <c r="ROV143" s="4"/>
      <c r="ROW143" s="4"/>
      <c r="ROX143" s="4"/>
      <c r="ROY143" s="4"/>
      <c r="ROZ143" s="4"/>
      <c r="RPA143" s="4"/>
      <c r="RPB143" s="4"/>
      <c r="RPC143" s="4"/>
      <c r="RPD143" s="4"/>
      <c r="RPE143" s="4"/>
      <c r="RPF143" s="4"/>
      <c r="RPG143" s="4"/>
      <c r="RPH143" s="4"/>
      <c r="RPI143" s="4"/>
      <c r="RPJ143" s="4"/>
      <c r="RPK143" s="4"/>
      <c r="RPL143" s="4"/>
      <c r="RPM143" s="4"/>
      <c r="RPN143" s="4"/>
      <c r="RPO143" s="4"/>
      <c r="RPP143" s="4"/>
      <c r="RPQ143" s="4"/>
      <c r="RPR143" s="4"/>
      <c r="RPS143" s="4"/>
      <c r="RPT143" s="4"/>
      <c r="RPU143" s="4"/>
      <c r="RPV143" s="4"/>
      <c r="RPW143" s="4"/>
      <c r="RPX143" s="4"/>
      <c r="RPY143" s="4"/>
      <c r="RPZ143" s="4"/>
      <c r="RQA143" s="4"/>
      <c r="RQB143" s="4"/>
      <c r="RQC143" s="4"/>
      <c r="RQD143" s="4"/>
      <c r="RQE143" s="4"/>
      <c r="RQF143" s="4"/>
      <c r="RQG143" s="4"/>
      <c r="RQH143" s="4"/>
      <c r="RQI143" s="4"/>
      <c r="RQJ143" s="4"/>
      <c r="RQK143" s="4"/>
      <c r="RQL143" s="4"/>
      <c r="RQM143" s="4"/>
      <c r="RQN143" s="4"/>
      <c r="RQO143" s="4"/>
      <c r="RQP143" s="4"/>
      <c r="RQQ143" s="4"/>
      <c r="RQR143" s="4"/>
      <c r="RQS143" s="4"/>
      <c r="RQT143" s="4"/>
      <c r="RQU143" s="4"/>
      <c r="RQV143" s="4"/>
      <c r="RQW143" s="4"/>
      <c r="RQX143" s="4"/>
      <c r="RQY143" s="4"/>
      <c r="RQZ143" s="4"/>
      <c r="RRA143" s="4"/>
      <c r="RRB143" s="4"/>
      <c r="RRC143" s="4"/>
      <c r="RRD143" s="4"/>
      <c r="RRE143" s="4"/>
      <c r="RRF143" s="4"/>
      <c r="RRG143" s="4"/>
      <c r="RRH143" s="4"/>
      <c r="RRI143" s="4"/>
      <c r="RRJ143" s="4"/>
      <c r="RRK143" s="4"/>
      <c r="RRL143" s="4"/>
      <c r="RRM143" s="4"/>
      <c r="RRN143" s="4"/>
      <c r="RRO143" s="4"/>
      <c r="RRP143" s="4"/>
      <c r="RRQ143" s="4"/>
      <c r="RRR143" s="4"/>
      <c r="RRS143" s="4"/>
      <c r="RRT143" s="4"/>
      <c r="RRU143" s="4"/>
      <c r="RRV143" s="4"/>
      <c r="RRW143" s="4"/>
      <c r="RRX143" s="4"/>
      <c r="RRY143" s="4"/>
      <c r="RRZ143" s="4"/>
      <c r="RSA143" s="4"/>
      <c r="RSB143" s="4"/>
      <c r="RSC143" s="4"/>
      <c r="RSD143" s="4"/>
      <c r="RSE143" s="4"/>
      <c r="RSF143" s="4"/>
      <c r="RSG143" s="4"/>
      <c r="RSH143" s="4"/>
      <c r="RSI143" s="4"/>
      <c r="RSJ143" s="4"/>
      <c r="RSK143" s="4"/>
      <c r="RSL143" s="4"/>
      <c r="RSM143" s="4"/>
      <c r="RSN143" s="4"/>
      <c r="RSO143" s="4"/>
      <c r="RSP143" s="4"/>
      <c r="RSQ143" s="4"/>
      <c r="RSR143" s="4"/>
      <c r="RSS143" s="4"/>
      <c r="RST143" s="4"/>
      <c r="RSU143" s="4"/>
      <c r="RSV143" s="4"/>
      <c r="RSW143" s="4"/>
      <c r="RSX143" s="4"/>
      <c r="RSY143" s="4"/>
      <c r="RSZ143" s="4"/>
      <c r="RTA143" s="4"/>
      <c r="RTB143" s="4"/>
      <c r="RTC143" s="4"/>
      <c r="RTD143" s="4"/>
      <c r="RTE143" s="4"/>
      <c r="RTF143" s="4"/>
      <c r="RTG143" s="4"/>
      <c r="RTH143" s="4"/>
      <c r="RTI143" s="4"/>
      <c r="RTJ143" s="4"/>
      <c r="RTK143" s="4"/>
      <c r="RTL143" s="4"/>
      <c r="RTM143" s="4"/>
      <c r="RTN143" s="4"/>
      <c r="RTO143" s="4"/>
      <c r="RTP143" s="4"/>
      <c r="RTQ143" s="4"/>
      <c r="RTR143" s="4"/>
      <c r="RTS143" s="4"/>
      <c r="RTT143" s="4"/>
      <c r="RTU143" s="4"/>
      <c r="RTV143" s="4"/>
      <c r="RTW143" s="4"/>
      <c r="RTX143" s="4"/>
      <c r="RTY143" s="4"/>
      <c r="RTZ143" s="4"/>
      <c r="RUA143" s="4"/>
      <c r="RUB143" s="4"/>
      <c r="RUC143" s="4"/>
      <c r="RUD143" s="4"/>
      <c r="RUE143" s="4"/>
      <c r="RUF143" s="4"/>
      <c r="RUG143" s="4"/>
      <c r="RUH143" s="4"/>
      <c r="RUI143" s="4"/>
      <c r="RUJ143" s="4"/>
      <c r="RUK143" s="4"/>
      <c r="RUL143" s="4"/>
      <c r="RUM143" s="4"/>
      <c r="RUN143" s="4"/>
      <c r="RUO143" s="4"/>
      <c r="RUP143" s="4"/>
      <c r="RUQ143" s="4"/>
      <c r="RUR143" s="4"/>
      <c r="RUS143" s="4"/>
      <c r="RUT143" s="4"/>
      <c r="RUU143" s="4"/>
      <c r="RUV143" s="4"/>
      <c r="RUW143" s="4"/>
      <c r="RUX143" s="4"/>
      <c r="RUY143" s="4"/>
      <c r="RUZ143" s="4"/>
      <c r="RVA143" s="4"/>
      <c r="RVB143" s="4"/>
      <c r="RVC143" s="4"/>
      <c r="RVD143" s="4"/>
      <c r="RVE143" s="4"/>
      <c r="RVF143" s="4"/>
      <c r="RVG143" s="4"/>
      <c r="RVH143" s="4"/>
      <c r="RVI143" s="4"/>
      <c r="RVJ143" s="4"/>
      <c r="RVK143" s="4"/>
      <c r="RVL143" s="4"/>
      <c r="RVM143" s="4"/>
      <c r="RVN143" s="4"/>
      <c r="RVO143" s="4"/>
      <c r="RVP143" s="4"/>
      <c r="RVQ143" s="4"/>
      <c r="RVR143" s="4"/>
      <c r="RVS143" s="4"/>
      <c r="RVT143" s="4"/>
      <c r="RVU143" s="4"/>
      <c r="RVV143" s="4"/>
      <c r="RVW143" s="4"/>
      <c r="RVX143" s="4"/>
      <c r="RVY143" s="4"/>
      <c r="RVZ143" s="4"/>
      <c r="RWA143" s="4"/>
      <c r="RWB143" s="4"/>
      <c r="RWC143" s="4"/>
      <c r="RWD143" s="4"/>
      <c r="RWE143" s="4"/>
      <c r="RWF143" s="4"/>
      <c r="RWG143" s="4"/>
      <c r="RWH143" s="4"/>
      <c r="RWI143" s="4"/>
      <c r="RWJ143" s="4"/>
      <c r="RWK143" s="4"/>
      <c r="RWL143" s="4"/>
      <c r="RWM143" s="4"/>
      <c r="RWN143" s="4"/>
      <c r="RWO143" s="4"/>
      <c r="RWP143" s="4"/>
      <c r="RWQ143" s="4"/>
      <c r="RWR143" s="4"/>
      <c r="RWS143" s="4"/>
      <c r="RWT143" s="4"/>
      <c r="RWU143" s="4"/>
      <c r="RWV143" s="4"/>
      <c r="RWW143" s="4"/>
      <c r="RWX143" s="4"/>
      <c r="RWY143" s="4"/>
      <c r="RWZ143" s="4"/>
      <c r="RXA143" s="4"/>
      <c r="RXB143" s="4"/>
      <c r="RXC143" s="4"/>
      <c r="RXD143" s="4"/>
      <c r="RXE143" s="4"/>
      <c r="RXF143" s="4"/>
      <c r="RXG143" s="4"/>
      <c r="RXH143" s="4"/>
      <c r="RXI143" s="4"/>
      <c r="RXJ143" s="4"/>
      <c r="RXK143" s="4"/>
      <c r="RXL143" s="4"/>
      <c r="RXM143" s="4"/>
      <c r="RXN143" s="4"/>
      <c r="RXO143" s="4"/>
      <c r="RXP143" s="4"/>
      <c r="RXQ143" s="4"/>
      <c r="RXR143" s="4"/>
      <c r="RXS143" s="4"/>
      <c r="RXT143" s="4"/>
      <c r="RXU143" s="4"/>
      <c r="RXV143" s="4"/>
      <c r="RXW143" s="4"/>
      <c r="RXX143" s="4"/>
      <c r="RXY143" s="4"/>
      <c r="RXZ143" s="4"/>
      <c r="RYA143" s="4"/>
      <c r="RYB143" s="4"/>
      <c r="RYC143" s="4"/>
      <c r="RYD143" s="4"/>
      <c r="RYE143" s="4"/>
      <c r="RYF143" s="4"/>
      <c r="RYG143" s="4"/>
      <c r="RYH143" s="4"/>
      <c r="RYI143" s="4"/>
      <c r="RYJ143" s="4"/>
      <c r="RYK143" s="4"/>
      <c r="RYL143" s="4"/>
      <c r="RYM143" s="4"/>
      <c r="RYN143" s="4"/>
      <c r="RYO143" s="4"/>
      <c r="RYP143" s="4"/>
      <c r="RYQ143" s="4"/>
      <c r="RYR143" s="4"/>
      <c r="RYS143" s="4"/>
      <c r="RYT143" s="4"/>
      <c r="RYU143" s="4"/>
      <c r="RYV143" s="4"/>
      <c r="RYW143" s="4"/>
      <c r="RYX143" s="4"/>
      <c r="RYY143" s="4"/>
      <c r="RYZ143" s="4"/>
      <c r="RZA143" s="4"/>
      <c r="RZB143" s="4"/>
      <c r="RZC143" s="4"/>
      <c r="RZD143" s="4"/>
      <c r="RZE143" s="4"/>
      <c r="RZF143" s="4"/>
      <c r="RZG143" s="4"/>
      <c r="RZH143" s="4"/>
      <c r="RZI143" s="4"/>
      <c r="RZJ143" s="4"/>
      <c r="RZK143" s="4"/>
      <c r="RZL143" s="4"/>
      <c r="RZM143" s="4"/>
      <c r="RZN143" s="4"/>
      <c r="RZO143" s="4"/>
      <c r="RZP143" s="4"/>
      <c r="RZQ143" s="4"/>
      <c r="RZR143" s="4"/>
      <c r="RZS143" s="4"/>
      <c r="RZT143" s="4"/>
      <c r="RZU143" s="4"/>
      <c r="RZV143" s="4"/>
      <c r="RZW143" s="4"/>
      <c r="RZX143" s="4"/>
      <c r="RZY143" s="4"/>
      <c r="RZZ143" s="4"/>
      <c r="SAA143" s="4"/>
      <c r="SAB143" s="4"/>
      <c r="SAC143" s="4"/>
      <c r="SAD143" s="4"/>
      <c r="SAE143" s="4"/>
      <c r="SAF143" s="4"/>
      <c r="SAG143" s="4"/>
      <c r="SAH143" s="4"/>
      <c r="SAI143" s="4"/>
      <c r="SAJ143" s="4"/>
      <c r="SAK143" s="4"/>
      <c r="SAL143" s="4"/>
      <c r="SAM143" s="4"/>
      <c r="SAN143" s="4"/>
      <c r="SAO143" s="4"/>
      <c r="SAP143" s="4"/>
      <c r="SAQ143" s="4"/>
      <c r="SAR143" s="4"/>
      <c r="SAS143" s="4"/>
      <c r="SAT143" s="4"/>
      <c r="SAU143" s="4"/>
      <c r="SAV143" s="4"/>
      <c r="SAW143" s="4"/>
      <c r="SAX143" s="4"/>
      <c r="SAY143" s="4"/>
      <c r="SAZ143" s="4"/>
      <c r="SBA143" s="4"/>
      <c r="SBB143" s="4"/>
      <c r="SBC143" s="4"/>
      <c r="SBD143" s="4"/>
      <c r="SBE143" s="4"/>
      <c r="SBF143" s="4"/>
      <c r="SBG143" s="4"/>
      <c r="SBH143" s="4"/>
      <c r="SBI143" s="4"/>
      <c r="SBJ143" s="4"/>
      <c r="SBK143" s="4"/>
      <c r="SBL143" s="4"/>
      <c r="SBM143" s="4"/>
      <c r="SBN143" s="4"/>
      <c r="SBO143" s="4"/>
      <c r="SBP143" s="4"/>
      <c r="SBQ143" s="4"/>
      <c r="SBR143" s="4"/>
      <c r="SBS143" s="4"/>
      <c r="SBT143" s="4"/>
      <c r="SBU143" s="4"/>
      <c r="SBV143" s="4"/>
      <c r="SBW143" s="4"/>
      <c r="SBX143" s="4"/>
      <c r="SBY143" s="4"/>
      <c r="SBZ143" s="4"/>
      <c r="SCA143" s="4"/>
      <c r="SCB143" s="4"/>
      <c r="SCC143" s="4"/>
      <c r="SCD143" s="4"/>
      <c r="SCE143" s="4"/>
      <c r="SCF143" s="4"/>
      <c r="SCG143" s="4"/>
      <c r="SCH143" s="4"/>
      <c r="SCI143" s="4"/>
      <c r="SCJ143" s="4"/>
      <c r="SCK143" s="4"/>
      <c r="SCL143" s="4"/>
      <c r="SCM143" s="4"/>
      <c r="SCN143" s="4"/>
      <c r="SCO143" s="4"/>
      <c r="SCP143" s="4"/>
      <c r="SCQ143" s="4"/>
      <c r="SCR143" s="4"/>
      <c r="SCS143" s="4"/>
      <c r="SCT143" s="4"/>
      <c r="SCU143" s="4"/>
      <c r="SCV143" s="4"/>
      <c r="SCW143" s="4"/>
      <c r="SCX143" s="4"/>
      <c r="SCY143" s="4"/>
      <c r="SCZ143" s="4"/>
      <c r="SDA143" s="4"/>
      <c r="SDB143" s="4"/>
      <c r="SDC143" s="4"/>
      <c r="SDD143" s="4"/>
      <c r="SDE143" s="4"/>
      <c r="SDF143" s="4"/>
      <c r="SDG143" s="4"/>
      <c r="SDH143" s="4"/>
      <c r="SDI143" s="4"/>
      <c r="SDJ143" s="4"/>
      <c r="SDK143" s="4"/>
      <c r="SDL143" s="4"/>
      <c r="SDM143" s="4"/>
      <c r="SDN143" s="4"/>
      <c r="SDO143" s="4"/>
      <c r="SDP143" s="4"/>
      <c r="SDQ143" s="4"/>
      <c r="SDR143" s="4"/>
      <c r="SDS143" s="4"/>
      <c r="SDT143" s="4"/>
      <c r="SDU143" s="4"/>
      <c r="SDV143" s="4"/>
      <c r="SDW143" s="4"/>
      <c r="SDX143" s="4"/>
      <c r="SDY143" s="4"/>
      <c r="SDZ143" s="4"/>
      <c r="SEA143" s="4"/>
      <c r="SEB143" s="4"/>
      <c r="SEC143" s="4"/>
      <c r="SED143" s="4"/>
      <c r="SEE143" s="4"/>
      <c r="SEF143" s="4"/>
      <c r="SEG143" s="4"/>
      <c r="SEH143" s="4"/>
      <c r="SEI143" s="4"/>
      <c r="SEJ143" s="4"/>
      <c r="SEK143" s="4"/>
      <c r="SEL143" s="4"/>
      <c r="SEM143" s="4"/>
      <c r="SEN143" s="4"/>
      <c r="SEO143" s="4"/>
      <c r="SEP143" s="4"/>
      <c r="SEQ143" s="4"/>
      <c r="SER143" s="4"/>
      <c r="SES143" s="4"/>
      <c r="SET143" s="4"/>
      <c r="SEU143" s="4"/>
      <c r="SEV143" s="4"/>
      <c r="SEW143" s="4"/>
      <c r="SEX143" s="4"/>
      <c r="SEY143" s="4"/>
      <c r="SEZ143" s="4"/>
      <c r="SFA143" s="4"/>
      <c r="SFB143" s="4"/>
      <c r="SFC143" s="4"/>
      <c r="SFD143" s="4"/>
      <c r="SFE143" s="4"/>
      <c r="SFF143" s="4"/>
      <c r="SFG143" s="4"/>
      <c r="SFH143" s="4"/>
      <c r="SFI143" s="4"/>
      <c r="SFJ143" s="4"/>
      <c r="SFK143" s="4"/>
      <c r="SFL143" s="4"/>
      <c r="SFM143" s="4"/>
      <c r="SFN143" s="4"/>
      <c r="SFO143" s="4"/>
      <c r="SFP143" s="4"/>
      <c r="SFQ143" s="4"/>
      <c r="SFR143" s="4"/>
      <c r="SFS143" s="4"/>
      <c r="SFT143" s="4"/>
      <c r="SFU143" s="4"/>
      <c r="SFV143" s="4"/>
      <c r="SFW143" s="4"/>
      <c r="SFX143" s="4"/>
      <c r="SFY143" s="4"/>
      <c r="SFZ143" s="4"/>
      <c r="SGA143" s="4"/>
      <c r="SGB143" s="4"/>
      <c r="SGC143" s="4"/>
      <c r="SGD143" s="4"/>
      <c r="SGE143" s="4"/>
      <c r="SGF143" s="4"/>
      <c r="SGG143" s="4"/>
      <c r="SGH143" s="4"/>
      <c r="SGI143" s="4"/>
      <c r="SGJ143" s="4"/>
      <c r="SGK143" s="4"/>
      <c r="SGL143" s="4"/>
      <c r="SGM143" s="4"/>
      <c r="SGN143" s="4"/>
      <c r="SGO143" s="4"/>
      <c r="SGP143" s="4"/>
      <c r="SGQ143" s="4"/>
      <c r="SGR143" s="4"/>
      <c r="SGS143" s="4"/>
      <c r="SGT143" s="4"/>
      <c r="SGU143" s="4"/>
      <c r="SGV143" s="4"/>
      <c r="SGW143" s="4"/>
      <c r="SGX143" s="4"/>
      <c r="SGY143" s="4"/>
      <c r="SGZ143" s="4"/>
      <c r="SHA143" s="4"/>
      <c r="SHB143" s="4"/>
      <c r="SHC143" s="4"/>
      <c r="SHD143" s="4"/>
      <c r="SHE143" s="4"/>
      <c r="SHF143" s="4"/>
      <c r="SHG143" s="4"/>
      <c r="SHH143" s="4"/>
      <c r="SHI143" s="4"/>
      <c r="SHJ143" s="4"/>
      <c r="SHK143" s="4"/>
      <c r="SHL143" s="4"/>
      <c r="SHM143" s="4"/>
      <c r="SHN143" s="4"/>
      <c r="SHO143" s="4"/>
      <c r="SHP143" s="4"/>
      <c r="SHQ143" s="4"/>
      <c r="SHR143" s="4"/>
      <c r="SHS143" s="4"/>
      <c r="SHT143" s="4"/>
      <c r="SHU143" s="4"/>
      <c r="SHV143" s="4"/>
      <c r="SHW143" s="4"/>
      <c r="SHX143" s="4"/>
      <c r="SHY143" s="4"/>
      <c r="SHZ143" s="4"/>
      <c r="SIA143" s="4"/>
      <c r="SIB143" s="4"/>
      <c r="SIC143" s="4"/>
      <c r="SID143" s="4"/>
      <c r="SIE143" s="4"/>
      <c r="SIF143" s="4"/>
      <c r="SIG143" s="4"/>
      <c r="SIH143" s="4"/>
      <c r="SII143" s="4"/>
      <c r="SIJ143" s="4"/>
      <c r="SIK143" s="4"/>
      <c r="SIL143" s="4"/>
      <c r="SIM143" s="4"/>
      <c r="SIN143" s="4"/>
      <c r="SIO143" s="4"/>
      <c r="SIP143" s="4"/>
      <c r="SIQ143" s="4"/>
      <c r="SIR143" s="4"/>
      <c r="SIS143" s="4"/>
      <c r="SIT143" s="4"/>
      <c r="SIU143" s="4"/>
      <c r="SIV143" s="4"/>
      <c r="SIW143" s="4"/>
      <c r="SIX143" s="4"/>
      <c r="SIY143" s="4"/>
      <c r="SIZ143" s="4"/>
      <c r="SJA143" s="4"/>
      <c r="SJB143" s="4"/>
      <c r="SJC143" s="4"/>
      <c r="SJD143" s="4"/>
      <c r="SJE143" s="4"/>
      <c r="SJF143" s="4"/>
      <c r="SJG143" s="4"/>
      <c r="SJH143" s="4"/>
      <c r="SJI143" s="4"/>
      <c r="SJJ143" s="4"/>
      <c r="SJK143" s="4"/>
      <c r="SJL143" s="4"/>
      <c r="SJM143" s="4"/>
      <c r="SJN143" s="4"/>
      <c r="SJO143" s="4"/>
      <c r="SJP143" s="4"/>
      <c r="SJQ143" s="4"/>
      <c r="SJR143" s="4"/>
      <c r="SJS143" s="4"/>
      <c r="SJT143" s="4"/>
      <c r="SJU143" s="4"/>
      <c r="SJV143" s="4"/>
      <c r="SJW143" s="4"/>
      <c r="SJX143" s="4"/>
      <c r="SJY143" s="4"/>
      <c r="SJZ143" s="4"/>
      <c r="SKA143" s="4"/>
      <c r="SKB143" s="4"/>
      <c r="SKC143" s="4"/>
      <c r="SKD143" s="4"/>
      <c r="SKE143" s="4"/>
      <c r="SKF143" s="4"/>
      <c r="SKG143" s="4"/>
      <c r="SKH143" s="4"/>
      <c r="SKI143" s="4"/>
      <c r="SKJ143" s="4"/>
      <c r="SKK143" s="4"/>
      <c r="SKL143" s="4"/>
      <c r="SKM143" s="4"/>
      <c r="SKN143" s="4"/>
      <c r="SKO143" s="4"/>
      <c r="SKP143" s="4"/>
      <c r="SKQ143" s="4"/>
      <c r="SKR143" s="4"/>
      <c r="SKS143" s="4"/>
      <c r="SKT143" s="4"/>
      <c r="SKU143" s="4"/>
      <c r="SKV143" s="4"/>
      <c r="SKW143" s="4"/>
      <c r="SKX143" s="4"/>
      <c r="SKY143" s="4"/>
      <c r="SKZ143" s="4"/>
      <c r="SLA143" s="4"/>
      <c r="SLB143" s="4"/>
      <c r="SLC143" s="4"/>
      <c r="SLD143" s="4"/>
      <c r="SLE143" s="4"/>
      <c r="SLF143" s="4"/>
      <c r="SLG143" s="4"/>
      <c r="SLH143" s="4"/>
      <c r="SLI143" s="4"/>
      <c r="SLJ143" s="4"/>
      <c r="SLK143" s="4"/>
      <c r="SLL143" s="4"/>
      <c r="SLM143" s="4"/>
      <c r="SLN143" s="4"/>
      <c r="SLO143" s="4"/>
      <c r="SLP143" s="4"/>
      <c r="SLQ143" s="4"/>
      <c r="SLR143" s="4"/>
      <c r="SLS143" s="4"/>
      <c r="SLT143" s="4"/>
      <c r="SLU143" s="4"/>
      <c r="SLV143" s="4"/>
      <c r="SLW143" s="4"/>
      <c r="SLX143" s="4"/>
      <c r="SLY143" s="4"/>
      <c r="SLZ143" s="4"/>
      <c r="SMA143" s="4"/>
      <c r="SMB143" s="4"/>
      <c r="SMC143" s="4"/>
      <c r="SMD143" s="4"/>
      <c r="SME143" s="4"/>
      <c r="SMF143" s="4"/>
      <c r="SMG143" s="4"/>
      <c r="SMH143" s="4"/>
      <c r="SMI143" s="4"/>
      <c r="SMJ143" s="4"/>
      <c r="SMK143" s="4"/>
      <c r="SML143" s="4"/>
      <c r="SMM143" s="4"/>
      <c r="SMN143" s="4"/>
      <c r="SMO143" s="4"/>
      <c r="SMP143" s="4"/>
      <c r="SMQ143" s="4"/>
      <c r="SMR143" s="4"/>
      <c r="SMS143" s="4"/>
      <c r="SMT143" s="4"/>
      <c r="SMU143" s="4"/>
      <c r="SMV143" s="4"/>
      <c r="SMW143" s="4"/>
      <c r="SMX143" s="4"/>
      <c r="SMY143" s="4"/>
      <c r="SMZ143" s="4"/>
      <c r="SNA143" s="4"/>
      <c r="SNB143" s="4"/>
      <c r="SNC143" s="4"/>
      <c r="SND143" s="4"/>
      <c r="SNE143" s="4"/>
      <c r="SNF143" s="4"/>
      <c r="SNG143" s="4"/>
      <c r="SNH143" s="4"/>
      <c r="SNI143" s="4"/>
      <c r="SNJ143" s="4"/>
      <c r="SNK143" s="4"/>
      <c r="SNL143" s="4"/>
      <c r="SNM143" s="4"/>
      <c r="SNN143" s="4"/>
      <c r="SNO143" s="4"/>
      <c r="SNP143" s="4"/>
      <c r="SNQ143" s="4"/>
      <c r="SNR143" s="4"/>
      <c r="SNS143" s="4"/>
      <c r="SNT143" s="4"/>
      <c r="SNU143" s="4"/>
      <c r="SNV143" s="4"/>
      <c r="SNW143" s="4"/>
      <c r="SNX143" s="4"/>
      <c r="SNY143" s="4"/>
      <c r="SNZ143" s="4"/>
      <c r="SOA143" s="4"/>
      <c r="SOB143" s="4"/>
      <c r="SOC143" s="4"/>
      <c r="SOD143" s="4"/>
      <c r="SOE143" s="4"/>
      <c r="SOF143" s="4"/>
      <c r="SOG143" s="4"/>
      <c r="SOH143" s="4"/>
      <c r="SOI143" s="4"/>
      <c r="SOJ143" s="4"/>
      <c r="SOK143" s="4"/>
      <c r="SOL143" s="4"/>
      <c r="SOM143" s="4"/>
      <c r="SON143" s="4"/>
      <c r="SOO143" s="4"/>
      <c r="SOP143" s="4"/>
      <c r="SOQ143" s="4"/>
      <c r="SOR143" s="4"/>
      <c r="SOS143" s="4"/>
      <c r="SOT143" s="4"/>
      <c r="SOU143" s="4"/>
      <c r="SOV143" s="4"/>
      <c r="SOW143" s="4"/>
      <c r="SOX143" s="4"/>
      <c r="SOY143" s="4"/>
      <c r="SOZ143" s="4"/>
      <c r="SPA143" s="4"/>
      <c r="SPB143" s="4"/>
      <c r="SPC143" s="4"/>
      <c r="SPD143" s="4"/>
      <c r="SPE143" s="4"/>
      <c r="SPF143" s="4"/>
      <c r="SPG143" s="4"/>
      <c r="SPH143" s="4"/>
      <c r="SPI143" s="4"/>
      <c r="SPJ143" s="4"/>
      <c r="SPK143" s="4"/>
      <c r="SPL143" s="4"/>
      <c r="SPM143" s="4"/>
      <c r="SPN143" s="4"/>
      <c r="SPO143" s="4"/>
      <c r="SPP143" s="4"/>
      <c r="SPQ143" s="4"/>
      <c r="SPR143" s="4"/>
      <c r="SPS143" s="4"/>
      <c r="SPT143" s="4"/>
      <c r="SPU143" s="4"/>
      <c r="SPV143" s="4"/>
      <c r="SPW143" s="4"/>
      <c r="SPX143" s="4"/>
      <c r="SPY143" s="4"/>
      <c r="SPZ143" s="4"/>
      <c r="SQA143" s="4"/>
      <c r="SQB143" s="4"/>
      <c r="SQC143" s="4"/>
      <c r="SQD143" s="4"/>
      <c r="SQE143" s="4"/>
      <c r="SQF143" s="4"/>
      <c r="SQG143" s="4"/>
      <c r="SQH143" s="4"/>
      <c r="SQI143" s="4"/>
      <c r="SQJ143" s="4"/>
      <c r="SQK143" s="4"/>
      <c r="SQL143" s="4"/>
      <c r="SQM143" s="4"/>
      <c r="SQN143" s="4"/>
      <c r="SQO143" s="4"/>
      <c r="SQP143" s="4"/>
      <c r="SQQ143" s="4"/>
      <c r="SQR143" s="4"/>
      <c r="SQS143" s="4"/>
      <c r="SQT143" s="4"/>
      <c r="SQU143" s="4"/>
      <c r="SQV143" s="4"/>
      <c r="SQW143" s="4"/>
      <c r="SQX143" s="4"/>
      <c r="SQY143" s="4"/>
      <c r="SQZ143" s="4"/>
      <c r="SRA143" s="4"/>
      <c r="SRB143" s="4"/>
      <c r="SRC143" s="4"/>
      <c r="SRD143" s="4"/>
      <c r="SRE143" s="4"/>
      <c r="SRF143" s="4"/>
      <c r="SRG143" s="4"/>
      <c r="SRH143" s="4"/>
      <c r="SRI143" s="4"/>
      <c r="SRJ143" s="4"/>
      <c r="SRK143" s="4"/>
      <c r="SRL143" s="4"/>
      <c r="SRM143" s="4"/>
      <c r="SRN143" s="4"/>
      <c r="SRO143" s="4"/>
      <c r="SRP143" s="4"/>
      <c r="SRQ143" s="4"/>
      <c r="SRR143" s="4"/>
      <c r="SRS143" s="4"/>
      <c r="SRT143" s="4"/>
      <c r="SRU143" s="4"/>
      <c r="SRV143" s="4"/>
      <c r="SRW143" s="4"/>
      <c r="SRX143" s="4"/>
      <c r="SRY143" s="4"/>
      <c r="SRZ143" s="4"/>
      <c r="SSA143" s="4"/>
      <c r="SSB143" s="4"/>
      <c r="SSC143" s="4"/>
      <c r="SSD143" s="4"/>
      <c r="SSE143" s="4"/>
      <c r="SSF143" s="4"/>
      <c r="SSG143" s="4"/>
      <c r="SSH143" s="4"/>
      <c r="SSI143" s="4"/>
      <c r="SSJ143" s="4"/>
      <c r="SSK143" s="4"/>
      <c r="SSL143" s="4"/>
      <c r="SSM143" s="4"/>
      <c r="SSN143" s="4"/>
      <c r="SSO143" s="4"/>
      <c r="SSP143" s="4"/>
      <c r="SSQ143" s="4"/>
      <c r="SSR143" s="4"/>
      <c r="SSS143" s="4"/>
      <c r="SST143" s="4"/>
      <c r="SSU143" s="4"/>
      <c r="SSV143" s="4"/>
      <c r="SSW143" s="4"/>
      <c r="SSX143" s="4"/>
      <c r="SSY143" s="4"/>
      <c r="SSZ143" s="4"/>
      <c r="STA143" s="4"/>
      <c r="STB143" s="4"/>
      <c r="STC143" s="4"/>
      <c r="STD143" s="4"/>
      <c r="STE143" s="4"/>
      <c r="STF143" s="4"/>
      <c r="STG143" s="4"/>
      <c r="STH143" s="4"/>
      <c r="STI143" s="4"/>
      <c r="STJ143" s="4"/>
      <c r="STK143" s="4"/>
      <c r="STL143" s="4"/>
      <c r="STM143" s="4"/>
      <c r="STN143" s="4"/>
      <c r="STO143" s="4"/>
      <c r="STP143" s="4"/>
      <c r="STQ143" s="4"/>
      <c r="STR143" s="4"/>
      <c r="STS143" s="4"/>
      <c r="STT143" s="4"/>
      <c r="STU143" s="4"/>
      <c r="STV143" s="4"/>
      <c r="STW143" s="4"/>
      <c r="STX143" s="4"/>
      <c r="STY143" s="4"/>
      <c r="STZ143" s="4"/>
      <c r="SUA143" s="4"/>
      <c r="SUB143" s="4"/>
      <c r="SUC143" s="4"/>
      <c r="SUD143" s="4"/>
      <c r="SUE143" s="4"/>
      <c r="SUF143" s="4"/>
      <c r="SUG143" s="4"/>
      <c r="SUH143" s="4"/>
      <c r="SUI143" s="4"/>
      <c r="SUJ143" s="4"/>
      <c r="SUK143" s="4"/>
      <c r="SUL143" s="4"/>
      <c r="SUM143" s="4"/>
      <c r="SUN143" s="4"/>
      <c r="SUO143" s="4"/>
      <c r="SUP143" s="4"/>
      <c r="SUQ143" s="4"/>
      <c r="SUR143" s="4"/>
      <c r="SUS143" s="4"/>
      <c r="SUT143" s="4"/>
      <c r="SUU143" s="4"/>
      <c r="SUV143" s="4"/>
      <c r="SUW143" s="4"/>
      <c r="SUX143" s="4"/>
      <c r="SUY143" s="4"/>
      <c r="SUZ143" s="4"/>
      <c r="SVA143" s="4"/>
      <c r="SVB143" s="4"/>
      <c r="SVC143" s="4"/>
      <c r="SVD143" s="4"/>
      <c r="SVE143" s="4"/>
      <c r="SVF143" s="4"/>
      <c r="SVG143" s="4"/>
      <c r="SVH143" s="4"/>
      <c r="SVI143" s="4"/>
      <c r="SVJ143" s="4"/>
      <c r="SVK143" s="4"/>
      <c r="SVL143" s="4"/>
      <c r="SVM143" s="4"/>
      <c r="SVN143" s="4"/>
      <c r="SVO143" s="4"/>
      <c r="SVP143" s="4"/>
      <c r="SVQ143" s="4"/>
      <c r="SVR143" s="4"/>
      <c r="SVS143" s="4"/>
      <c r="SVT143" s="4"/>
      <c r="SVU143" s="4"/>
      <c r="SVV143" s="4"/>
      <c r="SVW143" s="4"/>
      <c r="SVX143" s="4"/>
      <c r="SVY143" s="4"/>
      <c r="SVZ143" s="4"/>
      <c r="SWA143" s="4"/>
      <c r="SWB143" s="4"/>
      <c r="SWC143" s="4"/>
      <c r="SWD143" s="4"/>
      <c r="SWE143" s="4"/>
      <c r="SWF143" s="4"/>
      <c r="SWG143" s="4"/>
      <c r="SWH143" s="4"/>
      <c r="SWI143" s="4"/>
      <c r="SWJ143" s="4"/>
      <c r="SWK143" s="4"/>
      <c r="SWL143" s="4"/>
      <c r="SWM143" s="4"/>
      <c r="SWN143" s="4"/>
      <c r="SWO143" s="4"/>
      <c r="SWP143" s="4"/>
      <c r="SWQ143" s="4"/>
      <c r="SWR143" s="4"/>
      <c r="SWS143" s="4"/>
      <c r="SWT143" s="4"/>
      <c r="SWU143" s="4"/>
      <c r="SWV143" s="4"/>
      <c r="SWW143" s="4"/>
      <c r="SWX143" s="4"/>
      <c r="SWY143" s="4"/>
      <c r="SWZ143" s="4"/>
      <c r="SXA143" s="4"/>
      <c r="SXB143" s="4"/>
      <c r="SXC143" s="4"/>
      <c r="SXD143" s="4"/>
      <c r="SXE143" s="4"/>
      <c r="SXF143" s="4"/>
      <c r="SXG143" s="4"/>
      <c r="SXH143" s="4"/>
      <c r="SXI143" s="4"/>
      <c r="SXJ143" s="4"/>
      <c r="SXK143" s="4"/>
      <c r="SXL143" s="4"/>
      <c r="SXM143" s="4"/>
      <c r="SXN143" s="4"/>
      <c r="SXO143" s="4"/>
      <c r="SXP143" s="4"/>
      <c r="SXQ143" s="4"/>
      <c r="SXR143" s="4"/>
      <c r="SXS143" s="4"/>
      <c r="SXT143" s="4"/>
      <c r="SXU143" s="4"/>
      <c r="SXV143" s="4"/>
      <c r="SXW143" s="4"/>
      <c r="SXX143" s="4"/>
      <c r="SXY143" s="4"/>
      <c r="SXZ143" s="4"/>
      <c r="SYA143" s="4"/>
      <c r="SYB143" s="4"/>
      <c r="SYC143" s="4"/>
      <c r="SYD143" s="4"/>
      <c r="SYE143" s="4"/>
      <c r="SYF143" s="4"/>
      <c r="SYG143" s="4"/>
      <c r="SYH143" s="4"/>
      <c r="SYI143" s="4"/>
      <c r="SYJ143" s="4"/>
      <c r="SYK143" s="4"/>
      <c r="SYL143" s="4"/>
      <c r="SYM143" s="4"/>
      <c r="SYN143" s="4"/>
      <c r="SYO143" s="4"/>
      <c r="SYP143" s="4"/>
      <c r="SYQ143" s="4"/>
      <c r="SYR143" s="4"/>
      <c r="SYS143" s="4"/>
      <c r="SYT143" s="4"/>
      <c r="SYU143" s="4"/>
      <c r="SYV143" s="4"/>
      <c r="SYW143" s="4"/>
      <c r="SYX143" s="4"/>
      <c r="SYY143" s="4"/>
      <c r="SYZ143" s="4"/>
      <c r="SZA143" s="4"/>
      <c r="SZB143" s="4"/>
      <c r="SZC143" s="4"/>
      <c r="SZD143" s="4"/>
      <c r="SZE143" s="4"/>
      <c r="SZF143" s="4"/>
      <c r="SZG143" s="4"/>
      <c r="SZH143" s="4"/>
      <c r="SZI143" s="4"/>
      <c r="SZJ143" s="4"/>
      <c r="SZK143" s="4"/>
      <c r="SZL143" s="4"/>
      <c r="SZM143" s="4"/>
      <c r="SZN143" s="4"/>
      <c r="SZO143" s="4"/>
      <c r="SZP143" s="4"/>
      <c r="SZQ143" s="4"/>
      <c r="SZR143" s="4"/>
      <c r="SZS143" s="4"/>
      <c r="SZT143" s="4"/>
      <c r="SZU143" s="4"/>
      <c r="SZV143" s="4"/>
      <c r="SZW143" s="4"/>
      <c r="SZX143" s="4"/>
      <c r="SZY143" s="4"/>
      <c r="SZZ143" s="4"/>
      <c r="TAA143" s="4"/>
      <c r="TAB143" s="4"/>
      <c r="TAC143" s="4"/>
      <c r="TAD143" s="4"/>
      <c r="TAE143" s="4"/>
      <c r="TAF143" s="4"/>
      <c r="TAG143" s="4"/>
      <c r="TAH143" s="4"/>
      <c r="TAI143" s="4"/>
      <c r="TAJ143" s="4"/>
      <c r="TAK143" s="4"/>
      <c r="TAL143" s="4"/>
      <c r="TAM143" s="4"/>
      <c r="TAN143" s="4"/>
      <c r="TAO143" s="4"/>
      <c r="TAP143" s="4"/>
      <c r="TAQ143" s="4"/>
      <c r="TAR143" s="4"/>
      <c r="TAS143" s="4"/>
      <c r="TAT143" s="4"/>
      <c r="TAU143" s="4"/>
      <c r="TAV143" s="4"/>
      <c r="TAW143" s="4"/>
      <c r="TAX143" s="4"/>
      <c r="TAY143" s="4"/>
      <c r="TAZ143" s="4"/>
      <c r="TBA143" s="4"/>
      <c r="TBB143" s="4"/>
      <c r="TBC143" s="4"/>
      <c r="TBD143" s="4"/>
      <c r="TBE143" s="4"/>
      <c r="TBF143" s="4"/>
      <c r="TBG143" s="4"/>
      <c r="TBH143" s="4"/>
      <c r="TBI143" s="4"/>
      <c r="TBJ143" s="4"/>
      <c r="TBK143" s="4"/>
      <c r="TBL143" s="4"/>
      <c r="TBM143" s="4"/>
      <c r="TBN143" s="4"/>
      <c r="TBO143" s="4"/>
      <c r="TBP143" s="4"/>
      <c r="TBQ143" s="4"/>
      <c r="TBR143" s="4"/>
      <c r="TBS143" s="4"/>
      <c r="TBT143" s="4"/>
      <c r="TBU143" s="4"/>
      <c r="TBV143" s="4"/>
      <c r="TBW143" s="4"/>
      <c r="TBX143" s="4"/>
      <c r="TBY143" s="4"/>
      <c r="TBZ143" s="4"/>
      <c r="TCA143" s="4"/>
      <c r="TCB143" s="4"/>
      <c r="TCC143" s="4"/>
      <c r="TCD143" s="4"/>
      <c r="TCE143" s="4"/>
      <c r="TCF143" s="4"/>
      <c r="TCG143" s="4"/>
      <c r="TCH143" s="4"/>
      <c r="TCI143" s="4"/>
      <c r="TCJ143" s="4"/>
      <c r="TCK143" s="4"/>
      <c r="TCL143" s="4"/>
      <c r="TCM143" s="4"/>
      <c r="TCN143" s="4"/>
      <c r="TCO143" s="4"/>
      <c r="TCP143" s="4"/>
      <c r="TCQ143" s="4"/>
      <c r="TCR143" s="4"/>
      <c r="TCS143" s="4"/>
      <c r="TCT143" s="4"/>
      <c r="TCU143" s="4"/>
      <c r="TCV143" s="4"/>
      <c r="TCW143" s="4"/>
      <c r="TCX143" s="4"/>
      <c r="TCY143" s="4"/>
      <c r="TCZ143" s="4"/>
      <c r="TDA143" s="4"/>
      <c r="TDB143" s="4"/>
      <c r="TDC143" s="4"/>
      <c r="TDD143" s="4"/>
      <c r="TDE143" s="4"/>
      <c r="TDF143" s="4"/>
      <c r="TDG143" s="4"/>
      <c r="TDH143" s="4"/>
      <c r="TDI143" s="4"/>
      <c r="TDJ143" s="4"/>
      <c r="TDK143" s="4"/>
      <c r="TDL143" s="4"/>
      <c r="TDM143" s="4"/>
      <c r="TDN143" s="4"/>
      <c r="TDO143" s="4"/>
      <c r="TDP143" s="4"/>
      <c r="TDQ143" s="4"/>
      <c r="TDR143" s="4"/>
      <c r="TDS143" s="4"/>
      <c r="TDT143" s="4"/>
      <c r="TDU143" s="4"/>
      <c r="TDV143" s="4"/>
      <c r="TDW143" s="4"/>
      <c r="TDX143" s="4"/>
      <c r="TDY143" s="4"/>
      <c r="TDZ143" s="4"/>
      <c r="TEA143" s="4"/>
      <c r="TEB143" s="4"/>
      <c r="TEC143" s="4"/>
      <c r="TED143" s="4"/>
      <c r="TEE143" s="4"/>
      <c r="TEF143" s="4"/>
      <c r="TEG143" s="4"/>
      <c r="TEH143" s="4"/>
      <c r="TEI143" s="4"/>
      <c r="TEJ143" s="4"/>
      <c r="TEK143" s="4"/>
      <c r="TEL143" s="4"/>
      <c r="TEM143" s="4"/>
      <c r="TEN143" s="4"/>
      <c r="TEO143" s="4"/>
      <c r="TEP143" s="4"/>
      <c r="TEQ143" s="4"/>
      <c r="TER143" s="4"/>
      <c r="TES143" s="4"/>
      <c r="TET143" s="4"/>
      <c r="TEU143" s="4"/>
      <c r="TEV143" s="4"/>
      <c r="TEW143" s="4"/>
      <c r="TEX143" s="4"/>
      <c r="TEY143" s="4"/>
      <c r="TEZ143" s="4"/>
      <c r="TFA143" s="4"/>
      <c r="TFB143" s="4"/>
      <c r="TFC143" s="4"/>
      <c r="TFD143" s="4"/>
      <c r="TFE143" s="4"/>
      <c r="TFF143" s="4"/>
      <c r="TFG143" s="4"/>
      <c r="TFH143" s="4"/>
      <c r="TFI143" s="4"/>
      <c r="TFJ143" s="4"/>
      <c r="TFK143" s="4"/>
      <c r="TFL143" s="4"/>
      <c r="TFM143" s="4"/>
      <c r="TFN143" s="4"/>
      <c r="TFO143" s="4"/>
      <c r="TFP143" s="4"/>
      <c r="TFQ143" s="4"/>
      <c r="TFR143" s="4"/>
      <c r="TFS143" s="4"/>
      <c r="TFT143" s="4"/>
      <c r="TFU143" s="4"/>
      <c r="TFV143" s="4"/>
      <c r="TFW143" s="4"/>
      <c r="TFX143" s="4"/>
      <c r="TFY143" s="4"/>
      <c r="TFZ143" s="4"/>
      <c r="TGA143" s="4"/>
      <c r="TGB143" s="4"/>
      <c r="TGC143" s="4"/>
      <c r="TGD143" s="4"/>
      <c r="TGE143" s="4"/>
      <c r="TGF143" s="4"/>
      <c r="TGG143" s="4"/>
      <c r="TGH143" s="4"/>
      <c r="TGI143" s="4"/>
      <c r="TGJ143" s="4"/>
      <c r="TGK143" s="4"/>
      <c r="TGL143" s="4"/>
      <c r="TGM143" s="4"/>
      <c r="TGN143" s="4"/>
      <c r="TGO143" s="4"/>
      <c r="TGP143" s="4"/>
      <c r="TGQ143" s="4"/>
      <c r="TGR143" s="4"/>
      <c r="TGS143" s="4"/>
      <c r="TGT143" s="4"/>
      <c r="TGU143" s="4"/>
      <c r="TGV143" s="4"/>
      <c r="TGW143" s="4"/>
      <c r="TGX143" s="4"/>
      <c r="TGY143" s="4"/>
      <c r="TGZ143" s="4"/>
      <c r="THA143" s="4"/>
      <c r="THB143" s="4"/>
      <c r="THC143" s="4"/>
      <c r="THD143" s="4"/>
      <c r="THE143" s="4"/>
      <c r="THF143" s="4"/>
      <c r="THG143" s="4"/>
      <c r="THH143" s="4"/>
      <c r="THI143" s="4"/>
      <c r="THJ143" s="4"/>
      <c r="THK143" s="4"/>
      <c r="THL143" s="4"/>
      <c r="THM143" s="4"/>
      <c r="THN143" s="4"/>
      <c r="THO143" s="4"/>
      <c r="THP143" s="4"/>
      <c r="THQ143" s="4"/>
      <c r="THR143" s="4"/>
      <c r="THS143" s="4"/>
      <c r="THT143" s="4"/>
      <c r="THU143" s="4"/>
      <c r="THV143" s="4"/>
      <c r="THW143" s="4"/>
      <c r="THX143" s="4"/>
      <c r="THY143" s="4"/>
      <c r="THZ143" s="4"/>
      <c r="TIA143" s="4"/>
      <c r="TIB143" s="4"/>
      <c r="TIC143" s="4"/>
      <c r="TID143" s="4"/>
      <c r="TIE143" s="4"/>
      <c r="TIF143" s="4"/>
      <c r="TIG143" s="4"/>
      <c r="TIH143" s="4"/>
      <c r="TII143" s="4"/>
      <c r="TIJ143" s="4"/>
      <c r="TIK143" s="4"/>
      <c r="TIL143" s="4"/>
      <c r="TIM143" s="4"/>
      <c r="TIN143" s="4"/>
      <c r="TIO143" s="4"/>
      <c r="TIP143" s="4"/>
      <c r="TIQ143" s="4"/>
      <c r="TIR143" s="4"/>
      <c r="TIS143" s="4"/>
      <c r="TIT143" s="4"/>
      <c r="TIU143" s="4"/>
      <c r="TIV143" s="4"/>
      <c r="TIW143" s="4"/>
      <c r="TIX143" s="4"/>
      <c r="TIY143" s="4"/>
      <c r="TIZ143" s="4"/>
      <c r="TJA143" s="4"/>
      <c r="TJB143" s="4"/>
      <c r="TJC143" s="4"/>
      <c r="TJD143" s="4"/>
      <c r="TJE143" s="4"/>
      <c r="TJF143" s="4"/>
      <c r="TJG143" s="4"/>
      <c r="TJH143" s="4"/>
      <c r="TJI143" s="4"/>
      <c r="TJJ143" s="4"/>
      <c r="TJK143" s="4"/>
      <c r="TJL143" s="4"/>
      <c r="TJM143" s="4"/>
      <c r="TJN143" s="4"/>
      <c r="TJO143" s="4"/>
      <c r="TJP143" s="4"/>
      <c r="TJQ143" s="4"/>
      <c r="TJR143" s="4"/>
      <c r="TJS143" s="4"/>
      <c r="TJT143" s="4"/>
      <c r="TJU143" s="4"/>
      <c r="TJV143" s="4"/>
      <c r="TJW143" s="4"/>
      <c r="TJX143" s="4"/>
      <c r="TJY143" s="4"/>
      <c r="TJZ143" s="4"/>
      <c r="TKA143" s="4"/>
      <c r="TKB143" s="4"/>
      <c r="TKC143" s="4"/>
      <c r="TKD143" s="4"/>
      <c r="TKE143" s="4"/>
      <c r="TKF143" s="4"/>
      <c r="TKG143" s="4"/>
      <c r="TKH143" s="4"/>
      <c r="TKI143" s="4"/>
      <c r="TKJ143" s="4"/>
      <c r="TKK143" s="4"/>
      <c r="TKL143" s="4"/>
      <c r="TKM143" s="4"/>
      <c r="TKN143" s="4"/>
      <c r="TKO143" s="4"/>
      <c r="TKP143" s="4"/>
      <c r="TKQ143" s="4"/>
      <c r="TKR143" s="4"/>
      <c r="TKS143" s="4"/>
      <c r="TKT143" s="4"/>
      <c r="TKU143" s="4"/>
      <c r="TKV143" s="4"/>
      <c r="TKW143" s="4"/>
      <c r="TKX143" s="4"/>
      <c r="TKY143" s="4"/>
      <c r="TKZ143" s="4"/>
      <c r="TLA143" s="4"/>
      <c r="TLB143" s="4"/>
      <c r="TLC143" s="4"/>
      <c r="TLD143" s="4"/>
      <c r="TLE143" s="4"/>
      <c r="TLF143" s="4"/>
      <c r="TLG143" s="4"/>
      <c r="TLH143" s="4"/>
      <c r="TLI143" s="4"/>
      <c r="TLJ143" s="4"/>
      <c r="TLK143" s="4"/>
      <c r="TLL143" s="4"/>
      <c r="TLM143" s="4"/>
      <c r="TLN143" s="4"/>
      <c r="TLO143" s="4"/>
      <c r="TLP143" s="4"/>
      <c r="TLQ143" s="4"/>
      <c r="TLR143" s="4"/>
      <c r="TLS143" s="4"/>
      <c r="TLT143" s="4"/>
      <c r="TLU143" s="4"/>
      <c r="TLV143" s="4"/>
      <c r="TLW143" s="4"/>
      <c r="TLX143" s="4"/>
      <c r="TLY143" s="4"/>
      <c r="TLZ143" s="4"/>
      <c r="TMA143" s="4"/>
      <c r="TMB143" s="4"/>
      <c r="TMC143" s="4"/>
      <c r="TMD143" s="4"/>
      <c r="TME143" s="4"/>
      <c r="TMF143" s="4"/>
      <c r="TMG143" s="4"/>
      <c r="TMH143" s="4"/>
      <c r="TMI143" s="4"/>
      <c r="TMJ143" s="4"/>
      <c r="TMK143" s="4"/>
      <c r="TML143" s="4"/>
      <c r="TMM143" s="4"/>
      <c r="TMN143" s="4"/>
      <c r="TMO143" s="4"/>
      <c r="TMP143" s="4"/>
      <c r="TMQ143" s="4"/>
      <c r="TMR143" s="4"/>
      <c r="TMS143" s="4"/>
      <c r="TMT143" s="4"/>
      <c r="TMU143" s="4"/>
      <c r="TMV143" s="4"/>
      <c r="TMW143" s="4"/>
      <c r="TMX143" s="4"/>
      <c r="TMY143" s="4"/>
      <c r="TMZ143" s="4"/>
      <c r="TNA143" s="4"/>
      <c r="TNB143" s="4"/>
      <c r="TNC143" s="4"/>
      <c r="TND143" s="4"/>
      <c r="TNE143" s="4"/>
      <c r="TNF143" s="4"/>
      <c r="TNG143" s="4"/>
      <c r="TNH143" s="4"/>
      <c r="TNI143" s="4"/>
      <c r="TNJ143" s="4"/>
      <c r="TNK143" s="4"/>
      <c r="TNL143" s="4"/>
      <c r="TNM143" s="4"/>
      <c r="TNN143" s="4"/>
      <c r="TNO143" s="4"/>
      <c r="TNP143" s="4"/>
      <c r="TNQ143" s="4"/>
      <c r="TNR143" s="4"/>
      <c r="TNS143" s="4"/>
      <c r="TNT143" s="4"/>
      <c r="TNU143" s="4"/>
      <c r="TNV143" s="4"/>
      <c r="TNW143" s="4"/>
      <c r="TNX143" s="4"/>
      <c r="TNY143" s="4"/>
      <c r="TNZ143" s="4"/>
      <c r="TOA143" s="4"/>
      <c r="TOB143" s="4"/>
      <c r="TOC143" s="4"/>
      <c r="TOD143" s="4"/>
      <c r="TOE143" s="4"/>
      <c r="TOF143" s="4"/>
      <c r="TOG143" s="4"/>
      <c r="TOH143" s="4"/>
      <c r="TOI143" s="4"/>
      <c r="TOJ143" s="4"/>
      <c r="TOK143" s="4"/>
      <c r="TOL143" s="4"/>
      <c r="TOM143" s="4"/>
      <c r="TON143" s="4"/>
      <c r="TOO143" s="4"/>
      <c r="TOP143" s="4"/>
      <c r="TOQ143" s="4"/>
      <c r="TOR143" s="4"/>
      <c r="TOS143" s="4"/>
      <c r="TOT143" s="4"/>
      <c r="TOU143" s="4"/>
      <c r="TOV143" s="4"/>
      <c r="TOW143" s="4"/>
      <c r="TOX143" s="4"/>
      <c r="TOY143" s="4"/>
      <c r="TOZ143" s="4"/>
      <c r="TPA143" s="4"/>
      <c r="TPB143" s="4"/>
      <c r="TPC143" s="4"/>
      <c r="TPD143" s="4"/>
      <c r="TPE143" s="4"/>
      <c r="TPF143" s="4"/>
      <c r="TPG143" s="4"/>
      <c r="TPH143" s="4"/>
      <c r="TPI143" s="4"/>
      <c r="TPJ143" s="4"/>
      <c r="TPK143" s="4"/>
      <c r="TPL143" s="4"/>
      <c r="TPM143" s="4"/>
      <c r="TPN143" s="4"/>
      <c r="TPO143" s="4"/>
      <c r="TPP143" s="4"/>
      <c r="TPQ143" s="4"/>
      <c r="TPR143" s="4"/>
      <c r="TPS143" s="4"/>
      <c r="TPT143" s="4"/>
      <c r="TPU143" s="4"/>
      <c r="TPV143" s="4"/>
      <c r="TPW143" s="4"/>
      <c r="TPX143" s="4"/>
      <c r="TPY143" s="4"/>
      <c r="TPZ143" s="4"/>
      <c r="TQA143" s="4"/>
      <c r="TQB143" s="4"/>
      <c r="TQC143" s="4"/>
      <c r="TQD143" s="4"/>
      <c r="TQE143" s="4"/>
      <c r="TQF143" s="4"/>
      <c r="TQG143" s="4"/>
      <c r="TQH143" s="4"/>
      <c r="TQI143" s="4"/>
      <c r="TQJ143" s="4"/>
      <c r="TQK143" s="4"/>
      <c r="TQL143" s="4"/>
      <c r="TQM143" s="4"/>
      <c r="TQN143" s="4"/>
      <c r="TQO143" s="4"/>
      <c r="TQP143" s="4"/>
      <c r="TQQ143" s="4"/>
      <c r="TQR143" s="4"/>
      <c r="TQS143" s="4"/>
      <c r="TQT143" s="4"/>
      <c r="TQU143" s="4"/>
      <c r="TQV143" s="4"/>
      <c r="TQW143" s="4"/>
      <c r="TQX143" s="4"/>
      <c r="TQY143" s="4"/>
      <c r="TQZ143" s="4"/>
      <c r="TRA143" s="4"/>
      <c r="TRB143" s="4"/>
      <c r="TRC143" s="4"/>
      <c r="TRD143" s="4"/>
      <c r="TRE143" s="4"/>
      <c r="TRF143" s="4"/>
      <c r="TRG143" s="4"/>
      <c r="TRH143" s="4"/>
      <c r="TRI143" s="4"/>
      <c r="TRJ143" s="4"/>
      <c r="TRK143" s="4"/>
      <c r="TRL143" s="4"/>
      <c r="TRM143" s="4"/>
      <c r="TRN143" s="4"/>
      <c r="TRO143" s="4"/>
      <c r="TRP143" s="4"/>
      <c r="TRQ143" s="4"/>
      <c r="TRR143" s="4"/>
      <c r="TRS143" s="4"/>
      <c r="TRT143" s="4"/>
      <c r="TRU143" s="4"/>
      <c r="TRV143" s="4"/>
      <c r="TRW143" s="4"/>
      <c r="TRX143" s="4"/>
      <c r="TRY143" s="4"/>
      <c r="TRZ143" s="4"/>
      <c r="TSA143" s="4"/>
      <c r="TSB143" s="4"/>
      <c r="TSC143" s="4"/>
      <c r="TSD143" s="4"/>
      <c r="TSE143" s="4"/>
      <c r="TSF143" s="4"/>
      <c r="TSG143" s="4"/>
      <c r="TSH143" s="4"/>
      <c r="TSI143" s="4"/>
      <c r="TSJ143" s="4"/>
      <c r="TSK143" s="4"/>
      <c r="TSL143" s="4"/>
      <c r="TSM143" s="4"/>
      <c r="TSN143" s="4"/>
      <c r="TSO143" s="4"/>
      <c r="TSP143" s="4"/>
      <c r="TSQ143" s="4"/>
      <c r="TSR143" s="4"/>
      <c r="TSS143" s="4"/>
      <c r="TST143" s="4"/>
      <c r="TSU143" s="4"/>
      <c r="TSV143" s="4"/>
      <c r="TSW143" s="4"/>
      <c r="TSX143" s="4"/>
      <c r="TSY143" s="4"/>
      <c r="TSZ143" s="4"/>
      <c r="TTA143" s="4"/>
      <c r="TTB143" s="4"/>
      <c r="TTC143" s="4"/>
      <c r="TTD143" s="4"/>
      <c r="TTE143" s="4"/>
      <c r="TTF143" s="4"/>
      <c r="TTG143" s="4"/>
      <c r="TTH143" s="4"/>
      <c r="TTI143" s="4"/>
      <c r="TTJ143" s="4"/>
      <c r="TTK143" s="4"/>
      <c r="TTL143" s="4"/>
      <c r="TTM143" s="4"/>
      <c r="TTN143" s="4"/>
      <c r="TTO143" s="4"/>
      <c r="TTP143" s="4"/>
      <c r="TTQ143" s="4"/>
      <c r="TTR143" s="4"/>
      <c r="TTS143" s="4"/>
      <c r="TTT143" s="4"/>
      <c r="TTU143" s="4"/>
      <c r="TTV143" s="4"/>
      <c r="TTW143" s="4"/>
      <c r="TTX143" s="4"/>
      <c r="TTY143" s="4"/>
      <c r="TTZ143" s="4"/>
      <c r="TUA143" s="4"/>
      <c r="TUB143" s="4"/>
      <c r="TUC143" s="4"/>
      <c r="TUD143" s="4"/>
      <c r="TUE143" s="4"/>
      <c r="TUF143" s="4"/>
      <c r="TUG143" s="4"/>
      <c r="TUH143" s="4"/>
      <c r="TUI143" s="4"/>
      <c r="TUJ143" s="4"/>
      <c r="TUK143" s="4"/>
      <c r="TUL143" s="4"/>
      <c r="TUM143" s="4"/>
      <c r="TUN143" s="4"/>
      <c r="TUO143" s="4"/>
      <c r="TUP143" s="4"/>
      <c r="TUQ143" s="4"/>
      <c r="TUR143" s="4"/>
      <c r="TUS143" s="4"/>
      <c r="TUT143" s="4"/>
      <c r="TUU143" s="4"/>
      <c r="TUV143" s="4"/>
      <c r="TUW143" s="4"/>
      <c r="TUX143" s="4"/>
      <c r="TUY143" s="4"/>
      <c r="TUZ143" s="4"/>
      <c r="TVA143" s="4"/>
      <c r="TVB143" s="4"/>
      <c r="TVC143" s="4"/>
      <c r="TVD143" s="4"/>
      <c r="TVE143" s="4"/>
      <c r="TVF143" s="4"/>
      <c r="TVG143" s="4"/>
      <c r="TVH143" s="4"/>
      <c r="TVI143" s="4"/>
      <c r="TVJ143" s="4"/>
      <c r="TVK143" s="4"/>
      <c r="TVL143" s="4"/>
      <c r="TVM143" s="4"/>
      <c r="TVN143" s="4"/>
      <c r="TVO143" s="4"/>
      <c r="TVP143" s="4"/>
      <c r="TVQ143" s="4"/>
      <c r="TVR143" s="4"/>
      <c r="TVS143" s="4"/>
      <c r="TVT143" s="4"/>
      <c r="TVU143" s="4"/>
      <c r="TVV143" s="4"/>
      <c r="TVW143" s="4"/>
      <c r="TVX143" s="4"/>
      <c r="TVY143" s="4"/>
      <c r="TVZ143" s="4"/>
      <c r="TWA143" s="4"/>
      <c r="TWB143" s="4"/>
      <c r="TWC143" s="4"/>
      <c r="TWD143" s="4"/>
      <c r="TWE143" s="4"/>
      <c r="TWF143" s="4"/>
      <c r="TWG143" s="4"/>
      <c r="TWH143" s="4"/>
      <c r="TWI143" s="4"/>
      <c r="TWJ143" s="4"/>
      <c r="TWK143" s="4"/>
      <c r="TWL143" s="4"/>
      <c r="TWM143" s="4"/>
      <c r="TWN143" s="4"/>
      <c r="TWO143" s="4"/>
      <c r="TWP143" s="4"/>
      <c r="TWQ143" s="4"/>
      <c r="TWR143" s="4"/>
      <c r="TWS143" s="4"/>
      <c r="TWT143" s="4"/>
      <c r="TWU143" s="4"/>
      <c r="TWV143" s="4"/>
      <c r="TWW143" s="4"/>
      <c r="TWX143" s="4"/>
      <c r="TWY143" s="4"/>
      <c r="TWZ143" s="4"/>
      <c r="TXA143" s="4"/>
      <c r="TXB143" s="4"/>
      <c r="TXC143" s="4"/>
      <c r="TXD143" s="4"/>
      <c r="TXE143" s="4"/>
      <c r="TXF143" s="4"/>
      <c r="TXG143" s="4"/>
      <c r="TXH143" s="4"/>
      <c r="TXI143" s="4"/>
      <c r="TXJ143" s="4"/>
      <c r="TXK143" s="4"/>
      <c r="TXL143" s="4"/>
      <c r="TXM143" s="4"/>
      <c r="TXN143" s="4"/>
      <c r="TXO143" s="4"/>
      <c r="TXP143" s="4"/>
      <c r="TXQ143" s="4"/>
      <c r="TXR143" s="4"/>
      <c r="TXS143" s="4"/>
      <c r="TXT143" s="4"/>
      <c r="TXU143" s="4"/>
      <c r="TXV143" s="4"/>
      <c r="TXW143" s="4"/>
      <c r="TXX143" s="4"/>
      <c r="TXY143" s="4"/>
      <c r="TXZ143" s="4"/>
      <c r="TYA143" s="4"/>
      <c r="TYB143" s="4"/>
      <c r="TYC143" s="4"/>
      <c r="TYD143" s="4"/>
      <c r="TYE143" s="4"/>
      <c r="TYF143" s="4"/>
      <c r="TYG143" s="4"/>
      <c r="TYH143" s="4"/>
      <c r="TYI143" s="4"/>
      <c r="TYJ143" s="4"/>
      <c r="TYK143" s="4"/>
      <c r="TYL143" s="4"/>
      <c r="TYM143" s="4"/>
      <c r="TYN143" s="4"/>
      <c r="TYO143" s="4"/>
      <c r="TYP143" s="4"/>
      <c r="TYQ143" s="4"/>
      <c r="TYR143" s="4"/>
      <c r="TYS143" s="4"/>
      <c r="TYT143" s="4"/>
      <c r="TYU143" s="4"/>
      <c r="TYV143" s="4"/>
      <c r="TYW143" s="4"/>
      <c r="TYX143" s="4"/>
      <c r="TYY143" s="4"/>
      <c r="TYZ143" s="4"/>
      <c r="TZA143" s="4"/>
      <c r="TZB143" s="4"/>
      <c r="TZC143" s="4"/>
      <c r="TZD143" s="4"/>
      <c r="TZE143" s="4"/>
      <c r="TZF143" s="4"/>
      <c r="TZG143" s="4"/>
      <c r="TZH143" s="4"/>
      <c r="TZI143" s="4"/>
      <c r="TZJ143" s="4"/>
      <c r="TZK143" s="4"/>
      <c r="TZL143" s="4"/>
      <c r="TZM143" s="4"/>
      <c r="TZN143" s="4"/>
      <c r="TZO143" s="4"/>
      <c r="TZP143" s="4"/>
      <c r="TZQ143" s="4"/>
      <c r="TZR143" s="4"/>
      <c r="TZS143" s="4"/>
      <c r="TZT143" s="4"/>
      <c r="TZU143" s="4"/>
      <c r="TZV143" s="4"/>
      <c r="TZW143" s="4"/>
      <c r="TZX143" s="4"/>
      <c r="TZY143" s="4"/>
      <c r="TZZ143" s="4"/>
      <c r="UAA143" s="4"/>
      <c r="UAB143" s="4"/>
      <c r="UAC143" s="4"/>
      <c r="UAD143" s="4"/>
      <c r="UAE143" s="4"/>
      <c r="UAF143" s="4"/>
      <c r="UAG143" s="4"/>
      <c r="UAH143" s="4"/>
      <c r="UAI143" s="4"/>
      <c r="UAJ143" s="4"/>
      <c r="UAK143" s="4"/>
      <c r="UAL143" s="4"/>
      <c r="UAM143" s="4"/>
      <c r="UAN143" s="4"/>
      <c r="UAO143" s="4"/>
      <c r="UAP143" s="4"/>
      <c r="UAQ143" s="4"/>
      <c r="UAR143" s="4"/>
      <c r="UAS143" s="4"/>
      <c r="UAT143" s="4"/>
      <c r="UAU143" s="4"/>
      <c r="UAV143" s="4"/>
      <c r="UAW143" s="4"/>
      <c r="UAX143" s="4"/>
      <c r="UAY143" s="4"/>
      <c r="UAZ143" s="4"/>
      <c r="UBA143" s="4"/>
      <c r="UBB143" s="4"/>
      <c r="UBC143" s="4"/>
      <c r="UBD143" s="4"/>
      <c r="UBE143" s="4"/>
      <c r="UBF143" s="4"/>
      <c r="UBG143" s="4"/>
      <c r="UBH143" s="4"/>
      <c r="UBI143" s="4"/>
      <c r="UBJ143" s="4"/>
      <c r="UBK143" s="4"/>
      <c r="UBL143" s="4"/>
      <c r="UBM143" s="4"/>
      <c r="UBN143" s="4"/>
      <c r="UBO143" s="4"/>
      <c r="UBP143" s="4"/>
      <c r="UBQ143" s="4"/>
      <c r="UBR143" s="4"/>
      <c r="UBS143" s="4"/>
      <c r="UBT143" s="4"/>
      <c r="UBU143" s="4"/>
      <c r="UBV143" s="4"/>
      <c r="UBW143" s="4"/>
      <c r="UBX143" s="4"/>
      <c r="UBY143" s="4"/>
      <c r="UBZ143" s="4"/>
      <c r="UCA143" s="4"/>
      <c r="UCB143" s="4"/>
      <c r="UCC143" s="4"/>
      <c r="UCD143" s="4"/>
      <c r="UCE143" s="4"/>
      <c r="UCF143" s="4"/>
      <c r="UCG143" s="4"/>
      <c r="UCH143" s="4"/>
      <c r="UCI143" s="4"/>
      <c r="UCJ143" s="4"/>
      <c r="UCK143" s="4"/>
      <c r="UCL143" s="4"/>
      <c r="UCM143" s="4"/>
      <c r="UCN143" s="4"/>
      <c r="UCO143" s="4"/>
      <c r="UCP143" s="4"/>
      <c r="UCQ143" s="4"/>
      <c r="UCR143" s="4"/>
      <c r="UCS143" s="4"/>
      <c r="UCT143" s="4"/>
      <c r="UCU143" s="4"/>
      <c r="UCV143" s="4"/>
      <c r="UCW143" s="4"/>
      <c r="UCX143" s="4"/>
      <c r="UCY143" s="4"/>
      <c r="UCZ143" s="4"/>
      <c r="UDA143" s="4"/>
      <c r="UDB143" s="4"/>
      <c r="UDC143" s="4"/>
      <c r="UDD143" s="4"/>
      <c r="UDE143" s="4"/>
      <c r="UDF143" s="4"/>
      <c r="UDG143" s="4"/>
      <c r="UDH143" s="4"/>
      <c r="UDI143" s="4"/>
      <c r="UDJ143" s="4"/>
      <c r="UDK143" s="4"/>
      <c r="UDL143" s="4"/>
      <c r="UDM143" s="4"/>
      <c r="UDN143" s="4"/>
      <c r="UDO143" s="4"/>
      <c r="UDP143" s="4"/>
      <c r="UDQ143" s="4"/>
      <c r="UDR143" s="4"/>
      <c r="UDS143" s="4"/>
      <c r="UDT143" s="4"/>
      <c r="UDU143" s="4"/>
      <c r="UDV143" s="4"/>
      <c r="UDW143" s="4"/>
      <c r="UDX143" s="4"/>
      <c r="UDY143" s="4"/>
      <c r="UDZ143" s="4"/>
      <c r="UEA143" s="4"/>
      <c r="UEB143" s="4"/>
      <c r="UEC143" s="4"/>
      <c r="UED143" s="4"/>
      <c r="UEE143" s="4"/>
      <c r="UEF143" s="4"/>
      <c r="UEG143" s="4"/>
      <c r="UEH143" s="4"/>
      <c r="UEI143" s="4"/>
      <c r="UEJ143" s="4"/>
      <c r="UEK143" s="4"/>
      <c r="UEL143" s="4"/>
      <c r="UEM143" s="4"/>
      <c r="UEN143" s="4"/>
      <c r="UEO143" s="4"/>
      <c r="UEP143" s="4"/>
      <c r="UEQ143" s="4"/>
      <c r="UER143" s="4"/>
      <c r="UES143" s="4"/>
      <c r="UET143" s="4"/>
      <c r="UEU143" s="4"/>
      <c r="UEV143" s="4"/>
      <c r="UEW143" s="4"/>
      <c r="UEX143" s="4"/>
      <c r="UEY143" s="4"/>
      <c r="UEZ143" s="4"/>
      <c r="UFA143" s="4"/>
      <c r="UFB143" s="4"/>
      <c r="UFC143" s="4"/>
      <c r="UFD143" s="4"/>
      <c r="UFE143" s="4"/>
      <c r="UFF143" s="4"/>
      <c r="UFG143" s="4"/>
      <c r="UFH143" s="4"/>
      <c r="UFI143" s="4"/>
      <c r="UFJ143" s="4"/>
      <c r="UFK143" s="4"/>
      <c r="UFL143" s="4"/>
      <c r="UFM143" s="4"/>
      <c r="UFN143" s="4"/>
      <c r="UFO143" s="4"/>
      <c r="UFP143" s="4"/>
      <c r="UFQ143" s="4"/>
      <c r="UFR143" s="4"/>
      <c r="UFS143" s="4"/>
      <c r="UFT143" s="4"/>
      <c r="UFU143" s="4"/>
      <c r="UFV143" s="4"/>
      <c r="UFW143" s="4"/>
      <c r="UFX143" s="4"/>
      <c r="UFY143" s="4"/>
      <c r="UFZ143" s="4"/>
      <c r="UGA143" s="4"/>
      <c r="UGB143" s="4"/>
      <c r="UGC143" s="4"/>
      <c r="UGD143" s="4"/>
      <c r="UGE143" s="4"/>
      <c r="UGF143" s="4"/>
      <c r="UGG143" s="4"/>
      <c r="UGH143" s="4"/>
      <c r="UGI143" s="4"/>
      <c r="UGJ143" s="4"/>
      <c r="UGK143" s="4"/>
      <c r="UGL143" s="4"/>
      <c r="UGM143" s="4"/>
      <c r="UGN143" s="4"/>
      <c r="UGO143" s="4"/>
      <c r="UGP143" s="4"/>
      <c r="UGQ143" s="4"/>
      <c r="UGR143" s="4"/>
      <c r="UGS143" s="4"/>
      <c r="UGT143" s="4"/>
      <c r="UGU143" s="4"/>
      <c r="UGV143" s="4"/>
      <c r="UGW143" s="4"/>
      <c r="UGX143" s="4"/>
      <c r="UGY143" s="4"/>
      <c r="UGZ143" s="4"/>
      <c r="UHA143" s="4"/>
      <c r="UHB143" s="4"/>
      <c r="UHC143" s="4"/>
      <c r="UHD143" s="4"/>
      <c r="UHE143" s="4"/>
      <c r="UHF143" s="4"/>
      <c r="UHG143" s="4"/>
      <c r="UHH143" s="4"/>
      <c r="UHI143" s="4"/>
      <c r="UHJ143" s="4"/>
      <c r="UHK143" s="4"/>
      <c r="UHL143" s="4"/>
      <c r="UHM143" s="4"/>
      <c r="UHN143" s="4"/>
      <c r="UHO143" s="4"/>
      <c r="UHP143" s="4"/>
      <c r="UHQ143" s="4"/>
      <c r="UHR143" s="4"/>
      <c r="UHS143" s="4"/>
      <c r="UHT143" s="4"/>
      <c r="UHU143" s="4"/>
      <c r="UHV143" s="4"/>
      <c r="UHW143" s="4"/>
      <c r="UHX143" s="4"/>
      <c r="UHY143" s="4"/>
      <c r="UHZ143" s="4"/>
      <c r="UIA143" s="4"/>
      <c r="UIB143" s="4"/>
      <c r="UIC143" s="4"/>
      <c r="UID143" s="4"/>
      <c r="UIE143" s="4"/>
      <c r="UIF143" s="4"/>
      <c r="UIG143" s="4"/>
      <c r="UIH143" s="4"/>
      <c r="UII143" s="4"/>
      <c r="UIJ143" s="4"/>
      <c r="UIK143" s="4"/>
      <c r="UIL143" s="4"/>
      <c r="UIM143" s="4"/>
      <c r="UIN143" s="4"/>
      <c r="UIO143" s="4"/>
      <c r="UIP143" s="4"/>
      <c r="UIQ143" s="4"/>
      <c r="UIR143" s="4"/>
      <c r="UIS143" s="4"/>
      <c r="UIT143" s="4"/>
      <c r="UIU143" s="4"/>
      <c r="UIV143" s="4"/>
      <c r="UIW143" s="4"/>
      <c r="UIX143" s="4"/>
      <c r="UIY143" s="4"/>
      <c r="UIZ143" s="4"/>
      <c r="UJA143" s="4"/>
      <c r="UJB143" s="4"/>
      <c r="UJC143" s="4"/>
      <c r="UJD143" s="4"/>
      <c r="UJE143" s="4"/>
      <c r="UJF143" s="4"/>
      <c r="UJG143" s="4"/>
      <c r="UJH143" s="4"/>
      <c r="UJI143" s="4"/>
      <c r="UJJ143" s="4"/>
      <c r="UJK143" s="4"/>
      <c r="UJL143" s="4"/>
      <c r="UJM143" s="4"/>
      <c r="UJN143" s="4"/>
      <c r="UJO143" s="4"/>
      <c r="UJP143" s="4"/>
      <c r="UJQ143" s="4"/>
      <c r="UJR143" s="4"/>
      <c r="UJS143" s="4"/>
      <c r="UJT143" s="4"/>
      <c r="UJU143" s="4"/>
      <c r="UJV143" s="4"/>
      <c r="UJW143" s="4"/>
      <c r="UJX143" s="4"/>
      <c r="UJY143" s="4"/>
      <c r="UJZ143" s="4"/>
      <c r="UKA143" s="4"/>
      <c r="UKB143" s="4"/>
      <c r="UKC143" s="4"/>
      <c r="UKD143" s="4"/>
      <c r="UKE143" s="4"/>
      <c r="UKF143" s="4"/>
      <c r="UKG143" s="4"/>
      <c r="UKH143" s="4"/>
      <c r="UKI143" s="4"/>
      <c r="UKJ143" s="4"/>
      <c r="UKK143" s="4"/>
      <c r="UKL143" s="4"/>
      <c r="UKM143" s="4"/>
      <c r="UKN143" s="4"/>
      <c r="UKO143" s="4"/>
      <c r="UKP143" s="4"/>
      <c r="UKQ143" s="4"/>
      <c r="UKR143" s="4"/>
      <c r="UKS143" s="4"/>
      <c r="UKT143" s="4"/>
      <c r="UKU143" s="4"/>
      <c r="UKV143" s="4"/>
      <c r="UKW143" s="4"/>
      <c r="UKX143" s="4"/>
      <c r="UKY143" s="4"/>
      <c r="UKZ143" s="4"/>
      <c r="ULA143" s="4"/>
      <c r="ULB143" s="4"/>
      <c r="ULC143" s="4"/>
      <c r="ULD143" s="4"/>
      <c r="ULE143" s="4"/>
      <c r="ULF143" s="4"/>
      <c r="ULG143" s="4"/>
      <c r="ULH143" s="4"/>
      <c r="ULI143" s="4"/>
      <c r="ULJ143" s="4"/>
      <c r="ULK143" s="4"/>
      <c r="ULL143" s="4"/>
      <c r="ULM143" s="4"/>
      <c r="ULN143" s="4"/>
      <c r="ULO143" s="4"/>
      <c r="ULP143" s="4"/>
      <c r="ULQ143" s="4"/>
      <c r="ULR143" s="4"/>
      <c r="ULS143" s="4"/>
      <c r="ULT143" s="4"/>
      <c r="ULU143" s="4"/>
      <c r="ULV143" s="4"/>
      <c r="ULW143" s="4"/>
      <c r="ULX143" s="4"/>
      <c r="ULY143" s="4"/>
      <c r="ULZ143" s="4"/>
      <c r="UMA143" s="4"/>
      <c r="UMB143" s="4"/>
      <c r="UMC143" s="4"/>
      <c r="UMD143" s="4"/>
      <c r="UME143" s="4"/>
      <c r="UMF143" s="4"/>
      <c r="UMG143" s="4"/>
      <c r="UMH143" s="4"/>
      <c r="UMI143" s="4"/>
      <c r="UMJ143" s="4"/>
      <c r="UMK143" s="4"/>
      <c r="UML143" s="4"/>
      <c r="UMM143" s="4"/>
      <c r="UMN143" s="4"/>
      <c r="UMO143" s="4"/>
      <c r="UMP143" s="4"/>
      <c r="UMQ143" s="4"/>
      <c r="UMR143" s="4"/>
      <c r="UMS143" s="4"/>
      <c r="UMT143" s="4"/>
      <c r="UMU143" s="4"/>
      <c r="UMV143" s="4"/>
      <c r="UMW143" s="4"/>
      <c r="UMX143" s="4"/>
      <c r="UMY143" s="4"/>
      <c r="UMZ143" s="4"/>
      <c r="UNA143" s="4"/>
      <c r="UNB143" s="4"/>
      <c r="UNC143" s="4"/>
      <c r="UND143" s="4"/>
      <c r="UNE143" s="4"/>
      <c r="UNF143" s="4"/>
      <c r="UNG143" s="4"/>
      <c r="UNH143" s="4"/>
      <c r="UNI143" s="4"/>
      <c r="UNJ143" s="4"/>
      <c r="UNK143" s="4"/>
      <c r="UNL143" s="4"/>
      <c r="UNM143" s="4"/>
      <c r="UNN143" s="4"/>
      <c r="UNO143" s="4"/>
      <c r="UNP143" s="4"/>
      <c r="UNQ143" s="4"/>
      <c r="UNR143" s="4"/>
      <c r="UNS143" s="4"/>
      <c r="UNT143" s="4"/>
      <c r="UNU143" s="4"/>
      <c r="UNV143" s="4"/>
      <c r="UNW143" s="4"/>
      <c r="UNX143" s="4"/>
      <c r="UNY143" s="4"/>
      <c r="UNZ143" s="4"/>
      <c r="UOA143" s="4"/>
      <c r="UOB143" s="4"/>
      <c r="UOC143" s="4"/>
      <c r="UOD143" s="4"/>
      <c r="UOE143" s="4"/>
      <c r="UOF143" s="4"/>
      <c r="UOG143" s="4"/>
      <c r="UOH143" s="4"/>
      <c r="UOI143" s="4"/>
      <c r="UOJ143" s="4"/>
      <c r="UOK143" s="4"/>
      <c r="UOL143" s="4"/>
      <c r="UOM143" s="4"/>
      <c r="UON143" s="4"/>
      <c r="UOO143" s="4"/>
      <c r="UOP143" s="4"/>
      <c r="UOQ143" s="4"/>
      <c r="UOR143" s="4"/>
      <c r="UOS143" s="4"/>
      <c r="UOT143" s="4"/>
      <c r="UOU143" s="4"/>
      <c r="UOV143" s="4"/>
      <c r="UOW143" s="4"/>
      <c r="UOX143" s="4"/>
      <c r="UOY143" s="4"/>
      <c r="UOZ143" s="4"/>
      <c r="UPA143" s="4"/>
      <c r="UPB143" s="4"/>
      <c r="UPC143" s="4"/>
      <c r="UPD143" s="4"/>
      <c r="UPE143" s="4"/>
      <c r="UPF143" s="4"/>
      <c r="UPG143" s="4"/>
      <c r="UPH143" s="4"/>
      <c r="UPI143" s="4"/>
      <c r="UPJ143" s="4"/>
      <c r="UPK143" s="4"/>
      <c r="UPL143" s="4"/>
      <c r="UPM143" s="4"/>
      <c r="UPN143" s="4"/>
      <c r="UPO143" s="4"/>
      <c r="UPP143" s="4"/>
      <c r="UPQ143" s="4"/>
      <c r="UPR143" s="4"/>
      <c r="UPS143" s="4"/>
      <c r="UPT143" s="4"/>
      <c r="UPU143" s="4"/>
      <c r="UPV143" s="4"/>
      <c r="UPW143" s="4"/>
      <c r="UPX143" s="4"/>
      <c r="UPY143" s="4"/>
      <c r="UPZ143" s="4"/>
      <c r="UQA143" s="4"/>
      <c r="UQB143" s="4"/>
      <c r="UQC143" s="4"/>
      <c r="UQD143" s="4"/>
      <c r="UQE143" s="4"/>
      <c r="UQF143" s="4"/>
      <c r="UQG143" s="4"/>
      <c r="UQH143" s="4"/>
      <c r="UQI143" s="4"/>
      <c r="UQJ143" s="4"/>
      <c r="UQK143" s="4"/>
      <c r="UQL143" s="4"/>
      <c r="UQM143" s="4"/>
      <c r="UQN143" s="4"/>
      <c r="UQO143" s="4"/>
      <c r="UQP143" s="4"/>
      <c r="UQQ143" s="4"/>
      <c r="UQR143" s="4"/>
      <c r="UQS143" s="4"/>
      <c r="UQT143" s="4"/>
      <c r="UQU143" s="4"/>
      <c r="UQV143" s="4"/>
      <c r="UQW143" s="4"/>
      <c r="UQX143" s="4"/>
      <c r="UQY143" s="4"/>
      <c r="UQZ143" s="4"/>
      <c r="URA143" s="4"/>
      <c r="URB143" s="4"/>
      <c r="URC143" s="4"/>
      <c r="URD143" s="4"/>
      <c r="URE143" s="4"/>
      <c r="URF143" s="4"/>
      <c r="URG143" s="4"/>
      <c r="URH143" s="4"/>
      <c r="URI143" s="4"/>
      <c r="URJ143" s="4"/>
      <c r="URK143" s="4"/>
      <c r="URL143" s="4"/>
      <c r="URM143" s="4"/>
      <c r="URN143" s="4"/>
      <c r="URO143" s="4"/>
      <c r="URP143" s="4"/>
      <c r="URQ143" s="4"/>
      <c r="URR143" s="4"/>
      <c r="URS143" s="4"/>
      <c r="URT143" s="4"/>
      <c r="URU143" s="4"/>
      <c r="URV143" s="4"/>
      <c r="URW143" s="4"/>
      <c r="URX143" s="4"/>
      <c r="URY143" s="4"/>
      <c r="URZ143" s="4"/>
      <c r="USA143" s="4"/>
      <c r="USB143" s="4"/>
      <c r="USC143" s="4"/>
      <c r="USD143" s="4"/>
      <c r="USE143" s="4"/>
      <c r="USF143" s="4"/>
      <c r="USG143" s="4"/>
      <c r="USH143" s="4"/>
      <c r="USI143" s="4"/>
      <c r="USJ143" s="4"/>
      <c r="USK143" s="4"/>
      <c r="USL143" s="4"/>
      <c r="USM143" s="4"/>
      <c r="USN143" s="4"/>
      <c r="USO143" s="4"/>
      <c r="USP143" s="4"/>
      <c r="USQ143" s="4"/>
      <c r="USR143" s="4"/>
      <c r="USS143" s="4"/>
      <c r="UST143" s="4"/>
      <c r="USU143" s="4"/>
      <c r="USV143" s="4"/>
      <c r="USW143" s="4"/>
      <c r="USX143" s="4"/>
      <c r="USY143" s="4"/>
      <c r="USZ143" s="4"/>
      <c r="UTA143" s="4"/>
      <c r="UTB143" s="4"/>
      <c r="UTC143" s="4"/>
      <c r="UTD143" s="4"/>
      <c r="UTE143" s="4"/>
      <c r="UTF143" s="4"/>
      <c r="UTG143" s="4"/>
      <c r="UTH143" s="4"/>
      <c r="UTI143" s="4"/>
      <c r="UTJ143" s="4"/>
      <c r="UTK143" s="4"/>
      <c r="UTL143" s="4"/>
      <c r="UTM143" s="4"/>
      <c r="UTN143" s="4"/>
      <c r="UTO143" s="4"/>
      <c r="UTP143" s="4"/>
      <c r="UTQ143" s="4"/>
      <c r="UTR143" s="4"/>
      <c r="UTS143" s="4"/>
      <c r="UTT143" s="4"/>
      <c r="UTU143" s="4"/>
      <c r="UTV143" s="4"/>
      <c r="UTW143" s="4"/>
      <c r="UTX143" s="4"/>
      <c r="UTY143" s="4"/>
      <c r="UTZ143" s="4"/>
      <c r="UUA143" s="4"/>
      <c r="UUB143" s="4"/>
      <c r="UUC143" s="4"/>
      <c r="UUD143" s="4"/>
      <c r="UUE143" s="4"/>
      <c r="UUF143" s="4"/>
      <c r="UUG143" s="4"/>
      <c r="UUH143" s="4"/>
      <c r="UUI143" s="4"/>
      <c r="UUJ143" s="4"/>
      <c r="UUK143" s="4"/>
      <c r="UUL143" s="4"/>
      <c r="UUM143" s="4"/>
      <c r="UUN143" s="4"/>
      <c r="UUO143" s="4"/>
      <c r="UUP143" s="4"/>
      <c r="UUQ143" s="4"/>
      <c r="UUR143" s="4"/>
      <c r="UUS143" s="4"/>
      <c r="UUT143" s="4"/>
      <c r="UUU143" s="4"/>
      <c r="UUV143" s="4"/>
      <c r="UUW143" s="4"/>
      <c r="UUX143" s="4"/>
      <c r="UUY143" s="4"/>
      <c r="UUZ143" s="4"/>
      <c r="UVA143" s="4"/>
      <c r="UVB143" s="4"/>
      <c r="UVC143" s="4"/>
      <c r="UVD143" s="4"/>
      <c r="UVE143" s="4"/>
      <c r="UVF143" s="4"/>
      <c r="UVG143" s="4"/>
      <c r="UVH143" s="4"/>
      <c r="UVI143" s="4"/>
      <c r="UVJ143" s="4"/>
      <c r="UVK143" s="4"/>
      <c r="UVL143" s="4"/>
      <c r="UVM143" s="4"/>
      <c r="UVN143" s="4"/>
      <c r="UVO143" s="4"/>
      <c r="UVP143" s="4"/>
      <c r="UVQ143" s="4"/>
      <c r="UVR143" s="4"/>
      <c r="UVS143" s="4"/>
      <c r="UVT143" s="4"/>
      <c r="UVU143" s="4"/>
      <c r="UVV143" s="4"/>
      <c r="UVW143" s="4"/>
      <c r="UVX143" s="4"/>
      <c r="UVY143" s="4"/>
      <c r="UVZ143" s="4"/>
      <c r="UWA143" s="4"/>
      <c r="UWB143" s="4"/>
      <c r="UWC143" s="4"/>
      <c r="UWD143" s="4"/>
      <c r="UWE143" s="4"/>
      <c r="UWF143" s="4"/>
      <c r="UWG143" s="4"/>
      <c r="UWH143" s="4"/>
      <c r="UWI143" s="4"/>
      <c r="UWJ143" s="4"/>
      <c r="UWK143" s="4"/>
      <c r="UWL143" s="4"/>
      <c r="UWM143" s="4"/>
      <c r="UWN143" s="4"/>
      <c r="UWO143" s="4"/>
      <c r="UWP143" s="4"/>
      <c r="UWQ143" s="4"/>
      <c r="UWR143" s="4"/>
      <c r="UWS143" s="4"/>
      <c r="UWT143" s="4"/>
      <c r="UWU143" s="4"/>
      <c r="UWV143" s="4"/>
      <c r="UWW143" s="4"/>
      <c r="UWX143" s="4"/>
      <c r="UWY143" s="4"/>
      <c r="UWZ143" s="4"/>
      <c r="UXA143" s="4"/>
      <c r="UXB143" s="4"/>
      <c r="UXC143" s="4"/>
      <c r="UXD143" s="4"/>
      <c r="UXE143" s="4"/>
      <c r="UXF143" s="4"/>
      <c r="UXG143" s="4"/>
      <c r="UXH143" s="4"/>
      <c r="UXI143" s="4"/>
      <c r="UXJ143" s="4"/>
      <c r="UXK143" s="4"/>
      <c r="UXL143" s="4"/>
      <c r="UXM143" s="4"/>
      <c r="UXN143" s="4"/>
      <c r="UXO143" s="4"/>
      <c r="UXP143" s="4"/>
      <c r="UXQ143" s="4"/>
      <c r="UXR143" s="4"/>
      <c r="UXS143" s="4"/>
      <c r="UXT143" s="4"/>
      <c r="UXU143" s="4"/>
      <c r="UXV143" s="4"/>
      <c r="UXW143" s="4"/>
      <c r="UXX143" s="4"/>
      <c r="UXY143" s="4"/>
      <c r="UXZ143" s="4"/>
      <c r="UYA143" s="4"/>
      <c r="UYB143" s="4"/>
      <c r="UYC143" s="4"/>
      <c r="UYD143" s="4"/>
      <c r="UYE143" s="4"/>
      <c r="UYF143" s="4"/>
      <c r="UYG143" s="4"/>
      <c r="UYH143" s="4"/>
      <c r="UYI143" s="4"/>
      <c r="UYJ143" s="4"/>
      <c r="UYK143" s="4"/>
      <c r="UYL143" s="4"/>
      <c r="UYM143" s="4"/>
      <c r="UYN143" s="4"/>
      <c r="UYO143" s="4"/>
      <c r="UYP143" s="4"/>
      <c r="UYQ143" s="4"/>
      <c r="UYR143" s="4"/>
      <c r="UYS143" s="4"/>
      <c r="UYT143" s="4"/>
      <c r="UYU143" s="4"/>
      <c r="UYV143" s="4"/>
      <c r="UYW143" s="4"/>
      <c r="UYX143" s="4"/>
      <c r="UYY143" s="4"/>
      <c r="UYZ143" s="4"/>
      <c r="UZA143" s="4"/>
      <c r="UZB143" s="4"/>
      <c r="UZC143" s="4"/>
      <c r="UZD143" s="4"/>
      <c r="UZE143" s="4"/>
      <c r="UZF143" s="4"/>
      <c r="UZG143" s="4"/>
      <c r="UZH143" s="4"/>
      <c r="UZI143" s="4"/>
      <c r="UZJ143" s="4"/>
      <c r="UZK143" s="4"/>
      <c r="UZL143" s="4"/>
      <c r="UZM143" s="4"/>
      <c r="UZN143" s="4"/>
      <c r="UZO143" s="4"/>
      <c r="UZP143" s="4"/>
      <c r="UZQ143" s="4"/>
      <c r="UZR143" s="4"/>
      <c r="UZS143" s="4"/>
      <c r="UZT143" s="4"/>
      <c r="UZU143" s="4"/>
      <c r="UZV143" s="4"/>
      <c r="UZW143" s="4"/>
      <c r="UZX143" s="4"/>
      <c r="UZY143" s="4"/>
      <c r="UZZ143" s="4"/>
      <c r="VAA143" s="4"/>
      <c r="VAB143" s="4"/>
      <c r="VAC143" s="4"/>
      <c r="VAD143" s="4"/>
      <c r="VAE143" s="4"/>
      <c r="VAF143" s="4"/>
      <c r="VAG143" s="4"/>
      <c r="VAH143" s="4"/>
      <c r="VAI143" s="4"/>
      <c r="VAJ143" s="4"/>
      <c r="VAK143" s="4"/>
      <c r="VAL143" s="4"/>
      <c r="VAM143" s="4"/>
      <c r="VAN143" s="4"/>
      <c r="VAO143" s="4"/>
      <c r="VAP143" s="4"/>
      <c r="VAQ143" s="4"/>
      <c r="VAR143" s="4"/>
      <c r="VAS143" s="4"/>
      <c r="VAT143" s="4"/>
      <c r="VAU143" s="4"/>
      <c r="VAV143" s="4"/>
      <c r="VAW143" s="4"/>
      <c r="VAX143" s="4"/>
      <c r="VAY143" s="4"/>
      <c r="VAZ143" s="4"/>
      <c r="VBA143" s="4"/>
      <c r="VBB143" s="4"/>
      <c r="VBC143" s="4"/>
      <c r="VBD143" s="4"/>
      <c r="VBE143" s="4"/>
      <c r="VBF143" s="4"/>
      <c r="VBG143" s="4"/>
      <c r="VBH143" s="4"/>
      <c r="VBI143" s="4"/>
      <c r="VBJ143" s="4"/>
      <c r="VBK143" s="4"/>
      <c r="VBL143" s="4"/>
      <c r="VBM143" s="4"/>
      <c r="VBN143" s="4"/>
      <c r="VBO143" s="4"/>
      <c r="VBP143" s="4"/>
      <c r="VBQ143" s="4"/>
      <c r="VBR143" s="4"/>
      <c r="VBS143" s="4"/>
      <c r="VBT143" s="4"/>
      <c r="VBU143" s="4"/>
      <c r="VBV143" s="4"/>
      <c r="VBW143" s="4"/>
      <c r="VBX143" s="4"/>
      <c r="VBY143" s="4"/>
      <c r="VBZ143" s="4"/>
      <c r="VCA143" s="4"/>
      <c r="VCB143" s="4"/>
      <c r="VCC143" s="4"/>
      <c r="VCD143" s="4"/>
      <c r="VCE143" s="4"/>
      <c r="VCF143" s="4"/>
      <c r="VCG143" s="4"/>
      <c r="VCH143" s="4"/>
      <c r="VCI143" s="4"/>
      <c r="VCJ143" s="4"/>
      <c r="VCK143" s="4"/>
      <c r="VCL143" s="4"/>
      <c r="VCM143" s="4"/>
      <c r="VCN143" s="4"/>
      <c r="VCO143" s="4"/>
      <c r="VCP143" s="4"/>
      <c r="VCQ143" s="4"/>
      <c r="VCR143" s="4"/>
      <c r="VCS143" s="4"/>
      <c r="VCT143" s="4"/>
      <c r="VCU143" s="4"/>
      <c r="VCV143" s="4"/>
      <c r="VCW143" s="4"/>
      <c r="VCX143" s="4"/>
      <c r="VCY143" s="4"/>
      <c r="VCZ143" s="4"/>
      <c r="VDA143" s="4"/>
      <c r="VDB143" s="4"/>
      <c r="VDC143" s="4"/>
      <c r="VDD143" s="4"/>
      <c r="VDE143" s="4"/>
      <c r="VDF143" s="4"/>
      <c r="VDG143" s="4"/>
      <c r="VDH143" s="4"/>
      <c r="VDI143" s="4"/>
      <c r="VDJ143" s="4"/>
      <c r="VDK143" s="4"/>
      <c r="VDL143" s="4"/>
      <c r="VDM143" s="4"/>
      <c r="VDN143" s="4"/>
      <c r="VDO143" s="4"/>
      <c r="VDP143" s="4"/>
      <c r="VDQ143" s="4"/>
      <c r="VDR143" s="4"/>
      <c r="VDS143" s="4"/>
      <c r="VDT143" s="4"/>
      <c r="VDU143" s="4"/>
      <c r="VDV143" s="4"/>
      <c r="VDW143" s="4"/>
      <c r="VDX143" s="4"/>
      <c r="VDY143" s="4"/>
      <c r="VDZ143" s="4"/>
      <c r="VEA143" s="4"/>
      <c r="VEB143" s="4"/>
      <c r="VEC143" s="4"/>
      <c r="VED143" s="4"/>
      <c r="VEE143" s="4"/>
      <c r="VEF143" s="4"/>
      <c r="VEG143" s="4"/>
      <c r="VEH143" s="4"/>
      <c r="VEI143" s="4"/>
      <c r="VEJ143" s="4"/>
      <c r="VEK143" s="4"/>
      <c r="VEL143" s="4"/>
      <c r="VEM143" s="4"/>
      <c r="VEN143" s="4"/>
      <c r="VEO143" s="4"/>
      <c r="VEP143" s="4"/>
      <c r="VEQ143" s="4"/>
      <c r="VER143" s="4"/>
      <c r="VES143" s="4"/>
      <c r="VET143" s="4"/>
      <c r="VEU143" s="4"/>
      <c r="VEV143" s="4"/>
      <c r="VEW143" s="4"/>
      <c r="VEX143" s="4"/>
      <c r="VEY143" s="4"/>
      <c r="VEZ143" s="4"/>
      <c r="VFA143" s="4"/>
      <c r="VFB143" s="4"/>
      <c r="VFC143" s="4"/>
      <c r="VFD143" s="4"/>
      <c r="VFE143" s="4"/>
      <c r="VFF143" s="4"/>
      <c r="VFG143" s="4"/>
      <c r="VFH143" s="4"/>
      <c r="VFI143" s="4"/>
      <c r="VFJ143" s="4"/>
      <c r="VFK143" s="4"/>
      <c r="VFL143" s="4"/>
      <c r="VFM143" s="4"/>
      <c r="VFN143" s="4"/>
      <c r="VFO143" s="4"/>
      <c r="VFP143" s="4"/>
      <c r="VFQ143" s="4"/>
      <c r="VFR143" s="4"/>
      <c r="VFS143" s="4"/>
      <c r="VFT143" s="4"/>
      <c r="VFU143" s="4"/>
      <c r="VFV143" s="4"/>
      <c r="VFW143" s="4"/>
      <c r="VFX143" s="4"/>
      <c r="VFY143" s="4"/>
      <c r="VFZ143" s="4"/>
      <c r="VGA143" s="4"/>
      <c r="VGB143" s="4"/>
      <c r="VGC143" s="4"/>
      <c r="VGD143" s="4"/>
      <c r="VGE143" s="4"/>
      <c r="VGF143" s="4"/>
      <c r="VGG143" s="4"/>
      <c r="VGH143" s="4"/>
      <c r="VGI143" s="4"/>
      <c r="VGJ143" s="4"/>
      <c r="VGK143" s="4"/>
      <c r="VGL143" s="4"/>
      <c r="VGM143" s="4"/>
      <c r="VGN143" s="4"/>
      <c r="VGO143" s="4"/>
      <c r="VGP143" s="4"/>
      <c r="VGQ143" s="4"/>
      <c r="VGR143" s="4"/>
      <c r="VGS143" s="4"/>
      <c r="VGT143" s="4"/>
      <c r="VGU143" s="4"/>
      <c r="VGV143" s="4"/>
      <c r="VGW143" s="4"/>
      <c r="VGX143" s="4"/>
      <c r="VGY143" s="4"/>
      <c r="VGZ143" s="4"/>
      <c r="VHA143" s="4"/>
      <c r="VHB143" s="4"/>
      <c r="VHC143" s="4"/>
      <c r="VHD143" s="4"/>
      <c r="VHE143" s="4"/>
      <c r="VHF143" s="4"/>
      <c r="VHG143" s="4"/>
      <c r="VHH143" s="4"/>
      <c r="VHI143" s="4"/>
      <c r="VHJ143" s="4"/>
      <c r="VHK143" s="4"/>
      <c r="VHL143" s="4"/>
      <c r="VHM143" s="4"/>
      <c r="VHN143" s="4"/>
      <c r="VHO143" s="4"/>
      <c r="VHP143" s="4"/>
      <c r="VHQ143" s="4"/>
      <c r="VHR143" s="4"/>
      <c r="VHS143" s="4"/>
      <c r="VHT143" s="4"/>
      <c r="VHU143" s="4"/>
      <c r="VHV143" s="4"/>
      <c r="VHW143" s="4"/>
      <c r="VHX143" s="4"/>
      <c r="VHY143" s="4"/>
      <c r="VHZ143" s="4"/>
      <c r="VIA143" s="4"/>
      <c r="VIB143" s="4"/>
      <c r="VIC143" s="4"/>
      <c r="VID143" s="4"/>
      <c r="VIE143" s="4"/>
      <c r="VIF143" s="4"/>
      <c r="VIG143" s="4"/>
      <c r="VIH143" s="4"/>
      <c r="VII143" s="4"/>
      <c r="VIJ143" s="4"/>
      <c r="VIK143" s="4"/>
      <c r="VIL143" s="4"/>
      <c r="VIM143" s="4"/>
      <c r="VIN143" s="4"/>
      <c r="VIO143" s="4"/>
      <c r="VIP143" s="4"/>
      <c r="VIQ143" s="4"/>
      <c r="VIR143" s="4"/>
      <c r="VIS143" s="4"/>
      <c r="VIT143" s="4"/>
      <c r="VIU143" s="4"/>
      <c r="VIV143" s="4"/>
      <c r="VIW143" s="4"/>
      <c r="VIX143" s="4"/>
      <c r="VIY143" s="4"/>
      <c r="VIZ143" s="4"/>
      <c r="VJA143" s="4"/>
      <c r="VJB143" s="4"/>
      <c r="VJC143" s="4"/>
      <c r="VJD143" s="4"/>
      <c r="VJE143" s="4"/>
      <c r="VJF143" s="4"/>
      <c r="VJG143" s="4"/>
      <c r="VJH143" s="4"/>
      <c r="VJI143" s="4"/>
      <c r="VJJ143" s="4"/>
      <c r="VJK143" s="4"/>
      <c r="VJL143" s="4"/>
      <c r="VJM143" s="4"/>
      <c r="VJN143" s="4"/>
      <c r="VJO143" s="4"/>
      <c r="VJP143" s="4"/>
      <c r="VJQ143" s="4"/>
      <c r="VJR143" s="4"/>
      <c r="VJS143" s="4"/>
      <c r="VJT143" s="4"/>
      <c r="VJU143" s="4"/>
      <c r="VJV143" s="4"/>
      <c r="VJW143" s="4"/>
      <c r="VJX143" s="4"/>
      <c r="VJY143" s="4"/>
      <c r="VJZ143" s="4"/>
      <c r="VKA143" s="4"/>
      <c r="VKB143" s="4"/>
      <c r="VKC143" s="4"/>
      <c r="VKD143" s="4"/>
      <c r="VKE143" s="4"/>
      <c r="VKF143" s="4"/>
      <c r="VKG143" s="4"/>
      <c r="VKH143" s="4"/>
      <c r="VKI143" s="4"/>
      <c r="VKJ143" s="4"/>
      <c r="VKK143" s="4"/>
      <c r="VKL143" s="4"/>
      <c r="VKM143" s="4"/>
      <c r="VKN143" s="4"/>
      <c r="VKO143" s="4"/>
      <c r="VKP143" s="4"/>
      <c r="VKQ143" s="4"/>
      <c r="VKR143" s="4"/>
      <c r="VKS143" s="4"/>
      <c r="VKT143" s="4"/>
      <c r="VKU143" s="4"/>
      <c r="VKV143" s="4"/>
      <c r="VKW143" s="4"/>
      <c r="VKX143" s="4"/>
      <c r="VKY143" s="4"/>
      <c r="VKZ143" s="4"/>
      <c r="VLA143" s="4"/>
      <c r="VLB143" s="4"/>
      <c r="VLC143" s="4"/>
      <c r="VLD143" s="4"/>
      <c r="VLE143" s="4"/>
      <c r="VLF143" s="4"/>
      <c r="VLG143" s="4"/>
      <c r="VLH143" s="4"/>
      <c r="VLI143" s="4"/>
      <c r="VLJ143" s="4"/>
      <c r="VLK143" s="4"/>
      <c r="VLL143" s="4"/>
      <c r="VLM143" s="4"/>
      <c r="VLN143" s="4"/>
      <c r="VLO143" s="4"/>
      <c r="VLP143" s="4"/>
      <c r="VLQ143" s="4"/>
      <c r="VLR143" s="4"/>
      <c r="VLS143" s="4"/>
      <c r="VLT143" s="4"/>
      <c r="VLU143" s="4"/>
      <c r="VLV143" s="4"/>
      <c r="VLW143" s="4"/>
      <c r="VLX143" s="4"/>
      <c r="VLY143" s="4"/>
      <c r="VLZ143" s="4"/>
      <c r="VMA143" s="4"/>
      <c r="VMB143" s="4"/>
      <c r="VMC143" s="4"/>
      <c r="VMD143" s="4"/>
      <c r="VME143" s="4"/>
      <c r="VMF143" s="4"/>
      <c r="VMG143" s="4"/>
      <c r="VMH143" s="4"/>
      <c r="VMI143" s="4"/>
      <c r="VMJ143" s="4"/>
      <c r="VMK143" s="4"/>
      <c r="VML143" s="4"/>
      <c r="VMM143" s="4"/>
      <c r="VMN143" s="4"/>
      <c r="VMO143" s="4"/>
      <c r="VMP143" s="4"/>
      <c r="VMQ143" s="4"/>
      <c r="VMR143" s="4"/>
      <c r="VMS143" s="4"/>
      <c r="VMT143" s="4"/>
      <c r="VMU143" s="4"/>
      <c r="VMV143" s="4"/>
      <c r="VMW143" s="4"/>
      <c r="VMX143" s="4"/>
      <c r="VMY143" s="4"/>
      <c r="VMZ143" s="4"/>
      <c r="VNA143" s="4"/>
      <c r="VNB143" s="4"/>
      <c r="VNC143" s="4"/>
      <c r="VND143" s="4"/>
      <c r="VNE143" s="4"/>
      <c r="VNF143" s="4"/>
      <c r="VNG143" s="4"/>
      <c r="VNH143" s="4"/>
      <c r="VNI143" s="4"/>
      <c r="VNJ143" s="4"/>
      <c r="VNK143" s="4"/>
      <c r="VNL143" s="4"/>
      <c r="VNM143" s="4"/>
      <c r="VNN143" s="4"/>
      <c r="VNO143" s="4"/>
      <c r="VNP143" s="4"/>
      <c r="VNQ143" s="4"/>
      <c r="VNR143" s="4"/>
      <c r="VNS143" s="4"/>
      <c r="VNT143" s="4"/>
      <c r="VNU143" s="4"/>
      <c r="VNV143" s="4"/>
      <c r="VNW143" s="4"/>
      <c r="VNX143" s="4"/>
      <c r="VNY143" s="4"/>
      <c r="VNZ143" s="4"/>
      <c r="VOA143" s="4"/>
      <c r="VOB143" s="4"/>
      <c r="VOC143" s="4"/>
      <c r="VOD143" s="4"/>
      <c r="VOE143" s="4"/>
      <c r="VOF143" s="4"/>
      <c r="VOG143" s="4"/>
      <c r="VOH143" s="4"/>
      <c r="VOI143" s="4"/>
      <c r="VOJ143" s="4"/>
      <c r="VOK143" s="4"/>
      <c r="VOL143" s="4"/>
      <c r="VOM143" s="4"/>
      <c r="VON143" s="4"/>
      <c r="VOO143" s="4"/>
      <c r="VOP143" s="4"/>
      <c r="VOQ143" s="4"/>
      <c r="VOR143" s="4"/>
      <c r="VOS143" s="4"/>
      <c r="VOT143" s="4"/>
      <c r="VOU143" s="4"/>
      <c r="VOV143" s="4"/>
      <c r="VOW143" s="4"/>
      <c r="VOX143" s="4"/>
      <c r="VOY143" s="4"/>
      <c r="VOZ143" s="4"/>
      <c r="VPA143" s="4"/>
      <c r="VPB143" s="4"/>
      <c r="VPC143" s="4"/>
      <c r="VPD143" s="4"/>
      <c r="VPE143" s="4"/>
      <c r="VPF143" s="4"/>
      <c r="VPG143" s="4"/>
      <c r="VPH143" s="4"/>
      <c r="VPI143" s="4"/>
      <c r="VPJ143" s="4"/>
      <c r="VPK143" s="4"/>
      <c r="VPL143" s="4"/>
      <c r="VPM143" s="4"/>
      <c r="VPN143" s="4"/>
      <c r="VPO143" s="4"/>
      <c r="VPP143" s="4"/>
      <c r="VPQ143" s="4"/>
      <c r="VPR143" s="4"/>
      <c r="VPS143" s="4"/>
      <c r="VPT143" s="4"/>
      <c r="VPU143" s="4"/>
      <c r="VPV143" s="4"/>
      <c r="VPW143" s="4"/>
      <c r="VPX143" s="4"/>
      <c r="VPY143" s="4"/>
      <c r="VPZ143" s="4"/>
      <c r="VQA143" s="4"/>
      <c r="VQB143" s="4"/>
      <c r="VQC143" s="4"/>
      <c r="VQD143" s="4"/>
      <c r="VQE143" s="4"/>
      <c r="VQF143" s="4"/>
      <c r="VQG143" s="4"/>
      <c r="VQH143" s="4"/>
      <c r="VQI143" s="4"/>
      <c r="VQJ143" s="4"/>
      <c r="VQK143" s="4"/>
      <c r="VQL143" s="4"/>
      <c r="VQM143" s="4"/>
      <c r="VQN143" s="4"/>
      <c r="VQO143" s="4"/>
      <c r="VQP143" s="4"/>
      <c r="VQQ143" s="4"/>
      <c r="VQR143" s="4"/>
      <c r="VQS143" s="4"/>
      <c r="VQT143" s="4"/>
      <c r="VQU143" s="4"/>
      <c r="VQV143" s="4"/>
      <c r="VQW143" s="4"/>
      <c r="VQX143" s="4"/>
      <c r="VQY143" s="4"/>
      <c r="VQZ143" s="4"/>
      <c r="VRA143" s="4"/>
      <c r="VRB143" s="4"/>
      <c r="VRC143" s="4"/>
      <c r="VRD143" s="4"/>
      <c r="VRE143" s="4"/>
      <c r="VRF143" s="4"/>
      <c r="VRG143" s="4"/>
      <c r="VRH143" s="4"/>
      <c r="VRI143" s="4"/>
      <c r="VRJ143" s="4"/>
      <c r="VRK143" s="4"/>
      <c r="VRL143" s="4"/>
      <c r="VRM143" s="4"/>
      <c r="VRN143" s="4"/>
      <c r="VRO143" s="4"/>
      <c r="VRP143" s="4"/>
      <c r="VRQ143" s="4"/>
      <c r="VRR143" s="4"/>
      <c r="VRS143" s="4"/>
      <c r="VRT143" s="4"/>
      <c r="VRU143" s="4"/>
      <c r="VRV143" s="4"/>
      <c r="VRW143" s="4"/>
      <c r="VRX143" s="4"/>
      <c r="VRY143" s="4"/>
      <c r="VRZ143" s="4"/>
      <c r="VSA143" s="4"/>
      <c r="VSB143" s="4"/>
      <c r="VSC143" s="4"/>
      <c r="VSD143" s="4"/>
      <c r="VSE143" s="4"/>
      <c r="VSF143" s="4"/>
      <c r="VSG143" s="4"/>
      <c r="VSH143" s="4"/>
      <c r="VSI143" s="4"/>
      <c r="VSJ143" s="4"/>
      <c r="VSK143" s="4"/>
      <c r="VSL143" s="4"/>
      <c r="VSM143" s="4"/>
      <c r="VSN143" s="4"/>
      <c r="VSO143" s="4"/>
      <c r="VSP143" s="4"/>
      <c r="VSQ143" s="4"/>
      <c r="VSR143" s="4"/>
      <c r="VSS143" s="4"/>
      <c r="VST143" s="4"/>
      <c r="VSU143" s="4"/>
      <c r="VSV143" s="4"/>
      <c r="VSW143" s="4"/>
      <c r="VSX143" s="4"/>
      <c r="VSY143" s="4"/>
      <c r="VSZ143" s="4"/>
      <c r="VTA143" s="4"/>
      <c r="VTB143" s="4"/>
      <c r="VTC143" s="4"/>
      <c r="VTD143" s="4"/>
      <c r="VTE143" s="4"/>
      <c r="VTF143" s="4"/>
      <c r="VTG143" s="4"/>
      <c r="VTH143" s="4"/>
      <c r="VTI143" s="4"/>
      <c r="VTJ143" s="4"/>
      <c r="VTK143" s="4"/>
      <c r="VTL143" s="4"/>
      <c r="VTM143" s="4"/>
      <c r="VTN143" s="4"/>
      <c r="VTO143" s="4"/>
      <c r="VTP143" s="4"/>
      <c r="VTQ143" s="4"/>
      <c r="VTR143" s="4"/>
      <c r="VTS143" s="4"/>
      <c r="VTT143" s="4"/>
      <c r="VTU143" s="4"/>
      <c r="VTV143" s="4"/>
      <c r="VTW143" s="4"/>
      <c r="VTX143" s="4"/>
      <c r="VTY143" s="4"/>
      <c r="VTZ143" s="4"/>
      <c r="VUA143" s="4"/>
      <c r="VUB143" s="4"/>
      <c r="VUC143" s="4"/>
      <c r="VUD143" s="4"/>
      <c r="VUE143" s="4"/>
      <c r="VUF143" s="4"/>
      <c r="VUG143" s="4"/>
      <c r="VUH143" s="4"/>
      <c r="VUI143" s="4"/>
      <c r="VUJ143" s="4"/>
      <c r="VUK143" s="4"/>
      <c r="VUL143" s="4"/>
      <c r="VUM143" s="4"/>
      <c r="VUN143" s="4"/>
      <c r="VUO143" s="4"/>
      <c r="VUP143" s="4"/>
      <c r="VUQ143" s="4"/>
      <c r="VUR143" s="4"/>
      <c r="VUS143" s="4"/>
      <c r="VUT143" s="4"/>
      <c r="VUU143" s="4"/>
      <c r="VUV143" s="4"/>
      <c r="VUW143" s="4"/>
      <c r="VUX143" s="4"/>
      <c r="VUY143" s="4"/>
      <c r="VUZ143" s="4"/>
      <c r="VVA143" s="4"/>
      <c r="VVB143" s="4"/>
      <c r="VVC143" s="4"/>
      <c r="VVD143" s="4"/>
      <c r="VVE143" s="4"/>
      <c r="VVF143" s="4"/>
      <c r="VVG143" s="4"/>
      <c r="VVH143" s="4"/>
      <c r="VVI143" s="4"/>
      <c r="VVJ143" s="4"/>
      <c r="VVK143" s="4"/>
      <c r="VVL143" s="4"/>
      <c r="VVM143" s="4"/>
      <c r="VVN143" s="4"/>
      <c r="VVO143" s="4"/>
      <c r="VVP143" s="4"/>
      <c r="VVQ143" s="4"/>
      <c r="VVR143" s="4"/>
      <c r="VVS143" s="4"/>
      <c r="VVT143" s="4"/>
      <c r="VVU143" s="4"/>
      <c r="VVV143" s="4"/>
      <c r="VVW143" s="4"/>
      <c r="VVX143" s="4"/>
      <c r="VVY143" s="4"/>
      <c r="VVZ143" s="4"/>
      <c r="VWA143" s="4"/>
      <c r="VWB143" s="4"/>
      <c r="VWC143" s="4"/>
      <c r="VWD143" s="4"/>
      <c r="VWE143" s="4"/>
      <c r="VWF143" s="4"/>
      <c r="VWG143" s="4"/>
      <c r="VWH143" s="4"/>
      <c r="VWI143" s="4"/>
      <c r="VWJ143" s="4"/>
      <c r="VWK143" s="4"/>
      <c r="VWL143" s="4"/>
      <c r="VWM143" s="4"/>
      <c r="VWN143" s="4"/>
      <c r="VWO143" s="4"/>
      <c r="VWP143" s="4"/>
      <c r="VWQ143" s="4"/>
      <c r="VWR143" s="4"/>
      <c r="VWS143" s="4"/>
      <c r="VWT143" s="4"/>
      <c r="VWU143" s="4"/>
      <c r="VWV143" s="4"/>
      <c r="VWW143" s="4"/>
      <c r="VWX143" s="4"/>
      <c r="VWY143" s="4"/>
      <c r="VWZ143" s="4"/>
      <c r="VXA143" s="4"/>
      <c r="VXB143" s="4"/>
      <c r="VXC143" s="4"/>
      <c r="VXD143" s="4"/>
      <c r="VXE143" s="4"/>
      <c r="VXF143" s="4"/>
      <c r="VXG143" s="4"/>
      <c r="VXH143" s="4"/>
      <c r="VXI143" s="4"/>
      <c r="VXJ143" s="4"/>
      <c r="VXK143" s="4"/>
      <c r="VXL143" s="4"/>
      <c r="VXM143" s="4"/>
      <c r="VXN143" s="4"/>
      <c r="VXO143" s="4"/>
      <c r="VXP143" s="4"/>
      <c r="VXQ143" s="4"/>
      <c r="VXR143" s="4"/>
      <c r="VXS143" s="4"/>
      <c r="VXT143" s="4"/>
      <c r="VXU143" s="4"/>
      <c r="VXV143" s="4"/>
      <c r="VXW143" s="4"/>
      <c r="VXX143" s="4"/>
      <c r="VXY143" s="4"/>
      <c r="VXZ143" s="4"/>
      <c r="VYA143" s="4"/>
      <c r="VYB143" s="4"/>
      <c r="VYC143" s="4"/>
      <c r="VYD143" s="4"/>
      <c r="VYE143" s="4"/>
      <c r="VYF143" s="4"/>
      <c r="VYG143" s="4"/>
      <c r="VYH143" s="4"/>
      <c r="VYI143" s="4"/>
      <c r="VYJ143" s="4"/>
      <c r="VYK143" s="4"/>
      <c r="VYL143" s="4"/>
      <c r="VYM143" s="4"/>
      <c r="VYN143" s="4"/>
      <c r="VYO143" s="4"/>
      <c r="VYP143" s="4"/>
      <c r="VYQ143" s="4"/>
      <c r="VYR143" s="4"/>
      <c r="VYS143" s="4"/>
      <c r="VYT143" s="4"/>
      <c r="VYU143" s="4"/>
      <c r="VYV143" s="4"/>
      <c r="VYW143" s="4"/>
      <c r="VYX143" s="4"/>
      <c r="VYY143" s="4"/>
      <c r="VYZ143" s="4"/>
      <c r="VZA143" s="4"/>
      <c r="VZB143" s="4"/>
      <c r="VZC143" s="4"/>
      <c r="VZD143" s="4"/>
      <c r="VZE143" s="4"/>
      <c r="VZF143" s="4"/>
      <c r="VZG143" s="4"/>
      <c r="VZH143" s="4"/>
      <c r="VZI143" s="4"/>
      <c r="VZJ143" s="4"/>
      <c r="VZK143" s="4"/>
      <c r="VZL143" s="4"/>
      <c r="VZM143" s="4"/>
      <c r="VZN143" s="4"/>
      <c r="VZO143" s="4"/>
      <c r="VZP143" s="4"/>
      <c r="VZQ143" s="4"/>
      <c r="VZR143" s="4"/>
      <c r="VZS143" s="4"/>
      <c r="VZT143" s="4"/>
      <c r="VZU143" s="4"/>
      <c r="VZV143" s="4"/>
      <c r="VZW143" s="4"/>
      <c r="VZX143" s="4"/>
      <c r="VZY143" s="4"/>
      <c r="VZZ143" s="4"/>
      <c r="WAA143" s="4"/>
      <c r="WAB143" s="4"/>
      <c r="WAC143" s="4"/>
      <c r="WAD143" s="4"/>
      <c r="WAE143" s="4"/>
      <c r="WAF143" s="4"/>
      <c r="WAG143" s="4"/>
      <c r="WAH143" s="4"/>
      <c r="WAI143" s="4"/>
      <c r="WAJ143" s="4"/>
      <c r="WAK143" s="4"/>
      <c r="WAL143" s="4"/>
      <c r="WAM143" s="4"/>
      <c r="WAN143" s="4"/>
      <c r="WAO143" s="4"/>
      <c r="WAP143" s="4"/>
      <c r="WAQ143" s="4"/>
      <c r="WAR143" s="4"/>
      <c r="WAS143" s="4"/>
      <c r="WAT143" s="4"/>
      <c r="WAU143" s="4"/>
      <c r="WAV143" s="4"/>
      <c r="WAW143" s="4"/>
      <c r="WAX143" s="4"/>
      <c r="WAY143" s="4"/>
      <c r="WAZ143" s="4"/>
      <c r="WBA143" s="4"/>
      <c r="WBB143" s="4"/>
      <c r="WBC143" s="4"/>
      <c r="WBD143" s="4"/>
      <c r="WBE143" s="4"/>
      <c r="WBF143" s="4"/>
      <c r="WBG143" s="4"/>
      <c r="WBH143" s="4"/>
      <c r="WBI143" s="4"/>
      <c r="WBJ143" s="4"/>
      <c r="WBK143" s="4"/>
      <c r="WBL143" s="4"/>
      <c r="WBM143" s="4"/>
      <c r="WBN143" s="4"/>
      <c r="WBO143" s="4"/>
      <c r="WBP143" s="4"/>
      <c r="WBQ143" s="4"/>
      <c r="WBR143" s="4"/>
      <c r="WBS143" s="4"/>
      <c r="WBT143" s="4"/>
      <c r="WBU143" s="4"/>
      <c r="WBV143" s="4"/>
      <c r="WBW143" s="4"/>
      <c r="WBX143" s="4"/>
      <c r="WBY143" s="4"/>
      <c r="WBZ143" s="4"/>
      <c r="WCA143" s="4"/>
      <c r="WCB143" s="4"/>
      <c r="WCC143" s="4"/>
      <c r="WCD143" s="4"/>
      <c r="WCE143" s="4"/>
      <c r="WCF143" s="4"/>
      <c r="WCG143" s="4"/>
      <c r="WCH143" s="4"/>
      <c r="WCI143" s="4"/>
      <c r="WCJ143" s="4"/>
      <c r="WCK143" s="4"/>
      <c r="WCL143" s="4"/>
      <c r="WCM143" s="4"/>
      <c r="WCN143" s="4"/>
      <c r="WCO143" s="4"/>
      <c r="WCP143" s="4"/>
      <c r="WCQ143" s="4"/>
      <c r="WCR143" s="4"/>
      <c r="WCS143" s="4"/>
      <c r="WCT143" s="4"/>
      <c r="WCU143" s="4"/>
      <c r="WCV143" s="4"/>
      <c r="WCW143" s="4"/>
      <c r="WCX143" s="4"/>
      <c r="WCY143" s="4"/>
      <c r="WCZ143" s="4"/>
      <c r="WDA143" s="4"/>
      <c r="WDB143" s="4"/>
      <c r="WDC143" s="4"/>
      <c r="WDD143" s="4"/>
      <c r="WDE143" s="4"/>
      <c r="WDF143" s="4"/>
      <c r="WDG143" s="4"/>
      <c r="WDH143" s="4"/>
      <c r="WDI143" s="4"/>
      <c r="WDJ143" s="4"/>
      <c r="WDK143" s="4"/>
      <c r="WDL143" s="4"/>
      <c r="WDM143" s="4"/>
      <c r="WDN143" s="4"/>
      <c r="WDO143" s="4"/>
      <c r="WDP143" s="4"/>
      <c r="WDQ143" s="4"/>
      <c r="WDR143" s="4"/>
      <c r="WDS143" s="4"/>
      <c r="WDT143" s="4"/>
      <c r="WDU143" s="4"/>
      <c r="WDV143" s="4"/>
      <c r="WDW143" s="4"/>
      <c r="WDX143" s="4"/>
      <c r="WDY143" s="4"/>
      <c r="WDZ143" s="4"/>
      <c r="WEA143" s="4"/>
      <c r="WEB143" s="4"/>
      <c r="WEC143" s="4"/>
      <c r="WED143" s="4"/>
      <c r="WEE143" s="4"/>
      <c r="WEF143" s="4"/>
      <c r="WEG143" s="4"/>
      <c r="WEH143" s="4"/>
      <c r="WEI143" s="4"/>
      <c r="WEJ143" s="4"/>
      <c r="WEK143" s="4"/>
      <c r="WEL143" s="4"/>
      <c r="WEM143" s="4"/>
      <c r="WEN143" s="4"/>
      <c r="WEO143" s="4"/>
      <c r="WEP143" s="4"/>
      <c r="WEQ143" s="4"/>
      <c r="WER143" s="4"/>
      <c r="WES143" s="4"/>
      <c r="WET143" s="4"/>
      <c r="WEU143" s="4"/>
      <c r="WEV143" s="4"/>
      <c r="WEW143" s="4"/>
      <c r="WEX143" s="4"/>
      <c r="WEY143" s="4"/>
      <c r="WEZ143" s="4"/>
      <c r="WFA143" s="4"/>
      <c r="WFB143" s="4"/>
      <c r="WFC143" s="4"/>
      <c r="WFD143" s="4"/>
      <c r="WFE143" s="4"/>
      <c r="WFF143" s="4"/>
      <c r="WFG143" s="4"/>
      <c r="WFH143" s="4"/>
      <c r="WFI143" s="4"/>
      <c r="WFJ143" s="4"/>
      <c r="WFK143" s="4"/>
      <c r="WFL143" s="4"/>
      <c r="WFM143" s="4"/>
      <c r="WFN143" s="4"/>
      <c r="WFO143" s="4"/>
      <c r="WFP143" s="4"/>
      <c r="WFQ143" s="4"/>
      <c r="WFR143" s="4"/>
      <c r="WFS143" s="4"/>
      <c r="WFT143" s="4"/>
      <c r="WFU143" s="4"/>
      <c r="WFV143" s="4"/>
      <c r="WFW143" s="4"/>
      <c r="WFX143" s="4"/>
      <c r="WFY143" s="4"/>
      <c r="WFZ143" s="4"/>
      <c r="WGA143" s="4"/>
      <c r="WGB143" s="4"/>
      <c r="WGC143" s="4"/>
      <c r="WGD143" s="4"/>
      <c r="WGE143" s="4"/>
      <c r="WGF143" s="4"/>
      <c r="WGG143" s="4"/>
      <c r="WGH143" s="4"/>
      <c r="WGI143" s="4"/>
      <c r="WGJ143" s="4"/>
      <c r="WGK143" s="4"/>
      <c r="WGL143" s="4"/>
      <c r="WGM143" s="4"/>
      <c r="WGN143" s="4"/>
      <c r="WGO143" s="4"/>
      <c r="WGP143" s="4"/>
      <c r="WGQ143" s="4"/>
      <c r="WGR143" s="4"/>
      <c r="WGS143" s="4"/>
      <c r="WGT143" s="4"/>
      <c r="WGU143" s="4"/>
      <c r="WGV143" s="4"/>
      <c r="WGW143" s="4"/>
      <c r="WGX143" s="4"/>
      <c r="WGY143" s="4"/>
      <c r="WGZ143" s="4"/>
      <c r="WHA143" s="4"/>
      <c r="WHB143" s="4"/>
      <c r="WHC143" s="4"/>
      <c r="WHD143" s="4"/>
      <c r="WHE143" s="4"/>
      <c r="WHF143" s="4"/>
      <c r="WHG143" s="4"/>
      <c r="WHH143" s="4"/>
      <c r="WHI143" s="4"/>
      <c r="WHJ143" s="4"/>
      <c r="WHK143" s="4"/>
      <c r="WHL143" s="4"/>
      <c r="WHM143" s="4"/>
      <c r="WHN143" s="4"/>
      <c r="WHO143" s="4"/>
      <c r="WHP143" s="4"/>
      <c r="WHQ143" s="4"/>
      <c r="WHR143" s="4"/>
      <c r="WHS143" s="4"/>
      <c r="WHT143" s="4"/>
      <c r="WHU143" s="4"/>
      <c r="WHV143" s="4"/>
      <c r="WHW143" s="4"/>
      <c r="WHX143" s="4"/>
      <c r="WHY143" s="4"/>
      <c r="WHZ143" s="4"/>
      <c r="WIA143" s="4"/>
      <c r="WIB143" s="4"/>
      <c r="WIC143" s="4"/>
      <c r="WID143" s="4"/>
      <c r="WIE143" s="4"/>
      <c r="WIF143" s="4"/>
      <c r="WIG143" s="4"/>
      <c r="WIH143" s="4"/>
      <c r="WII143" s="4"/>
      <c r="WIJ143" s="4"/>
      <c r="WIK143" s="4"/>
      <c r="WIL143" s="4"/>
      <c r="WIM143" s="4"/>
      <c r="WIN143" s="4"/>
      <c r="WIO143" s="4"/>
      <c r="WIP143" s="4"/>
      <c r="WIQ143" s="4"/>
      <c r="WIR143" s="4"/>
      <c r="WIS143" s="4"/>
      <c r="WIT143" s="4"/>
      <c r="WIU143" s="4"/>
      <c r="WIV143" s="4"/>
      <c r="WIW143" s="4"/>
      <c r="WIX143" s="4"/>
      <c r="WIY143" s="4"/>
      <c r="WIZ143" s="4"/>
      <c r="WJA143" s="4"/>
      <c r="WJB143" s="4"/>
      <c r="WJC143" s="4"/>
      <c r="WJD143" s="4"/>
      <c r="WJE143" s="4"/>
      <c r="WJF143" s="4"/>
      <c r="WJG143" s="4"/>
      <c r="WJH143" s="4"/>
      <c r="WJI143" s="4"/>
      <c r="WJJ143" s="4"/>
      <c r="WJK143" s="4"/>
      <c r="WJL143" s="4"/>
      <c r="WJM143" s="4"/>
      <c r="WJN143" s="4"/>
      <c r="WJO143" s="4"/>
      <c r="WJP143" s="4"/>
      <c r="WJQ143" s="4"/>
      <c r="WJR143" s="4"/>
      <c r="WJS143" s="4"/>
      <c r="WJT143" s="4"/>
      <c r="WJU143" s="4"/>
      <c r="WJV143" s="4"/>
      <c r="WJW143" s="4"/>
      <c r="WJX143" s="4"/>
      <c r="WJY143" s="4"/>
      <c r="WJZ143" s="4"/>
      <c r="WKA143" s="4"/>
      <c r="WKB143" s="4"/>
      <c r="WKC143" s="4"/>
      <c r="WKD143" s="4"/>
      <c r="WKE143" s="4"/>
      <c r="WKF143" s="4"/>
      <c r="WKG143" s="4"/>
      <c r="WKH143" s="4"/>
      <c r="WKI143" s="4"/>
      <c r="WKJ143" s="4"/>
      <c r="WKK143" s="4"/>
      <c r="WKL143" s="4"/>
      <c r="WKM143" s="4"/>
      <c r="WKN143" s="4"/>
      <c r="WKO143" s="4"/>
      <c r="WKP143" s="4"/>
      <c r="WKQ143" s="4"/>
      <c r="WKR143" s="4"/>
      <c r="WKS143" s="4"/>
      <c r="WKT143" s="4"/>
      <c r="WKU143" s="4"/>
      <c r="WKV143" s="4"/>
      <c r="WKW143" s="4"/>
      <c r="WKX143" s="4"/>
      <c r="WKY143" s="4"/>
      <c r="WKZ143" s="4"/>
      <c r="WLA143" s="4"/>
      <c r="WLB143" s="4"/>
      <c r="WLC143" s="4"/>
      <c r="WLD143" s="4"/>
      <c r="WLE143" s="4"/>
      <c r="WLF143" s="4"/>
      <c r="WLG143" s="4"/>
      <c r="WLH143" s="4"/>
      <c r="WLI143" s="4"/>
      <c r="WLJ143" s="4"/>
      <c r="WLK143" s="4"/>
      <c r="WLL143" s="4"/>
      <c r="WLM143" s="4"/>
      <c r="WLN143" s="4"/>
      <c r="WLO143" s="4"/>
      <c r="WLP143" s="4"/>
      <c r="WLQ143" s="4"/>
      <c r="WLR143" s="4"/>
      <c r="WLS143" s="4"/>
      <c r="WLT143" s="4"/>
      <c r="WLU143" s="4"/>
      <c r="WLV143" s="4"/>
      <c r="WLW143" s="4"/>
      <c r="WLX143" s="4"/>
      <c r="WLY143" s="4"/>
      <c r="WLZ143" s="4"/>
      <c r="WMA143" s="4"/>
      <c r="WMB143" s="4"/>
      <c r="WMC143" s="4"/>
      <c r="WMD143" s="4"/>
      <c r="WME143" s="4"/>
      <c r="WMF143" s="4"/>
      <c r="WMG143" s="4"/>
      <c r="WMH143" s="4"/>
      <c r="WMI143" s="4"/>
      <c r="WMJ143" s="4"/>
      <c r="WMK143" s="4"/>
      <c r="WML143" s="4"/>
      <c r="WMM143" s="4"/>
      <c r="WMN143" s="4"/>
      <c r="WMO143" s="4"/>
      <c r="WMP143" s="4"/>
      <c r="WMQ143" s="4"/>
      <c r="WMR143" s="4"/>
      <c r="WMS143" s="4"/>
      <c r="WMT143" s="4"/>
      <c r="WMU143" s="4"/>
      <c r="WMV143" s="4"/>
      <c r="WMW143" s="4"/>
      <c r="WMX143" s="4"/>
      <c r="WMY143" s="4"/>
      <c r="WMZ143" s="4"/>
      <c r="WNA143" s="4"/>
      <c r="WNB143" s="4"/>
      <c r="WNC143" s="4"/>
      <c r="WND143" s="4"/>
      <c r="WNE143" s="4"/>
      <c r="WNF143" s="4"/>
      <c r="WNG143" s="4"/>
      <c r="WNH143" s="4"/>
      <c r="WNI143" s="4"/>
      <c r="WNJ143" s="4"/>
      <c r="WNK143" s="4"/>
      <c r="WNL143" s="4"/>
      <c r="WNM143" s="4"/>
      <c r="WNN143" s="4"/>
      <c r="WNO143" s="4"/>
      <c r="WNP143" s="4"/>
      <c r="WNQ143" s="4"/>
      <c r="WNR143" s="4"/>
      <c r="WNS143" s="4"/>
      <c r="WNT143" s="4"/>
      <c r="WNU143" s="4"/>
      <c r="WNV143" s="4"/>
      <c r="WNW143" s="4"/>
      <c r="WNX143" s="4"/>
      <c r="WNY143" s="4"/>
      <c r="WNZ143" s="4"/>
      <c r="WOA143" s="4"/>
      <c r="WOB143" s="4"/>
      <c r="WOC143" s="4"/>
      <c r="WOD143" s="4"/>
      <c r="WOE143" s="4"/>
      <c r="WOF143" s="4"/>
      <c r="WOG143" s="4"/>
      <c r="WOH143" s="4"/>
      <c r="WOI143" s="4"/>
      <c r="WOJ143" s="4"/>
      <c r="WOK143" s="4"/>
      <c r="WOL143" s="4"/>
      <c r="WOM143" s="4"/>
      <c r="WON143" s="4"/>
      <c r="WOO143" s="4"/>
      <c r="WOP143" s="4"/>
      <c r="WOQ143" s="4"/>
      <c r="WOR143" s="4"/>
      <c r="WOS143" s="4"/>
      <c r="WOT143" s="4"/>
      <c r="WOU143" s="4"/>
      <c r="WOV143" s="4"/>
      <c r="WOW143" s="4"/>
      <c r="WOX143" s="4"/>
      <c r="WOY143" s="4"/>
      <c r="WOZ143" s="4"/>
      <c r="WPA143" s="4"/>
      <c r="WPB143" s="4"/>
      <c r="WPC143" s="4"/>
      <c r="WPD143" s="4"/>
      <c r="WPE143" s="4"/>
      <c r="WPF143" s="4"/>
      <c r="WPG143" s="4"/>
      <c r="WPH143" s="4"/>
      <c r="WPI143" s="4"/>
      <c r="WPJ143" s="4"/>
      <c r="WPK143" s="4"/>
      <c r="WPL143" s="4"/>
      <c r="WPM143" s="4"/>
      <c r="WPN143" s="4"/>
      <c r="WPO143" s="4"/>
      <c r="WPP143" s="4"/>
      <c r="WPQ143" s="4"/>
      <c r="WPR143" s="4"/>
      <c r="WPS143" s="4"/>
      <c r="WPT143" s="4"/>
      <c r="WPU143" s="4"/>
      <c r="WPV143" s="4"/>
      <c r="WPW143" s="4"/>
      <c r="WPX143" s="4"/>
      <c r="WPY143" s="4"/>
      <c r="WPZ143" s="4"/>
      <c r="WQA143" s="4"/>
      <c r="WQB143" s="4"/>
      <c r="WQC143" s="4"/>
      <c r="WQD143" s="4"/>
      <c r="WQE143" s="4"/>
      <c r="WQF143" s="4"/>
      <c r="WQG143" s="4"/>
      <c r="WQH143" s="4"/>
      <c r="WQI143" s="4"/>
      <c r="WQJ143" s="4"/>
      <c r="WQK143" s="4"/>
      <c r="WQL143" s="4"/>
      <c r="WQM143" s="4"/>
      <c r="WQN143" s="4"/>
      <c r="WQO143" s="4"/>
      <c r="WQP143" s="4"/>
      <c r="WQQ143" s="4"/>
      <c r="WQR143" s="4"/>
      <c r="WQS143" s="4"/>
      <c r="WQT143" s="4"/>
      <c r="WQU143" s="4"/>
      <c r="WQV143" s="4"/>
      <c r="WQW143" s="4"/>
      <c r="WQX143" s="4"/>
      <c r="WQY143" s="4"/>
      <c r="WQZ143" s="4"/>
      <c r="WRA143" s="4"/>
      <c r="WRB143" s="4"/>
      <c r="WRC143" s="4"/>
      <c r="WRD143" s="4"/>
      <c r="WRE143" s="4"/>
      <c r="WRF143" s="4"/>
      <c r="WRG143" s="4"/>
      <c r="WRH143" s="4"/>
      <c r="WRI143" s="4"/>
      <c r="WRJ143" s="4"/>
      <c r="WRK143" s="4"/>
      <c r="WRL143" s="4"/>
      <c r="WRM143" s="4"/>
      <c r="WRN143" s="4"/>
      <c r="WRO143" s="4"/>
      <c r="WRP143" s="4"/>
      <c r="WRQ143" s="4"/>
      <c r="WRR143" s="4"/>
      <c r="WRS143" s="4"/>
      <c r="WRT143" s="4"/>
      <c r="WRU143" s="4"/>
      <c r="WRV143" s="4"/>
      <c r="WRW143" s="4"/>
      <c r="WRX143" s="4"/>
      <c r="WRY143" s="4"/>
      <c r="WRZ143" s="4"/>
      <c r="WSA143" s="4"/>
      <c r="WSB143" s="4"/>
      <c r="WSC143" s="4"/>
      <c r="WSD143" s="4"/>
      <c r="WSE143" s="4"/>
      <c r="WSF143" s="4"/>
      <c r="WSG143" s="4"/>
      <c r="WSH143" s="4"/>
      <c r="WSI143" s="4"/>
      <c r="WSJ143" s="4"/>
      <c r="WSK143" s="4"/>
      <c r="WSL143" s="4"/>
      <c r="WSM143" s="4"/>
      <c r="WSN143" s="4"/>
      <c r="WSO143" s="4"/>
      <c r="WSP143" s="4"/>
      <c r="WSQ143" s="4"/>
      <c r="WSR143" s="4"/>
      <c r="WSS143" s="4"/>
      <c r="WST143" s="4"/>
      <c r="WSU143" s="4"/>
      <c r="WSV143" s="4"/>
      <c r="WSW143" s="4"/>
      <c r="WSX143" s="4"/>
      <c r="WSY143" s="4"/>
      <c r="WSZ143" s="4"/>
      <c r="WTA143" s="4"/>
      <c r="WTB143" s="4"/>
      <c r="WTC143" s="4"/>
      <c r="WTD143" s="4"/>
      <c r="WTE143" s="4"/>
      <c r="WTF143" s="4"/>
      <c r="WTG143" s="4"/>
      <c r="WTH143" s="4"/>
      <c r="WTI143" s="4"/>
      <c r="WTJ143" s="4"/>
      <c r="WTK143" s="4"/>
      <c r="WTL143" s="4"/>
      <c r="WTM143" s="4"/>
      <c r="WTN143" s="4"/>
      <c r="WTO143" s="4"/>
      <c r="WTP143" s="4"/>
      <c r="WTQ143" s="4"/>
      <c r="WTR143" s="4"/>
      <c r="WTS143" s="4"/>
      <c r="WTT143" s="4"/>
      <c r="WTU143" s="4"/>
      <c r="WTV143" s="4"/>
      <c r="WTW143" s="4"/>
      <c r="WTX143" s="4"/>
      <c r="WTY143" s="4"/>
      <c r="WTZ143" s="4"/>
      <c r="WUA143" s="4"/>
      <c r="WUB143" s="4"/>
      <c r="WUC143" s="4"/>
      <c r="WUD143" s="4"/>
      <c r="WUE143" s="4"/>
      <c r="WUF143" s="4"/>
      <c r="WUG143" s="4"/>
      <c r="WUH143" s="4"/>
      <c r="WUI143" s="4"/>
      <c r="WUJ143" s="4"/>
      <c r="WUK143" s="4"/>
      <c r="WUL143" s="4"/>
      <c r="WUM143" s="4"/>
      <c r="WUN143" s="4"/>
      <c r="WUO143" s="4"/>
      <c r="WUP143" s="4"/>
      <c r="WUQ143" s="4"/>
      <c r="WUR143" s="4"/>
      <c r="WUS143" s="4"/>
      <c r="WUT143" s="4"/>
      <c r="WUU143" s="4"/>
      <c r="WUV143" s="4"/>
      <c r="WUW143" s="4"/>
      <c r="WUX143" s="4"/>
      <c r="WUY143" s="4"/>
      <c r="WUZ143" s="4"/>
      <c r="WVA143" s="4"/>
      <c r="WVB143" s="4"/>
      <c r="WVC143" s="4"/>
      <c r="WVD143" s="4"/>
      <c r="WVE143" s="4"/>
      <c r="WVF143" s="4"/>
      <c r="WVG143" s="4"/>
      <c r="WVH143" s="4"/>
      <c r="WVI143" s="4"/>
      <c r="WVJ143" s="4"/>
      <c r="WVK143" s="4"/>
      <c r="WVL143" s="4"/>
      <c r="WVM143" s="4"/>
      <c r="WVN143" s="4"/>
      <c r="WVO143" s="4"/>
      <c r="WVP143" s="4"/>
      <c r="WVQ143" s="4"/>
      <c r="WVR143" s="4"/>
      <c r="WVS143" s="4"/>
      <c r="WVT143" s="4"/>
      <c r="WVU143" s="4"/>
      <c r="WVV143" s="4"/>
      <c r="WVW143" s="4"/>
      <c r="WVX143" s="4"/>
      <c r="WVY143" s="4"/>
      <c r="WVZ143" s="4"/>
      <c r="WWA143" s="4"/>
      <c r="WWB143" s="4"/>
      <c r="WWC143" s="4"/>
      <c r="WWD143" s="4"/>
      <c r="WWE143" s="4"/>
      <c r="WWF143" s="4"/>
      <c r="WWG143" s="4"/>
      <c r="WWH143" s="4"/>
      <c r="WWI143" s="4"/>
      <c r="WWJ143" s="4"/>
      <c r="WWK143" s="4"/>
      <c r="WWL143" s="4"/>
      <c r="WWM143" s="4"/>
      <c r="WWN143" s="4"/>
      <c r="WWO143" s="4"/>
      <c r="WWP143" s="4"/>
      <c r="WWQ143" s="4"/>
      <c r="WWR143" s="4"/>
      <c r="WWS143" s="4"/>
      <c r="WWT143" s="4"/>
      <c r="WWU143" s="4"/>
      <c r="WWV143" s="4"/>
      <c r="WWW143" s="4"/>
      <c r="WWX143" s="4"/>
      <c r="WWY143" s="4"/>
      <c r="WWZ143" s="4"/>
      <c r="WXA143" s="4"/>
      <c r="WXB143" s="4"/>
      <c r="WXC143" s="4"/>
      <c r="WXD143" s="4"/>
      <c r="WXE143" s="4"/>
      <c r="WXF143" s="4"/>
      <c r="WXG143" s="4"/>
      <c r="WXH143" s="4"/>
      <c r="WXI143" s="4"/>
      <c r="WXJ143" s="4"/>
      <c r="WXK143" s="4"/>
      <c r="WXL143" s="4"/>
      <c r="WXM143" s="4"/>
      <c r="WXN143" s="4"/>
      <c r="WXO143" s="4"/>
      <c r="WXP143" s="4"/>
      <c r="WXQ143" s="4"/>
      <c r="WXR143" s="4"/>
      <c r="WXS143" s="4"/>
      <c r="WXT143" s="4"/>
      <c r="WXU143" s="4"/>
      <c r="WXV143" s="4"/>
      <c r="WXW143" s="4"/>
      <c r="WXX143" s="4"/>
      <c r="WXY143" s="4"/>
      <c r="WXZ143" s="4"/>
      <c r="WYA143" s="4"/>
      <c r="WYB143" s="4"/>
      <c r="WYC143" s="4"/>
      <c r="WYD143" s="4"/>
      <c r="WYE143" s="4"/>
      <c r="WYF143" s="4"/>
      <c r="WYG143" s="4"/>
      <c r="WYH143" s="4"/>
      <c r="WYI143" s="4"/>
      <c r="WYJ143" s="4"/>
      <c r="WYK143" s="4"/>
      <c r="WYL143" s="4"/>
      <c r="WYM143" s="4"/>
      <c r="WYN143" s="4"/>
      <c r="WYO143" s="4"/>
      <c r="WYP143" s="4"/>
      <c r="WYQ143" s="4"/>
      <c r="WYR143" s="4"/>
      <c r="WYS143" s="4"/>
      <c r="WYT143" s="4"/>
      <c r="WYU143" s="4"/>
      <c r="WYV143" s="4"/>
      <c r="WYW143" s="4"/>
      <c r="WYX143" s="4"/>
      <c r="WYY143" s="4"/>
      <c r="WYZ143" s="4"/>
      <c r="WZA143" s="4"/>
      <c r="WZB143" s="4"/>
      <c r="WZC143" s="4"/>
      <c r="WZD143" s="4"/>
      <c r="WZE143" s="4"/>
      <c r="WZF143" s="4"/>
      <c r="WZG143" s="4"/>
      <c r="WZH143" s="4"/>
      <c r="WZI143" s="4"/>
      <c r="WZJ143" s="4"/>
      <c r="WZK143" s="4"/>
      <c r="WZL143" s="4"/>
      <c r="WZM143" s="4"/>
      <c r="WZN143" s="4"/>
      <c r="WZO143" s="4"/>
      <c r="WZP143" s="4"/>
      <c r="WZQ143" s="4"/>
      <c r="WZR143" s="4"/>
      <c r="WZS143" s="4"/>
      <c r="WZT143" s="4"/>
      <c r="WZU143" s="4"/>
      <c r="WZV143" s="4"/>
      <c r="WZW143" s="4"/>
      <c r="WZX143" s="4"/>
      <c r="WZY143" s="4"/>
      <c r="WZZ143" s="4"/>
      <c r="XAA143" s="4"/>
      <c r="XAB143" s="4"/>
      <c r="XAC143" s="4"/>
      <c r="XAD143" s="4"/>
      <c r="XAE143" s="4"/>
      <c r="XAF143" s="4"/>
      <c r="XAG143" s="4"/>
      <c r="XAH143" s="4"/>
      <c r="XAI143" s="4"/>
      <c r="XAJ143" s="4"/>
      <c r="XAK143" s="4"/>
      <c r="XAL143" s="4"/>
      <c r="XAM143" s="4"/>
      <c r="XAN143" s="4"/>
      <c r="XAO143" s="4"/>
      <c r="XAP143" s="4"/>
      <c r="XAQ143" s="4"/>
      <c r="XAR143" s="4"/>
      <c r="XAS143" s="4"/>
      <c r="XAT143" s="4"/>
      <c r="XAU143" s="4"/>
      <c r="XAV143" s="4"/>
      <c r="XAW143" s="4"/>
      <c r="XAX143" s="4"/>
      <c r="XAY143" s="4"/>
      <c r="XAZ143" s="4"/>
      <c r="XBA143" s="4"/>
      <c r="XBB143" s="4"/>
      <c r="XBC143" s="4"/>
      <c r="XBD143" s="4"/>
      <c r="XBE143" s="4"/>
      <c r="XBF143" s="4"/>
      <c r="XBG143" s="4"/>
      <c r="XBH143" s="4"/>
      <c r="XBI143" s="4"/>
      <c r="XBJ143" s="4"/>
      <c r="XBK143" s="4"/>
      <c r="XBL143" s="4"/>
      <c r="XBM143" s="4"/>
      <c r="XBN143" s="4"/>
      <c r="XBO143" s="4"/>
      <c r="XBP143" s="4"/>
      <c r="XBQ143" s="4"/>
      <c r="XBR143" s="4"/>
      <c r="XBS143" s="4"/>
      <c r="XBT143" s="4"/>
      <c r="XBU143" s="4"/>
      <c r="XBV143" s="4"/>
      <c r="XBW143" s="4"/>
      <c r="XBX143" s="4"/>
      <c r="XBY143" s="4"/>
      <c r="XBZ143" s="4"/>
      <c r="XCA143" s="4"/>
      <c r="XCB143" s="4"/>
      <c r="XCC143" s="4"/>
      <c r="XCD143" s="4"/>
      <c r="XCE143" s="4"/>
      <c r="XCF143" s="4"/>
      <c r="XCG143" s="4"/>
      <c r="XCH143" s="4"/>
      <c r="XCI143" s="4"/>
      <c r="XCJ143" s="4"/>
      <c r="XCK143" s="4"/>
      <c r="XCL143" s="4"/>
      <c r="XCM143" s="4"/>
      <c r="XCN143" s="4"/>
      <c r="XCO143" s="4"/>
      <c r="XCP143" s="4"/>
      <c r="XCQ143" s="4"/>
      <c r="XCR143" s="4"/>
      <c r="XCS143" s="4"/>
      <c r="XCT143" s="4"/>
      <c r="XCU143" s="4"/>
      <c r="XCV143" s="4"/>
      <c r="XCW143" s="4"/>
      <c r="XCX143" s="4"/>
      <c r="XCY143" s="4"/>
      <c r="XCZ143" s="4"/>
      <c r="XDA143" s="4"/>
      <c r="XDB143" s="4"/>
      <c r="XDC143" s="4"/>
      <c r="XDD143" s="4"/>
      <c r="XDE143" s="4"/>
      <c r="XDF143" s="4"/>
      <c r="XDG143" s="4"/>
      <c r="XDH143" s="4"/>
      <c r="XDI143" s="4"/>
      <c r="XDJ143" s="4"/>
      <c r="XDK143" s="4"/>
      <c r="XDL143" s="4"/>
      <c r="XDM143" s="4"/>
      <c r="XDN143" s="4"/>
      <c r="XDO143" s="4"/>
      <c r="XDP143" s="4"/>
      <c r="XDQ143" s="4"/>
      <c r="XDR143" s="4"/>
      <c r="XDS143" s="4"/>
      <c r="XDT143" s="4"/>
      <c r="XDU143" s="4"/>
      <c r="XDV143" s="4"/>
      <c r="XDW143" s="4"/>
      <c r="XDX143" s="4"/>
      <c r="XDY143" s="4"/>
      <c r="XDZ143" s="4"/>
      <c r="XEA143" s="4"/>
      <c r="XEB143" s="4"/>
      <c r="XEC143" s="4"/>
      <c r="XED143" s="4"/>
      <c r="XEE143" s="4"/>
      <c r="XEF143" s="4"/>
      <c r="XEG143" s="4"/>
      <c r="XEH143" s="4"/>
      <c r="XEI143" s="4"/>
      <c r="XEJ143" s="4"/>
      <c r="XEK143" s="4"/>
      <c r="XEL143" s="4"/>
      <c r="XEM143" s="4"/>
      <c r="XEN143" s="4"/>
      <c r="XEO143" s="4"/>
      <c r="XEP143" s="4"/>
      <c r="XEQ143" s="4"/>
      <c r="XER143" s="4"/>
      <c r="XES143" s="4"/>
      <c r="XET143" s="4"/>
      <c r="XEU143" s="4"/>
      <c r="XEV143" s="4"/>
      <c r="XEW143" s="4"/>
      <c r="XEX143" s="4"/>
      <c r="XEY143" s="4"/>
      <c r="XEZ143" s="4"/>
      <c r="XFA143" s="4"/>
      <c r="XFB143" s="4"/>
      <c r="XFC143" s="4"/>
    </row>
    <row r="144" spans="1:16383" ht="18" x14ac:dyDescent="0.25">
      <c r="A144" s="491" t="s">
        <v>3327</v>
      </c>
      <c r="B144" s="26"/>
    </row>
    <row r="145" spans="1:2" ht="18" x14ac:dyDescent="0.25">
      <c r="A145" s="449" t="s">
        <v>3374</v>
      </c>
      <c r="B145" s="608">
        <f>+I139</f>
        <v>0</v>
      </c>
    </row>
  </sheetData>
  <printOptions gridLines="1"/>
  <pageMargins left="0.5" right="0.5" top="0.5" bottom="0.5" header="0.3" footer="0.3"/>
  <pageSetup scale="65" orientation="landscape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I53"/>
  <sheetViews>
    <sheetView workbookViewId="0">
      <pane ySplit="1" topLeftCell="A15" activePane="bottomLeft" state="frozen"/>
      <selection activeCell="C26" sqref="C26"/>
      <selection pane="bottomLeft" activeCell="G2" sqref="G2:G45"/>
    </sheetView>
  </sheetViews>
  <sheetFormatPr defaultColWidth="9.140625" defaultRowHeight="15" x14ac:dyDescent="0.2"/>
  <cols>
    <col min="1" max="1" width="57.5703125" style="66" bestFit="1" customWidth="1"/>
    <col min="2" max="2" width="18.5703125" style="125" bestFit="1" customWidth="1"/>
    <col min="3" max="3" width="20.42578125" style="125" bestFit="1" customWidth="1"/>
    <col min="4" max="4" width="20.140625" style="67" bestFit="1" customWidth="1"/>
    <col min="5" max="5" width="12.42578125" style="66" bestFit="1" customWidth="1"/>
    <col min="6" max="6" width="15.5703125" style="66" bestFit="1" customWidth="1"/>
    <col min="7" max="7" width="12.5703125" style="66" customWidth="1"/>
    <col min="8" max="8" width="11.42578125" style="588" bestFit="1" customWidth="1"/>
    <col min="9" max="9" width="16.85546875" style="588" bestFit="1" customWidth="1"/>
    <col min="10" max="16384" width="9.140625" style="66"/>
  </cols>
  <sheetData>
    <row r="1" spans="1:9" ht="15.75" x14ac:dyDescent="0.25">
      <c r="A1" s="5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54" t="s">
        <v>412</v>
      </c>
      <c r="H1" s="528" t="s">
        <v>3368</v>
      </c>
      <c r="I1" s="528" t="s">
        <v>3369</v>
      </c>
    </row>
    <row r="2" spans="1:9" x14ac:dyDescent="0.2">
      <c r="A2" s="46" t="s">
        <v>147</v>
      </c>
      <c r="B2" s="15">
        <v>10062768</v>
      </c>
      <c r="C2" s="430"/>
      <c r="D2" s="71"/>
      <c r="E2" s="71"/>
      <c r="F2" s="625"/>
      <c r="G2" s="140">
        <v>1</v>
      </c>
      <c r="H2" s="567"/>
      <c r="I2" s="695">
        <f>+G2*H2</f>
        <v>0</v>
      </c>
    </row>
    <row r="3" spans="1:9" x14ac:dyDescent="0.2">
      <c r="A3" s="46" t="s">
        <v>2233</v>
      </c>
      <c r="B3" s="15">
        <v>10064379</v>
      </c>
      <c r="C3" s="430"/>
      <c r="D3" s="71"/>
      <c r="E3" s="71" t="s">
        <v>1922</v>
      </c>
      <c r="F3" s="625"/>
      <c r="G3" s="140">
        <v>1</v>
      </c>
      <c r="H3" s="567"/>
      <c r="I3" s="695">
        <f t="shared" ref="I3:I45" si="0">+G3*H3</f>
        <v>0</v>
      </c>
    </row>
    <row r="4" spans="1:9" x14ac:dyDescent="0.2">
      <c r="A4" s="46" t="s">
        <v>1585</v>
      </c>
      <c r="B4" s="15" t="s">
        <v>47</v>
      </c>
      <c r="C4" s="430"/>
      <c r="D4" s="71"/>
      <c r="E4" s="71"/>
      <c r="F4" s="625"/>
      <c r="G4" s="140">
        <v>1</v>
      </c>
      <c r="H4" s="567"/>
      <c r="I4" s="695">
        <f t="shared" si="0"/>
        <v>0</v>
      </c>
    </row>
    <row r="5" spans="1:9" x14ac:dyDescent="0.2">
      <c r="A5" s="46" t="s">
        <v>146</v>
      </c>
      <c r="B5" s="15">
        <v>10062822</v>
      </c>
      <c r="C5" s="430"/>
      <c r="D5" s="71"/>
      <c r="E5" s="71"/>
      <c r="F5" s="625"/>
      <c r="G5" s="140">
        <v>4</v>
      </c>
      <c r="H5" s="567"/>
      <c r="I5" s="695">
        <f t="shared" si="0"/>
        <v>0</v>
      </c>
    </row>
    <row r="6" spans="1:9" x14ac:dyDescent="0.2">
      <c r="A6" s="46" t="s">
        <v>57</v>
      </c>
      <c r="B6" s="15" t="s">
        <v>58</v>
      </c>
      <c r="C6" s="430"/>
      <c r="D6" s="71"/>
      <c r="E6" s="71"/>
      <c r="F6" s="625"/>
      <c r="G6" s="140">
        <v>1</v>
      </c>
      <c r="H6" s="567"/>
      <c r="I6" s="695">
        <f t="shared" si="0"/>
        <v>0</v>
      </c>
    </row>
    <row r="7" spans="1:9" x14ac:dyDescent="0.2">
      <c r="A7" s="46" t="s">
        <v>153</v>
      </c>
      <c r="B7" s="15" t="s">
        <v>594</v>
      </c>
      <c r="C7" s="430"/>
      <c r="D7" s="71"/>
      <c r="E7" s="71"/>
      <c r="F7" s="625"/>
      <c r="G7" s="140">
        <v>1</v>
      </c>
      <c r="H7" s="567"/>
      <c r="I7" s="695">
        <f t="shared" si="0"/>
        <v>0</v>
      </c>
    </row>
    <row r="8" spans="1:9" x14ac:dyDescent="0.2">
      <c r="A8" s="46" t="s">
        <v>152</v>
      </c>
      <c r="B8" s="15" t="s">
        <v>593</v>
      </c>
      <c r="C8" s="430"/>
      <c r="D8" s="71"/>
      <c r="E8" s="71"/>
      <c r="F8" s="625"/>
      <c r="G8" s="140">
        <v>1</v>
      </c>
      <c r="H8" s="567"/>
      <c r="I8" s="695">
        <f t="shared" si="0"/>
        <v>0</v>
      </c>
    </row>
    <row r="9" spans="1:9" x14ac:dyDescent="0.2">
      <c r="A9" s="46" t="s">
        <v>150</v>
      </c>
      <c r="B9" s="15" t="s">
        <v>591</v>
      </c>
      <c r="C9" s="430"/>
      <c r="D9" s="71"/>
      <c r="E9" s="71"/>
      <c r="F9" s="625"/>
      <c r="G9" s="140">
        <v>1</v>
      </c>
      <c r="H9" s="567"/>
      <c r="I9" s="695">
        <f t="shared" si="0"/>
        <v>0</v>
      </c>
    </row>
    <row r="10" spans="1:9" x14ac:dyDescent="0.2">
      <c r="A10" s="46" t="s">
        <v>1048</v>
      </c>
      <c r="B10" s="15" t="s">
        <v>170</v>
      </c>
      <c r="C10" s="430"/>
      <c r="D10" s="71"/>
      <c r="E10" s="71" t="s">
        <v>1920</v>
      </c>
      <c r="F10" s="625"/>
      <c r="G10" s="140">
        <v>1</v>
      </c>
      <c r="H10" s="567"/>
      <c r="I10" s="695">
        <f t="shared" si="0"/>
        <v>0</v>
      </c>
    </row>
    <row r="11" spans="1:9" x14ac:dyDescent="0.2">
      <c r="A11" s="46" t="s">
        <v>1050</v>
      </c>
      <c r="B11" s="15" t="s">
        <v>404</v>
      </c>
      <c r="C11" s="430"/>
      <c r="D11" s="71"/>
      <c r="E11" s="71" t="s">
        <v>1920</v>
      </c>
      <c r="F11" s="625"/>
      <c r="G11" s="140">
        <v>2</v>
      </c>
      <c r="H11" s="567"/>
      <c r="I11" s="695">
        <f t="shared" si="0"/>
        <v>0</v>
      </c>
    </row>
    <row r="12" spans="1:9" x14ac:dyDescent="0.2">
      <c r="A12" s="46" t="s">
        <v>1193</v>
      </c>
      <c r="B12" s="15" t="s">
        <v>316</v>
      </c>
      <c r="C12" s="430"/>
      <c r="D12" s="71"/>
      <c r="E12" s="71" t="s">
        <v>1920</v>
      </c>
      <c r="F12" s="625"/>
      <c r="G12" s="140">
        <v>1</v>
      </c>
      <c r="H12" s="567"/>
      <c r="I12" s="695">
        <f t="shared" si="0"/>
        <v>0</v>
      </c>
    </row>
    <row r="13" spans="1:9" x14ac:dyDescent="0.2">
      <c r="A13" s="46" t="s">
        <v>1195</v>
      </c>
      <c r="B13" s="15" t="s">
        <v>314</v>
      </c>
      <c r="C13" s="430"/>
      <c r="D13" s="71"/>
      <c r="E13" s="71" t="s">
        <v>1920</v>
      </c>
      <c r="F13" s="625"/>
      <c r="G13" s="140">
        <v>1</v>
      </c>
      <c r="H13" s="567"/>
      <c r="I13" s="695">
        <f t="shared" si="0"/>
        <v>0</v>
      </c>
    </row>
    <row r="14" spans="1:9" x14ac:dyDescent="0.2">
      <c r="A14" s="46" t="s">
        <v>16</v>
      </c>
      <c r="B14" s="15" t="s">
        <v>476</v>
      </c>
      <c r="C14" s="430"/>
      <c r="D14" s="71"/>
      <c r="E14" s="71" t="s">
        <v>1920</v>
      </c>
      <c r="F14" s="625"/>
      <c r="G14" s="140">
        <v>2</v>
      </c>
      <c r="H14" s="567"/>
      <c r="I14" s="695">
        <f t="shared" si="0"/>
        <v>0</v>
      </c>
    </row>
    <row r="15" spans="1:9" x14ac:dyDescent="0.2">
      <c r="A15" s="46" t="s">
        <v>1192</v>
      </c>
      <c r="B15" s="15" t="s">
        <v>94</v>
      </c>
      <c r="C15" s="430"/>
      <c r="D15" s="71"/>
      <c r="E15" s="71" t="s">
        <v>1920</v>
      </c>
      <c r="F15" s="625"/>
      <c r="G15" s="140">
        <v>2</v>
      </c>
      <c r="H15" s="567"/>
      <c r="I15" s="695">
        <f t="shared" si="0"/>
        <v>0</v>
      </c>
    </row>
    <row r="16" spans="1:9" x14ac:dyDescent="0.2">
      <c r="A16" s="46" t="s">
        <v>2174</v>
      </c>
      <c r="B16" s="15" t="s">
        <v>1827</v>
      </c>
      <c r="C16" s="430"/>
      <c r="D16" s="71"/>
      <c r="E16" s="71" t="s">
        <v>1920</v>
      </c>
      <c r="F16" s="625"/>
      <c r="G16" s="140">
        <v>1</v>
      </c>
      <c r="H16" s="567"/>
      <c r="I16" s="695">
        <f t="shared" si="0"/>
        <v>0</v>
      </c>
    </row>
    <row r="17" spans="1:9" x14ac:dyDescent="0.2">
      <c r="A17" s="46" t="s">
        <v>36</v>
      </c>
      <c r="B17" s="15" t="s">
        <v>1828</v>
      </c>
      <c r="C17" s="430"/>
      <c r="D17" s="71"/>
      <c r="E17" s="71" t="s">
        <v>1920</v>
      </c>
      <c r="F17" s="625"/>
      <c r="G17" s="140">
        <v>1</v>
      </c>
      <c r="H17" s="567"/>
      <c r="I17" s="695">
        <f t="shared" si="0"/>
        <v>0</v>
      </c>
    </row>
    <row r="18" spans="1:9" x14ac:dyDescent="0.2">
      <c r="A18" s="46" t="s">
        <v>34</v>
      </c>
      <c r="B18" s="15" t="s">
        <v>1826</v>
      </c>
      <c r="C18" s="430"/>
      <c r="D18" s="71"/>
      <c r="E18" s="71" t="s">
        <v>1920</v>
      </c>
      <c r="F18" s="625"/>
      <c r="G18" s="140">
        <v>1</v>
      </c>
      <c r="H18" s="567"/>
      <c r="I18" s="695">
        <f t="shared" si="0"/>
        <v>0</v>
      </c>
    </row>
    <row r="19" spans="1:9" x14ac:dyDescent="0.2">
      <c r="A19" s="46" t="s">
        <v>985</v>
      </c>
      <c r="B19" s="15" t="s">
        <v>1830</v>
      </c>
      <c r="C19" s="430"/>
      <c r="D19" s="71"/>
      <c r="E19" s="71" t="s">
        <v>1920</v>
      </c>
      <c r="F19" s="625"/>
      <c r="G19" s="140">
        <v>1</v>
      </c>
      <c r="H19" s="567"/>
      <c r="I19" s="695">
        <f t="shared" si="0"/>
        <v>0</v>
      </c>
    </row>
    <row r="20" spans="1:9" x14ac:dyDescent="0.2">
      <c r="A20" s="46" t="s">
        <v>3353</v>
      </c>
      <c r="B20" s="15" t="s">
        <v>2754</v>
      </c>
      <c r="C20" s="430"/>
      <c r="D20" s="71"/>
      <c r="E20" s="71" t="s">
        <v>1920</v>
      </c>
      <c r="F20" s="625"/>
      <c r="G20" s="140">
        <v>1</v>
      </c>
      <c r="H20" s="567"/>
      <c r="I20" s="695">
        <f t="shared" si="0"/>
        <v>0</v>
      </c>
    </row>
    <row r="21" spans="1:9" x14ac:dyDescent="0.2">
      <c r="A21" s="46" t="s">
        <v>3352</v>
      </c>
      <c r="B21" s="312" t="s">
        <v>2756</v>
      </c>
      <c r="C21" s="430"/>
      <c r="D21" s="314"/>
      <c r="E21" s="314" t="s">
        <v>1920</v>
      </c>
      <c r="F21" s="625"/>
      <c r="G21" s="268">
        <v>1</v>
      </c>
      <c r="H21" s="567"/>
      <c r="I21" s="695">
        <f t="shared" si="0"/>
        <v>0</v>
      </c>
    </row>
    <row r="22" spans="1:9" x14ac:dyDescent="0.2">
      <c r="A22" s="46" t="s">
        <v>3351</v>
      </c>
      <c r="B22" s="312" t="s">
        <v>2757</v>
      </c>
      <c r="C22" s="430"/>
      <c r="D22" s="314"/>
      <c r="E22" s="314" t="s">
        <v>1920</v>
      </c>
      <c r="F22" s="625"/>
      <c r="G22" s="268">
        <v>1</v>
      </c>
      <c r="H22" s="567"/>
      <c r="I22" s="695">
        <f t="shared" si="0"/>
        <v>0</v>
      </c>
    </row>
    <row r="23" spans="1:9" x14ac:dyDescent="0.2">
      <c r="A23" s="46" t="s">
        <v>2172</v>
      </c>
      <c r="B23" s="15" t="s">
        <v>2173</v>
      </c>
      <c r="C23" s="430"/>
      <c r="D23" s="71"/>
      <c r="E23" s="71" t="s">
        <v>1920</v>
      </c>
      <c r="F23" s="625"/>
      <c r="G23" s="140">
        <v>1</v>
      </c>
      <c r="H23" s="567"/>
      <c r="I23" s="695">
        <f t="shared" si="0"/>
        <v>0</v>
      </c>
    </row>
    <row r="24" spans="1:9" x14ac:dyDescent="0.2">
      <c r="A24" s="46" t="s">
        <v>3245</v>
      </c>
      <c r="B24" s="71" t="s">
        <v>2842</v>
      </c>
      <c r="C24" s="430"/>
      <c r="D24" s="71"/>
      <c r="E24" s="71" t="s">
        <v>1928</v>
      </c>
      <c r="F24" s="625"/>
      <c r="G24" s="140">
        <v>1</v>
      </c>
      <c r="H24" s="567"/>
      <c r="I24" s="695">
        <f t="shared" si="0"/>
        <v>0</v>
      </c>
    </row>
    <row r="25" spans="1:9" x14ac:dyDescent="0.2">
      <c r="A25" s="46" t="s">
        <v>1492</v>
      </c>
      <c r="B25" s="15" t="s">
        <v>2853</v>
      </c>
      <c r="C25" s="430"/>
      <c r="D25" s="71"/>
      <c r="E25" s="71" t="s">
        <v>1928</v>
      </c>
      <c r="F25" s="625"/>
      <c r="G25" s="140">
        <v>1</v>
      </c>
      <c r="H25" s="567"/>
      <c r="I25" s="695">
        <f t="shared" si="0"/>
        <v>0</v>
      </c>
    </row>
    <row r="26" spans="1:9" x14ac:dyDescent="0.2">
      <c r="A26" s="46" t="s">
        <v>2180</v>
      </c>
      <c r="B26" s="15" t="s">
        <v>2854</v>
      </c>
      <c r="C26" s="430"/>
      <c r="D26" s="71"/>
      <c r="E26" s="71" t="s">
        <v>1928</v>
      </c>
      <c r="F26" s="625"/>
      <c r="G26" s="140">
        <v>1</v>
      </c>
      <c r="H26" s="567"/>
      <c r="I26" s="695">
        <f t="shared" si="0"/>
        <v>0</v>
      </c>
    </row>
    <row r="27" spans="1:9" x14ac:dyDescent="0.2">
      <c r="A27" s="46" t="s">
        <v>3246</v>
      </c>
      <c r="B27" s="15" t="s">
        <v>2843</v>
      </c>
      <c r="C27" s="430"/>
      <c r="D27" s="71"/>
      <c r="E27" s="71" t="s">
        <v>1928</v>
      </c>
      <c r="F27" s="625"/>
      <c r="G27" s="140">
        <v>1</v>
      </c>
      <c r="H27" s="567"/>
      <c r="I27" s="695">
        <f t="shared" si="0"/>
        <v>0</v>
      </c>
    </row>
    <row r="28" spans="1:9" x14ac:dyDescent="0.2">
      <c r="A28" s="46" t="s">
        <v>143</v>
      </c>
      <c r="B28" s="15" t="s">
        <v>2170</v>
      </c>
      <c r="C28" s="430"/>
      <c r="D28" s="71"/>
      <c r="E28" s="71"/>
      <c r="F28" s="625"/>
      <c r="G28" s="140">
        <v>1</v>
      </c>
      <c r="H28" s="567"/>
      <c r="I28" s="695">
        <f t="shared" si="0"/>
        <v>0</v>
      </c>
    </row>
    <row r="29" spans="1:9" x14ac:dyDescent="0.2">
      <c r="A29" s="46" t="s">
        <v>142</v>
      </c>
      <c r="B29" s="15" t="s">
        <v>2171</v>
      </c>
      <c r="C29" s="430"/>
      <c r="D29" s="71"/>
      <c r="E29" s="71"/>
      <c r="F29" s="625"/>
      <c r="G29" s="140">
        <v>1</v>
      </c>
      <c r="H29" s="567"/>
      <c r="I29" s="695">
        <f t="shared" si="0"/>
        <v>0</v>
      </c>
    </row>
    <row r="30" spans="1:9" x14ac:dyDescent="0.2">
      <c r="A30" s="46" t="s">
        <v>3248</v>
      </c>
      <c r="B30" s="15" t="s">
        <v>2177</v>
      </c>
      <c r="C30" s="430"/>
      <c r="D30" s="71"/>
      <c r="E30" s="71" t="s">
        <v>1920</v>
      </c>
      <c r="F30" s="625"/>
      <c r="G30" s="140">
        <v>1</v>
      </c>
      <c r="H30" s="567"/>
      <c r="I30" s="695">
        <f t="shared" si="0"/>
        <v>0</v>
      </c>
    </row>
    <row r="31" spans="1:9" x14ac:dyDescent="0.2">
      <c r="A31" s="46" t="s">
        <v>2523</v>
      </c>
      <c r="B31" s="15" t="s">
        <v>2178</v>
      </c>
      <c r="C31" s="430"/>
      <c r="D31" s="71"/>
      <c r="E31" s="71" t="s">
        <v>1920</v>
      </c>
      <c r="F31" s="625"/>
      <c r="G31" s="140">
        <v>1</v>
      </c>
      <c r="H31" s="567"/>
      <c r="I31" s="695">
        <f t="shared" si="0"/>
        <v>0</v>
      </c>
    </row>
    <row r="32" spans="1:9" x14ac:dyDescent="0.2">
      <c r="A32" s="46" t="s">
        <v>3249</v>
      </c>
      <c r="B32" s="15" t="s">
        <v>2175</v>
      </c>
      <c r="C32" s="430"/>
      <c r="D32" s="71"/>
      <c r="E32" s="71" t="s">
        <v>1920</v>
      </c>
      <c r="F32" s="625"/>
      <c r="G32" s="140">
        <v>1</v>
      </c>
      <c r="H32" s="567"/>
      <c r="I32" s="695">
        <f t="shared" si="0"/>
        <v>0</v>
      </c>
    </row>
    <row r="33" spans="1:9" x14ac:dyDescent="0.2">
      <c r="A33" s="46" t="s">
        <v>2524</v>
      </c>
      <c r="B33" s="15" t="s">
        <v>2179</v>
      </c>
      <c r="C33" s="430"/>
      <c r="D33" s="71"/>
      <c r="E33" s="71" t="s">
        <v>1920</v>
      </c>
      <c r="F33" s="625"/>
      <c r="G33" s="140">
        <v>1</v>
      </c>
      <c r="H33" s="567"/>
      <c r="I33" s="695">
        <f t="shared" si="0"/>
        <v>0</v>
      </c>
    </row>
    <row r="34" spans="1:9" x14ac:dyDescent="0.2">
      <c r="A34" s="46" t="s">
        <v>3252</v>
      </c>
      <c r="B34" s="15" t="s">
        <v>2176</v>
      </c>
      <c r="C34" s="430"/>
      <c r="D34" s="71"/>
      <c r="E34" s="71" t="s">
        <v>1920</v>
      </c>
      <c r="F34" s="625"/>
      <c r="G34" s="140">
        <v>1</v>
      </c>
      <c r="H34" s="567"/>
      <c r="I34" s="695">
        <f t="shared" si="0"/>
        <v>0</v>
      </c>
    </row>
    <row r="35" spans="1:9" x14ac:dyDescent="0.2">
      <c r="A35" s="46" t="s">
        <v>1575</v>
      </c>
      <c r="B35" s="15" t="s">
        <v>571</v>
      </c>
      <c r="C35" s="430"/>
      <c r="D35" s="71"/>
      <c r="E35" s="71" t="s">
        <v>1920</v>
      </c>
      <c r="F35" s="625"/>
      <c r="G35" s="140">
        <v>2</v>
      </c>
      <c r="H35" s="567"/>
      <c r="I35" s="695">
        <f t="shared" si="0"/>
        <v>0</v>
      </c>
    </row>
    <row r="36" spans="1:9" x14ac:dyDescent="0.2">
      <c r="A36" s="46" t="s">
        <v>1563</v>
      </c>
      <c r="B36" s="15" t="s">
        <v>513</v>
      </c>
      <c r="C36" s="430"/>
      <c r="D36" s="71"/>
      <c r="E36" s="71" t="s">
        <v>1920</v>
      </c>
      <c r="F36" s="625"/>
      <c r="G36" s="140">
        <v>1</v>
      </c>
      <c r="H36" s="567"/>
      <c r="I36" s="695">
        <f t="shared" si="0"/>
        <v>0</v>
      </c>
    </row>
    <row r="37" spans="1:9" x14ac:dyDescent="0.2">
      <c r="A37" s="46" t="s">
        <v>1210</v>
      </c>
      <c r="B37" s="15" t="s">
        <v>475</v>
      </c>
      <c r="C37" s="430"/>
      <c r="D37" s="71"/>
      <c r="E37" s="71" t="s">
        <v>1920</v>
      </c>
      <c r="F37" s="625"/>
      <c r="G37" s="140">
        <v>2</v>
      </c>
      <c r="H37" s="567"/>
      <c r="I37" s="695">
        <f t="shared" si="0"/>
        <v>0</v>
      </c>
    </row>
    <row r="38" spans="1:9" x14ac:dyDescent="0.2">
      <c r="A38" s="46" t="s">
        <v>1412</v>
      </c>
      <c r="B38" s="15" t="s">
        <v>729</v>
      </c>
      <c r="C38" s="430"/>
      <c r="D38" s="71"/>
      <c r="E38" s="71" t="s">
        <v>1920</v>
      </c>
      <c r="F38" s="625"/>
      <c r="G38" s="140">
        <v>1</v>
      </c>
      <c r="H38" s="567"/>
      <c r="I38" s="695">
        <f t="shared" si="0"/>
        <v>0</v>
      </c>
    </row>
    <row r="39" spans="1:9" x14ac:dyDescent="0.2">
      <c r="A39" s="46" t="s">
        <v>1125</v>
      </c>
      <c r="B39" s="15">
        <v>8130020</v>
      </c>
      <c r="C39" s="430"/>
      <c r="D39" s="71" t="s">
        <v>2217</v>
      </c>
      <c r="E39" s="71" t="s">
        <v>1975</v>
      </c>
      <c r="F39" s="625"/>
      <c r="G39" s="140">
        <v>2</v>
      </c>
      <c r="H39" s="567"/>
      <c r="I39" s="695">
        <f t="shared" si="0"/>
        <v>0</v>
      </c>
    </row>
    <row r="40" spans="1:9" x14ac:dyDescent="0.2">
      <c r="A40" s="46" t="s">
        <v>2243</v>
      </c>
      <c r="B40" s="15" t="s">
        <v>2734</v>
      </c>
      <c r="C40" s="430"/>
      <c r="D40" s="71"/>
      <c r="E40" s="71" t="s">
        <v>1920</v>
      </c>
      <c r="F40" s="625"/>
      <c r="G40" s="140">
        <v>1</v>
      </c>
      <c r="H40" s="567"/>
      <c r="I40" s="695">
        <f t="shared" si="0"/>
        <v>0</v>
      </c>
    </row>
    <row r="41" spans="1:9" x14ac:dyDescent="0.2">
      <c r="A41" s="46" t="s">
        <v>2133</v>
      </c>
      <c r="B41" s="15" t="s">
        <v>2909</v>
      </c>
      <c r="C41" s="430"/>
      <c r="D41" s="71"/>
      <c r="E41" s="71">
        <v>56654</v>
      </c>
      <c r="F41" s="625"/>
      <c r="G41" s="140">
        <v>1</v>
      </c>
      <c r="H41" s="567"/>
      <c r="I41" s="695">
        <f t="shared" si="0"/>
        <v>0</v>
      </c>
    </row>
    <row r="42" spans="1:9" x14ac:dyDescent="0.2">
      <c r="A42" s="46" t="s">
        <v>1156</v>
      </c>
      <c r="B42" s="15" t="s">
        <v>2117</v>
      </c>
      <c r="C42" s="430"/>
      <c r="D42" s="71" t="s">
        <v>2217</v>
      </c>
      <c r="E42" s="71" t="s">
        <v>1975</v>
      </c>
      <c r="F42" s="625"/>
      <c r="G42" s="140">
        <v>2</v>
      </c>
      <c r="H42" s="567"/>
      <c r="I42" s="695">
        <f t="shared" si="0"/>
        <v>0</v>
      </c>
    </row>
    <row r="43" spans="1:9" x14ac:dyDescent="0.2">
      <c r="A43" s="46" t="s">
        <v>1223</v>
      </c>
      <c r="B43" s="15" t="s">
        <v>295</v>
      </c>
      <c r="C43" s="430"/>
      <c r="D43" s="71"/>
      <c r="E43" s="71" t="s">
        <v>1920</v>
      </c>
      <c r="F43" s="625"/>
      <c r="G43" s="140">
        <v>2</v>
      </c>
      <c r="H43" s="567"/>
      <c r="I43" s="695">
        <f t="shared" si="0"/>
        <v>0</v>
      </c>
    </row>
    <row r="44" spans="1:9" x14ac:dyDescent="0.2">
      <c r="A44" s="46" t="s">
        <v>8</v>
      </c>
      <c r="B44" s="15" t="s">
        <v>256</v>
      </c>
      <c r="C44" s="430"/>
      <c r="D44" s="71"/>
      <c r="E44" s="71" t="s">
        <v>1920</v>
      </c>
      <c r="F44" s="625"/>
      <c r="G44" s="140">
        <v>1</v>
      </c>
      <c r="H44" s="567"/>
      <c r="I44" s="695">
        <f t="shared" si="0"/>
        <v>0</v>
      </c>
    </row>
    <row r="45" spans="1:9" x14ac:dyDescent="0.2">
      <c r="A45" s="46" t="s">
        <v>20</v>
      </c>
      <c r="B45" s="15" t="s">
        <v>287</v>
      </c>
      <c r="C45" s="430"/>
      <c r="D45" s="71"/>
      <c r="E45" s="71" t="s">
        <v>1920</v>
      </c>
      <c r="F45" s="625"/>
      <c r="G45" s="140">
        <v>1</v>
      </c>
      <c r="H45" s="567"/>
      <c r="I45" s="695">
        <f t="shared" si="0"/>
        <v>0</v>
      </c>
    </row>
    <row r="46" spans="1:9" x14ac:dyDescent="0.2">
      <c r="I46" s="588">
        <f>SUM(I2:I45)</f>
        <v>0</v>
      </c>
    </row>
    <row r="50" spans="1:9" s="4" customFormat="1" ht="18" x14ac:dyDescent="0.25">
      <c r="A50" s="422" t="s">
        <v>1772</v>
      </c>
      <c r="B50" s="425"/>
      <c r="C50" s="309"/>
      <c r="F50" s="308"/>
      <c r="H50" s="541"/>
      <c r="I50" s="541"/>
    </row>
    <row r="51" spans="1:9" s="4" customFormat="1" ht="18" x14ac:dyDescent="0.25">
      <c r="A51" s="422" t="s">
        <v>3010</v>
      </c>
      <c r="B51" s="425"/>
      <c r="C51" s="309"/>
      <c r="F51" s="308"/>
      <c r="H51" s="588"/>
      <c r="I51" s="541"/>
    </row>
    <row r="52" spans="1:9" ht="18" x14ac:dyDescent="0.25">
      <c r="A52" s="491" t="s">
        <v>3326</v>
      </c>
      <c r="B52" s="514"/>
    </row>
    <row r="53" spans="1:9" ht="18" x14ac:dyDescent="0.25">
      <c r="A53" s="449" t="s">
        <v>3374</v>
      </c>
      <c r="B53" s="608">
        <f>+I46</f>
        <v>0</v>
      </c>
    </row>
  </sheetData>
  <sortState xmlns:xlrd2="http://schemas.microsoft.com/office/spreadsheetml/2017/richdata2" ref="A2:H45">
    <sortCondition ref="B2:B45"/>
  </sortState>
  <pageMargins left="0.5" right="0.5" top="0.5" bottom="0.5" header="0.3" footer="0.3"/>
  <pageSetup scale="35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28"/>
  <sheetViews>
    <sheetView workbookViewId="0">
      <pane ySplit="1" topLeftCell="A2" activePane="bottomLeft" state="frozen"/>
      <selection activeCell="C26" sqref="C26"/>
      <selection pane="bottomLeft" activeCell="G21" sqref="G2:G21"/>
    </sheetView>
  </sheetViews>
  <sheetFormatPr defaultColWidth="9.140625" defaultRowHeight="15" x14ac:dyDescent="0.2"/>
  <cols>
    <col min="1" max="1" width="54.5703125" style="66" bestFit="1" customWidth="1"/>
    <col min="2" max="2" width="15" style="67" bestFit="1" customWidth="1"/>
    <col min="3" max="3" width="20.42578125" style="67" bestFit="1" customWidth="1"/>
    <col min="4" max="4" width="20.140625" style="67" bestFit="1" customWidth="1"/>
    <col min="5" max="5" width="12.42578125" style="67" bestFit="1" customWidth="1"/>
    <col min="6" max="6" width="15.5703125" style="67" bestFit="1" customWidth="1"/>
    <col min="7" max="7" width="11.140625" style="67" customWidth="1"/>
    <col min="8" max="8" width="11.42578125" style="698" bestFit="1" customWidth="1"/>
    <col min="9" max="9" width="16.85546875" style="699" bestFit="1" customWidth="1"/>
    <col min="10" max="10" width="16.85546875" style="68" bestFit="1" customWidth="1"/>
    <col min="11" max="16384" width="9.140625" style="68"/>
  </cols>
  <sheetData>
    <row r="1" spans="1:10" ht="15.75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13" t="s">
        <v>412</v>
      </c>
      <c r="H1" s="528" t="s">
        <v>3368</v>
      </c>
      <c r="I1" s="528" t="s">
        <v>3369</v>
      </c>
    </row>
    <row r="2" spans="1:10" ht="18" x14ac:dyDescent="0.25">
      <c r="A2" s="27" t="s">
        <v>1619</v>
      </c>
      <c r="B2" s="92" t="s">
        <v>3365</v>
      </c>
      <c r="C2" s="430"/>
      <c r="D2" s="92"/>
      <c r="E2" s="92" t="s">
        <v>2246</v>
      </c>
      <c r="F2" s="696"/>
      <c r="G2" s="28">
        <v>1</v>
      </c>
      <c r="H2" s="697"/>
      <c r="I2" s="695">
        <f>+G2*H2</f>
        <v>0</v>
      </c>
      <c r="J2" s="4"/>
    </row>
    <row r="3" spans="1:10" x14ac:dyDescent="0.2">
      <c r="A3" s="27" t="s">
        <v>1626</v>
      </c>
      <c r="B3" s="92" t="s">
        <v>2023</v>
      </c>
      <c r="C3" s="430"/>
      <c r="D3" s="92"/>
      <c r="E3" s="92" t="s">
        <v>1920</v>
      </c>
      <c r="F3" s="696"/>
      <c r="G3" s="28">
        <v>1</v>
      </c>
      <c r="H3" s="697"/>
      <c r="I3" s="695">
        <f t="shared" ref="I3:I21" si="0">+G3*H3</f>
        <v>0</v>
      </c>
    </row>
    <row r="4" spans="1:10" x14ac:dyDescent="0.2">
      <c r="A4" s="27" t="s">
        <v>2248</v>
      </c>
      <c r="B4" s="92" t="s">
        <v>2167</v>
      </c>
      <c r="C4" s="430"/>
      <c r="D4" s="92"/>
      <c r="E4" s="92" t="s">
        <v>1920</v>
      </c>
      <c r="F4" s="696"/>
      <c r="G4" s="28">
        <v>1</v>
      </c>
      <c r="H4" s="697"/>
      <c r="I4" s="695">
        <f t="shared" si="0"/>
        <v>0</v>
      </c>
    </row>
    <row r="5" spans="1:10" x14ac:dyDescent="0.2">
      <c r="A5" s="27" t="s">
        <v>1660</v>
      </c>
      <c r="B5" s="92" t="s">
        <v>51</v>
      </c>
      <c r="C5" s="430"/>
      <c r="D5" s="92"/>
      <c r="E5" s="92" t="s">
        <v>1920</v>
      </c>
      <c r="F5" s="696"/>
      <c r="G5" s="28">
        <v>1</v>
      </c>
      <c r="H5" s="697"/>
      <c r="I5" s="695">
        <f t="shared" si="0"/>
        <v>0</v>
      </c>
    </row>
    <row r="6" spans="1:10" ht="30" x14ac:dyDescent="0.2">
      <c r="A6" s="27" t="s">
        <v>1294</v>
      </c>
      <c r="B6" s="92" t="s">
        <v>518</v>
      </c>
      <c r="C6" s="430"/>
      <c r="D6" s="92"/>
      <c r="E6" s="92" t="s">
        <v>1920</v>
      </c>
      <c r="F6" s="696"/>
      <c r="G6" s="28">
        <v>1</v>
      </c>
      <c r="H6" s="697"/>
      <c r="I6" s="695">
        <f t="shared" si="0"/>
        <v>0</v>
      </c>
    </row>
    <row r="7" spans="1:10" x14ac:dyDescent="0.2">
      <c r="A7" s="27" t="s">
        <v>16</v>
      </c>
      <c r="B7" s="92" t="s">
        <v>476</v>
      </c>
      <c r="C7" s="430"/>
      <c r="D7" s="92"/>
      <c r="E7" s="92" t="s">
        <v>1920</v>
      </c>
      <c r="F7" s="696"/>
      <c r="G7" s="28">
        <v>1</v>
      </c>
      <c r="H7" s="697"/>
      <c r="I7" s="695">
        <f t="shared" si="0"/>
        <v>0</v>
      </c>
    </row>
    <row r="8" spans="1:10" x14ac:dyDescent="0.2">
      <c r="A8" s="27" t="s">
        <v>1192</v>
      </c>
      <c r="B8" s="92" t="s">
        <v>94</v>
      </c>
      <c r="C8" s="430"/>
      <c r="D8" s="92"/>
      <c r="E8" s="92" t="s">
        <v>1920</v>
      </c>
      <c r="F8" s="696"/>
      <c r="G8" s="28">
        <v>1</v>
      </c>
      <c r="H8" s="697"/>
      <c r="I8" s="695">
        <f t="shared" si="0"/>
        <v>0</v>
      </c>
    </row>
    <row r="9" spans="1:10" x14ac:dyDescent="0.2">
      <c r="A9" s="27" t="s">
        <v>1300</v>
      </c>
      <c r="B9" s="92" t="s">
        <v>609</v>
      </c>
      <c r="C9" s="430"/>
      <c r="D9" s="92"/>
      <c r="E9" s="92" t="s">
        <v>1920</v>
      </c>
      <c r="F9" s="696"/>
      <c r="G9" s="28">
        <v>1</v>
      </c>
      <c r="H9" s="697"/>
      <c r="I9" s="695">
        <f t="shared" si="0"/>
        <v>0</v>
      </c>
    </row>
    <row r="10" spans="1:10" x14ac:dyDescent="0.2">
      <c r="A10" s="27" t="s">
        <v>1301</v>
      </c>
      <c r="B10" s="92" t="s">
        <v>829</v>
      </c>
      <c r="C10" s="430"/>
      <c r="D10" s="92"/>
      <c r="E10" s="92" t="s">
        <v>1920</v>
      </c>
      <c r="F10" s="696"/>
      <c r="G10" s="28">
        <v>1</v>
      </c>
      <c r="H10" s="697"/>
      <c r="I10" s="695">
        <f t="shared" si="0"/>
        <v>0</v>
      </c>
    </row>
    <row r="11" spans="1:10" x14ac:dyDescent="0.2">
      <c r="A11" s="27" t="s">
        <v>1304</v>
      </c>
      <c r="B11" s="92" t="s">
        <v>608</v>
      </c>
      <c r="C11" s="430"/>
      <c r="D11" s="92"/>
      <c r="E11" s="92" t="s">
        <v>1920</v>
      </c>
      <c r="F11" s="696"/>
      <c r="G11" s="28">
        <v>1</v>
      </c>
      <c r="H11" s="697"/>
      <c r="I11" s="695">
        <f t="shared" si="0"/>
        <v>0</v>
      </c>
    </row>
    <row r="12" spans="1:10" x14ac:dyDescent="0.2">
      <c r="A12" s="27" t="s">
        <v>1059</v>
      </c>
      <c r="B12" s="92" t="s">
        <v>607</v>
      </c>
      <c r="C12" s="430"/>
      <c r="D12" s="92"/>
      <c r="E12" s="92" t="s">
        <v>1920</v>
      </c>
      <c r="F12" s="696"/>
      <c r="G12" s="28">
        <v>1</v>
      </c>
      <c r="H12" s="697"/>
      <c r="I12" s="695">
        <f t="shared" si="0"/>
        <v>0</v>
      </c>
    </row>
    <row r="13" spans="1:10" x14ac:dyDescent="0.2">
      <c r="A13" s="27" t="s">
        <v>1359</v>
      </c>
      <c r="B13" s="92" t="s">
        <v>857</v>
      </c>
      <c r="C13" s="430"/>
      <c r="D13" s="92"/>
      <c r="E13" s="92" t="s">
        <v>1920</v>
      </c>
      <c r="F13" s="696"/>
      <c r="G13" s="28">
        <v>1</v>
      </c>
      <c r="H13" s="697"/>
      <c r="I13" s="695">
        <f t="shared" si="0"/>
        <v>0</v>
      </c>
    </row>
    <row r="14" spans="1:10" x14ac:dyDescent="0.2">
      <c r="A14" s="27" t="s">
        <v>11</v>
      </c>
      <c r="B14" s="92" t="s">
        <v>278</v>
      </c>
      <c r="C14" s="430"/>
      <c r="D14" s="92"/>
      <c r="E14" s="92" t="s">
        <v>1920</v>
      </c>
      <c r="F14" s="696"/>
      <c r="G14" s="28">
        <v>1</v>
      </c>
      <c r="H14" s="697"/>
      <c r="I14" s="695">
        <f t="shared" si="0"/>
        <v>0</v>
      </c>
    </row>
    <row r="15" spans="1:10" x14ac:dyDescent="0.2">
      <c r="A15" s="27" t="s">
        <v>180</v>
      </c>
      <c r="B15" s="92" t="s">
        <v>479</v>
      </c>
      <c r="C15" s="430"/>
      <c r="D15" s="92"/>
      <c r="E15" s="92" t="s">
        <v>1920</v>
      </c>
      <c r="F15" s="696"/>
      <c r="G15" s="28">
        <v>1</v>
      </c>
      <c r="H15" s="697"/>
      <c r="I15" s="695">
        <f t="shared" si="0"/>
        <v>0</v>
      </c>
    </row>
    <row r="16" spans="1:10" x14ac:dyDescent="0.2">
      <c r="A16" s="27" t="s">
        <v>1040</v>
      </c>
      <c r="B16" s="92" t="s">
        <v>274</v>
      </c>
      <c r="C16" s="430"/>
      <c r="D16" s="92"/>
      <c r="E16" s="92" t="s">
        <v>1920</v>
      </c>
      <c r="F16" s="696"/>
      <c r="G16" s="28">
        <v>1</v>
      </c>
      <c r="H16" s="697"/>
      <c r="I16" s="695">
        <f t="shared" si="0"/>
        <v>0</v>
      </c>
    </row>
    <row r="17" spans="1:9" x14ac:dyDescent="0.2">
      <c r="A17" s="27" t="s">
        <v>1125</v>
      </c>
      <c r="B17" s="92">
        <v>8130020</v>
      </c>
      <c r="C17" s="430"/>
      <c r="D17" s="92" t="s">
        <v>2217</v>
      </c>
      <c r="E17" s="92" t="s">
        <v>1975</v>
      </c>
      <c r="F17" s="696"/>
      <c r="G17" s="28">
        <v>1</v>
      </c>
      <c r="H17" s="697"/>
      <c r="I17" s="695">
        <f t="shared" si="0"/>
        <v>0</v>
      </c>
    </row>
    <row r="18" spans="1:9" ht="30" x14ac:dyDescent="0.2">
      <c r="A18" s="27" t="s">
        <v>1164</v>
      </c>
      <c r="B18" s="92" t="s">
        <v>665</v>
      </c>
      <c r="C18" s="430"/>
      <c r="D18" s="92"/>
      <c r="E18" s="92" t="s">
        <v>1920</v>
      </c>
      <c r="F18" s="696"/>
      <c r="G18" s="28">
        <v>1</v>
      </c>
      <c r="H18" s="697"/>
      <c r="I18" s="695">
        <f t="shared" si="0"/>
        <v>0</v>
      </c>
    </row>
    <row r="19" spans="1:9" x14ac:dyDescent="0.2">
      <c r="A19" s="27" t="s">
        <v>1216</v>
      </c>
      <c r="B19" s="92" t="s">
        <v>481</v>
      </c>
      <c r="C19" s="430"/>
      <c r="D19" s="92"/>
      <c r="E19" s="92" t="s">
        <v>1920</v>
      </c>
      <c r="F19" s="696"/>
      <c r="G19" s="28">
        <v>1</v>
      </c>
      <c r="H19" s="697"/>
      <c r="I19" s="695">
        <f t="shared" si="0"/>
        <v>0</v>
      </c>
    </row>
    <row r="20" spans="1:9" x14ac:dyDescent="0.2">
      <c r="A20" s="27" t="s">
        <v>2133</v>
      </c>
      <c r="B20" s="92" t="s">
        <v>2909</v>
      </c>
      <c r="C20" s="430"/>
      <c r="D20" s="92"/>
      <c r="E20" s="92">
        <v>56654</v>
      </c>
      <c r="F20" s="696"/>
      <c r="G20" s="28">
        <v>1</v>
      </c>
      <c r="H20" s="697"/>
      <c r="I20" s="695">
        <f t="shared" si="0"/>
        <v>0</v>
      </c>
    </row>
    <row r="21" spans="1:9" x14ac:dyDescent="0.2">
      <c r="A21" s="27" t="s">
        <v>1156</v>
      </c>
      <c r="B21" s="92" t="s">
        <v>2117</v>
      </c>
      <c r="C21" s="430"/>
      <c r="D21" s="92"/>
      <c r="E21" s="92" t="s">
        <v>1920</v>
      </c>
      <c r="F21" s="696"/>
      <c r="G21" s="28">
        <v>1</v>
      </c>
      <c r="H21" s="697"/>
      <c r="I21" s="695">
        <f t="shared" si="0"/>
        <v>0</v>
      </c>
    </row>
    <row r="22" spans="1:9" x14ac:dyDescent="0.2">
      <c r="I22" s="699">
        <f>SUM(I2:I21)</f>
        <v>0</v>
      </c>
    </row>
    <row r="25" spans="1:9" s="4" customFormat="1" ht="18" x14ac:dyDescent="0.25">
      <c r="A25" s="422" t="s">
        <v>1776</v>
      </c>
      <c r="B25" s="425"/>
      <c r="C25" s="309"/>
      <c r="D25" s="3"/>
      <c r="E25" s="3"/>
      <c r="F25" s="309"/>
      <c r="G25" s="3"/>
      <c r="H25" s="575"/>
      <c r="I25" s="541"/>
    </row>
    <row r="26" spans="1:9" s="4" customFormat="1" ht="18" x14ac:dyDescent="0.25">
      <c r="A26" s="422" t="s">
        <v>3006</v>
      </c>
      <c r="B26" s="425"/>
      <c r="C26" s="309"/>
      <c r="D26" s="3"/>
      <c r="E26" s="3"/>
      <c r="F26" s="309"/>
      <c r="G26" s="3"/>
      <c r="H26" s="575"/>
      <c r="I26" s="541"/>
    </row>
    <row r="27" spans="1:9" ht="18" x14ac:dyDescent="0.25">
      <c r="A27" s="491" t="s">
        <v>3325</v>
      </c>
      <c r="B27" s="316"/>
    </row>
    <row r="28" spans="1:9" ht="18" x14ac:dyDescent="0.25">
      <c r="A28" s="449" t="s">
        <v>3374</v>
      </c>
      <c r="B28" s="608">
        <f>+I22</f>
        <v>0</v>
      </c>
    </row>
  </sheetData>
  <sortState xmlns:xlrd2="http://schemas.microsoft.com/office/spreadsheetml/2017/richdata2" ref="A2:H21">
    <sortCondition ref="B2:B21"/>
  </sortState>
  <pageMargins left="0.5" right="0.5" top="0.5" bottom="0.5" header="0.3" footer="0.3"/>
  <pageSetup scale="7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69"/>
  <sheetViews>
    <sheetView workbookViewId="0">
      <pane ySplit="1" topLeftCell="A25" activePane="bottomLeft" state="frozen"/>
      <selection activeCell="C26" sqref="C26"/>
      <selection pane="bottomLeft" activeCell="G2" sqref="G2:G54"/>
    </sheetView>
  </sheetViews>
  <sheetFormatPr defaultColWidth="9.140625" defaultRowHeight="15" x14ac:dyDescent="0.2"/>
  <cols>
    <col min="1" max="1" width="63.85546875" style="119" bestFit="1" customWidth="1"/>
    <col min="2" max="2" width="16.42578125" style="85" bestFit="1" customWidth="1"/>
    <col min="3" max="3" width="20.42578125" style="85" bestFit="1" customWidth="1"/>
    <col min="4" max="4" width="20.140625" style="85" bestFit="1" customWidth="1"/>
    <col min="5" max="5" width="12.42578125" style="85" bestFit="1" customWidth="1"/>
    <col min="6" max="6" width="15.5703125" style="85" bestFit="1" customWidth="1"/>
    <col min="7" max="7" width="10.5703125" style="119" customWidth="1"/>
    <col min="8" max="8" width="11.42578125" style="519" bestFit="1" customWidth="1"/>
    <col min="9" max="9" width="16.85546875" style="519" bestFit="1" customWidth="1"/>
    <col min="10" max="10" width="17" style="119" bestFit="1" customWidth="1"/>
    <col min="11" max="16384" width="9.140625" style="119"/>
  </cols>
  <sheetData>
    <row r="1" spans="1:9" ht="15.75" x14ac:dyDescent="0.25">
      <c r="A1" s="101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367" t="s">
        <v>3372</v>
      </c>
      <c r="G1" s="101" t="s">
        <v>412</v>
      </c>
      <c r="H1" s="528" t="s">
        <v>3368</v>
      </c>
      <c r="I1" s="528" t="s">
        <v>3369</v>
      </c>
    </row>
    <row r="2" spans="1:9" x14ac:dyDescent="0.2">
      <c r="A2" s="213" t="s">
        <v>1869</v>
      </c>
      <c r="B2" s="129" t="s">
        <v>3269</v>
      </c>
      <c r="C2" s="430"/>
      <c r="D2" s="129"/>
      <c r="E2" s="129"/>
      <c r="F2" s="622"/>
      <c r="G2" s="62">
        <v>1</v>
      </c>
      <c r="H2" s="700"/>
      <c r="I2" s="610">
        <f>+G2*H2</f>
        <v>0</v>
      </c>
    </row>
    <row r="3" spans="1:9" x14ac:dyDescent="0.2">
      <c r="A3" s="56" t="s">
        <v>18</v>
      </c>
      <c r="B3" s="129" t="s">
        <v>3110</v>
      </c>
      <c r="C3" s="430"/>
      <c r="D3" s="129"/>
      <c r="E3" s="129" t="s">
        <v>1920</v>
      </c>
      <c r="F3" s="622"/>
      <c r="G3" s="74">
        <v>1</v>
      </c>
      <c r="H3" s="700"/>
      <c r="I3" s="610">
        <f t="shared" ref="I3:I54" si="0">+G3*H3</f>
        <v>0</v>
      </c>
    </row>
    <row r="4" spans="1:9" x14ac:dyDescent="0.2">
      <c r="A4" s="48" t="s">
        <v>1160</v>
      </c>
      <c r="B4" s="129" t="s">
        <v>2751</v>
      </c>
      <c r="C4" s="430"/>
      <c r="D4" s="129"/>
      <c r="E4" s="129" t="s">
        <v>1920</v>
      </c>
      <c r="F4" s="622"/>
      <c r="G4" s="74">
        <v>1</v>
      </c>
      <c r="H4" s="700"/>
      <c r="I4" s="610">
        <f t="shared" si="0"/>
        <v>0</v>
      </c>
    </row>
    <row r="5" spans="1:9" x14ac:dyDescent="0.2">
      <c r="A5" s="48" t="s">
        <v>17</v>
      </c>
      <c r="B5" s="129" t="s">
        <v>407</v>
      </c>
      <c r="C5" s="430"/>
      <c r="D5" s="129"/>
      <c r="E5" s="129" t="s">
        <v>1920</v>
      </c>
      <c r="F5" s="622"/>
      <c r="G5" s="74">
        <v>1</v>
      </c>
      <c r="H5" s="700"/>
      <c r="I5" s="610">
        <f t="shared" si="0"/>
        <v>0</v>
      </c>
    </row>
    <row r="6" spans="1:9" x14ac:dyDescent="0.2">
      <c r="A6" s="48" t="s">
        <v>1196</v>
      </c>
      <c r="B6" s="129" t="s">
        <v>80</v>
      </c>
      <c r="C6" s="430"/>
      <c r="D6" s="129"/>
      <c r="E6" s="129" t="s">
        <v>1920</v>
      </c>
      <c r="F6" s="622"/>
      <c r="G6" s="74">
        <v>1</v>
      </c>
      <c r="H6" s="700"/>
      <c r="I6" s="610">
        <f t="shared" si="0"/>
        <v>0</v>
      </c>
    </row>
    <row r="7" spans="1:9" x14ac:dyDescent="0.2">
      <c r="A7" s="156" t="s">
        <v>48</v>
      </c>
      <c r="B7" s="129" t="s">
        <v>252</v>
      </c>
      <c r="C7" s="430"/>
      <c r="D7" s="129"/>
      <c r="E7" s="129" t="s">
        <v>1920</v>
      </c>
      <c r="F7" s="622"/>
      <c r="G7" s="74">
        <v>1</v>
      </c>
      <c r="H7" s="700"/>
      <c r="I7" s="610">
        <f t="shared" si="0"/>
        <v>0</v>
      </c>
    </row>
    <row r="8" spans="1:9" x14ac:dyDescent="0.2">
      <c r="A8" s="48" t="s">
        <v>1192</v>
      </c>
      <c r="B8" s="129" t="s">
        <v>94</v>
      </c>
      <c r="C8" s="430"/>
      <c r="D8" s="129"/>
      <c r="E8" s="129" t="s">
        <v>1920</v>
      </c>
      <c r="F8" s="622"/>
      <c r="G8" s="74">
        <v>1</v>
      </c>
      <c r="H8" s="700"/>
      <c r="I8" s="610">
        <f t="shared" si="0"/>
        <v>0</v>
      </c>
    </row>
    <row r="9" spans="1:9" x14ac:dyDescent="0.2">
      <c r="A9" s="48" t="s">
        <v>1147</v>
      </c>
      <c r="B9" s="129" t="s">
        <v>403</v>
      </c>
      <c r="C9" s="430"/>
      <c r="D9" s="129"/>
      <c r="E9" s="129" t="s">
        <v>1920</v>
      </c>
      <c r="F9" s="622"/>
      <c r="G9" s="74">
        <v>1</v>
      </c>
      <c r="H9" s="701"/>
      <c r="I9" s="610">
        <f t="shared" si="0"/>
        <v>0</v>
      </c>
    </row>
    <row r="10" spans="1:9" x14ac:dyDescent="0.2">
      <c r="A10" s="48" t="s">
        <v>1035</v>
      </c>
      <c r="B10" s="129" t="s">
        <v>414</v>
      </c>
      <c r="C10" s="430"/>
      <c r="D10" s="129"/>
      <c r="E10" s="129" t="s">
        <v>1920</v>
      </c>
      <c r="F10" s="622"/>
      <c r="G10" s="74">
        <v>1</v>
      </c>
      <c r="H10" s="701"/>
      <c r="I10" s="610">
        <f t="shared" si="0"/>
        <v>0</v>
      </c>
    </row>
    <row r="11" spans="1:9" x14ac:dyDescent="0.2">
      <c r="A11" s="56" t="s">
        <v>1027</v>
      </c>
      <c r="B11" s="129" t="s">
        <v>415</v>
      </c>
      <c r="C11" s="430"/>
      <c r="D11" s="129"/>
      <c r="E11" s="129" t="s">
        <v>1920</v>
      </c>
      <c r="F11" s="622"/>
      <c r="G11" s="74">
        <v>1</v>
      </c>
      <c r="H11" s="700"/>
      <c r="I11" s="610">
        <f t="shared" si="0"/>
        <v>0</v>
      </c>
    </row>
    <row r="12" spans="1:9" x14ac:dyDescent="0.2">
      <c r="A12" s="48" t="s">
        <v>1026</v>
      </c>
      <c r="B12" s="129" t="s">
        <v>99</v>
      </c>
      <c r="C12" s="430"/>
      <c r="D12" s="129"/>
      <c r="E12" s="129" t="s">
        <v>1920</v>
      </c>
      <c r="F12" s="622"/>
      <c r="G12" s="74">
        <v>1</v>
      </c>
      <c r="H12" s="700"/>
      <c r="I12" s="610">
        <f t="shared" si="0"/>
        <v>0</v>
      </c>
    </row>
    <row r="13" spans="1:9" x14ac:dyDescent="0.2">
      <c r="A13" s="63" t="s">
        <v>211</v>
      </c>
      <c r="B13" s="129" t="s">
        <v>212</v>
      </c>
      <c r="C13" s="430"/>
      <c r="D13" s="129"/>
      <c r="E13" s="129" t="s">
        <v>1920</v>
      </c>
      <c r="F13" s="622"/>
      <c r="G13" s="74">
        <v>1</v>
      </c>
      <c r="H13" s="700"/>
      <c r="I13" s="610">
        <f t="shared" si="0"/>
        <v>0</v>
      </c>
    </row>
    <row r="14" spans="1:9" x14ac:dyDescent="0.2">
      <c r="A14" s="48" t="s">
        <v>11</v>
      </c>
      <c r="B14" s="129" t="s">
        <v>278</v>
      </c>
      <c r="C14" s="430"/>
      <c r="D14" s="129"/>
      <c r="E14" s="129" t="s">
        <v>1920</v>
      </c>
      <c r="F14" s="622"/>
      <c r="G14" s="74">
        <v>1</v>
      </c>
      <c r="H14" s="700"/>
      <c r="I14" s="610">
        <f t="shared" si="0"/>
        <v>0</v>
      </c>
    </row>
    <row r="15" spans="1:9" x14ac:dyDescent="0.2">
      <c r="A15" s="48" t="s">
        <v>12</v>
      </c>
      <c r="B15" s="129" t="s">
        <v>171</v>
      </c>
      <c r="C15" s="430"/>
      <c r="D15" s="129"/>
      <c r="E15" s="129" t="s">
        <v>1920</v>
      </c>
      <c r="F15" s="622"/>
      <c r="G15" s="74">
        <v>1</v>
      </c>
      <c r="H15" s="700"/>
      <c r="I15" s="610">
        <f t="shared" si="0"/>
        <v>0</v>
      </c>
    </row>
    <row r="16" spans="1:9" x14ac:dyDescent="0.2">
      <c r="A16" s="48" t="s">
        <v>3260</v>
      </c>
      <c r="B16" s="129" t="s">
        <v>480</v>
      </c>
      <c r="C16" s="430"/>
      <c r="D16" s="129"/>
      <c r="E16" s="129" t="s">
        <v>1920</v>
      </c>
      <c r="F16" s="622"/>
      <c r="G16" s="74">
        <v>1</v>
      </c>
      <c r="H16" s="700"/>
      <c r="I16" s="610">
        <f t="shared" si="0"/>
        <v>0</v>
      </c>
    </row>
    <row r="17" spans="1:9" x14ac:dyDescent="0.2">
      <c r="A17" s="48" t="s">
        <v>66</v>
      </c>
      <c r="B17" s="129" t="s">
        <v>1836</v>
      </c>
      <c r="C17" s="430"/>
      <c r="D17" s="129"/>
      <c r="E17" s="129" t="s">
        <v>1947</v>
      </c>
      <c r="F17" s="622"/>
      <c r="G17" s="74">
        <v>1</v>
      </c>
      <c r="H17" s="700"/>
      <c r="I17" s="610">
        <f t="shared" si="0"/>
        <v>0</v>
      </c>
    </row>
    <row r="18" spans="1:9" x14ac:dyDescent="0.2">
      <c r="A18" s="56" t="s">
        <v>3132</v>
      </c>
      <c r="B18" s="129" t="s">
        <v>2732</v>
      </c>
      <c r="C18" s="430"/>
      <c r="D18" s="129"/>
      <c r="E18" s="129" t="s">
        <v>1920</v>
      </c>
      <c r="F18" s="622"/>
      <c r="G18" s="74">
        <v>1</v>
      </c>
      <c r="H18" s="700"/>
      <c r="I18" s="610">
        <f t="shared" si="0"/>
        <v>0</v>
      </c>
    </row>
    <row r="19" spans="1:9" x14ac:dyDescent="0.2">
      <c r="A19" s="48" t="s">
        <v>2231</v>
      </c>
      <c r="B19" s="129" t="s">
        <v>357</v>
      </c>
      <c r="C19" s="430"/>
      <c r="D19" s="129"/>
      <c r="E19" s="129" t="s">
        <v>1920</v>
      </c>
      <c r="F19" s="622"/>
      <c r="G19" s="74">
        <v>1</v>
      </c>
      <c r="H19" s="700"/>
      <c r="I19" s="610">
        <f t="shared" si="0"/>
        <v>0</v>
      </c>
    </row>
    <row r="20" spans="1:9" x14ac:dyDescent="0.2">
      <c r="A20" s="48" t="s">
        <v>1184</v>
      </c>
      <c r="B20" s="129" t="s">
        <v>327</v>
      </c>
      <c r="C20" s="430"/>
      <c r="D20" s="129"/>
      <c r="E20" s="129" t="s">
        <v>1920</v>
      </c>
      <c r="F20" s="622"/>
      <c r="G20" s="74">
        <v>1</v>
      </c>
      <c r="H20" s="700"/>
      <c r="I20" s="610">
        <f t="shared" si="0"/>
        <v>0</v>
      </c>
    </row>
    <row r="21" spans="1:9" x14ac:dyDescent="0.2">
      <c r="A21" s="48" t="s">
        <v>1186</v>
      </c>
      <c r="B21" s="129" t="s">
        <v>328</v>
      </c>
      <c r="C21" s="430"/>
      <c r="D21" s="129"/>
      <c r="E21" s="129" t="s">
        <v>1920</v>
      </c>
      <c r="F21" s="622"/>
      <c r="G21" s="74">
        <v>1</v>
      </c>
      <c r="H21" s="700"/>
      <c r="I21" s="610">
        <f t="shared" si="0"/>
        <v>0</v>
      </c>
    </row>
    <row r="22" spans="1:9" x14ac:dyDescent="0.2">
      <c r="A22" s="48" t="s">
        <v>1180</v>
      </c>
      <c r="B22" s="129" t="s">
        <v>359</v>
      </c>
      <c r="C22" s="430"/>
      <c r="D22" s="129"/>
      <c r="E22" s="129" t="s">
        <v>1920</v>
      </c>
      <c r="F22" s="622"/>
      <c r="G22" s="74">
        <v>1</v>
      </c>
      <c r="H22" s="700"/>
      <c r="I22" s="610">
        <f t="shared" si="0"/>
        <v>0</v>
      </c>
    </row>
    <row r="23" spans="1:9" x14ac:dyDescent="0.2">
      <c r="A23" s="48" t="s">
        <v>1187</v>
      </c>
      <c r="B23" s="129" t="s">
        <v>360</v>
      </c>
      <c r="C23" s="430"/>
      <c r="D23" s="129"/>
      <c r="E23" s="129" t="s">
        <v>1920</v>
      </c>
      <c r="F23" s="622"/>
      <c r="G23" s="74">
        <v>1</v>
      </c>
      <c r="H23" s="700"/>
      <c r="I23" s="610">
        <f t="shared" si="0"/>
        <v>0</v>
      </c>
    </row>
    <row r="24" spans="1:9" x14ac:dyDescent="0.2">
      <c r="A24" s="48" t="s">
        <v>1181</v>
      </c>
      <c r="B24" s="129" t="s">
        <v>199</v>
      </c>
      <c r="C24" s="430"/>
      <c r="D24" s="129"/>
      <c r="E24" s="129" t="s">
        <v>1920</v>
      </c>
      <c r="F24" s="622"/>
      <c r="G24" s="74">
        <v>2</v>
      </c>
      <c r="H24" s="700"/>
      <c r="I24" s="610">
        <f t="shared" si="0"/>
        <v>0</v>
      </c>
    </row>
    <row r="25" spans="1:9" x14ac:dyDescent="0.2">
      <c r="A25" s="48" t="s">
        <v>1054</v>
      </c>
      <c r="B25" s="129" t="s">
        <v>326</v>
      </c>
      <c r="C25" s="430"/>
      <c r="D25" s="129"/>
      <c r="E25" s="129" t="s">
        <v>1920</v>
      </c>
      <c r="F25" s="622"/>
      <c r="G25" s="74">
        <v>1</v>
      </c>
      <c r="H25" s="700"/>
      <c r="I25" s="610">
        <f t="shared" si="0"/>
        <v>0</v>
      </c>
    </row>
    <row r="26" spans="1:9" x14ac:dyDescent="0.2">
      <c r="A26" s="48" t="s">
        <v>2234</v>
      </c>
      <c r="B26" s="129" t="s">
        <v>119</v>
      </c>
      <c r="C26" s="430"/>
      <c r="D26" s="129"/>
      <c r="E26" s="129" t="s">
        <v>1920</v>
      </c>
      <c r="F26" s="622"/>
      <c r="G26" s="74">
        <v>1</v>
      </c>
      <c r="H26" s="700"/>
      <c r="I26" s="610">
        <f t="shared" si="0"/>
        <v>0</v>
      </c>
    </row>
    <row r="27" spans="1:9" x14ac:dyDescent="0.2">
      <c r="A27" s="48" t="s">
        <v>1316</v>
      </c>
      <c r="B27" s="129" t="s">
        <v>362</v>
      </c>
      <c r="C27" s="430"/>
      <c r="D27" s="129"/>
      <c r="E27" s="129" t="s">
        <v>1920</v>
      </c>
      <c r="F27" s="622"/>
      <c r="G27" s="74">
        <v>1</v>
      </c>
      <c r="H27" s="700"/>
      <c r="I27" s="610">
        <f t="shared" si="0"/>
        <v>0</v>
      </c>
    </row>
    <row r="28" spans="1:9" x14ac:dyDescent="0.2">
      <c r="A28" s="48" t="s">
        <v>2897</v>
      </c>
      <c r="B28" s="129" t="s">
        <v>324</v>
      </c>
      <c r="C28" s="430"/>
      <c r="D28" s="129"/>
      <c r="E28" s="129" t="s">
        <v>1920</v>
      </c>
      <c r="F28" s="622"/>
      <c r="G28" s="74">
        <v>1</v>
      </c>
      <c r="H28" s="700"/>
      <c r="I28" s="610">
        <f t="shared" si="0"/>
        <v>0</v>
      </c>
    </row>
    <row r="29" spans="1:9" x14ac:dyDescent="0.2">
      <c r="A29" s="48" t="s">
        <v>1070</v>
      </c>
      <c r="B29" s="129" t="s">
        <v>500</v>
      </c>
      <c r="C29" s="430"/>
      <c r="D29" s="129"/>
      <c r="E29" s="129" t="s">
        <v>1920</v>
      </c>
      <c r="F29" s="622"/>
      <c r="G29" s="74">
        <v>1</v>
      </c>
      <c r="H29" s="701"/>
      <c r="I29" s="610">
        <f t="shared" si="0"/>
        <v>0</v>
      </c>
    </row>
    <row r="30" spans="1:9" x14ac:dyDescent="0.2">
      <c r="A30" s="48" t="s">
        <v>1040</v>
      </c>
      <c r="B30" s="129" t="s">
        <v>274</v>
      </c>
      <c r="C30" s="430"/>
      <c r="D30" s="129"/>
      <c r="E30" s="129" t="s">
        <v>1920</v>
      </c>
      <c r="F30" s="622"/>
      <c r="G30" s="74">
        <v>1</v>
      </c>
      <c r="H30" s="700"/>
      <c r="I30" s="610">
        <f t="shared" si="0"/>
        <v>0</v>
      </c>
    </row>
    <row r="31" spans="1:9" x14ac:dyDescent="0.2">
      <c r="A31" s="48" t="s">
        <v>1275</v>
      </c>
      <c r="B31" s="129" t="s">
        <v>478</v>
      </c>
      <c r="C31" s="430"/>
      <c r="D31" s="129"/>
      <c r="E31" s="129" t="s">
        <v>1920</v>
      </c>
      <c r="F31" s="622"/>
      <c r="G31" s="74">
        <v>1</v>
      </c>
      <c r="H31" s="700"/>
      <c r="I31" s="610">
        <f t="shared" si="0"/>
        <v>0</v>
      </c>
    </row>
    <row r="32" spans="1:9" x14ac:dyDescent="0.2">
      <c r="A32" s="48" t="s">
        <v>1251</v>
      </c>
      <c r="B32" s="129" t="s">
        <v>81</v>
      </c>
      <c r="C32" s="430"/>
      <c r="D32" s="129"/>
      <c r="E32" s="129" t="s">
        <v>1920</v>
      </c>
      <c r="F32" s="622"/>
      <c r="G32" s="74">
        <v>1</v>
      </c>
      <c r="H32" s="700"/>
      <c r="I32" s="610">
        <f t="shared" si="0"/>
        <v>0</v>
      </c>
    </row>
    <row r="33" spans="1:9" x14ac:dyDescent="0.2">
      <c r="A33" s="56" t="s">
        <v>1871</v>
      </c>
      <c r="B33" s="129" t="s">
        <v>3074</v>
      </c>
      <c r="C33" s="430"/>
      <c r="D33" s="129"/>
      <c r="E33" s="129" t="s">
        <v>1920</v>
      </c>
      <c r="F33" s="622"/>
      <c r="G33" s="74">
        <v>1</v>
      </c>
      <c r="H33" s="700"/>
      <c r="I33" s="610">
        <f t="shared" si="0"/>
        <v>0</v>
      </c>
    </row>
    <row r="34" spans="1:9" x14ac:dyDescent="0.2">
      <c r="A34" s="56" t="s">
        <v>2133</v>
      </c>
      <c r="B34" s="129" t="s">
        <v>2909</v>
      </c>
      <c r="C34" s="430"/>
      <c r="D34" s="129"/>
      <c r="E34" s="129">
        <v>56654</v>
      </c>
      <c r="F34" s="622"/>
      <c r="G34" s="74">
        <v>1</v>
      </c>
      <c r="H34" s="700"/>
      <c r="I34" s="610">
        <f t="shared" si="0"/>
        <v>0</v>
      </c>
    </row>
    <row r="35" spans="1:9" x14ac:dyDescent="0.2">
      <c r="A35" s="56" t="s">
        <v>1346</v>
      </c>
      <c r="B35" s="129" t="s">
        <v>1988</v>
      </c>
      <c r="C35" s="430"/>
      <c r="D35" s="129"/>
      <c r="E35" s="129" t="s">
        <v>1920</v>
      </c>
      <c r="F35" s="622"/>
      <c r="G35" s="74">
        <v>1</v>
      </c>
      <c r="H35" s="700"/>
      <c r="I35" s="610">
        <f t="shared" si="0"/>
        <v>0</v>
      </c>
    </row>
    <row r="36" spans="1:9" x14ac:dyDescent="0.2">
      <c r="A36" s="48" t="s">
        <v>1085</v>
      </c>
      <c r="B36" s="129" t="s">
        <v>92</v>
      </c>
      <c r="C36" s="430"/>
      <c r="D36" s="129"/>
      <c r="E36" s="129" t="s">
        <v>1920</v>
      </c>
      <c r="F36" s="622"/>
      <c r="G36" s="74">
        <v>2</v>
      </c>
      <c r="H36" s="700"/>
      <c r="I36" s="610">
        <f t="shared" si="0"/>
        <v>0</v>
      </c>
    </row>
    <row r="37" spans="1:9" x14ac:dyDescent="0.2">
      <c r="A37" s="48" t="s">
        <v>4</v>
      </c>
      <c r="B37" s="129" t="s">
        <v>90</v>
      </c>
      <c r="C37" s="430"/>
      <c r="D37" s="129"/>
      <c r="E37" s="129" t="s">
        <v>1920</v>
      </c>
      <c r="F37" s="622"/>
      <c r="G37" s="74">
        <v>1</v>
      </c>
      <c r="H37" s="700"/>
      <c r="I37" s="610">
        <f t="shared" si="0"/>
        <v>0</v>
      </c>
    </row>
    <row r="38" spans="1:9" x14ac:dyDescent="0.2">
      <c r="A38" s="48" t="s">
        <v>1088</v>
      </c>
      <c r="B38" s="129" t="s">
        <v>485</v>
      </c>
      <c r="C38" s="430"/>
      <c r="D38" s="129"/>
      <c r="E38" s="129" t="s">
        <v>1920</v>
      </c>
      <c r="F38" s="622"/>
      <c r="G38" s="74">
        <v>1</v>
      </c>
      <c r="H38" s="701"/>
      <c r="I38" s="610">
        <f t="shared" si="0"/>
        <v>0</v>
      </c>
    </row>
    <row r="39" spans="1:9" x14ac:dyDescent="0.2">
      <c r="A39" s="48" t="s">
        <v>1339</v>
      </c>
      <c r="B39" s="129" t="s">
        <v>88</v>
      </c>
      <c r="C39" s="430"/>
      <c r="D39" s="129"/>
      <c r="E39" s="129" t="s">
        <v>1920</v>
      </c>
      <c r="F39" s="622"/>
      <c r="G39" s="74">
        <v>1</v>
      </c>
      <c r="H39" s="700"/>
      <c r="I39" s="610">
        <f t="shared" si="0"/>
        <v>0</v>
      </c>
    </row>
    <row r="40" spans="1:9" x14ac:dyDescent="0.2">
      <c r="A40" s="48" t="s">
        <v>1340</v>
      </c>
      <c r="B40" s="129" t="s">
        <v>87</v>
      </c>
      <c r="C40" s="430"/>
      <c r="D40" s="129"/>
      <c r="E40" s="129" t="s">
        <v>1920</v>
      </c>
      <c r="F40" s="622"/>
      <c r="G40" s="74">
        <v>1</v>
      </c>
      <c r="H40" s="702"/>
      <c r="I40" s="610">
        <f t="shared" si="0"/>
        <v>0</v>
      </c>
    </row>
    <row r="41" spans="1:9" x14ac:dyDescent="0.2">
      <c r="A41" s="48" t="s">
        <v>1289</v>
      </c>
      <c r="B41" s="129" t="s">
        <v>940</v>
      </c>
      <c r="C41" s="430"/>
      <c r="D41" s="129"/>
      <c r="E41" s="129" t="s">
        <v>1920</v>
      </c>
      <c r="F41" s="622"/>
      <c r="G41" s="74">
        <v>1</v>
      </c>
      <c r="H41" s="700"/>
      <c r="I41" s="610">
        <f t="shared" si="0"/>
        <v>0</v>
      </c>
    </row>
    <row r="42" spans="1:9" x14ac:dyDescent="0.2">
      <c r="A42" s="48" t="s">
        <v>1236</v>
      </c>
      <c r="B42" s="129" t="s">
        <v>77</v>
      </c>
      <c r="C42" s="430"/>
      <c r="D42" s="129"/>
      <c r="E42" s="129" t="s">
        <v>1920</v>
      </c>
      <c r="F42" s="622"/>
      <c r="G42" s="74">
        <v>1</v>
      </c>
      <c r="H42" s="700"/>
      <c r="I42" s="610">
        <f t="shared" si="0"/>
        <v>0</v>
      </c>
    </row>
    <row r="43" spans="1:9" x14ac:dyDescent="0.2">
      <c r="A43" s="48" t="s">
        <v>1235</v>
      </c>
      <c r="B43" s="129" t="s">
        <v>78</v>
      </c>
      <c r="C43" s="430"/>
      <c r="D43" s="129"/>
      <c r="E43" s="129" t="s">
        <v>1920</v>
      </c>
      <c r="F43" s="622"/>
      <c r="G43" s="74">
        <v>1</v>
      </c>
      <c r="H43" s="700"/>
      <c r="I43" s="610">
        <f t="shared" si="0"/>
        <v>0</v>
      </c>
    </row>
    <row r="44" spans="1:9" x14ac:dyDescent="0.2">
      <c r="A44" s="48" t="s">
        <v>1237</v>
      </c>
      <c r="B44" s="129" t="s">
        <v>306</v>
      </c>
      <c r="C44" s="430"/>
      <c r="D44" s="129"/>
      <c r="E44" s="129" t="s">
        <v>1920</v>
      </c>
      <c r="F44" s="622"/>
      <c r="G44" s="74">
        <v>1</v>
      </c>
      <c r="H44" s="700"/>
      <c r="I44" s="610">
        <f t="shared" si="0"/>
        <v>0</v>
      </c>
    </row>
    <row r="45" spans="1:9" x14ac:dyDescent="0.2">
      <c r="A45" s="48" t="s">
        <v>1345</v>
      </c>
      <c r="B45" s="129" t="s">
        <v>79</v>
      </c>
      <c r="C45" s="430"/>
      <c r="D45" s="129"/>
      <c r="E45" s="129" t="s">
        <v>1920</v>
      </c>
      <c r="F45" s="622"/>
      <c r="G45" s="74">
        <v>2</v>
      </c>
      <c r="H45" s="700"/>
      <c r="I45" s="610">
        <f t="shared" si="0"/>
        <v>0</v>
      </c>
    </row>
    <row r="46" spans="1:9" x14ac:dyDescent="0.2">
      <c r="A46" s="48" t="s">
        <v>1232</v>
      </c>
      <c r="B46" s="129" t="s">
        <v>76</v>
      </c>
      <c r="C46" s="430"/>
      <c r="D46" s="129"/>
      <c r="E46" s="129" t="s">
        <v>1920</v>
      </c>
      <c r="F46" s="622"/>
      <c r="G46" s="74">
        <v>1</v>
      </c>
      <c r="H46" s="700"/>
      <c r="I46" s="610">
        <f t="shared" si="0"/>
        <v>0</v>
      </c>
    </row>
    <row r="47" spans="1:9" x14ac:dyDescent="0.2">
      <c r="A47" s="48" t="s">
        <v>37</v>
      </c>
      <c r="B47" s="129" t="s">
        <v>38</v>
      </c>
      <c r="C47" s="430"/>
      <c r="D47" s="129"/>
      <c r="E47" s="129" t="s">
        <v>1920</v>
      </c>
      <c r="F47" s="622"/>
      <c r="G47" s="74">
        <v>1</v>
      </c>
      <c r="H47" s="700"/>
      <c r="I47" s="610">
        <f t="shared" si="0"/>
        <v>0</v>
      </c>
    </row>
    <row r="48" spans="1:9" x14ac:dyDescent="0.2">
      <c r="A48" s="48" t="s">
        <v>10</v>
      </c>
      <c r="B48" s="129" t="s">
        <v>469</v>
      </c>
      <c r="C48" s="430"/>
      <c r="D48" s="129"/>
      <c r="E48" s="129" t="s">
        <v>1920</v>
      </c>
      <c r="F48" s="622"/>
      <c r="G48" s="74">
        <v>1</v>
      </c>
      <c r="H48" s="700"/>
      <c r="I48" s="610">
        <f t="shared" si="0"/>
        <v>0</v>
      </c>
    </row>
    <row r="49" spans="1:9" x14ac:dyDescent="0.2">
      <c r="A49" s="48" t="s">
        <v>101</v>
      </c>
      <c r="B49" s="129" t="s">
        <v>509</v>
      </c>
      <c r="C49" s="430"/>
      <c r="D49" s="129"/>
      <c r="E49" s="129" t="s">
        <v>1920</v>
      </c>
      <c r="F49" s="622"/>
      <c r="G49" s="74">
        <v>1</v>
      </c>
      <c r="H49" s="700"/>
      <c r="I49" s="610">
        <f t="shared" si="0"/>
        <v>0</v>
      </c>
    </row>
    <row r="50" spans="1:9" x14ac:dyDescent="0.2">
      <c r="A50" s="48" t="s">
        <v>2922</v>
      </c>
      <c r="B50" s="129" t="s">
        <v>405</v>
      </c>
      <c r="C50" s="430"/>
      <c r="D50" s="129"/>
      <c r="E50" s="129" t="s">
        <v>1920</v>
      </c>
      <c r="F50" s="622"/>
      <c r="G50" s="74">
        <v>2</v>
      </c>
      <c r="H50" s="700"/>
      <c r="I50" s="610">
        <f t="shared" si="0"/>
        <v>0</v>
      </c>
    </row>
    <row r="51" spans="1:9" x14ac:dyDescent="0.2">
      <c r="A51" s="48" t="s">
        <v>2923</v>
      </c>
      <c r="B51" s="129" t="s">
        <v>241</v>
      </c>
      <c r="C51" s="430"/>
      <c r="D51" s="129"/>
      <c r="E51" s="129" t="s">
        <v>1920</v>
      </c>
      <c r="F51" s="622"/>
      <c r="G51" s="74">
        <v>2</v>
      </c>
      <c r="H51" s="700"/>
      <c r="I51" s="610">
        <f t="shared" si="0"/>
        <v>0</v>
      </c>
    </row>
    <row r="52" spans="1:9" x14ac:dyDescent="0.2">
      <c r="A52" s="48" t="s">
        <v>20</v>
      </c>
      <c r="B52" s="129" t="s">
        <v>102</v>
      </c>
      <c r="C52" s="430"/>
      <c r="D52" s="129"/>
      <c r="E52" s="129" t="s">
        <v>1920</v>
      </c>
      <c r="F52" s="622"/>
      <c r="G52" s="74">
        <v>1</v>
      </c>
      <c r="H52" s="700"/>
      <c r="I52" s="610">
        <f t="shared" si="0"/>
        <v>0</v>
      </c>
    </row>
    <row r="53" spans="1:9" x14ac:dyDescent="0.2">
      <c r="A53" s="48" t="s">
        <v>20</v>
      </c>
      <c r="B53" s="129" t="s">
        <v>287</v>
      </c>
      <c r="C53" s="430"/>
      <c r="D53" s="129"/>
      <c r="E53" s="129" t="s">
        <v>1920</v>
      </c>
      <c r="F53" s="622"/>
      <c r="G53" s="74">
        <v>1</v>
      </c>
      <c r="H53" s="700"/>
      <c r="I53" s="610">
        <f t="shared" si="0"/>
        <v>0</v>
      </c>
    </row>
    <row r="54" spans="1:9" x14ac:dyDescent="0.2">
      <c r="A54" s="48" t="s">
        <v>14</v>
      </c>
      <c r="B54" s="129" t="s">
        <v>472</v>
      </c>
      <c r="C54" s="430"/>
      <c r="D54" s="129"/>
      <c r="E54" s="129" t="s">
        <v>1971</v>
      </c>
      <c r="F54" s="622"/>
      <c r="G54" s="74">
        <v>1</v>
      </c>
      <c r="H54" s="700"/>
      <c r="I54" s="610">
        <f t="shared" si="0"/>
        <v>0</v>
      </c>
    </row>
    <row r="55" spans="1:9" ht="15.75" x14ac:dyDescent="0.25">
      <c r="H55" s="552"/>
      <c r="I55" s="614">
        <f>SUM(I2:I54)</f>
        <v>0</v>
      </c>
    </row>
    <row r="56" spans="1:9" ht="15.75" x14ac:dyDescent="0.25">
      <c r="H56" s="552"/>
      <c r="I56" s="614"/>
    </row>
    <row r="57" spans="1:9" s="4" customFormat="1" ht="18" x14ac:dyDescent="0.25">
      <c r="A57" s="422" t="s">
        <v>1793</v>
      </c>
      <c r="B57" s="425"/>
      <c r="C57" s="309"/>
      <c r="D57" s="3"/>
      <c r="E57" s="3"/>
      <c r="F57" s="309"/>
      <c r="G57" s="3"/>
      <c r="H57" s="531"/>
      <c r="I57" s="614"/>
    </row>
    <row r="58" spans="1:9" s="4" customFormat="1" ht="18" x14ac:dyDescent="0.25">
      <c r="A58" s="422" t="s">
        <v>3005</v>
      </c>
      <c r="B58" s="425"/>
      <c r="C58" s="309"/>
      <c r="D58" s="3"/>
      <c r="E58" s="3"/>
      <c r="F58" s="309"/>
      <c r="G58" s="3"/>
      <c r="H58" s="531"/>
      <c r="I58" s="614"/>
    </row>
    <row r="59" spans="1:9" ht="18" x14ac:dyDescent="0.25">
      <c r="A59" s="491" t="s">
        <v>3324</v>
      </c>
      <c r="B59" s="244"/>
      <c r="H59" s="552"/>
      <c r="I59" s="614"/>
    </row>
    <row r="60" spans="1:9" ht="18" x14ac:dyDescent="0.25">
      <c r="A60" s="449" t="s">
        <v>3374</v>
      </c>
      <c r="B60" s="608">
        <f>+I55</f>
        <v>0</v>
      </c>
      <c r="H60" s="552"/>
      <c r="I60" s="614"/>
    </row>
    <row r="61" spans="1:9" ht="15.75" x14ac:dyDescent="0.25">
      <c r="I61" s="614"/>
    </row>
    <row r="62" spans="1:9" ht="15.75" x14ac:dyDescent="0.25">
      <c r="I62" s="614"/>
    </row>
    <row r="63" spans="1:9" ht="15.75" x14ac:dyDescent="0.25">
      <c r="I63" s="614"/>
    </row>
    <row r="64" spans="1:9" ht="15.75" x14ac:dyDescent="0.25">
      <c r="I64" s="614"/>
    </row>
    <row r="65" spans="9:9" ht="15.75" x14ac:dyDescent="0.25">
      <c r="I65" s="614"/>
    </row>
    <row r="66" spans="9:9" ht="15.75" x14ac:dyDescent="0.25">
      <c r="I66" s="614"/>
    </row>
    <row r="67" spans="9:9" ht="15.75" x14ac:dyDescent="0.25">
      <c r="I67" s="614"/>
    </row>
    <row r="68" spans="9:9" ht="15.75" x14ac:dyDescent="0.25">
      <c r="I68" s="614"/>
    </row>
    <row r="69" spans="9:9" ht="15.75" x14ac:dyDescent="0.25">
      <c r="I69" s="614"/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8"/>
  <sheetViews>
    <sheetView workbookViewId="0">
      <pane ySplit="1" topLeftCell="A2" activePane="bottomLeft" state="frozen"/>
      <selection activeCell="C26" sqref="C26"/>
      <selection pane="bottomLeft" activeCell="G21" sqref="G2:G21"/>
    </sheetView>
  </sheetViews>
  <sheetFormatPr defaultColWidth="9.140625" defaultRowHeight="15" x14ac:dyDescent="0.2"/>
  <cols>
    <col min="1" max="1" width="70.5703125" style="162" bestFit="1" customWidth="1"/>
    <col min="2" max="2" width="14.42578125" style="164" bestFit="1" customWidth="1"/>
    <col min="3" max="3" width="20.42578125" style="164" bestFit="1" customWidth="1"/>
    <col min="4" max="4" width="20.140625" style="164" bestFit="1" customWidth="1"/>
    <col min="5" max="5" width="12.42578125" style="164" bestFit="1" customWidth="1"/>
    <col min="6" max="6" width="15.5703125" style="164" bestFit="1" customWidth="1"/>
    <col min="7" max="7" width="10" style="165" bestFit="1" customWidth="1"/>
    <col min="8" max="8" width="11.42578125" style="663" bestFit="1" customWidth="1"/>
    <col min="9" max="9" width="16.85546875" style="663" bestFit="1" customWidth="1"/>
    <col min="10" max="16384" width="9.140625" style="162"/>
  </cols>
  <sheetData>
    <row r="1" spans="1:9" ht="15.75" x14ac:dyDescent="0.25">
      <c r="A1" s="65" t="s">
        <v>0</v>
      </c>
      <c r="B1" s="123" t="s">
        <v>1</v>
      </c>
      <c r="C1" s="367" t="s">
        <v>3373</v>
      </c>
      <c r="D1" s="123" t="s">
        <v>1872</v>
      </c>
      <c r="E1" s="123" t="s">
        <v>1873</v>
      </c>
      <c r="F1" s="367" t="s">
        <v>3372</v>
      </c>
      <c r="G1" s="65" t="s">
        <v>412</v>
      </c>
      <c r="H1" s="528" t="s">
        <v>3368</v>
      </c>
      <c r="I1" s="539" t="s">
        <v>3369</v>
      </c>
    </row>
    <row r="2" spans="1:9" x14ac:dyDescent="0.2">
      <c r="A2" s="41" t="s">
        <v>1267</v>
      </c>
      <c r="B2" s="129" t="s">
        <v>169</v>
      </c>
      <c r="C2" s="430"/>
      <c r="D2" s="129"/>
      <c r="E2" s="129" t="s">
        <v>1920</v>
      </c>
      <c r="F2" s="622"/>
      <c r="G2" s="19">
        <v>1</v>
      </c>
      <c r="H2" s="606"/>
      <c r="I2" s="566">
        <f>+G2*H2</f>
        <v>0</v>
      </c>
    </row>
    <row r="3" spans="1:9" x14ac:dyDescent="0.2">
      <c r="A3" s="116" t="s">
        <v>459</v>
      </c>
      <c r="B3" s="129" t="s">
        <v>1823</v>
      </c>
      <c r="C3" s="430"/>
      <c r="D3" s="129"/>
      <c r="E3" s="129" t="s">
        <v>1920</v>
      </c>
      <c r="F3" s="622"/>
      <c r="G3" s="114">
        <v>1</v>
      </c>
      <c r="H3" s="606"/>
      <c r="I3" s="566">
        <f t="shared" ref="I3:I21" si="0">+G3*H3</f>
        <v>0</v>
      </c>
    </row>
    <row r="4" spans="1:9" x14ac:dyDescent="0.2">
      <c r="A4" s="116" t="s">
        <v>1615</v>
      </c>
      <c r="B4" s="129" t="s">
        <v>2002</v>
      </c>
      <c r="C4" s="430"/>
      <c r="D4" s="129"/>
      <c r="E4" s="129">
        <v>55719</v>
      </c>
      <c r="F4" s="622"/>
      <c r="G4" s="114">
        <v>1</v>
      </c>
      <c r="H4" s="606"/>
      <c r="I4" s="566">
        <f t="shared" si="0"/>
        <v>0</v>
      </c>
    </row>
    <row r="5" spans="1:9" x14ac:dyDescent="0.2">
      <c r="A5" s="41" t="s">
        <v>1048</v>
      </c>
      <c r="B5" s="129" t="s">
        <v>170</v>
      </c>
      <c r="C5" s="430"/>
      <c r="D5" s="129"/>
      <c r="E5" s="129" t="s">
        <v>1920</v>
      </c>
      <c r="F5" s="622"/>
      <c r="G5" s="19">
        <v>1</v>
      </c>
      <c r="H5" s="606"/>
      <c r="I5" s="566">
        <f t="shared" si="0"/>
        <v>0</v>
      </c>
    </row>
    <row r="6" spans="1:9" x14ac:dyDescent="0.2">
      <c r="A6" s="41" t="s">
        <v>1308</v>
      </c>
      <c r="B6" s="129" t="s">
        <v>172</v>
      </c>
      <c r="C6" s="430"/>
      <c r="D6" s="129"/>
      <c r="E6" s="129" t="s">
        <v>1920</v>
      </c>
      <c r="F6" s="622"/>
      <c r="G6" s="19">
        <v>1</v>
      </c>
      <c r="H6" s="606"/>
      <c r="I6" s="566">
        <f t="shared" si="0"/>
        <v>0</v>
      </c>
    </row>
    <row r="7" spans="1:9" x14ac:dyDescent="0.2">
      <c r="A7" s="41" t="s">
        <v>1192</v>
      </c>
      <c r="B7" s="129" t="s">
        <v>173</v>
      </c>
      <c r="C7" s="430"/>
      <c r="D7" s="129"/>
      <c r="E7" s="129" t="s">
        <v>1920</v>
      </c>
      <c r="F7" s="622"/>
      <c r="G7" s="19">
        <v>1</v>
      </c>
      <c r="H7" s="606"/>
      <c r="I7" s="566">
        <f t="shared" si="0"/>
        <v>0</v>
      </c>
    </row>
    <row r="8" spans="1:9" x14ac:dyDescent="0.2">
      <c r="A8" s="41" t="s">
        <v>12</v>
      </c>
      <c r="B8" s="129" t="s">
        <v>171</v>
      </c>
      <c r="C8" s="430"/>
      <c r="D8" s="129"/>
      <c r="E8" s="129" t="s">
        <v>1920</v>
      </c>
      <c r="F8" s="622"/>
      <c r="G8" s="19">
        <v>1</v>
      </c>
      <c r="H8" s="606"/>
      <c r="I8" s="566">
        <f t="shared" si="0"/>
        <v>0</v>
      </c>
    </row>
    <row r="9" spans="1:9" x14ac:dyDescent="0.2">
      <c r="A9" s="116" t="s">
        <v>460</v>
      </c>
      <c r="B9" s="129" t="s">
        <v>461</v>
      </c>
      <c r="C9" s="430"/>
      <c r="D9" s="129"/>
      <c r="E9" s="129" t="s">
        <v>1920</v>
      </c>
      <c r="F9" s="622"/>
      <c r="G9" s="114">
        <v>1</v>
      </c>
      <c r="H9" s="606"/>
      <c r="I9" s="566">
        <f t="shared" si="0"/>
        <v>0</v>
      </c>
    </row>
    <row r="10" spans="1:9" x14ac:dyDescent="0.2">
      <c r="A10" s="208" t="s">
        <v>2133</v>
      </c>
      <c r="B10" s="199" t="s">
        <v>2909</v>
      </c>
      <c r="C10" s="430"/>
      <c r="D10" s="129"/>
      <c r="E10" s="199">
        <v>56654</v>
      </c>
      <c r="F10" s="625"/>
      <c r="G10" s="114">
        <v>1</v>
      </c>
      <c r="H10" s="606"/>
      <c r="I10" s="566">
        <f t="shared" si="0"/>
        <v>0</v>
      </c>
    </row>
    <row r="11" spans="1:9" x14ac:dyDescent="0.2">
      <c r="A11" s="41" t="s">
        <v>167</v>
      </c>
      <c r="B11" s="129" t="s">
        <v>323</v>
      </c>
      <c r="C11" s="430"/>
      <c r="D11" s="129"/>
      <c r="E11" s="129" t="s">
        <v>1920</v>
      </c>
      <c r="F11" s="622"/>
      <c r="G11" s="19">
        <v>1</v>
      </c>
      <c r="H11" s="606"/>
      <c r="I11" s="566">
        <f t="shared" si="0"/>
        <v>0</v>
      </c>
    </row>
    <row r="12" spans="1:9" x14ac:dyDescent="0.2">
      <c r="A12" s="40" t="s">
        <v>1320</v>
      </c>
      <c r="B12" s="129" t="s">
        <v>168</v>
      </c>
      <c r="C12" s="430"/>
      <c r="D12" s="129"/>
      <c r="E12" s="129" t="s">
        <v>1920</v>
      </c>
      <c r="F12" s="622"/>
      <c r="G12" s="15">
        <v>1</v>
      </c>
      <c r="H12" s="606"/>
      <c r="I12" s="566">
        <f t="shared" si="0"/>
        <v>0</v>
      </c>
    </row>
    <row r="13" spans="1:9" x14ac:dyDescent="0.2">
      <c r="A13" s="116" t="s">
        <v>1417</v>
      </c>
      <c r="B13" s="129" t="s">
        <v>619</v>
      </c>
      <c r="C13" s="430"/>
      <c r="D13" s="129"/>
      <c r="E13" s="129" t="s">
        <v>1920</v>
      </c>
      <c r="F13" s="622"/>
      <c r="G13" s="114">
        <v>1</v>
      </c>
      <c r="H13" s="606"/>
      <c r="I13" s="566">
        <f t="shared" si="0"/>
        <v>0</v>
      </c>
    </row>
    <row r="14" spans="1:9" x14ac:dyDescent="0.2">
      <c r="A14" s="41" t="s">
        <v>410</v>
      </c>
      <c r="B14" s="129" t="s">
        <v>411</v>
      </c>
      <c r="C14" s="430"/>
      <c r="D14" s="129"/>
      <c r="E14" s="129" t="s">
        <v>1920</v>
      </c>
      <c r="F14" s="622"/>
      <c r="G14" s="114">
        <v>1</v>
      </c>
      <c r="H14" s="606"/>
      <c r="I14" s="566">
        <f t="shared" si="0"/>
        <v>0</v>
      </c>
    </row>
    <row r="15" spans="1:9" x14ac:dyDescent="0.2">
      <c r="A15" s="41" t="s">
        <v>1591</v>
      </c>
      <c r="B15" s="129" t="s">
        <v>166</v>
      </c>
      <c r="C15" s="430"/>
      <c r="D15" s="129"/>
      <c r="E15" s="129" t="s">
        <v>1920</v>
      </c>
      <c r="F15" s="622"/>
      <c r="G15" s="19">
        <v>1</v>
      </c>
      <c r="H15" s="606"/>
      <c r="I15" s="566">
        <f t="shared" si="0"/>
        <v>0</v>
      </c>
    </row>
    <row r="16" spans="1:9" x14ac:dyDescent="0.2">
      <c r="A16" s="48" t="s">
        <v>1085</v>
      </c>
      <c r="B16" s="129" t="s">
        <v>92</v>
      </c>
      <c r="C16" s="430"/>
      <c r="D16" s="129"/>
      <c r="E16" s="129" t="s">
        <v>1920</v>
      </c>
      <c r="F16" s="622"/>
      <c r="G16" s="114">
        <v>1</v>
      </c>
      <c r="H16" s="606"/>
      <c r="I16" s="566">
        <f t="shared" si="0"/>
        <v>0</v>
      </c>
    </row>
    <row r="17" spans="1:9" x14ac:dyDescent="0.2">
      <c r="A17" s="116" t="s">
        <v>4</v>
      </c>
      <c r="B17" s="129" t="s">
        <v>90</v>
      </c>
      <c r="C17" s="430"/>
      <c r="D17" s="129"/>
      <c r="E17" s="129" t="s">
        <v>1920</v>
      </c>
      <c r="F17" s="622"/>
      <c r="G17" s="114">
        <v>1</v>
      </c>
      <c r="H17" s="606"/>
      <c r="I17" s="566">
        <f t="shared" si="0"/>
        <v>0</v>
      </c>
    </row>
    <row r="18" spans="1:9" x14ac:dyDescent="0.2">
      <c r="A18" s="116" t="s">
        <v>105</v>
      </c>
      <c r="B18" s="129" t="s">
        <v>2118</v>
      </c>
      <c r="C18" s="430"/>
      <c r="D18" s="129"/>
      <c r="E18" s="129" t="s">
        <v>1975</v>
      </c>
      <c r="F18" s="622"/>
      <c r="G18" s="114">
        <v>1</v>
      </c>
      <c r="H18" s="606"/>
      <c r="I18" s="566">
        <f t="shared" si="0"/>
        <v>0</v>
      </c>
    </row>
    <row r="19" spans="1:9" x14ac:dyDescent="0.2">
      <c r="A19" s="151" t="s">
        <v>1235</v>
      </c>
      <c r="B19" s="129" t="s">
        <v>78</v>
      </c>
      <c r="C19" s="430"/>
      <c r="D19" s="129"/>
      <c r="E19" s="129" t="s">
        <v>1920</v>
      </c>
      <c r="F19" s="622"/>
      <c r="G19" s="74">
        <v>1</v>
      </c>
      <c r="H19" s="606"/>
      <c r="I19" s="566">
        <f t="shared" si="0"/>
        <v>0</v>
      </c>
    </row>
    <row r="20" spans="1:9" x14ac:dyDescent="0.2">
      <c r="A20" s="41" t="s">
        <v>1465</v>
      </c>
      <c r="B20" s="129" t="s">
        <v>174</v>
      </c>
      <c r="C20" s="430"/>
      <c r="D20" s="129"/>
      <c r="E20" s="129" t="s">
        <v>1920</v>
      </c>
      <c r="F20" s="622"/>
      <c r="G20" s="19">
        <v>1</v>
      </c>
      <c r="H20" s="606"/>
      <c r="I20" s="566">
        <f t="shared" si="0"/>
        <v>0</v>
      </c>
    </row>
    <row r="21" spans="1:9" x14ac:dyDescent="0.2">
      <c r="A21" s="116" t="s">
        <v>20</v>
      </c>
      <c r="B21" s="129" t="s">
        <v>287</v>
      </c>
      <c r="C21" s="430"/>
      <c r="D21" s="129"/>
      <c r="E21" s="129" t="s">
        <v>1920</v>
      </c>
      <c r="F21" s="622"/>
      <c r="G21" s="114">
        <v>1</v>
      </c>
      <c r="H21" s="606"/>
      <c r="I21" s="566">
        <f t="shared" si="0"/>
        <v>0</v>
      </c>
    </row>
    <row r="22" spans="1:9" x14ac:dyDescent="0.2">
      <c r="I22" s="663">
        <f>SUM(I2:I21)</f>
        <v>0</v>
      </c>
    </row>
    <row r="25" spans="1:9" s="4" customFormat="1" ht="18" x14ac:dyDescent="0.25">
      <c r="A25" s="422" t="s">
        <v>2224</v>
      </c>
      <c r="B25" s="425"/>
      <c r="C25" s="309"/>
      <c r="D25" s="3"/>
      <c r="E25" s="3"/>
      <c r="F25" s="309"/>
      <c r="G25" s="3"/>
      <c r="H25" s="531"/>
      <c r="I25" s="541"/>
    </row>
    <row r="26" spans="1:9" s="4" customFormat="1" ht="18" x14ac:dyDescent="0.25">
      <c r="A26" s="422" t="s">
        <v>3004</v>
      </c>
      <c r="B26" s="425"/>
      <c r="C26" s="309"/>
      <c r="D26" s="3"/>
      <c r="E26" s="3"/>
      <c r="F26" s="309"/>
      <c r="G26" s="3"/>
      <c r="H26" s="531"/>
      <c r="I26" s="541"/>
    </row>
    <row r="27" spans="1:9" ht="18" x14ac:dyDescent="0.25">
      <c r="A27" s="491" t="s">
        <v>3323</v>
      </c>
      <c r="B27" s="163"/>
    </row>
    <row r="28" spans="1:9" ht="18" x14ac:dyDescent="0.25">
      <c r="A28" s="449" t="s">
        <v>3374</v>
      </c>
      <c r="B28" s="608">
        <f>+I22</f>
        <v>0</v>
      </c>
    </row>
  </sheetData>
  <pageMargins left="0.7" right="0.7" top="0.75" bottom="0.75" header="0.3" footer="0.3"/>
  <pageSetup scale="8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H11"/>
  <sheetViews>
    <sheetView workbookViewId="0">
      <pane ySplit="1" topLeftCell="A2" activePane="bottomLeft" state="frozen"/>
      <selection activeCell="C8" sqref="C8"/>
      <selection pane="bottomLeft" activeCell="F6" sqref="F2:F6"/>
    </sheetView>
  </sheetViews>
  <sheetFormatPr defaultColWidth="9.140625" defaultRowHeight="18.75" x14ac:dyDescent="0.3"/>
  <cols>
    <col min="1" max="1" width="63.85546875" style="50" bestFit="1" customWidth="1"/>
    <col min="2" max="2" width="15.85546875" style="86" bestFit="1" customWidth="1"/>
    <col min="3" max="3" width="20.42578125" style="145" bestFit="1" customWidth="1"/>
    <col min="4" max="4" width="20.140625" style="145" bestFit="1" customWidth="1"/>
    <col min="5" max="5" width="12.42578125" style="145" bestFit="1" customWidth="1"/>
    <col min="6" max="6" width="10" style="50" bestFit="1" customWidth="1"/>
    <col min="7" max="7" width="11.42578125" style="50" bestFit="1" customWidth="1"/>
    <col min="8" max="8" width="16.85546875" style="50" bestFit="1" customWidth="1"/>
    <col min="9" max="16384" width="9.140625" style="50"/>
  </cols>
  <sheetData>
    <row r="1" spans="1:8" x14ac:dyDescent="0.3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100" t="s">
        <v>412</v>
      </c>
      <c r="G1" s="441" t="s">
        <v>3368</v>
      </c>
      <c r="H1" s="418" t="s">
        <v>3369</v>
      </c>
    </row>
    <row r="2" spans="1:8" x14ac:dyDescent="0.3">
      <c r="A2" s="8" t="s">
        <v>17</v>
      </c>
      <c r="B2" s="71" t="s">
        <v>407</v>
      </c>
      <c r="C2" s="430"/>
      <c r="D2" s="71"/>
      <c r="E2" s="71" t="s">
        <v>1920</v>
      </c>
      <c r="F2" s="10">
        <v>1</v>
      </c>
      <c r="G2" s="433"/>
      <c r="H2" s="490"/>
    </row>
    <row r="3" spans="1:8" x14ac:dyDescent="0.3">
      <c r="A3" s="151" t="s">
        <v>66</v>
      </c>
      <c r="B3" s="71" t="s">
        <v>1836</v>
      </c>
      <c r="C3" s="430"/>
      <c r="D3" s="33"/>
      <c r="E3" s="71" t="s">
        <v>1947</v>
      </c>
      <c r="F3" s="37">
        <v>1</v>
      </c>
      <c r="G3" s="433"/>
      <c r="H3" s="490"/>
    </row>
    <row r="4" spans="1:8" x14ac:dyDescent="0.3">
      <c r="A4" s="151" t="s">
        <v>1275</v>
      </c>
      <c r="B4" s="71" t="s">
        <v>478</v>
      </c>
      <c r="C4" s="430"/>
      <c r="D4" s="71"/>
      <c r="E4" s="71" t="s">
        <v>1920</v>
      </c>
      <c r="F4" s="37">
        <v>1</v>
      </c>
      <c r="G4" s="433"/>
      <c r="H4" s="490"/>
    </row>
    <row r="5" spans="1:8" x14ac:dyDescent="0.3">
      <c r="A5" s="38" t="s">
        <v>2133</v>
      </c>
      <c r="B5" s="71" t="s">
        <v>2909</v>
      </c>
      <c r="C5" s="430"/>
      <c r="D5" s="71"/>
      <c r="E5" s="71">
        <v>56654</v>
      </c>
      <c r="F5" s="37">
        <v>1</v>
      </c>
      <c r="G5" s="433"/>
      <c r="H5" s="490"/>
    </row>
    <row r="6" spans="1:8" x14ac:dyDescent="0.3">
      <c r="A6" s="151" t="s">
        <v>13</v>
      </c>
      <c r="B6" s="71" t="s">
        <v>471</v>
      </c>
      <c r="C6" s="430"/>
      <c r="D6" s="71"/>
      <c r="E6" s="71" t="s">
        <v>1920</v>
      </c>
      <c r="F6" s="37">
        <v>1</v>
      </c>
      <c r="G6" s="433"/>
      <c r="H6" s="490"/>
    </row>
    <row r="8" spans="1:8" s="4" customFormat="1" ht="18" x14ac:dyDescent="0.25">
      <c r="A8" s="422" t="s">
        <v>2250</v>
      </c>
      <c r="B8" s="422"/>
      <c r="C8" s="308"/>
      <c r="D8" s="3"/>
      <c r="E8" s="3"/>
      <c r="F8" s="3"/>
      <c r="G8" s="39"/>
    </row>
    <row r="9" spans="1:8" s="4" customFormat="1" ht="18" x14ac:dyDescent="0.25">
      <c r="A9" s="422" t="s">
        <v>3002</v>
      </c>
      <c r="B9" s="425"/>
      <c r="C9" s="309"/>
      <c r="D9" s="3"/>
      <c r="E9" s="3"/>
      <c r="F9" s="3"/>
      <c r="G9" s="39"/>
    </row>
    <row r="10" spans="1:8" x14ac:dyDescent="0.3">
      <c r="A10" s="491" t="s">
        <v>3322</v>
      </c>
      <c r="B10" s="513"/>
    </row>
    <row r="11" spans="1:8" x14ac:dyDescent="0.3">
      <c r="A11" s="434" t="s">
        <v>3367</v>
      </c>
      <c r="B11" s="420"/>
    </row>
  </sheetData>
  <sortState xmlns:xlrd2="http://schemas.microsoft.com/office/spreadsheetml/2017/richdata2" ref="A2:H6">
    <sortCondition ref="B2:B6"/>
  </sortState>
  <pageMargins left="0.7" right="0.7" top="0.75" bottom="0.75" header="0.3" footer="0.3"/>
  <pageSetup scale="88" fitToHeight="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0"/>
  <sheetViews>
    <sheetView workbookViewId="0">
      <pane ySplit="1" topLeftCell="A2" activePane="bottomLeft" state="frozen"/>
      <selection activeCell="C26" sqref="C26"/>
      <selection pane="bottomLeft" activeCell="F5" sqref="F1:F5"/>
    </sheetView>
  </sheetViews>
  <sheetFormatPr defaultColWidth="9.140625" defaultRowHeight="15.75" x14ac:dyDescent="0.25"/>
  <cols>
    <col min="1" max="1" width="64.5703125" style="1" bestFit="1" customWidth="1"/>
    <col min="2" max="2" width="15.85546875" style="259" bestFit="1" customWidth="1"/>
    <col min="3" max="3" width="20.42578125" style="259" bestFit="1" customWidth="1"/>
    <col min="4" max="4" width="20.140625" style="1" bestFit="1" customWidth="1"/>
    <col min="5" max="5" width="12.42578125" style="1" bestFit="1" customWidth="1"/>
    <col min="6" max="6" width="10" style="2" bestFit="1" customWidth="1"/>
    <col min="7" max="7" width="11.42578125" style="1" bestFit="1" customWidth="1"/>
    <col min="8" max="8" width="16.85546875" style="1" bestFit="1" customWidth="1"/>
    <col min="9" max="16384" width="9.140625" style="1"/>
  </cols>
  <sheetData>
    <row r="1" spans="1:8" ht="31.5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13" t="s">
        <v>412</v>
      </c>
      <c r="G1" s="441" t="s">
        <v>3368</v>
      </c>
      <c r="H1" s="418" t="s">
        <v>3369</v>
      </c>
    </row>
    <row r="2" spans="1:8" x14ac:dyDescent="0.25">
      <c r="A2" s="8" t="s">
        <v>2133</v>
      </c>
      <c r="B2" s="252" t="s">
        <v>2909</v>
      </c>
      <c r="C2" s="430"/>
      <c r="D2" s="129"/>
      <c r="E2" s="129">
        <v>56654</v>
      </c>
      <c r="F2" s="10">
        <v>1</v>
      </c>
      <c r="G2" s="442"/>
      <c r="H2" s="448"/>
    </row>
    <row r="3" spans="1:8" x14ac:dyDescent="0.25">
      <c r="A3" s="8" t="s">
        <v>17</v>
      </c>
      <c r="B3" s="252" t="s">
        <v>407</v>
      </c>
      <c r="C3" s="430"/>
      <c r="D3" s="129"/>
      <c r="E3" s="129" t="s">
        <v>1920</v>
      </c>
      <c r="F3" s="10">
        <v>1</v>
      </c>
      <c r="G3" s="442"/>
      <c r="H3" s="448"/>
    </row>
    <row r="4" spans="1:8" x14ac:dyDescent="0.25">
      <c r="A4" s="8" t="s">
        <v>1275</v>
      </c>
      <c r="B4" s="252" t="s">
        <v>478</v>
      </c>
      <c r="C4" s="430"/>
      <c r="D4" s="129"/>
      <c r="E4" s="129" t="s">
        <v>1920</v>
      </c>
      <c r="F4" s="10">
        <v>1</v>
      </c>
      <c r="G4" s="442"/>
      <c r="H4" s="448"/>
    </row>
    <row r="5" spans="1:8" ht="27" customHeight="1" x14ac:dyDescent="0.25">
      <c r="A5" s="27" t="s">
        <v>1153</v>
      </c>
      <c r="B5" s="252" t="s">
        <v>2131</v>
      </c>
      <c r="C5" s="430"/>
      <c r="D5" s="129"/>
      <c r="E5" s="129" t="s">
        <v>1920</v>
      </c>
      <c r="F5" s="28">
        <v>1</v>
      </c>
      <c r="G5" s="452"/>
      <c r="H5" s="448"/>
    </row>
    <row r="6" spans="1:8" x14ac:dyDescent="0.25">
      <c r="A6" s="146"/>
      <c r="B6" s="146"/>
      <c r="C6" s="146"/>
      <c r="D6" s="146"/>
      <c r="E6" s="146"/>
      <c r="F6" s="146"/>
      <c r="G6" s="146"/>
    </row>
    <row r="7" spans="1:8" s="4" customFormat="1" ht="18" x14ac:dyDescent="0.25">
      <c r="A7" s="422" t="s">
        <v>2254</v>
      </c>
      <c r="B7" s="451"/>
      <c r="C7" s="259"/>
      <c r="D7" s="1"/>
      <c r="E7" s="3"/>
    </row>
    <row r="8" spans="1:8" s="4" customFormat="1" ht="30" x14ac:dyDescent="0.4">
      <c r="A8" s="422" t="s">
        <v>3000</v>
      </c>
      <c r="B8" s="425"/>
      <c r="C8" s="309"/>
      <c r="D8" s="153"/>
      <c r="E8" s="3"/>
    </row>
    <row r="9" spans="1:8" ht="18" x14ac:dyDescent="0.25">
      <c r="A9" s="491" t="s">
        <v>3321</v>
      </c>
      <c r="B9" s="451"/>
    </row>
    <row r="10" spans="1:8" ht="18" x14ac:dyDescent="0.25">
      <c r="A10" s="434" t="s">
        <v>3367</v>
      </c>
      <c r="B10" s="420"/>
    </row>
  </sheetData>
  <pageMargins left="0.5" right="0.5" top="0.5" bottom="0.5" header="0.3" footer="0.3"/>
  <pageSetup scale="80" orientation="landscape" r:id="rId1"/>
  <headerFooter>
    <oddFooter xml:space="preserve">&amp;C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4"/>
  <sheetViews>
    <sheetView workbookViewId="0">
      <pane ySplit="1" topLeftCell="A2" activePane="bottomLeft" state="frozen"/>
      <selection activeCell="C26" sqref="C26"/>
      <selection pane="bottomLeft" activeCell="F7" sqref="F2:F7"/>
    </sheetView>
  </sheetViews>
  <sheetFormatPr defaultColWidth="9.140625" defaultRowHeight="12.75" x14ac:dyDescent="0.2"/>
  <cols>
    <col min="1" max="1" width="63.85546875" style="34" bestFit="1" customWidth="1"/>
    <col min="2" max="2" width="15.85546875" style="36" bestFit="1" customWidth="1"/>
    <col min="3" max="3" width="21.140625" style="36" bestFit="1" customWidth="1"/>
    <col min="4" max="4" width="20.140625" style="36" bestFit="1" customWidth="1"/>
    <col min="5" max="5" width="12.42578125" style="36" bestFit="1" customWidth="1"/>
    <col min="6" max="6" width="10" style="36" bestFit="1" customWidth="1"/>
    <col min="7" max="7" width="11.42578125" style="35" bestFit="1" customWidth="1"/>
    <col min="8" max="8" width="16.85546875" style="35" bestFit="1" customWidth="1"/>
    <col min="9" max="16384" width="9.140625" style="35"/>
  </cols>
  <sheetData>
    <row r="1" spans="1:8" ht="24.95" customHeight="1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13" t="s">
        <v>412</v>
      </c>
      <c r="G1" s="441" t="s">
        <v>3368</v>
      </c>
      <c r="H1" s="418" t="s">
        <v>3369</v>
      </c>
    </row>
    <row r="2" spans="1:8" ht="15" customHeight="1" x14ac:dyDescent="0.2">
      <c r="A2" s="342" t="s">
        <v>3256</v>
      </c>
      <c r="B2" s="314">
        <v>75908</v>
      </c>
      <c r="C2" s="430"/>
      <c r="D2" s="344"/>
      <c r="E2" s="344">
        <v>56654</v>
      </c>
      <c r="F2" s="511">
        <v>1</v>
      </c>
      <c r="G2" s="510"/>
      <c r="H2" s="465"/>
    </row>
    <row r="3" spans="1:8" ht="15" customHeight="1" x14ac:dyDescent="0.2">
      <c r="A3" s="8" t="s">
        <v>17</v>
      </c>
      <c r="B3" s="252" t="s">
        <v>407</v>
      </c>
      <c r="C3" s="430"/>
      <c r="D3" s="129"/>
      <c r="E3" s="129" t="s">
        <v>1920</v>
      </c>
      <c r="F3" s="472">
        <v>1</v>
      </c>
      <c r="G3" s="442"/>
      <c r="H3" s="465"/>
    </row>
    <row r="4" spans="1:8" ht="18" customHeight="1" x14ac:dyDescent="0.2">
      <c r="A4" s="8" t="s">
        <v>3260</v>
      </c>
      <c r="B4" s="252" t="s">
        <v>480</v>
      </c>
      <c r="C4" s="430"/>
      <c r="D4" s="129"/>
      <c r="E4" s="129"/>
      <c r="F4" s="472">
        <v>1</v>
      </c>
      <c r="G4" s="442"/>
      <c r="H4" s="465"/>
    </row>
    <row r="5" spans="1:8" ht="15" x14ac:dyDescent="0.2">
      <c r="A5" s="8" t="s">
        <v>1153</v>
      </c>
      <c r="B5" s="252" t="s">
        <v>2131</v>
      </c>
      <c r="C5" s="430"/>
      <c r="D5" s="129"/>
      <c r="E5" s="129"/>
      <c r="F5" s="472">
        <v>1</v>
      </c>
      <c r="G5" s="442"/>
      <c r="H5" s="465"/>
    </row>
    <row r="6" spans="1:8" ht="15" x14ac:dyDescent="0.2">
      <c r="A6" s="343" t="s">
        <v>1275</v>
      </c>
      <c r="B6" s="345" t="s">
        <v>478</v>
      </c>
      <c r="C6" s="430"/>
      <c r="D6" s="345"/>
      <c r="E6" s="345" t="s">
        <v>1920</v>
      </c>
      <c r="F6" s="512">
        <v>1</v>
      </c>
      <c r="G6" s="442"/>
      <c r="H6" s="465"/>
    </row>
    <row r="7" spans="1:8" ht="15" x14ac:dyDescent="0.2">
      <c r="A7" s="343" t="s">
        <v>2133</v>
      </c>
      <c r="B7" s="345" t="s">
        <v>2909</v>
      </c>
      <c r="C7" s="430"/>
      <c r="D7" s="345"/>
      <c r="E7" s="345">
        <v>56654</v>
      </c>
      <c r="F7" s="512">
        <v>1</v>
      </c>
      <c r="G7" s="442"/>
      <c r="H7" s="465"/>
    </row>
    <row r="8" spans="1:8" ht="15" x14ac:dyDescent="0.2">
      <c r="A8" s="202"/>
      <c r="B8" s="284"/>
      <c r="C8" s="284"/>
      <c r="D8" s="206"/>
      <c r="E8" s="206"/>
      <c r="F8" s="150"/>
      <c r="G8" s="207"/>
    </row>
    <row r="9" spans="1:8" x14ac:dyDescent="0.2">
      <c r="F9" s="36">
        <f>SUM(F2:F7)</f>
        <v>6</v>
      </c>
    </row>
    <row r="11" spans="1:8" s="4" customFormat="1" ht="18" x14ac:dyDescent="0.25">
      <c r="A11" s="422" t="s">
        <v>2257</v>
      </c>
      <c r="B11" s="425"/>
      <c r="C11" s="309"/>
      <c r="D11" s="3"/>
      <c r="E11" s="3"/>
      <c r="F11" s="3"/>
      <c r="G11" s="39"/>
    </row>
    <row r="12" spans="1:8" s="4" customFormat="1" ht="18" x14ac:dyDescent="0.25">
      <c r="A12" s="422" t="s">
        <v>2999</v>
      </c>
      <c r="B12" s="425"/>
      <c r="C12" s="309"/>
      <c r="D12" s="3"/>
      <c r="E12" s="3"/>
      <c r="F12" s="3"/>
      <c r="G12" s="39"/>
    </row>
    <row r="13" spans="1:8" ht="18" x14ac:dyDescent="0.25">
      <c r="A13" s="491" t="s">
        <v>3320</v>
      </c>
      <c r="B13" s="466"/>
    </row>
    <row r="14" spans="1:8" ht="18" x14ac:dyDescent="0.25">
      <c r="A14" s="434" t="s">
        <v>3367</v>
      </c>
      <c r="B14" s="420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1"/>
  <sheetViews>
    <sheetView workbookViewId="0">
      <pane ySplit="1" topLeftCell="A2" activePane="bottomLeft" state="frozen"/>
      <selection activeCell="C26" sqref="C26"/>
      <selection pane="bottomLeft" activeCell="E2" sqref="E2:E12"/>
    </sheetView>
  </sheetViews>
  <sheetFormatPr defaultColWidth="9.140625" defaultRowHeight="12.75" x14ac:dyDescent="0.2"/>
  <cols>
    <col min="1" max="1" width="76.42578125" style="167" bestFit="1" customWidth="1"/>
    <col min="2" max="2" width="20.42578125" style="171" bestFit="1" customWidth="1"/>
    <col min="3" max="3" width="20.42578125" style="172" bestFit="1" customWidth="1"/>
    <col min="4" max="4" width="13.5703125" style="172" bestFit="1" customWidth="1"/>
    <col min="5" max="5" width="10.42578125" style="172" bestFit="1" customWidth="1"/>
    <col min="6" max="6" width="13.140625" style="167" bestFit="1" customWidth="1"/>
    <col min="7" max="7" width="43.85546875" style="167" customWidth="1"/>
    <col min="8" max="16384" width="9.140625" style="167"/>
  </cols>
  <sheetData>
    <row r="1" spans="1:7" ht="15.75" x14ac:dyDescent="0.25">
      <c r="A1" s="13" t="s">
        <v>0</v>
      </c>
      <c r="B1" s="22" t="s">
        <v>1</v>
      </c>
      <c r="C1" s="367" t="s">
        <v>3373</v>
      </c>
      <c r="D1" s="22" t="s">
        <v>1873</v>
      </c>
      <c r="E1" s="13" t="s">
        <v>412</v>
      </c>
      <c r="F1" s="441" t="s">
        <v>3368</v>
      </c>
      <c r="G1" s="418" t="s">
        <v>3369</v>
      </c>
    </row>
    <row r="2" spans="1:7" ht="15" x14ac:dyDescent="0.2">
      <c r="A2" s="116" t="s">
        <v>2271</v>
      </c>
      <c r="B2" s="15" t="s">
        <v>2272</v>
      </c>
      <c r="C2" s="430"/>
      <c r="D2" s="15"/>
      <c r="E2" s="15">
        <v>10</v>
      </c>
      <c r="F2" s="440"/>
      <c r="G2" s="463"/>
    </row>
    <row r="3" spans="1:7" ht="15" x14ac:dyDescent="0.2">
      <c r="A3" s="116" t="s">
        <v>2726</v>
      </c>
      <c r="B3" s="15" t="s">
        <v>2727</v>
      </c>
      <c r="C3" s="430"/>
      <c r="D3" s="15" t="s">
        <v>2728</v>
      </c>
      <c r="E3" s="15">
        <v>2</v>
      </c>
      <c r="F3" s="440"/>
      <c r="G3" s="463"/>
    </row>
    <row r="4" spans="1:7" ht="15" x14ac:dyDescent="0.2">
      <c r="A4" s="116" t="s">
        <v>2726</v>
      </c>
      <c r="B4" s="15" t="s">
        <v>2727</v>
      </c>
      <c r="C4" s="430"/>
      <c r="D4" s="15" t="s">
        <v>2728</v>
      </c>
      <c r="E4" s="15">
        <v>2</v>
      </c>
      <c r="F4" s="440"/>
      <c r="G4" s="463"/>
    </row>
    <row r="5" spans="1:7" ht="15" x14ac:dyDescent="0.2">
      <c r="A5" s="116" t="s">
        <v>2726</v>
      </c>
      <c r="B5" s="15" t="s">
        <v>2727</v>
      </c>
      <c r="C5" s="430"/>
      <c r="D5" s="15" t="s">
        <v>2728</v>
      </c>
      <c r="E5" s="15">
        <v>2</v>
      </c>
      <c r="F5" s="440"/>
      <c r="G5" s="463"/>
    </row>
    <row r="6" spans="1:7" ht="15" x14ac:dyDescent="0.2">
      <c r="A6" s="116" t="s">
        <v>2726</v>
      </c>
      <c r="B6" s="15" t="s">
        <v>2727</v>
      </c>
      <c r="C6" s="430"/>
      <c r="D6" s="15" t="s">
        <v>2728</v>
      </c>
      <c r="E6" s="15">
        <v>2</v>
      </c>
      <c r="F6" s="440"/>
      <c r="G6" s="463"/>
    </row>
    <row r="7" spans="1:7" ht="15" x14ac:dyDescent="0.2">
      <c r="A7" s="116" t="s">
        <v>2726</v>
      </c>
      <c r="B7" s="15" t="s">
        <v>2727</v>
      </c>
      <c r="C7" s="430"/>
      <c r="D7" s="15" t="s">
        <v>2728</v>
      </c>
      <c r="E7" s="15">
        <v>2</v>
      </c>
      <c r="F7" s="440"/>
      <c r="G7" s="463"/>
    </row>
    <row r="8" spans="1:7" ht="15" x14ac:dyDescent="0.2">
      <c r="A8" s="116" t="s">
        <v>2726</v>
      </c>
      <c r="B8" s="15" t="s">
        <v>2727</v>
      </c>
      <c r="C8" s="430"/>
      <c r="D8" s="15" t="s">
        <v>2728</v>
      </c>
      <c r="E8" s="15">
        <v>2</v>
      </c>
      <c r="F8" s="440"/>
      <c r="G8" s="463"/>
    </row>
    <row r="9" spans="1:7" ht="15" x14ac:dyDescent="0.2">
      <c r="A9" s="116" t="s">
        <v>2726</v>
      </c>
      <c r="B9" s="15" t="s">
        <v>2727</v>
      </c>
      <c r="C9" s="430"/>
      <c r="D9" s="15" t="s">
        <v>2728</v>
      </c>
      <c r="E9" s="15">
        <v>2</v>
      </c>
      <c r="F9" s="440"/>
      <c r="G9" s="463"/>
    </row>
    <row r="10" spans="1:7" ht="15" x14ac:dyDescent="0.2">
      <c r="A10" s="116" t="s">
        <v>2726</v>
      </c>
      <c r="B10" s="15" t="s">
        <v>2727</v>
      </c>
      <c r="C10" s="430"/>
      <c r="D10" s="15" t="s">
        <v>2728</v>
      </c>
      <c r="E10" s="15">
        <v>2</v>
      </c>
      <c r="F10" s="440"/>
      <c r="G10" s="463"/>
    </row>
    <row r="11" spans="1:7" ht="15" x14ac:dyDescent="0.2">
      <c r="A11" s="116" t="s">
        <v>2726</v>
      </c>
      <c r="B11" s="15" t="s">
        <v>2727</v>
      </c>
      <c r="C11" s="430"/>
      <c r="D11" s="15" t="s">
        <v>2728</v>
      </c>
      <c r="E11" s="15">
        <v>2</v>
      </c>
      <c r="F11" s="440"/>
      <c r="G11" s="463"/>
    </row>
    <row r="12" spans="1:7" ht="15" x14ac:dyDescent="0.2">
      <c r="A12" s="116" t="s">
        <v>2726</v>
      </c>
      <c r="B12" s="15" t="s">
        <v>2727</v>
      </c>
      <c r="C12" s="430"/>
      <c r="D12" s="15" t="s">
        <v>2728</v>
      </c>
      <c r="E12" s="15">
        <v>2</v>
      </c>
      <c r="F12" s="440"/>
      <c r="G12" s="463"/>
    </row>
    <row r="13" spans="1:7" ht="15" x14ac:dyDescent="0.2">
      <c r="A13" s="169"/>
      <c r="B13" s="170"/>
      <c r="C13" s="165"/>
      <c r="D13" s="165"/>
      <c r="E13" s="169"/>
      <c r="F13" s="169"/>
    </row>
    <row r="14" spans="1:7" s="509" customFormat="1" ht="15" x14ac:dyDescent="0.2">
      <c r="A14" s="42" t="s">
        <v>2273</v>
      </c>
      <c r="B14" s="42"/>
      <c r="C14" s="42"/>
      <c r="D14" s="42"/>
      <c r="E14" s="42"/>
      <c r="F14" s="341"/>
    </row>
    <row r="18" spans="1:7" s="4" customFormat="1" ht="18" x14ac:dyDescent="0.25">
      <c r="A18" s="422" t="s">
        <v>2274</v>
      </c>
      <c r="B18" s="425"/>
      <c r="C18" s="309"/>
      <c r="D18" s="3"/>
      <c r="E18" s="3"/>
      <c r="F18" s="3"/>
      <c r="G18" s="39"/>
    </row>
    <row r="19" spans="1:7" s="4" customFormat="1" ht="18" x14ac:dyDescent="0.25">
      <c r="A19" s="422" t="s">
        <v>2997</v>
      </c>
      <c r="B19" s="425"/>
      <c r="C19" s="309"/>
      <c r="D19" s="3"/>
      <c r="E19" s="3"/>
      <c r="F19" s="3"/>
      <c r="G19" s="39"/>
    </row>
    <row r="20" spans="1:7" ht="18" x14ac:dyDescent="0.25">
      <c r="A20" s="491" t="s">
        <v>3319</v>
      </c>
      <c r="B20" s="462"/>
    </row>
    <row r="21" spans="1:7" ht="18" x14ac:dyDescent="0.25">
      <c r="A21" s="434" t="s">
        <v>3367</v>
      </c>
      <c r="B21" s="420"/>
    </row>
  </sheetData>
  <pageMargins left="0.7" right="0.7" top="0.75" bottom="0.75" header="0.3" footer="0.3"/>
  <pageSetup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H279"/>
  <sheetViews>
    <sheetView workbookViewId="0">
      <pane ySplit="1" topLeftCell="A242" activePane="bottomLeft" state="frozen"/>
      <selection activeCell="C26" sqref="C26"/>
      <selection pane="bottomLeft" activeCell="F2" sqref="F2:F273"/>
    </sheetView>
  </sheetViews>
  <sheetFormatPr defaultColWidth="8.85546875" defaultRowHeight="15" x14ac:dyDescent="0.2"/>
  <cols>
    <col min="1" max="1" width="68.42578125" style="177" bestFit="1" customWidth="1"/>
    <col min="2" max="2" width="17.42578125" style="165" bestFit="1" customWidth="1"/>
    <col min="3" max="3" width="20.42578125" style="165" bestFit="1" customWidth="1"/>
    <col min="4" max="4" width="20.140625" style="165" bestFit="1" customWidth="1"/>
    <col min="5" max="5" width="12.42578125" style="165" bestFit="1" customWidth="1"/>
    <col min="6" max="6" width="10" style="165" bestFit="1" customWidth="1"/>
    <col min="7" max="7" width="11.42578125" style="177" bestFit="1" customWidth="1"/>
    <col min="8" max="8" width="16.85546875" style="414" bestFit="1" customWidth="1"/>
    <col min="9" max="9" width="18.5703125" style="414" bestFit="1" customWidth="1"/>
    <col min="10" max="16384" width="8.85546875" style="414"/>
  </cols>
  <sheetData>
    <row r="1" spans="1:8" ht="15.75" x14ac:dyDescent="0.25">
      <c r="A1" s="115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115" t="s">
        <v>412</v>
      </c>
      <c r="G1" s="441" t="s">
        <v>3368</v>
      </c>
      <c r="H1" s="418" t="s">
        <v>3369</v>
      </c>
    </row>
    <row r="2" spans="1:8" ht="14.25" customHeight="1" x14ac:dyDescent="0.2">
      <c r="A2" s="413" t="s">
        <v>2947</v>
      </c>
      <c r="B2" s="333" t="s">
        <v>748</v>
      </c>
      <c r="C2" s="430"/>
      <c r="D2" s="333"/>
      <c r="E2" s="333"/>
      <c r="F2" s="493">
        <v>1</v>
      </c>
      <c r="G2" s="439"/>
      <c r="H2" s="506"/>
    </row>
    <row r="3" spans="1:8" x14ac:dyDescent="0.2">
      <c r="A3" s="413" t="s">
        <v>1162</v>
      </c>
      <c r="B3" s="333" t="s">
        <v>2127</v>
      </c>
      <c r="C3" s="430"/>
      <c r="D3" s="333"/>
      <c r="E3" s="333" t="s">
        <v>1920</v>
      </c>
      <c r="F3" s="493">
        <v>1</v>
      </c>
      <c r="G3" s="439"/>
      <c r="H3" s="506"/>
    </row>
    <row r="4" spans="1:8" x14ac:dyDescent="0.2">
      <c r="A4" s="413" t="s">
        <v>18</v>
      </c>
      <c r="B4" s="333" t="s">
        <v>3110</v>
      </c>
      <c r="C4" s="430"/>
      <c r="D4" s="333"/>
      <c r="E4" s="333" t="s">
        <v>1920</v>
      </c>
      <c r="F4" s="493">
        <v>1</v>
      </c>
      <c r="G4" s="439"/>
      <c r="H4" s="506"/>
    </row>
    <row r="5" spans="1:8" x14ac:dyDescent="0.2">
      <c r="A5" s="413" t="s">
        <v>459</v>
      </c>
      <c r="B5" s="333" t="s">
        <v>1823</v>
      </c>
      <c r="C5" s="430"/>
      <c r="D5" s="333"/>
      <c r="E5" s="333" t="s">
        <v>1920</v>
      </c>
      <c r="F5" s="493">
        <v>1</v>
      </c>
      <c r="G5" s="439"/>
      <c r="H5" s="506"/>
    </row>
    <row r="6" spans="1:8" x14ac:dyDescent="0.2">
      <c r="A6" s="413" t="s">
        <v>1160</v>
      </c>
      <c r="B6" s="333" t="s">
        <v>2751</v>
      </c>
      <c r="C6" s="430"/>
      <c r="D6" s="333"/>
      <c r="E6" s="333" t="s">
        <v>1920</v>
      </c>
      <c r="F6" s="493">
        <v>1</v>
      </c>
      <c r="G6" s="439"/>
      <c r="H6" s="506"/>
    </row>
    <row r="7" spans="1:8" x14ac:dyDescent="0.2">
      <c r="A7" s="413" t="s">
        <v>1211</v>
      </c>
      <c r="B7" s="333" t="s">
        <v>1990</v>
      </c>
      <c r="C7" s="430"/>
      <c r="D7" s="333"/>
      <c r="E7" s="333" t="s">
        <v>1920</v>
      </c>
      <c r="F7" s="493">
        <v>1</v>
      </c>
      <c r="G7" s="439"/>
      <c r="H7" s="506"/>
    </row>
    <row r="8" spans="1:8" x14ac:dyDescent="0.2">
      <c r="A8" s="413" t="s">
        <v>1161</v>
      </c>
      <c r="B8" s="333" t="s">
        <v>2753</v>
      </c>
      <c r="C8" s="430"/>
      <c r="D8" s="333"/>
      <c r="E8" s="333" t="s">
        <v>1920</v>
      </c>
      <c r="F8" s="493">
        <v>1</v>
      </c>
      <c r="G8" s="439"/>
      <c r="H8" s="506"/>
    </row>
    <row r="9" spans="1:8" x14ac:dyDescent="0.2">
      <c r="A9" s="413" t="s">
        <v>385</v>
      </c>
      <c r="B9" s="333" t="s">
        <v>934</v>
      </c>
      <c r="C9" s="430"/>
      <c r="D9" s="333"/>
      <c r="E9" s="333" t="s">
        <v>1920</v>
      </c>
      <c r="F9" s="493">
        <v>1</v>
      </c>
      <c r="G9" s="439"/>
      <c r="H9" s="506"/>
    </row>
    <row r="10" spans="1:8" x14ac:dyDescent="0.2">
      <c r="A10" s="413" t="s">
        <v>3078</v>
      </c>
      <c r="B10" s="333" t="s">
        <v>3079</v>
      </c>
      <c r="C10" s="430"/>
      <c r="D10" s="333"/>
      <c r="E10" s="333" t="s">
        <v>1920</v>
      </c>
      <c r="F10" s="493">
        <v>1</v>
      </c>
      <c r="G10" s="439"/>
      <c r="H10" s="506"/>
    </row>
    <row r="11" spans="1:8" ht="14.25" customHeight="1" x14ac:dyDescent="0.2">
      <c r="A11" s="413" t="s">
        <v>1140</v>
      </c>
      <c r="B11" s="333" t="s">
        <v>204</v>
      </c>
      <c r="C11" s="430"/>
      <c r="D11" s="333"/>
      <c r="E11" s="333" t="s">
        <v>1920</v>
      </c>
      <c r="F11" s="493">
        <v>1</v>
      </c>
      <c r="G11" s="439"/>
      <c r="H11" s="506"/>
    </row>
    <row r="12" spans="1:8" ht="14.25" customHeight="1" x14ac:dyDescent="0.2">
      <c r="A12" s="413" t="s">
        <v>1145</v>
      </c>
      <c r="B12" s="333" t="s">
        <v>333</v>
      </c>
      <c r="C12" s="430"/>
      <c r="D12" s="333"/>
      <c r="E12" s="333" t="s">
        <v>1920</v>
      </c>
      <c r="F12" s="493">
        <v>1</v>
      </c>
      <c r="G12" s="439"/>
      <c r="H12" s="506"/>
    </row>
    <row r="13" spans="1:8" ht="14.25" customHeight="1" x14ac:dyDescent="0.2">
      <c r="A13" s="413" t="s">
        <v>1143</v>
      </c>
      <c r="B13" s="333" t="s">
        <v>332</v>
      </c>
      <c r="C13" s="430"/>
      <c r="D13" s="333"/>
      <c r="E13" s="333" t="s">
        <v>1920</v>
      </c>
      <c r="F13" s="493">
        <v>1</v>
      </c>
      <c r="G13" s="439"/>
      <c r="H13" s="506"/>
    </row>
    <row r="14" spans="1:8" ht="14.25" customHeight="1" x14ac:dyDescent="0.2">
      <c r="A14" s="413" t="s">
        <v>1148</v>
      </c>
      <c r="B14" s="333" t="s">
        <v>335</v>
      </c>
      <c r="C14" s="430"/>
      <c r="D14" s="333"/>
      <c r="E14" s="333" t="s">
        <v>1920</v>
      </c>
      <c r="F14" s="493">
        <v>1</v>
      </c>
      <c r="G14" s="439"/>
      <c r="H14" s="506"/>
    </row>
    <row r="15" spans="1:8" ht="14.25" customHeight="1" x14ac:dyDescent="0.2">
      <c r="A15" s="413" t="s">
        <v>1136</v>
      </c>
      <c r="B15" s="333" t="s">
        <v>334</v>
      </c>
      <c r="C15" s="430"/>
      <c r="D15" s="333"/>
      <c r="E15" s="333" t="s">
        <v>1920</v>
      </c>
      <c r="F15" s="493">
        <v>1</v>
      </c>
      <c r="G15" s="439"/>
      <c r="H15" s="506"/>
    </row>
    <row r="16" spans="1:8" ht="14.25" customHeight="1" x14ac:dyDescent="0.2">
      <c r="A16" s="413" t="s">
        <v>1137</v>
      </c>
      <c r="B16" s="333" t="s">
        <v>431</v>
      </c>
      <c r="C16" s="430"/>
      <c r="D16" s="333"/>
      <c r="E16" s="333" t="s">
        <v>1920</v>
      </c>
      <c r="F16" s="493">
        <v>1</v>
      </c>
      <c r="G16" s="439"/>
      <c r="H16" s="506"/>
    </row>
    <row r="17" spans="1:8" ht="14.25" customHeight="1" x14ac:dyDescent="0.2">
      <c r="A17" s="413" t="s">
        <v>1135</v>
      </c>
      <c r="B17" s="333" t="s">
        <v>331</v>
      </c>
      <c r="C17" s="430"/>
      <c r="D17" s="333"/>
      <c r="E17" s="333" t="s">
        <v>1920</v>
      </c>
      <c r="F17" s="493">
        <v>1</v>
      </c>
      <c r="G17" s="439"/>
      <c r="H17" s="506"/>
    </row>
    <row r="18" spans="1:8" ht="14.25" customHeight="1" x14ac:dyDescent="0.2">
      <c r="A18" s="413" t="s">
        <v>1138</v>
      </c>
      <c r="B18" s="333" t="s">
        <v>336</v>
      </c>
      <c r="C18" s="430"/>
      <c r="D18" s="333"/>
      <c r="E18" s="333" t="s">
        <v>1920</v>
      </c>
      <c r="F18" s="493">
        <v>1</v>
      </c>
      <c r="G18" s="439"/>
      <c r="H18" s="506"/>
    </row>
    <row r="19" spans="1:8" x14ac:dyDescent="0.2">
      <c r="A19" s="413" t="s">
        <v>17</v>
      </c>
      <c r="B19" s="333" t="s">
        <v>407</v>
      </c>
      <c r="C19" s="430"/>
      <c r="D19" s="333"/>
      <c r="E19" s="333" t="s">
        <v>1920</v>
      </c>
      <c r="F19" s="493">
        <v>2</v>
      </c>
      <c r="G19" s="439"/>
      <c r="H19" s="506"/>
    </row>
    <row r="20" spans="1:8" x14ac:dyDescent="0.2">
      <c r="A20" s="413" t="s">
        <v>1636</v>
      </c>
      <c r="B20" s="333" t="s">
        <v>510</v>
      </c>
      <c r="C20" s="430"/>
      <c r="D20" s="333"/>
      <c r="E20" s="333" t="s">
        <v>1920</v>
      </c>
      <c r="F20" s="493">
        <v>1</v>
      </c>
      <c r="G20" s="439"/>
      <c r="H20" s="506"/>
    </row>
    <row r="21" spans="1:8" x14ac:dyDescent="0.2">
      <c r="A21" s="413" t="s">
        <v>1158</v>
      </c>
      <c r="B21" s="333" t="s">
        <v>512</v>
      </c>
      <c r="C21" s="430"/>
      <c r="D21" s="333"/>
      <c r="E21" s="333" t="s">
        <v>1920</v>
      </c>
      <c r="F21" s="493">
        <v>1</v>
      </c>
      <c r="G21" s="439"/>
      <c r="H21" s="506"/>
    </row>
    <row r="22" spans="1:8" x14ac:dyDescent="0.2">
      <c r="A22" s="413" t="s">
        <v>1154</v>
      </c>
      <c r="B22" s="333" t="s">
        <v>258</v>
      </c>
      <c r="C22" s="430"/>
      <c r="D22" s="333"/>
      <c r="E22" s="333" t="s">
        <v>1920</v>
      </c>
      <c r="F22" s="493">
        <v>1</v>
      </c>
      <c r="G22" s="439"/>
      <c r="H22" s="506"/>
    </row>
    <row r="23" spans="1:8" x14ac:dyDescent="0.2">
      <c r="A23" s="413" t="s">
        <v>3242</v>
      </c>
      <c r="B23" s="333" t="s">
        <v>1998</v>
      </c>
      <c r="C23" s="430"/>
      <c r="D23" s="333"/>
      <c r="E23" s="333" t="s">
        <v>1920</v>
      </c>
      <c r="F23" s="493">
        <v>1</v>
      </c>
      <c r="G23" s="439"/>
      <c r="H23" s="506"/>
    </row>
    <row r="24" spans="1:8" x14ac:dyDescent="0.2">
      <c r="A24" s="413" t="s">
        <v>1047</v>
      </c>
      <c r="B24" s="333" t="s">
        <v>492</v>
      </c>
      <c r="C24" s="430"/>
      <c r="D24" s="333"/>
      <c r="E24" s="333" t="s">
        <v>1920</v>
      </c>
      <c r="F24" s="493">
        <v>1</v>
      </c>
      <c r="G24" s="439"/>
      <c r="H24" s="506"/>
    </row>
    <row r="25" spans="1:8" ht="14.25" customHeight="1" x14ac:dyDescent="0.2">
      <c r="A25" s="413" t="s">
        <v>1049</v>
      </c>
      <c r="B25" s="333" t="s">
        <v>493</v>
      </c>
      <c r="C25" s="430"/>
      <c r="D25" s="333"/>
      <c r="E25" s="333" t="s">
        <v>1920</v>
      </c>
      <c r="F25" s="493">
        <v>1</v>
      </c>
      <c r="G25" s="439"/>
      <c r="H25" s="506"/>
    </row>
    <row r="26" spans="1:8" x14ac:dyDescent="0.2">
      <c r="A26" s="413" t="s">
        <v>1048</v>
      </c>
      <c r="B26" s="333" t="s">
        <v>170</v>
      </c>
      <c r="C26" s="430"/>
      <c r="D26" s="333"/>
      <c r="E26" s="333" t="s">
        <v>1920</v>
      </c>
      <c r="F26" s="493">
        <v>1</v>
      </c>
      <c r="G26" s="439"/>
      <c r="H26" s="506"/>
    </row>
    <row r="27" spans="1:8" ht="15" customHeight="1" x14ac:dyDescent="0.2">
      <c r="A27" s="413" t="s">
        <v>1039</v>
      </c>
      <c r="B27" s="333" t="s">
        <v>243</v>
      </c>
      <c r="C27" s="430"/>
      <c r="D27" s="333"/>
      <c r="E27" s="333" t="s">
        <v>1920</v>
      </c>
      <c r="F27" s="493">
        <v>1</v>
      </c>
      <c r="G27" s="439"/>
      <c r="H27" s="506"/>
    </row>
    <row r="28" spans="1:8" ht="15" customHeight="1" x14ac:dyDescent="0.2">
      <c r="A28" s="413" t="s">
        <v>1050</v>
      </c>
      <c r="B28" s="333" t="s">
        <v>404</v>
      </c>
      <c r="C28" s="430"/>
      <c r="D28" s="333"/>
      <c r="E28" s="333" t="s">
        <v>1920</v>
      </c>
      <c r="F28" s="493">
        <v>1</v>
      </c>
      <c r="G28" s="439"/>
      <c r="H28" s="506"/>
    </row>
    <row r="29" spans="1:8" x14ac:dyDescent="0.2">
      <c r="A29" s="413" t="s">
        <v>1193</v>
      </c>
      <c r="B29" s="333" t="s">
        <v>316</v>
      </c>
      <c r="C29" s="430"/>
      <c r="D29" s="333"/>
      <c r="E29" s="333" t="s">
        <v>1920</v>
      </c>
      <c r="F29" s="493">
        <v>1</v>
      </c>
      <c r="G29" s="439"/>
      <c r="H29" s="506"/>
    </row>
    <row r="30" spans="1:8" x14ac:dyDescent="0.2">
      <c r="A30" s="413" t="s">
        <v>1195</v>
      </c>
      <c r="B30" s="333" t="s">
        <v>314</v>
      </c>
      <c r="C30" s="430"/>
      <c r="D30" s="333"/>
      <c r="E30" s="333" t="s">
        <v>1920</v>
      </c>
      <c r="F30" s="493">
        <v>1</v>
      </c>
      <c r="G30" s="439"/>
      <c r="H30" s="506"/>
    </row>
    <row r="31" spans="1:8" x14ac:dyDescent="0.2">
      <c r="A31" s="413" t="s">
        <v>1197</v>
      </c>
      <c r="B31" s="333" t="s">
        <v>80</v>
      </c>
      <c r="C31" s="430"/>
      <c r="D31" s="333"/>
      <c r="E31" s="333" t="s">
        <v>1920</v>
      </c>
      <c r="F31" s="493">
        <v>1</v>
      </c>
      <c r="G31" s="439"/>
      <c r="H31" s="506"/>
    </row>
    <row r="32" spans="1:8" x14ac:dyDescent="0.2">
      <c r="A32" s="413" t="s">
        <v>1051</v>
      </c>
      <c r="B32" s="333" t="s">
        <v>317</v>
      </c>
      <c r="C32" s="430"/>
      <c r="D32" s="333"/>
      <c r="E32" s="333" t="s">
        <v>1920</v>
      </c>
      <c r="F32" s="493">
        <v>1</v>
      </c>
      <c r="G32" s="439"/>
      <c r="H32" s="506"/>
    </row>
    <row r="33" spans="1:8" x14ac:dyDescent="0.2">
      <c r="A33" s="413" t="s">
        <v>3243</v>
      </c>
      <c r="B33" s="333" t="s">
        <v>82</v>
      </c>
      <c r="C33" s="430"/>
      <c r="D33" s="333"/>
      <c r="E33" s="333" t="s">
        <v>1920</v>
      </c>
      <c r="F33" s="493">
        <v>1</v>
      </c>
      <c r="G33" s="439"/>
      <c r="H33" s="506"/>
    </row>
    <row r="34" spans="1:8" x14ac:dyDescent="0.2">
      <c r="A34" s="413" t="s">
        <v>1198</v>
      </c>
      <c r="B34" s="333" t="s">
        <v>257</v>
      </c>
      <c r="C34" s="430"/>
      <c r="D34" s="333"/>
      <c r="E34" s="333" t="s">
        <v>1920</v>
      </c>
      <c r="F34" s="493">
        <v>1</v>
      </c>
      <c r="G34" s="439"/>
      <c r="H34" s="506"/>
    </row>
    <row r="35" spans="1:8" x14ac:dyDescent="0.2">
      <c r="A35" s="413" t="s">
        <v>1052</v>
      </c>
      <c r="B35" s="333" t="s">
        <v>312</v>
      </c>
      <c r="C35" s="430"/>
      <c r="D35" s="333"/>
      <c r="E35" s="333" t="s">
        <v>1920</v>
      </c>
      <c r="F35" s="493">
        <v>1</v>
      </c>
      <c r="G35" s="439"/>
      <c r="H35" s="506"/>
    </row>
    <row r="36" spans="1:8" x14ac:dyDescent="0.2">
      <c r="A36" s="413" t="s">
        <v>1174</v>
      </c>
      <c r="B36" s="333" t="s">
        <v>309</v>
      </c>
      <c r="C36" s="430"/>
      <c r="D36" s="333"/>
      <c r="E36" s="333" t="s">
        <v>1920</v>
      </c>
      <c r="F36" s="493">
        <v>1</v>
      </c>
      <c r="G36" s="439"/>
      <c r="H36" s="506"/>
    </row>
    <row r="37" spans="1:8" x14ac:dyDescent="0.2">
      <c r="A37" s="413" t="s">
        <v>3244</v>
      </c>
      <c r="B37" s="333" t="s">
        <v>308</v>
      </c>
      <c r="C37" s="430"/>
      <c r="D37" s="333"/>
      <c r="E37" s="333" t="s">
        <v>1920</v>
      </c>
      <c r="F37" s="493">
        <v>1</v>
      </c>
      <c r="G37" s="439"/>
      <c r="H37" s="506"/>
    </row>
    <row r="38" spans="1:8" x14ac:dyDescent="0.2">
      <c r="A38" s="413" t="s">
        <v>48</v>
      </c>
      <c r="B38" s="333" t="s">
        <v>252</v>
      </c>
      <c r="C38" s="430"/>
      <c r="D38" s="333"/>
      <c r="E38" s="333" t="s">
        <v>1920</v>
      </c>
      <c r="F38" s="493">
        <v>2</v>
      </c>
      <c r="G38" s="439"/>
      <c r="H38" s="506"/>
    </row>
    <row r="39" spans="1:8" x14ac:dyDescent="0.2">
      <c r="A39" s="413" t="s">
        <v>1192</v>
      </c>
      <c r="B39" s="333" t="s">
        <v>94</v>
      </c>
      <c r="C39" s="430"/>
      <c r="D39" s="333"/>
      <c r="E39" s="333" t="s">
        <v>1920</v>
      </c>
      <c r="F39" s="493">
        <v>2</v>
      </c>
      <c r="G39" s="439"/>
      <c r="H39" s="506"/>
    </row>
    <row r="40" spans="1:8" x14ac:dyDescent="0.2">
      <c r="A40" s="413" t="s">
        <v>1260</v>
      </c>
      <c r="B40" s="333" t="s">
        <v>520</v>
      </c>
      <c r="C40" s="430"/>
      <c r="D40" s="333"/>
      <c r="E40" s="333" t="s">
        <v>1920</v>
      </c>
      <c r="F40" s="493">
        <v>2</v>
      </c>
      <c r="G40" s="439"/>
      <c r="H40" s="506"/>
    </row>
    <row r="41" spans="1:8" x14ac:dyDescent="0.2">
      <c r="A41" s="413" t="s">
        <v>1038</v>
      </c>
      <c r="B41" s="333" t="s">
        <v>280</v>
      </c>
      <c r="C41" s="430"/>
      <c r="D41" s="333"/>
      <c r="E41" s="333" t="s">
        <v>1920</v>
      </c>
      <c r="F41" s="493">
        <v>1</v>
      </c>
      <c r="G41" s="439"/>
      <c r="H41" s="506"/>
    </row>
    <row r="42" spans="1:8" x14ac:dyDescent="0.2">
      <c r="A42" s="413" t="s">
        <v>1152</v>
      </c>
      <c r="B42" s="333" t="s">
        <v>281</v>
      </c>
      <c r="C42" s="430"/>
      <c r="D42" s="333"/>
      <c r="E42" s="333" t="s">
        <v>1920</v>
      </c>
      <c r="F42" s="493">
        <v>1</v>
      </c>
      <c r="G42" s="439"/>
      <c r="H42" s="506"/>
    </row>
    <row r="43" spans="1:8" x14ac:dyDescent="0.2">
      <c r="A43" s="413" t="s">
        <v>1142</v>
      </c>
      <c r="B43" s="333" t="s">
        <v>275</v>
      </c>
      <c r="C43" s="430"/>
      <c r="D43" s="333"/>
      <c r="E43" s="333" t="s">
        <v>1920</v>
      </c>
      <c r="F43" s="493">
        <v>1</v>
      </c>
      <c r="G43" s="439"/>
      <c r="H43" s="506"/>
    </row>
    <row r="44" spans="1:8" x14ac:dyDescent="0.2">
      <c r="A44" s="413" t="s">
        <v>1029</v>
      </c>
      <c r="B44" s="333" t="s">
        <v>251</v>
      </c>
      <c r="C44" s="430"/>
      <c r="D44" s="333"/>
      <c r="E44" s="333" t="s">
        <v>1920</v>
      </c>
      <c r="F44" s="493">
        <v>1</v>
      </c>
      <c r="G44" s="439"/>
      <c r="H44" s="506"/>
    </row>
    <row r="45" spans="1:8" x14ac:dyDescent="0.2">
      <c r="A45" s="413" t="s">
        <v>1030</v>
      </c>
      <c r="B45" s="333" t="s">
        <v>276</v>
      </c>
      <c r="C45" s="430"/>
      <c r="D45" s="333"/>
      <c r="E45" s="333" t="s">
        <v>1920</v>
      </c>
      <c r="F45" s="493">
        <v>1</v>
      </c>
      <c r="G45" s="439"/>
      <c r="H45" s="506"/>
    </row>
    <row r="46" spans="1:8" x14ac:dyDescent="0.2">
      <c r="A46" s="413" t="s">
        <v>1028</v>
      </c>
      <c r="B46" s="333" t="s">
        <v>262</v>
      </c>
      <c r="C46" s="430"/>
      <c r="D46" s="333"/>
      <c r="E46" s="333" t="s">
        <v>1920</v>
      </c>
      <c r="F46" s="493">
        <v>1</v>
      </c>
      <c r="G46" s="439"/>
      <c r="H46" s="506"/>
    </row>
    <row r="47" spans="1:8" x14ac:dyDescent="0.2">
      <c r="A47" s="413" t="s">
        <v>1032</v>
      </c>
      <c r="B47" s="333" t="s">
        <v>413</v>
      </c>
      <c r="C47" s="430"/>
      <c r="D47" s="333"/>
      <c r="E47" s="333" t="s">
        <v>1920</v>
      </c>
      <c r="F47" s="493">
        <v>1</v>
      </c>
      <c r="G47" s="439"/>
      <c r="H47" s="506"/>
    </row>
    <row r="48" spans="1:8" x14ac:dyDescent="0.2">
      <c r="A48" s="413" t="s">
        <v>1147</v>
      </c>
      <c r="B48" s="333" t="s">
        <v>403</v>
      </c>
      <c r="C48" s="430"/>
      <c r="D48" s="333"/>
      <c r="E48" s="333" t="s">
        <v>1920</v>
      </c>
      <c r="F48" s="493">
        <v>1</v>
      </c>
      <c r="G48" s="439"/>
      <c r="H48" s="506"/>
    </row>
    <row r="49" spans="1:8" x14ac:dyDescent="0.2">
      <c r="A49" s="413" t="s">
        <v>1139</v>
      </c>
      <c r="B49" s="333" t="s">
        <v>45</v>
      </c>
      <c r="C49" s="430"/>
      <c r="D49" s="333"/>
      <c r="E49" s="333" t="s">
        <v>1920</v>
      </c>
      <c r="F49" s="493">
        <v>1</v>
      </c>
      <c r="G49" s="439"/>
      <c r="H49" s="506"/>
    </row>
    <row r="50" spans="1:8" x14ac:dyDescent="0.2">
      <c r="A50" s="413" t="s">
        <v>1035</v>
      </c>
      <c r="B50" s="333" t="s">
        <v>414</v>
      </c>
      <c r="C50" s="430"/>
      <c r="D50" s="333"/>
      <c r="E50" s="333" t="s">
        <v>1920</v>
      </c>
      <c r="F50" s="493">
        <v>1</v>
      </c>
      <c r="G50" s="439"/>
      <c r="H50" s="506"/>
    </row>
    <row r="51" spans="1:8" x14ac:dyDescent="0.2">
      <c r="A51" s="413" t="s">
        <v>1033</v>
      </c>
      <c r="B51" s="333" t="s">
        <v>98</v>
      </c>
      <c r="C51" s="430"/>
      <c r="D51" s="333"/>
      <c r="E51" s="333" t="s">
        <v>1920</v>
      </c>
      <c r="F51" s="493">
        <v>1</v>
      </c>
      <c r="G51" s="439"/>
      <c r="H51" s="506"/>
    </row>
    <row r="52" spans="1:8" x14ac:dyDescent="0.2">
      <c r="A52" s="413" t="s">
        <v>1027</v>
      </c>
      <c r="B52" s="333" t="s">
        <v>415</v>
      </c>
      <c r="C52" s="430"/>
      <c r="D52" s="333"/>
      <c r="E52" s="333" t="s">
        <v>1920</v>
      </c>
      <c r="F52" s="493">
        <v>1</v>
      </c>
      <c r="G52" s="439"/>
      <c r="H52" s="506"/>
    </row>
    <row r="53" spans="1:8" x14ac:dyDescent="0.2">
      <c r="A53" s="413" t="s">
        <v>1031</v>
      </c>
      <c r="B53" s="333" t="s">
        <v>416</v>
      </c>
      <c r="C53" s="430"/>
      <c r="D53" s="333"/>
      <c r="E53" s="333" t="s">
        <v>1920</v>
      </c>
      <c r="F53" s="493">
        <v>1</v>
      </c>
      <c r="G53" s="439"/>
      <c r="H53" s="506"/>
    </row>
    <row r="54" spans="1:8" x14ac:dyDescent="0.2">
      <c r="A54" s="413" t="s">
        <v>1144</v>
      </c>
      <c r="B54" s="333" t="s">
        <v>203</v>
      </c>
      <c r="C54" s="430"/>
      <c r="D54" s="333"/>
      <c r="E54" s="333" t="s">
        <v>1920</v>
      </c>
      <c r="F54" s="493">
        <v>1</v>
      </c>
      <c r="G54" s="439"/>
      <c r="H54" s="506"/>
    </row>
    <row r="55" spans="1:8" x14ac:dyDescent="0.2">
      <c r="A55" s="413" t="s">
        <v>1034</v>
      </c>
      <c r="B55" s="333" t="s">
        <v>417</v>
      </c>
      <c r="C55" s="430"/>
      <c r="D55" s="333"/>
      <c r="E55" s="333" t="s">
        <v>1920</v>
      </c>
      <c r="F55" s="493">
        <v>1</v>
      </c>
      <c r="G55" s="439"/>
      <c r="H55" s="506"/>
    </row>
    <row r="56" spans="1:8" x14ac:dyDescent="0.2">
      <c r="A56" s="413" t="s">
        <v>1026</v>
      </c>
      <c r="B56" s="333" t="s">
        <v>99</v>
      </c>
      <c r="C56" s="430"/>
      <c r="D56" s="333"/>
      <c r="E56" s="333" t="s">
        <v>1920</v>
      </c>
      <c r="F56" s="493">
        <v>1</v>
      </c>
      <c r="G56" s="439"/>
      <c r="H56" s="506"/>
    </row>
    <row r="57" spans="1:8" x14ac:dyDescent="0.2">
      <c r="A57" s="413" t="s">
        <v>35</v>
      </c>
      <c r="B57" s="333" t="s">
        <v>1827</v>
      </c>
      <c r="C57" s="430"/>
      <c r="D57" s="333"/>
      <c r="E57" s="333" t="s">
        <v>1920</v>
      </c>
      <c r="F57" s="493">
        <v>1</v>
      </c>
      <c r="G57" s="439"/>
      <c r="H57" s="506"/>
    </row>
    <row r="58" spans="1:8" x14ac:dyDescent="0.2">
      <c r="A58" s="413" t="s">
        <v>36</v>
      </c>
      <c r="B58" s="333" t="s">
        <v>1828</v>
      </c>
      <c r="C58" s="430"/>
      <c r="D58" s="333"/>
      <c r="E58" s="333" t="s">
        <v>1920</v>
      </c>
      <c r="F58" s="493">
        <v>1</v>
      </c>
      <c r="G58" s="439"/>
      <c r="H58" s="506"/>
    </row>
    <row r="59" spans="1:8" x14ac:dyDescent="0.2">
      <c r="A59" s="413" t="s">
        <v>34</v>
      </c>
      <c r="B59" s="333" t="s">
        <v>1826</v>
      </c>
      <c r="C59" s="430"/>
      <c r="D59" s="333"/>
      <c r="E59" s="333" t="s">
        <v>1920</v>
      </c>
      <c r="F59" s="493">
        <v>1</v>
      </c>
      <c r="G59" s="439"/>
      <c r="H59" s="506"/>
    </row>
    <row r="60" spans="1:8" x14ac:dyDescent="0.2">
      <c r="A60" s="413" t="s">
        <v>985</v>
      </c>
      <c r="B60" s="333" t="s">
        <v>1830</v>
      </c>
      <c r="C60" s="430"/>
      <c r="D60" s="333"/>
      <c r="E60" s="333" t="s">
        <v>1920</v>
      </c>
      <c r="F60" s="493">
        <v>1</v>
      </c>
      <c r="G60" s="439"/>
      <c r="H60" s="506"/>
    </row>
    <row r="61" spans="1:8" x14ac:dyDescent="0.2">
      <c r="A61" s="413" t="s">
        <v>1244</v>
      </c>
      <c r="B61" s="333" t="s">
        <v>1831</v>
      </c>
      <c r="C61" s="430"/>
      <c r="D61" s="333"/>
      <c r="E61" s="333" t="s">
        <v>1920</v>
      </c>
      <c r="F61" s="493">
        <v>1</v>
      </c>
      <c r="G61" s="439"/>
      <c r="H61" s="506"/>
    </row>
    <row r="62" spans="1:8" x14ac:dyDescent="0.2">
      <c r="A62" s="413" t="s">
        <v>1043</v>
      </c>
      <c r="B62" s="333" t="s">
        <v>2</v>
      </c>
      <c r="C62" s="430"/>
      <c r="D62" s="333"/>
      <c r="E62" s="333" t="s">
        <v>1920</v>
      </c>
      <c r="F62" s="493">
        <v>2</v>
      </c>
      <c r="G62" s="439"/>
      <c r="H62" s="506"/>
    </row>
    <row r="63" spans="1:8" x14ac:dyDescent="0.2">
      <c r="A63" s="413" t="s">
        <v>1146</v>
      </c>
      <c r="B63" s="333" t="s">
        <v>671</v>
      </c>
      <c r="C63" s="430"/>
      <c r="D63" s="333"/>
      <c r="E63" s="333" t="s">
        <v>1920</v>
      </c>
      <c r="F63" s="493">
        <v>1</v>
      </c>
      <c r="G63" s="439"/>
      <c r="H63" s="506"/>
    </row>
    <row r="64" spans="1:8" x14ac:dyDescent="0.2">
      <c r="A64" s="413" t="s">
        <v>1149</v>
      </c>
      <c r="B64" s="333" t="s">
        <v>558</v>
      </c>
      <c r="C64" s="430"/>
      <c r="D64" s="333"/>
      <c r="E64" s="333" t="s">
        <v>1920</v>
      </c>
      <c r="F64" s="493">
        <v>1</v>
      </c>
      <c r="G64" s="439"/>
      <c r="H64" s="506"/>
    </row>
    <row r="65" spans="1:8" x14ac:dyDescent="0.2">
      <c r="A65" s="413" t="s">
        <v>1141</v>
      </c>
      <c r="B65" s="333" t="s">
        <v>556</v>
      </c>
      <c r="C65" s="430"/>
      <c r="D65" s="333"/>
      <c r="E65" s="333" t="s">
        <v>1920</v>
      </c>
      <c r="F65" s="493">
        <v>1</v>
      </c>
      <c r="G65" s="439"/>
      <c r="H65" s="506"/>
    </row>
    <row r="66" spans="1:8" x14ac:dyDescent="0.2">
      <c r="A66" s="413" t="s">
        <v>1207</v>
      </c>
      <c r="B66" s="333" t="s">
        <v>557</v>
      </c>
      <c r="C66" s="430"/>
      <c r="D66" s="333"/>
      <c r="E66" s="333" t="s">
        <v>1920</v>
      </c>
      <c r="F66" s="493">
        <v>1</v>
      </c>
      <c r="G66" s="439"/>
      <c r="H66" s="506"/>
    </row>
    <row r="67" spans="1:8" x14ac:dyDescent="0.2">
      <c r="A67" s="413" t="s">
        <v>1206</v>
      </c>
      <c r="B67" s="333" t="s">
        <v>555</v>
      </c>
      <c r="C67" s="430"/>
      <c r="D67" s="333"/>
      <c r="E67" s="333" t="s">
        <v>1920</v>
      </c>
      <c r="F67" s="493">
        <v>1</v>
      </c>
      <c r="G67" s="439"/>
      <c r="H67" s="506"/>
    </row>
    <row r="68" spans="1:8" x14ac:dyDescent="0.2">
      <c r="A68" s="413" t="s">
        <v>1044</v>
      </c>
      <c r="B68" s="333" t="s">
        <v>272</v>
      </c>
      <c r="C68" s="430"/>
      <c r="D68" s="333"/>
      <c r="E68" s="333" t="s">
        <v>1920</v>
      </c>
      <c r="F68" s="493">
        <v>1</v>
      </c>
      <c r="G68" s="439"/>
      <c r="H68" s="506"/>
    </row>
    <row r="69" spans="1:8" x14ac:dyDescent="0.2">
      <c r="A69" s="413" t="s">
        <v>1045</v>
      </c>
      <c r="B69" s="333" t="s">
        <v>273</v>
      </c>
      <c r="C69" s="430"/>
      <c r="D69" s="333"/>
      <c r="E69" s="333" t="s">
        <v>1920</v>
      </c>
      <c r="F69" s="493">
        <v>1</v>
      </c>
      <c r="G69" s="439"/>
      <c r="H69" s="506"/>
    </row>
    <row r="70" spans="1:8" x14ac:dyDescent="0.2">
      <c r="A70" s="413" t="s">
        <v>1084</v>
      </c>
      <c r="B70" s="333" t="s">
        <v>21</v>
      </c>
      <c r="C70" s="430"/>
      <c r="D70" s="333"/>
      <c r="E70" s="333" t="s">
        <v>1920</v>
      </c>
      <c r="F70" s="493">
        <v>1</v>
      </c>
      <c r="G70" s="439"/>
      <c r="H70" s="506"/>
    </row>
    <row r="71" spans="1:8" x14ac:dyDescent="0.2">
      <c r="A71" s="413" t="s">
        <v>1176</v>
      </c>
      <c r="B71" s="333" t="s">
        <v>676</v>
      </c>
      <c r="C71" s="430"/>
      <c r="D71" s="333"/>
      <c r="E71" s="333" t="s">
        <v>1920</v>
      </c>
      <c r="F71" s="493">
        <v>1</v>
      </c>
      <c r="G71" s="439"/>
      <c r="H71" s="506"/>
    </row>
    <row r="72" spans="1:8" x14ac:dyDescent="0.2">
      <c r="A72" s="413" t="s">
        <v>39</v>
      </c>
      <c r="B72" s="333" t="s">
        <v>245</v>
      </c>
      <c r="C72" s="430"/>
      <c r="D72" s="333"/>
      <c r="E72" s="333" t="s">
        <v>1920</v>
      </c>
      <c r="F72" s="493">
        <v>1</v>
      </c>
      <c r="G72" s="439"/>
      <c r="H72" s="506"/>
    </row>
    <row r="73" spans="1:8" x14ac:dyDescent="0.2">
      <c r="A73" s="413" t="s">
        <v>1037</v>
      </c>
      <c r="B73" s="333" t="s">
        <v>470</v>
      </c>
      <c r="C73" s="430"/>
      <c r="D73" s="333"/>
      <c r="E73" s="333" t="s">
        <v>1920</v>
      </c>
      <c r="F73" s="493">
        <v>1</v>
      </c>
      <c r="G73" s="439"/>
      <c r="H73" s="506"/>
    </row>
    <row r="74" spans="1:8" x14ac:dyDescent="0.2">
      <c r="A74" s="413" t="s">
        <v>6</v>
      </c>
      <c r="B74" s="333" t="s">
        <v>91</v>
      </c>
      <c r="C74" s="430"/>
      <c r="D74" s="333"/>
      <c r="E74" s="333" t="s">
        <v>1920</v>
      </c>
      <c r="F74" s="493">
        <v>2</v>
      </c>
      <c r="G74" s="439"/>
      <c r="H74" s="506"/>
    </row>
    <row r="75" spans="1:8" x14ac:dyDescent="0.2">
      <c r="A75" s="413" t="s">
        <v>1261</v>
      </c>
      <c r="B75" s="333" t="s">
        <v>898</v>
      </c>
      <c r="C75" s="430"/>
      <c r="D75" s="333"/>
      <c r="E75" s="333" t="s">
        <v>1920</v>
      </c>
      <c r="F75" s="493">
        <v>1</v>
      </c>
      <c r="G75" s="439"/>
      <c r="H75" s="506"/>
    </row>
    <row r="76" spans="1:8" x14ac:dyDescent="0.2">
      <c r="A76" s="413" t="s">
        <v>1262</v>
      </c>
      <c r="B76" s="333" t="s">
        <v>901</v>
      </c>
      <c r="C76" s="430"/>
      <c r="D76" s="333"/>
      <c r="E76" s="333" t="s">
        <v>1920</v>
      </c>
      <c r="F76" s="493">
        <v>1</v>
      </c>
      <c r="G76" s="439"/>
      <c r="H76" s="506"/>
    </row>
    <row r="77" spans="1:8" x14ac:dyDescent="0.2">
      <c r="A77" s="413" t="s">
        <v>202</v>
      </c>
      <c r="B77" s="333" t="s">
        <v>260</v>
      </c>
      <c r="C77" s="430"/>
      <c r="D77" s="333"/>
      <c r="E77" s="333" t="s">
        <v>1920</v>
      </c>
      <c r="F77" s="493">
        <v>1</v>
      </c>
      <c r="G77" s="439"/>
      <c r="H77" s="506"/>
    </row>
    <row r="78" spans="1:8" x14ac:dyDescent="0.2">
      <c r="A78" s="413" t="s">
        <v>338</v>
      </c>
      <c r="B78" s="333" t="s">
        <v>43</v>
      </c>
      <c r="C78" s="430"/>
      <c r="D78" s="333"/>
      <c r="E78" s="333" t="s">
        <v>1920</v>
      </c>
      <c r="F78" s="493">
        <v>2</v>
      </c>
      <c r="G78" s="439"/>
      <c r="H78" s="506"/>
    </row>
    <row r="79" spans="1:8" x14ac:dyDescent="0.2">
      <c r="A79" s="413" t="s">
        <v>44</v>
      </c>
      <c r="B79" s="333" t="s">
        <v>896</v>
      </c>
      <c r="C79" s="430"/>
      <c r="D79" s="333"/>
      <c r="E79" s="333" t="s">
        <v>1920</v>
      </c>
      <c r="F79" s="493">
        <v>1</v>
      </c>
      <c r="G79" s="439"/>
      <c r="H79" s="506"/>
    </row>
    <row r="80" spans="1:8" x14ac:dyDescent="0.2">
      <c r="A80" s="413" t="s">
        <v>1259</v>
      </c>
      <c r="B80" s="333" t="s">
        <v>615</v>
      </c>
      <c r="C80" s="430"/>
      <c r="D80" s="333"/>
      <c r="E80" s="333" t="s">
        <v>1920</v>
      </c>
      <c r="F80" s="493">
        <v>2</v>
      </c>
      <c r="G80" s="439"/>
      <c r="H80" s="506"/>
    </row>
    <row r="81" spans="1:8" x14ac:dyDescent="0.2">
      <c r="A81" s="413" t="s">
        <v>1208</v>
      </c>
      <c r="B81" s="333" t="s">
        <v>942</v>
      </c>
      <c r="C81" s="430"/>
      <c r="D81" s="333"/>
      <c r="E81" s="333" t="s">
        <v>1920</v>
      </c>
      <c r="F81" s="493">
        <v>1</v>
      </c>
      <c r="G81" s="439"/>
      <c r="H81" s="506"/>
    </row>
    <row r="82" spans="1:8" x14ac:dyDescent="0.2">
      <c r="A82" s="413" t="s">
        <v>3</v>
      </c>
      <c r="B82" s="333" t="s">
        <v>465</v>
      </c>
      <c r="C82" s="430"/>
      <c r="D82" s="333"/>
      <c r="E82" s="333" t="s">
        <v>1920</v>
      </c>
      <c r="F82" s="493">
        <v>1</v>
      </c>
      <c r="G82" s="439"/>
      <c r="H82" s="506"/>
    </row>
    <row r="83" spans="1:8" x14ac:dyDescent="0.2">
      <c r="A83" s="413" t="s">
        <v>1064</v>
      </c>
      <c r="B83" s="333" t="s">
        <v>112</v>
      </c>
      <c r="C83" s="430"/>
      <c r="D83" s="333"/>
      <c r="E83" s="333" t="s">
        <v>1920</v>
      </c>
      <c r="F83" s="493">
        <v>1</v>
      </c>
      <c r="G83" s="439"/>
      <c r="H83" s="506"/>
    </row>
    <row r="84" spans="1:8" x14ac:dyDescent="0.2">
      <c r="A84" s="413" t="s">
        <v>861</v>
      </c>
      <c r="B84" s="333" t="s">
        <v>506</v>
      </c>
      <c r="C84" s="430"/>
      <c r="D84" s="333"/>
      <c r="E84" s="333" t="s">
        <v>1920</v>
      </c>
      <c r="F84" s="493">
        <v>1</v>
      </c>
      <c r="G84" s="439"/>
      <c r="H84" s="506"/>
    </row>
    <row r="85" spans="1:8" x14ac:dyDescent="0.2">
      <c r="A85" s="413" t="s">
        <v>32</v>
      </c>
      <c r="B85" s="333" t="s">
        <v>22</v>
      </c>
      <c r="C85" s="430"/>
      <c r="D85" s="333"/>
      <c r="E85" s="333" t="s">
        <v>1920</v>
      </c>
      <c r="F85" s="493">
        <v>1</v>
      </c>
      <c r="G85" s="439"/>
      <c r="H85" s="506"/>
    </row>
    <row r="86" spans="1:8" x14ac:dyDescent="0.2">
      <c r="A86" s="413" t="s">
        <v>33</v>
      </c>
      <c r="B86" s="333" t="s">
        <v>675</v>
      </c>
      <c r="C86" s="430"/>
      <c r="D86" s="333"/>
      <c r="E86" s="333" t="s">
        <v>1920</v>
      </c>
      <c r="F86" s="493">
        <v>1</v>
      </c>
      <c r="G86" s="439"/>
      <c r="H86" s="506"/>
    </row>
    <row r="87" spans="1:8" ht="15.75" customHeight="1" x14ac:dyDescent="0.2">
      <c r="A87" s="413" t="s">
        <v>54</v>
      </c>
      <c r="B87" s="333" t="s">
        <v>3073</v>
      </c>
      <c r="C87" s="430"/>
      <c r="D87" s="333"/>
      <c r="E87" s="333" t="s">
        <v>1920</v>
      </c>
      <c r="F87" s="493">
        <v>1</v>
      </c>
      <c r="G87" s="439"/>
      <c r="H87" s="506"/>
    </row>
    <row r="88" spans="1:8" x14ac:dyDescent="0.2">
      <c r="A88" s="413" t="s">
        <v>3257</v>
      </c>
      <c r="B88" s="333" t="s">
        <v>888</v>
      </c>
      <c r="C88" s="430"/>
      <c r="D88" s="333"/>
      <c r="E88" s="333" t="s">
        <v>1920</v>
      </c>
      <c r="F88" s="493">
        <v>1</v>
      </c>
      <c r="G88" s="439"/>
      <c r="H88" s="506"/>
    </row>
    <row r="89" spans="1:8" x14ac:dyDescent="0.2">
      <c r="A89" s="413" t="s">
        <v>66</v>
      </c>
      <c r="B89" s="333" t="s">
        <v>1836</v>
      </c>
      <c r="C89" s="430"/>
      <c r="D89" s="333"/>
      <c r="E89" s="333" t="s">
        <v>1947</v>
      </c>
      <c r="F89" s="493">
        <v>1</v>
      </c>
      <c r="G89" s="439"/>
      <c r="H89" s="506"/>
    </row>
    <row r="90" spans="1:8" x14ac:dyDescent="0.2">
      <c r="A90" s="413" t="s">
        <v>1219</v>
      </c>
      <c r="B90" s="333" t="s">
        <v>882</v>
      </c>
      <c r="C90" s="430"/>
      <c r="D90" s="333" t="s">
        <v>1882</v>
      </c>
      <c r="E90" s="333" t="s">
        <v>1928</v>
      </c>
      <c r="F90" s="493">
        <v>1</v>
      </c>
      <c r="G90" s="439"/>
      <c r="H90" s="506"/>
    </row>
    <row r="91" spans="1:8" x14ac:dyDescent="0.2">
      <c r="A91" s="413" t="s">
        <v>1153</v>
      </c>
      <c r="B91" s="333" t="s">
        <v>2131</v>
      </c>
      <c r="C91" s="430"/>
      <c r="D91" s="333"/>
      <c r="E91" s="333" t="s">
        <v>1920</v>
      </c>
      <c r="F91" s="493">
        <v>1</v>
      </c>
      <c r="G91" s="439"/>
      <c r="H91" s="506"/>
    </row>
    <row r="92" spans="1:8" x14ac:dyDescent="0.2">
      <c r="A92" s="413" t="s">
        <v>2857</v>
      </c>
      <c r="B92" s="333" t="s">
        <v>2850</v>
      </c>
      <c r="C92" s="430"/>
      <c r="D92" s="333"/>
      <c r="E92" s="333" t="s">
        <v>1928</v>
      </c>
      <c r="F92" s="493">
        <v>1</v>
      </c>
      <c r="G92" s="439"/>
      <c r="H92" s="506"/>
    </row>
    <row r="93" spans="1:8" x14ac:dyDescent="0.2">
      <c r="A93" s="413" t="s">
        <v>1091</v>
      </c>
      <c r="B93" s="333" t="s">
        <v>2841</v>
      </c>
      <c r="C93" s="430"/>
      <c r="D93" s="333"/>
      <c r="E93" s="333" t="s">
        <v>1928</v>
      </c>
      <c r="F93" s="493">
        <v>1</v>
      </c>
      <c r="G93" s="439"/>
      <c r="H93" s="506"/>
    </row>
    <row r="94" spans="1:8" x14ac:dyDescent="0.2">
      <c r="A94" s="413" t="s">
        <v>1203</v>
      </c>
      <c r="B94" s="333" t="s">
        <v>2847</v>
      </c>
      <c r="C94" s="430"/>
      <c r="D94" s="333"/>
      <c r="E94" s="333" t="s">
        <v>1928</v>
      </c>
      <c r="F94" s="493">
        <v>1</v>
      </c>
      <c r="G94" s="439"/>
      <c r="H94" s="506"/>
    </row>
    <row r="95" spans="1:8" x14ac:dyDescent="0.2">
      <c r="A95" s="413" t="s">
        <v>341</v>
      </c>
      <c r="B95" s="333" t="s">
        <v>2852</v>
      </c>
      <c r="C95" s="430"/>
      <c r="D95" s="333"/>
      <c r="E95" s="333" t="s">
        <v>1928</v>
      </c>
      <c r="F95" s="493">
        <v>1</v>
      </c>
      <c r="G95" s="439"/>
      <c r="H95" s="506"/>
    </row>
    <row r="96" spans="1:8" x14ac:dyDescent="0.2">
      <c r="A96" s="413" t="s">
        <v>1257</v>
      </c>
      <c r="B96" s="333" t="s">
        <v>319</v>
      </c>
      <c r="C96" s="430"/>
      <c r="D96" s="333"/>
      <c r="E96" s="333" t="s">
        <v>1920</v>
      </c>
      <c r="F96" s="493">
        <v>1</v>
      </c>
      <c r="G96" s="439"/>
      <c r="H96" s="506"/>
    </row>
    <row r="97" spans="1:8" x14ac:dyDescent="0.2">
      <c r="A97" s="413" t="s">
        <v>1256</v>
      </c>
      <c r="B97" s="333" t="s">
        <v>321</v>
      </c>
      <c r="C97" s="430"/>
      <c r="D97" s="333"/>
      <c r="E97" s="333" t="s">
        <v>1920</v>
      </c>
      <c r="F97" s="493">
        <v>1</v>
      </c>
      <c r="G97" s="439"/>
      <c r="H97" s="506"/>
    </row>
    <row r="98" spans="1:8" x14ac:dyDescent="0.2">
      <c r="A98" s="413" t="s">
        <v>2231</v>
      </c>
      <c r="B98" s="333" t="s">
        <v>357</v>
      </c>
      <c r="C98" s="430"/>
      <c r="D98" s="333"/>
      <c r="E98" s="333" t="s">
        <v>1920</v>
      </c>
      <c r="F98" s="493">
        <v>1</v>
      </c>
      <c r="G98" s="439"/>
      <c r="H98" s="506"/>
    </row>
    <row r="99" spans="1:8" x14ac:dyDescent="0.2">
      <c r="A99" s="413" t="s">
        <v>1190</v>
      </c>
      <c r="B99" s="333" t="s">
        <v>320</v>
      </c>
      <c r="C99" s="430"/>
      <c r="D99" s="333"/>
      <c r="E99" s="333" t="s">
        <v>1920</v>
      </c>
      <c r="F99" s="493">
        <v>1</v>
      </c>
      <c r="G99" s="439"/>
      <c r="H99" s="506"/>
    </row>
    <row r="100" spans="1:8" x14ac:dyDescent="0.2">
      <c r="A100" s="413" t="s">
        <v>1184</v>
      </c>
      <c r="B100" s="333" t="s">
        <v>327</v>
      </c>
      <c r="C100" s="430"/>
      <c r="D100" s="333"/>
      <c r="E100" s="333" t="s">
        <v>1920</v>
      </c>
      <c r="F100" s="493">
        <v>1</v>
      </c>
      <c r="G100" s="439"/>
      <c r="H100" s="506"/>
    </row>
    <row r="101" spans="1:8" x14ac:dyDescent="0.2">
      <c r="A101" s="413" t="s">
        <v>1191</v>
      </c>
      <c r="B101" s="333" t="s">
        <v>546</v>
      </c>
      <c r="C101" s="430"/>
      <c r="D101" s="333"/>
      <c r="E101" s="333" t="s">
        <v>1920</v>
      </c>
      <c r="F101" s="493">
        <v>1</v>
      </c>
      <c r="G101" s="439"/>
      <c r="H101" s="506"/>
    </row>
    <row r="102" spans="1:8" x14ac:dyDescent="0.2">
      <c r="A102" s="413" t="s">
        <v>1186</v>
      </c>
      <c r="B102" s="333" t="s">
        <v>328</v>
      </c>
      <c r="C102" s="430"/>
      <c r="D102" s="333"/>
      <c r="E102" s="333" t="s">
        <v>1920</v>
      </c>
      <c r="F102" s="493">
        <v>1</v>
      </c>
      <c r="G102" s="439"/>
      <c r="H102" s="506"/>
    </row>
    <row r="103" spans="1:8" x14ac:dyDescent="0.2">
      <c r="A103" s="413" t="s">
        <v>3250</v>
      </c>
      <c r="B103" s="333" t="s">
        <v>318</v>
      </c>
      <c r="C103" s="430"/>
      <c r="D103" s="333"/>
      <c r="E103" s="333" t="s">
        <v>1920</v>
      </c>
      <c r="F103" s="493">
        <v>1</v>
      </c>
      <c r="G103" s="439"/>
      <c r="H103" s="506"/>
    </row>
    <row r="104" spans="1:8" x14ac:dyDescent="0.2">
      <c r="A104" s="413" t="s">
        <v>1180</v>
      </c>
      <c r="B104" s="333" t="s">
        <v>359</v>
      </c>
      <c r="C104" s="430"/>
      <c r="D104" s="333"/>
      <c r="E104" s="333" t="s">
        <v>1920</v>
      </c>
      <c r="F104" s="493">
        <v>1</v>
      </c>
      <c r="G104" s="439"/>
      <c r="H104" s="506"/>
    </row>
    <row r="105" spans="1:8" x14ac:dyDescent="0.2">
      <c r="A105" s="413" t="s">
        <v>3251</v>
      </c>
      <c r="B105" s="333" t="s">
        <v>680</v>
      </c>
      <c r="C105" s="430"/>
      <c r="D105" s="333"/>
      <c r="E105" s="333" t="s">
        <v>1920</v>
      </c>
      <c r="F105" s="493">
        <v>1</v>
      </c>
      <c r="G105" s="439"/>
      <c r="H105" s="506"/>
    </row>
    <row r="106" spans="1:8" x14ac:dyDescent="0.2">
      <c r="A106" s="413" t="s">
        <v>1187</v>
      </c>
      <c r="B106" s="333" t="s">
        <v>360</v>
      </c>
      <c r="C106" s="430"/>
      <c r="D106" s="333"/>
      <c r="E106" s="333" t="s">
        <v>1920</v>
      </c>
      <c r="F106" s="493">
        <v>1</v>
      </c>
      <c r="G106" s="439"/>
      <c r="H106" s="506"/>
    </row>
    <row r="107" spans="1:8" x14ac:dyDescent="0.2">
      <c r="A107" s="413" t="s">
        <v>1258</v>
      </c>
      <c r="B107" s="333" t="s">
        <v>544</v>
      </c>
      <c r="C107" s="430"/>
      <c r="D107" s="333"/>
      <c r="E107" s="333" t="s">
        <v>1920</v>
      </c>
      <c r="F107" s="493">
        <v>1</v>
      </c>
      <c r="G107" s="439"/>
      <c r="H107" s="506"/>
    </row>
    <row r="108" spans="1:8" x14ac:dyDescent="0.2">
      <c r="A108" s="413" t="s">
        <v>1185</v>
      </c>
      <c r="B108" s="333" t="s">
        <v>330</v>
      </c>
      <c r="C108" s="430"/>
      <c r="D108" s="333"/>
      <c r="E108" s="333" t="s">
        <v>1920</v>
      </c>
      <c r="F108" s="493">
        <v>1</v>
      </c>
      <c r="G108" s="439"/>
      <c r="H108" s="506"/>
    </row>
    <row r="109" spans="1:8" x14ac:dyDescent="0.2">
      <c r="A109" s="413" t="s">
        <v>1181</v>
      </c>
      <c r="B109" s="333" t="s">
        <v>199</v>
      </c>
      <c r="C109" s="430"/>
      <c r="D109" s="333"/>
      <c r="E109" s="333" t="s">
        <v>1920</v>
      </c>
      <c r="F109" s="493">
        <v>1</v>
      </c>
      <c r="G109" s="439"/>
      <c r="H109" s="506"/>
    </row>
    <row r="110" spans="1:8" x14ac:dyDescent="0.2">
      <c r="A110" s="413" t="s">
        <v>1054</v>
      </c>
      <c r="B110" s="333" t="s">
        <v>326</v>
      </c>
      <c r="C110" s="430"/>
      <c r="D110" s="333"/>
      <c r="E110" s="333" t="s">
        <v>1920</v>
      </c>
      <c r="F110" s="493">
        <v>1</v>
      </c>
      <c r="G110" s="439"/>
      <c r="H110" s="506"/>
    </row>
    <row r="111" spans="1:8" x14ac:dyDescent="0.2">
      <c r="A111" s="413" t="s">
        <v>2230</v>
      </c>
      <c r="B111" s="333" t="s">
        <v>325</v>
      </c>
      <c r="C111" s="430"/>
      <c r="D111" s="333"/>
      <c r="E111" s="333" t="s">
        <v>1920</v>
      </c>
      <c r="F111" s="493">
        <v>1</v>
      </c>
      <c r="G111" s="439"/>
      <c r="H111" s="506"/>
    </row>
    <row r="112" spans="1:8" x14ac:dyDescent="0.2">
      <c r="A112" s="413" t="s">
        <v>2879</v>
      </c>
      <c r="B112" s="333" t="s">
        <v>329</v>
      </c>
      <c r="C112" s="430"/>
      <c r="D112" s="333"/>
      <c r="E112" s="333" t="s">
        <v>1920</v>
      </c>
      <c r="F112" s="493">
        <v>1</v>
      </c>
      <c r="G112" s="439"/>
      <c r="H112" s="506"/>
    </row>
    <row r="113" spans="1:8" x14ac:dyDescent="0.2">
      <c r="A113" s="413" t="s">
        <v>1183</v>
      </c>
      <c r="B113" s="333" t="s">
        <v>120</v>
      </c>
      <c r="C113" s="430"/>
      <c r="D113" s="333"/>
      <c r="E113" s="333" t="s">
        <v>1920</v>
      </c>
      <c r="F113" s="493">
        <v>1</v>
      </c>
      <c r="G113" s="439"/>
      <c r="H113" s="506"/>
    </row>
    <row r="114" spans="1:8" x14ac:dyDescent="0.2">
      <c r="A114" s="413" t="s">
        <v>2234</v>
      </c>
      <c r="B114" s="333" t="s">
        <v>119</v>
      </c>
      <c r="C114" s="430"/>
      <c r="D114" s="333"/>
      <c r="E114" s="333" t="s">
        <v>1920</v>
      </c>
      <c r="F114" s="493">
        <v>1</v>
      </c>
      <c r="G114" s="439"/>
      <c r="H114" s="506"/>
    </row>
    <row r="115" spans="1:8" x14ac:dyDescent="0.2">
      <c r="A115" s="413" t="s">
        <v>1053</v>
      </c>
      <c r="B115" s="333" t="s">
        <v>322</v>
      </c>
      <c r="C115" s="430"/>
      <c r="D115" s="333"/>
      <c r="E115" s="333" t="s">
        <v>1920</v>
      </c>
      <c r="F115" s="493">
        <v>1</v>
      </c>
      <c r="G115" s="439"/>
      <c r="H115" s="506"/>
    </row>
    <row r="116" spans="1:8" x14ac:dyDescent="0.2">
      <c r="A116" s="413" t="s">
        <v>167</v>
      </c>
      <c r="B116" s="333" t="s">
        <v>323</v>
      </c>
      <c r="C116" s="430"/>
      <c r="D116" s="333"/>
      <c r="E116" s="333" t="s">
        <v>1920</v>
      </c>
      <c r="F116" s="493">
        <v>1</v>
      </c>
      <c r="G116" s="439"/>
      <c r="H116" s="506"/>
    </row>
    <row r="117" spans="1:8" x14ac:dyDescent="0.2">
      <c r="A117" s="413" t="s">
        <v>1182</v>
      </c>
      <c r="B117" s="333" t="s">
        <v>366</v>
      </c>
      <c r="C117" s="430"/>
      <c r="D117" s="333"/>
      <c r="E117" s="333" t="s">
        <v>1920</v>
      </c>
      <c r="F117" s="493">
        <v>1</v>
      </c>
      <c r="G117" s="439"/>
      <c r="H117" s="506"/>
    </row>
    <row r="118" spans="1:8" x14ac:dyDescent="0.2">
      <c r="A118" s="413" t="s">
        <v>2897</v>
      </c>
      <c r="B118" s="333" t="s">
        <v>324</v>
      </c>
      <c r="C118" s="430"/>
      <c r="D118" s="333"/>
      <c r="E118" s="333" t="s">
        <v>1920</v>
      </c>
      <c r="F118" s="493">
        <v>1</v>
      </c>
      <c r="G118" s="439"/>
      <c r="H118" s="506"/>
    </row>
    <row r="119" spans="1:8" x14ac:dyDescent="0.2">
      <c r="A119" s="413" t="s">
        <v>852</v>
      </c>
      <c r="B119" s="333" t="s">
        <v>545</v>
      </c>
      <c r="C119" s="430"/>
      <c r="D119" s="333"/>
      <c r="E119" s="333" t="s">
        <v>1920</v>
      </c>
      <c r="F119" s="493">
        <v>1</v>
      </c>
      <c r="G119" s="439"/>
      <c r="H119" s="506"/>
    </row>
    <row r="120" spans="1:8" x14ac:dyDescent="0.2">
      <c r="A120" s="413" t="s">
        <v>1204</v>
      </c>
      <c r="B120" s="333" t="s">
        <v>352</v>
      </c>
      <c r="C120" s="430"/>
      <c r="D120" s="333"/>
      <c r="E120" s="333" t="s">
        <v>1920</v>
      </c>
      <c r="F120" s="493">
        <v>1</v>
      </c>
      <c r="G120" s="439"/>
      <c r="H120" s="506"/>
    </row>
    <row r="121" spans="1:8" x14ac:dyDescent="0.2">
      <c r="A121" s="413" t="s">
        <v>1189</v>
      </c>
      <c r="B121" s="333" t="s">
        <v>356</v>
      </c>
      <c r="C121" s="430"/>
      <c r="D121" s="333"/>
      <c r="E121" s="333" t="s">
        <v>1920</v>
      </c>
      <c r="F121" s="493">
        <v>1</v>
      </c>
      <c r="G121" s="439"/>
      <c r="H121" s="506"/>
    </row>
    <row r="122" spans="1:8" x14ac:dyDescent="0.2">
      <c r="A122" s="413" t="s">
        <v>1188</v>
      </c>
      <c r="B122" s="333" t="s">
        <v>342</v>
      </c>
      <c r="C122" s="430"/>
      <c r="D122" s="333"/>
      <c r="E122" s="333" t="s">
        <v>1920</v>
      </c>
      <c r="F122" s="493">
        <v>2</v>
      </c>
      <c r="G122" s="439"/>
      <c r="H122" s="506"/>
    </row>
    <row r="123" spans="1:8" x14ac:dyDescent="0.2">
      <c r="A123" s="413" t="s">
        <v>1055</v>
      </c>
      <c r="B123" s="333" t="s">
        <v>347</v>
      </c>
      <c r="C123" s="430"/>
      <c r="D123" s="333"/>
      <c r="E123" s="333" t="s">
        <v>1920</v>
      </c>
      <c r="F123" s="493">
        <v>2</v>
      </c>
      <c r="G123" s="439"/>
      <c r="H123" s="506"/>
    </row>
    <row r="124" spans="1:8" x14ac:dyDescent="0.2">
      <c r="A124" s="413" t="s">
        <v>1077</v>
      </c>
      <c r="B124" s="333" t="s">
        <v>348</v>
      </c>
      <c r="C124" s="430"/>
      <c r="D124" s="333"/>
      <c r="E124" s="333" t="s">
        <v>1920</v>
      </c>
      <c r="F124" s="493">
        <v>2</v>
      </c>
      <c r="G124" s="439"/>
      <c r="H124" s="506"/>
    </row>
    <row r="125" spans="1:8" x14ac:dyDescent="0.2">
      <c r="A125" s="413" t="s">
        <v>14</v>
      </c>
      <c r="B125" s="333" t="s">
        <v>472</v>
      </c>
      <c r="C125" s="430"/>
      <c r="D125" s="333"/>
      <c r="E125" s="333" t="s">
        <v>1971</v>
      </c>
      <c r="F125" s="493">
        <v>1</v>
      </c>
      <c r="G125" s="439"/>
      <c r="H125" s="506"/>
    </row>
    <row r="126" spans="1:8" x14ac:dyDescent="0.2">
      <c r="A126" s="413" t="s">
        <v>1213</v>
      </c>
      <c r="B126" s="333" t="s">
        <v>881</v>
      </c>
      <c r="C126" s="430"/>
      <c r="D126" s="333"/>
      <c r="E126" s="333" t="s">
        <v>1920</v>
      </c>
      <c r="F126" s="493">
        <v>1</v>
      </c>
      <c r="G126" s="439"/>
      <c r="H126" s="506"/>
    </row>
    <row r="127" spans="1:8" x14ac:dyDescent="0.2">
      <c r="A127" s="413" t="s">
        <v>1212</v>
      </c>
      <c r="B127" s="333" t="s">
        <v>19</v>
      </c>
      <c r="C127" s="430"/>
      <c r="D127" s="333"/>
      <c r="E127" s="333" t="s">
        <v>1920</v>
      </c>
      <c r="F127" s="493">
        <v>1</v>
      </c>
      <c r="G127" s="439"/>
      <c r="H127" s="506"/>
    </row>
    <row r="128" spans="1:8" x14ac:dyDescent="0.2">
      <c r="A128" s="413" t="s">
        <v>1041</v>
      </c>
      <c r="B128" s="333" t="s">
        <v>749</v>
      </c>
      <c r="C128" s="430"/>
      <c r="D128" s="333"/>
      <c r="E128" s="333" t="s">
        <v>1920</v>
      </c>
      <c r="F128" s="493">
        <v>1</v>
      </c>
      <c r="G128" s="439"/>
      <c r="H128" s="506"/>
    </row>
    <row r="129" spans="1:8" x14ac:dyDescent="0.2">
      <c r="A129" s="413" t="s">
        <v>1621</v>
      </c>
      <c r="B129" s="333" t="s">
        <v>288</v>
      </c>
      <c r="C129" s="430"/>
      <c r="D129" s="333"/>
      <c r="E129" s="333">
        <v>55719</v>
      </c>
      <c r="F129" s="493">
        <v>1</v>
      </c>
      <c r="G129" s="439"/>
      <c r="H129" s="506"/>
    </row>
    <row r="130" spans="1:8" x14ac:dyDescent="0.2">
      <c r="A130" s="413" t="s">
        <v>1040</v>
      </c>
      <c r="B130" s="333" t="s">
        <v>274</v>
      </c>
      <c r="C130" s="430"/>
      <c r="D130" s="333"/>
      <c r="E130" s="333" t="s">
        <v>1920</v>
      </c>
      <c r="F130" s="493">
        <v>1</v>
      </c>
      <c r="G130" s="439"/>
      <c r="H130" s="506"/>
    </row>
    <row r="131" spans="1:8" x14ac:dyDescent="0.2">
      <c r="A131" s="413" t="s">
        <v>3200</v>
      </c>
      <c r="B131" s="333" t="s">
        <v>118</v>
      </c>
      <c r="C131" s="430"/>
      <c r="D131" s="333"/>
      <c r="E131" s="333" t="s">
        <v>1920</v>
      </c>
      <c r="F131" s="493">
        <v>1</v>
      </c>
      <c r="G131" s="439"/>
      <c r="H131" s="506"/>
    </row>
    <row r="132" spans="1:8" x14ac:dyDescent="0.2">
      <c r="A132" s="413" t="s">
        <v>3199</v>
      </c>
      <c r="B132" s="333" t="s">
        <v>253</v>
      </c>
      <c r="C132" s="430"/>
      <c r="D132" s="333"/>
      <c r="E132" s="333" t="s">
        <v>1920</v>
      </c>
      <c r="F132" s="493">
        <v>1</v>
      </c>
      <c r="G132" s="439"/>
      <c r="H132" s="506"/>
    </row>
    <row r="133" spans="1:8" x14ac:dyDescent="0.2">
      <c r="A133" s="413" t="s">
        <v>3197</v>
      </c>
      <c r="B133" s="333" t="s">
        <v>254</v>
      </c>
      <c r="C133" s="430"/>
      <c r="D133" s="333"/>
      <c r="E133" s="333" t="s">
        <v>1920</v>
      </c>
      <c r="F133" s="493">
        <v>1</v>
      </c>
      <c r="G133" s="439"/>
      <c r="H133" s="506"/>
    </row>
    <row r="134" spans="1:8" x14ac:dyDescent="0.2">
      <c r="A134" s="413" t="s">
        <v>3198</v>
      </c>
      <c r="B134" s="333" t="s">
        <v>255</v>
      </c>
      <c r="C134" s="430"/>
      <c r="D134" s="333"/>
      <c r="E134" s="333" t="s">
        <v>1920</v>
      </c>
      <c r="F134" s="493">
        <v>1</v>
      </c>
      <c r="G134" s="439"/>
      <c r="H134" s="506"/>
    </row>
    <row r="135" spans="1:8" x14ac:dyDescent="0.2">
      <c r="A135" s="413" t="s">
        <v>3195</v>
      </c>
      <c r="B135" s="333" t="s">
        <v>41</v>
      </c>
      <c r="C135" s="430"/>
      <c r="D135" s="333"/>
      <c r="E135" s="333" t="s">
        <v>1920</v>
      </c>
      <c r="F135" s="493">
        <v>1</v>
      </c>
      <c r="G135" s="439"/>
      <c r="H135" s="506"/>
    </row>
    <row r="136" spans="1:8" x14ac:dyDescent="0.2">
      <c r="A136" s="413" t="s">
        <v>3194</v>
      </c>
      <c r="B136" s="333" t="s">
        <v>40</v>
      </c>
      <c r="C136" s="430"/>
      <c r="D136" s="333"/>
      <c r="E136" s="333" t="s">
        <v>1920</v>
      </c>
      <c r="F136" s="493">
        <v>1</v>
      </c>
      <c r="G136" s="439"/>
      <c r="H136" s="506"/>
    </row>
    <row r="137" spans="1:8" x14ac:dyDescent="0.2">
      <c r="A137" s="413" t="s">
        <v>3196</v>
      </c>
      <c r="B137" s="333" t="s">
        <v>42</v>
      </c>
      <c r="C137" s="430"/>
      <c r="D137" s="333"/>
      <c r="E137" s="333" t="s">
        <v>1920</v>
      </c>
      <c r="F137" s="493">
        <v>1</v>
      </c>
      <c r="G137" s="439"/>
      <c r="H137" s="506"/>
    </row>
    <row r="138" spans="1:8" x14ac:dyDescent="0.2">
      <c r="A138" s="413" t="s">
        <v>3193</v>
      </c>
      <c r="B138" s="333" t="s">
        <v>337</v>
      </c>
      <c r="C138" s="430"/>
      <c r="D138" s="333"/>
      <c r="E138" s="333" t="s">
        <v>1920</v>
      </c>
      <c r="F138" s="493">
        <v>1</v>
      </c>
      <c r="G138" s="439"/>
      <c r="H138" s="506"/>
    </row>
    <row r="139" spans="1:8" x14ac:dyDescent="0.2">
      <c r="A139" s="413" t="s">
        <v>106</v>
      </c>
      <c r="B139" s="333" t="s">
        <v>553</v>
      </c>
      <c r="C139" s="430"/>
      <c r="D139" s="333"/>
      <c r="E139" s="333" t="s">
        <v>1920</v>
      </c>
      <c r="F139" s="493">
        <v>1</v>
      </c>
      <c r="G139" s="439"/>
      <c r="H139" s="506"/>
    </row>
    <row r="140" spans="1:8" x14ac:dyDescent="0.2">
      <c r="A140" s="413" t="s">
        <v>1210</v>
      </c>
      <c r="B140" s="333" t="s">
        <v>475</v>
      </c>
      <c r="C140" s="430"/>
      <c r="D140" s="333"/>
      <c r="E140" s="333" t="s">
        <v>1920</v>
      </c>
      <c r="F140" s="493">
        <v>1</v>
      </c>
      <c r="G140" s="439"/>
      <c r="H140" s="506"/>
    </row>
    <row r="141" spans="1:8" x14ac:dyDescent="0.2">
      <c r="A141" s="413" t="s">
        <v>1024</v>
      </c>
      <c r="B141" s="333" t="s">
        <v>400</v>
      </c>
      <c r="C141" s="430"/>
      <c r="D141" s="333"/>
      <c r="E141" s="333" t="s">
        <v>1920</v>
      </c>
      <c r="F141" s="493">
        <v>1</v>
      </c>
      <c r="G141" s="439"/>
      <c r="H141" s="506"/>
    </row>
    <row r="142" spans="1:8" x14ac:dyDescent="0.2">
      <c r="A142" s="413" t="s">
        <v>1129</v>
      </c>
      <c r="B142" s="333" t="s">
        <v>107</v>
      </c>
      <c r="C142" s="430"/>
      <c r="D142" s="333"/>
      <c r="E142" s="333" t="s">
        <v>1920</v>
      </c>
      <c r="F142" s="493">
        <v>1</v>
      </c>
      <c r="G142" s="439"/>
      <c r="H142" s="506"/>
    </row>
    <row r="143" spans="1:8" x14ac:dyDescent="0.2">
      <c r="A143" s="413" t="s">
        <v>1130</v>
      </c>
      <c r="B143" s="333" t="s">
        <v>399</v>
      </c>
      <c r="C143" s="430"/>
      <c r="D143" s="333"/>
      <c r="E143" s="333" t="s">
        <v>1920</v>
      </c>
      <c r="F143" s="493">
        <v>1</v>
      </c>
      <c r="G143" s="439"/>
      <c r="H143" s="506"/>
    </row>
    <row r="144" spans="1:8" x14ac:dyDescent="0.2">
      <c r="A144" s="413" t="s">
        <v>1131</v>
      </c>
      <c r="B144" s="333" t="s">
        <v>582</v>
      </c>
      <c r="C144" s="430"/>
      <c r="D144" s="333"/>
      <c r="E144" s="333" t="s">
        <v>1920</v>
      </c>
      <c r="F144" s="493">
        <v>1</v>
      </c>
      <c r="G144" s="439"/>
      <c r="H144" s="506"/>
    </row>
    <row r="145" spans="1:8" x14ac:dyDescent="0.2">
      <c r="A145" s="413" t="s">
        <v>1132</v>
      </c>
      <c r="B145" s="333" t="s">
        <v>401</v>
      </c>
      <c r="C145" s="430"/>
      <c r="D145" s="333"/>
      <c r="E145" s="333" t="s">
        <v>1920</v>
      </c>
      <c r="F145" s="493">
        <v>1</v>
      </c>
      <c r="G145" s="439"/>
      <c r="H145" s="506"/>
    </row>
    <row r="146" spans="1:8" x14ac:dyDescent="0.2">
      <c r="A146" s="413" t="s">
        <v>1134</v>
      </c>
      <c r="B146" s="333" t="s">
        <v>670</v>
      </c>
      <c r="C146" s="430"/>
      <c r="D146" s="333"/>
      <c r="E146" s="333" t="s">
        <v>1920</v>
      </c>
      <c r="F146" s="493">
        <v>1</v>
      </c>
      <c r="G146" s="439"/>
      <c r="H146" s="506"/>
    </row>
    <row r="147" spans="1:8" x14ac:dyDescent="0.2">
      <c r="A147" s="413" t="s">
        <v>1133</v>
      </c>
      <c r="B147" s="333" t="s">
        <v>669</v>
      </c>
      <c r="C147" s="430"/>
      <c r="D147" s="333"/>
      <c r="E147" s="333" t="s">
        <v>1920</v>
      </c>
      <c r="F147" s="493">
        <v>1</v>
      </c>
      <c r="G147" s="439"/>
      <c r="H147" s="506"/>
    </row>
    <row r="148" spans="1:8" x14ac:dyDescent="0.2">
      <c r="A148" s="413" t="s">
        <v>1620</v>
      </c>
      <c r="B148" s="333" t="s">
        <v>673</v>
      </c>
      <c r="C148" s="430"/>
      <c r="D148" s="333"/>
      <c r="E148" s="333" t="s">
        <v>1920</v>
      </c>
      <c r="F148" s="493">
        <v>1</v>
      </c>
      <c r="G148" s="439"/>
      <c r="H148" s="506"/>
    </row>
    <row r="149" spans="1:8" x14ac:dyDescent="0.2">
      <c r="A149" s="413" t="s">
        <v>1121</v>
      </c>
      <c r="B149" s="333" t="s">
        <v>283</v>
      </c>
      <c r="C149" s="430"/>
      <c r="D149" s="333"/>
      <c r="E149" s="333" t="s">
        <v>1920</v>
      </c>
      <c r="F149" s="493">
        <v>1</v>
      </c>
      <c r="G149" s="439"/>
      <c r="H149" s="506"/>
    </row>
    <row r="150" spans="1:8" x14ac:dyDescent="0.2">
      <c r="A150" s="413" t="s">
        <v>1122</v>
      </c>
      <c r="B150" s="333" t="s">
        <v>284</v>
      </c>
      <c r="C150" s="430"/>
      <c r="D150" s="333"/>
      <c r="E150" s="333" t="s">
        <v>1920</v>
      </c>
      <c r="F150" s="493">
        <v>2</v>
      </c>
      <c r="G150" s="439"/>
      <c r="H150" s="506"/>
    </row>
    <row r="151" spans="1:8" x14ac:dyDescent="0.2">
      <c r="A151" s="413" t="s">
        <v>1205</v>
      </c>
      <c r="B151" s="333" t="s">
        <v>285</v>
      </c>
      <c r="C151" s="430"/>
      <c r="D151" s="333"/>
      <c r="E151" s="333" t="s">
        <v>1920</v>
      </c>
      <c r="F151" s="493">
        <v>1</v>
      </c>
      <c r="G151" s="439"/>
      <c r="H151" s="506"/>
    </row>
    <row r="152" spans="1:8" x14ac:dyDescent="0.2">
      <c r="A152" s="413" t="s">
        <v>1854</v>
      </c>
      <c r="B152" s="333" t="s">
        <v>268</v>
      </c>
      <c r="C152" s="430"/>
      <c r="D152" s="333"/>
      <c r="E152" s="333" t="s">
        <v>1920</v>
      </c>
      <c r="F152" s="493">
        <v>1</v>
      </c>
      <c r="G152" s="439"/>
      <c r="H152" s="506"/>
    </row>
    <row r="153" spans="1:8" x14ac:dyDescent="0.2">
      <c r="A153" s="413" t="s">
        <v>1855</v>
      </c>
      <c r="B153" s="333" t="s">
        <v>266</v>
      </c>
      <c r="C153" s="430"/>
      <c r="D153" s="333"/>
      <c r="E153" s="333" t="s">
        <v>1920</v>
      </c>
      <c r="F153" s="493">
        <v>1</v>
      </c>
      <c r="G153" s="439"/>
      <c r="H153" s="506"/>
    </row>
    <row r="154" spans="1:8" x14ac:dyDescent="0.2">
      <c r="A154" s="413" t="s">
        <v>1856</v>
      </c>
      <c r="B154" s="333" t="s">
        <v>270</v>
      </c>
      <c r="C154" s="430"/>
      <c r="D154" s="333"/>
      <c r="E154" s="333" t="s">
        <v>1920</v>
      </c>
      <c r="F154" s="493">
        <v>1</v>
      </c>
      <c r="G154" s="439"/>
      <c r="H154" s="506"/>
    </row>
    <row r="155" spans="1:8" x14ac:dyDescent="0.2">
      <c r="A155" s="413" t="s">
        <v>1857</v>
      </c>
      <c r="B155" s="333" t="s">
        <v>264</v>
      </c>
      <c r="C155" s="430"/>
      <c r="D155" s="333"/>
      <c r="E155" s="333" t="s">
        <v>1920</v>
      </c>
      <c r="F155" s="493">
        <v>1</v>
      </c>
      <c r="G155" s="439"/>
      <c r="H155" s="506"/>
    </row>
    <row r="156" spans="1:8" x14ac:dyDescent="0.2">
      <c r="A156" s="413" t="s">
        <v>1858</v>
      </c>
      <c r="B156" s="333" t="s">
        <v>271</v>
      </c>
      <c r="C156" s="430"/>
      <c r="D156" s="333"/>
      <c r="E156" s="333" t="s">
        <v>1920</v>
      </c>
      <c r="F156" s="493">
        <v>1</v>
      </c>
      <c r="G156" s="439"/>
      <c r="H156" s="506"/>
    </row>
    <row r="157" spans="1:8" x14ac:dyDescent="0.2">
      <c r="A157" s="413" t="s">
        <v>1859</v>
      </c>
      <c r="B157" s="333" t="s">
        <v>267</v>
      </c>
      <c r="C157" s="430"/>
      <c r="D157" s="333"/>
      <c r="E157" s="333" t="s">
        <v>1920</v>
      </c>
      <c r="F157" s="493">
        <v>1</v>
      </c>
      <c r="G157" s="439"/>
      <c r="H157" s="506"/>
    </row>
    <row r="158" spans="1:8" x14ac:dyDescent="0.2">
      <c r="A158" s="413" t="s">
        <v>1860</v>
      </c>
      <c r="B158" s="333" t="s">
        <v>265</v>
      </c>
      <c r="C158" s="430"/>
      <c r="D158" s="333"/>
      <c r="E158" s="333" t="s">
        <v>1920</v>
      </c>
      <c r="F158" s="493">
        <v>1</v>
      </c>
      <c r="G158" s="439"/>
      <c r="H158" s="506"/>
    </row>
    <row r="159" spans="1:8" x14ac:dyDescent="0.2">
      <c r="A159" s="413" t="s">
        <v>1861</v>
      </c>
      <c r="B159" s="333" t="s">
        <v>269</v>
      </c>
      <c r="C159" s="430"/>
      <c r="D159" s="333"/>
      <c r="E159" s="333" t="s">
        <v>1920</v>
      </c>
      <c r="F159" s="493">
        <v>1</v>
      </c>
      <c r="G159" s="439"/>
      <c r="H159" s="506"/>
    </row>
    <row r="160" spans="1:8" x14ac:dyDescent="0.2">
      <c r="A160" s="413" t="s">
        <v>1862</v>
      </c>
      <c r="B160" s="333" t="s">
        <v>263</v>
      </c>
      <c r="C160" s="430"/>
      <c r="D160" s="333"/>
      <c r="E160" s="333" t="s">
        <v>1920</v>
      </c>
      <c r="F160" s="493">
        <v>1</v>
      </c>
      <c r="G160" s="439"/>
      <c r="H160" s="506"/>
    </row>
    <row r="161" spans="1:8" x14ac:dyDescent="0.2">
      <c r="A161" s="413" t="s">
        <v>28</v>
      </c>
      <c r="B161" s="333" t="s">
        <v>244</v>
      </c>
      <c r="C161" s="430"/>
      <c r="D161" s="333"/>
      <c r="E161" s="333" t="s">
        <v>1920</v>
      </c>
      <c r="F161" s="493">
        <v>1</v>
      </c>
      <c r="G161" s="439"/>
      <c r="H161" s="506"/>
    </row>
    <row r="162" spans="1:8" x14ac:dyDescent="0.2">
      <c r="A162" s="413" t="s">
        <v>26</v>
      </c>
      <c r="B162" s="333" t="s">
        <v>488</v>
      </c>
      <c r="C162" s="430"/>
      <c r="D162" s="333"/>
      <c r="E162" s="333" t="s">
        <v>1920</v>
      </c>
      <c r="F162" s="493">
        <v>1</v>
      </c>
      <c r="G162" s="439"/>
      <c r="H162" s="506"/>
    </row>
    <row r="163" spans="1:8" x14ac:dyDescent="0.2">
      <c r="A163" s="413" t="s">
        <v>23</v>
      </c>
      <c r="B163" s="333" t="s">
        <v>290</v>
      </c>
      <c r="C163" s="430"/>
      <c r="D163" s="333"/>
      <c r="E163" s="333" t="s">
        <v>1920</v>
      </c>
      <c r="F163" s="493">
        <v>1</v>
      </c>
      <c r="G163" s="439"/>
      <c r="H163" s="506"/>
    </row>
    <row r="164" spans="1:8" x14ac:dyDescent="0.2">
      <c r="A164" s="413" t="s">
        <v>25</v>
      </c>
      <c r="B164" s="333" t="s">
        <v>300</v>
      </c>
      <c r="C164" s="430"/>
      <c r="D164" s="333"/>
      <c r="E164" s="333" t="s">
        <v>1920</v>
      </c>
      <c r="F164" s="493">
        <v>1</v>
      </c>
      <c r="G164" s="439"/>
      <c r="H164" s="506"/>
    </row>
    <row r="165" spans="1:8" x14ac:dyDescent="0.2">
      <c r="A165" s="413" t="s">
        <v>1224</v>
      </c>
      <c r="B165" s="333" t="s">
        <v>114</v>
      </c>
      <c r="C165" s="430"/>
      <c r="D165" s="333"/>
      <c r="E165" s="333" t="s">
        <v>1920</v>
      </c>
      <c r="F165" s="493">
        <v>1</v>
      </c>
      <c r="G165" s="439"/>
      <c r="H165" s="506"/>
    </row>
    <row r="166" spans="1:8" x14ac:dyDescent="0.2">
      <c r="A166" s="413" t="s">
        <v>27</v>
      </c>
      <c r="B166" s="333" t="s">
        <v>302</v>
      </c>
      <c r="C166" s="430"/>
      <c r="D166" s="333"/>
      <c r="E166" s="333" t="s">
        <v>1920</v>
      </c>
      <c r="F166" s="493">
        <v>1</v>
      </c>
      <c r="G166" s="439"/>
      <c r="H166" s="506"/>
    </row>
    <row r="167" spans="1:8" x14ac:dyDescent="0.2">
      <c r="A167" s="413" t="s">
        <v>24</v>
      </c>
      <c r="B167" s="333" t="s">
        <v>297</v>
      </c>
      <c r="C167" s="430"/>
      <c r="D167" s="333"/>
      <c r="E167" s="333" t="s">
        <v>1920</v>
      </c>
      <c r="F167" s="493">
        <v>1</v>
      </c>
      <c r="G167" s="439"/>
      <c r="H167" s="506"/>
    </row>
    <row r="168" spans="1:8" x14ac:dyDescent="0.2">
      <c r="A168" s="413" t="s">
        <v>1250</v>
      </c>
      <c r="B168" s="333" t="s">
        <v>462</v>
      </c>
      <c r="C168" s="430"/>
      <c r="D168" s="333"/>
      <c r="E168" s="333" t="s">
        <v>1920</v>
      </c>
      <c r="F168" s="493">
        <v>1</v>
      </c>
      <c r="G168" s="439"/>
      <c r="H168" s="506"/>
    </row>
    <row r="169" spans="1:8" x14ac:dyDescent="0.2">
      <c r="A169" s="413" t="s">
        <v>1252</v>
      </c>
      <c r="B169" s="333" t="s">
        <v>311</v>
      </c>
      <c r="C169" s="430"/>
      <c r="D169" s="333"/>
      <c r="E169" s="333" t="s">
        <v>1920</v>
      </c>
      <c r="F169" s="493">
        <v>1</v>
      </c>
      <c r="G169" s="439"/>
      <c r="H169" s="506"/>
    </row>
    <row r="170" spans="1:8" x14ac:dyDescent="0.2">
      <c r="A170" s="413" t="s">
        <v>1245</v>
      </c>
      <c r="B170" s="333" t="s">
        <v>662</v>
      </c>
      <c r="C170" s="430"/>
      <c r="D170" s="333"/>
      <c r="E170" s="333" t="s">
        <v>1920</v>
      </c>
      <c r="F170" s="493">
        <v>1</v>
      </c>
      <c r="G170" s="439"/>
      <c r="H170" s="506"/>
    </row>
    <row r="171" spans="1:8" x14ac:dyDescent="0.2">
      <c r="A171" s="413" t="s">
        <v>1253</v>
      </c>
      <c r="B171" s="333" t="s">
        <v>315</v>
      </c>
      <c r="C171" s="430"/>
      <c r="D171" s="333"/>
      <c r="E171" s="333" t="s">
        <v>1920</v>
      </c>
      <c r="F171" s="493">
        <v>1</v>
      </c>
      <c r="G171" s="439"/>
      <c r="H171" s="506"/>
    </row>
    <row r="172" spans="1:8" x14ac:dyDescent="0.2">
      <c r="A172" s="413" t="s">
        <v>1251</v>
      </c>
      <c r="B172" s="333" t="s">
        <v>81</v>
      </c>
      <c r="C172" s="430"/>
      <c r="D172" s="333"/>
      <c r="E172" s="333" t="s">
        <v>1920</v>
      </c>
      <c r="F172" s="493">
        <v>1</v>
      </c>
      <c r="G172" s="439"/>
      <c r="H172" s="506"/>
    </row>
    <row r="173" spans="1:8" x14ac:dyDescent="0.2">
      <c r="A173" s="413" t="s">
        <v>1247</v>
      </c>
      <c r="B173" s="333" t="s">
        <v>443</v>
      </c>
      <c r="C173" s="430"/>
      <c r="D173" s="333"/>
      <c r="E173" s="333" t="s">
        <v>1920</v>
      </c>
      <c r="F173" s="493">
        <v>1</v>
      </c>
      <c r="G173" s="439"/>
      <c r="H173" s="506"/>
    </row>
    <row r="174" spans="1:8" x14ac:dyDescent="0.2">
      <c r="A174" s="413" t="s">
        <v>1175</v>
      </c>
      <c r="B174" s="333" t="s">
        <v>310</v>
      </c>
      <c r="C174" s="430"/>
      <c r="D174" s="333"/>
      <c r="E174" s="333" t="s">
        <v>1920</v>
      </c>
      <c r="F174" s="493">
        <v>1</v>
      </c>
      <c r="G174" s="439"/>
      <c r="H174" s="506"/>
    </row>
    <row r="175" spans="1:8" x14ac:dyDescent="0.2">
      <c r="A175" s="413" t="s">
        <v>1248</v>
      </c>
      <c r="B175" s="333" t="s">
        <v>444</v>
      </c>
      <c r="C175" s="430"/>
      <c r="D175" s="333"/>
      <c r="E175" s="333" t="s">
        <v>1920</v>
      </c>
      <c r="F175" s="493">
        <v>1</v>
      </c>
      <c r="G175" s="439"/>
      <c r="H175" s="506"/>
    </row>
    <row r="176" spans="1:8" x14ac:dyDescent="0.2">
      <c r="A176" s="413" t="s">
        <v>1173</v>
      </c>
      <c r="B176" s="333" t="s">
        <v>313</v>
      </c>
      <c r="C176" s="430"/>
      <c r="D176" s="333"/>
      <c r="E176" s="333" t="s">
        <v>1920</v>
      </c>
      <c r="F176" s="493">
        <v>1</v>
      </c>
      <c r="G176" s="439"/>
      <c r="H176" s="506"/>
    </row>
    <row r="177" spans="1:8" x14ac:dyDescent="0.2">
      <c r="A177" s="413" t="s">
        <v>1249</v>
      </c>
      <c r="B177" s="333" t="s">
        <v>445</v>
      </c>
      <c r="C177" s="430"/>
      <c r="D177" s="333"/>
      <c r="E177" s="333" t="s">
        <v>1920</v>
      </c>
      <c r="F177" s="493">
        <v>1</v>
      </c>
      <c r="G177" s="439"/>
      <c r="H177" s="506"/>
    </row>
    <row r="178" spans="1:8" x14ac:dyDescent="0.2">
      <c r="A178" s="413" t="s">
        <v>1246</v>
      </c>
      <c r="B178" s="333" t="s">
        <v>442</v>
      </c>
      <c r="C178" s="430"/>
      <c r="D178" s="333"/>
      <c r="E178" s="333" t="s">
        <v>1920</v>
      </c>
      <c r="F178" s="493">
        <v>1</v>
      </c>
      <c r="G178" s="439"/>
      <c r="H178" s="506"/>
    </row>
    <row r="179" spans="1:8" x14ac:dyDescent="0.2">
      <c r="A179" s="413" t="s">
        <v>1042</v>
      </c>
      <c r="B179" s="333" t="s">
        <v>456</v>
      </c>
      <c r="C179" s="430"/>
      <c r="D179" s="333"/>
      <c r="E179" s="333" t="s">
        <v>1920</v>
      </c>
      <c r="F179" s="493">
        <v>1</v>
      </c>
      <c r="G179" s="439"/>
      <c r="H179" s="506"/>
    </row>
    <row r="180" spans="1:8" x14ac:dyDescent="0.2">
      <c r="A180" s="413" t="s">
        <v>1164</v>
      </c>
      <c r="B180" s="333" t="s">
        <v>580</v>
      </c>
      <c r="C180" s="430"/>
      <c r="D180" s="333"/>
      <c r="E180" s="333" t="s">
        <v>1920</v>
      </c>
      <c r="F180" s="493">
        <v>1</v>
      </c>
      <c r="G180" s="439"/>
      <c r="H180" s="506"/>
    </row>
    <row r="181" spans="1:8" x14ac:dyDescent="0.2">
      <c r="A181" s="413" t="s">
        <v>1155</v>
      </c>
      <c r="B181" s="333" t="s">
        <v>383</v>
      </c>
      <c r="C181" s="430"/>
      <c r="D181" s="333"/>
      <c r="E181" s="333" t="s">
        <v>1920</v>
      </c>
      <c r="F181" s="493">
        <v>1</v>
      </c>
      <c r="G181" s="439"/>
      <c r="H181" s="506"/>
    </row>
    <row r="182" spans="1:8" x14ac:dyDescent="0.2">
      <c r="A182" s="413" t="s">
        <v>1424</v>
      </c>
      <c r="B182" s="333" t="s">
        <v>458</v>
      </c>
      <c r="C182" s="430"/>
      <c r="D182" s="333"/>
      <c r="E182" s="333" t="s">
        <v>1920</v>
      </c>
      <c r="F182" s="493">
        <v>1</v>
      </c>
      <c r="G182" s="439"/>
      <c r="H182" s="506"/>
    </row>
    <row r="183" spans="1:8" x14ac:dyDescent="0.2">
      <c r="A183" s="413" t="s">
        <v>1425</v>
      </c>
      <c r="B183" s="333" t="s">
        <v>908</v>
      </c>
      <c r="C183" s="430"/>
      <c r="D183" s="333"/>
      <c r="E183" s="333" t="s">
        <v>1920</v>
      </c>
      <c r="F183" s="493">
        <v>1</v>
      </c>
      <c r="G183" s="439"/>
      <c r="H183" s="506"/>
    </row>
    <row r="184" spans="1:8" x14ac:dyDescent="0.2">
      <c r="A184" s="413" t="s">
        <v>2133</v>
      </c>
      <c r="B184" s="333" t="s">
        <v>2909</v>
      </c>
      <c r="C184" s="430"/>
      <c r="D184" s="333"/>
      <c r="E184" s="333">
        <v>56654</v>
      </c>
      <c r="F184" s="493">
        <v>4</v>
      </c>
      <c r="G184" s="439"/>
      <c r="H184" s="506"/>
    </row>
    <row r="185" spans="1:8" x14ac:dyDescent="0.2">
      <c r="A185" s="413" t="s">
        <v>1242</v>
      </c>
      <c r="B185" s="333" t="s">
        <v>305</v>
      </c>
      <c r="C185" s="430"/>
      <c r="D185" s="333"/>
      <c r="E185" s="333" t="s">
        <v>1920</v>
      </c>
      <c r="F185" s="493">
        <v>1</v>
      </c>
      <c r="G185" s="439"/>
      <c r="H185" s="506"/>
    </row>
    <row r="186" spans="1:8" x14ac:dyDescent="0.2">
      <c r="A186" s="413" t="s">
        <v>1171</v>
      </c>
      <c r="B186" s="333" t="s">
        <v>441</v>
      </c>
      <c r="C186" s="430"/>
      <c r="D186" s="333"/>
      <c r="E186" s="333" t="s">
        <v>1920</v>
      </c>
      <c r="F186" s="493">
        <v>1</v>
      </c>
      <c r="G186" s="439"/>
      <c r="H186" s="506"/>
    </row>
    <row r="187" spans="1:8" x14ac:dyDescent="0.2">
      <c r="A187" s="413" t="s">
        <v>1172</v>
      </c>
      <c r="B187" s="333" t="s">
        <v>340</v>
      </c>
      <c r="C187" s="430"/>
      <c r="D187" s="333"/>
      <c r="E187" s="333" t="s">
        <v>1920</v>
      </c>
      <c r="F187" s="493">
        <v>1</v>
      </c>
      <c r="G187" s="439"/>
      <c r="H187" s="506"/>
    </row>
    <row r="188" spans="1:8" x14ac:dyDescent="0.2">
      <c r="A188" s="413" t="s">
        <v>1241</v>
      </c>
      <c r="B188" s="333" t="s">
        <v>74</v>
      </c>
      <c r="C188" s="430"/>
      <c r="D188" s="333"/>
      <c r="E188" s="333" t="s">
        <v>1920</v>
      </c>
      <c r="F188" s="493">
        <v>1</v>
      </c>
      <c r="G188" s="439"/>
      <c r="H188" s="506"/>
    </row>
    <row r="189" spans="1:8" x14ac:dyDescent="0.2">
      <c r="A189" s="413" t="s">
        <v>1243</v>
      </c>
      <c r="B189" s="333" t="s">
        <v>307</v>
      </c>
      <c r="C189" s="430"/>
      <c r="D189" s="333"/>
      <c r="E189" s="333" t="s">
        <v>1920</v>
      </c>
      <c r="F189" s="493">
        <v>1</v>
      </c>
      <c r="G189" s="439"/>
      <c r="H189" s="506"/>
    </row>
    <row r="190" spans="1:8" x14ac:dyDescent="0.2">
      <c r="A190" s="413" t="s">
        <v>1240</v>
      </c>
      <c r="B190" s="333" t="s">
        <v>304</v>
      </c>
      <c r="C190" s="430"/>
      <c r="D190" s="333"/>
      <c r="E190" s="333" t="s">
        <v>1920</v>
      </c>
      <c r="F190" s="493">
        <v>1</v>
      </c>
      <c r="G190" s="439"/>
      <c r="H190" s="506"/>
    </row>
    <row r="191" spans="1:8" x14ac:dyDescent="0.2">
      <c r="A191" s="413" t="s">
        <v>2931</v>
      </c>
      <c r="B191" s="333" t="s">
        <v>1001</v>
      </c>
      <c r="C191" s="430"/>
      <c r="D191" s="333"/>
      <c r="E191" s="333" t="s">
        <v>1975</v>
      </c>
      <c r="F191" s="493">
        <v>1</v>
      </c>
      <c r="G191" s="439"/>
      <c r="H191" s="506"/>
    </row>
    <row r="192" spans="1:8" x14ac:dyDescent="0.2">
      <c r="A192" s="413" t="s">
        <v>1829</v>
      </c>
      <c r="B192" s="333" t="s">
        <v>1002</v>
      </c>
      <c r="C192" s="430"/>
      <c r="D192" s="333"/>
      <c r="E192" s="333" t="s">
        <v>1975</v>
      </c>
      <c r="F192" s="493">
        <v>1</v>
      </c>
      <c r="G192" s="439" t="s">
        <v>2217</v>
      </c>
      <c r="H192" s="506"/>
    </row>
    <row r="193" spans="1:8" x14ac:dyDescent="0.2">
      <c r="A193" s="413" t="s">
        <v>3136</v>
      </c>
      <c r="B193" s="333" t="s">
        <v>2920</v>
      </c>
      <c r="C193" s="430"/>
      <c r="D193" s="333"/>
      <c r="E193" s="333" t="s">
        <v>1975</v>
      </c>
      <c r="F193" s="493">
        <v>1</v>
      </c>
      <c r="G193" s="439"/>
      <c r="H193" s="506"/>
    </row>
    <row r="194" spans="1:8" x14ac:dyDescent="0.2">
      <c r="A194" s="413" t="s">
        <v>1123</v>
      </c>
      <c r="B194" s="333">
        <v>8130010</v>
      </c>
      <c r="C194" s="430"/>
      <c r="D194" s="333"/>
      <c r="E194" s="333" t="s">
        <v>1975</v>
      </c>
      <c r="F194" s="493">
        <v>2</v>
      </c>
      <c r="G194" s="439"/>
      <c r="H194" s="506"/>
    </row>
    <row r="195" spans="1:8" x14ac:dyDescent="0.2">
      <c r="A195" s="413" t="s">
        <v>1124</v>
      </c>
      <c r="B195" s="333">
        <v>8130015</v>
      </c>
      <c r="C195" s="430"/>
      <c r="D195" s="333"/>
      <c r="E195" s="333" t="s">
        <v>1975</v>
      </c>
      <c r="F195" s="493">
        <v>2</v>
      </c>
      <c r="G195" s="439"/>
      <c r="H195" s="506"/>
    </row>
    <row r="196" spans="1:8" x14ac:dyDescent="0.2">
      <c r="A196" s="413" t="s">
        <v>1125</v>
      </c>
      <c r="B196" s="333">
        <v>8130020</v>
      </c>
      <c r="C196" s="430"/>
      <c r="D196" s="333"/>
      <c r="E196" s="333" t="s">
        <v>1975</v>
      </c>
      <c r="F196" s="493">
        <v>3</v>
      </c>
      <c r="G196" s="439"/>
      <c r="H196" s="506"/>
    </row>
    <row r="197" spans="1:8" x14ac:dyDescent="0.2">
      <c r="A197" s="413" t="s">
        <v>1126</v>
      </c>
      <c r="B197" s="333">
        <v>8130025</v>
      </c>
      <c r="C197" s="430"/>
      <c r="D197" s="333"/>
      <c r="E197" s="333" t="s">
        <v>1975</v>
      </c>
      <c r="F197" s="493">
        <v>1</v>
      </c>
      <c r="G197" s="439"/>
      <c r="H197" s="506"/>
    </row>
    <row r="198" spans="1:8" x14ac:dyDescent="0.2">
      <c r="A198" s="413" t="s">
        <v>1127</v>
      </c>
      <c r="B198" s="333">
        <v>8130030</v>
      </c>
      <c r="C198" s="430"/>
      <c r="D198" s="333"/>
      <c r="E198" s="333" t="s">
        <v>1975</v>
      </c>
      <c r="F198" s="493">
        <v>3</v>
      </c>
      <c r="G198" s="439"/>
      <c r="H198" s="506"/>
    </row>
    <row r="199" spans="1:8" x14ac:dyDescent="0.2">
      <c r="A199" s="413" t="s">
        <v>1128</v>
      </c>
      <c r="B199" s="333">
        <v>8130040</v>
      </c>
      <c r="C199" s="430"/>
      <c r="D199" s="333"/>
      <c r="E199" s="333" t="s">
        <v>1975</v>
      </c>
      <c r="F199" s="493">
        <v>2</v>
      </c>
      <c r="G199" s="439"/>
      <c r="H199" s="506"/>
    </row>
    <row r="200" spans="1:8" x14ac:dyDescent="0.2">
      <c r="A200" s="413" t="s">
        <v>105</v>
      </c>
      <c r="B200" s="333" t="s">
        <v>2118</v>
      </c>
      <c r="C200" s="430"/>
      <c r="D200" s="333"/>
      <c r="E200" s="333" t="s">
        <v>1975</v>
      </c>
      <c r="F200" s="493">
        <v>1</v>
      </c>
      <c r="G200" s="439"/>
      <c r="H200" s="506"/>
    </row>
    <row r="201" spans="1:8" x14ac:dyDescent="0.2">
      <c r="A201" s="413" t="s">
        <v>1156</v>
      </c>
      <c r="B201" s="333" t="s">
        <v>2117</v>
      </c>
      <c r="C201" s="430"/>
      <c r="D201" s="333"/>
      <c r="E201" s="333" t="s">
        <v>1975</v>
      </c>
      <c r="F201" s="493">
        <v>3</v>
      </c>
      <c r="G201" s="439"/>
      <c r="H201" s="506"/>
    </row>
    <row r="202" spans="1:8" x14ac:dyDescent="0.2">
      <c r="A202" s="413" t="s">
        <v>1220</v>
      </c>
      <c r="B202" s="333" t="s">
        <v>291</v>
      </c>
      <c r="C202" s="430"/>
      <c r="D202" s="333"/>
      <c r="E202" s="333" t="s">
        <v>1920</v>
      </c>
      <c r="F202" s="493">
        <v>1</v>
      </c>
      <c r="G202" s="439"/>
      <c r="H202" s="506"/>
    </row>
    <row r="203" spans="1:8" x14ac:dyDescent="0.2">
      <c r="A203" s="413" t="s">
        <v>1229</v>
      </c>
      <c r="B203" s="333" t="s">
        <v>303</v>
      </c>
      <c r="C203" s="430"/>
      <c r="D203" s="333"/>
      <c r="E203" s="333" t="s">
        <v>1920</v>
      </c>
      <c r="F203" s="493">
        <v>1</v>
      </c>
      <c r="G203" s="439"/>
      <c r="H203" s="506"/>
    </row>
    <row r="204" spans="1:8" x14ac:dyDescent="0.2">
      <c r="A204" s="413" t="s">
        <v>1227</v>
      </c>
      <c r="B204" s="333" t="s">
        <v>301</v>
      </c>
      <c r="C204" s="430"/>
      <c r="D204" s="333"/>
      <c r="E204" s="333" t="s">
        <v>1920</v>
      </c>
      <c r="F204" s="493">
        <v>1</v>
      </c>
      <c r="G204" s="439"/>
      <c r="H204" s="506"/>
    </row>
    <row r="205" spans="1:8" x14ac:dyDescent="0.2">
      <c r="A205" s="413" t="s">
        <v>1222</v>
      </c>
      <c r="B205" s="333" t="s">
        <v>293</v>
      </c>
      <c r="C205" s="430"/>
      <c r="D205" s="333"/>
      <c r="E205" s="333" t="s">
        <v>1920</v>
      </c>
      <c r="F205" s="493">
        <v>1</v>
      </c>
      <c r="G205" s="439"/>
      <c r="H205" s="506"/>
    </row>
    <row r="206" spans="1:8" x14ac:dyDescent="0.2">
      <c r="A206" s="413" t="s">
        <v>1226</v>
      </c>
      <c r="B206" s="333" t="s">
        <v>299</v>
      </c>
      <c r="C206" s="430"/>
      <c r="D206" s="333"/>
      <c r="E206" s="333" t="s">
        <v>1920</v>
      </c>
      <c r="F206" s="493">
        <v>1</v>
      </c>
      <c r="G206" s="439"/>
      <c r="H206" s="506"/>
    </row>
    <row r="207" spans="1:8" x14ac:dyDescent="0.2">
      <c r="A207" s="413" t="s">
        <v>1223</v>
      </c>
      <c r="B207" s="333" t="s">
        <v>295</v>
      </c>
      <c r="C207" s="430"/>
      <c r="D207" s="333"/>
      <c r="E207" s="333" t="s">
        <v>1920</v>
      </c>
      <c r="F207" s="493">
        <v>1</v>
      </c>
      <c r="G207" s="439"/>
      <c r="H207" s="506"/>
    </row>
    <row r="208" spans="1:8" x14ac:dyDescent="0.2">
      <c r="A208" s="413" t="s">
        <v>1228</v>
      </c>
      <c r="B208" s="333" t="s">
        <v>489</v>
      </c>
      <c r="C208" s="430"/>
      <c r="D208" s="333"/>
      <c r="E208" s="333" t="s">
        <v>1920</v>
      </c>
      <c r="F208" s="493">
        <v>1</v>
      </c>
      <c r="G208" s="439"/>
      <c r="H208" s="506"/>
    </row>
    <row r="209" spans="1:8" x14ac:dyDescent="0.2">
      <c r="A209" s="413" t="s">
        <v>1225</v>
      </c>
      <c r="B209" s="333" t="s">
        <v>523</v>
      </c>
      <c r="C209" s="430"/>
      <c r="D209" s="333"/>
      <c r="E209" s="333" t="s">
        <v>1920</v>
      </c>
      <c r="F209" s="493">
        <v>1</v>
      </c>
      <c r="G209" s="439"/>
      <c r="H209" s="506"/>
    </row>
    <row r="210" spans="1:8" x14ac:dyDescent="0.2">
      <c r="A210" s="413" t="s">
        <v>83</v>
      </c>
      <c r="B210" s="333" t="s">
        <v>292</v>
      </c>
      <c r="C210" s="430"/>
      <c r="D210" s="333"/>
      <c r="E210" s="333" t="s">
        <v>1920</v>
      </c>
      <c r="F210" s="493">
        <v>1</v>
      </c>
      <c r="G210" s="439"/>
      <c r="H210" s="506"/>
    </row>
    <row r="211" spans="1:8" x14ac:dyDescent="0.2">
      <c r="A211" s="413" t="s">
        <v>1221</v>
      </c>
      <c r="B211" s="333" t="s">
        <v>248</v>
      </c>
      <c r="C211" s="430"/>
      <c r="D211" s="333"/>
      <c r="E211" s="333" t="s">
        <v>1920</v>
      </c>
      <c r="F211" s="493">
        <v>1</v>
      </c>
      <c r="G211" s="439"/>
      <c r="H211" s="506"/>
    </row>
    <row r="212" spans="1:8" x14ac:dyDescent="0.2">
      <c r="A212" s="413" t="s">
        <v>1165</v>
      </c>
      <c r="B212" s="333" t="s">
        <v>294</v>
      </c>
      <c r="C212" s="430"/>
      <c r="D212" s="333"/>
      <c r="E212" s="333" t="s">
        <v>1920</v>
      </c>
      <c r="F212" s="493">
        <v>1</v>
      </c>
      <c r="G212" s="439"/>
      <c r="H212" s="506"/>
    </row>
    <row r="213" spans="1:8" x14ac:dyDescent="0.2">
      <c r="A213" s="413" t="s">
        <v>1166</v>
      </c>
      <c r="B213" s="333" t="s">
        <v>437</v>
      </c>
      <c r="C213" s="430"/>
      <c r="D213" s="333"/>
      <c r="E213" s="333" t="s">
        <v>1920</v>
      </c>
      <c r="F213" s="493">
        <v>1</v>
      </c>
      <c r="G213" s="439"/>
      <c r="H213" s="506"/>
    </row>
    <row r="214" spans="1:8" x14ac:dyDescent="0.2">
      <c r="A214" s="413" t="s">
        <v>85</v>
      </c>
      <c r="B214" s="333" t="s">
        <v>113</v>
      </c>
      <c r="C214" s="430"/>
      <c r="D214" s="333"/>
      <c r="E214" s="333" t="s">
        <v>1920</v>
      </c>
      <c r="F214" s="493">
        <v>1</v>
      </c>
      <c r="G214" s="439"/>
      <c r="H214" s="506"/>
    </row>
    <row r="215" spans="1:8" x14ac:dyDescent="0.2">
      <c r="A215" s="413" t="s">
        <v>1168</v>
      </c>
      <c r="B215" s="333" t="s">
        <v>298</v>
      </c>
      <c r="C215" s="430"/>
      <c r="D215" s="333"/>
      <c r="E215" s="333" t="s">
        <v>1920</v>
      </c>
      <c r="F215" s="493">
        <v>1</v>
      </c>
      <c r="G215" s="439"/>
      <c r="H215" s="506"/>
    </row>
    <row r="216" spans="1:8" x14ac:dyDescent="0.2">
      <c r="A216" s="413" t="s">
        <v>1167</v>
      </c>
      <c r="B216" s="333" t="s">
        <v>296</v>
      </c>
      <c r="C216" s="430"/>
      <c r="D216" s="333"/>
      <c r="E216" s="333" t="s">
        <v>1920</v>
      </c>
      <c r="F216" s="493">
        <v>1</v>
      </c>
      <c r="G216" s="439"/>
      <c r="H216" s="506"/>
    </row>
    <row r="217" spans="1:8" x14ac:dyDescent="0.2">
      <c r="A217" s="413" t="s">
        <v>8</v>
      </c>
      <c r="B217" s="333" t="s">
        <v>256</v>
      </c>
      <c r="C217" s="430"/>
      <c r="D217" s="333"/>
      <c r="E217" s="333" t="s">
        <v>1920</v>
      </c>
      <c r="F217" s="493">
        <v>1</v>
      </c>
      <c r="G217" s="439"/>
      <c r="H217" s="506"/>
    </row>
    <row r="218" spans="1:8" x14ac:dyDescent="0.2">
      <c r="A218" s="413" t="s">
        <v>1150</v>
      </c>
      <c r="B218" s="333" t="s">
        <v>279</v>
      </c>
      <c r="C218" s="430"/>
      <c r="D218" s="333"/>
      <c r="E218" s="333" t="s">
        <v>1920</v>
      </c>
      <c r="F218" s="493">
        <v>1</v>
      </c>
      <c r="G218" s="439"/>
      <c r="H218" s="506"/>
    </row>
    <row r="219" spans="1:8" x14ac:dyDescent="0.2">
      <c r="A219" s="413" t="s">
        <v>9</v>
      </c>
      <c r="B219" s="333" t="s">
        <v>375</v>
      </c>
      <c r="C219" s="430"/>
      <c r="D219" s="333"/>
      <c r="E219" s="333" t="s">
        <v>1920</v>
      </c>
      <c r="F219" s="493">
        <v>1</v>
      </c>
      <c r="G219" s="439"/>
      <c r="H219" s="506"/>
    </row>
    <row r="220" spans="1:8" x14ac:dyDescent="0.2">
      <c r="A220" s="413" t="s">
        <v>1177</v>
      </c>
      <c r="B220" s="333">
        <v>57213</v>
      </c>
      <c r="C220" s="430"/>
      <c r="D220" s="333"/>
      <c r="E220" s="333">
        <v>25795</v>
      </c>
      <c r="F220" s="493">
        <v>1</v>
      </c>
      <c r="G220" s="439" t="s">
        <v>2217</v>
      </c>
      <c r="H220" s="506"/>
    </row>
    <row r="221" spans="1:8" x14ac:dyDescent="0.2">
      <c r="A221" s="413" t="s">
        <v>30</v>
      </c>
      <c r="B221" s="333" t="s">
        <v>1825</v>
      </c>
      <c r="C221" s="430"/>
      <c r="D221" s="333"/>
      <c r="E221" s="333" t="s">
        <v>1920</v>
      </c>
      <c r="F221" s="493">
        <v>2</v>
      </c>
      <c r="G221" s="439"/>
      <c r="H221" s="506"/>
    </row>
    <row r="222" spans="1:8" x14ac:dyDescent="0.2">
      <c r="A222" s="413" t="s">
        <v>29</v>
      </c>
      <c r="B222" s="333" t="s">
        <v>2758</v>
      </c>
      <c r="C222" s="430"/>
      <c r="D222" s="333"/>
      <c r="E222" s="333" t="s">
        <v>1920</v>
      </c>
      <c r="F222" s="493">
        <v>1</v>
      </c>
      <c r="G222" s="439"/>
      <c r="H222" s="506"/>
    </row>
    <row r="223" spans="1:8" x14ac:dyDescent="0.2">
      <c r="A223" s="413" t="s">
        <v>984</v>
      </c>
      <c r="B223" s="333" t="s">
        <v>289</v>
      </c>
      <c r="C223" s="430"/>
      <c r="D223" s="333"/>
      <c r="E223" s="333" t="s">
        <v>1920</v>
      </c>
      <c r="F223" s="493">
        <v>1</v>
      </c>
      <c r="G223" s="439"/>
      <c r="H223" s="506"/>
    </row>
    <row r="224" spans="1:8" x14ac:dyDescent="0.2">
      <c r="A224" s="413" t="s">
        <v>1239</v>
      </c>
      <c r="B224" s="333" t="s">
        <v>1839</v>
      </c>
      <c r="C224" s="430"/>
      <c r="D224" s="333"/>
      <c r="E224" s="333" t="s">
        <v>1920</v>
      </c>
      <c r="F224" s="493">
        <v>1</v>
      </c>
      <c r="G224" s="439"/>
      <c r="H224" s="506"/>
    </row>
    <row r="225" spans="1:8" x14ac:dyDescent="0.2">
      <c r="A225" s="413" t="s">
        <v>1233</v>
      </c>
      <c r="B225" s="333" t="s">
        <v>1824</v>
      </c>
      <c r="C225" s="430"/>
      <c r="D225" s="333"/>
      <c r="E225" s="333" t="s">
        <v>1920</v>
      </c>
      <c r="F225" s="493">
        <v>1</v>
      </c>
      <c r="G225" s="439"/>
      <c r="H225" s="506"/>
    </row>
    <row r="226" spans="1:8" x14ac:dyDescent="0.2">
      <c r="A226" s="413" t="s">
        <v>1170</v>
      </c>
      <c r="B226" s="333" t="s">
        <v>677</v>
      </c>
      <c r="C226" s="430"/>
      <c r="D226" s="333"/>
      <c r="E226" s="333" t="s">
        <v>1920</v>
      </c>
      <c r="F226" s="493">
        <v>1</v>
      </c>
      <c r="G226" s="439"/>
      <c r="H226" s="506"/>
    </row>
    <row r="227" spans="1:8" x14ac:dyDescent="0.2">
      <c r="A227" s="413" t="s">
        <v>339</v>
      </c>
      <c r="B227" s="333" t="s">
        <v>674</v>
      </c>
      <c r="C227" s="430"/>
      <c r="D227" s="333"/>
      <c r="E227" s="333" t="s">
        <v>1920</v>
      </c>
      <c r="F227" s="493">
        <v>1</v>
      </c>
      <c r="G227" s="439"/>
      <c r="H227" s="506"/>
    </row>
    <row r="228" spans="1:8" x14ac:dyDescent="0.2">
      <c r="A228" s="413" t="s">
        <v>1230</v>
      </c>
      <c r="B228" s="333" t="s">
        <v>584</v>
      </c>
      <c r="C228" s="430"/>
      <c r="D228" s="333"/>
      <c r="E228" s="333" t="s">
        <v>1920</v>
      </c>
      <c r="F228" s="493">
        <v>1</v>
      </c>
      <c r="G228" s="439"/>
      <c r="H228" s="506"/>
    </row>
    <row r="229" spans="1:8" x14ac:dyDescent="0.2">
      <c r="A229" s="413" t="s">
        <v>1046</v>
      </c>
      <c r="B229" s="333" t="s">
        <v>31</v>
      </c>
      <c r="C229" s="430"/>
      <c r="D229" s="333"/>
      <c r="E229" s="333" t="s">
        <v>1920</v>
      </c>
      <c r="F229" s="493">
        <v>1</v>
      </c>
      <c r="G229" s="439"/>
      <c r="H229" s="506"/>
    </row>
    <row r="230" spans="1:8" x14ac:dyDescent="0.2">
      <c r="A230" s="413" t="s">
        <v>1236</v>
      </c>
      <c r="B230" s="333" t="s">
        <v>77</v>
      </c>
      <c r="C230" s="430"/>
      <c r="D230" s="333"/>
      <c r="E230" s="333" t="s">
        <v>1920</v>
      </c>
      <c r="F230" s="493">
        <v>1</v>
      </c>
      <c r="G230" s="439"/>
      <c r="H230" s="506"/>
    </row>
    <row r="231" spans="1:8" x14ac:dyDescent="0.2">
      <c r="A231" s="413" t="s">
        <v>1235</v>
      </c>
      <c r="B231" s="333" t="s">
        <v>78</v>
      </c>
      <c r="C231" s="430"/>
      <c r="D231" s="333"/>
      <c r="E231" s="333" t="s">
        <v>1920</v>
      </c>
      <c r="F231" s="493">
        <v>1</v>
      </c>
      <c r="G231" s="439"/>
      <c r="H231" s="506"/>
    </row>
    <row r="232" spans="1:8" x14ac:dyDescent="0.2">
      <c r="A232" s="413" t="s">
        <v>1237</v>
      </c>
      <c r="B232" s="333" t="s">
        <v>306</v>
      </c>
      <c r="C232" s="430"/>
      <c r="D232" s="333"/>
      <c r="E232" s="333" t="s">
        <v>1920</v>
      </c>
      <c r="F232" s="493">
        <v>1</v>
      </c>
      <c r="G232" s="439"/>
      <c r="H232" s="506"/>
    </row>
    <row r="233" spans="1:8" x14ac:dyDescent="0.2">
      <c r="A233" s="413" t="s">
        <v>1169</v>
      </c>
      <c r="B233" s="333" t="s">
        <v>436</v>
      </c>
      <c r="C233" s="430"/>
      <c r="D233" s="333"/>
      <c r="E233" s="333" t="s">
        <v>1920</v>
      </c>
      <c r="F233" s="493">
        <v>1</v>
      </c>
      <c r="G233" s="439"/>
      <c r="H233" s="506"/>
    </row>
    <row r="234" spans="1:8" x14ac:dyDescent="0.2">
      <c r="A234" s="413" t="s">
        <v>1234</v>
      </c>
      <c r="B234" s="333" t="s">
        <v>73</v>
      </c>
      <c r="C234" s="430"/>
      <c r="D234" s="333"/>
      <c r="E234" s="333" t="s">
        <v>1920</v>
      </c>
      <c r="F234" s="493">
        <v>1</v>
      </c>
      <c r="G234" s="439"/>
      <c r="H234" s="506"/>
    </row>
    <row r="235" spans="1:8" x14ac:dyDescent="0.2">
      <c r="A235" s="413" t="s">
        <v>1238</v>
      </c>
      <c r="B235" s="333" t="s">
        <v>75</v>
      </c>
      <c r="C235" s="430"/>
      <c r="D235" s="333"/>
      <c r="E235" s="333" t="s">
        <v>1920</v>
      </c>
      <c r="F235" s="493">
        <v>1</v>
      </c>
      <c r="G235" s="439"/>
      <c r="H235" s="506"/>
    </row>
    <row r="236" spans="1:8" x14ac:dyDescent="0.2">
      <c r="A236" s="413" t="s">
        <v>1232</v>
      </c>
      <c r="B236" s="333" t="s">
        <v>76</v>
      </c>
      <c r="C236" s="430"/>
      <c r="D236" s="333"/>
      <c r="E236" s="333" t="s">
        <v>1920</v>
      </c>
      <c r="F236" s="493">
        <v>1</v>
      </c>
      <c r="G236" s="439"/>
      <c r="H236" s="506"/>
    </row>
    <row r="237" spans="1:8" x14ac:dyDescent="0.2">
      <c r="A237" s="413" t="s">
        <v>1231</v>
      </c>
      <c r="B237" s="333" t="s">
        <v>667</v>
      </c>
      <c r="C237" s="430"/>
      <c r="D237" s="333"/>
      <c r="E237" s="333" t="s">
        <v>1920</v>
      </c>
      <c r="F237" s="493">
        <v>1</v>
      </c>
      <c r="G237" s="439"/>
      <c r="H237" s="506"/>
    </row>
    <row r="238" spans="1:8" x14ac:dyDescent="0.2">
      <c r="A238" s="413" t="s">
        <v>1025</v>
      </c>
      <c r="B238" s="333" t="s">
        <v>467</v>
      </c>
      <c r="C238" s="430"/>
      <c r="D238" s="333"/>
      <c r="E238" s="333" t="s">
        <v>1920</v>
      </c>
      <c r="F238" s="493">
        <v>1</v>
      </c>
      <c r="G238" s="439"/>
      <c r="H238" s="506"/>
    </row>
    <row r="239" spans="1:8" x14ac:dyDescent="0.2">
      <c r="A239" s="413" t="s">
        <v>15</v>
      </c>
      <c r="B239" s="333" t="s">
        <v>380</v>
      </c>
      <c r="C239" s="430"/>
      <c r="D239" s="333"/>
      <c r="E239" s="333" t="s">
        <v>1920</v>
      </c>
      <c r="F239" s="493">
        <v>1</v>
      </c>
      <c r="G239" s="439"/>
      <c r="H239" s="506"/>
    </row>
    <row r="240" spans="1:8" x14ac:dyDescent="0.2">
      <c r="A240" s="413" t="s">
        <v>394</v>
      </c>
      <c r="B240" s="333" t="s">
        <v>396</v>
      </c>
      <c r="C240" s="430"/>
      <c r="D240" s="333"/>
      <c r="E240" s="333" t="s">
        <v>1920</v>
      </c>
      <c r="F240" s="493">
        <v>1</v>
      </c>
      <c r="G240" s="439"/>
      <c r="H240" s="506"/>
    </row>
    <row r="241" spans="1:8" x14ac:dyDescent="0.2">
      <c r="A241" s="413" t="s">
        <v>395</v>
      </c>
      <c r="B241" s="333" t="s">
        <v>398</v>
      </c>
      <c r="C241" s="430"/>
      <c r="D241" s="333"/>
      <c r="E241" s="333" t="s">
        <v>1920</v>
      </c>
      <c r="F241" s="493">
        <v>1</v>
      </c>
      <c r="G241" s="439"/>
      <c r="H241" s="506"/>
    </row>
    <row r="242" spans="1:8" x14ac:dyDescent="0.2">
      <c r="A242" s="413" t="s">
        <v>37</v>
      </c>
      <c r="B242" s="333" t="s">
        <v>38</v>
      </c>
      <c r="C242" s="430"/>
      <c r="D242" s="333"/>
      <c r="E242" s="333" t="s">
        <v>1920</v>
      </c>
      <c r="F242" s="493">
        <v>1</v>
      </c>
      <c r="G242" s="439"/>
      <c r="H242" s="506"/>
    </row>
    <row r="243" spans="1:8" x14ac:dyDescent="0.2">
      <c r="A243" s="413" t="s">
        <v>1254</v>
      </c>
      <c r="B243" s="333" t="s">
        <v>563</v>
      </c>
      <c r="C243" s="430"/>
      <c r="D243" s="333"/>
      <c r="E243" s="333" t="s">
        <v>1920</v>
      </c>
      <c r="F243" s="493">
        <v>1</v>
      </c>
      <c r="G243" s="439"/>
      <c r="H243" s="506"/>
    </row>
    <row r="244" spans="1:8" x14ac:dyDescent="0.2">
      <c r="A244" s="413" t="s">
        <v>109</v>
      </c>
      <c r="B244" s="333" t="s">
        <v>110</v>
      </c>
      <c r="C244" s="430"/>
      <c r="D244" s="333"/>
      <c r="E244" s="333" t="s">
        <v>1920</v>
      </c>
      <c r="F244" s="493">
        <v>1</v>
      </c>
      <c r="G244" s="439"/>
      <c r="H244" s="506"/>
    </row>
    <row r="245" spans="1:8" x14ac:dyDescent="0.2">
      <c r="A245" s="413" t="s">
        <v>1036</v>
      </c>
      <c r="B245" s="333" t="s">
        <v>468</v>
      </c>
      <c r="C245" s="430"/>
      <c r="D245" s="333"/>
      <c r="E245" s="333" t="s">
        <v>1920</v>
      </c>
      <c r="F245" s="493">
        <v>1</v>
      </c>
      <c r="G245" s="439"/>
      <c r="H245" s="506"/>
    </row>
    <row r="246" spans="1:8" x14ac:dyDescent="0.2">
      <c r="A246" s="413" t="s">
        <v>10</v>
      </c>
      <c r="B246" s="333" t="s">
        <v>469</v>
      </c>
      <c r="C246" s="430"/>
      <c r="D246" s="333"/>
      <c r="E246" s="333" t="s">
        <v>1920</v>
      </c>
      <c r="F246" s="493">
        <v>1</v>
      </c>
      <c r="G246" s="439"/>
      <c r="H246" s="506"/>
    </row>
    <row r="247" spans="1:8" x14ac:dyDescent="0.2">
      <c r="A247" s="413" t="s">
        <v>1151</v>
      </c>
      <c r="B247" s="333" t="s">
        <v>277</v>
      </c>
      <c r="C247" s="430"/>
      <c r="D247" s="333"/>
      <c r="E247" s="333" t="s">
        <v>1920</v>
      </c>
      <c r="F247" s="493">
        <v>1</v>
      </c>
      <c r="G247" s="439"/>
      <c r="H247" s="506"/>
    </row>
    <row r="248" spans="1:8" x14ac:dyDescent="0.2">
      <c r="A248" s="413" t="s">
        <v>1159</v>
      </c>
      <c r="B248" s="333" t="s">
        <v>282</v>
      </c>
      <c r="C248" s="430"/>
      <c r="D248" s="333"/>
      <c r="E248" s="333" t="s">
        <v>1920</v>
      </c>
      <c r="F248" s="493">
        <v>1</v>
      </c>
      <c r="G248" s="439"/>
      <c r="H248" s="506"/>
    </row>
    <row r="249" spans="1:8" x14ac:dyDescent="0.2">
      <c r="A249" s="413" t="s">
        <v>122</v>
      </c>
      <c r="B249" s="333" t="s">
        <v>123</v>
      </c>
      <c r="C249" s="430"/>
      <c r="D249" s="333"/>
      <c r="E249" s="333" t="s">
        <v>1920</v>
      </c>
      <c r="F249" s="493">
        <v>1</v>
      </c>
      <c r="G249" s="439"/>
      <c r="H249" s="506"/>
    </row>
    <row r="250" spans="1:8" x14ac:dyDescent="0.2">
      <c r="A250" s="413" t="s">
        <v>125</v>
      </c>
      <c r="B250" s="333" t="s">
        <v>567</v>
      </c>
      <c r="C250" s="430"/>
      <c r="D250" s="333"/>
      <c r="E250" s="333" t="s">
        <v>1920</v>
      </c>
      <c r="F250" s="493">
        <v>1</v>
      </c>
      <c r="G250" s="439"/>
      <c r="H250" s="506"/>
    </row>
    <row r="251" spans="1:8" x14ac:dyDescent="0.2">
      <c r="A251" s="413" t="s">
        <v>121</v>
      </c>
      <c r="B251" s="333" t="s">
        <v>564</v>
      </c>
      <c r="C251" s="430"/>
      <c r="D251" s="333"/>
      <c r="E251" s="333" t="s">
        <v>1920</v>
      </c>
      <c r="F251" s="493">
        <v>1</v>
      </c>
      <c r="G251" s="439"/>
      <c r="H251" s="506"/>
    </row>
    <row r="252" spans="1:8" x14ac:dyDescent="0.2">
      <c r="A252" s="413" t="s">
        <v>222</v>
      </c>
      <c r="B252" s="333" t="s">
        <v>566</v>
      </c>
      <c r="C252" s="430"/>
      <c r="D252" s="333"/>
      <c r="E252" s="333" t="s">
        <v>1920</v>
      </c>
      <c r="F252" s="493">
        <v>1</v>
      </c>
      <c r="G252" s="439"/>
      <c r="H252" s="506"/>
    </row>
    <row r="253" spans="1:8" x14ac:dyDescent="0.2">
      <c r="A253" s="413" t="s">
        <v>124</v>
      </c>
      <c r="B253" s="333" t="s">
        <v>565</v>
      </c>
      <c r="C253" s="430"/>
      <c r="D253" s="333"/>
      <c r="E253" s="333" t="s">
        <v>1920</v>
      </c>
      <c r="F253" s="493">
        <v>1</v>
      </c>
      <c r="G253" s="439"/>
      <c r="H253" s="506"/>
    </row>
    <row r="254" spans="1:8" x14ac:dyDescent="0.2">
      <c r="A254" s="413" t="s">
        <v>343</v>
      </c>
      <c r="B254" s="333" t="s">
        <v>221</v>
      </c>
      <c r="C254" s="430"/>
      <c r="D254" s="333"/>
      <c r="E254" s="333" t="s">
        <v>1920</v>
      </c>
      <c r="F254" s="493">
        <v>1</v>
      </c>
      <c r="G254" s="439"/>
      <c r="H254" s="506"/>
    </row>
    <row r="255" spans="1:8" x14ac:dyDescent="0.2">
      <c r="A255" s="413" t="s">
        <v>1215</v>
      </c>
      <c r="B255" s="333" t="s">
        <v>286</v>
      </c>
      <c r="C255" s="430"/>
      <c r="D255" s="333"/>
      <c r="E255" s="333" t="s">
        <v>1920</v>
      </c>
      <c r="F255" s="493">
        <v>1</v>
      </c>
      <c r="G255" s="439"/>
      <c r="H255" s="506"/>
    </row>
    <row r="256" spans="1:8" x14ac:dyDescent="0.2">
      <c r="A256" s="413" t="s">
        <v>1202</v>
      </c>
      <c r="B256" s="333" t="s">
        <v>998</v>
      </c>
      <c r="C256" s="430"/>
      <c r="D256" s="333"/>
      <c r="E256" s="333" t="s">
        <v>1920</v>
      </c>
      <c r="F256" s="493">
        <v>1</v>
      </c>
      <c r="G256" s="439"/>
      <c r="H256" s="506"/>
    </row>
    <row r="257" spans="1:8" x14ac:dyDescent="0.2">
      <c r="A257" s="413" t="s">
        <v>1255</v>
      </c>
      <c r="B257" s="333" t="s">
        <v>679</v>
      </c>
      <c r="C257" s="430"/>
      <c r="D257" s="333"/>
      <c r="E257" s="333" t="s">
        <v>1920</v>
      </c>
      <c r="F257" s="493">
        <v>1</v>
      </c>
      <c r="G257" s="439"/>
      <c r="H257" s="506"/>
    </row>
    <row r="258" spans="1:8" x14ac:dyDescent="0.2">
      <c r="A258" s="413" t="s">
        <v>1178</v>
      </c>
      <c r="B258" s="333" t="s">
        <v>678</v>
      </c>
      <c r="C258" s="430"/>
      <c r="D258" s="333"/>
      <c r="E258" s="333" t="s">
        <v>1920</v>
      </c>
      <c r="F258" s="493">
        <v>1</v>
      </c>
      <c r="G258" s="439"/>
      <c r="H258" s="506"/>
    </row>
    <row r="259" spans="1:8" x14ac:dyDescent="0.2">
      <c r="A259" s="413" t="s">
        <v>1179</v>
      </c>
      <c r="B259" s="333" t="s">
        <v>117</v>
      </c>
      <c r="C259" s="430"/>
      <c r="D259" s="333"/>
      <c r="E259" s="333" t="s">
        <v>1920</v>
      </c>
      <c r="F259" s="493">
        <v>1</v>
      </c>
      <c r="G259" s="439"/>
      <c r="H259" s="506"/>
    </row>
    <row r="260" spans="1:8" x14ac:dyDescent="0.2">
      <c r="A260" s="413" t="s">
        <v>20</v>
      </c>
      <c r="B260" s="333" t="s">
        <v>287</v>
      </c>
      <c r="C260" s="430"/>
      <c r="D260" s="333"/>
      <c r="E260" s="333" t="s">
        <v>1920</v>
      </c>
      <c r="F260" s="493">
        <v>2</v>
      </c>
      <c r="G260" s="439"/>
      <c r="H260" s="506"/>
    </row>
    <row r="261" spans="1:8" x14ac:dyDescent="0.2">
      <c r="A261" s="413" t="s">
        <v>13</v>
      </c>
      <c r="B261" s="333" t="s">
        <v>471</v>
      </c>
      <c r="C261" s="430"/>
      <c r="D261" s="333"/>
      <c r="E261" s="333" t="s">
        <v>1920</v>
      </c>
      <c r="F261" s="493">
        <v>1</v>
      </c>
      <c r="G261" s="439"/>
      <c r="H261" s="506"/>
    </row>
    <row r="262" spans="1:8" ht="15.75" x14ac:dyDescent="0.25">
      <c r="A262" s="413" t="s">
        <v>5</v>
      </c>
      <c r="B262" s="333" t="s">
        <v>466</v>
      </c>
      <c r="C262" s="703"/>
      <c r="D262" s="333"/>
      <c r="E262" s="333" t="s">
        <v>1920</v>
      </c>
      <c r="F262" s="493">
        <v>1</v>
      </c>
      <c r="G262" s="439"/>
      <c r="H262" s="506"/>
    </row>
    <row r="263" spans="1:8" x14ac:dyDescent="0.2">
      <c r="A263" s="413" t="s">
        <v>209</v>
      </c>
      <c r="B263" s="333" t="s">
        <v>210</v>
      </c>
      <c r="C263" s="430"/>
      <c r="D263" s="333"/>
      <c r="E263" s="333" t="s">
        <v>1920</v>
      </c>
      <c r="F263" s="493">
        <v>1</v>
      </c>
      <c r="G263" s="439"/>
      <c r="H263" s="506"/>
    </row>
    <row r="264" spans="1:8" x14ac:dyDescent="0.2">
      <c r="A264" s="413" t="s">
        <v>11</v>
      </c>
      <c r="B264" s="333" t="s">
        <v>278</v>
      </c>
      <c r="C264" s="430"/>
      <c r="D264" s="333"/>
      <c r="E264" s="333" t="s">
        <v>1920</v>
      </c>
      <c r="F264" s="493">
        <v>1</v>
      </c>
      <c r="G264" s="439"/>
      <c r="H264" s="506"/>
    </row>
    <row r="265" spans="1:8" x14ac:dyDescent="0.2">
      <c r="A265" s="413" t="s">
        <v>12</v>
      </c>
      <c r="B265" s="333" t="s">
        <v>171</v>
      </c>
      <c r="C265" s="430"/>
      <c r="D265" s="333"/>
      <c r="E265" s="333" t="s">
        <v>1920</v>
      </c>
      <c r="F265" s="493">
        <v>1</v>
      </c>
      <c r="G265" s="439"/>
      <c r="H265" s="506"/>
    </row>
    <row r="266" spans="1:8" x14ac:dyDescent="0.2">
      <c r="A266" s="413" t="s">
        <v>3258</v>
      </c>
      <c r="B266" s="333" t="s">
        <v>889</v>
      </c>
      <c r="C266" s="430"/>
      <c r="D266" s="333"/>
      <c r="E266" s="333" t="s">
        <v>1920</v>
      </c>
      <c r="F266" s="493">
        <v>1</v>
      </c>
      <c r="G266" s="439"/>
      <c r="H266" s="506"/>
    </row>
    <row r="267" spans="1:8" x14ac:dyDescent="0.2">
      <c r="A267" s="413" t="s">
        <v>1662</v>
      </c>
      <c r="B267" s="333" t="s">
        <v>668</v>
      </c>
      <c r="C267" s="430"/>
      <c r="D267" s="333"/>
      <c r="E267" s="333" t="s">
        <v>1920</v>
      </c>
      <c r="F267" s="493">
        <v>1</v>
      </c>
      <c r="G267" s="439"/>
      <c r="H267" s="506"/>
    </row>
    <row r="268" spans="1:8" x14ac:dyDescent="0.2">
      <c r="A268" s="413" t="s">
        <v>1163</v>
      </c>
      <c r="B268" s="333" t="s">
        <v>562</v>
      </c>
      <c r="C268" s="430"/>
      <c r="D268" s="333"/>
      <c r="E268" s="333" t="s">
        <v>1920</v>
      </c>
      <c r="F268" s="493">
        <v>1</v>
      </c>
      <c r="G268" s="439"/>
      <c r="H268" s="506"/>
    </row>
    <row r="269" spans="1:8" x14ac:dyDescent="0.2">
      <c r="A269" s="415" t="s">
        <v>410</v>
      </c>
      <c r="B269" s="416" t="s">
        <v>411</v>
      </c>
      <c r="C269" s="430"/>
      <c r="D269" s="416"/>
      <c r="E269" s="416" t="s">
        <v>1920</v>
      </c>
      <c r="F269" s="505">
        <v>1</v>
      </c>
      <c r="G269" s="439"/>
      <c r="H269" s="506"/>
    </row>
    <row r="270" spans="1:8" x14ac:dyDescent="0.2">
      <c r="A270" s="415" t="s">
        <v>1216</v>
      </c>
      <c r="B270" s="416" t="s">
        <v>481</v>
      </c>
      <c r="C270" s="430"/>
      <c r="D270" s="416"/>
      <c r="E270" s="416" t="s">
        <v>1920</v>
      </c>
      <c r="F270" s="505">
        <v>1</v>
      </c>
      <c r="G270" s="439"/>
      <c r="H270" s="506"/>
    </row>
    <row r="271" spans="1:8" x14ac:dyDescent="0.2">
      <c r="A271" s="415" t="s">
        <v>1085</v>
      </c>
      <c r="B271" s="416" t="s">
        <v>933</v>
      </c>
      <c r="C271" s="430"/>
      <c r="D271" s="416"/>
      <c r="E271" s="416" t="s">
        <v>1920</v>
      </c>
      <c r="F271" s="505">
        <v>2</v>
      </c>
      <c r="G271" s="439"/>
      <c r="H271" s="506"/>
    </row>
    <row r="272" spans="1:8" x14ac:dyDescent="0.2">
      <c r="A272" s="415" t="s">
        <v>4</v>
      </c>
      <c r="B272" s="416" t="s">
        <v>90</v>
      </c>
      <c r="C272" s="430"/>
      <c r="D272" s="416"/>
      <c r="E272" s="416" t="s">
        <v>1920</v>
      </c>
      <c r="F272" s="505">
        <v>1</v>
      </c>
      <c r="G272" s="439"/>
      <c r="H272" s="506"/>
    </row>
    <row r="273" spans="1:8" x14ac:dyDescent="0.2">
      <c r="A273" s="413" t="s">
        <v>839</v>
      </c>
      <c r="B273" s="333" t="s">
        <v>1995</v>
      </c>
      <c r="C273" s="430"/>
      <c r="D273" s="333"/>
      <c r="E273" s="333" t="s">
        <v>1920</v>
      </c>
      <c r="F273" s="493">
        <v>1</v>
      </c>
      <c r="G273" s="439"/>
      <c r="H273" s="506"/>
    </row>
    <row r="275" spans="1:8" x14ac:dyDescent="0.2">
      <c r="B275" s="84"/>
      <c r="C275" s="84"/>
      <c r="D275" s="84"/>
      <c r="E275" s="84"/>
    </row>
    <row r="276" spans="1:8" s="219" customFormat="1" ht="18" x14ac:dyDescent="0.25">
      <c r="A276" s="507" t="s">
        <v>1785</v>
      </c>
      <c r="B276" s="425"/>
      <c r="C276" s="309"/>
      <c r="D276" s="309"/>
      <c r="E276" s="309"/>
      <c r="F276" s="309"/>
      <c r="G276" s="310"/>
    </row>
    <row r="277" spans="1:8" s="219" customFormat="1" ht="18" x14ac:dyDescent="0.25">
      <c r="A277" s="507" t="s">
        <v>2994</v>
      </c>
      <c r="B277" s="425"/>
      <c r="C277" s="309"/>
      <c r="G277" s="310"/>
    </row>
    <row r="278" spans="1:8" ht="18" x14ac:dyDescent="0.25">
      <c r="A278" s="508" t="s">
        <v>3318</v>
      </c>
      <c r="B278" s="267"/>
    </row>
    <row r="279" spans="1:8" ht="18" x14ac:dyDescent="0.25">
      <c r="A279" s="434" t="s">
        <v>3367</v>
      </c>
      <c r="B279" s="420"/>
    </row>
  </sheetData>
  <pageMargins left="0.7" right="0.7" top="0.75" bottom="0.75" header="0.3" footer="0.3"/>
  <pageSetup scale="81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7"/>
  <sheetViews>
    <sheetView workbookViewId="0">
      <pane ySplit="1" topLeftCell="A2" activePane="bottomLeft" state="frozen"/>
      <selection activeCell="C26" sqref="C26"/>
      <selection pane="bottomLeft" activeCell="C1" sqref="C1:C1048576"/>
    </sheetView>
  </sheetViews>
  <sheetFormatPr defaultColWidth="9.140625" defaultRowHeight="15" x14ac:dyDescent="0.2"/>
  <cols>
    <col min="1" max="1" width="61.5703125" style="7" bestFit="1" customWidth="1"/>
    <col min="2" max="2" width="14.42578125" style="403" bestFit="1" customWidth="1"/>
    <col min="3" max="3" width="20.42578125" style="403" bestFit="1" customWidth="1"/>
    <col min="4" max="4" width="20.140625" style="72" bestFit="1" customWidth="1"/>
    <col min="5" max="5" width="12.42578125" style="72" bestFit="1" customWidth="1"/>
    <col min="6" max="6" width="10" style="72" bestFit="1" customWidth="1"/>
    <col min="7" max="7" width="11.42578125" style="72" bestFit="1" customWidth="1"/>
    <col min="8" max="8" width="16.85546875" style="7" bestFit="1" customWidth="1"/>
    <col min="9" max="16384" width="9.140625" style="7"/>
  </cols>
  <sheetData>
    <row r="1" spans="1:8" ht="15.75" x14ac:dyDescent="0.25">
      <c r="A1" s="93" t="s">
        <v>0</v>
      </c>
      <c r="B1" s="91" t="s">
        <v>1</v>
      </c>
      <c r="C1" s="367" t="s">
        <v>3373</v>
      </c>
      <c r="D1" s="22" t="s">
        <v>1872</v>
      </c>
      <c r="E1" s="22" t="s">
        <v>1873</v>
      </c>
      <c r="F1" s="93" t="s">
        <v>412</v>
      </c>
      <c r="G1" s="441" t="s">
        <v>3368</v>
      </c>
      <c r="H1" s="418" t="s">
        <v>3369</v>
      </c>
    </row>
    <row r="2" spans="1:8" x14ac:dyDescent="0.2">
      <c r="A2" s="46" t="s">
        <v>17</v>
      </c>
      <c r="B2" s="44" t="s">
        <v>407</v>
      </c>
      <c r="C2" s="430"/>
      <c r="D2" s="44"/>
      <c r="E2" s="44" t="s">
        <v>1920</v>
      </c>
      <c r="F2" s="18">
        <v>1</v>
      </c>
      <c r="G2" s="503"/>
      <c r="H2" s="504"/>
    </row>
    <row r="4" spans="1:8" s="4" customFormat="1" ht="18" x14ac:dyDescent="0.25">
      <c r="A4" s="422" t="s">
        <v>1784</v>
      </c>
      <c r="B4" s="425"/>
      <c r="C4" s="309"/>
      <c r="D4" s="3"/>
      <c r="E4" s="3"/>
      <c r="F4" s="3"/>
      <c r="G4" s="3"/>
    </row>
    <row r="5" spans="1:8" s="4" customFormat="1" ht="18" x14ac:dyDescent="0.25">
      <c r="A5" s="422" t="s">
        <v>2993</v>
      </c>
      <c r="B5" s="425"/>
      <c r="C5" s="309"/>
      <c r="D5" s="3"/>
      <c r="E5" s="3"/>
      <c r="F5" s="3"/>
      <c r="G5" s="3"/>
    </row>
    <row r="6" spans="1:8" ht="18" x14ac:dyDescent="0.25">
      <c r="A6" s="491" t="s">
        <v>3338</v>
      </c>
      <c r="B6" s="44"/>
    </row>
    <row r="7" spans="1:8" ht="18" x14ac:dyDescent="0.25">
      <c r="A7" s="434" t="s">
        <v>3367</v>
      </c>
      <c r="B7" s="420"/>
    </row>
  </sheetData>
  <pageMargins left="0.7" right="0.7" top="0.75" bottom="0.75" header="0.3" footer="0.3"/>
  <pageSetup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87"/>
  <sheetViews>
    <sheetView workbookViewId="0">
      <pane ySplit="1" topLeftCell="A51" activePane="bottomLeft" state="frozen"/>
      <selection activeCell="C26" sqref="C26"/>
      <selection pane="bottomLeft" activeCell="F2" sqref="F2:F82"/>
    </sheetView>
  </sheetViews>
  <sheetFormatPr defaultColWidth="19" defaultRowHeight="15" x14ac:dyDescent="0.2"/>
  <cols>
    <col min="1" max="1" width="63.85546875" style="119" bestFit="1" customWidth="1"/>
    <col min="2" max="2" width="16.42578125" style="85" bestFit="1" customWidth="1"/>
    <col min="3" max="3" width="20.42578125" style="85" bestFit="1" customWidth="1"/>
    <col min="4" max="4" width="20.140625" style="85" bestFit="1" customWidth="1"/>
    <col min="5" max="5" width="12.42578125" style="85" bestFit="1" customWidth="1"/>
    <col min="6" max="6" width="10" style="119" bestFit="1" customWidth="1"/>
    <col min="7" max="7" width="11.42578125" style="119" bestFit="1" customWidth="1"/>
    <col min="8" max="8" width="16.85546875" style="119" bestFit="1" customWidth="1"/>
    <col min="9" max="16384" width="19" style="119"/>
  </cols>
  <sheetData>
    <row r="1" spans="1:8" ht="31.5" x14ac:dyDescent="0.25">
      <c r="A1" s="135" t="s">
        <v>0</v>
      </c>
      <c r="B1" s="136" t="s">
        <v>1</v>
      </c>
      <c r="C1" s="367" t="s">
        <v>3373</v>
      </c>
      <c r="D1" s="22" t="s">
        <v>1872</v>
      </c>
      <c r="E1" s="22" t="s">
        <v>1873</v>
      </c>
      <c r="F1" s="137" t="s">
        <v>412</v>
      </c>
      <c r="G1" s="441" t="s">
        <v>3368</v>
      </c>
      <c r="H1" s="418" t="s">
        <v>3369</v>
      </c>
    </row>
    <row r="2" spans="1:8" x14ac:dyDescent="0.2">
      <c r="A2" s="255" t="s">
        <v>1869</v>
      </c>
      <c r="B2" s="49" t="s">
        <v>3269</v>
      </c>
      <c r="C2" s="430"/>
      <c r="D2" s="49"/>
      <c r="E2" s="49" t="s">
        <v>1920</v>
      </c>
      <c r="F2" s="31">
        <v>1</v>
      </c>
      <c r="G2" s="501"/>
      <c r="H2" s="433"/>
    </row>
    <row r="3" spans="1:8" x14ac:dyDescent="0.2">
      <c r="A3" s="70" t="s">
        <v>1625</v>
      </c>
      <c r="B3" s="49" t="s">
        <v>1849</v>
      </c>
      <c r="C3" s="430"/>
      <c r="D3" s="49"/>
      <c r="E3" s="49" t="s">
        <v>1920</v>
      </c>
      <c r="F3" s="31">
        <v>1</v>
      </c>
      <c r="G3" s="502"/>
      <c r="H3" s="433"/>
    </row>
    <row r="4" spans="1:8" x14ac:dyDescent="0.2">
      <c r="A4" s="70" t="s">
        <v>18</v>
      </c>
      <c r="B4" s="49" t="s">
        <v>3110</v>
      </c>
      <c r="C4" s="430"/>
      <c r="D4" s="49"/>
      <c r="E4" s="49" t="s">
        <v>1920</v>
      </c>
      <c r="F4" s="31">
        <v>1</v>
      </c>
      <c r="G4" s="502"/>
      <c r="H4" s="433"/>
    </row>
    <row r="5" spans="1:8" x14ac:dyDescent="0.2">
      <c r="A5" s="70" t="s">
        <v>1160</v>
      </c>
      <c r="B5" s="49" t="s">
        <v>2751</v>
      </c>
      <c r="C5" s="430"/>
      <c r="D5" s="49"/>
      <c r="E5" s="49" t="s">
        <v>1920</v>
      </c>
      <c r="F5" s="31">
        <v>1</v>
      </c>
      <c r="G5" s="502"/>
      <c r="H5" s="433"/>
    </row>
    <row r="6" spans="1:8" x14ac:dyDescent="0.2">
      <c r="A6" s="70" t="s">
        <v>17</v>
      </c>
      <c r="B6" s="49" t="s">
        <v>407</v>
      </c>
      <c r="C6" s="430"/>
      <c r="D6" s="49"/>
      <c r="E6" s="49" t="s">
        <v>1920</v>
      </c>
      <c r="F6" s="31">
        <v>1</v>
      </c>
      <c r="G6" s="502"/>
      <c r="H6" s="433"/>
    </row>
    <row r="7" spans="1:8" x14ac:dyDescent="0.2">
      <c r="A7" s="70" t="s">
        <v>197</v>
      </c>
      <c r="B7" s="49" t="s">
        <v>645</v>
      </c>
      <c r="C7" s="430"/>
      <c r="D7" s="49"/>
      <c r="E7" s="49" t="s">
        <v>1920</v>
      </c>
      <c r="F7" s="31">
        <v>1</v>
      </c>
      <c r="G7" s="502"/>
      <c r="H7" s="433"/>
    </row>
    <row r="8" spans="1:8" x14ac:dyDescent="0.2">
      <c r="A8" s="70" t="s">
        <v>1638</v>
      </c>
      <c r="B8" s="49" t="s">
        <v>970</v>
      </c>
      <c r="C8" s="430"/>
      <c r="D8" s="49"/>
      <c r="E8" s="49" t="s">
        <v>1920</v>
      </c>
      <c r="F8" s="31">
        <v>1</v>
      </c>
      <c r="G8" s="502"/>
      <c r="H8" s="433"/>
    </row>
    <row r="9" spans="1:8" x14ac:dyDescent="0.2">
      <c r="A9" s="70" t="s">
        <v>1640</v>
      </c>
      <c r="B9" s="49" t="s">
        <v>683</v>
      </c>
      <c r="C9" s="430"/>
      <c r="D9" s="49"/>
      <c r="E9" s="49" t="s">
        <v>1920</v>
      </c>
      <c r="F9" s="31">
        <v>1</v>
      </c>
      <c r="G9" s="502"/>
      <c r="H9" s="433"/>
    </row>
    <row r="10" spans="1:8" x14ac:dyDescent="0.2">
      <c r="A10" s="70" t="s">
        <v>1390</v>
      </c>
      <c r="B10" s="49" t="s">
        <v>386</v>
      </c>
      <c r="C10" s="430"/>
      <c r="D10" s="49"/>
      <c r="E10" s="49" t="s">
        <v>1920</v>
      </c>
      <c r="F10" s="31">
        <v>1</v>
      </c>
      <c r="G10" s="502"/>
      <c r="H10" s="433"/>
    </row>
    <row r="11" spans="1:8" x14ac:dyDescent="0.2">
      <c r="A11" s="8" t="s">
        <v>2865</v>
      </c>
      <c r="B11" s="314" t="s">
        <v>2870</v>
      </c>
      <c r="C11" s="430"/>
      <c r="D11" s="314"/>
      <c r="E11" s="314">
        <v>99532</v>
      </c>
      <c r="F11" s="10">
        <v>1</v>
      </c>
      <c r="G11" s="442" t="s">
        <v>2217</v>
      </c>
      <c r="H11" s="433"/>
    </row>
    <row r="12" spans="1:8" x14ac:dyDescent="0.2">
      <c r="A12" s="8" t="s">
        <v>2868</v>
      </c>
      <c r="B12" s="314" t="s">
        <v>2873</v>
      </c>
      <c r="C12" s="430"/>
      <c r="D12" s="314"/>
      <c r="E12" s="314">
        <v>99532</v>
      </c>
      <c r="F12" s="10">
        <v>1</v>
      </c>
      <c r="G12" s="442"/>
      <c r="H12" s="433"/>
    </row>
    <row r="13" spans="1:8" x14ac:dyDescent="0.2">
      <c r="A13" s="8" t="s">
        <v>2869</v>
      </c>
      <c r="B13" s="314" t="s">
        <v>2874</v>
      </c>
      <c r="C13" s="430"/>
      <c r="D13" s="314"/>
      <c r="E13" s="314">
        <v>99532</v>
      </c>
      <c r="F13" s="10">
        <v>1</v>
      </c>
      <c r="G13" s="442"/>
      <c r="H13" s="433"/>
    </row>
    <row r="14" spans="1:8" x14ac:dyDescent="0.2">
      <c r="A14" s="8" t="s">
        <v>2866</v>
      </c>
      <c r="B14" s="314" t="s">
        <v>2871</v>
      </c>
      <c r="C14" s="430"/>
      <c r="D14" s="314"/>
      <c r="E14" s="314">
        <v>99532</v>
      </c>
      <c r="F14" s="10">
        <v>1</v>
      </c>
      <c r="G14" s="442" t="s">
        <v>2217</v>
      </c>
      <c r="H14" s="433"/>
    </row>
    <row r="15" spans="1:8" x14ac:dyDescent="0.2">
      <c r="A15" s="8" t="s">
        <v>2867</v>
      </c>
      <c r="B15" s="314" t="s">
        <v>2872</v>
      </c>
      <c r="C15" s="430"/>
      <c r="D15" s="314"/>
      <c r="E15" s="314">
        <v>99532</v>
      </c>
      <c r="F15" s="10">
        <v>1</v>
      </c>
      <c r="G15" s="442"/>
      <c r="H15" s="433"/>
    </row>
    <row r="16" spans="1:8" x14ac:dyDescent="0.2">
      <c r="A16" s="70" t="s">
        <v>1039</v>
      </c>
      <c r="B16" s="49" t="s">
        <v>243</v>
      </c>
      <c r="C16" s="430"/>
      <c r="D16" s="49"/>
      <c r="E16" s="49" t="s">
        <v>1920</v>
      </c>
      <c r="F16" s="31">
        <v>1</v>
      </c>
      <c r="G16" s="502"/>
      <c r="H16" s="433"/>
    </row>
    <row r="17" spans="1:8" x14ac:dyDescent="0.2">
      <c r="A17" s="70" t="s">
        <v>1193</v>
      </c>
      <c r="B17" s="49" t="s">
        <v>316</v>
      </c>
      <c r="C17" s="430"/>
      <c r="D17" s="49"/>
      <c r="E17" s="49" t="s">
        <v>1920</v>
      </c>
      <c r="F17" s="31">
        <v>1</v>
      </c>
      <c r="G17" s="502"/>
      <c r="H17" s="433"/>
    </row>
    <row r="18" spans="1:8" x14ac:dyDescent="0.2">
      <c r="A18" s="70" t="s">
        <v>1051</v>
      </c>
      <c r="B18" s="49" t="s">
        <v>317</v>
      </c>
      <c r="C18" s="430"/>
      <c r="D18" s="49"/>
      <c r="E18" s="49" t="s">
        <v>1920</v>
      </c>
      <c r="F18" s="31">
        <v>1</v>
      </c>
      <c r="G18" s="502"/>
      <c r="H18" s="433"/>
    </row>
    <row r="19" spans="1:8" x14ac:dyDescent="0.2">
      <c r="A19" s="147" t="s">
        <v>16</v>
      </c>
      <c r="B19" s="49" t="s">
        <v>476</v>
      </c>
      <c r="C19" s="430"/>
      <c r="D19" s="49"/>
      <c r="E19" s="49" t="s">
        <v>1920</v>
      </c>
      <c r="F19" s="31">
        <v>4</v>
      </c>
      <c r="G19" s="502"/>
      <c r="H19" s="433"/>
    </row>
    <row r="20" spans="1:8" x14ac:dyDescent="0.2">
      <c r="A20" s="70" t="s">
        <v>34</v>
      </c>
      <c r="B20" s="49" t="s">
        <v>1826</v>
      </c>
      <c r="C20" s="430"/>
      <c r="D20" s="49"/>
      <c r="E20" s="49" t="s">
        <v>1920</v>
      </c>
      <c r="F20" s="31">
        <v>1</v>
      </c>
      <c r="G20" s="502"/>
      <c r="H20" s="433"/>
    </row>
    <row r="21" spans="1:8" x14ac:dyDescent="0.2">
      <c r="A21" s="70" t="s">
        <v>1192</v>
      </c>
      <c r="B21" s="49" t="s">
        <v>969</v>
      </c>
      <c r="C21" s="430"/>
      <c r="D21" s="49"/>
      <c r="E21" s="49" t="s">
        <v>1920</v>
      </c>
      <c r="F21" s="31">
        <v>1</v>
      </c>
      <c r="G21" s="502"/>
      <c r="H21" s="433"/>
    </row>
    <row r="22" spans="1:8" x14ac:dyDescent="0.2">
      <c r="A22" s="70" t="s">
        <v>1093</v>
      </c>
      <c r="B22" s="49" t="s">
        <v>215</v>
      </c>
      <c r="C22" s="430"/>
      <c r="D22" s="49"/>
      <c r="E22" s="49" t="s">
        <v>1920</v>
      </c>
      <c r="F22" s="31">
        <v>2</v>
      </c>
      <c r="G22" s="502"/>
      <c r="H22" s="433"/>
    </row>
    <row r="23" spans="1:8" x14ac:dyDescent="0.2">
      <c r="A23" s="70" t="s">
        <v>1366</v>
      </c>
      <c r="B23" s="49" t="s">
        <v>965</v>
      </c>
      <c r="C23" s="430"/>
      <c r="D23" s="49"/>
      <c r="E23" s="49" t="s">
        <v>1920</v>
      </c>
      <c r="F23" s="31">
        <v>2</v>
      </c>
      <c r="G23" s="502"/>
      <c r="H23" s="433"/>
    </row>
    <row r="24" spans="1:8" x14ac:dyDescent="0.2">
      <c r="A24" s="147" t="s">
        <v>1037</v>
      </c>
      <c r="B24" s="49" t="s">
        <v>470</v>
      </c>
      <c r="C24" s="430"/>
      <c r="D24" s="49"/>
      <c r="E24" s="49" t="s">
        <v>1920</v>
      </c>
      <c r="F24" s="31">
        <v>1</v>
      </c>
      <c r="G24" s="502"/>
      <c r="H24" s="433"/>
    </row>
    <row r="25" spans="1:8" x14ac:dyDescent="0.2">
      <c r="A25" s="70" t="s">
        <v>209</v>
      </c>
      <c r="B25" s="49" t="s">
        <v>210</v>
      </c>
      <c r="C25" s="430"/>
      <c r="D25" s="49"/>
      <c r="E25" s="49" t="s">
        <v>1920</v>
      </c>
      <c r="F25" s="31">
        <v>1</v>
      </c>
      <c r="G25" s="502"/>
      <c r="H25" s="433"/>
    </row>
    <row r="26" spans="1:8" s="16" customFormat="1" x14ac:dyDescent="0.2">
      <c r="A26" s="70" t="s">
        <v>11</v>
      </c>
      <c r="B26" s="49" t="s">
        <v>278</v>
      </c>
      <c r="C26" s="430"/>
      <c r="D26" s="49"/>
      <c r="E26" s="49" t="s">
        <v>1920</v>
      </c>
      <c r="F26" s="31">
        <v>1</v>
      </c>
      <c r="G26" s="502"/>
      <c r="H26" s="429"/>
    </row>
    <row r="27" spans="1:8" s="16" customFormat="1" x14ac:dyDescent="0.2">
      <c r="A27" s="70" t="s">
        <v>12</v>
      </c>
      <c r="B27" s="49" t="s">
        <v>171</v>
      </c>
      <c r="C27" s="430"/>
      <c r="D27" s="49"/>
      <c r="E27" s="49" t="s">
        <v>1920</v>
      </c>
      <c r="F27" s="31">
        <v>1</v>
      </c>
      <c r="G27" s="502"/>
      <c r="H27" s="429"/>
    </row>
    <row r="28" spans="1:8" s="16" customFormat="1" x14ac:dyDescent="0.2">
      <c r="A28" s="70" t="s">
        <v>111</v>
      </c>
      <c r="B28" s="49" t="s">
        <v>560</v>
      </c>
      <c r="C28" s="430"/>
      <c r="D28" s="49"/>
      <c r="E28" s="49" t="s">
        <v>1920</v>
      </c>
      <c r="F28" s="31">
        <v>1</v>
      </c>
      <c r="G28" s="502"/>
      <c r="H28" s="429"/>
    </row>
    <row r="29" spans="1:8" s="16" customFormat="1" x14ac:dyDescent="0.2">
      <c r="A29" s="70" t="s">
        <v>202</v>
      </c>
      <c r="B29" s="49" t="s">
        <v>260</v>
      </c>
      <c r="C29" s="430"/>
      <c r="D29" s="49"/>
      <c r="E29" s="49" t="s">
        <v>1920</v>
      </c>
      <c r="F29" s="31">
        <v>1</v>
      </c>
      <c r="G29" s="502"/>
      <c r="H29" s="429"/>
    </row>
    <row r="30" spans="1:8" s="16" customFormat="1" x14ac:dyDescent="0.2">
      <c r="A30" s="70" t="s">
        <v>1259</v>
      </c>
      <c r="B30" s="49" t="s">
        <v>615</v>
      </c>
      <c r="C30" s="430"/>
      <c r="D30" s="49"/>
      <c r="E30" s="49" t="s">
        <v>1920</v>
      </c>
      <c r="F30" s="31">
        <v>1</v>
      </c>
      <c r="G30" s="502"/>
      <c r="H30" s="429"/>
    </row>
    <row r="31" spans="1:8" x14ac:dyDescent="0.2">
      <c r="A31" s="70" t="s">
        <v>1208</v>
      </c>
      <c r="B31" s="49" t="s">
        <v>942</v>
      </c>
      <c r="C31" s="430"/>
      <c r="D31" s="49"/>
      <c r="E31" s="49" t="s">
        <v>1920</v>
      </c>
      <c r="F31" s="31">
        <v>1</v>
      </c>
      <c r="G31" s="502"/>
      <c r="H31" s="433"/>
    </row>
    <row r="32" spans="1:8" x14ac:dyDescent="0.2">
      <c r="A32" s="70" t="s">
        <v>1389</v>
      </c>
      <c r="B32" s="49" t="s">
        <v>971</v>
      </c>
      <c r="C32" s="430"/>
      <c r="D32" s="49"/>
      <c r="E32" s="49" t="s">
        <v>1920</v>
      </c>
      <c r="F32" s="31">
        <v>1</v>
      </c>
      <c r="G32" s="502"/>
      <c r="H32" s="433"/>
    </row>
    <row r="33" spans="1:8" x14ac:dyDescent="0.2">
      <c r="A33" s="70" t="s">
        <v>1472</v>
      </c>
      <c r="B33" s="49" t="s">
        <v>1991</v>
      </c>
      <c r="C33" s="430"/>
      <c r="D33" s="139"/>
      <c r="E33" s="139" t="s">
        <v>1920</v>
      </c>
      <c r="F33" s="31">
        <v>1</v>
      </c>
      <c r="G33" s="502"/>
      <c r="H33" s="433"/>
    </row>
    <row r="34" spans="1:8" x14ac:dyDescent="0.2">
      <c r="A34" s="12" t="s">
        <v>2857</v>
      </c>
      <c r="B34" s="314" t="s">
        <v>2850</v>
      </c>
      <c r="C34" s="430"/>
      <c r="D34" s="49"/>
      <c r="E34" s="49" t="s">
        <v>1920</v>
      </c>
      <c r="F34" s="31">
        <v>1</v>
      </c>
      <c r="G34" s="502"/>
      <c r="H34" s="433"/>
    </row>
    <row r="35" spans="1:8" x14ac:dyDescent="0.2">
      <c r="A35" s="70" t="s">
        <v>1460</v>
      </c>
      <c r="B35" s="314" t="s">
        <v>2851</v>
      </c>
      <c r="C35" s="430"/>
      <c r="D35" s="314"/>
      <c r="E35" s="314" t="s">
        <v>1928</v>
      </c>
      <c r="F35" s="31">
        <v>1</v>
      </c>
      <c r="G35" s="502"/>
      <c r="H35" s="433"/>
    </row>
    <row r="36" spans="1:8" x14ac:dyDescent="0.2">
      <c r="A36" s="70" t="s">
        <v>839</v>
      </c>
      <c r="B36" s="49" t="s">
        <v>1995</v>
      </c>
      <c r="C36" s="430"/>
      <c r="D36" s="49"/>
      <c r="E36" s="49" t="s">
        <v>1920</v>
      </c>
      <c r="F36" s="31">
        <v>2</v>
      </c>
      <c r="G36" s="502"/>
      <c r="H36" s="433"/>
    </row>
    <row r="37" spans="1:8" x14ac:dyDescent="0.2">
      <c r="A37" s="70" t="s">
        <v>180</v>
      </c>
      <c r="B37" s="49" t="s">
        <v>479</v>
      </c>
      <c r="C37" s="430"/>
      <c r="D37" s="49"/>
      <c r="E37" s="49" t="s">
        <v>1920</v>
      </c>
      <c r="F37" s="31">
        <v>1</v>
      </c>
      <c r="G37" s="502"/>
      <c r="H37" s="433"/>
    </row>
    <row r="38" spans="1:8" x14ac:dyDescent="0.2">
      <c r="A38" s="70" t="s">
        <v>1393</v>
      </c>
      <c r="B38" s="49" t="s">
        <v>653</v>
      </c>
      <c r="C38" s="430"/>
      <c r="D38" s="49"/>
      <c r="E38" s="49" t="s">
        <v>1920</v>
      </c>
      <c r="F38" s="31">
        <v>1</v>
      </c>
      <c r="G38" s="502"/>
      <c r="H38" s="433"/>
    </row>
    <row r="39" spans="1:8" x14ac:dyDescent="0.2">
      <c r="A39" s="70" t="s">
        <v>55</v>
      </c>
      <c r="B39" s="49" t="s">
        <v>524</v>
      </c>
      <c r="C39" s="430"/>
      <c r="D39" s="49"/>
      <c r="E39" s="49" t="s">
        <v>1920</v>
      </c>
      <c r="F39" s="31">
        <v>1</v>
      </c>
      <c r="G39" s="502"/>
      <c r="H39" s="433"/>
    </row>
    <row r="40" spans="1:8" x14ac:dyDescent="0.2">
      <c r="A40" s="70" t="s">
        <v>1482</v>
      </c>
      <c r="B40" s="49" t="s">
        <v>654</v>
      </c>
      <c r="C40" s="430"/>
      <c r="D40" s="49"/>
      <c r="E40" s="49" t="s">
        <v>1920</v>
      </c>
      <c r="F40" s="31">
        <v>1</v>
      </c>
      <c r="G40" s="502"/>
      <c r="H40" s="433"/>
    </row>
    <row r="41" spans="1:8" x14ac:dyDescent="0.2">
      <c r="A41" s="70" t="s">
        <v>2231</v>
      </c>
      <c r="B41" s="49" t="s">
        <v>357</v>
      </c>
      <c r="C41" s="430"/>
      <c r="D41" s="49"/>
      <c r="E41" s="49" t="s">
        <v>1920</v>
      </c>
      <c r="F41" s="31">
        <v>1</v>
      </c>
      <c r="G41" s="502"/>
      <c r="H41" s="433"/>
    </row>
    <row r="42" spans="1:8" x14ac:dyDescent="0.2">
      <c r="A42" s="70" t="s">
        <v>1180</v>
      </c>
      <c r="B42" s="49" t="s">
        <v>359</v>
      </c>
      <c r="C42" s="430"/>
      <c r="D42" s="49"/>
      <c r="E42" s="49" t="s">
        <v>1920</v>
      </c>
      <c r="F42" s="31">
        <v>1</v>
      </c>
      <c r="G42" s="502"/>
      <c r="H42" s="433"/>
    </row>
    <row r="43" spans="1:8" x14ac:dyDescent="0.2">
      <c r="A43" s="70" t="s">
        <v>1181</v>
      </c>
      <c r="B43" s="49" t="s">
        <v>199</v>
      </c>
      <c r="C43" s="430"/>
      <c r="D43" s="49"/>
      <c r="E43" s="49" t="s">
        <v>1920</v>
      </c>
      <c r="F43" s="31">
        <v>1</v>
      </c>
      <c r="G43" s="502"/>
      <c r="H43" s="433"/>
    </row>
    <row r="44" spans="1:8" x14ac:dyDescent="0.2">
      <c r="A44" s="70" t="s">
        <v>1054</v>
      </c>
      <c r="B44" s="49" t="s">
        <v>326</v>
      </c>
      <c r="C44" s="430"/>
      <c r="D44" s="49"/>
      <c r="E44" s="49" t="s">
        <v>1920</v>
      </c>
      <c r="F44" s="31">
        <v>1</v>
      </c>
      <c r="G44" s="502"/>
      <c r="H44" s="433"/>
    </row>
    <row r="45" spans="1:8" x14ac:dyDescent="0.2">
      <c r="A45" s="70" t="s">
        <v>2230</v>
      </c>
      <c r="B45" s="49" t="s">
        <v>325</v>
      </c>
      <c r="C45" s="430"/>
      <c r="D45" s="49"/>
      <c r="E45" s="49" t="s">
        <v>1920</v>
      </c>
      <c r="F45" s="31">
        <v>1</v>
      </c>
      <c r="G45" s="502"/>
      <c r="H45" s="433"/>
    </row>
    <row r="46" spans="1:8" x14ac:dyDescent="0.2">
      <c r="A46" s="70" t="s">
        <v>2879</v>
      </c>
      <c r="B46" s="49" t="s">
        <v>329</v>
      </c>
      <c r="C46" s="430"/>
      <c r="D46" s="49"/>
      <c r="E46" s="49" t="s">
        <v>1920</v>
      </c>
      <c r="F46" s="31">
        <v>1</v>
      </c>
      <c r="G46" s="502"/>
      <c r="H46" s="433"/>
    </row>
    <row r="47" spans="1:8" x14ac:dyDescent="0.2">
      <c r="A47" s="70" t="s">
        <v>2234</v>
      </c>
      <c r="B47" s="49" t="s">
        <v>119</v>
      </c>
      <c r="C47" s="430"/>
      <c r="D47" s="49"/>
      <c r="E47" s="49" t="s">
        <v>1920</v>
      </c>
      <c r="F47" s="31">
        <v>1</v>
      </c>
      <c r="G47" s="502"/>
      <c r="H47" s="433"/>
    </row>
    <row r="48" spans="1:8" x14ac:dyDescent="0.2">
      <c r="A48" s="70" t="s">
        <v>167</v>
      </c>
      <c r="B48" s="49" t="s">
        <v>323</v>
      </c>
      <c r="C48" s="430"/>
      <c r="D48" s="49"/>
      <c r="E48" s="49" t="s">
        <v>1920</v>
      </c>
      <c r="F48" s="31">
        <v>1</v>
      </c>
      <c r="G48" s="502"/>
      <c r="H48" s="433"/>
    </row>
    <row r="49" spans="1:8" x14ac:dyDescent="0.2">
      <c r="A49" s="70" t="s">
        <v>2897</v>
      </c>
      <c r="B49" s="49" t="s">
        <v>324</v>
      </c>
      <c r="C49" s="430"/>
      <c r="D49" s="49"/>
      <c r="E49" s="49" t="s">
        <v>1920</v>
      </c>
      <c r="F49" s="31">
        <v>1</v>
      </c>
      <c r="G49" s="502"/>
      <c r="H49" s="433"/>
    </row>
    <row r="50" spans="1:8" x14ac:dyDescent="0.2">
      <c r="A50" s="70" t="s">
        <v>1055</v>
      </c>
      <c r="B50" s="49" t="s">
        <v>347</v>
      </c>
      <c r="C50" s="430"/>
      <c r="D50" s="49"/>
      <c r="E50" s="49" t="s">
        <v>1920</v>
      </c>
      <c r="F50" s="31">
        <v>1</v>
      </c>
      <c r="G50" s="502"/>
      <c r="H50" s="433"/>
    </row>
    <row r="51" spans="1:8" x14ac:dyDescent="0.2">
      <c r="A51" s="70" t="s">
        <v>14</v>
      </c>
      <c r="B51" s="49" t="s">
        <v>472</v>
      </c>
      <c r="C51" s="430"/>
      <c r="D51" s="49"/>
      <c r="E51" s="49" t="s">
        <v>1971</v>
      </c>
      <c r="F51" s="31">
        <v>1</v>
      </c>
      <c r="G51" s="502"/>
      <c r="H51" s="433"/>
    </row>
    <row r="52" spans="1:8" x14ac:dyDescent="0.2">
      <c r="A52" s="48" t="s">
        <v>2895</v>
      </c>
      <c r="B52" s="314" t="s">
        <v>2896</v>
      </c>
      <c r="C52" s="430"/>
      <c r="D52" s="314"/>
      <c r="E52" s="314" t="s">
        <v>1920</v>
      </c>
      <c r="F52" s="244">
        <v>1</v>
      </c>
      <c r="G52" s="432"/>
      <c r="H52" s="433"/>
    </row>
    <row r="53" spans="1:8" x14ac:dyDescent="0.2">
      <c r="A53" s="70" t="s">
        <v>1040</v>
      </c>
      <c r="B53" s="49" t="s">
        <v>274</v>
      </c>
      <c r="C53" s="430"/>
      <c r="D53" s="49"/>
      <c r="E53" s="49" t="s">
        <v>1920</v>
      </c>
      <c r="F53" s="31">
        <v>1</v>
      </c>
      <c r="G53" s="502"/>
      <c r="H53" s="433"/>
    </row>
    <row r="54" spans="1:8" x14ac:dyDescent="0.2">
      <c r="A54" s="70" t="s">
        <v>1693</v>
      </c>
      <c r="B54" s="49" t="s">
        <v>527</v>
      </c>
      <c r="C54" s="430"/>
      <c r="D54" s="49"/>
      <c r="E54" s="49" t="s">
        <v>1920</v>
      </c>
      <c r="F54" s="31">
        <v>1</v>
      </c>
      <c r="G54" s="502"/>
      <c r="H54" s="433"/>
    </row>
    <row r="55" spans="1:8" x14ac:dyDescent="0.2">
      <c r="A55" s="70" t="s">
        <v>1407</v>
      </c>
      <c r="B55" s="49" t="s">
        <v>377</v>
      </c>
      <c r="C55" s="430"/>
      <c r="D55" s="49"/>
      <c r="E55" s="49" t="s">
        <v>1920</v>
      </c>
      <c r="F55" s="31">
        <v>1</v>
      </c>
      <c r="G55" s="502"/>
      <c r="H55" s="433"/>
    </row>
    <row r="56" spans="1:8" x14ac:dyDescent="0.2">
      <c r="A56" s="70" t="s">
        <v>24</v>
      </c>
      <c r="B56" s="49" t="s">
        <v>297</v>
      </c>
      <c r="C56" s="430"/>
      <c r="D56" s="49"/>
      <c r="E56" s="49" t="s">
        <v>1920</v>
      </c>
      <c r="F56" s="31">
        <v>1</v>
      </c>
      <c r="G56" s="502"/>
      <c r="H56" s="433"/>
    </row>
    <row r="57" spans="1:8" x14ac:dyDescent="0.2">
      <c r="A57" s="70" t="s">
        <v>1275</v>
      </c>
      <c r="B57" s="49" t="s">
        <v>478</v>
      </c>
      <c r="C57" s="430"/>
      <c r="D57" s="49"/>
      <c r="E57" s="49" t="s">
        <v>1920</v>
      </c>
      <c r="F57" s="31">
        <v>1</v>
      </c>
      <c r="G57" s="502"/>
      <c r="H57" s="433"/>
    </row>
    <row r="58" spans="1:8" x14ac:dyDescent="0.2">
      <c r="A58" s="70" t="s">
        <v>1216</v>
      </c>
      <c r="B58" s="49" t="s">
        <v>391</v>
      </c>
      <c r="C58" s="430"/>
      <c r="D58" s="49"/>
      <c r="E58" s="49" t="s">
        <v>1920</v>
      </c>
      <c r="F58" s="31">
        <v>1</v>
      </c>
      <c r="G58" s="502"/>
      <c r="H58" s="433"/>
    </row>
    <row r="59" spans="1:8" x14ac:dyDescent="0.2">
      <c r="A59" s="70" t="s">
        <v>410</v>
      </c>
      <c r="B59" s="49" t="s">
        <v>411</v>
      </c>
      <c r="C59" s="430"/>
      <c r="D59" s="49"/>
      <c r="E59" s="49" t="s">
        <v>1920</v>
      </c>
      <c r="F59" s="31">
        <v>1</v>
      </c>
      <c r="G59" s="502"/>
      <c r="H59" s="433"/>
    </row>
    <row r="60" spans="1:8" x14ac:dyDescent="0.2">
      <c r="A60" s="70" t="s">
        <v>1597</v>
      </c>
      <c r="B60" s="49" t="s">
        <v>793</v>
      </c>
      <c r="C60" s="430"/>
      <c r="D60" s="49"/>
      <c r="E60" s="49" t="s">
        <v>1920</v>
      </c>
      <c r="F60" s="31">
        <v>1</v>
      </c>
      <c r="G60" s="502"/>
      <c r="H60" s="433"/>
    </row>
    <row r="61" spans="1:8" x14ac:dyDescent="0.2">
      <c r="A61" s="70" t="s">
        <v>1286</v>
      </c>
      <c r="B61" s="49" t="s">
        <v>387</v>
      </c>
      <c r="C61" s="430"/>
      <c r="D61" s="49"/>
      <c r="E61" s="49" t="s">
        <v>1920</v>
      </c>
      <c r="F61" s="31">
        <v>1</v>
      </c>
      <c r="G61" s="502"/>
      <c r="H61" s="433"/>
    </row>
    <row r="62" spans="1:8" x14ac:dyDescent="0.2">
      <c r="A62" s="70" t="s">
        <v>1287</v>
      </c>
      <c r="B62" s="49" t="s">
        <v>474</v>
      </c>
      <c r="C62" s="430"/>
      <c r="D62" s="49"/>
      <c r="E62" s="49" t="s">
        <v>1920</v>
      </c>
      <c r="F62" s="31">
        <v>1</v>
      </c>
      <c r="G62" s="502"/>
      <c r="H62" s="433"/>
    </row>
    <row r="63" spans="1:8" x14ac:dyDescent="0.2">
      <c r="A63" s="70" t="s">
        <v>2133</v>
      </c>
      <c r="B63" s="199" t="s">
        <v>2909</v>
      </c>
      <c r="C63" s="430"/>
      <c r="D63" s="314"/>
      <c r="E63" s="199">
        <v>56654</v>
      </c>
      <c r="F63" s="31">
        <v>2</v>
      </c>
      <c r="G63" s="502"/>
      <c r="H63" s="433"/>
    </row>
    <row r="64" spans="1:8" x14ac:dyDescent="0.2">
      <c r="A64" s="70" t="s">
        <v>8</v>
      </c>
      <c r="B64" s="49" t="s">
        <v>256</v>
      </c>
      <c r="C64" s="430"/>
      <c r="D64" s="49"/>
      <c r="E64" s="49" t="s">
        <v>1920</v>
      </c>
      <c r="F64" s="31">
        <v>1</v>
      </c>
      <c r="G64" s="502"/>
      <c r="H64" s="433"/>
    </row>
    <row r="65" spans="1:8" x14ac:dyDescent="0.2">
      <c r="A65" s="70" t="s">
        <v>9</v>
      </c>
      <c r="B65" s="49" t="s">
        <v>375</v>
      </c>
      <c r="C65" s="430"/>
      <c r="D65" s="49"/>
      <c r="E65" s="49" t="s">
        <v>1920</v>
      </c>
      <c r="F65" s="31">
        <v>1</v>
      </c>
      <c r="G65" s="502"/>
      <c r="H65" s="433"/>
    </row>
    <row r="66" spans="1:8" x14ac:dyDescent="0.2">
      <c r="A66" s="70" t="s">
        <v>195</v>
      </c>
      <c r="B66" s="49" t="s">
        <v>1984</v>
      </c>
      <c r="C66" s="430"/>
      <c r="D66" s="49"/>
      <c r="E66" s="49" t="s">
        <v>1920</v>
      </c>
      <c r="F66" s="31">
        <v>1</v>
      </c>
      <c r="G66" s="502"/>
      <c r="H66" s="433"/>
    </row>
    <row r="67" spans="1:8" x14ac:dyDescent="0.2">
      <c r="A67" s="70" t="s">
        <v>3132</v>
      </c>
      <c r="B67" s="49" t="s">
        <v>2732</v>
      </c>
      <c r="C67" s="430"/>
      <c r="D67" s="49"/>
      <c r="E67" s="49" t="s">
        <v>1920</v>
      </c>
      <c r="F67" s="31">
        <v>1</v>
      </c>
      <c r="G67" s="502"/>
      <c r="H67" s="433"/>
    </row>
    <row r="68" spans="1:8" x14ac:dyDescent="0.2">
      <c r="A68" s="70" t="s">
        <v>30</v>
      </c>
      <c r="B68" s="49" t="s">
        <v>1825</v>
      </c>
      <c r="C68" s="430"/>
      <c r="D68" s="49"/>
      <c r="E68" s="49" t="s">
        <v>1920</v>
      </c>
      <c r="F68" s="31">
        <v>1</v>
      </c>
      <c r="G68" s="502"/>
      <c r="H68" s="433"/>
    </row>
    <row r="69" spans="1:8" x14ac:dyDescent="0.2">
      <c r="A69" s="70" t="s">
        <v>29</v>
      </c>
      <c r="B69" s="49" t="s">
        <v>2758</v>
      </c>
      <c r="C69" s="430"/>
      <c r="D69" s="49"/>
      <c r="E69" s="49" t="s">
        <v>1920</v>
      </c>
      <c r="F69" s="31">
        <v>1</v>
      </c>
      <c r="G69" s="502"/>
      <c r="H69" s="433"/>
    </row>
    <row r="70" spans="1:8" x14ac:dyDescent="0.2">
      <c r="A70" s="70" t="s">
        <v>1233</v>
      </c>
      <c r="B70" s="49" t="s">
        <v>1824</v>
      </c>
      <c r="C70" s="430"/>
      <c r="D70" s="49"/>
      <c r="E70" s="49" t="s">
        <v>1920</v>
      </c>
      <c r="F70" s="31">
        <v>1</v>
      </c>
      <c r="G70" s="502"/>
      <c r="H70" s="433"/>
    </row>
    <row r="71" spans="1:8" x14ac:dyDescent="0.2">
      <c r="A71" s="70" t="s">
        <v>339</v>
      </c>
      <c r="B71" s="49" t="s">
        <v>674</v>
      </c>
      <c r="C71" s="430"/>
      <c r="D71" s="49"/>
      <c r="E71" s="49" t="s">
        <v>1920</v>
      </c>
      <c r="F71" s="31">
        <v>1</v>
      </c>
      <c r="G71" s="502"/>
      <c r="H71" s="433"/>
    </row>
    <row r="72" spans="1:8" x14ac:dyDescent="0.2">
      <c r="A72" s="70" t="s">
        <v>1230</v>
      </c>
      <c r="B72" s="49" t="s">
        <v>584</v>
      </c>
      <c r="C72" s="430"/>
      <c r="D72" s="49"/>
      <c r="E72" s="49" t="s">
        <v>1920</v>
      </c>
      <c r="F72" s="31">
        <v>1</v>
      </c>
      <c r="G72" s="502"/>
      <c r="H72" s="433"/>
    </row>
    <row r="73" spans="1:8" x14ac:dyDescent="0.2">
      <c r="A73" s="70" t="s">
        <v>1330</v>
      </c>
      <c r="B73" s="49" t="s">
        <v>966</v>
      </c>
      <c r="C73" s="430"/>
      <c r="D73" s="49"/>
      <c r="E73" s="49" t="s">
        <v>1920</v>
      </c>
      <c r="F73" s="31">
        <v>1</v>
      </c>
      <c r="G73" s="502"/>
      <c r="H73" s="433"/>
    </row>
    <row r="74" spans="1:8" x14ac:dyDescent="0.2">
      <c r="A74" s="70" t="s">
        <v>1331</v>
      </c>
      <c r="B74" s="49" t="s">
        <v>967</v>
      </c>
      <c r="C74" s="430"/>
      <c r="D74" s="49"/>
      <c r="E74" s="49" t="s">
        <v>1920</v>
      </c>
      <c r="F74" s="31">
        <v>1</v>
      </c>
      <c r="G74" s="502"/>
      <c r="H74" s="433"/>
    </row>
    <row r="75" spans="1:8" x14ac:dyDescent="0.2">
      <c r="A75" s="70" t="s">
        <v>1086</v>
      </c>
      <c r="B75" s="49" t="s">
        <v>70</v>
      </c>
      <c r="C75" s="430"/>
      <c r="D75" s="49"/>
      <c r="E75" s="49" t="s">
        <v>1920</v>
      </c>
      <c r="F75" s="31">
        <v>1</v>
      </c>
      <c r="G75" s="502"/>
      <c r="H75" s="433"/>
    </row>
    <row r="76" spans="1:8" x14ac:dyDescent="0.2">
      <c r="A76" s="70" t="s">
        <v>15</v>
      </c>
      <c r="B76" s="49" t="s">
        <v>380</v>
      </c>
      <c r="C76" s="430"/>
      <c r="D76" s="49"/>
      <c r="E76" s="49" t="s">
        <v>1920</v>
      </c>
      <c r="F76" s="31">
        <v>1</v>
      </c>
      <c r="G76" s="502"/>
      <c r="H76" s="433"/>
    </row>
    <row r="77" spans="1:8" x14ac:dyDescent="0.2">
      <c r="A77" s="70" t="s">
        <v>1036</v>
      </c>
      <c r="B77" s="49" t="s">
        <v>468</v>
      </c>
      <c r="C77" s="430"/>
      <c r="D77" s="49"/>
      <c r="E77" s="49" t="s">
        <v>1920</v>
      </c>
      <c r="F77" s="31">
        <v>1</v>
      </c>
      <c r="G77" s="502"/>
      <c r="H77" s="433"/>
    </row>
    <row r="78" spans="1:8" x14ac:dyDescent="0.2">
      <c r="A78" s="70" t="s">
        <v>10</v>
      </c>
      <c r="B78" s="49" t="s">
        <v>469</v>
      </c>
      <c r="C78" s="430"/>
      <c r="D78" s="49"/>
      <c r="E78" s="49" t="s">
        <v>1920</v>
      </c>
      <c r="F78" s="31">
        <v>1</v>
      </c>
      <c r="G78" s="502"/>
      <c r="H78" s="433"/>
    </row>
    <row r="79" spans="1:8" x14ac:dyDescent="0.2">
      <c r="A79" s="70" t="s">
        <v>1085</v>
      </c>
      <c r="B79" s="49" t="s">
        <v>968</v>
      </c>
      <c r="C79" s="430"/>
      <c r="D79" s="49"/>
      <c r="E79" s="49" t="s">
        <v>1920</v>
      </c>
      <c r="F79" s="31">
        <v>1</v>
      </c>
      <c r="G79" s="502"/>
      <c r="H79" s="433"/>
    </row>
    <row r="80" spans="1:8" x14ac:dyDescent="0.2">
      <c r="A80" s="70" t="s">
        <v>1446</v>
      </c>
      <c r="B80" s="49" t="s">
        <v>964</v>
      </c>
      <c r="C80" s="430"/>
      <c r="D80" s="49"/>
      <c r="E80" s="49" t="s">
        <v>1920</v>
      </c>
      <c r="F80" s="31">
        <v>2</v>
      </c>
      <c r="G80" s="502"/>
      <c r="H80" s="433"/>
    </row>
    <row r="81" spans="1:8" x14ac:dyDescent="0.2">
      <c r="A81" s="70" t="s">
        <v>20</v>
      </c>
      <c r="B81" s="49" t="s">
        <v>287</v>
      </c>
      <c r="C81" s="430"/>
      <c r="D81" s="49"/>
      <c r="E81" s="49" t="s">
        <v>1920</v>
      </c>
      <c r="F81" s="31">
        <v>2</v>
      </c>
      <c r="G81" s="502"/>
      <c r="H81" s="433"/>
    </row>
    <row r="82" spans="1:8" x14ac:dyDescent="0.2">
      <c r="A82" s="70" t="s">
        <v>13</v>
      </c>
      <c r="B82" s="49" t="s">
        <v>471</v>
      </c>
      <c r="C82" s="430"/>
      <c r="D82" s="49"/>
      <c r="E82" s="49" t="s">
        <v>1920</v>
      </c>
      <c r="F82" s="31">
        <v>1</v>
      </c>
      <c r="G82" s="502"/>
      <c r="H82" s="433"/>
    </row>
    <row r="83" spans="1:8" x14ac:dyDescent="0.2">
      <c r="G83" s="112"/>
    </row>
    <row r="84" spans="1:8" s="4" customFormat="1" ht="18" x14ac:dyDescent="0.25">
      <c r="A84" s="422" t="s">
        <v>1794</v>
      </c>
      <c r="B84" s="425"/>
      <c r="C84" s="309"/>
      <c r="D84" s="309"/>
      <c r="E84" s="3"/>
      <c r="F84" s="3"/>
      <c r="G84" s="39"/>
    </row>
    <row r="85" spans="1:8" s="4" customFormat="1" ht="18" x14ac:dyDescent="0.25">
      <c r="A85" s="422" t="s">
        <v>2992</v>
      </c>
      <c r="B85" s="425"/>
      <c r="C85" s="309"/>
      <c r="D85" s="309"/>
      <c r="E85" s="3"/>
      <c r="F85" s="3"/>
      <c r="G85" s="39"/>
    </row>
    <row r="86" spans="1:8" ht="18" x14ac:dyDescent="0.25">
      <c r="A86" s="491" t="s">
        <v>3317</v>
      </c>
      <c r="B86" s="244"/>
      <c r="G86" s="112"/>
    </row>
    <row r="87" spans="1:8" ht="18" x14ac:dyDescent="0.25">
      <c r="A87" s="434" t="s">
        <v>3367</v>
      </c>
      <c r="B87" s="420"/>
    </row>
  </sheetData>
  <pageMargins left="0.7" right="0.7" top="0.75" bottom="0.75" header="0.3" footer="0.3"/>
  <pageSetup orientation="portrait" horizontalDpi="4294967295" verticalDpi="429496729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53"/>
  <sheetViews>
    <sheetView workbookViewId="0">
      <pane ySplit="1" topLeftCell="A16" activePane="bottomLeft" state="frozen"/>
      <selection activeCell="C26" sqref="C26"/>
      <selection pane="bottomLeft" activeCell="F2" sqref="F2:F48"/>
    </sheetView>
  </sheetViews>
  <sheetFormatPr defaultColWidth="9.140625" defaultRowHeight="15" x14ac:dyDescent="0.2"/>
  <cols>
    <col min="1" max="1" width="56.5703125" style="119" bestFit="1" customWidth="1"/>
    <col min="2" max="2" width="16.42578125" style="85" bestFit="1" customWidth="1"/>
    <col min="3" max="3" width="20.42578125" style="85" bestFit="1" customWidth="1"/>
    <col min="4" max="4" width="20.140625" style="85" bestFit="1" customWidth="1"/>
    <col min="5" max="5" width="12.42578125" style="85" bestFit="1" customWidth="1"/>
    <col min="6" max="6" width="10" style="85" bestFit="1" customWidth="1"/>
    <col min="7" max="7" width="11.42578125" style="119" bestFit="1" customWidth="1"/>
    <col min="8" max="8" width="16.85546875" style="119" bestFit="1" customWidth="1"/>
    <col min="9" max="16384" width="9.140625" style="119"/>
  </cols>
  <sheetData>
    <row r="1" spans="1:8" ht="15.75" x14ac:dyDescent="0.25">
      <c r="A1" s="98" t="s">
        <v>0</v>
      </c>
      <c r="B1" s="94" t="s">
        <v>1</v>
      </c>
      <c r="C1" s="367" t="s">
        <v>3373</v>
      </c>
      <c r="D1" s="22" t="s">
        <v>1872</v>
      </c>
      <c r="E1" s="22" t="s">
        <v>1873</v>
      </c>
      <c r="F1" s="94" t="s">
        <v>412</v>
      </c>
      <c r="G1" s="441" t="s">
        <v>3368</v>
      </c>
      <c r="H1" s="418" t="s">
        <v>3369</v>
      </c>
    </row>
    <row r="2" spans="1:8" x14ac:dyDescent="0.2">
      <c r="A2" s="213" t="s">
        <v>1869</v>
      </c>
      <c r="B2" s="314" t="s">
        <v>3269</v>
      </c>
      <c r="C2" s="430"/>
      <c r="D2" s="71"/>
      <c r="E2" s="71"/>
      <c r="F2" s="33">
        <v>1</v>
      </c>
      <c r="G2" s="433"/>
      <c r="H2" s="433"/>
    </row>
    <row r="3" spans="1:8" x14ac:dyDescent="0.2">
      <c r="A3" s="213" t="s">
        <v>1573</v>
      </c>
      <c r="B3" s="314">
        <v>3791</v>
      </c>
      <c r="C3" s="430"/>
      <c r="D3" s="71"/>
      <c r="E3" s="71" t="s">
        <v>1921</v>
      </c>
      <c r="F3" s="33">
        <v>1</v>
      </c>
      <c r="G3" s="433"/>
      <c r="H3" s="433"/>
    </row>
    <row r="4" spans="1:8" x14ac:dyDescent="0.2">
      <c r="A4" s="213" t="s">
        <v>1090</v>
      </c>
      <c r="B4" s="314">
        <v>56707</v>
      </c>
      <c r="C4" s="430"/>
      <c r="D4" s="71"/>
      <c r="E4" s="71">
        <v>25795</v>
      </c>
      <c r="F4" s="33">
        <v>1</v>
      </c>
      <c r="G4" s="433" t="s">
        <v>2217</v>
      </c>
      <c r="H4" s="433"/>
    </row>
    <row r="5" spans="1:8" x14ac:dyDescent="0.2">
      <c r="A5" s="213" t="s">
        <v>1123</v>
      </c>
      <c r="B5" s="314">
        <v>8130010</v>
      </c>
      <c r="C5" s="430"/>
      <c r="D5" s="71"/>
      <c r="E5" s="71" t="s">
        <v>1975</v>
      </c>
      <c r="F5" s="33">
        <v>2</v>
      </c>
      <c r="G5" s="433"/>
      <c r="H5" s="433"/>
    </row>
    <row r="6" spans="1:8" x14ac:dyDescent="0.2">
      <c r="A6" s="213" t="s">
        <v>1124</v>
      </c>
      <c r="B6" s="314">
        <v>8130015</v>
      </c>
      <c r="C6" s="430"/>
      <c r="D6" s="71"/>
      <c r="E6" s="71" t="s">
        <v>1975</v>
      </c>
      <c r="F6" s="33">
        <v>2</v>
      </c>
      <c r="G6" s="433"/>
      <c r="H6" s="433"/>
    </row>
    <row r="7" spans="1:8" x14ac:dyDescent="0.2">
      <c r="A7" s="213" t="s">
        <v>1125</v>
      </c>
      <c r="B7" s="314">
        <v>8130020</v>
      </c>
      <c r="C7" s="430"/>
      <c r="D7" s="71"/>
      <c r="E7" s="71" t="s">
        <v>1975</v>
      </c>
      <c r="F7" s="33">
        <v>2</v>
      </c>
      <c r="G7" s="433"/>
      <c r="H7" s="433"/>
    </row>
    <row r="8" spans="1:8" x14ac:dyDescent="0.2">
      <c r="A8" s="213" t="s">
        <v>1127</v>
      </c>
      <c r="B8" s="314">
        <v>8130030</v>
      </c>
      <c r="C8" s="430"/>
      <c r="D8" s="71"/>
      <c r="E8" s="71" t="s">
        <v>1975</v>
      </c>
      <c r="F8" s="33">
        <v>2</v>
      </c>
      <c r="G8" s="433"/>
      <c r="H8" s="433"/>
    </row>
    <row r="9" spans="1:8" x14ac:dyDescent="0.2">
      <c r="A9" s="213" t="s">
        <v>770</v>
      </c>
      <c r="B9" s="314" t="s">
        <v>771</v>
      </c>
      <c r="C9" s="430"/>
      <c r="D9" s="71"/>
      <c r="E9" s="71" t="s">
        <v>1923</v>
      </c>
      <c r="F9" s="33">
        <v>1</v>
      </c>
      <c r="G9" s="433"/>
      <c r="H9" s="433"/>
    </row>
    <row r="10" spans="1:8" x14ac:dyDescent="0.2">
      <c r="A10" s="213" t="s">
        <v>191</v>
      </c>
      <c r="B10" s="314" t="s">
        <v>597</v>
      </c>
      <c r="C10" s="430"/>
      <c r="D10" s="71"/>
      <c r="E10" s="71" t="s">
        <v>1936</v>
      </c>
      <c r="F10" s="33">
        <v>1</v>
      </c>
      <c r="G10" s="433"/>
      <c r="H10" s="433"/>
    </row>
    <row r="11" spans="1:8" x14ac:dyDescent="0.2">
      <c r="A11" s="213" t="s">
        <v>17</v>
      </c>
      <c r="B11" s="314" t="s">
        <v>407</v>
      </c>
      <c r="C11" s="430"/>
      <c r="D11" s="71"/>
      <c r="E11" s="71" t="s">
        <v>1920</v>
      </c>
      <c r="F11" s="33">
        <v>1</v>
      </c>
      <c r="G11" s="433"/>
      <c r="H11" s="433"/>
    </row>
    <row r="12" spans="1:8" x14ac:dyDescent="0.2">
      <c r="A12" s="213" t="s">
        <v>16</v>
      </c>
      <c r="B12" s="314" t="s">
        <v>476</v>
      </c>
      <c r="C12" s="430"/>
      <c r="D12" s="71"/>
      <c r="E12" s="71" t="s">
        <v>1920</v>
      </c>
      <c r="F12" s="33">
        <v>1</v>
      </c>
      <c r="G12" s="433"/>
      <c r="H12" s="433"/>
    </row>
    <row r="13" spans="1:8" x14ac:dyDescent="0.2">
      <c r="A13" s="213" t="s">
        <v>1152</v>
      </c>
      <c r="B13" s="314" t="s">
        <v>281</v>
      </c>
      <c r="C13" s="430"/>
      <c r="D13" s="71"/>
      <c r="E13" s="71" t="s">
        <v>1920</v>
      </c>
      <c r="F13" s="33">
        <v>1</v>
      </c>
      <c r="G13" s="433"/>
      <c r="H13" s="433"/>
    </row>
    <row r="14" spans="1:8" x14ac:dyDescent="0.2">
      <c r="A14" s="213" t="s">
        <v>1347</v>
      </c>
      <c r="B14" s="314" t="s">
        <v>790</v>
      </c>
      <c r="C14" s="430"/>
      <c r="D14" s="71"/>
      <c r="E14" s="71" t="s">
        <v>1920</v>
      </c>
      <c r="F14" s="33">
        <v>1</v>
      </c>
      <c r="G14" s="433"/>
      <c r="H14" s="433"/>
    </row>
    <row r="15" spans="1:8" x14ac:dyDescent="0.2">
      <c r="A15" s="213" t="s">
        <v>1093</v>
      </c>
      <c r="B15" s="314" t="s">
        <v>215</v>
      </c>
      <c r="C15" s="430"/>
      <c r="D15" s="71"/>
      <c r="E15" s="71" t="s">
        <v>1920</v>
      </c>
      <c r="F15" s="33">
        <v>2</v>
      </c>
      <c r="G15" s="433"/>
      <c r="H15" s="433"/>
    </row>
    <row r="16" spans="1:8" x14ac:dyDescent="0.2">
      <c r="A16" s="213" t="s">
        <v>1044</v>
      </c>
      <c r="B16" s="314" t="s">
        <v>272</v>
      </c>
      <c r="C16" s="430"/>
      <c r="D16" s="71"/>
      <c r="E16" s="71" t="s">
        <v>1920</v>
      </c>
      <c r="F16" s="33">
        <v>2</v>
      </c>
      <c r="G16" s="433"/>
      <c r="H16" s="433"/>
    </row>
    <row r="17" spans="1:8" x14ac:dyDescent="0.2">
      <c r="A17" s="213" t="s">
        <v>1045</v>
      </c>
      <c r="B17" s="314" t="s">
        <v>273</v>
      </c>
      <c r="C17" s="430"/>
      <c r="D17" s="71"/>
      <c r="E17" s="71" t="s">
        <v>1920</v>
      </c>
      <c r="F17" s="33">
        <v>2</v>
      </c>
      <c r="G17" s="433"/>
      <c r="H17" s="433"/>
    </row>
    <row r="18" spans="1:8" x14ac:dyDescent="0.2">
      <c r="A18" s="213" t="s">
        <v>6</v>
      </c>
      <c r="B18" s="314" t="s">
        <v>91</v>
      </c>
      <c r="C18" s="430"/>
      <c r="D18" s="71"/>
      <c r="E18" s="71" t="s">
        <v>1920</v>
      </c>
      <c r="F18" s="33">
        <v>1</v>
      </c>
      <c r="G18" s="433"/>
      <c r="H18" s="433"/>
    </row>
    <row r="19" spans="1:8" x14ac:dyDescent="0.2">
      <c r="A19" s="213" t="s">
        <v>161</v>
      </c>
      <c r="B19" s="314" t="s">
        <v>774</v>
      </c>
      <c r="C19" s="430"/>
      <c r="D19" s="71"/>
      <c r="E19" s="71" t="s">
        <v>1920</v>
      </c>
      <c r="F19" s="33">
        <v>2</v>
      </c>
      <c r="G19" s="433"/>
      <c r="H19" s="433"/>
    </row>
    <row r="20" spans="1:8" x14ac:dyDescent="0.2">
      <c r="A20" s="213" t="s">
        <v>192</v>
      </c>
      <c r="B20" s="314" t="s">
        <v>601</v>
      </c>
      <c r="C20" s="430"/>
      <c r="D20" s="71"/>
      <c r="E20" s="71" t="s">
        <v>1920</v>
      </c>
      <c r="F20" s="33">
        <v>1</v>
      </c>
      <c r="G20" s="433"/>
      <c r="H20" s="433"/>
    </row>
    <row r="21" spans="1:8" x14ac:dyDescent="0.2">
      <c r="A21" s="305" t="s">
        <v>3260</v>
      </c>
      <c r="B21" s="314" t="s">
        <v>480</v>
      </c>
      <c r="C21" s="430"/>
      <c r="D21" s="71"/>
      <c r="E21" s="71" t="s">
        <v>1920</v>
      </c>
      <c r="F21" s="33">
        <v>1</v>
      </c>
      <c r="G21" s="433"/>
      <c r="H21" s="433"/>
    </row>
    <row r="22" spans="1:8" x14ac:dyDescent="0.2">
      <c r="A22" s="305" t="s">
        <v>3262</v>
      </c>
      <c r="B22" s="314" t="s">
        <v>635</v>
      </c>
      <c r="C22" s="430"/>
      <c r="D22" s="71"/>
      <c r="E22" s="71" t="s">
        <v>1920</v>
      </c>
      <c r="F22" s="33">
        <v>1</v>
      </c>
      <c r="G22" s="433"/>
      <c r="H22" s="433"/>
    </row>
    <row r="23" spans="1:8" x14ac:dyDescent="0.2">
      <c r="A23" s="305" t="s">
        <v>3257</v>
      </c>
      <c r="B23" s="314" t="s">
        <v>888</v>
      </c>
      <c r="C23" s="430"/>
      <c r="D23" s="71"/>
      <c r="E23" s="71" t="s">
        <v>1920</v>
      </c>
      <c r="F23" s="33">
        <v>1</v>
      </c>
      <c r="G23" s="433"/>
      <c r="H23" s="433"/>
    </row>
    <row r="24" spans="1:8" x14ac:dyDescent="0.2">
      <c r="A24" s="213" t="s">
        <v>1484</v>
      </c>
      <c r="B24" s="314" t="s">
        <v>778</v>
      </c>
      <c r="C24" s="430"/>
      <c r="D24" s="71" t="s">
        <v>1876</v>
      </c>
      <c r="E24" s="71" t="s">
        <v>1949</v>
      </c>
      <c r="F24" s="33">
        <v>2</v>
      </c>
      <c r="G24" s="433"/>
      <c r="H24" s="433"/>
    </row>
    <row r="25" spans="1:8" x14ac:dyDescent="0.2">
      <c r="A25" s="213" t="s">
        <v>1510</v>
      </c>
      <c r="B25" s="314" t="s">
        <v>2130</v>
      </c>
      <c r="C25" s="430"/>
      <c r="D25" s="71"/>
      <c r="E25" s="71"/>
      <c r="F25" s="33">
        <v>1</v>
      </c>
      <c r="G25" s="433"/>
      <c r="H25" s="433"/>
    </row>
    <row r="26" spans="1:8" x14ac:dyDescent="0.2">
      <c r="A26" s="213" t="s">
        <v>1511</v>
      </c>
      <c r="B26" s="314" t="s">
        <v>2000</v>
      </c>
      <c r="C26" s="430"/>
      <c r="D26" s="71"/>
      <c r="E26" s="71"/>
      <c r="F26" s="33">
        <v>1</v>
      </c>
      <c r="G26" s="433"/>
      <c r="H26" s="433"/>
    </row>
    <row r="27" spans="1:8" x14ac:dyDescent="0.2">
      <c r="A27" s="213" t="s">
        <v>1512</v>
      </c>
      <c r="B27" s="314" t="s">
        <v>1999</v>
      </c>
      <c r="C27" s="430"/>
      <c r="D27" s="71"/>
      <c r="E27" s="71"/>
      <c r="F27" s="33">
        <v>1</v>
      </c>
      <c r="G27" s="433"/>
      <c r="H27" s="433"/>
    </row>
    <row r="28" spans="1:8" x14ac:dyDescent="0.2">
      <c r="A28" s="213" t="s">
        <v>157</v>
      </c>
      <c r="B28" s="314" t="s">
        <v>633</v>
      </c>
      <c r="C28" s="430"/>
      <c r="D28" s="71" t="s">
        <v>1890</v>
      </c>
      <c r="E28" s="71" t="s">
        <v>1948</v>
      </c>
      <c r="F28" s="33">
        <v>1</v>
      </c>
      <c r="G28" s="433"/>
      <c r="H28" s="433"/>
    </row>
    <row r="29" spans="1:8" x14ac:dyDescent="0.2">
      <c r="A29" s="213" t="s">
        <v>1508</v>
      </c>
      <c r="B29" s="314" t="s">
        <v>600</v>
      </c>
      <c r="C29" s="430"/>
      <c r="D29" s="71" t="s">
        <v>1908</v>
      </c>
      <c r="E29" s="71" t="s">
        <v>1928</v>
      </c>
      <c r="F29" s="33">
        <v>1</v>
      </c>
      <c r="G29" s="433"/>
      <c r="H29" s="433"/>
    </row>
    <row r="30" spans="1:8" x14ac:dyDescent="0.2">
      <c r="A30" s="213" t="s">
        <v>158</v>
      </c>
      <c r="B30" s="314" t="s">
        <v>603</v>
      </c>
      <c r="C30" s="430"/>
      <c r="D30" s="71" t="s">
        <v>1909</v>
      </c>
      <c r="E30" s="71" t="s">
        <v>1964</v>
      </c>
      <c r="F30" s="33">
        <v>1</v>
      </c>
      <c r="G30" s="433"/>
      <c r="H30" s="433"/>
    </row>
    <row r="31" spans="1:8" x14ac:dyDescent="0.2">
      <c r="A31" s="255" t="s">
        <v>765</v>
      </c>
      <c r="B31" s="314" t="s">
        <v>766</v>
      </c>
      <c r="C31" s="430"/>
      <c r="D31" s="71" t="s">
        <v>1910</v>
      </c>
      <c r="E31" s="71" t="s">
        <v>1965</v>
      </c>
      <c r="F31" s="33">
        <v>1</v>
      </c>
      <c r="G31" s="433"/>
      <c r="H31" s="433"/>
    </row>
    <row r="32" spans="1:8" x14ac:dyDescent="0.2">
      <c r="A32" s="255" t="s">
        <v>1513</v>
      </c>
      <c r="B32" s="314" t="s">
        <v>763</v>
      </c>
      <c r="C32" s="430"/>
      <c r="D32" s="71" t="s">
        <v>1911</v>
      </c>
      <c r="E32" s="71" t="s">
        <v>1966</v>
      </c>
      <c r="F32" s="33">
        <v>1</v>
      </c>
      <c r="G32" s="433"/>
      <c r="H32" s="433"/>
    </row>
    <row r="33" spans="1:8" x14ac:dyDescent="0.2">
      <c r="A33" s="255" t="s">
        <v>160</v>
      </c>
      <c r="B33" s="314" t="s">
        <v>605</v>
      </c>
      <c r="C33" s="430"/>
      <c r="D33" s="71" t="s">
        <v>1912</v>
      </c>
      <c r="E33" s="71" t="s">
        <v>1967</v>
      </c>
      <c r="F33" s="33">
        <v>1</v>
      </c>
      <c r="G33" s="433"/>
      <c r="H33" s="433"/>
    </row>
    <row r="34" spans="1:8" x14ac:dyDescent="0.2">
      <c r="A34" s="213" t="s">
        <v>155</v>
      </c>
      <c r="B34" s="314" t="s">
        <v>595</v>
      </c>
      <c r="C34" s="430"/>
      <c r="D34" s="71" t="s">
        <v>1913</v>
      </c>
      <c r="E34" s="71" t="s">
        <v>1967</v>
      </c>
      <c r="F34" s="33">
        <v>1</v>
      </c>
      <c r="G34" s="433"/>
      <c r="H34" s="433"/>
    </row>
    <row r="35" spans="1:8" x14ac:dyDescent="0.2">
      <c r="A35" s="213" t="s">
        <v>156</v>
      </c>
      <c r="B35" s="314" t="s">
        <v>596</v>
      </c>
      <c r="C35" s="430"/>
      <c r="D35" s="71" t="s">
        <v>1914</v>
      </c>
      <c r="E35" s="71" t="s">
        <v>1967</v>
      </c>
      <c r="F35" s="33">
        <v>1</v>
      </c>
      <c r="G35" s="433"/>
      <c r="H35" s="433"/>
    </row>
    <row r="36" spans="1:8" x14ac:dyDescent="0.2">
      <c r="A36" s="213" t="s">
        <v>14</v>
      </c>
      <c r="B36" s="314" t="s">
        <v>472</v>
      </c>
      <c r="C36" s="430"/>
      <c r="D36" s="71"/>
      <c r="E36" s="71" t="s">
        <v>1971</v>
      </c>
      <c r="F36" s="33">
        <v>1</v>
      </c>
      <c r="G36" s="433"/>
      <c r="H36" s="433"/>
    </row>
    <row r="37" spans="1:8" x14ac:dyDescent="0.2">
      <c r="A37" s="213" t="s">
        <v>159</v>
      </c>
      <c r="B37" s="314" t="s">
        <v>1107</v>
      </c>
      <c r="C37" s="430"/>
      <c r="D37" s="71" t="s">
        <v>1915</v>
      </c>
      <c r="E37" s="71" t="s">
        <v>1965</v>
      </c>
      <c r="F37" s="33">
        <v>1</v>
      </c>
      <c r="G37" s="433"/>
      <c r="H37" s="433"/>
    </row>
    <row r="38" spans="1:8" ht="15" customHeight="1" x14ac:dyDescent="0.2">
      <c r="A38" s="213" t="s">
        <v>1415</v>
      </c>
      <c r="B38" s="314" t="s">
        <v>604</v>
      </c>
      <c r="C38" s="430"/>
      <c r="D38" s="71"/>
      <c r="E38" s="71" t="s">
        <v>1973</v>
      </c>
      <c r="F38" s="33">
        <v>1</v>
      </c>
      <c r="G38" s="433"/>
      <c r="H38" s="433"/>
    </row>
    <row r="39" spans="1:8" ht="15" customHeight="1" x14ac:dyDescent="0.2">
      <c r="A39" s="213" t="s">
        <v>2133</v>
      </c>
      <c r="B39" s="314" t="s">
        <v>2909</v>
      </c>
      <c r="C39" s="430"/>
      <c r="D39" s="71"/>
      <c r="E39" s="71">
        <v>56654</v>
      </c>
      <c r="F39" s="33">
        <v>1</v>
      </c>
      <c r="G39" s="433"/>
      <c r="H39" s="433"/>
    </row>
    <row r="40" spans="1:8" ht="14.25" customHeight="1" x14ac:dyDescent="0.2">
      <c r="A40" s="213" t="s">
        <v>105</v>
      </c>
      <c r="B40" s="314" t="s">
        <v>2118</v>
      </c>
      <c r="C40" s="430"/>
      <c r="D40" s="71"/>
      <c r="E40" s="71" t="s">
        <v>1975</v>
      </c>
      <c r="F40" s="33">
        <v>2</v>
      </c>
      <c r="G40" s="433"/>
      <c r="H40" s="433"/>
    </row>
    <row r="41" spans="1:8" x14ac:dyDescent="0.2">
      <c r="A41" s="213" t="s">
        <v>1085</v>
      </c>
      <c r="B41" s="314" t="s">
        <v>92</v>
      </c>
      <c r="C41" s="430"/>
      <c r="D41" s="71"/>
      <c r="E41" s="71" t="s">
        <v>1920</v>
      </c>
      <c r="F41" s="33">
        <v>1</v>
      </c>
      <c r="G41" s="433"/>
      <c r="H41" s="433"/>
    </row>
    <row r="42" spans="1:8" x14ac:dyDescent="0.2">
      <c r="A42" s="213" t="s">
        <v>3132</v>
      </c>
      <c r="B42" s="314" t="s">
        <v>2732</v>
      </c>
      <c r="C42" s="430"/>
      <c r="D42" s="71"/>
      <c r="E42" s="71">
        <v>55719</v>
      </c>
      <c r="F42" s="33">
        <v>2</v>
      </c>
      <c r="G42" s="433"/>
      <c r="H42" s="433"/>
    </row>
    <row r="43" spans="1:8" x14ac:dyDescent="0.2">
      <c r="A43" s="213" t="s">
        <v>3048</v>
      </c>
      <c r="B43" s="314" t="s">
        <v>3049</v>
      </c>
      <c r="C43" s="430"/>
      <c r="D43" s="71"/>
      <c r="E43" s="71" t="s">
        <v>3022</v>
      </c>
      <c r="F43" s="33">
        <v>1</v>
      </c>
      <c r="G43" s="433"/>
      <c r="H43" s="433"/>
    </row>
    <row r="44" spans="1:8" x14ac:dyDescent="0.2">
      <c r="A44" s="213" t="s">
        <v>3054</v>
      </c>
      <c r="B44" s="314" t="s">
        <v>3056</v>
      </c>
      <c r="C44" s="430"/>
      <c r="D44" s="71"/>
      <c r="E44" s="71" t="s">
        <v>3022</v>
      </c>
      <c r="F44" s="33">
        <v>1</v>
      </c>
      <c r="G44" s="433"/>
      <c r="H44" s="433"/>
    </row>
    <row r="45" spans="1:8" x14ac:dyDescent="0.2">
      <c r="A45" s="213" t="s">
        <v>3026</v>
      </c>
      <c r="B45" s="314" t="s">
        <v>3012</v>
      </c>
      <c r="C45" s="430"/>
      <c r="D45" s="71"/>
      <c r="E45" s="71" t="s">
        <v>3022</v>
      </c>
      <c r="F45" s="33">
        <v>1</v>
      </c>
      <c r="G45" s="433"/>
      <c r="H45" s="433"/>
    </row>
    <row r="46" spans="1:8" x14ac:dyDescent="0.2">
      <c r="A46" s="213" t="s">
        <v>3025</v>
      </c>
      <c r="B46" s="314" t="s">
        <v>3013</v>
      </c>
      <c r="C46" s="430"/>
      <c r="D46" s="71"/>
      <c r="E46" s="71" t="s">
        <v>3022</v>
      </c>
      <c r="F46" s="33">
        <v>1</v>
      </c>
      <c r="G46" s="433"/>
      <c r="H46" s="433"/>
    </row>
    <row r="47" spans="1:8" x14ac:dyDescent="0.2">
      <c r="A47" s="213" t="s">
        <v>20</v>
      </c>
      <c r="B47" s="314" t="s">
        <v>287</v>
      </c>
      <c r="C47" s="430"/>
      <c r="D47" s="71"/>
      <c r="E47" s="71" t="s">
        <v>1920</v>
      </c>
      <c r="F47" s="33">
        <v>1</v>
      </c>
      <c r="G47" s="433"/>
      <c r="H47" s="433"/>
    </row>
    <row r="48" spans="1:8" x14ac:dyDescent="0.2">
      <c r="A48" s="213" t="s">
        <v>3021</v>
      </c>
      <c r="B48" s="314" t="s">
        <v>3061</v>
      </c>
      <c r="C48" s="430"/>
      <c r="D48" s="71"/>
      <c r="E48" s="71" t="s">
        <v>3022</v>
      </c>
      <c r="F48" s="33">
        <v>1</v>
      </c>
      <c r="G48" s="433"/>
      <c r="H48" s="433"/>
    </row>
    <row r="50" spans="1:7" s="4" customFormat="1" ht="18" x14ac:dyDescent="0.25">
      <c r="A50" s="422" t="s">
        <v>1774</v>
      </c>
      <c r="B50" s="425"/>
      <c r="C50" s="309"/>
      <c r="D50" s="3"/>
      <c r="E50" s="3"/>
      <c r="F50" s="3"/>
      <c r="G50" s="39"/>
    </row>
    <row r="51" spans="1:7" s="4" customFormat="1" ht="18" x14ac:dyDescent="0.25">
      <c r="A51" s="422" t="s">
        <v>2991</v>
      </c>
      <c r="B51" s="425"/>
      <c r="C51" s="309"/>
      <c r="D51" s="3"/>
      <c r="E51" s="3"/>
      <c r="F51" s="3"/>
      <c r="G51" s="39"/>
    </row>
    <row r="52" spans="1:7" ht="18" x14ac:dyDescent="0.25">
      <c r="A52" s="491" t="s">
        <v>3316</v>
      </c>
      <c r="B52" s="244"/>
    </row>
    <row r="53" spans="1:7" ht="28.5" customHeight="1" x14ac:dyDescent="0.25">
      <c r="A53" s="434" t="s">
        <v>3367</v>
      </c>
      <c r="B53" s="420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57"/>
  <sheetViews>
    <sheetView workbookViewId="0">
      <pane ySplit="1" topLeftCell="A17" activePane="bottomLeft" state="frozen"/>
      <selection activeCell="C26" sqref="C26"/>
      <selection pane="bottomLeft" activeCell="G2" sqref="G2:G50"/>
    </sheetView>
  </sheetViews>
  <sheetFormatPr defaultColWidth="9.140625" defaultRowHeight="12.75" x14ac:dyDescent="0.2"/>
  <cols>
    <col min="1" max="1" width="63.85546875" style="189" bestFit="1" customWidth="1"/>
    <col min="2" max="2" width="15.85546875" style="172" bestFit="1" customWidth="1"/>
    <col min="3" max="3" width="19.42578125" style="172" bestFit="1" customWidth="1"/>
    <col min="4" max="4" width="20.42578125" style="172" bestFit="1" customWidth="1"/>
    <col min="5" max="5" width="20.140625" style="172" bestFit="1" customWidth="1"/>
    <col min="6" max="6" width="12.42578125" style="172" bestFit="1" customWidth="1"/>
    <col min="7" max="7" width="10" style="190" bestFit="1" customWidth="1"/>
    <col min="8" max="8" width="11.42578125" style="189" bestFit="1" customWidth="1"/>
    <col min="9" max="9" width="16.85546875" style="189" bestFit="1" customWidth="1"/>
    <col min="10" max="16384" width="9.140625" style="189"/>
  </cols>
  <sheetData>
    <row r="1" spans="1:9" ht="15.75" x14ac:dyDescent="0.25">
      <c r="A1" s="115" t="s">
        <v>0</v>
      </c>
      <c r="B1" s="22" t="s">
        <v>1</v>
      </c>
      <c r="C1" s="370" t="s">
        <v>3274</v>
      </c>
      <c r="D1" s="367" t="s">
        <v>3373</v>
      </c>
      <c r="E1" s="22" t="s">
        <v>1872</v>
      </c>
      <c r="F1" s="22" t="s">
        <v>1873</v>
      </c>
      <c r="G1" s="115" t="s">
        <v>412</v>
      </c>
      <c r="H1" s="441" t="s">
        <v>3368</v>
      </c>
      <c r="I1" s="418" t="s">
        <v>3369</v>
      </c>
    </row>
    <row r="2" spans="1:9" ht="15" x14ac:dyDescent="0.2">
      <c r="A2" s="151" t="s">
        <v>1464</v>
      </c>
      <c r="B2" s="114" t="s">
        <v>2876</v>
      </c>
      <c r="C2" s="334" t="s">
        <v>2876</v>
      </c>
      <c r="D2" s="430"/>
      <c r="E2" s="114"/>
      <c r="F2" s="114" t="s">
        <v>1951</v>
      </c>
      <c r="G2" s="114">
        <v>1</v>
      </c>
      <c r="H2" s="485"/>
      <c r="I2" s="463"/>
    </row>
    <row r="3" spans="1:9" ht="15" x14ac:dyDescent="0.2">
      <c r="A3" s="151" t="s">
        <v>459</v>
      </c>
      <c r="B3" s="114" t="s">
        <v>1823</v>
      </c>
      <c r="C3" s="334" t="s">
        <v>2752</v>
      </c>
      <c r="D3" s="430"/>
      <c r="E3" s="114"/>
      <c r="F3" s="267" t="s">
        <v>1920</v>
      </c>
      <c r="G3" s="114">
        <v>1</v>
      </c>
      <c r="H3" s="485"/>
      <c r="I3" s="463"/>
    </row>
    <row r="4" spans="1:9" ht="15" x14ac:dyDescent="0.2">
      <c r="A4" s="151" t="s">
        <v>1161</v>
      </c>
      <c r="B4" s="114" t="s">
        <v>2753</v>
      </c>
      <c r="C4" s="334" t="s">
        <v>2753</v>
      </c>
      <c r="D4" s="430"/>
      <c r="E4" s="114"/>
      <c r="F4" s="267" t="s">
        <v>1920</v>
      </c>
      <c r="G4" s="114">
        <v>1</v>
      </c>
      <c r="H4" s="485"/>
      <c r="I4" s="463"/>
    </row>
    <row r="5" spans="1:9" ht="15" x14ac:dyDescent="0.2">
      <c r="A5" s="151" t="s">
        <v>177</v>
      </c>
      <c r="B5" s="114" t="s">
        <v>639</v>
      </c>
      <c r="C5" s="334" t="s">
        <v>639</v>
      </c>
      <c r="D5" s="430"/>
      <c r="E5" s="114"/>
      <c r="F5" s="114" t="s">
        <v>1920</v>
      </c>
      <c r="G5" s="114">
        <v>1</v>
      </c>
      <c r="H5" s="485"/>
      <c r="I5" s="463"/>
    </row>
    <row r="6" spans="1:9" ht="15" x14ac:dyDescent="0.2">
      <c r="A6" s="151" t="s">
        <v>17</v>
      </c>
      <c r="B6" s="114" t="s">
        <v>407</v>
      </c>
      <c r="C6" s="334" t="s">
        <v>407</v>
      </c>
      <c r="D6" s="430"/>
      <c r="E6" s="114"/>
      <c r="F6" s="114" t="s">
        <v>1920</v>
      </c>
      <c r="G6" s="114">
        <v>1</v>
      </c>
      <c r="H6" s="485"/>
      <c r="I6" s="463"/>
    </row>
    <row r="7" spans="1:9" ht="15" x14ac:dyDescent="0.2">
      <c r="A7" s="151" t="s">
        <v>1390</v>
      </c>
      <c r="B7" s="114" t="s">
        <v>386</v>
      </c>
      <c r="C7" s="334" t="s">
        <v>386</v>
      </c>
      <c r="D7" s="430"/>
      <c r="E7" s="114"/>
      <c r="F7" s="114" t="s">
        <v>1920</v>
      </c>
      <c r="G7" s="114">
        <v>1</v>
      </c>
      <c r="H7" s="485"/>
      <c r="I7" s="463"/>
    </row>
    <row r="8" spans="1:9" ht="15" x14ac:dyDescent="0.2">
      <c r="A8" s="151" t="s">
        <v>178</v>
      </c>
      <c r="B8" s="114" t="s">
        <v>640</v>
      </c>
      <c r="C8" s="334" t="s">
        <v>640</v>
      </c>
      <c r="D8" s="430"/>
      <c r="E8" s="114"/>
      <c r="F8" s="114" t="s">
        <v>1920</v>
      </c>
      <c r="G8" s="114">
        <v>1</v>
      </c>
      <c r="H8" s="485"/>
      <c r="I8" s="463"/>
    </row>
    <row r="9" spans="1:9" ht="15" x14ac:dyDescent="0.2">
      <c r="A9" s="151" t="s">
        <v>643</v>
      </c>
      <c r="B9" s="114" t="s">
        <v>641</v>
      </c>
      <c r="C9" s="334" t="s">
        <v>641</v>
      </c>
      <c r="D9" s="430"/>
      <c r="E9" s="114"/>
      <c r="F9" s="114" t="s">
        <v>1920</v>
      </c>
      <c r="G9" s="114">
        <v>1</v>
      </c>
      <c r="H9" s="485"/>
      <c r="I9" s="463"/>
    </row>
    <row r="10" spans="1:9" ht="15" x14ac:dyDescent="0.2">
      <c r="A10" s="151" t="s">
        <v>644</v>
      </c>
      <c r="B10" s="114" t="s">
        <v>642</v>
      </c>
      <c r="C10" s="334" t="s">
        <v>642</v>
      </c>
      <c r="D10" s="430"/>
      <c r="E10" s="114"/>
      <c r="F10" s="114" t="s">
        <v>1920</v>
      </c>
      <c r="G10" s="114">
        <v>1</v>
      </c>
      <c r="H10" s="485"/>
      <c r="I10" s="463"/>
    </row>
    <row r="11" spans="1:9" ht="15" x14ac:dyDescent="0.2">
      <c r="A11" s="151" t="s">
        <v>16</v>
      </c>
      <c r="B11" s="114" t="s">
        <v>476</v>
      </c>
      <c r="C11" s="334" t="s">
        <v>476</v>
      </c>
      <c r="D11" s="430"/>
      <c r="E11" s="114"/>
      <c r="F11" s="114" t="s">
        <v>1920</v>
      </c>
      <c r="G11" s="114">
        <v>1</v>
      </c>
      <c r="H11" s="485"/>
      <c r="I11" s="463"/>
    </row>
    <row r="12" spans="1:9" ht="15" x14ac:dyDescent="0.2">
      <c r="A12" s="151" t="s">
        <v>1192</v>
      </c>
      <c r="B12" s="114" t="s">
        <v>94</v>
      </c>
      <c r="C12" s="334" t="s">
        <v>94</v>
      </c>
      <c r="D12" s="430"/>
      <c r="E12" s="114"/>
      <c r="F12" s="114" t="s">
        <v>1920</v>
      </c>
      <c r="G12" s="114">
        <v>1</v>
      </c>
      <c r="H12" s="485"/>
      <c r="I12" s="463"/>
    </row>
    <row r="13" spans="1:9" ht="15" x14ac:dyDescent="0.2">
      <c r="A13" s="151" t="s">
        <v>1092</v>
      </c>
      <c r="B13" s="114" t="s">
        <v>406</v>
      </c>
      <c r="C13" s="334" t="s">
        <v>406</v>
      </c>
      <c r="D13" s="430"/>
      <c r="E13" s="114"/>
      <c r="F13" s="114" t="s">
        <v>1920</v>
      </c>
      <c r="G13" s="114">
        <v>2</v>
      </c>
      <c r="H13" s="485"/>
      <c r="I13" s="463"/>
    </row>
    <row r="14" spans="1:9" ht="15" x14ac:dyDescent="0.2">
      <c r="A14" s="151" t="s">
        <v>1093</v>
      </c>
      <c r="B14" s="114" t="s">
        <v>215</v>
      </c>
      <c r="C14" s="334" t="s">
        <v>215</v>
      </c>
      <c r="D14" s="430"/>
      <c r="E14" s="114"/>
      <c r="F14" s="114" t="s">
        <v>1920</v>
      </c>
      <c r="G14" s="114">
        <v>1</v>
      </c>
      <c r="H14" s="485"/>
      <c r="I14" s="463"/>
    </row>
    <row r="15" spans="1:9" ht="15" x14ac:dyDescent="0.2">
      <c r="A15" s="151" t="s">
        <v>1044</v>
      </c>
      <c r="B15" s="114" t="s">
        <v>272</v>
      </c>
      <c r="C15" s="334" t="s">
        <v>272</v>
      </c>
      <c r="D15" s="430"/>
      <c r="E15" s="114"/>
      <c r="F15" s="114" t="s">
        <v>1920</v>
      </c>
      <c r="G15" s="114">
        <v>1</v>
      </c>
      <c r="H15" s="485"/>
      <c r="I15" s="463"/>
    </row>
    <row r="16" spans="1:9" ht="15" x14ac:dyDescent="0.2">
      <c r="A16" s="151" t="s">
        <v>39</v>
      </c>
      <c r="B16" s="114" t="s">
        <v>245</v>
      </c>
      <c r="C16" s="334" t="s">
        <v>245</v>
      </c>
      <c r="D16" s="430"/>
      <c r="E16" s="114"/>
      <c r="F16" s="114"/>
      <c r="G16" s="114">
        <v>1</v>
      </c>
      <c r="H16" s="704"/>
      <c r="I16" s="463"/>
    </row>
    <row r="17" spans="1:9" ht="15" x14ac:dyDescent="0.2">
      <c r="A17" s="151" t="s">
        <v>6</v>
      </c>
      <c r="B17" s="114" t="s">
        <v>91</v>
      </c>
      <c r="C17" s="334" t="s">
        <v>91</v>
      </c>
      <c r="D17" s="430"/>
      <c r="E17" s="114"/>
      <c r="F17" s="114" t="s">
        <v>1920</v>
      </c>
      <c r="G17" s="114">
        <v>1</v>
      </c>
      <c r="H17" s="485"/>
      <c r="I17" s="463"/>
    </row>
    <row r="18" spans="1:9" ht="15" x14ac:dyDescent="0.2">
      <c r="A18" s="151" t="s">
        <v>1259</v>
      </c>
      <c r="B18" s="114" t="s">
        <v>615</v>
      </c>
      <c r="C18" s="334" t="s">
        <v>615</v>
      </c>
      <c r="D18" s="430"/>
      <c r="E18" s="114"/>
      <c r="F18" s="114" t="s">
        <v>1920</v>
      </c>
      <c r="G18" s="114">
        <v>1</v>
      </c>
      <c r="H18" s="485"/>
      <c r="I18" s="463"/>
    </row>
    <row r="19" spans="1:9" ht="15" x14ac:dyDescent="0.2">
      <c r="A19" s="151" t="s">
        <v>101</v>
      </c>
      <c r="B19" s="114" t="s">
        <v>371</v>
      </c>
      <c r="C19" s="334" t="s">
        <v>371</v>
      </c>
      <c r="D19" s="430"/>
      <c r="E19" s="114"/>
      <c r="F19" s="114"/>
      <c r="G19" s="114">
        <v>1</v>
      </c>
      <c r="H19" s="485"/>
      <c r="I19" s="463"/>
    </row>
    <row r="20" spans="1:9" ht="15" x14ac:dyDescent="0.2">
      <c r="A20" s="151" t="s">
        <v>205</v>
      </c>
      <c r="B20" s="114" t="s">
        <v>682</v>
      </c>
      <c r="C20" s="334" t="s">
        <v>682</v>
      </c>
      <c r="D20" s="430"/>
      <c r="E20" s="114"/>
      <c r="F20" s="114"/>
      <c r="G20" s="114">
        <v>1</v>
      </c>
      <c r="H20" s="485"/>
      <c r="I20" s="463"/>
    </row>
    <row r="21" spans="1:9" ht="15" x14ac:dyDescent="0.2">
      <c r="A21" s="151" t="s">
        <v>180</v>
      </c>
      <c r="B21" s="114" t="s">
        <v>479</v>
      </c>
      <c r="C21" s="334" t="s">
        <v>479</v>
      </c>
      <c r="D21" s="430"/>
      <c r="E21" s="114"/>
      <c r="F21" s="114" t="s">
        <v>1920</v>
      </c>
      <c r="G21" s="114">
        <v>1</v>
      </c>
      <c r="H21" s="485"/>
      <c r="I21" s="463"/>
    </row>
    <row r="22" spans="1:9" ht="15" x14ac:dyDescent="0.2">
      <c r="A22" s="151" t="s">
        <v>3260</v>
      </c>
      <c r="B22" s="114" t="s">
        <v>480</v>
      </c>
      <c r="C22" s="334" t="s">
        <v>480</v>
      </c>
      <c r="D22" s="430"/>
      <c r="E22" s="114"/>
      <c r="F22" s="114" t="s">
        <v>1920</v>
      </c>
      <c r="G22" s="114">
        <v>1</v>
      </c>
      <c r="H22" s="485"/>
      <c r="I22" s="463"/>
    </row>
    <row r="23" spans="1:9" ht="15" x14ac:dyDescent="0.2">
      <c r="A23" s="151" t="s">
        <v>3257</v>
      </c>
      <c r="B23" s="114" t="s">
        <v>888</v>
      </c>
      <c r="C23" s="334" t="s">
        <v>888</v>
      </c>
      <c r="D23" s="430"/>
      <c r="E23" s="114"/>
      <c r="F23" s="114" t="s">
        <v>1920</v>
      </c>
      <c r="G23" s="114">
        <v>1</v>
      </c>
      <c r="H23" s="485"/>
      <c r="I23" s="463"/>
    </row>
    <row r="24" spans="1:9" ht="15" x14ac:dyDescent="0.2">
      <c r="A24" s="151" t="s">
        <v>3228</v>
      </c>
      <c r="B24" s="114" t="s">
        <v>1103</v>
      </c>
      <c r="C24" s="334" t="s">
        <v>1103</v>
      </c>
      <c r="D24" s="430"/>
      <c r="E24" s="114" t="s">
        <v>1892</v>
      </c>
      <c r="F24" s="114" t="s">
        <v>1953</v>
      </c>
      <c r="G24" s="114">
        <v>1</v>
      </c>
      <c r="H24" s="485"/>
      <c r="I24" s="463"/>
    </row>
    <row r="25" spans="1:9" ht="15" x14ac:dyDescent="0.2">
      <c r="A25" s="151" t="s">
        <v>1513</v>
      </c>
      <c r="B25" s="114" t="s">
        <v>763</v>
      </c>
      <c r="C25" s="334" t="s">
        <v>3271</v>
      </c>
      <c r="D25" s="430"/>
      <c r="E25" s="114" t="s">
        <v>1911</v>
      </c>
      <c r="F25" s="114" t="s">
        <v>1966</v>
      </c>
      <c r="G25" s="114">
        <v>1</v>
      </c>
      <c r="H25" s="485"/>
      <c r="I25" s="463"/>
    </row>
    <row r="26" spans="1:9" ht="15" x14ac:dyDescent="0.2">
      <c r="A26" s="151" t="s">
        <v>1184</v>
      </c>
      <c r="B26" s="114" t="s">
        <v>327</v>
      </c>
      <c r="C26" s="334" t="s">
        <v>327</v>
      </c>
      <c r="D26" s="430"/>
      <c r="E26" s="114"/>
      <c r="F26" s="114"/>
      <c r="G26" s="114">
        <v>1</v>
      </c>
      <c r="H26" s="485"/>
      <c r="I26" s="463"/>
    </row>
    <row r="27" spans="1:9" ht="15" x14ac:dyDescent="0.2">
      <c r="A27" s="151" t="s">
        <v>1183</v>
      </c>
      <c r="B27" s="114" t="s">
        <v>120</v>
      </c>
      <c r="C27" s="334" t="s">
        <v>120</v>
      </c>
      <c r="D27" s="430"/>
      <c r="E27" s="114"/>
      <c r="F27" s="114"/>
      <c r="G27" s="114">
        <v>1</v>
      </c>
      <c r="H27" s="485"/>
      <c r="I27" s="463"/>
    </row>
    <row r="28" spans="1:9" ht="15" x14ac:dyDescent="0.2">
      <c r="A28" s="151" t="s">
        <v>1070</v>
      </c>
      <c r="B28" s="114" t="s">
        <v>500</v>
      </c>
      <c r="C28" s="334" t="s">
        <v>3272</v>
      </c>
      <c r="D28" s="430"/>
      <c r="E28" s="114"/>
      <c r="F28" s="114"/>
      <c r="G28" s="114">
        <v>1</v>
      </c>
      <c r="H28" s="485"/>
      <c r="I28" s="463"/>
    </row>
    <row r="29" spans="1:9" ht="15" x14ac:dyDescent="0.2">
      <c r="A29" s="151" t="s">
        <v>1071</v>
      </c>
      <c r="B29" s="114" t="s">
        <v>503</v>
      </c>
      <c r="C29" s="334" t="s">
        <v>3364</v>
      </c>
      <c r="D29" s="430"/>
      <c r="E29" s="114"/>
      <c r="F29" s="114"/>
      <c r="G29" s="114">
        <v>1</v>
      </c>
      <c r="H29" s="485"/>
      <c r="I29" s="463"/>
    </row>
    <row r="30" spans="1:9" ht="15" x14ac:dyDescent="0.2">
      <c r="A30" s="151" t="s">
        <v>1539</v>
      </c>
      <c r="B30" s="114" t="s">
        <v>2010</v>
      </c>
      <c r="C30" s="334" t="s">
        <v>2010</v>
      </c>
      <c r="D30" s="430"/>
      <c r="E30" s="114"/>
      <c r="F30" s="114" t="s">
        <v>1920</v>
      </c>
      <c r="G30" s="114">
        <v>1</v>
      </c>
      <c r="H30" s="485"/>
      <c r="I30" s="463"/>
    </row>
    <row r="31" spans="1:9" ht="15" x14ac:dyDescent="0.2">
      <c r="A31" s="151" t="s">
        <v>1575</v>
      </c>
      <c r="B31" s="114" t="s">
        <v>571</v>
      </c>
      <c r="C31" s="334" t="s">
        <v>571</v>
      </c>
      <c r="D31" s="430"/>
      <c r="E31" s="114"/>
      <c r="F31" s="114" t="s">
        <v>1920</v>
      </c>
      <c r="G31" s="114">
        <v>1</v>
      </c>
      <c r="H31" s="485"/>
      <c r="I31" s="463"/>
    </row>
    <row r="32" spans="1:9" ht="15" x14ac:dyDescent="0.2">
      <c r="A32" s="151" t="s">
        <v>1578</v>
      </c>
      <c r="B32" s="114" t="s">
        <v>572</v>
      </c>
      <c r="C32" s="334" t="s">
        <v>572</v>
      </c>
      <c r="D32" s="430"/>
      <c r="E32" s="114"/>
      <c r="F32" s="114" t="s">
        <v>1920</v>
      </c>
      <c r="G32" s="114">
        <v>1</v>
      </c>
      <c r="H32" s="485"/>
      <c r="I32" s="463"/>
    </row>
    <row r="33" spans="1:9" ht="15" x14ac:dyDescent="0.2">
      <c r="A33" s="151" t="s">
        <v>1579</v>
      </c>
      <c r="B33" s="114" t="s">
        <v>570</v>
      </c>
      <c r="C33" s="334" t="s">
        <v>570</v>
      </c>
      <c r="D33" s="430"/>
      <c r="E33" s="114"/>
      <c r="F33" s="114" t="s">
        <v>1920</v>
      </c>
      <c r="G33" s="114">
        <v>1</v>
      </c>
      <c r="H33" s="485"/>
      <c r="I33" s="463"/>
    </row>
    <row r="34" spans="1:9" ht="15" x14ac:dyDescent="0.2">
      <c r="A34" s="253" t="s">
        <v>1580</v>
      </c>
      <c r="B34" s="114" t="s">
        <v>583</v>
      </c>
      <c r="C34" s="334" t="s">
        <v>583</v>
      </c>
      <c r="D34" s="430"/>
      <c r="E34" s="114"/>
      <c r="F34" s="114" t="s">
        <v>1920</v>
      </c>
      <c r="G34" s="114">
        <v>1</v>
      </c>
      <c r="H34" s="485"/>
      <c r="I34" s="463"/>
    </row>
    <row r="35" spans="1:9" ht="15" x14ac:dyDescent="0.2">
      <c r="A35" s="253" t="s">
        <v>1582</v>
      </c>
      <c r="B35" s="114" t="s">
        <v>569</v>
      </c>
      <c r="C35" s="334" t="s">
        <v>569</v>
      </c>
      <c r="D35" s="430"/>
      <c r="E35" s="114"/>
      <c r="F35" s="114" t="s">
        <v>1920</v>
      </c>
      <c r="G35" s="114">
        <v>1</v>
      </c>
      <c r="H35" s="485"/>
      <c r="I35" s="463"/>
    </row>
    <row r="36" spans="1:9" ht="15" x14ac:dyDescent="0.2">
      <c r="A36" s="151" t="s">
        <v>1566</v>
      </c>
      <c r="B36" s="114" t="s">
        <v>514</v>
      </c>
      <c r="C36" s="334" t="s">
        <v>514</v>
      </c>
      <c r="D36" s="430"/>
      <c r="E36" s="114"/>
      <c r="F36" s="114" t="s">
        <v>1920</v>
      </c>
      <c r="G36" s="114">
        <v>1</v>
      </c>
      <c r="H36" s="485"/>
      <c r="I36" s="463"/>
    </row>
    <row r="37" spans="1:9" ht="15" x14ac:dyDescent="0.2">
      <c r="A37" s="151" t="s">
        <v>1570</v>
      </c>
      <c r="B37" s="114" t="s">
        <v>575</v>
      </c>
      <c r="C37" s="334" t="s">
        <v>575</v>
      </c>
      <c r="D37" s="430"/>
      <c r="E37" s="114"/>
      <c r="F37" s="114" t="s">
        <v>1920</v>
      </c>
      <c r="G37" s="114">
        <v>1</v>
      </c>
      <c r="H37" s="485"/>
      <c r="I37" s="463"/>
    </row>
    <row r="38" spans="1:9" ht="15" x14ac:dyDescent="0.2">
      <c r="A38" s="151" t="s">
        <v>2146</v>
      </c>
      <c r="B38" s="114" t="s">
        <v>2147</v>
      </c>
      <c r="C38" s="334" t="s">
        <v>2147</v>
      </c>
      <c r="D38" s="430"/>
      <c r="E38" s="114"/>
      <c r="F38" s="114"/>
      <c r="G38" s="114">
        <v>1</v>
      </c>
      <c r="H38" s="485"/>
      <c r="I38" s="463"/>
    </row>
    <row r="39" spans="1:9" ht="15" x14ac:dyDescent="0.2">
      <c r="A39" s="151" t="s">
        <v>1275</v>
      </c>
      <c r="B39" s="114" t="s">
        <v>478</v>
      </c>
      <c r="C39" s="334" t="s">
        <v>478</v>
      </c>
      <c r="D39" s="430"/>
      <c r="E39" s="114"/>
      <c r="F39" s="114" t="s">
        <v>1920</v>
      </c>
      <c r="G39" s="114">
        <v>1</v>
      </c>
      <c r="H39" s="485"/>
      <c r="I39" s="463"/>
    </row>
    <row r="40" spans="1:9" ht="15" x14ac:dyDescent="0.2">
      <c r="A40" s="151" t="s">
        <v>2133</v>
      </c>
      <c r="B40" s="114" t="s">
        <v>2909</v>
      </c>
      <c r="C40" s="334" t="s">
        <v>2909</v>
      </c>
      <c r="D40" s="430"/>
      <c r="E40" s="114"/>
      <c r="F40" s="114">
        <v>56654</v>
      </c>
      <c r="G40" s="114">
        <v>2</v>
      </c>
      <c r="H40" s="485"/>
      <c r="I40" s="463"/>
    </row>
    <row r="41" spans="1:9" ht="15" x14ac:dyDescent="0.2">
      <c r="A41" s="151" t="s">
        <v>195</v>
      </c>
      <c r="B41" s="114" t="s">
        <v>1984</v>
      </c>
      <c r="C41" s="334" t="s">
        <v>1984</v>
      </c>
      <c r="D41" s="430"/>
      <c r="E41" s="114"/>
      <c r="F41" s="114" t="s">
        <v>1920</v>
      </c>
      <c r="G41" s="114">
        <v>2</v>
      </c>
      <c r="H41" s="485"/>
      <c r="I41" s="463"/>
    </row>
    <row r="42" spans="1:9" ht="15" x14ac:dyDescent="0.2">
      <c r="A42" s="151" t="s">
        <v>4</v>
      </c>
      <c r="B42" s="114" t="s">
        <v>90</v>
      </c>
      <c r="C42" s="334" t="s">
        <v>90</v>
      </c>
      <c r="D42" s="430"/>
      <c r="E42" s="114"/>
      <c r="F42" s="114"/>
      <c r="G42" s="114">
        <v>1</v>
      </c>
      <c r="H42" s="485"/>
      <c r="I42" s="463"/>
    </row>
    <row r="43" spans="1:9" ht="15" x14ac:dyDescent="0.2">
      <c r="A43" s="151" t="s">
        <v>1236</v>
      </c>
      <c r="B43" s="114" t="s">
        <v>77</v>
      </c>
      <c r="C43" s="334" t="s">
        <v>77</v>
      </c>
      <c r="D43" s="430"/>
      <c r="E43" s="114"/>
      <c r="F43" s="114"/>
      <c r="G43" s="114">
        <v>1</v>
      </c>
      <c r="H43" s="485"/>
      <c r="I43" s="463"/>
    </row>
    <row r="44" spans="1:9" ht="15" x14ac:dyDescent="0.2">
      <c r="A44" s="151" t="s">
        <v>1235</v>
      </c>
      <c r="B44" s="114" t="s">
        <v>78</v>
      </c>
      <c r="C44" s="334" t="s">
        <v>78</v>
      </c>
      <c r="D44" s="430"/>
      <c r="E44" s="114"/>
      <c r="F44" s="114"/>
      <c r="G44" s="114">
        <v>1</v>
      </c>
      <c r="H44" s="485"/>
      <c r="I44" s="463"/>
    </row>
    <row r="45" spans="1:9" ht="15" x14ac:dyDescent="0.2">
      <c r="A45" s="151" t="s">
        <v>1232</v>
      </c>
      <c r="B45" s="114" t="s">
        <v>76</v>
      </c>
      <c r="C45" s="334" t="s">
        <v>76</v>
      </c>
      <c r="D45" s="430"/>
      <c r="E45" s="114"/>
      <c r="F45" s="114"/>
      <c r="G45" s="114">
        <v>1</v>
      </c>
      <c r="H45" s="485"/>
      <c r="I45" s="463"/>
    </row>
    <row r="46" spans="1:9" ht="15" x14ac:dyDescent="0.2">
      <c r="A46" s="151" t="s">
        <v>15</v>
      </c>
      <c r="B46" s="114" t="s">
        <v>380</v>
      </c>
      <c r="C46" s="334" t="s">
        <v>380</v>
      </c>
      <c r="D46" s="430"/>
      <c r="E46" s="114"/>
      <c r="F46" s="114"/>
      <c r="G46" s="114">
        <v>2</v>
      </c>
      <c r="H46" s="485"/>
      <c r="I46" s="463"/>
    </row>
    <row r="47" spans="1:9" ht="15" x14ac:dyDescent="0.2">
      <c r="A47" s="151" t="s">
        <v>37</v>
      </c>
      <c r="B47" s="114" t="s">
        <v>38</v>
      </c>
      <c r="C47" s="334" t="s">
        <v>38</v>
      </c>
      <c r="D47" s="430"/>
      <c r="E47" s="114"/>
      <c r="F47" s="114"/>
      <c r="G47" s="114">
        <v>1</v>
      </c>
      <c r="H47" s="485"/>
      <c r="I47" s="463"/>
    </row>
    <row r="48" spans="1:9" ht="15" x14ac:dyDescent="0.2">
      <c r="A48" s="151" t="s">
        <v>2923</v>
      </c>
      <c r="B48" s="114" t="s">
        <v>241</v>
      </c>
      <c r="C48" s="334" t="s">
        <v>241</v>
      </c>
      <c r="D48" s="430"/>
      <c r="E48" s="114"/>
      <c r="F48" s="114" t="s">
        <v>1920</v>
      </c>
      <c r="G48" s="114">
        <v>2</v>
      </c>
      <c r="H48" s="485"/>
      <c r="I48" s="463"/>
    </row>
    <row r="49" spans="1:9" ht="15" x14ac:dyDescent="0.2">
      <c r="A49" s="151" t="s">
        <v>20</v>
      </c>
      <c r="B49" s="114" t="s">
        <v>287</v>
      </c>
      <c r="C49" s="334" t="s">
        <v>3273</v>
      </c>
      <c r="D49" s="430"/>
      <c r="E49" s="114"/>
      <c r="F49" s="114" t="s">
        <v>1920</v>
      </c>
      <c r="G49" s="114">
        <v>2</v>
      </c>
      <c r="H49" s="485"/>
      <c r="I49" s="463"/>
    </row>
    <row r="50" spans="1:9" ht="15" x14ac:dyDescent="0.2">
      <c r="A50" s="151" t="s">
        <v>13</v>
      </c>
      <c r="B50" s="114" t="s">
        <v>471</v>
      </c>
      <c r="C50" s="334" t="s">
        <v>471</v>
      </c>
      <c r="D50" s="430"/>
      <c r="E50" s="114"/>
      <c r="F50" s="114" t="s">
        <v>1920</v>
      </c>
      <c r="G50" s="114">
        <v>1</v>
      </c>
      <c r="H50" s="485"/>
      <c r="I50" s="463"/>
    </row>
    <row r="54" spans="1:9" s="4" customFormat="1" ht="18" x14ac:dyDescent="0.25">
      <c r="A54" s="422" t="s">
        <v>2264</v>
      </c>
      <c r="B54" s="425"/>
      <c r="C54" s="309"/>
      <c r="D54" s="309"/>
      <c r="E54" s="3"/>
      <c r="F54" s="3"/>
      <c r="G54" s="3"/>
      <c r="H54" s="39"/>
    </row>
    <row r="55" spans="1:9" s="4" customFormat="1" ht="18" x14ac:dyDescent="0.25">
      <c r="A55" s="422" t="s">
        <v>2990</v>
      </c>
      <c r="B55" s="425"/>
      <c r="C55" s="309"/>
      <c r="D55" s="309"/>
      <c r="E55" s="3"/>
      <c r="F55" s="3"/>
      <c r="G55" s="3"/>
      <c r="H55" s="39"/>
    </row>
    <row r="56" spans="1:9" ht="18" x14ac:dyDescent="0.25">
      <c r="A56" s="491" t="s">
        <v>3315</v>
      </c>
      <c r="B56" s="486"/>
    </row>
    <row r="57" spans="1:9" ht="18" x14ac:dyDescent="0.25">
      <c r="A57" s="434" t="s">
        <v>3367</v>
      </c>
      <c r="B57" s="420"/>
    </row>
  </sheetData>
  <pageMargins left="0.7" right="0.7" top="0.75" bottom="0.75" header="0.3" footer="0.3"/>
  <pageSetup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51"/>
  <sheetViews>
    <sheetView workbookViewId="0">
      <pane ySplit="1" topLeftCell="A13" activePane="bottomLeft" state="frozen"/>
      <selection activeCell="C26" sqref="C26"/>
      <selection pane="bottomLeft" activeCell="F2" sqref="F2:F45"/>
    </sheetView>
  </sheetViews>
  <sheetFormatPr defaultColWidth="9.140625" defaultRowHeight="15" x14ac:dyDescent="0.2"/>
  <cols>
    <col min="1" max="1" width="56.5703125" style="81" bestFit="1" customWidth="1"/>
    <col min="2" max="2" width="20.140625" style="106" bestFit="1" customWidth="1"/>
    <col min="3" max="3" width="21.85546875" style="231" bestFit="1" customWidth="1"/>
    <col min="4" max="4" width="25.42578125" style="106" bestFit="1" customWidth="1"/>
    <col min="5" max="5" width="18.140625" style="106" bestFit="1" customWidth="1"/>
    <col min="6" max="6" width="12.5703125" style="81" bestFit="1" customWidth="1"/>
    <col min="7" max="7" width="15.42578125" style="81" bestFit="1" customWidth="1"/>
    <col min="8" max="16384" width="9.140625" style="81"/>
  </cols>
  <sheetData>
    <row r="1" spans="1:8" ht="15.75" x14ac:dyDescent="0.25">
      <c r="A1" s="233" t="s">
        <v>0</v>
      </c>
      <c r="B1" s="233" t="s">
        <v>1</v>
      </c>
      <c r="C1" s="367" t="s">
        <v>3373</v>
      </c>
      <c r="D1" s="232" t="s">
        <v>1872</v>
      </c>
      <c r="E1" s="232" t="s">
        <v>1873</v>
      </c>
      <c r="F1" s="234" t="s">
        <v>412</v>
      </c>
      <c r="G1" s="441" t="s">
        <v>3368</v>
      </c>
      <c r="H1" s="419" t="s">
        <v>3369</v>
      </c>
    </row>
    <row r="2" spans="1:8" x14ac:dyDescent="0.2">
      <c r="A2" s="80" t="s">
        <v>463</v>
      </c>
      <c r="B2" s="71">
        <v>1490</v>
      </c>
      <c r="C2" s="625"/>
      <c r="D2" s="71"/>
      <c r="E2" s="71"/>
      <c r="F2" s="73">
        <v>1</v>
      </c>
      <c r="G2" s="496"/>
      <c r="H2" s="500"/>
    </row>
    <row r="3" spans="1:8" x14ac:dyDescent="0.2">
      <c r="A3" s="80" t="s">
        <v>1555</v>
      </c>
      <c r="B3" s="71" t="s">
        <v>2128</v>
      </c>
      <c r="C3" s="625"/>
      <c r="D3" s="71" t="s">
        <v>2026</v>
      </c>
      <c r="E3" s="71" t="s">
        <v>1920</v>
      </c>
      <c r="F3" s="73">
        <v>1</v>
      </c>
      <c r="G3" s="496"/>
      <c r="H3" s="500"/>
    </row>
    <row r="4" spans="1:8" x14ac:dyDescent="0.2">
      <c r="A4" s="80" t="s">
        <v>1556</v>
      </c>
      <c r="B4" s="71" t="s">
        <v>705</v>
      </c>
      <c r="C4" s="625"/>
      <c r="D4" s="71" t="s">
        <v>2027</v>
      </c>
      <c r="E4" s="71" t="s">
        <v>1920</v>
      </c>
      <c r="F4" s="73">
        <v>1</v>
      </c>
      <c r="G4" s="496"/>
      <c r="H4" s="500"/>
    </row>
    <row r="5" spans="1:8" x14ac:dyDescent="0.2">
      <c r="A5" s="80" t="s">
        <v>197</v>
      </c>
      <c r="B5" s="71" t="s">
        <v>645</v>
      </c>
      <c r="C5" s="625"/>
      <c r="D5" s="71"/>
      <c r="E5" s="71" t="s">
        <v>1920</v>
      </c>
      <c r="F5" s="73">
        <v>1</v>
      </c>
      <c r="G5" s="496"/>
      <c r="H5" s="500"/>
    </row>
    <row r="6" spans="1:8" x14ac:dyDescent="0.2">
      <c r="A6" s="80" t="s">
        <v>214</v>
      </c>
      <c r="B6" s="71" t="s">
        <v>707</v>
      </c>
      <c r="C6" s="625"/>
      <c r="D6" s="71" t="s">
        <v>2032</v>
      </c>
      <c r="E6" s="71" t="s">
        <v>1942</v>
      </c>
      <c r="F6" s="73">
        <v>1</v>
      </c>
      <c r="G6" s="496"/>
      <c r="H6" s="500"/>
    </row>
    <row r="7" spans="1:8" x14ac:dyDescent="0.2">
      <c r="A7" s="80" t="s">
        <v>1610</v>
      </c>
      <c r="B7" s="71" t="s">
        <v>928</v>
      </c>
      <c r="C7" s="625"/>
      <c r="D7" s="71" t="s">
        <v>2033</v>
      </c>
      <c r="E7" s="71" t="s">
        <v>1942</v>
      </c>
      <c r="F7" s="73">
        <v>1</v>
      </c>
      <c r="G7" s="496"/>
      <c r="H7" s="500"/>
    </row>
    <row r="8" spans="1:8" x14ac:dyDescent="0.2">
      <c r="A8" s="80" t="s">
        <v>2030</v>
      </c>
      <c r="B8" s="71" t="s">
        <v>2031</v>
      </c>
      <c r="C8" s="625"/>
      <c r="D8" s="71" t="s">
        <v>1864</v>
      </c>
      <c r="E8" s="71" t="s">
        <v>1942</v>
      </c>
      <c r="F8" s="73">
        <v>1</v>
      </c>
      <c r="G8" s="496"/>
      <c r="H8" s="500"/>
    </row>
    <row r="9" spans="1:8" x14ac:dyDescent="0.2">
      <c r="A9" s="80" t="s">
        <v>228</v>
      </c>
      <c r="B9" s="71" t="s">
        <v>694</v>
      </c>
      <c r="C9" s="625"/>
      <c r="D9" s="71" t="s">
        <v>2034</v>
      </c>
      <c r="E9" s="71" t="s">
        <v>1942</v>
      </c>
      <c r="F9" s="73">
        <v>1</v>
      </c>
      <c r="G9" s="496"/>
      <c r="H9" s="500"/>
    </row>
    <row r="10" spans="1:8" x14ac:dyDescent="0.2">
      <c r="A10" s="80" t="s">
        <v>229</v>
      </c>
      <c r="B10" s="71" t="s">
        <v>2035</v>
      </c>
      <c r="C10" s="625"/>
      <c r="D10" s="71" t="s">
        <v>1980</v>
      </c>
      <c r="E10" s="71" t="s">
        <v>1942</v>
      </c>
      <c r="F10" s="73">
        <v>1</v>
      </c>
      <c r="G10" s="496"/>
      <c r="H10" s="500"/>
    </row>
    <row r="11" spans="1:8" x14ac:dyDescent="0.2">
      <c r="A11" s="80" t="s">
        <v>230</v>
      </c>
      <c r="B11" s="71" t="s">
        <v>695</v>
      </c>
      <c r="C11" s="625"/>
      <c r="D11" s="71" t="s">
        <v>2036</v>
      </c>
      <c r="E11" s="71" t="s">
        <v>1942</v>
      </c>
      <c r="F11" s="73">
        <v>1</v>
      </c>
      <c r="G11" s="496"/>
      <c r="H11" s="500"/>
    </row>
    <row r="12" spans="1:8" x14ac:dyDescent="0.2">
      <c r="A12" s="80" t="s">
        <v>1611</v>
      </c>
      <c r="B12" s="71" t="s">
        <v>696</v>
      </c>
      <c r="C12" s="625"/>
      <c r="D12" s="71" t="s">
        <v>2037</v>
      </c>
      <c r="E12" s="71" t="s">
        <v>1942</v>
      </c>
      <c r="F12" s="73">
        <v>1</v>
      </c>
      <c r="G12" s="496"/>
      <c r="H12" s="500"/>
    </row>
    <row r="13" spans="1:8" x14ac:dyDescent="0.2">
      <c r="A13" s="80" t="s">
        <v>2028</v>
      </c>
      <c r="B13" s="71" t="s">
        <v>2029</v>
      </c>
      <c r="C13" s="625"/>
      <c r="D13" s="71" t="s">
        <v>1865</v>
      </c>
      <c r="E13" s="71" t="s">
        <v>1942</v>
      </c>
      <c r="F13" s="73">
        <v>1</v>
      </c>
      <c r="G13" s="496"/>
      <c r="H13" s="500"/>
    </row>
    <row r="14" spans="1:8" x14ac:dyDescent="0.2">
      <c r="A14" s="80" t="s">
        <v>227</v>
      </c>
      <c r="B14" s="71" t="s">
        <v>693</v>
      </c>
      <c r="C14" s="625"/>
      <c r="D14" s="71" t="s">
        <v>2038</v>
      </c>
      <c r="E14" s="71" t="s">
        <v>1942</v>
      </c>
      <c r="F14" s="73">
        <v>1</v>
      </c>
      <c r="G14" s="496"/>
      <c r="H14" s="500"/>
    </row>
    <row r="15" spans="1:8" x14ac:dyDescent="0.2">
      <c r="A15" s="80" t="s">
        <v>226</v>
      </c>
      <c r="B15" s="71" t="s">
        <v>692</v>
      </c>
      <c r="C15" s="625"/>
      <c r="D15" s="71" t="s">
        <v>2039</v>
      </c>
      <c r="E15" s="71" t="s">
        <v>1942</v>
      </c>
      <c r="F15" s="73">
        <v>1</v>
      </c>
      <c r="G15" s="496"/>
      <c r="H15" s="500"/>
    </row>
    <row r="16" spans="1:8" x14ac:dyDescent="0.2">
      <c r="A16" s="80" t="s">
        <v>2040</v>
      </c>
      <c r="B16" s="71" t="s">
        <v>2041</v>
      </c>
      <c r="C16" s="625"/>
      <c r="D16" s="71" t="s">
        <v>2042</v>
      </c>
      <c r="E16" s="71" t="s">
        <v>1942</v>
      </c>
      <c r="F16" s="73">
        <v>1</v>
      </c>
      <c r="G16" s="496"/>
      <c r="H16" s="500"/>
    </row>
    <row r="17" spans="1:8" x14ac:dyDescent="0.2">
      <c r="A17" s="80" t="s">
        <v>2072</v>
      </c>
      <c r="B17" s="71" t="s">
        <v>2073</v>
      </c>
      <c r="C17" s="625"/>
      <c r="D17" s="71" t="s">
        <v>2074</v>
      </c>
      <c r="E17" s="71" t="s">
        <v>1942</v>
      </c>
      <c r="F17" s="73">
        <v>1</v>
      </c>
      <c r="G17" s="496"/>
      <c r="H17" s="500"/>
    </row>
    <row r="18" spans="1:8" x14ac:dyDescent="0.2">
      <c r="A18" s="80" t="s">
        <v>2075</v>
      </c>
      <c r="B18" s="71" t="s">
        <v>2076</v>
      </c>
      <c r="C18" s="625"/>
      <c r="D18" s="71" t="s">
        <v>2077</v>
      </c>
      <c r="E18" s="71" t="s">
        <v>1942</v>
      </c>
      <c r="F18" s="73">
        <v>1</v>
      </c>
      <c r="G18" s="496"/>
      <c r="H18" s="500"/>
    </row>
    <row r="19" spans="1:8" x14ac:dyDescent="0.2">
      <c r="A19" s="80" t="s">
        <v>2081</v>
      </c>
      <c r="B19" s="71" t="s">
        <v>2082</v>
      </c>
      <c r="C19" s="625"/>
      <c r="D19" s="71" t="s">
        <v>2083</v>
      </c>
      <c r="E19" s="71" t="s">
        <v>1942</v>
      </c>
      <c r="F19" s="73">
        <v>1</v>
      </c>
      <c r="G19" s="496"/>
      <c r="H19" s="500"/>
    </row>
    <row r="20" spans="1:8" x14ac:dyDescent="0.2">
      <c r="A20" s="80" t="s">
        <v>2043</v>
      </c>
      <c r="B20" s="71" t="s">
        <v>708</v>
      </c>
      <c r="C20" s="625"/>
      <c r="D20" s="71" t="s">
        <v>2044</v>
      </c>
      <c r="E20" s="71" t="s">
        <v>1942</v>
      </c>
      <c r="F20" s="73">
        <v>1</v>
      </c>
      <c r="G20" s="496"/>
      <c r="H20" s="500"/>
    </row>
    <row r="21" spans="1:8" x14ac:dyDescent="0.2">
      <c r="A21" s="80" t="s">
        <v>236</v>
      </c>
      <c r="B21" s="71" t="s">
        <v>1863</v>
      </c>
      <c r="C21" s="625"/>
      <c r="D21" s="71" t="s">
        <v>2045</v>
      </c>
      <c r="E21" s="71" t="s">
        <v>1942</v>
      </c>
      <c r="F21" s="73">
        <v>1</v>
      </c>
      <c r="G21" s="496"/>
      <c r="H21" s="500"/>
    </row>
    <row r="22" spans="1:8" x14ac:dyDescent="0.2">
      <c r="A22" s="80" t="s">
        <v>237</v>
      </c>
      <c r="B22" s="71" t="s">
        <v>700</v>
      </c>
      <c r="C22" s="625"/>
      <c r="D22" s="71" t="s">
        <v>2046</v>
      </c>
      <c r="E22" s="71" t="s">
        <v>1942</v>
      </c>
      <c r="F22" s="73">
        <v>1</v>
      </c>
      <c r="G22" s="496"/>
      <c r="H22" s="500"/>
    </row>
    <row r="23" spans="1:8" x14ac:dyDescent="0.2">
      <c r="A23" s="80" t="s">
        <v>238</v>
      </c>
      <c r="B23" s="71" t="s">
        <v>701</v>
      </c>
      <c r="C23" s="625"/>
      <c r="D23" s="71" t="s">
        <v>2047</v>
      </c>
      <c r="E23" s="71" t="s">
        <v>1942</v>
      </c>
      <c r="F23" s="73">
        <v>1</v>
      </c>
      <c r="G23" s="496"/>
      <c r="H23" s="500"/>
    </row>
    <row r="24" spans="1:8" x14ac:dyDescent="0.2">
      <c r="A24" s="80" t="s">
        <v>234</v>
      </c>
      <c r="B24" s="71" t="s">
        <v>702</v>
      </c>
      <c r="C24" s="625"/>
      <c r="D24" s="71" t="s">
        <v>2048</v>
      </c>
      <c r="E24" s="71" t="s">
        <v>1942</v>
      </c>
      <c r="F24" s="73">
        <v>1</v>
      </c>
      <c r="G24" s="496"/>
      <c r="H24" s="500"/>
    </row>
    <row r="25" spans="1:8" x14ac:dyDescent="0.2">
      <c r="A25" s="80" t="s">
        <v>235</v>
      </c>
      <c r="B25" s="71" t="s">
        <v>703</v>
      </c>
      <c r="C25" s="625"/>
      <c r="D25" s="71" t="s">
        <v>2049</v>
      </c>
      <c r="E25" s="71" t="s">
        <v>1942</v>
      </c>
      <c r="F25" s="73">
        <v>1</v>
      </c>
      <c r="G25" s="496"/>
      <c r="H25" s="500"/>
    </row>
    <row r="26" spans="1:8" x14ac:dyDescent="0.2">
      <c r="A26" s="80" t="s">
        <v>408</v>
      </c>
      <c r="B26" s="71" t="s">
        <v>704</v>
      </c>
      <c r="C26" s="625"/>
      <c r="D26" s="71" t="s">
        <v>2050</v>
      </c>
      <c r="E26" s="71" t="s">
        <v>1942</v>
      </c>
      <c r="F26" s="73">
        <v>1</v>
      </c>
      <c r="G26" s="496"/>
      <c r="H26" s="500"/>
    </row>
    <row r="27" spans="1:8" x14ac:dyDescent="0.2">
      <c r="A27" s="80" t="s">
        <v>2051</v>
      </c>
      <c r="B27" s="71" t="s">
        <v>1730</v>
      </c>
      <c r="C27" s="625"/>
      <c r="D27" s="71" t="s">
        <v>2052</v>
      </c>
      <c r="E27" s="71" t="s">
        <v>1942</v>
      </c>
      <c r="F27" s="73">
        <v>1</v>
      </c>
      <c r="G27" s="496"/>
      <c r="H27" s="500"/>
    </row>
    <row r="28" spans="1:8" x14ac:dyDescent="0.2">
      <c r="A28" s="80" t="s">
        <v>2053</v>
      </c>
      <c r="B28" s="71" t="s">
        <v>1731</v>
      </c>
      <c r="C28" s="625"/>
      <c r="D28" s="71" t="s">
        <v>2054</v>
      </c>
      <c r="E28" s="71" t="s">
        <v>1942</v>
      </c>
      <c r="F28" s="73">
        <v>1</v>
      </c>
      <c r="G28" s="496"/>
      <c r="H28" s="500"/>
    </row>
    <row r="29" spans="1:8" x14ac:dyDescent="0.2">
      <c r="A29" s="80" t="s">
        <v>2087</v>
      </c>
      <c r="B29" s="71" t="s">
        <v>2088</v>
      </c>
      <c r="C29" s="625"/>
      <c r="D29" s="71" t="s">
        <v>2089</v>
      </c>
      <c r="E29" s="71" t="s">
        <v>1942</v>
      </c>
      <c r="F29" s="73">
        <v>1</v>
      </c>
      <c r="G29" s="496"/>
      <c r="H29" s="500"/>
    </row>
    <row r="30" spans="1:8" x14ac:dyDescent="0.2">
      <c r="A30" s="80" t="s">
        <v>224</v>
      </c>
      <c r="B30" s="71" t="s">
        <v>2055</v>
      </c>
      <c r="C30" s="625"/>
      <c r="D30" s="71" t="s">
        <v>1981</v>
      </c>
      <c r="E30" s="71" t="s">
        <v>1942</v>
      </c>
      <c r="F30" s="73">
        <v>1</v>
      </c>
      <c r="G30" s="496"/>
      <c r="H30" s="500"/>
    </row>
    <row r="31" spans="1:8" x14ac:dyDescent="0.2">
      <c r="A31" s="80" t="s">
        <v>225</v>
      </c>
      <c r="B31" s="71" t="s">
        <v>691</v>
      </c>
      <c r="C31" s="625"/>
      <c r="D31" s="71" t="s">
        <v>2056</v>
      </c>
      <c r="E31" s="71" t="s">
        <v>1942</v>
      </c>
      <c r="F31" s="73">
        <v>1</v>
      </c>
      <c r="G31" s="496"/>
      <c r="H31" s="500"/>
    </row>
    <row r="32" spans="1:8" x14ac:dyDescent="0.2">
      <c r="A32" s="80" t="s">
        <v>201</v>
      </c>
      <c r="B32" s="71" t="s">
        <v>690</v>
      </c>
      <c r="C32" s="625"/>
      <c r="D32" s="71" t="s">
        <v>2057</v>
      </c>
      <c r="E32" s="71" t="s">
        <v>1942</v>
      </c>
      <c r="F32" s="73">
        <v>1</v>
      </c>
      <c r="G32" s="496"/>
      <c r="H32" s="500"/>
    </row>
    <row r="33" spans="1:8" x14ac:dyDescent="0.2">
      <c r="A33" s="80" t="s">
        <v>200</v>
      </c>
      <c r="B33" s="71" t="s">
        <v>689</v>
      </c>
      <c r="C33" s="625"/>
      <c r="D33" s="71" t="s">
        <v>2058</v>
      </c>
      <c r="E33" s="71" t="s">
        <v>1942</v>
      </c>
      <c r="F33" s="73">
        <v>1</v>
      </c>
      <c r="G33" s="496"/>
      <c r="H33" s="500"/>
    </row>
    <row r="34" spans="1:8" x14ac:dyDescent="0.2">
      <c r="A34" s="80" t="s">
        <v>1612</v>
      </c>
      <c r="B34" s="71" t="s">
        <v>929</v>
      </c>
      <c r="C34" s="625"/>
      <c r="D34" s="71" t="s">
        <v>2059</v>
      </c>
      <c r="E34" s="71" t="s">
        <v>1942</v>
      </c>
      <c r="F34" s="73">
        <v>1</v>
      </c>
      <c r="G34" s="496"/>
      <c r="H34" s="500"/>
    </row>
    <row r="35" spans="1:8" x14ac:dyDescent="0.2">
      <c r="A35" s="80" t="s">
        <v>2066</v>
      </c>
      <c r="B35" s="71" t="s">
        <v>2067</v>
      </c>
      <c r="C35" s="625"/>
      <c r="D35" s="71" t="s">
        <v>2068</v>
      </c>
      <c r="E35" s="71" t="s">
        <v>1942</v>
      </c>
      <c r="F35" s="73">
        <v>1</v>
      </c>
      <c r="G35" s="496"/>
      <c r="H35" s="500"/>
    </row>
    <row r="36" spans="1:8" x14ac:dyDescent="0.2">
      <c r="A36" s="80" t="s">
        <v>1613</v>
      </c>
      <c r="B36" s="71" t="s">
        <v>930</v>
      </c>
      <c r="C36" s="625"/>
      <c r="D36" s="71" t="s">
        <v>2060</v>
      </c>
      <c r="E36" s="71" t="s">
        <v>1942</v>
      </c>
      <c r="F36" s="73">
        <v>1</v>
      </c>
      <c r="G36" s="496"/>
      <c r="H36" s="500"/>
    </row>
    <row r="37" spans="1:8" x14ac:dyDescent="0.2">
      <c r="A37" s="80" t="s">
        <v>1614</v>
      </c>
      <c r="B37" s="71" t="s">
        <v>865</v>
      </c>
      <c r="C37" s="625"/>
      <c r="D37" s="71" t="s">
        <v>2061</v>
      </c>
      <c r="E37" s="71" t="s">
        <v>1942</v>
      </c>
      <c r="F37" s="73">
        <v>1</v>
      </c>
      <c r="G37" s="496"/>
      <c r="H37" s="500"/>
    </row>
    <row r="38" spans="1:8" x14ac:dyDescent="0.2">
      <c r="A38" s="80" t="s">
        <v>2084</v>
      </c>
      <c r="B38" s="71" t="s">
        <v>2085</v>
      </c>
      <c r="C38" s="625"/>
      <c r="D38" s="71" t="s">
        <v>2086</v>
      </c>
      <c r="E38" s="71" t="s">
        <v>1942</v>
      </c>
      <c r="F38" s="73">
        <v>1</v>
      </c>
      <c r="G38" s="496"/>
      <c r="H38" s="500"/>
    </row>
    <row r="39" spans="1:8" x14ac:dyDescent="0.2">
      <c r="A39" s="80" t="s">
        <v>2069</v>
      </c>
      <c r="B39" s="71" t="s">
        <v>2070</v>
      </c>
      <c r="C39" s="625"/>
      <c r="D39" s="71" t="s">
        <v>2071</v>
      </c>
      <c r="E39" s="71" t="s">
        <v>1942</v>
      </c>
      <c r="F39" s="73">
        <v>1</v>
      </c>
      <c r="G39" s="496"/>
      <c r="H39" s="500"/>
    </row>
    <row r="40" spans="1:8" x14ac:dyDescent="0.2">
      <c r="A40" s="80" t="s">
        <v>231</v>
      </c>
      <c r="B40" s="71" t="s">
        <v>697</v>
      </c>
      <c r="C40" s="625"/>
      <c r="D40" s="71" t="s">
        <v>2062</v>
      </c>
      <c r="E40" s="71" t="s">
        <v>1942</v>
      </c>
      <c r="F40" s="73">
        <v>1</v>
      </c>
      <c r="G40" s="496"/>
      <c r="H40" s="500"/>
    </row>
    <row r="41" spans="1:8" x14ac:dyDescent="0.2">
      <c r="A41" s="80" t="s">
        <v>232</v>
      </c>
      <c r="B41" s="71" t="s">
        <v>698</v>
      </c>
      <c r="C41" s="625"/>
      <c r="D41" s="71" t="s">
        <v>2063</v>
      </c>
      <c r="E41" s="71" t="s">
        <v>1942</v>
      </c>
      <c r="F41" s="73">
        <v>1</v>
      </c>
      <c r="G41" s="496"/>
      <c r="H41" s="500"/>
    </row>
    <row r="42" spans="1:8" x14ac:dyDescent="0.2">
      <c r="A42" s="80" t="s">
        <v>233</v>
      </c>
      <c r="B42" s="71" t="s">
        <v>699</v>
      </c>
      <c r="C42" s="625"/>
      <c r="D42" s="71" t="s">
        <v>2064</v>
      </c>
      <c r="E42" s="71" t="s">
        <v>1942</v>
      </c>
      <c r="F42" s="73">
        <v>1</v>
      </c>
      <c r="G42" s="496"/>
      <c r="H42" s="500"/>
    </row>
    <row r="43" spans="1:8" x14ac:dyDescent="0.2">
      <c r="A43" s="80" t="s">
        <v>213</v>
      </c>
      <c r="B43" s="71" t="s">
        <v>706</v>
      </c>
      <c r="C43" s="625"/>
      <c r="D43" s="71" t="s">
        <v>2065</v>
      </c>
      <c r="E43" s="71" t="s">
        <v>1942</v>
      </c>
      <c r="F43" s="73">
        <v>1</v>
      </c>
      <c r="G43" s="496"/>
      <c r="H43" s="500"/>
    </row>
    <row r="44" spans="1:8" x14ac:dyDescent="0.2">
      <c r="A44" s="80" t="s">
        <v>2078</v>
      </c>
      <c r="B44" s="71" t="s">
        <v>2079</v>
      </c>
      <c r="C44" s="625"/>
      <c r="D44" s="71" t="s">
        <v>2080</v>
      </c>
      <c r="E44" s="71" t="s">
        <v>1942</v>
      </c>
      <c r="F44" s="73">
        <v>1</v>
      </c>
      <c r="G44" s="496"/>
      <c r="H44" s="500"/>
    </row>
    <row r="45" spans="1:8" x14ac:dyDescent="0.2">
      <c r="A45" s="81" t="s">
        <v>3111</v>
      </c>
      <c r="B45" s="231" t="s">
        <v>3112</v>
      </c>
      <c r="C45" s="625"/>
      <c r="D45" s="106" t="s">
        <v>3112</v>
      </c>
      <c r="E45" s="106" t="s">
        <v>1942</v>
      </c>
      <c r="F45" s="231">
        <v>1</v>
      </c>
      <c r="G45" s="497"/>
      <c r="H45" s="500"/>
    </row>
    <row r="46" spans="1:8" s="230" customFormat="1" x14ac:dyDescent="0.2">
      <c r="B46" s="231"/>
      <c r="C46" s="231"/>
      <c r="D46" s="231"/>
      <c r="E46" s="231"/>
    </row>
    <row r="48" spans="1:8" s="4" customFormat="1" ht="18" x14ac:dyDescent="0.25">
      <c r="A48" s="422" t="s">
        <v>1791</v>
      </c>
      <c r="B48" s="425"/>
      <c r="C48" s="309"/>
      <c r="D48" s="3"/>
      <c r="E48" s="3"/>
      <c r="F48" s="3"/>
      <c r="G48" s="39"/>
    </row>
    <row r="49" spans="1:7" s="4" customFormat="1" ht="18" x14ac:dyDescent="0.25">
      <c r="A49" s="422" t="s">
        <v>2988</v>
      </c>
      <c r="B49" s="425"/>
      <c r="C49" s="309"/>
      <c r="D49" s="3"/>
      <c r="E49" s="3"/>
      <c r="F49" s="3"/>
      <c r="G49" s="39"/>
    </row>
    <row r="50" spans="1:7" ht="18" x14ac:dyDescent="0.25">
      <c r="A50" s="491" t="s">
        <v>3308</v>
      </c>
      <c r="B50" s="73"/>
    </row>
    <row r="51" spans="1:7" ht="18" x14ac:dyDescent="0.25">
      <c r="A51" s="434" t="s">
        <v>3367</v>
      </c>
      <c r="B51" s="420"/>
    </row>
  </sheetData>
  <sortState xmlns:xlrd2="http://schemas.microsoft.com/office/spreadsheetml/2017/richdata2" ref="A3:J44">
    <sortCondition ref="B3:B44"/>
  </sortState>
  <pageMargins left="0.7" right="0.7" top="0.75" bottom="0.75" header="0.3" footer="0.3"/>
  <pageSetup scale="85" orientation="landscape"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27"/>
  <sheetViews>
    <sheetView workbookViewId="0">
      <selection activeCell="E2" sqref="E2:E21"/>
    </sheetView>
  </sheetViews>
  <sheetFormatPr defaultColWidth="9.140625" defaultRowHeight="15" x14ac:dyDescent="0.2"/>
  <cols>
    <col min="1" max="1" width="46.5703125" style="130" bestFit="1" customWidth="1"/>
    <col min="2" max="2" width="16.42578125" style="130" bestFit="1" customWidth="1"/>
    <col min="3" max="3" width="20.42578125" style="230" bestFit="1" customWidth="1"/>
    <col min="4" max="4" width="12.42578125" style="230" bestFit="1" customWidth="1"/>
    <col min="5" max="5" width="10" style="231" bestFit="1" customWidth="1"/>
    <col min="6" max="6" width="11.42578125" style="130" bestFit="1" customWidth="1"/>
    <col min="7" max="7" width="16.85546875" style="130" bestFit="1" customWidth="1"/>
    <col min="8" max="8" width="14.140625" style="130" customWidth="1"/>
    <col min="9" max="16384" width="9.140625" style="130"/>
  </cols>
  <sheetData>
    <row r="1" spans="1:9" ht="15.75" x14ac:dyDescent="0.25">
      <c r="A1" s="29" t="s">
        <v>0</v>
      </c>
      <c r="B1" s="78" t="s">
        <v>1</v>
      </c>
      <c r="C1" s="367" t="s">
        <v>3373</v>
      </c>
      <c r="D1" s="367" t="s">
        <v>1873</v>
      </c>
      <c r="E1" s="404" t="s">
        <v>412</v>
      </c>
      <c r="F1" s="441" t="s">
        <v>3368</v>
      </c>
      <c r="G1" s="418" t="s">
        <v>3369</v>
      </c>
    </row>
    <row r="2" spans="1:9" x14ac:dyDescent="0.2">
      <c r="A2" s="79" t="s">
        <v>463</v>
      </c>
      <c r="B2" s="77" t="s">
        <v>2730</v>
      </c>
      <c r="C2" s="430"/>
      <c r="D2" s="73"/>
      <c r="E2" s="73">
        <v>1</v>
      </c>
      <c r="F2" s="496"/>
      <c r="G2" s="496"/>
    </row>
    <row r="3" spans="1:9" x14ac:dyDescent="0.2">
      <c r="A3" s="79" t="s">
        <v>2270</v>
      </c>
      <c r="B3" s="77" t="s">
        <v>688</v>
      </c>
      <c r="C3" s="430"/>
      <c r="D3" s="73">
        <v>55719</v>
      </c>
      <c r="E3" s="73">
        <v>1</v>
      </c>
      <c r="F3" s="430"/>
      <c r="G3" s="496"/>
    </row>
    <row r="4" spans="1:9" x14ac:dyDescent="0.2">
      <c r="A4" s="152" t="s">
        <v>1796</v>
      </c>
      <c r="B4" s="191" t="s">
        <v>1797</v>
      </c>
      <c r="C4" s="430"/>
      <c r="D4" s="73">
        <v>55719</v>
      </c>
      <c r="E4" s="73">
        <v>1</v>
      </c>
      <c r="F4" s="498"/>
      <c r="G4" s="499"/>
      <c r="H4" s="131"/>
      <c r="I4" s="131"/>
    </row>
    <row r="5" spans="1:9" x14ac:dyDescent="0.2">
      <c r="A5" s="79" t="s">
        <v>1601</v>
      </c>
      <c r="B5" s="77" t="s">
        <v>1814</v>
      </c>
      <c r="C5" s="430"/>
      <c r="D5" s="73">
        <v>55719</v>
      </c>
      <c r="E5" s="73">
        <v>1</v>
      </c>
      <c r="F5" s="498"/>
      <c r="G5" s="496"/>
    </row>
    <row r="6" spans="1:9" x14ac:dyDescent="0.2">
      <c r="A6" s="79" t="s">
        <v>1603</v>
      </c>
      <c r="B6" s="77" t="s">
        <v>1812</v>
      </c>
      <c r="C6" s="430"/>
      <c r="D6" s="73">
        <v>55719</v>
      </c>
      <c r="E6" s="73">
        <v>1</v>
      </c>
      <c r="F6" s="498"/>
      <c r="G6" s="496"/>
    </row>
    <row r="7" spans="1:9" x14ac:dyDescent="0.2">
      <c r="A7" s="79" t="s">
        <v>1600</v>
      </c>
      <c r="B7" s="77" t="s">
        <v>1813</v>
      </c>
      <c r="C7" s="430"/>
      <c r="D7" s="73">
        <v>55719</v>
      </c>
      <c r="E7" s="73">
        <v>1</v>
      </c>
      <c r="F7" s="498"/>
      <c r="G7" s="496"/>
    </row>
    <row r="8" spans="1:9" x14ac:dyDescent="0.2">
      <c r="A8" s="79" t="s">
        <v>1602</v>
      </c>
      <c r="B8" s="77" t="s">
        <v>1811</v>
      </c>
      <c r="C8" s="430"/>
      <c r="D8" s="73">
        <v>55719</v>
      </c>
      <c r="E8" s="73">
        <v>1</v>
      </c>
      <c r="F8" s="498"/>
      <c r="G8" s="496"/>
    </row>
    <row r="9" spans="1:9" x14ac:dyDescent="0.2">
      <c r="A9" s="79" t="s">
        <v>1605</v>
      </c>
      <c r="B9" s="77" t="s">
        <v>1819</v>
      </c>
      <c r="C9" s="430"/>
      <c r="D9" s="73">
        <v>55719</v>
      </c>
      <c r="E9" s="73">
        <v>1</v>
      </c>
      <c r="F9" s="498"/>
      <c r="G9" s="496"/>
    </row>
    <row r="10" spans="1:9" x14ac:dyDescent="0.2">
      <c r="A10" s="79" t="s">
        <v>1817</v>
      </c>
      <c r="B10" s="77" t="s">
        <v>1818</v>
      </c>
      <c r="C10" s="430"/>
      <c r="D10" s="73">
        <v>55719</v>
      </c>
      <c r="E10" s="73">
        <v>1</v>
      </c>
      <c r="F10" s="498"/>
      <c r="G10" s="496"/>
    </row>
    <row r="11" spans="1:9" x14ac:dyDescent="0.2">
      <c r="A11" s="79" t="s">
        <v>1607</v>
      </c>
      <c r="B11" s="77" t="s">
        <v>1816</v>
      </c>
      <c r="C11" s="430"/>
      <c r="D11" s="73">
        <v>55719</v>
      </c>
      <c r="E11" s="73">
        <v>1</v>
      </c>
      <c r="F11" s="498"/>
      <c r="G11" s="496"/>
    </row>
    <row r="12" spans="1:9" x14ac:dyDescent="0.2">
      <c r="A12" s="79" t="s">
        <v>1606</v>
      </c>
      <c r="B12" s="77" t="s">
        <v>1815</v>
      </c>
      <c r="C12" s="430"/>
      <c r="D12" s="73">
        <v>55719</v>
      </c>
      <c r="E12" s="73">
        <v>1</v>
      </c>
      <c r="F12" s="498"/>
      <c r="G12" s="496"/>
    </row>
    <row r="13" spans="1:9" x14ac:dyDescent="0.2">
      <c r="A13" s="79" t="s">
        <v>1821</v>
      </c>
      <c r="B13" s="77" t="s">
        <v>1822</v>
      </c>
      <c r="C13" s="430"/>
      <c r="D13" s="73">
        <v>55719</v>
      </c>
      <c r="E13" s="73">
        <v>1</v>
      </c>
      <c r="F13" s="498"/>
      <c r="G13" s="496"/>
    </row>
    <row r="14" spans="1:9" x14ac:dyDescent="0.2">
      <c r="A14" s="79" t="s">
        <v>1604</v>
      </c>
      <c r="B14" s="77" t="s">
        <v>1820</v>
      </c>
      <c r="C14" s="430"/>
      <c r="D14" s="73">
        <v>55719</v>
      </c>
      <c r="E14" s="73">
        <v>1</v>
      </c>
      <c r="F14" s="498"/>
      <c r="G14" s="496"/>
    </row>
    <row r="15" spans="1:9" x14ac:dyDescent="0.2">
      <c r="A15" s="79" t="s">
        <v>1809</v>
      </c>
      <c r="B15" s="77" t="s">
        <v>1810</v>
      </c>
      <c r="C15" s="430"/>
      <c r="D15" s="73">
        <v>55719</v>
      </c>
      <c r="E15" s="73">
        <v>1</v>
      </c>
      <c r="F15" s="498"/>
      <c r="G15" s="496"/>
    </row>
    <row r="16" spans="1:9" x14ac:dyDescent="0.2">
      <c r="A16" s="79" t="s">
        <v>1807</v>
      </c>
      <c r="B16" s="77" t="s">
        <v>1808</v>
      </c>
      <c r="C16" s="430"/>
      <c r="D16" s="73">
        <v>55719</v>
      </c>
      <c r="E16" s="73">
        <v>1</v>
      </c>
      <c r="F16" s="498"/>
      <c r="G16" s="496"/>
    </row>
    <row r="17" spans="1:10" x14ac:dyDescent="0.2">
      <c r="A17" s="79" t="s">
        <v>1798</v>
      </c>
      <c r="B17" s="77" t="s">
        <v>1799</v>
      </c>
      <c r="C17" s="430"/>
      <c r="D17" s="73">
        <v>55719</v>
      </c>
      <c r="E17" s="73">
        <v>1</v>
      </c>
      <c r="F17" s="498"/>
      <c r="G17" s="496"/>
      <c r="H17" s="126"/>
      <c r="I17" s="126"/>
      <c r="J17" s="126"/>
    </row>
    <row r="18" spans="1:10" ht="15.75" x14ac:dyDescent="0.2">
      <c r="A18" s="79" t="s">
        <v>1800</v>
      </c>
      <c r="B18" s="77" t="s">
        <v>1801</v>
      </c>
      <c r="C18" s="430"/>
      <c r="D18" s="73">
        <v>55719</v>
      </c>
      <c r="E18" s="73">
        <v>1</v>
      </c>
      <c r="F18" s="498"/>
      <c r="G18" s="496"/>
      <c r="H18" s="132"/>
      <c r="I18" s="133"/>
    </row>
    <row r="19" spans="1:10" ht="15.75" x14ac:dyDescent="0.2">
      <c r="A19" s="79" t="s">
        <v>1802</v>
      </c>
      <c r="B19" s="77" t="s">
        <v>1803</v>
      </c>
      <c r="C19" s="430"/>
      <c r="D19" s="73">
        <v>55719</v>
      </c>
      <c r="E19" s="73">
        <v>1</v>
      </c>
      <c r="F19" s="498"/>
      <c r="G19" s="496"/>
      <c r="H19" s="132"/>
      <c r="I19" s="133"/>
    </row>
    <row r="20" spans="1:10" ht="15.75" x14ac:dyDescent="0.2">
      <c r="A20" s="79" t="s">
        <v>1800</v>
      </c>
      <c r="B20" s="77" t="s">
        <v>1804</v>
      </c>
      <c r="C20" s="430"/>
      <c r="D20" s="73">
        <v>55719</v>
      </c>
      <c r="E20" s="73">
        <v>1</v>
      </c>
      <c r="F20" s="498"/>
      <c r="G20" s="496"/>
      <c r="H20" s="132"/>
      <c r="I20" s="133"/>
    </row>
    <row r="21" spans="1:10" x14ac:dyDescent="0.2">
      <c r="A21" s="79" t="s">
        <v>1805</v>
      </c>
      <c r="B21" s="77" t="s">
        <v>1806</v>
      </c>
      <c r="C21" s="430"/>
      <c r="D21" s="73">
        <v>55719</v>
      </c>
      <c r="E21" s="73">
        <v>1</v>
      </c>
      <c r="F21" s="498"/>
      <c r="G21" s="496"/>
    </row>
    <row r="24" spans="1:10" s="4" customFormat="1" ht="18" x14ac:dyDescent="0.25">
      <c r="A24" s="422" t="s">
        <v>1789</v>
      </c>
      <c r="B24" s="425"/>
      <c r="C24" s="309"/>
      <c r="D24" s="309"/>
      <c r="E24" s="309"/>
      <c r="F24" s="39"/>
    </row>
    <row r="25" spans="1:10" s="4" customFormat="1" ht="18" x14ac:dyDescent="0.25">
      <c r="A25" s="422" t="s">
        <v>2987</v>
      </c>
      <c r="B25" s="422"/>
      <c r="C25" s="308"/>
      <c r="D25" s="308"/>
      <c r="E25" s="309"/>
    </row>
    <row r="26" spans="1:10" ht="18" x14ac:dyDescent="0.25">
      <c r="A26" s="491" t="s">
        <v>3307</v>
      </c>
      <c r="B26" s="79"/>
    </row>
    <row r="27" spans="1:10" ht="18" x14ac:dyDescent="0.25">
      <c r="A27" s="434" t="s">
        <v>3367</v>
      </c>
      <c r="B27" s="420"/>
    </row>
  </sheetData>
  <pageMargins left="0.7" right="0.7" top="0.75" bottom="0.75" header="0.3" footer="0.3"/>
  <pageSetup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16"/>
  <sheetViews>
    <sheetView workbookViewId="0">
      <selection activeCell="F2" sqref="F2:F11"/>
    </sheetView>
  </sheetViews>
  <sheetFormatPr defaultColWidth="9.140625" defaultRowHeight="15" x14ac:dyDescent="0.2"/>
  <cols>
    <col min="1" max="1" width="50.5703125" style="169" bestFit="1" customWidth="1"/>
    <col min="2" max="2" width="16.42578125" style="170" bestFit="1" customWidth="1"/>
    <col min="3" max="3" width="20.42578125" style="165" bestFit="1" customWidth="1"/>
    <col min="4" max="4" width="20.140625" style="165" bestFit="1" customWidth="1"/>
    <col min="5" max="5" width="12.42578125" style="165" bestFit="1" customWidth="1"/>
    <col min="6" max="6" width="10" style="169" bestFit="1" customWidth="1"/>
    <col min="7" max="7" width="11.42578125" style="169" bestFit="1" customWidth="1"/>
    <col min="8" max="8" width="16.85546875" style="169" bestFit="1" customWidth="1"/>
    <col min="9" max="16384" width="9.140625" style="169"/>
  </cols>
  <sheetData>
    <row r="1" spans="1:8" ht="15.75" x14ac:dyDescent="0.25">
      <c r="A1" s="29" t="s">
        <v>0</v>
      </c>
      <c r="B1" s="29" t="s">
        <v>1</v>
      </c>
      <c r="C1" s="367" t="s">
        <v>3373</v>
      </c>
      <c r="D1" s="22" t="s">
        <v>1872</v>
      </c>
      <c r="E1" s="22" t="s">
        <v>1873</v>
      </c>
      <c r="F1" s="29" t="s">
        <v>412</v>
      </c>
      <c r="G1" s="441" t="s">
        <v>3368</v>
      </c>
      <c r="H1" s="418" t="s">
        <v>3369</v>
      </c>
    </row>
    <row r="2" spans="1:8" x14ac:dyDescent="0.2">
      <c r="A2" s="151" t="s">
        <v>463</v>
      </c>
      <c r="B2" s="15">
        <v>1490</v>
      </c>
      <c r="C2" s="430"/>
      <c r="D2" s="129"/>
      <c r="E2" s="129"/>
      <c r="F2" s="114">
        <v>1</v>
      </c>
      <c r="G2" s="440"/>
      <c r="H2" s="495"/>
    </row>
    <row r="3" spans="1:8" x14ac:dyDescent="0.2">
      <c r="A3" s="151" t="s">
        <v>2148</v>
      </c>
      <c r="B3" s="15" t="s">
        <v>2149</v>
      </c>
      <c r="C3" s="430"/>
      <c r="D3" s="129"/>
      <c r="E3" s="129"/>
      <c r="F3" s="114">
        <v>1</v>
      </c>
      <c r="G3" s="440"/>
      <c r="H3" s="495"/>
    </row>
    <row r="4" spans="1:8" x14ac:dyDescent="0.2">
      <c r="A4" s="151" t="s">
        <v>1521</v>
      </c>
      <c r="B4" s="15" t="s">
        <v>921</v>
      </c>
      <c r="C4" s="430"/>
      <c r="D4" s="129"/>
      <c r="E4" s="129" t="s">
        <v>1944</v>
      </c>
      <c r="F4" s="114">
        <v>1</v>
      </c>
      <c r="G4" s="440"/>
      <c r="H4" s="495"/>
    </row>
    <row r="5" spans="1:8" x14ac:dyDescent="0.2">
      <c r="A5" s="151" t="s">
        <v>1522</v>
      </c>
      <c r="B5" s="15" t="s">
        <v>922</v>
      </c>
      <c r="C5" s="430"/>
      <c r="D5" s="129"/>
      <c r="E5" s="129" t="s">
        <v>1944</v>
      </c>
      <c r="F5" s="114">
        <v>1</v>
      </c>
      <c r="G5" s="440"/>
      <c r="H5" s="495"/>
    </row>
    <row r="6" spans="1:8" x14ac:dyDescent="0.2">
      <c r="A6" s="151" t="s">
        <v>1523</v>
      </c>
      <c r="B6" s="15" t="s">
        <v>923</v>
      </c>
      <c r="C6" s="430"/>
      <c r="D6" s="129"/>
      <c r="E6" s="129" t="s">
        <v>1944</v>
      </c>
      <c r="F6" s="114">
        <v>1</v>
      </c>
      <c r="G6" s="440"/>
      <c r="H6" s="495"/>
    </row>
    <row r="7" spans="1:8" x14ac:dyDescent="0.2">
      <c r="A7" s="151" t="s">
        <v>1524</v>
      </c>
      <c r="B7" s="15" t="s">
        <v>919</v>
      </c>
      <c r="C7" s="430"/>
      <c r="D7" s="129"/>
      <c r="E7" s="129" t="s">
        <v>1944</v>
      </c>
      <c r="F7" s="114">
        <v>1</v>
      </c>
      <c r="G7" s="440"/>
      <c r="H7" s="495"/>
    </row>
    <row r="8" spans="1:8" x14ac:dyDescent="0.2">
      <c r="A8" s="151" t="s">
        <v>1525</v>
      </c>
      <c r="B8" s="15" t="s">
        <v>920</v>
      </c>
      <c r="C8" s="430"/>
      <c r="D8" s="129"/>
      <c r="E8" s="129" t="s">
        <v>1944</v>
      </c>
      <c r="F8" s="114">
        <v>1</v>
      </c>
      <c r="G8" s="440"/>
      <c r="H8" s="495"/>
    </row>
    <row r="9" spans="1:8" x14ac:dyDescent="0.2">
      <c r="A9" s="151" t="s">
        <v>1526</v>
      </c>
      <c r="B9" s="15" t="s">
        <v>924</v>
      </c>
      <c r="C9" s="430"/>
      <c r="D9" s="129"/>
      <c r="E9" s="129" t="s">
        <v>1944</v>
      </c>
      <c r="F9" s="114">
        <v>1</v>
      </c>
      <c r="G9" s="440"/>
      <c r="H9" s="495"/>
    </row>
    <row r="10" spans="1:8" x14ac:dyDescent="0.2">
      <c r="A10" s="151" t="s">
        <v>1527</v>
      </c>
      <c r="B10" s="15" t="s">
        <v>925</v>
      </c>
      <c r="C10" s="430"/>
      <c r="D10" s="129"/>
      <c r="E10" s="129" t="s">
        <v>1944</v>
      </c>
      <c r="F10" s="114">
        <v>1</v>
      </c>
      <c r="G10" s="440"/>
      <c r="H10" s="495"/>
    </row>
    <row r="11" spans="1:8" x14ac:dyDescent="0.2">
      <c r="A11" s="151" t="s">
        <v>1214</v>
      </c>
      <c r="B11" s="15" t="s">
        <v>515</v>
      </c>
      <c r="C11" s="430"/>
      <c r="D11" s="129"/>
      <c r="E11" s="129" t="s">
        <v>1920</v>
      </c>
      <c r="F11" s="114">
        <v>1</v>
      </c>
      <c r="G11" s="440"/>
      <c r="H11" s="495"/>
    </row>
    <row r="13" spans="1:8" s="4" customFormat="1" ht="18" x14ac:dyDescent="0.25">
      <c r="A13" s="422" t="s">
        <v>1790</v>
      </c>
      <c r="B13" s="425"/>
      <c r="C13" s="309"/>
      <c r="D13" s="3"/>
      <c r="E13" s="3"/>
      <c r="F13" s="3"/>
      <c r="G13" s="39"/>
    </row>
    <row r="14" spans="1:8" s="4" customFormat="1" ht="18" x14ac:dyDescent="0.25">
      <c r="A14" s="422" t="s">
        <v>2986</v>
      </c>
      <c r="B14" s="425"/>
      <c r="C14" s="309"/>
      <c r="D14" s="3"/>
      <c r="E14" s="3"/>
      <c r="F14" s="3"/>
      <c r="G14" s="39"/>
    </row>
    <row r="15" spans="1:8" ht="18" x14ac:dyDescent="0.25">
      <c r="A15" s="491" t="s">
        <v>3306</v>
      </c>
      <c r="B15" s="168"/>
    </row>
    <row r="16" spans="1:8" ht="18" x14ac:dyDescent="0.25">
      <c r="A16" s="434" t="s">
        <v>3367</v>
      </c>
      <c r="B16" s="420"/>
    </row>
  </sheetData>
  <pageMargins left="0.7" right="0.7" top="0.75" bottom="0.75" header="0.3" footer="0.3"/>
  <pageSetup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H78"/>
  <sheetViews>
    <sheetView workbookViewId="0">
      <pane ySplit="1" topLeftCell="A46" activePane="bottomLeft" state="frozen"/>
      <selection activeCell="C26" sqref="C26"/>
      <selection pane="bottomLeft" activeCell="F2" sqref="F2:F72"/>
    </sheetView>
  </sheetViews>
  <sheetFormatPr defaultColWidth="9.140625" defaultRowHeight="18" customHeight="1" x14ac:dyDescent="0.2"/>
  <cols>
    <col min="1" max="1" width="56.42578125" style="169" bestFit="1" customWidth="1"/>
    <col min="2" max="2" width="18.42578125" style="164" bestFit="1" customWidth="1"/>
    <col min="3" max="3" width="21.140625" style="164" bestFit="1" customWidth="1"/>
    <col min="4" max="4" width="20.140625" style="164" bestFit="1" customWidth="1"/>
    <col min="5" max="5" width="17.5703125" style="164" bestFit="1" customWidth="1"/>
    <col min="6" max="6" width="10" style="169" bestFit="1" customWidth="1"/>
    <col min="7" max="7" width="11.42578125" style="169" bestFit="1" customWidth="1"/>
    <col min="8" max="8" width="16.85546875" style="169" bestFit="1" customWidth="1"/>
    <col min="9" max="16384" width="9.140625" style="169"/>
  </cols>
  <sheetData>
    <row r="1" spans="1:8" ht="18" customHeight="1" x14ac:dyDescent="0.25">
      <c r="A1" s="115" t="s">
        <v>0</v>
      </c>
      <c r="B1" s="123" t="s">
        <v>1</v>
      </c>
      <c r="C1" s="367" t="s">
        <v>3373</v>
      </c>
      <c r="D1" s="123" t="s">
        <v>1872</v>
      </c>
      <c r="E1" s="123" t="s">
        <v>1873</v>
      </c>
      <c r="F1" s="161" t="s">
        <v>412</v>
      </c>
      <c r="G1" s="441" t="s">
        <v>3368</v>
      </c>
      <c r="H1" s="418" t="s">
        <v>3369</v>
      </c>
    </row>
    <row r="2" spans="1:8" ht="18" customHeight="1" x14ac:dyDescent="0.2">
      <c r="A2" s="151" t="s">
        <v>1573</v>
      </c>
      <c r="B2" s="312">
        <v>3791</v>
      </c>
      <c r="C2" s="430"/>
      <c r="D2" s="252"/>
      <c r="E2" s="129" t="s">
        <v>1921</v>
      </c>
      <c r="F2" s="114">
        <v>2</v>
      </c>
      <c r="G2" s="440"/>
      <c r="H2" s="440"/>
    </row>
    <row r="3" spans="1:8" ht="18" customHeight="1" x14ac:dyDescent="0.2">
      <c r="A3" s="346" t="s">
        <v>3256</v>
      </c>
      <c r="B3" s="405">
        <v>75908</v>
      </c>
      <c r="C3" s="430"/>
      <c r="D3" s="359"/>
      <c r="E3" s="347">
        <v>56654</v>
      </c>
      <c r="F3" s="348">
        <v>2</v>
      </c>
      <c r="G3" s="705"/>
      <c r="H3" s="440"/>
    </row>
    <row r="4" spans="1:8" ht="18" customHeight="1" x14ac:dyDescent="0.2">
      <c r="A4" s="151" t="s">
        <v>770</v>
      </c>
      <c r="B4" s="312" t="s">
        <v>771</v>
      </c>
      <c r="C4" s="430"/>
      <c r="D4" s="252"/>
      <c r="E4" s="129" t="s">
        <v>1923</v>
      </c>
      <c r="F4" s="114">
        <v>1</v>
      </c>
      <c r="G4" s="440"/>
      <c r="H4" s="440"/>
    </row>
    <row r="5" spans="1:8" ht="18" customHeight="1" x14ac:dyDescent="0.2">
      <c r="A5" s="253" t="s">
        <v>2281</v>
      </c>
      <c r="B5" s="312" t="s">
        <v>2739</v>
      </c>
      <c r="C5" s="430"/>
      <c r="D5" s="252"/>
      <c r="E5" s="252">
        <v>55719</v>
      </c>
      <c r="F5" s="249">
        <v>1</v>
      </c>
      <c r="G5" s="440"/>
      <c r="H5" s="440"/>
    </row>
    <row r="6" spans="1:8" ht="18" customHeight="1" x14ac:dyDescent="0.2">
      <c r="A6" s="253" t="s">
        <v>191</v>
      </c>
      <c r="B6" s="312" t="s">
        <v>597</v>
      </c>
      <c r="C6" s="430"/>
      <c r="D6" s="252"/>
      <c r="E6" s="252" t="s">
        <v>1936</v>
      </c>
      <c r="F6" s="249">
        <v>2</v>
      </c>
      <c r="G6" s="440"/>
      <c r="H6" s="440"/>
    </row>
    <row r="7" spans="1:8" ht="18" customHeight="1" x14ac:dyDescent="0.2">
      <c r="A7" s="253" t="s">
        <v>17</v>
      </c>
      <c r="B7" s="312" t="s">
        <v>407</v>
      </c>
      <c r="C7" s="430"/>
      <c r="D7" s="252"/>
      <c r="E7" s="252" t="s">
        <v>1920</v>
      </c>
      <c r="F7" s="249">
        <v>1</v>
      </c>
      <c r="G7" s="440"/>
      <c r="H7" s="440"/>
    </row>
    <row r="8" spans="1:8" ht="18" customHeight="1" x14ac:dyDescent="0.2">
      <c r="A8" s="253" t="s">
        <v>1658</v>
      </c>
      <c r="B8" s="312" t="s">
        <v>599</v>
      </c>
      <c r="C8" s="430"/>
      <c r="D8" s="252"/>
      <c r="E8" s="252" t="s">
        <v>1939</v>
      </c>
      <c r="F8" s="249">
        <v>1</v>
      </c>
      <c r="G8" s="440"/>
      <c r="H8" s="440"/>
    </row>
    <row r="9" spans="1:8" s="119" customFormat="1" ht="15" x14ac:dyDescent="0.2">
      <c r="A9" s="253" t="s">
        <v>1666</v>
      </c>
      <c r="B9" s="312" t="s">
        <v>792</v>
      </c>
      <c r="C9" s="430"/>
      <c r="D9" s="252"/>
      <c r="E9" s="252" t="s">
        <v>1920</v>
      </c>
      <c r="F9" s="249">
        <v>1</v>
      </c>
      <c r="G9" s="440"/>
      <c r="H9" s="433"/>
    </row>
    <row r="10" spans="1:8" ht="18" customHeight="1" x14ac:dyDescent="0.2">
      <c r="A10" s="253" t="s">
        <v>1672</v>
      </c>
      <c r="B10" s="312" t="s">
        <v>176</v>
      </c>
      <c r="C10" s="430"/>
      <c r="D10" s="252"/>
      <c r="E10" s="252" t="s">
        <v>1920</v>
      </c>
      <c r="F10" s="249">
        <v>1</v>
      </c>
      <c r="G10" s="440"/>
      <c r="H10" s="440"/>
    </row>
    <row r="11" spans="1:8" ht="18" customHeight="1" x14ac:dyDescent="0.2">
      <c r="A11" s="246" t="s">
        <v>3071</v>
      </c>
      <c r="B11" s="314" t="s">
        <v>3058</v>
      </c>
      <c r="C11" s="430"/>
      <c r="D11" s="314"/>
      <c r="E11" s="314">
        <v>55719</v>
      </c>
      <c r="F11" s="244">
        <v>1</v>
      </c>
      <c r="G11" s="432"/>
      <c r="H11" s="440"/>
    </row>
    <row r="12" spans="1:8" ht="18" customHeight="1" x14ac:dyDescent="0.2">
      <c r="A12" s="253" t="s">
        <v>16</v>
      </c>
      <c r="B12" s="312" t="s">
        <v>476</v>
      </c>
      <c r="C12" s="430"/>
      <c r="D12" s="252"/>
      <c r="E12" s="252" t="s">
        <v>1920</v>
      </c>
      <c r="F12" s="249">
        <v>2</v>
      </c>
      <c r="G12" s="440"/>
      <c r="H12" s="440"/>
    </row>
    <row r="13" spans="1:8" ht="18" customHeight="1" x14ac:dyDescent="0.2">
      <c r="A13" s="253" t="s">
        <v>1192</v>
      </c>
      <c r="B13" s="312" t="s">
        <v>94</v>
      </c>
      <c r="C13" s="430"/>
      <c r="D13" s="252"/>
      <c r="E13" s="252" t="s">
        <v>1920</v>
      </c>
      <c r="F13" s="249">
        <v>1</v>
      </c>
      <c r="G13" s="440"/>
      <c r="H13" s="440"/>
    </row>
    <row r="14" spans="1:8" ht="18" customHeight="1" x14ac:dyDescent="0.2">
      <c r="A14" s="253" t="s">
        <v>1358</v>
      </c>
      <c r="B14" s="312" t="s">
        <v>3062</v>
      </c>
      <c r="C14" s="430"/>
      <c r="D14" s="252"/>
      <c r="E14" s="252" t="s">
        <v>1943</v>
      </c>
      <c r="F14" s="267">
        <v>1</v>
      </c>
      <c r="G14" s="440"/>
      <c r="H14" s="440"/>
    </row>
    <row r="15" spans="1:8" s="119" customFormat="1" ht="15" x14ac:dyDescent="0.2">
      <c r="A15" s="253" t="s">
        <v>6</v>
      </c>
      <c r="B15" s="312" t="s">
        <v>91</v>
      </c>
      <c r="C15" s="430"/>
      <c r="D15" s="252"/>
      <c r="E15" s="252" t="s">
        <v>1920</v>
      </c>
      <c r="F15" s="249">
        <v>1</v>
      </c>
      <c r="G15" s="440"/>
      <c r="H15" s="433"/>
    </row>
    <row r="16" spans="1:8" ht="18" customHeight="1" x14ac:dyDescent="0.2">
      <c r="A16" s="253" t="s">
        <v>1259</v>
      </c>
      <c r="B16" s="312" t="s">
        <v>615</v>
      </c>
      <c r="C16" s="430"/>
      <c r="D16" s="252"/>
      <c r="E16" s="252" t="s">
        <v>1920</v>
      </c>
      <c r="F16" s="249">
        <v>2</v>
      </c>
      <c r="G16" s="440"/>
      <c r="H16" s="440"/>
    </row>
    <row r="17" spans="1:8" s="119" customFormat="1" ht="15" x14ac:dyDescent="0.2">
      <c r="A17" s="273" t="s">
        <v>3120</v>
      </c>
      <c r="B17" s="406" t="s">
        <v>3119</v>
      </c>
      <c r="C17" s="430"/>
      <c r="D17" s="406"/>
      <c r="E17" s="272" t="s">
        <v>1928</v>
      </c>
      <c r="F17" s="271">
        <v>2</v>
      </c>
      <c r="G17" s="453"/>
      <c r="H17" s="433"/>
    </row>
    <row r="18" spans="1:8" s="119" customFormat="1" ht="15" x14ac:dyDescent="0.2">
      <c r="A18" s="151" t="s">
        <v>161</v>
      </c>
      <c r="B18" s="312" t="s">
        <v>774</v>
      </c>
      <c r="C18" s="430"/>
      <c r="D18" s="252"/>
      <c r="E18" s="129" t="s">
        <v>1920</v>
      </c>
      <c r="F18" s="114">
        <v>2</v>
      </c>
      <c r="G18" s="440"/>
      <c r="H18" s="433"/>
    </row>
    <row r="19" spans="1:8" s="119" customFormat="1" ht="15" x14ac:dyDescent="0.2">
      <c r="A19" s="253" t="s">
        <v>1400</v>
      </c>
      <c r="B19" s="312" t="s">
        <v>598</v>
      </c>
      <c r="C19" s="430"/>
      <c r="D19" s="252"/>
      <c r="E19" s="252" t="s">
        <v>1920</v>
      </c>
      <c r="F19" s="267">
        <v>1</v>
      </c>
      <c r="G19" s="440"/>
      <c r="H19" s="433"/>
    </row>
    <row r="20" spans="1:8" s="119" customFormat="1" ht="15" x14ac:dyDescent="0.2">
      <c r="A20" s="151" t="s">
        <v>192</v>
      </c>
      <c r="B20" s="312" t="s">
        <v>601</v>
      </c>
      <c r="C20" s="430"/>
      <c r="D20" s="252"/>
      <c r="E20" s="129" t="s">
        <v>1920</v>
      </c>
      <c r="F20" s="114">
        <v>1</v>
      </c>
      <c r="G20" s="440"/>
      <c r="H20" s="433"/>
    </row>
    <row r="21" spans="1:8" s="119" customFormat="1" ht="15" x14ac:dyDescent="0.2">
      <c r="A21" s="253" t="s">
        <v>3260</v>
      </c>
      <c r="B21" s="312" t="s">
        <v>480</v>
      </c>
      <c r="C21" s="430"/>
      <c r="D21" s="252"/>
      <c r="E21" s="252" t="s">
        <v>1920</v>
      </c>
      <c r="F21" s="267">
        <v>1</v>
      </c>
      <c r="G21" s="440"/>
      <c r="H21" s="433"/>
    </row>
    <row r="22" spans="1:8" s="119" customFormat="1" ht="15" x14ac:dyDescent="0.2">
      <c r="A22" s="253" t="s">
        <v>1469</v>
      </c>
      <c r="B22" s="312" t="s">
        <v>737</v>
      </c>
      <c r="C22" s="430"/>
      <c r="D22" s="252"/>
      <c r="E22" s="129"/>
      <c r="F22" s="114">
        <v>1</v>
      </c>
      <c r="G22" s="440"/>
      <c r="H22" s="433"/>
    </row>
    <row r="23" spans="1:8" s="119" customFormat="1" ht="15" x14ac:dyDescent="0.2">
      <c r="A23" s="151" t="s">
        <v>3257</v>
      </c>
      <c r="B23" s="312" t="s">
        <v>888</v>
      </c>
      <c r="C23" s="430"/>
      <c r="D23" s="252"/>
      <c r="E23" s="129" t="s">
        <v>1920</v>
      </c>
      <c r="F23" s="114">
        <v>1</v>
      </c>
      <c r="G23" s="440"/>
      <c r="H23" s="433"/>
    </row>
    <row r="24" spans="1:8" s="119" customFormat="1" ht="15" x14ac:dyDescent="0.2">
      <c r="A24" s="253" t="s">
        <v>66</v>
      </c>
      <c r="B24" s="312" t="s">
        <v>1836</v>
      </c>
      <c r="C24" s="430"/>
      <c r="D24" s="252"/>
      <c r="E24" s="129" t="s">
        <v>1947</v>
      </c>
      <c r="F24" s="114">
        <v>1</v>
      </c>
      <c r="G24" s="440"/>
      <c r="H24" s="433"/>
    </row>
    <row r="25" spans="1:8" s="119" customFormat="1" ht="15" x14ac:dyDescent="0.2">
      <c r="A25" s="151" t="s">
        <v>1484</v>
      </c>
      <c r="B25" s="312" t="s">
        <v>778</v>
      </c>
      <c r="C25" s="430"/>
      <c r="D25" s="252" t="s">
        <v>1876</v>
      </c>
      <c r="E25" s="129" t="s">
        <v>1949</v>
      </c>
      <c r="F25" s="114">
        <v>1</v>
      </c>
      <c r="G25" s="440"/>
      <c r="H25" s="433"/>
    </row>
    <row r="26" spans="1:8" s="119" customFormat="1" ht="15" x14ac:dyDescent="0.2">
      <c r="A26" s="151" t="s">
        <v>1511</v>
      </c>
      <c r="B26" s="312" t="s">
        <v>2000</v>
      </c>
      <c r="C26" s="430"/>
      <c r="D26" s="252"/>
      <c r="E26" s="129"/>
      <c r="F26" s="114">
        <v>2</v>
      </c>
      <c r="G26" s="440"/>
      <c r="H26" s="433"/>
    </row>
    <row r="27" spans="1:8" s="119" customFormat="1" ht="15" x14ac:dyDescent="0.2">
      <c r="A27" s="151" t="s">
        <v>1512</v>
      </c>
      <c r="B27" s="312" t="s">
        <v>1999</v>
      </c>
      <c r="C27" s="430"/>
      <c r="D27" s="252"/>
      <c r="E27" s="129"/>
      <c r="F27" s="114">
        <v>2</v>
      </c>
      <c r="G27" s="440"/>
      <c r="H27" s="433"/>
    </row>
    <row r="28" spans="1:8" ht="18" customHeight="1" x14ac:dyDescent="0.2">
      <c r="A28" s="151" t="s">
        <v>157</v>
      </c>
      <c r="B28" s="312" t="s">
        <v>633</v>
      </c>
      <c r="C28" s="430"/>
      <c r="D28" s="252"/>
      <c r="E28" s="129"/>
      <c r="F28" s="114">
        <v>1</v>
      </c>
      <c r="G28" s="440"/>
      <c r="H28" s="440"/>
    </row>
    <row r="29" spans="1:8" ht="18" customHeight="1" x14ac:dyDescent="0.2">
      <c r="A29" s="151" t="s">
        <v>1508</v>
      </c>
      <c r="B29" s="312" t="s">
        <v>600</v>
      </c>
      <c r="C29" s="430"/>
      <c r="D29" s="252" t="s">
        <v>1908</v>
      </c>
      <c r="E29" s="129" t="s">
        <v>1928</v>
      </c>
      <c r="F29" s="114">
        <v>4</v>
      </c>
      <c r="G29" s="440"/>
      <c r="H29" s="440"/>
    </row>
    <row r="30" spans="1:8" ht="18" customHeight="1" x14ac:dyDescent="0.2">
      <c r="A30" s="151" t="s">
        <v>158</v>
      </c>
      <c r="B30" s="312" t="s">
        <v>603</v>
      </c>
      <c r="C30" s="430"/>
      <c r="D30" s="252" t="s">
        <v>1909</v>
      </c>
      <c r="E30" s="129" t="s">
        <v>1964</v>
      </c>
      <c r="F30" s="114">
        <v>1</v>
      </c>
      <c r="G30" s="440"/>
      <c r="H30" s="440"/>
    </row>
    <row r="31" spans="1:8" ht="18" customHeight="1" x14ac:dyDescent="0.2">
      <c r="A31" s="151" t="s">
        <v>765</v>
      </c>
      <c r="B31" s="312" t="s">
        <v>766</v>
      </c>
      <c r="C31" s="430"/>
      <c r="D31" s="252"/>
      <c r="E31" s="129" t="s">
        <v>1965</v>
      </c>
      <c r="F31" s="114">
        <v>1</v>
      </c>
      <c r="G31" s="440"/>
      <c r="H31" s="440"/>
    </row>
    <row r="32" spans="1:8" ht="18" customHeight="1" x14ac:dyDescent="0.2">
      <c r="A32" s="151" t="s">
        <v>160</v>
      </c>
      <c r="B32" s="312" t="s">
        <v>605</v>
      </c>
      <c r="C32" s="430"/>
      <c r="D32" s="252" t="s">
        <v>1912</v>
      </c>
      <c r="E32" s="129" t="s">
        <v>1967</v>
      </c>
      <c r="F32" s="114">
        <v>4</v>
      </c>
      <c r="G32" s="440"/>
      <c r="H32" s="440"/>
    </row>
    <row r="33" spans="1:8" ht="18" customHeight="1" x14ac:dyDescent="0.2">
      <c r="A33" s="151" t="s">
        <v>155</v>
      </c>
      <c r="B33" s="312" t="s">
        <v>595</v>
      </c>
      <c r="C33" s="430"/>
      <c r="D33" s="252" t="s">
        <v>1913</v>
      </c>
      <c r="E33" s="129" t="s">
        <v>1967</v>
      </c>
      <c r="F33" s="114">
        <v>4</v>
      </c>
      <c r="G33" s="440"/>
      <c r="H33" s="440"/>
    </row>
    <row r="34" spans="1:8" ht="18" customHeight="1" x14ac:dyDescent="0.2">
      <c r="A34" s="151" t="s">
        <v>156</v>
      </c>
      <c r="B34" s="312" t="s">
        <v>596</v>
      </c>
      <c r="C34" s="430"/>
      <c r="D34" s="252" t="s">
        <v>1914</v>
      </c>
      <c r="E34" s="129" t="s">
        <v>1967</v>
      </c>
      <c r="F34" s="114">
        <v>4</v>
      </c>
      <c r="G34" s="440"/>
      <c r="H34" s="440"/>
    </row>
    <row r="35" spans="1:8" ht="18" customHeight="1" x14ac:dyDescent="0.2">
      <c r="A35" s="151" t="s">
        <v>159</v>
      </c>
      <c r="B35" s="312" t="s">
        <v>1107</v>
      </c>
      <c r="C35" s="430"/>
      <c r="D35" s="252" t="s">
        <v>1915</v>
      </c>
      <c r="E35" s="129" t="s">
        <v>1965</v>
      </c>
      <c r="F35" s="114">
        <v>2</v>
      </c>
      <c r="G35" s="440"/>
      <c r="H35" s="440"/>
    </row>
    <row r="36" spans="1:8" ht="18" customHeight="1" x14ac:dyDescent="0.2">
      <c r="A36" s="151" t="s">
        <v>2895</v>
      </c>
      <c r="B36" s="312" t="s">
        <v>2896</v>
      </c>
      <c r="C36" s="430"/>
      <c r="D36" s="252"/>
      <c r="E36" s="129" t="s">
        <v>1920</v>
      </c>
      <c r="F36" s="114">
        <v>2</v>
      </c>
      <c r="G36" s="440"/>
      <c r="H36" s="440"/>
    </row>
    <row r="37" spans="1:8" ht="18" customHeight="1" x14ac:dyDescent="0.2">
      <c r="A37" s="151" t="s">
        <v>1415</v>
      </c>
      <c r="B37" s="312" t="s">
        <v>604</v>
      </c>
      <c r="C37" s="430"/>
      <c r="D37" s="252"/>
      <c r="E37" s="129" t="s">
        <v>1973</v>
      </c>
      <c r="F37" s="114">
        <v>1</v>
      </c>
      <c r="G37" s="440"/>
      <c r="H37" s="440"/>
    </row>
    <row r="38" spans="1:8" ht="18" customHeight="1" x14ac:dyDescent="0.2">
      <c r="A38" s="151" t="s">
        <v>3115</v>
      </c>
      <c r="B38" s="312" t="s">
        <v>2226</v>
      </c>
      <c r="C38" s="430"/>
      <c r="D38" s="252"/>
      <c r="E38" s="129" t="s">
        <v>1920</v>
      </c>
      <c r="F38" s="114">
        <v>2</v>
      </c>
      <c r="G38" s="440"/>
      <c r="H38" s="440"/>
    </row>
    <row r="39" spans="1:8" ht="18" customHeight="1" x14ac:dyDescent="0.2">
      <c r="A39" s="151" t="s">
        <v>3116</v>
      </c>
      <c r="B39" s="312" t="s">
        <v>872</v>
      </c>
      <c r="C39" s="430"/>
      <c r="D39" s="252"/>
      <c r="E39" s="129" t="s">
        <v>1920</v>
      </c>
      <c r="F39" s="114">
        <v>2</v>
      </c>
      <c r="G39" s="440"/>
      <c r="H39" s="440"/>
    </row>
    <row r="40" spans="1:8" ht="18" customHeight="1" x14ac:dyDescent="0.2">
      <c r="A40" s="151" t="s">
        <v>1590</v>
      </c>
      <c r="B40" s="312" t="s">
        <v>715</v>
      </c>
      <c r="C40" s="430"/>
      <c r="D40" s="252"/>
      <c r="E40" s="129" t="s">
        <v>1920</v>
      </c>
      <c r="F40" s="114">
        <v>1</v>
      </c>
      <c r="G40" s="440"/>
      <c r="H40" s="440"/>
    </row>
    <row r="41" spans="1:8" ht="18" customHeight="1" x14ac:dyDescent="0.2">
      <c r="A41" s="151" t="s">
        <v>2133</v>
      </c>
      <c r="B41" s="312" t="s">
        <v>2909</v>
      </c>
      <c r="C41" s="430"/>
      <c r="D41" s="252"/>
      <c r="E41" s="129">
        <v>56654</v>
      </c>
      <c r="F41" s="114">
        <v>2</v>
      </c>
      <c r="G41" s="440"/>
      <c r="H41" s="440"/>
    </row>
    <row r="42" spans="1:8" ht="18" customHeight="1" x14ac:dyDescent="0.2">
      <c r="A42" s="151" t="s">
        <v>1124</v>
      </c>
      <c r="B42" s="312">
        <v>8130015</v>
      </c>
      <c r="C42" s="430"/>
      <c r="D42" s="252"/>
      <c r="E42" s="129" t="s">
        <v>1975</v>
      </c>
      <c r="F42" s="114">
        <v>2</v>
      </c>
      <c r="G42" s="440"/>
      <c r="H42" s="440"/>
    </row>
    <row r="43" spans="1:8" ht="18" customHeight="1" x14ac:dyDescent="0.2">
      <c r="A43" s="151" t="s">
        <v>1125</v>
      </c>
      <c r="B43" s="312">
        <v>8130020</v>
      </c>
      <c r="C43" s="430"/>
      <c r="D43" s="252"/>
      <c r="E43" s="129" t="s">
        <v>1975</v>
      </c>
      <c r="F43" s="114">
        <v>2</v>
      </c>
      <c r="G43" s="440"/>
      <c r="H43" s="440"/>
    </row>
    <row r="44" spans="1:8" ht="18" customHeight="1" x14ac:dyDescent="0.2">
      <c r="A44" s="151" t="s">
        <v>1127</v>
      </c>
      <c r="B44" s="312">
        <v>8130030</v>
      </c>
      <c r="C44" s="430"/>
      <c r="D44" s="252"/>
      <c r="E44" s="129" t="s">
        <v>1975</v>
      </c>
      <c r="F44" s="114">
        <v>2</v>
      </c>
      <c r="G44" s="440"/>
      <c r="H44" s="440"/>
    </row>
    <row r="45" spans="1:8" ht="18" customHeight="1" x14ac:dyDescent="0.2">
      <c r="A45" s="253" t="s">
        <v>1128</v>
      </c>
      <c r="B45" s="312">
        <v>8130040</v>
      </c>
      <c r="C45" s="430"/>
      <c r="D45" s="252"/>
      <c r="E45" s="252" t="s">
        <v>1975</v>
      </c>
      <c r="F45" s="267">
        <v>2</v>
      </c>
      <c r="G45" s="440"/>
      <c r="H45" s="440"/>
    </row>
    <row r="46" spans="1:8" ht="18" customHeight="1" x14ac:dyDescent="0.2">
      <c r="A46" s="151" t="s">
        <v>1156</v>
      </c>
      <c r="B46" s="312" t="s">
        <v>2117</v>
      </c>
      <c r="C46" s="430"/>
      <c r="D46" s="252"/>
      <c r="E46" s="129" t="s">
        <v>1920</v>
      </c>
      <c r="F46" s="114">
        <v>6</v>
      </c>
      <c r="G46" s="440"/>
      <c r="H46" s="440"/>
    </row>
    <row r="47" spans="1:8" ht="18" customHeight="1" x14ac:dyDescent="0.2">
      <c r="A47" s="151" t="s">
        <v>1651</v>
      </c>
      <c r="B47" s="312" t="s">
        <v>764</v>
      </c>
      <c r="C47" s="430"/>
      <c r="D47" s="252"/>
      <c r="E47" s="129" t="s">
        <v>1920</v>
      </c>
      <c r="F47" s="114">
        <v>1</v>
      </c>
      <c r="G47" s="440"/>
      <c r="H47" s="440"/>
    </row>
    <row r="48" spans="1:8" ht="18" customHeight="1" x14ac:dyDescent="0.2">
      <c r="A48" s="246" t="s">
        <v>3036</v>
      </c>
      <c r="B48" s="314" t="s">
        <v>3037</v>
      </c>
      <c r="C48" s="430"/>
      <c r="D48" s="314"/>
      <c r="E48" s="314" t="s">
        <v>3022</v>
      </c>
      <c r="F48" s="244">
        <v>2</v>
      </c>
      <c r="G48" s="432"/>
      <c r="H48" s="440"/>
    </row>
    <row r="49" spans="1:8" ht="18" customHeight="1" x14ac:dyDescent="0.2">
      <c r="A49" s="246" t="s">
        <v>3038</v>
      </c>
      <c r="B49" s="314" t="s">
        <v>3039</v>
      </c>
      <c r="C49" s="430"/>
      <c r="D49" s="314"/>
      <c r="E49" s="314" t="s">
        <v>3022</v>
      </c>
      <c r="F49" s="244">
        <v>2</v>
      </c>
      <c r="G49" s="432"/>
      <c r="H49" s="440"/>
    </row>
    <row r="50" spans="1:8" ht="18" customHeight="1" x14ac:dyDescent="0.2">
      <c r="A50" s="246" t="s">
        <v>3034</v>
      </c>
      <c r="B50" s="314" t="s">
        <v>3035</v>
      </c>
      <c r="C50" s="430"/>
      <c r="D50" s="314"/>
      <c r="E50" s="314" t="s">
        <v>3022</v>
      </c>
      <c r="F50" s="244">
        <v>2</v>
      </c>
      <c r="G50" s="432"/>
      <c r="H50" s="440"/>
    </row>
    <row r="51" spans="1:8" ht="18" customHeight="1" x14ac:dyDescent="0.2">
      <c r="A51" s="246" t="s">
        <v>3042</v>
      </c>
      <c r="B51" s="314" t="s">
        <v>3043</v>
      </c>
      <c r="C51" s="430"/>
      <c r="D51" s="314"/>
      <c r="E51" s="314" t="s">
        <v>3022</v>
      </c>
      <c r="F51" s="244">
        <v>2</v>
      </c>
      <c r="G51" s="432"/>
      <c r="H51" s="440"/>
    </row>
    <row r="52" spans="1:8" ht="18" customHeight="1" x14ac:dyDescent="0.2">
      <c r="A52" s="246" t="s">
        <v>3044</v>
      </c>
      <c r="B52" s="314" t="s">
        <v>3045</v>
      </c>
      <c r="C52" s="430"/>
      <c r="D52" s="314"/>
      <c r="E52" s="248" t="s">
        <v>3022</v>
      </c>
      <c r="F52" s="244">
        <v>2</v>
      </c>
      <c r="G52" s="432"/>
      <c r="H52" s="440"/>
    </row>
    <row r="53" spans="1:8" ht="18" customHeight="1" x14ac:dyDescent="0.2">
      <c r="A53" s="246" t="s">
        <v>3040</v>
      </c>
      <c r="B53" s="314" t="s">
        <v>3041</v>
      </c>
      <c r="C53" s="430"/>
      <c r="D53" s="314"/>
      <c r="E53" s="248" t="s">
        <v>3022</v>
      </c>
      <c r="F53" s="244">
        <v>2</v>
      </c>
      <c r="G53" s="432"/>
      <c r="H53" s="440"/>
    </row>
    <row r="54" spans="1:8" ht="18" customHeight="1" x14ac:dyDescent="0.2">
      <c r="A54" s="246" t="s">
        <v>3048</v>
      </c>
      <c r="B54" s="314" t="s">
        <v>3049</v>
      </c>
      <c r="C54" s="430"/>
      <c r="D54" s="314"/>
      <c r="E54" s="248" t="s">
        <v>3022</v>
      </c>
      <c r="F54" s="244">
        <v>2</v>
      </c>
      <c r="G54" s="432"/>
      <c r="H54" s="440"/>
    </row>
    <row r="55" spans="1:8" ht="18" customHeight="1" x14ac:dyDescent="0.2">
      <c r="A55" s="246" t="s">
        <v>3050</v>
      </c>
      <c r="B55" s="314" t="s">
        <v>3051</v>
      </c>
      <c r="C55" s="430"/>
      <c r="D55" s="314"/>
      <c r="E55" s="248" t="s">
        <v>3022</v>
      </c>
      <c r="F55" s="244">
        <v>2</v>
      </c>
      <c r="G55" s="432"/>
      <c r="H55" s="440"/>
    </row>
    <row r="56" spans="1:8" ht="19.5" customHeight="1" x14ac:dyDescent="0.2">
      <c r="A56" s="246" t="s">
        <v>3046</v>
      </c>
      <c r="B56" s="314" t="s">
        <v>3047</v>
      </c>
      <c r="C56" s="430"/>
      <c r="D56" s="314"/>
      <c r="E56" s="248" t="s">
        <v>3022</v>
      </c>
      <c r="F56" s="244">
        <v>2</v>
      </c>
      <c r="G56" s="432"/>
      <c r="H56" s="440"/>
    </row>
    <row r="57" spans="1:8" ht="18" customHeight="1" x14ac:dyDescent="0.2">
      <c r="A57" s="246" t="s">
        <v>3054</v>
      </c>
      <c r="B57" s="314" t="s">
        <v>3056</v>
      </c>
      <c r="C57" s="430"/>
      <c r="D57" s="314"/>
      <c r="E57" s="248" t="s">
        <v>3022</v>
      </c>
      <c r="F57" s="244">
        <v>2</v>
      </c>
      <c r="G57" s="432"/>
      <c r="H57" s="440"/>
    </row>
    <row r="58" spans="1:8" ht="18" customHeight="1" x14ac:dyDescent="0.2">
      <c r="A58" s="246" t="s">
        <v>3055</v>
      </c>
      <c r="B58" s="314" t="s">
        <v>3057</v>
      </c>
      <c r="C58" s="430"/>
      <c r="D58" s="314"/>
      <c r="E58" s="248" t="s">
        <v>3022</v>
      </c>
      <c r="F58" s="244">
        <v>2</v>
      </c>
      <c r="G58" s="432"/>
      <c r="H58" s="440"/>
    </row>
    <row r="59" spans="1:8" ht="18" customHeight="1" x14ac:dyDescent="0.2">
      <c r="A59" s="246" t="s">
        <v>3052</v>
      </c>
      <c r="B59" s="314" t="s">
        <v>3053</v>
      </c>
      <c r="C59" s="430"/>
      <c r="D59" s="314"/>
      <c r="E59" s="248" t="s">
        <v>3022</v>
      </c>
      <c r="F59" s="244">
        <v>2</v>
      </c>
      <c r="G59" s="432"/>
      <c r="H59" s="440"/>
    </row>
    <row r="60" spans="1:8" ht="18" customHeight="1" x14ac:dyDescent="0.2">
      <c r="A60" s="246" t="s">
        <v>3030</v>
      </c>
      <c r="B60" s="314" t="s">
        <v>3031</v>
      </c>
      <c r="C60" s="430"/>
      <c r="D60" s="314"/>
      <c r="E60" s="248" t="s">
        <v>3022</v>
      </c>
      <c r="F60" s="244">
        <v>2</v>
      </c>
      <c r="G60" s="432"/>
      <c r="H60" s="440"/>
    </row>
    <row r="61" spans="1:8" ht="18" customHeight="1" x14ac:dyDescent="0.2">
      <c r="A61" s="246" t="s">
        <v>3032</v>
      </c>
      <c r="B61" s="314" t="s">
        <v>3033</v>
      </c>
      <c r="C61" s="430"/>
      <c r="D61" s="314"/>
      <c r="E61" s="248" t="s">
        <v>3022</v>
      </c>
      <c r="F61" s="244">
        <v>2</v>
      </c>
      <c r="G61" s="432"/>
      <c r="H61" s="440"/>
    </row>
    <row r="62" spans="1:8" ht="18" customHeight="1" x14ac:dyDescent="0.2">
      <c r="A62" s="246" t="s">
        <v>3028</v>
      </c>
      <c r="B62" s="314" t="s">
        <v>3029</v>
      </c>
      <c r="C62" s="430"/>
      <c r="D62" s="314"/>
      <c r="E62" s="248" t="s">
        <v>3022</v>
      </c>
      <c r="F62" s="244">
        <v>2</v>
      </c>
      <c r="G62" s="432"/>
      <c r="H62" s="440"/>
    </row>
    <row r="63" spans="1:8" ht="18" customHeight="1" x14ac:dyDescent="0.2">
      <c r="A63" s="246" t="s">
        <v>3026</v>
      </c>
      <c r="B63" s="314" t="s">
        <v>3012</v>
      </c>
      <c r="C63" s="430"/>
      <c r="D63" s="314"/>
      <c r="E63" s="248" t="s">
        <v>3022</v>
      </c>
      <c r="F63" s="244">
        <v>2</v>
      </c>
      <c r="G63" s="432"/>
      <c r="H63" s="440"/>
    </row>
    <row r="64" spans="1:8" ht="18" customHeight="1" x14ac:dyDescent="0.2">
      <c r="A64" s="246" t="s">
        <v>3023</v>
      </c>
      <c r="B64" s="314" t="s">
        <v>3016</v>
      </c>
      <c r="C64" s="430"/>
      <c r="D64" s="314"/>
      <c r="E64" s="248" t="s">
        <v>3022</v>
      </c>
      <c r="F64" s="244">
        <v>2</v>
      </c>
      <c r="G64" s="432"/>
      <c r="H64" s="440"/>
    </row>
    <row r="65" spans="1:8" ht="18" customHeight="1" x14ac:dyDescent="0.2">
      <c r="A65" s="246" t="s">
        <v>3024</v>
      </c>
      <c r="B65" s="314" t="s">
        <v>3015</v>
      </c>
      <c r="C65" s="430"/>
      <c r="D65" s="314"/>
      <c r="E65" s="248" t="s">
        <v>3022</v>
      </c>
      <c r="F65" s="244">
        <v>2</v>
      </c>
      <c r="G65" s="432"/>
      <c r="H65" s="440"/>
    </row>
    <row r="66" spans="1:8" ht="18" customHeight="1" x14ac:dyDescent="0.2">
      <c r="A66" s="246" t="s">
        <v>3027</v>
      </c>
      <c r="B66" s="314" t="s">
        <v>3014</v>
      </c>
      <c r="C66" s="430"/>
      <c r="D66" s="314"/>
      <c r="E66" s="248" t="s">
        <v>3022</v>
      </c>
      <c r="F66" s="244">
        <v>2</v>
      </c>
      <c r="G66" s="432"/>
      <c r="H66" s="440"/>
    </row>
    <row r="67" spans="1:8" ht="18" customHeight="1" x14ac:dyDescent="0.2">
      <c r="A67" s="246" t="s">
        <v>3025</v>
      </c>
      <c r="B67" s="314" t="s">
        <v>3013</v>
      </c>
      <c r="C67" s="430"/>
      <c r="D67" s="314"/>
      <c r="E67" s="248" t="s">
        <v>3022</v>
      </c>
      <c r="F67" s="244">
        <v>2</v>
      </c>
      <c r="G67" s="432"/>
      <c r="H67" s="440"/>
    </row>
    <row r="68" spans="1:8" ht="18" customHeight="1" x14ac:dyDescent="0.2">
      <c r="A68" s="253" t="s">
        <v>1090</v>
      </c>
      <c r="B68" s="312">
        <v>56707</v>
      </c>
      <c r="C68" s="430"/>
      <c r="D68" s="252"/>
      <c r="E68" s="252">
        <v>25795</v>
      </c>
      <c r="F68" s="267">
        <v>1</v>
      </c>
      <c r="G68" s="440"/>
      <c r="H68" s="440"/>
    </row>
    <row r="69" spans="1:8" ht="18" customHeight="1" x14ac:dyDescent="0.2">
      <c r="A69" s="253" t="s">
        <v>20</v>
      </c>
      <c r="B69" s="312" t="s">
        <v>287</v>
      </c>
      <c r="C69" s="430"/>
      <c r="D69" s="252"/>
      <c r="E69" s="252" t="s">
        <v>1920</v>
      </c>
      <c r="F69" s="267">
        <v>2</v>
      </c>
      <c r="G69" s="440"/>
      <c r="H69" s="440"/>
    </row>
    <row r="70" spans="1:8" ht="18" customHeight="1" x14ac:dyDescent="0.2">
      <c r="A70" s="246" t="s">
        <v>3080</v>
      </c>
      <c r="B70" s="314" t="s">
        <v>3081</v>
      </c>
      <c r="C70" s="430"/>
      <c r="D70" s="314"/>
      <c r="E70" s="314" t="s">
        <v>3022</v>
      </c>
      <c r="F70" s="244">
        <v>1</v>
      </c>
      <c r="G70" s="432"/>
      <c r="H70" s="440"/>
    </row>
    <row r="71" spans="1:8" ht="18" customHeight="1" x14ac:dyDescent="0.2">
      <c r="A71" s="349" t="s">
        <v>410</v>
      </c>
      <c r="B71" s="350" t="s">
        <v>411</v>
      </c>
      <c r="C71" s="430"/>
      <c r="D71" s="351"/>
      <c r="E71" s="351" t="s">
        <v>1920</v>
      </c>
      <c r="F71" s="352">
        <v>1</v>
      </c>
      <c r="G71" s="440"/>
      <c r="H71" s="440"/>
    </row>
    <row r="72" spans="1:8" ht="18" customHeight="1" x14ac:dyDescent="0.2">
      <c r="A72" s="246" t="s">
        <v>3021</v>
      </c>
      <c r="B72" s="314" t="s">
        <v>3061</v>
      </c>
      <c r="C72" s="430"/>
      <c r="D72" s="314"/>
      <c r="E72" s="314" t="s">
        <v>3022</v>
      </c>
      <c r="F72" s="244">
        <v>1</v>
      </c>
      <c r="G72" s="432"/>
      <c r="H72" s="440"/>
    </row>
    <row r="75" spans="1:8" s="4" customFormat="1" x14ac:dyDescent="0.25">
      <c r="A75" s="422" t="s">
        <v>1775</v>
      </c>
      <c r="B75" s="425"/>
      <c r="C75" s="309"/>
      <c r="D75" s="309"/>
      <c r="E75" s="3"/>
      <c r="F75" s="3"/>
      <c r="G75" s="39"/>
    </row>
    <row r="76" spans="1:8" s="4" customFormat="1" x14ac:dyDescent="0.25">
      <c r="A76" s="422" t="s">
        <v>2985</v>
      </c>
      <c r="B76" s="425"/>
      <c r="C76" s="309"/>
      <c r="D76" s="309"/>
      <c r="E76" s="3"/>
      <c r="F76" s="3"/>
    </row>
    <row r="77" spans="1:8" ht="18" customHeight="1" x14ac:dyDescent="0.25">
      <c r="A77" s="491" t="s">
        <v>3314</v>
      </c>
      <c r="B77" s="163"/>
    </row>
    <row r="78" spans="1:8" ht="18" customHeight="1" x14ac:dyDescent="0.25">
      <c r="A78" s="434" t="s">
        <v>3367</v>
      </c>
      <c r="B78" s="420"/>
    </row>
  </sheetData>
  <pageMargins left="0.7" right="0.7" top="0.75" bottom="0.75" header="0.3" footer="0.3"/>
  <pageSetup scale="45" fitToHeight="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14"/>
  <sheetViews>
    <sheetView workbookViewId="0">
      <selection activeCell="F2" sqref="F2:F8"/>
    </sheetView>
  </sheetViews>
  <sheetFormatPr defaultColWidth="9.140625" defaultRowHeight="15" x14ac:dyDescent="0.2"/>
  <cols>
    <col min="1" max="1" width="56.42578125" style="188" bestFit="1" customWidth="1"/>
    <col min="2" max="2" width="14.42578125" style="176" bestFit="1" customWidth="1"/>
    <col min="3" max="3" width="20.42578125" style="164" bestFit="1" customWidth="1"/>
    <col min="4" max="4" width="20.140625" style="176" bestFit="1" customWidth="1"/>
    <col min="5" max="5" width="12.42578125" style="176" bestFit="1" customWidth="1"/>
    <col min="6" max="6" width="10" style="170" bestFit="1" customWidth="1"/>
    <col min="7" max="7" width="11.42578125" style="169" bestFit="1" customWidth="1"/>
    <col min="8" max="8" width="16.85546875" style="169" bestFit="1" customWidth="1"/>
    <col min="9" max="16384" width="9.140625" style="169"/>
  </cols>
  <sheetData>
    <row r="1" spans="1:8" ht="15.75" x14ac:dyDescent="0.25">
      <c r="A1" s="182" t="s">
        <v>0</v>
      </c>
      <c r="B1" s="183" t="s">
        <v>1</v>
      </c>
      <c r="C1" s="367" t="s">
        <v>3373</v>
      </c>
      <c r="D1" s="22" t="s">
        <v>1872</v>
      </c>
      <c r="E1" s="22" t="s">
        <v>1873</v>
      </c>
      <c r="F1" s="115" t="s">
        <v>412</v>
      </c>
      <c r="G1" s="441" t="s">
        <v>3368</v>
      </c>
      <c r="H1" s="418" t="s">
        <v>3369</v>
      </c>
    </row>
    <row r="2" spans="1:8" x14ac:dyDescent="0.2">
      <c r="A2" s="113" t="s">
        <v>1090</v>
      </c>
      <c r="B2" s="71">
        <v>56707</v>
      </c>
      <c r="C2" s="430"/>
      <c r="D2" s="71"/>
      <c r="E2" s="71">
        <v>25795</v>
      </c>
      <c r="F2" s="493">
        <v>1</v>
      </c>
      <c r="G2" s="440" t="s">
        <v>2217</v>
      </c>
      <c r="H2" s="440"/>
    </row>
    <row r="3" spans="1:8" x14ac:dyDescent="0.2">
      <c r="A3" s="113" t="s">
        <v>2222</v>
      </c>
      <c r="B3" s="71" t="s">
        <v>2223</v>
      </c>
      <c r="C3" s="430"/>
      <c r="D3" s="71"/>
      <c r="E3" s="71" t="s">
        <v>1920</v>
      </c>
      <c r="F3" s="493">
        <v>1</v>
      </c>
      <c r="G3" s="440"/>
      <c r="H3" s="440"/>
    </row>
    <row r="4" spans="1:8" x14ac:dyDescent="0.2">
      <c r="A4" s="113" t="s">
        <v>17</v>
      </c>
      <c r="B4" s="71" t="s">
        <v>407</v>
      </c>
      <c r="C4" s="430"/>
      <c r="D4" s="71"/>
      <c r="E4" s="71" t="s">
        <v>1920</v>
      </c>
      <c r="F4" s="493">
        <v>1</v>
      </c>
      <c r="G4" s="440"/>
      <c r="H4" s="440"/>
    </row>
    <row r="5" spans="1:8" x14ac:dyDescent="0.2">
      <c r="A5" s="113" t="s">
        <v>1400</v>
      </c>
      <c r="B5" s="71" t="s">
        <v>598</v>
      </c>
      <c r="C5" s="430"/>
      <c r="D5" s="71"/>
      <c r="E5" s="71" t="s">
        <v>1920</v>
      </c>
      <c r="F5" s="493">
        <v>1</v>
      </c>
      <c r="G5" s="440"/>
      <c r="H5" s="440"/>
    </row>
    <row r="6" spans="1:8" x14ac:dyDescent="0.2">
      <c r="A6" s="113" t="s">
        <v>3260</v>
      </c>
      <c r="B6" s="71" t="s">
        <v>480</v>
      </c>
      <c r="C6" s="430"/>
      <c r="D6" s="71"/>
      <c r="E6" s="71" t="s">
        <v>1920</v>
      </c>
      <c r="F6" s="493">
        <v>1</v>
      </c>
      <c r="G6" s="440"/>
      <c r="H6" s="440"/>
    </row>
    <row r="7" spans="1:8" x14ac:dyDescent="0.2">
      <c r="A7" s="113" t="s">
        <v>3257</v>
      </c>
      <c r="B7" s="71" t="s">
        <v>888</v>
      </c>
      <c r="C7" s="430"/>
      <c r="D7" s="71"/>
      <c r="E7" s="71" t="s">
        <v>1920</v>
      </c>
      <c r="F7" s="493">
        <v>1</v>
      </c>
      <c r="G7" s="440"/>
      <c r="H7" s="440"/>
    </row>
    <row r="8" spans="1:8" x14ac:dyDescent="0.2">
      <c r="A8" s="353" t="s">
        <v>2133</v>
      </c>
      <c r="B8" s="354" t="s">
        <v>2909</v>
      </c>
      <c r="C8" s="430"/>
      <c r="D8" s="354"/>
      <c r="E8" s="354">
        <v>56654</v>
      </c>
      <c r="F8" s="494">
        <v>1</v>
      </c>
      <c r="G8" s="440"/>
      <c r="H8" s="440"/>
    </row>
    <row r="9" spans="1:8" x14ac:dyDescent="0.2">
      <c r="A9" s="184"/>
      <c r="B9" s="185"/>
      <c r="C9" s="332"/>
      <c r="D9" s="185"/>
      <c r="E9" s="185"/>
      <c r="F9" s="186"/>
      <c r="G9" s="187"/>
    </row>
    <row r="11" spans="1:8" s="4" customFormat="1" ht="18" x14ac:dyDescent="0.25">
      <c r="A11" s="422" t="s">
        <v>2221</v>
      </c>
      <c r="B11" s="425"/>
      <c r="C11" s="309"/>
      <c r="D11" s="3"/>
      <c r="E11" s="3"/>
      <c r="F11" s="3"/>
      <c r="G11" s="39"/>
    </row>
    <row r="12" spans="1:8" s="4" customFormat="1" ht="18" x14ac:dyDescent="0.25">
      <c r="A12" s="422" t="s">
        <v>2958</v>
      </c>
      <c r="B12" s="425"/>
      <c r="C12" s="309"/>
      <c r="D12" s="3"/>
      <c r="E12" s="3"/>
      <c r="F12" s="3"/>
      <c r="G12" s="39"/>
    </row>
    <row r="13" spans="1:8" ht="18" x14ac:dyDescent="0.25">
      <c r="A13" s="491" t="s">
        <v>3305</v>
      </c>
      <c r="B13" s="175"/>
    </row>
    <row r="14" spans="1:8" ht="18" x14ac:dyDescent="0.25">
      <c r="A14" s="434" t="s">
        <v>3367</v>
      </c>
      <c r="B14" s="420"/>
    </row>
  </sheetData>
  <sortState xmlns:xlrd2="http://schemas.microsoft.com/office/spreadsheetml/2017/richdata2" ref="A3:H12">
    <sortCondition ref="B3:B12"/>
  </sortState>
  <pageMargins left="0.7" right="0.7" top="0.75" bottom="0.75" header="0.3" footer="0.3"/>
  <pageSetup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7"/>
  <sheetViews>
    <sheetView workbookViewId="0">
      <pane ySplit="1" topLeftCell="A2" activePane="bottomLeft" state="frozen"/>
      <selection activeCell="C26" sqref="C26"/>
      <selection pane="bottomLeft" activeCell="F2" sqref="F2:F21"/>
    </sheetView>
  </sheetViews>
  <sheetFormatPr defaultColWidth="9.140625" defaultRowHeight="15" x14ac:dyDescent="0.2"/>
  <cols>
    <col min="1" max="1" width="70.5703125" style="162" bestFit="1" customWidth="1"/>
    <col min="2" max="2" width="15" style="164" bestFit="1" customWidth="1"/>
    <col min="3" max="3" width="20.42578125" style="164" bestFit="1" customWidth="1"/>
    <col min="4" max="4" width="20.140625" style="164" bestFit="1" customWidth="1"/>
    <col min="5" max="5" width="12.42578125" style="164" bestFit="1" customWidth="1"/>
    <col min="6" max="6" width="10" style="165" bestFit="1" customWidth="1"/>
    <col min="7" max="7" width="11.42578125" style="162" bestFit="1" customWidth="1"/>
    <col min="8" max="8" width="16.85546875" style="162" bestFit="1" customWidth="1"/>
    <col min="9" max="16384" width="9.140625" style="162"/>
  </cols>
  <sheetData>
    <row r="1" spans="1:8" ht="15.75" x14ac:dyDescent="0.25">
      <c r="A1" s="65" t="s">
        <v>0</v>
      </c>
      <c r="B1" s="123" t="s">
        <v>1</v>
      </c>
      <c r="C1" s="367" t="s">
        <v>3373</v>
      </c>
      <c r="D1" s="123" t="s">
        <v>1872</v>
      </c>
      <c r="E1" s="123" t="s">
        <v>1873</v>
      </c>
      <c r="F1" s="65" t="s">
        <v>412</v>
      </c>
      <c r="G1" s="441" t="s">
        <v>3368</v>
      </c>
      <c r="H1" s="418" t="s">
        <v>3369</v>
      </c>
    </row>
    <row r="2" spans="1:8" x14ac:dyDescent="0.2">
      <c r="A2" s="315" t="s">
        <v>1125</v>
      </c>
      <c r="B2" s="252">
        <v>8130020</v>
      </c>
      <c r="C2" s="430"/>
      <c r="D2" s="129" t="s">
        <v>2217</v>
      </c>
      <c r="E2" s="129" t="s">
        <v>1975</v>
      </c>
      <c r="F2" s="316">
        <v>1</v>
      </c>
      <c r="G2" s="440"/>
      <c r="H2" s="440"/>
    </row>
    <row r="3" spans="1:8" x14ac:dyDescent="0.2">
      <c r="A3" s="315" t="s">
        <v>1267</v>
      </c>
      <c r="B3" s="252" t="s">
        <v>169</v>
      </c>
      <c r="C3" s="430"/>
      <c r="D3" s="129"/>
      <c r="E3" s="129" t="s">
        <v>1920</v>
      </c>
      <c r="F3" s="19">
        <v>1</v>
      </c>
      <c r="G3" s="440"/>
      <c r="H3" s="440"/>
    </row>
    <row r="4" spans="1:8" x14ac:dyDescent="0.2">
      <c r="A4" s="250" t="s">
        <v>459</v>
      </c>
      <c r="B4" s="129" t="s">
        <v>1823</v>
      </c>
      <c r="C4" s="430"/>
      <c r="D4" s="129"/>
      <c r="E4" s="129" t="s">
        <v>1920</v>
      </c>
      <c r="F4" s="267">
        <v>1</v>
      </c>
      <c r="G4" s="440"/>
      <c r="H4" s="440"/>
    </row>
    <row r="5" spans="1:8" x14ac:dyDescent="0.2">
      <c r="A5" s="315" t="s">
        <v>1048</v>
      </c>
      <c r="B5" s="252" t="s">
        <v>170</v>
      </c>
      <c r="C5" s="430"/>
      <c r="D5" s="129"/>
      <c r="E5" s="129" t="s">
        <v>1920</v>
      </c>
      <c r="F5" s="316">
        <v>1</v>
      </c>
      <c r="G5" s="440"/>
      <c r="H5" s="440"/>
    </row>
    <row r="6" spans="1:8" x14ac:dyDescent="0.2">
      <c r="A6" s="200" t="s">
        <v>1029</v>
      </c>
      <c r="B6" s="203" t="s">
        <v>251</v>
      </c>
      <c r="C6" s="430"/>
      <c r="D6" s="129"/>
      <c r="E6" s="129" t="s">
        <v>1920</v>
      </c>
      <c r="F6" s="19">
        <v>1</v>
      </c>
      <c r="G6" s="440"/>
      <c r="H6" s="440"/>
    </row>
    <row r="7" spans="1:8" x14ac:dyDescent="0.2">
      <c r="A7" s="41" t="s">
        <v>1192</v>
      </c>
      <c r="B7" s="129" t="s">
        <v>173</v>
      </c>
      <c r="C7" s="430"/>
      <c r="D7" s="129"/>
      <c r="E7" s="129" t="s">
        <v>1920</v>
      </c>
      <c r="F7" s="19">
        <v>1</v>
      </c>
      <c r="G7" s="440"/>
      <c r="H7" s="440"/>
    </row>
    <row r="8" spans="1:8" x14ac:dyDescent="0.2">
      <c r="A8" s="315" t="s">
        <v>12</v>
      </c>
      <c r="B8" s="252" t="s">
        <v>171</v>
      </c>
      <c r="C8" s="430"/>
      <c r="D8" s="129"/>
      <c r="E8" s="129" t="s">
        <v>1920</v>
      </c>
      <c r="F8" s="316">
        <v>1</v>
      </c>
      <c r="G8" s="440"/>
      <c r="H8" s="440"/>
    </row>
    <row r="9" spans="1:8" x14ac:dyDescent="0.2">
      <c r="A9" s="193" t="s">
        <v>5</v>
      </c>
      <c r="B9" s="32" t="s">
        <v>379</v>
      </c>
      <c r="C9" s="430"/>
      <c r="D9" s="129"/>
      <c r="E9" s="129" t="s">
        <v>1920</v>
      </c>
      <c r="F9" s="19">
        <v>1</v>
      </c>
      <c r="G9" s="440"/>
      <c r="H9" s="440"/>
    </row>
    <row r="10" spans="1:8" x14ac:dyDescent="0.2">
      <c r="A10" s="194" t="s">
        <v>1498</v>
      </c>
      <c r="B10" s="32" t="s">
        <v>883</v>
      </c>
      <c r="C10" s="430"/>
      <c r="D10" s="129"/>
      <c r="E10" s="129" t="s">
        <v>1920</v>
      </c>
      <c r="F10" s="316">
        <v>1</v>
      </c>
      <c r="G10" s="440"/>
      <c r="H10" s="440"/>
    </row>
    <row r="11" spans="1:8" x14ac:dyDescent="0.2">
      <c r="A11" s="41" t="s">
        <v>167</v>
      </c>
      <c r="B11" s="129" t="s">
        <v>323</v>
      </c>
      <c r="C11" s="430"/>
      <c r="D11" s="129"/>
      <c r="E11" s="129" t="s">
        <v>1920</v>
      </c>
      <c r="F11" s="19">
        <v>1</v>
      </c>
      <c r="G11" s="440"/>
      <c r="H11" s="440"/>
    </row>
    <row r="12" spans="1:8" x14ac:dyDescent="0.2">
      <c r="A12" s="313" t="s">
        <v>1320</v>
      </c>
      <c r="B12" s="252" t="s">
        <v>168</v>
      </c>
      <c r="C12" s="430"/>
      <c r="D12" s="129"/>
      <c r="E12" s="129" t="s">
        <v>1920</v>
      </c>
      <c r="F12" s="312">
        <v>1</v>
      </c>
      <c r="G12" s="440"/>
      <c r="H12" s="440"/>
    </row>
    <row r="13" spans="1:8" x14ac:dyDescent="0.2">
      <c r="A13" s="315" t="s">
        <v>1591</v>
      </c>
      <c r="B13" s="252" t="s">
        <v>166</v>
      </c>
      <c r="C13" s="430"/>
      <c r="D13" s="129"/>
      <c r="E13" s="129" t="s">
        <v>1920</v>
      </c>
      <c r="F13" s="19">
        <v>1</v>
      </c>
      <c r="G13" s="440"/>
      <c r="H13" s="440"/>
    </row>
    <row r="14" spans="1:8" x14ac:dyDescent="0.2">
      <c r="A14" s="250" t="s">
        <v>2133</v>
      </c>
      <c r="B14" s="129" t="s">
        <v>2910</v>
      </c>
      <c r="C14" s="430"/>
      <c r="D14" s="129"/>
      <c r="E14" s="129">
        <v>56654</v>
      </c>
      <c r="F14" s="267">
        <v>1</v>
      </c>
      <c r="G14" s="440"/>
      <c r="H14" s="440"/>
    </row>
    <row r="15" spans="1:8" x14ac:dyDescent="0.2">
      <c r="A15" s="41" t="s">
        <v>105</v>
      </c>
      <c r="B15" s="129" t="s">
        <v>2118</v>
      </c>
      <c r="C15" s="430"/>
      <c r="D15" s="129"/>
      <c r="E15" s="129" t="s">
        <v>1975</v>
      </c>
      <c r="F15" s="19">
        <v>1</v>
      </c>
      <c r="G15" s="440"/>
      <c r="H15" s="440"/>
    </row>
    <row r="16" spans="1:8" x14ac:dyDescent="0.2">
      <c r="A16" s="194" t="s">
        <v>85</v>
      </c>
      <c r="B16" s="32" t="s">
        <v>113</v>
      </c>
      <c r="C16" s="430"/>
      <c r="D16" s="129"/>
      <c r="E16" s="129" t="s">
        <v>1920</v>
      </c>
      <c r="F16" s="19">
        <v>1</v>
      </c>
      <c r="G16" s="440"/>
      <c r="H16" s="440"/>
    </row>
    <row r="17" spans="1:8" x14ac:dyDescent="0.2">
      <c r="A17" s="48" t="s">
        <v>1085</v>
      </c>
      <c r="B17" s="129" t="s">
        <v>92</v>
      </c>
      <c r="C17" s="430"/>
      <c r="D17" s="129"/>
      <c r="E17" s="129" t="s">
        <v>1920</v>
      </c>
      <c r="F17" s="267">
        <v>1</v>
      </c>
      <c r="G17" s="440"/>
      <c r="H17" s="440"/>
    </row>
    <row r="18" spans="1:8" x14ac:dyDescent="0.2">
      <c r="A18" s="116" t="s">
        <v>4</v>
      </c>
      <c r="B18" s="129" t="s">
        <v>90</v>
      </c>
      <c r="C18" s="430"/>
      <c r="D18" s="129"/>
      <c r="E18" s="129" t="s">
        <v>1920</v>
      </c>
      <c r="F18" s="114">
        <v>1</v>
      </c>
      <c r="G18" s="440"/>
      <c r="H18" s="440"/>
    </row>
    <row r="19" spans="1:8" x14ac:dyDescent="0.2">
      <c r="A19" s="151" t="s">
        <v>1235</v>
      </c>
      <c r="B19" s="252" t="s">
        <v>78</v>
      </c>
      <c r="C19" s="430"/>
      <c r="D19" s="129"/>
      <c r="E19" s="129" t="s">
        <v>1920</v>
      </c>
      <c r="F19" s="74">
        <v>1</v>
      </c>
      <c r="G19" s="440"/>
      <c r="H19" s="440"/>
    </row>
    <row r="20" spans="1:8" x14ac:dyDescent="0.2">
      <c r="A20" s="200" t="s">
        <v>101</v>
      </c>
      <c r="B20" s="205" t="s">
        <v>509</v>
      </c>
      <c r="C20" s="430"/>
      <c r="D20" s="129"/>
      <c r="E20" s="129" t="s">
        <v>1920</v>
      </c>
      <c r="F20" s="19">
        <v>1</v>
      </c>
      <c r="G20" s="440"/>
      <c r="H20" s="440"/>
    </row>
    <row r="21" spans="1:8" x14ac:dyDescent="0.2">
      <c r="A21" s="250" t="s">
        <v>20</v>
      </c>
      <c r="B21" s="129" t="s">
        <v>287</v>
      </c>
      <c r="C21" s="430"/>
      <c r="D21" s="129"/>
      <c r="E21" s="129" t="s">
        <v>1920</v>
      </c>
      <c r="F21" s="267">
        <v>1</v>
      </c>
      <c r="G21" s="440"/>
      <c r="H21" s="440"/>
    </row>
    <row r="24" spans="1:8" s="4" customFormat="1" ht="18" x14ac:dyDescent="0.25">
      <c r="A24" s="422" t="s">
        <v>2225</v>
      </c>
      <c r="B24" s="425"/>
      <c r="C24" s="309"/>
      <c r="D24" s="3"/>
      <c r="E24" s="3"/>
      <c r="F24" s="3"/>
      <c r="G24" s="39"/>
    </row>
    <row r="25" spans="1:8" s="4" customFormat="1" ht="18" x14ac:dyDescent="0.25">
      <c r="A25" s="422" t="s">
        <v>3003</v>
      </c>
      <c r="B25" s="425"/>
      <c r="C25" s="309"/>
      <c r="D25" s="3"/>
      <c r="E25" s="3"/>
      <c r="F25" s="3"/>
      <c r="G25" s="39"/>
    </row>
    <row r="26" spans="1:8" ht="18" x14ac:dyDescent="0.25">
      <c r="A26" s="491" t="s">
        <v>3304</v>
      </c>
      <c r="B26" s="492"/>
    </row>
    <row r="27" spans="1:8" ht="18" x14ac:dyDescent="0.25">
      <c r="A27" s="434" t="s">
        <v>3367</v>
      </c>
      <c r="B27" s="420"/>
    </row>
  </sheetData>
  <sortState xmlns:xlrd2="http://schemas.microsoft.com/office/spreadsheetml/2017/richdata2" ref="A3:H22">
    <sortCondition ref="B3:B22"/>
  </sortState>
  <pageMargins left="0.7" right="0.7" top="0.75" bottom="0.75" header="0.3" footer="0.3"/>
  <pageSetup scale="8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H11"/>
  <sheetViews>
    <sheetView workbookViewId="0">
      <pane ySplit="1" topLeftCell="A2" activePane="bottomLeft" state="frozen"/>
      <selection activeCell="C26" sqref="C26"/>
      <selection pane="bottomLeft" activeCell="F2" sqref="F2:F5"/>
    </sheetView>
  </sheetViews>
  <sheetFormatPr defaultColWidth="9.140625" defaultRowHeight="18.75" x14ac:dyDescent="0.3"/>
  <cols>
    <col min="1" max="1" width="63.85546875" style="50" bestFit="1" customWidth="1"/>
    <col min="2" max="2" width="15.85546875" style="145" bestFit="1" customWidth="1"/>
    <col min="3" max="3" width="20.42578125" style="145" bestFit="1" customWidth="1"/>
    <col min="4" max="4" width="20.140625" style="145" bestFit="1" customWidth="1"/>
    <col min="5" max="5" width="12.42578125" style="145" bestFit="1" customWidth="1"/>
    <col min="6" max="6" width="10" style="50" bestFit="1" customWidth="1"/>
    <col min="7" max="7" width="11.42578125" style="50" bestFit="1" customWidth="1"/>
    <col min="8" max="8" width="16.85546875" style="50" bestFit="1" customWidth="1"/>
    <col min="9" max="16384" width="9.140625" style="50"/>
  </cols>
  <sheetData>
    <row r="1" spans="1:8" x14ac:dyDescent="0.3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100" t="s">
        <v>412</v>
      </c>
      <c r="G1" s="441" t="s">
        <v>3368</v>
      </c>
      <c r="H1" s="418" t="s">
        <v>3369</v>
      </c>
    </row>
    <row r="2" spans="1:8" x14ac:dyDescent="0.3">
      <c r="A2" s="8" t="s">
        <v>17</v>
      </c>
      <c r="B2" s="314" t="s">
        <v>407</v>
      </c>
      <c r="C2" s="430"/>
      <c r="D2" s="71"/>
      <c r="E2" s="71" t="s">
        <v>1920</v>
      </c>
      <c r="F2" s="472">
        <v>1</v>
      </c>
      <c r="G2" s="433"/>
      <c r="H2" s="490"/>
    </row>
    <row r="3" spans="1:8" x14ac:dyDescent="0.3">
      <c r="A3" s="151" t="s">
        <v>1275</v>
      </c>
      <c r="B3" s="314" t="s">
        <v>478</v>
      </c>
      <c r="C3" s="430"/>
      <c r="D3" s="71"/>
      <c r="E3" s="71" t="s">
        <v>1920</v>
      </c>
      <c r="F3" s="487">
        <v>1</v>
      </c>
      <c r="G3" s="433"/>
      <c r="H3" s="490"/>
    </row>
    <row r="4" spans="1:8" x14ac:dyDescent="0.3">
      <c r="A4" s="38" t="s">
        <v>2133</v>
      </c>
      <c r="B4" s="314" t="s">
        <v>2909</v>
      </c>
      <c r="C4" s="430"/>
      <c r="D4" s="71"/>
      <c r="E4" s="71">
        <v>56654</v>
      </c>
      <c r="F4" s="487">
        <v>1</v>
      </c>
      <c r="G4" s="433"/>
      <c r="H4" s="490"/>
    </row>
    <row r="5" spans="1:8" x14ac:dyDescent="0.3">
      <c r="A5" s="355" t="s">
        <v>13</v>
      </c>
      <c r="B5" s="354" t="s">
        <v>471</v>
      </c>
      <c r="C5" s="430"/>
      <c r="D5" s="354"/>
      <c r="E5" s="354" t="s">
        <v>1920</v>
      </c>
      <c r="F5" s="488">
        <v>1</v>
      </c>
      <c r="G5" s="433"/>
      <c r="H5" s="490"/>
    </row>
    <row r="8" spans="1:8" x14ac:dyDescent="0.3">
      <c r="A8" s="422" t="s">
        <v>2251</v>
      </c>
      <c r="B8" s="422"/>
      <c r="C8" s="308"/>
      <c r="D8" s="3"/>
      <c r="E8" s="3"/>
      <c r="F8" s="3"/>
    </row>
    <row r="9" spans="1:8" x14ac:dyDescent="0.3">
      <c r="A9" s="422" t="s">
        <v>3001</v>
      </c>
      <c r="B9" s="425"/>
      <c r="C9" s="309"/>
      <c r="D9" s="3"/>
      <c r="E9" s="3"/>
      <c r="F9" s="3"/>
    </row>
    <row r="10" spans="1:8" x14ac:dyDescent="0.3">
      <c r="A10" s="423" t="s">
        <v>3313</v>
      </c>
      <c r="B10" s="489"/>
    </row>
    <row r="11" spans="1:8" x14ac:dyDescent="0.3">
      <c r="A11" s="434" t="s">
        <v>3367</v>
      </c>
      <c r="B11" s="420"/>
    </row>
  </sheetData>
  <pageMargins left="0.7" right="0.7" top="0.75" bottom="0.75" header="0.3" footer="0.3"/>
  <pageSetup scale="88" fitToHeight="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10"/>
  <sheetViews>
    <sheetView workbookViewId="0">
      <selection activeCell="C1" sqref="C1:C1048576"/>
    </sheetView>
  </sheetViews>
  <sheetFormatPr defaultColWidth="39.5703125" defaultRowHeight="12.75" x14ac:dyDescent="0.2"/>
  <cols>
    <col min="1" max="1" width="75.42578125" style="167" bestFit="1" customWidth="1"/>
    <col min="2" max="2" width="15" style="171" bestFit="1" customWidth="1"/>
    <col min="3" max="3" width="20.42578125" style="172" bestFit="1" customWidth="1"/>
    <col min="4" max="4" width="12.42578125" style="172" bestFit="1" customWidth="1"/>
    <col min="5" max="5" width="10" style="172" bestFit="1" customWidth="1"/>
    <col min="6" max="6" width="11.42578125" style="167" bestFit="1" customWidth="1"/>
    <col min="7" max="7" width="16.85546875" style="167" bestFit="1" customWidth="1"/>
    <col min="8" max="16384" width="39.5703125" style="167"/>
  </cols>
  <sheetData>
    <row r="1" spans="1:7" ht="31.5" x14ac:dyDescent="0.25">
      <c r="A1" s="13" t="s">
        <v>0</v>
      </c>
      <c r="B1" s="22" t="s">
        <v>1</v>
      </c>
      <c r="C1" s="367" t="s">
        <v>3373</v>
      </c>
      <c r="D1" s="22" t="s">
        <v>1873</v>
      </c>
      <c r="E1" s="13" t="s">
        <v>412</v>
      </c>
      <c r="F1" s="441" t="s">
        <v>3368</v>
      </c>
      <c r="G1" s="418" t="s">
        <v>3369</v>
      </c>
    </row>
    <row r="2" spans="1:7" ht="15" x14ac:dyDescent="0.2">
      <c r="A2" s="116" t="s">
        <v>2271</v>
      </c>
      <c r="B2" s="15" t="s">
        <v>2272</v>
      </c>
      <c r="C2" s="430"/>
      <c r="D2" s="312"/>
      <c r="E2" s="15">
        <v>1</v>
      </c>
      <c r="F2" s="440"/>
      <c r="G2" s="463"/>
    </row>
    <row r="3" spans="1:7" ht="15" x14ac:dyDescent="0.2">
      <c r="A3" s="116" t="s">
        <v>2726</v>
      </c>
      <c r="B3" s="15" t="s">
        <v>2727</v>
      </c>
      <c r="C3" s="430"/>
      <c r="D3" s="312" t="s">
        <v>2728</v>
      </c>
      <c r="E3" s="15">
        <v>2</v>
      </c>
      <c r="F3" s="464"/>
      <c r="G3" s="463"/>
    </row>
    <row r="6" spans="1:7" s="4" customFormat="1" ht="18" x14ac:dyDescent="0.25">
      <c r="A6" s="422" t="s">
        <v>2921</v>
      </c>
      <c r="B6" s="425"/>
      <c r="C6" s="309"/>
      <c r="D6" s="309"/>
      <c r="E6" s="3"/>
      <c r="F6" s="3"/>
      <c r="G6" s="39"/>
    </row>
    <row r="7" spans="1:7" s="4" customFormat="1" ht="18" x14ac:dyDescent="0.25">
      <c r="A7" s="422" t="s">
        <v>2996</v>
      </c>
      <c r="B7" s="425"/>
      <c r="C7" s="309"/>
      <c r="D7" s="309"/>
      <c r="E7" s="3"/>
      <c r="F7" s="3"/>
      <c r="G7" s="39"/>
    </row>
    <row r="8" spans="1:7" ht="18" x14ac:dyDescent="0.25">
      <c r="A8" s="423" t="s">
        <v>3312</v>
      </c>
      <c r="B8" s="462"/>
    </row>
    <row r="9" spans="1:7" ht="18" x14ac:dyDescent="0.25">
      <c r="A9" s="434" t="s">
        <v>3367</v>
      </c>
      <c r="B9" s="420"/>
    </row>
    <row r="10" spans="1:7" ht="18" x14ac:dyDescent="0.25">
      <c r="A10" s="378"/>
    </row>
  </sheetData>
  <pageMargins left="0.7" right="0.7" top="0.75" bottom="0.75" header="0.3" footer="0.3"/>
  <pageSetup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2D050"/>
  </sheetPr>
  <dimension ref="A1:H58"/>
  <sheetViews>
    <sheetView workbookViewId="0">
      <pane ySplit="1" topLeftCell="A19" activePane="bottomLeft" state="frozen"/>
      <selection activeCell="C26" sqref="C26"/>
      <selection pane="bottomLeft" activeCell="F2" sqref="F2:F52"/>
    </sheetView>
  </sheetViews>
  <sheetFormatPr defaultColWidth="9.140625" defaultRowHeight="12.75" x14ac:dyDescent="0.2"/>
  <cols>
    <col min="1" max="1" width="63.85546875" style="189" bestFit="1" customWidth="1"/>
    <col min="2" max="2" width="15.85546875" style="172" bestFit="1" customWidth="1"/>
    <col min="3" max="3" width="20.42578125" style="172" bestFit="1" customWidth="1"/>
    <col min="4" max="4" width="20.140625" style="172" bestFit="1" customWidth="1"/>
    <col min="5" max="5" width="12.42578125" style="172" bestFit="1" customWidth="1"/>
    <col min="6" max="6" width="10" style="190" bestFit="1" customWidth="1"/>
    <col min="7" max="7" width="11.42578125" style="189" bestFit="1" customWidth="1"/>
    <col min="8" max="8" width="16.85546875" style="189" bestFit="1" customWidth="1"/>
    <col min="9" max="16384" width="9.140625" style="189"/>
  </cols>
  <sheetData>
    <row r="1" spans="1:8" ht="15.75" x14ac:dyDescent="0.25">
      <c r="A1" s="115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115" t="s">
        <v>412</v>
      </c>
      <c r="G1" s="441" t="s">
        <v>3368</v>
      </c>
      <c r="H1" s="418" t="s">
        <v>3369</v>
      </c>
    </row>
    <row r="2" spans="1:8" ht="15" x14ac:dyDescent="0.2">
      <c r="A2" s="151" t="s">
        <v>1125</v>
      </c>
      <c r="B2" s="114">
        <v>8130020</v>
      </c>
      <c r="C2" s="430"/>
      <c r="D2" s="114"/>
      <c r="E2" s="114" t="s">
        <v>1975</v>
      </c>
      <c r="F2" s="114">
        <v>4</v>
      </c>
      <c r="G2" s="485"/>
      <c r="H2" s="463"/>
    </row>
    <row r="3" spans="1:8" ht="15" x14ac:dyDescent="0.2">
      <c r="A3" s="151" t="s">
        <v>1127</v>
      </c>
      <c r="B3" s="114">
        <v>8130030</v>
      </c>
      <c r="C3" s="430"/>
      <c r="D3" s="114"/>
      <c r="E3" s="114" t="s">
        <v>1975</v>
      </c>
      <c r="F3" s="114">
        <v>4</v>
      </c>
      <c r="G3" s="485"/>
      <c r="H3" s="706"/>
    </row>
    <row r="4" spans="1:8" ht="15" x14ac:dyDescent="0.2">
      <c r="A4" s="151" t="s">
        <v>1128</v>
      </c>
      <c r="B4" s="114">
        <v>8130040</v>
      </c>
      <c r="C4" s="430"/>
      <c r="D4" s="114"/>
      <c r="E4" s="114" t="s">
        <v>1975</v>
      </c>
      <c r="F4" s="114">
        <v>2</v>
      </c>
      <c r="G4" s="485"/>
      <c r="H4" s="463"/>
    </row>
    <row r="5" spans="1:8" ht="15" x14ac:dyDescent="0.2">
      <c r="A5" s="151" t="s">
        <v>1266</v>
      </c>
      <c r="B5" s="114" t="s">
        <v>1987</v>
      </c>
      <c r="C5" s="430"/>
      <c r="D5" s="114"/>
      <c r="E5" s="114" t="s">
        <v>1920</v>
      </c>
      <c r="F5" s="114">
        <v>1</v>
      </c>
      <c r="G5" s="485"/>
      <c r="H5" s="463"/>
    </row>
    <row r="6" spans="1:8" ht="15" x14ac:dyDescent="0.2">
      <c r="A6" s="151" t="s">
        <v>459</v>
      </c>
      <c r="B6" s="114" t="s">
        <v>1823</v>
      </c>
      <c r="C6" s="430"/>
      <c r="D6" s="114"/>
      <c r="E6" s="114" t="s">
        <v>1920</v>
      </c>
      <c r="F6" s="114">
        <v>1</v>
      </c>
      <c r="G6" s="485"/>
      <c r="H6" s="463"/>
    </row>
    <row r="7" spans="1:8" ht="15" x14ac:dyDescent="0.2">
      <c r="A7" s="151" t="s">
        <v>1161</v>
      </c>
      <c r="B7" s="114" t="s">
        <v>2753</v>
      </c>
      <c r="C7" s="430"/>
      <c r="D7" s="114"/>
      <c r="E7" s="114" t="s">
        <v>1920</v>
      </c>
      <c r="F7" s="114">
        <v>1</v>
      </c>
      <c r="G7" s="485"/>
      <c r="H7" s="706"/>
    </row>
    <row r="8" spans="1:8" ht="15" x14ac:dyDescent="0.2">
      <c r="A8" s="151" t="s">
        <v>177</v>
      </c>
      <c r="B8" s="114" t="s">
        <v>639</v>
      </c>
      <c r="C8" s="430"/>
      <c r="D8" s="114"/>
      <c r="E8" s="114" t="s">
        <v>1920</v>
      </c>
      <c r="F8" s="114">
        <v>1</v>
      </c>
      <c r="G8" s="485"/>
      <c r="H8" s="463"/>
    </row>
    <row r="9" spans="1:8" ht="15" x14ac:dyDescent="0.2">
      <c r="A9" s="151" t="s">
        <v>17</v>
      </c>
      <c r="B9" s="114" t="s">
        <v>407</v>
      </c>
      <c r="C9" s="430"/>
      <c r="D9" s="114"/>
      <c r="E9" s="114" t="s">
        <v>1920</v>
      </c>
      <c r="F9" s="114">
        <v>1</v>
      </c>
      <c r="G9" s="485"/>
      <c r="H9" s="706"/>
    </row>
    <row r="10" spans="1:8" ht="15" x14ac:dyDescent="0.2">
      <c r="A10" s="151" t="s">
        <v>1390</v>
      </c>
      <c r="B10" s="114" t="s">
        <v>386</v>
      </c>
      <c r="C10" s="430"/>
      <c r="D10" s="114"/>
      <c r="E10" s="114" t="s">
        <v>1920</v>
      </c>
      <c r="F10" s="114">
        <v>1</v>
      </c>
      <c r="G10" s="485"/>
      <c r="H10" s="706"/>
    </row>
    <row r="11" spans="1:8" ht="15" x14ac:dyDescent="0.2">
      <c r="A11" s="151" t="s">
        <v>16</v>
      </c>
      <c r="B11" s="114" t="s">
        <v>476</v>
      </c>
      <c r="C11" s="430"/>
      <c r="D11" s="114"/>
      <c r="E11" s="114" t="s">
        <v>1920</v>
      </c>
      <c r="F11" s="114">
        <v>2</v>
      </c>
      <c r="G11" s="485"/>
      <c r="H11" s="706"/>
    </row>
    <row r="12" spans="1:8" ht="15" x14ac:dyDescent="0.2">
      <c r="A12" s="151" t="s">
        <v>1192</v>
      </c>
      <c r="B12" s="114" t="s">
        <v>94</v>
      </c>
      <c r="C12" s="430"/>
      <c r="D12" s="114"/>
      <c r="E12" s="114" t="s">
        <v>1920</v>
      </c>
      <c r="F12" s="114">
        <v>1</v>
      </c>
      <c r="G12" s="485"/>
      <c r="H12" s="463"/>
    </row>
    <row r="13" spans="1:8" ht="15" x14ac:dyDescent="0.2">
      <c r="A13" s="151" t="s">
        <v>39</v>
      </c>
      <c r="B13" s="114" t="s">
        <v>245</v>
      </c>
      <c r="C13" s="430"/>
      <c r="D13" s="114"/>
      <c r="E13" s="114" t="s">
        <v>1920</v>
      </c>
      <c r="F13" s="114">
        <v>1</v>
      </c>
      <c r="G13" s="485"/>
      <c r="H13" s="463"/>
    </row>
    <row r="14" spans="1:8" ht="15" x14ac:dyDescent="0.2">
      <c r="A14" s="151" t="s">
        <v>209</v>
      </c>
      <c r="B14" s="114" t="s">
        <v>210</v>
      </c>
      <c r="C14" s="430"/>
      <c r="D14" s="114"/>
      <c r="E14" s="114" t="s">
        <v>1920</v>
      </c>
      <c r="F14" s="114">
        <v>1</v>
      </c>
      <c r="G14" s="485"/>
      <c r="H14" s="706"/>
    </row>
    <row r="15" spans="1:8" ht="15" x14ac:dyDescent="0.2">
      <c r="A15" s="151" t="s">
        <v>6</v>
      </c>
      <c r="B15" s="114" t="s">
        <v>91</v>
      </c>
      <c r="C15" s="430"/>
      <c r="D15" s="114"/>
      <c r="E15" s="114" t="s">
        <v>1920</v>
      </c>
      <c r="F15" s="114">
        <v>2</v>
      </c>
      <c r="G15" s="485"/>
      <c r="H15" s="706"/>
    </row>
    <row r="16" spans="1:8" ht="15" x14ac:dyDescent="0.2">
      <c r="A16" s="151" t="s">
        <v>1259</v>
      </c>
      <c r="B16" s="114" t="s">
        <v>615</v>
      </c>
      <c r="C16" s="430"/>
      <c r="D16" s="114"/>
      <c r="E16" s="114" t="s">
        <v>1920</v>
      </c>
      <c r="F16" s="114">
        <v>1</v>
      </c>
      <c r="G16" s="485"/>
      <c r="H16" s="463"/>
    </row>
    <row r="17" spans="1:8" ht="15" x14ac:dyDescent="0.2">
      <c r="A17" s="253" t="s">
        <v>101</v>
      </c>
      <c r="B17" s="114" t="s">
        <v>371</v>
      </c>
      <c r="C17" s="430"/>
      <c r="D17" s="114"/>
      <c r="E17" s="114" t="s">
        <v>1920</v>
      </c>
      <c r="F17" s="114">
        <v>1</v>
      </c>
      <c r="G17" s="485"/>
      <c r="H17" s="463"/>
    </row>
    <row r="18" spans="1:8" ht="15" x14ac:dyDescent="0.2">
      <c r="A18" s="253" t="s">
        <v>205</v>
      </c>
      <c r="B18" s="114" t="s">
        <v>682</v>
      </c>
      <c r="C18" s="430"/>
      <c r="D18" s="114"/>
      <c r="E18" s="114" t="s">
        <v>1920</v>
      </c>
      <c r="F18" s="114">
        <v>1</v>
      </c>
      <c r="G18" s="485"/>
      <c r="H18" s="463"/>
    </row>
    <row r="19" spans="1:8" ht="15" x14ac:dyDescent="0.2">
      <c r="A19" s="151" t="s">
        <v>180</v>
      </c>
      <c r="B19" s="114" t="s">
        <v>479</v>
      </c>
      <c r="C19" s="430"/>
      <c r="D19" s="114"/>
      <c r="E19" s="114" t="s">
        <v>1920</v>
      </c>
      <c r="F19" s="114">
        <v>1</v>
      </c>
      <c r="G19" s="485"/>
      <c r="H19" s="463"/>
    </row>
    <row r="20" spans="1:8" ht="15" x14ac:dyDescent="0.2">
      <c r="A20" s="151" t="s">
        <v>3260</v>
      </c>
      <c r="B20" s="114" t="s">
        <v>480</v>
      </c>
      <c r="C20" s="430"/>
      <c r="D20" s="114"/>
      <c r="E20" s="114" t="s">
        <v>1920</v>
      </c>
      <c r="F20" s="114">
        <v>1</v>
      </c>
      <c r="G20" s="485"/>
      <c r="H20" s="463"/>
    </row>
    <row r="21" spans="1:8" ht="15" x14ac:dyDescent="0.2">
      <c r="A21" s="151" t="s">
        <v>3257</v>
      </c>
      <c r="B21" s="114" t="s">
        <v>888</v>
      </c>
      <c r="C21" s="430"/>
      <c r="D21" s="114"/>
      <c r="E21" s="114" t="s">
        <v>1920</v>
      </c>
      <c r="F21" s="114">
        <v>1</v>
      </c>
      <c r="G21" s="485"/>
      <c r="H21" s="463"/>
    </row>
    <row r="22" spans="1:8" ht="15" x14ac:dyDescent="0.2">
      <c r="A22" s="151" t="s">
        <v>3228</v>
      </c>
      <c r="B22" s="114" t="s">
        <v>1103</v>
      </c>
      <c r="C22" s="430"/>
      <c r="D22" s="114" t="s">
        <v>1892</v>
      </c>
      <c r="E22" s="114" t="s">
        <v>1953</v>
      </c>
      <c r="F22" s="114">
        <v>1</v>
      </c>
      <c r="G22" s="485"/>
      <c r="H22" s="463"/>
    </row>
    <row r="23" spans="1:8" ht="15" x14ac:dyDescent="0.2">
      <c r="A23" s="151" t="s">
        <v>1513</v>
      </c>
      <c r="B23" s="114" t="s">
        <v>763</v>
      </c>
      <c r="C23" s="430"/>
      <c r="D23" s="114" t="s">
        <v>1911</v>
      </c>
      <c r="E23" s="114" t="s">
        <v>1966</v>
      </c>
      <c r="F23" s="114">
        <v>1</v>
      </c>
      <c r="G23" s="485"/>
      <c r="H23" s="463"/>
    </row>
    <row r="24" spans="1:8" ht="15" x14ac:dyDescent="0.2">
      <c r="A24" s="151" t="s">
        <v>1184</v>
      </c>
      <c r="B24" s="114" t="s">
        <v>327</v>
      </c>
      <c r="C24" s="430"/>
      <c r="D24" s="114"/>
      <c r="E24" s="114">
        <v>55719</v>
      </c>
      <c r="F24" s="114">
        <v>1</v>
      </c>
      <c r="G24" s="485"/>
      <c r="H24" s="463"/>
    </row>
    <row r="25" spans="1:8" ht="15" x14ac:dyDescent="0.2">
      <c r="A25" s="151" t="s">
        <v>1183</v>
      </c>
      <c r="B25" s="114" t="s">
        <v>120</v>
      </c>
      <c r="C25" s="430"/>
      <c r="D25" s="114"/>
      <c r="E25" s="114" t="s">
        <v>1920</v>
      </c>
      <c r="F25" s="114">
        <v>1</v>
      </c>
      <c r="G25" s="485"/>
      <c r="H25" s="463"/>
    </row>
    <row r="26" spans="1:8" ht="15" x14ac:dyDescent="0.2">
      <c r="A26" s="151" t="s">
        <v>1070</v>
      </c>
      <c r="B26" s="114" t="s">
        <v>500</v>
      </c>
      <c r="C26" s="430"/>
      <c r="D26" s="114"/>
      <c r="E26" s="114" t="s">
        <v>1920</v>
      </c>
      <c r="F26" s="114">
        <v>1</v>
      </c>
      <c r="G26" s="485"/>
      <c r="H26" s="463"/>
    </row>
    <row r="27" spans="1:8" ht="15" x14ac:dyDescent="0.2">
      <c r="A27" s="151" t="s">
        <v>1071</v>
      </c>
      <c r="B27" s="114" t="s">
        <v>503</v>
      </c>
      <c r="C27" s="430"/>
      <c r="D27" s="114"/>
      <c r="E27" s="114" t="s">
        <v>1920</v>
      </c>
      <c r="F27" s="114">
        <v>1</v>
      </c>
      <c r="G27" s="485"/>
      <c r="H27" s="463"/>
    </row>
    <row r="28" spans="1:8" ht="15" x14ac:dyDescent="0.2">
      <c r="A28" s="151" t="s">
        <v>1539</v>
      </c>
      <c r="B28" s="114" t="s">
        <v>2010</v>
      </c>
      <c r="C28" s="430"/>
      <c r="D28" s="114"/>
      <c r="E28" s="114" t="s">
        <v>1920</v>
      </c>
      <c r="F28" s="114">
        <v>1</v>
      </c>
      <c r="G28" s="485"/>
      <c r="H28" s="463"/>
    </row>
    <row r="29" spans="1:8" ht="15" x14ac:dyDescent="0.2">
      <c r="A29" s="151" t="s">
        <v>1575</v>
      </c>
      <c r="B29" s="114" t="s">
        <v>571</v>
      </c>
      <c r="C29" s="430"/>
      <c r="D29" s="114"/>
      <c r="E29" s="114" t="s">
        <v>1920</v>
      </c>
      <c r="F29" s="114">
        <v>1</v>
      </c>
      <c r="G29" s="485"/>
      <c r="H29" s="463"/>
    </row>
    <row r="30" spans="1:8" ht="15" x14ac:dyDescent="0.2">
      <c r="A30" s="151" t="s">
        <v>1578</v>
      </c>
      <c r="B30" s="114" t="s">
        <v>572</v>
      </c>
      <c r="C30" s="430"/>
      <c r="D30" s="114"/>
      <c r="E30" s="114" t="s">
        <v>1920</v>
      </c>
      <c r="F30" s="114">
        <v>1</v>
      </c>
      <c r="G30" s="485"/>
      <c r="H30" s="463"/>
    </row>
    <row r="31" spans="1:8" ht="15" x14ac:dyDescent="0.2">
      <c r="A31" s="151" t="s">
        <v>1579</v>
      </c>
      <c r="B31" s="114" t="s">
        <v>570</v>
      </c>
      <c r="C31" s="430"/>
      <c r="D31" s="114"/>
      <c r="E31" s="114" t="s">
        <v>1920</v>
      </c>
      <c r="F31" s="114">
        <v>1</v>
      </c>
      <c r="G31" s="485"/>
      <c r="H31" s="463"/>
    </row>
    <row r="32" spans="1:8" ht="15" x14ac:dyDescent="0.2">
      <c r="A32" s="151" t="s">
        <v>1580</v>
      </c>
      <c r="B32" s="114" t="s">
        <v>583</v>
      </c>
      <c r="C32" s="430"/>
      <c r="D32" s="114"/>
      <c r="E32" s="114" t="s">
        <v>1920</v>
      </c>
      <c r="F32" s="114">
        <v>1</v>
      </c>
      <c r="G32" s="485"/>
      <c r="H32" s="463"/>
    </row>
    <row r="33" spans="1:8" ht="15" x14ac:dyDescent="0.2">
      <c r="A33" s="151" t="s">
        <v>1582</v>
      </c>
      <c r="B33" s="114" t="s">
        <v>569</v>
      </c>
      <c r="C33" s="430"/>
      <c r="D33" s="114"/>
      <c r="E33" s="114" t="s">
        <v>1920</v>
      </c>
      <c r="F33" s="114">
        <v>1</v>
      </c>
      <c r="G33" s="485"/>
      <c r="H33" s="706"/>
    </row>
    <row r="34" spans="1:8" ht="15" x14ac:dyDescent="0.2">
      <c r="A34" s="151" t="s">
        <v>1566</v>
      </c>
      <c r="B34" s="114" t="s">
        <v>514</v>
      </c>
      <c r="C34" s="430"/>
      <c r="D34" s="114"/>
      <c r="E34" s="114" t="s">
        <v>1920</v>
      </c>
      <c r="F34" s="114">
        <v>1</v>
      </c>
      <c r="G34" s="485"/>
      <c r="H34" s="706"/>
    </row>
    <row r="35" spans="1:8" ht="15" x14ac:dyDescent="0.2">
      <c r="A35" s="151" t="s">
        <v>1570</v>
      </c>
      <c r="B35" s="114" t="s">
        <v>575</v>
      </c>
      <c r="C35" s="430"/>
      <c r="D35" s="114"/>
      <c r="E35" s="114" t="s">
        <v>1920</v>
      </c>
      <c r="F35" s="114">
        <v>1</v>
      </c>
      <c r="G35" s="485"/>
      <c r="H35" s="706"/>
    </row>
    <row r="36" spans="1:8" ht="15" x14ac:dyDescent="0.2">
      <c r="A36" s="151" t="s">
        <v>3200</v>
      </c>
      <c r="B36" s="114" t="s">
        <v>118</v>
      </c>
      <c r="C36" s="430"/>
      <c r="D36" s="114"/>
      <c r="E36" s="114" t="s">
        <v>1920</v>
      </c>
      <c r="F36" s="114">
        <v>1</v>
      </c>
      <c r="G36" s="485"/>
      <c r="H36" s="706"/>
    </row>
    <row r="37" spans="1:8" ht="15" x14ac:dyDescent="0.2">
      <c r="A37" s="151" t="s">
        <v>2146</v>
      </c>
      <c r="B37" s="114" t="s">
        <v>2147</v>
      </c>
      <c r="C37" s="430"/>
      <c r="D37" s="114"/>
      <c r="E37" s="114"/>
      <c r="F37" s="114">
        <v>1</v>
      </c>
      <c r="G37" s="485"/>
      <c r="H37" s="463"/>
    </row>
    <row r="38" spans="1:8" ht="15" x14ac:dyDescent="0.2">
      <c r="A38" s="151" t="s">
        <v>1696</v>
      </c>
      <c r="B38" s="114" t="s">
        <v>535</v>
      </c>
      <c r="C38" s="430"/>
      <c r="D38" s="114"/>
      <c r="E38" s="114" t="s">
        <v>1920</v>
      </c>
      <c r="F38" s="114">
        <v>1</v>
      </c>
      <c r="G38" s="485"/>
      <c r="H38" s="463"/>
    </row>
    <row r="39" spans="1:8" ht="15" x14ac:dyDescent="0.2">
      <c r="A39" s="151" t="s">
        <v>1464</v>
      </c>
      <c r="B39" s="114" t="s">
        <v>2860</v>
      </c>
      <c r="C39" s="430"/>
      <c r="D39" s="114"/>
      <c r="E39" s="114">
        <v>94894</v>
      </c>
      <c r="F39" s="114">
        <v>1</v>
      </c>
      <c r="G39" s="485"/>
      <c r="H39" s="463"/>
    </row>
    <row r="40" spans="1:8" ht="15" x14ac:dyDescent="0.2">
      <c r="A40" s="151" t="s">
        <v>3115</v>
      </c>
      <c r="B40" s="114" t="s">
        <v>2226</v>
      </c>
      <c r="C40" s="430"/>
      <c r="D40" s="114"/>
      <c r="E40" s="114" t="s">
        <v>1920</v>
      </c>
      <c r="F40" s="114">
        <v>2</v>
      </c>
      <c r="G40" s="485"/>
      <c r="H40" s="463"/>
    </row>
    <row r="41" spans="1:8" ht="15" x14ac:dyDescent="0.2">
      <c r="A41" s="151" t="s">
        <v>1275</v>
      </c>
      <c r="B41" s="114" t="s">
        <v>478</v>
      </c>
      <c r="C41" s="430"/>
      <c r="D41" s="114"/>
      <c r="E41" s="114" t="s">
        <v>1920</v>
      </c>
      <c r="F41" s="114">
        <v>1</v>
      </c>
      <c r="G41" s="485"/>
      <c r="H41" s="463"/>
    </row>
    <row r="42" spans="1:8" ht="15" x14ac:dyDescent="0.2">
      <c r="A42" s="151" t="s">
        <v>2133</v>
      </c>
      <c r="B42" s="114" t="s">
        <v>2909</v>
      </c>
      <c r="C42" s="430"/>
      <c r="D42" s="114"/>
      <c r="E42" s="114">
        <v>56654</v>
      </c>
      <c r="F42" s="114">
        <v>2</v>
      </c>
      <c r="G42" s="485"/>
      <c r="H42" s="463"/>
    </row>
    <row r="43" spans="1:8" ht="15" x14ac:dyDescent="0.2">
      <c r="A43" s="151" t="s">
        <v>105</v>
      </c>
      <c r="B43" s="114" t="s">
        <v>2118</v>
      </c>
      <c r="C43" s="430"/>
      <c r="D43" s="114"/>
      <c r="E43" s="114" t="s">
        <v>1975</v>
      </c>
      <c r="F43" s="114">
        <v>3</v>
      </c>
      <c r="G43" s="485"/>
      <c r="H43" s="463"/>
    </row>
    <row r="44" spans="1:8" ht="15" x14ac:dyDescent="0.2">
      <c r="A44" s="151" t="s">
        <v>1156</v>
      </c>
      <c r="B44" s="114" t="s">
        <v>2117</v>
      </c>
      <c r="C44" s="430"/>
      <c r="D44" s="114"/>
      <c r="E44" s="114" t="s">
        <v>1975</v>
      </c>
      <c r="F44" s="114">
        <v>3</v>
      </c>
      <c r="G44" s="485"/>
      <c r="H44" s="463"/>
    </row>
    <row r="45" spans="1:8" ht="15" x14ac:dyDescent="0.2">
      <c r="A45" s="151" t="s">
        <v>4</v>
      </c>
      <c r="B45" s="114" t="s">
        <v>90</v>
      </c>
      <c r="C45" s="430"/>
      <c r="D45" s="114"/>
      <c r="E45" s="114"/>
      <c r="F45" s="114">
        <v>1</v>
      </c>
      <c r="G45" s="485"/>
      <c r="H45" s="463"/>
    </row>
    <row r="46" spans="1:8" ht="15" x14ac:dyDescent="0.2">
      <c r="A46" s="151" t="s">
        <v>1236</v>
      </c>
      <c r="B46" s="114" t="s">
        <v>77</v>
      </c>
      <c r="C46" s="430"/>
      <c r="D46" s="114"/>
      <c r="E46" s="114" t="s">
        <v>1920</v>
      </c>
      <c r="F46" s="114">
        <v>1</v>
      </c>
      <c r="G46" s="485"/>
      <c r="H46" s="463"/>
    </row>
    <row r="47" spans="1:8" ht="15" x14ac:dyDescent="0.2">
      <c r="A47" s="151" t="s">
        <v>1235</v>
      </c>
      <c r="B47" s="114" t="s">
        <v>78</v>
      </c>
      <c r="C47" s="430"/>
      <c r="D47" s="114"/>
      <c r="E47" s="114" t="s">
        <v>1920</v>
      </c>
      <c r="F47" s="114">
        <v>1</v>
      </c>
      <c r="G47" s="485"/>
      <c r="H47" s="463"/>
    </row>
    <row r="48" spans="1:8" ht="15" x14ac:dyDescent="0.2">
      <c r="A48" s="151" t="s">
        <v>1232</v>
      </c>
      <c r="B48" s="114" t="s">
        <v>76</v>
      </c>
      <c r="C48" s="430"/>
      <c r="D48" s="114"/>
      <c r="E48" s="114" t="s">
        <v>1920</v>
      </c>
      <c r="F48" s="114">
        <v>1</v>
      </c>
      <c r="G48" s="485"/>
      <c r="H48" s="463"/>
    </row>
    <row r="49" spans="1:8" ht="15" x14ac:dyDescent="0.2">
      <c r="A49" s="151" t="s">
        <v>15</v>
      </c>
      <c r="B49" s="114" t="s">
        <v>380</v>
      </c>
      <c r="C49" s="430"/>
      <c r="D49" s="114"/>
      <c r="E49" s="114"/>
      <c r="F49" s="114">
        <v>1</v>
      </c>
      <c r="G49" s="485"/>
      <c r="H49" s="463"/>
    </row>
    <row r="50" spans="1:8" ht="15" x14ac:dyDescent="0.2">
      <c r="A50" s="151" t="s">
        <v>37</v>
      </c>
      <c r="B50" s="114" t="s">
        <v>38</v>
      </c>
      <c r="C50" s="430"/>
      <c r="D50" s="114"/>
      <c r="E50" s="114" t="s">
        <v>1920</v>
      </c>
      <c r="F50" s="114">
        <v>1</v>
      </c>
      <c r="G50" s="485"/>
      <c r="H50" s="463"/>
    </row>
    <row r="51" spans="1:8" ht="15" x14ac:dyDescent="0.2">
      <c r="A51" s="253" t="s">
        <v>20</v>
      </c>
      <c r="B51" s="267" t="s">
        <v>287</v>
      </c>
      <c r="C51" s="430"/>
      <c r="D51" s="267"/>
      <c r="E51" s="267" t="s">
        <v>1920</v>
      </c>
      <c r="F51" s="267">
        <v>2</v>
      </c>
      <c r="G51" s="485"/>
      <c r="H51" s="463"/>
    </row>
    <row r="52" spans="1:8" ht="15" x14ac:dyDescent="0.2">
      <c r="A52" s="253" t="s">
        <v>13</v>
      </c>
      <c r="B52" s="267" t="s">
        <v>471</v>
      </c>
      <c r="C52" s="430"/>
      <c r="D52" s="267"/>
      <c r="E52" s="267" t="s">
        <v>1920</v>
      </c>
      <c r="F52" s="267">
        <v>1</v>
      </c>
      <c r="G52" s="485"/>
      <c r="H52" s="463"/>
    </row>
    <row r="53" spans="1:8" x14ac:dyDescent="0.2">
      <c r="F53" s="189"/>
    </row>
    <row r="55" spans="1:8" s="4" customFormat="1" ht="18" x14ac:dyDescent="0.25">
      <c r="A55" s="422" t="s">
        <v>2265</v>
      </c>
      <c r="B55" s="425"/>
      <c r="C55" s="309"/>
      <c r="D55" s="3"/>
      <c r="E55" s="3"/>
      <c r="F55" s="3"/>
      <c r="G55" s="39"/>
    </row>
    <row r="56" spans="1:8" s="4" customFormat="1" ht="18" x14ac:dyDescent="0.25">
      <c r="A56" s="422" t="s">
        <v>2989</v>
      </c>
      <c r="B56" s="484"/>
      <c r="C56" s="189"/>
      <c r="D56" s="189"/>
      <c r="E56" s="3"/>
      <c r="F56" s="3"/>
      <c r="G56" s="189"/>
      <c r="H56" s="189"/>
    </row>
    <row r="57" spans="1:8" ht="18" x14ac:dyDescent="0.25">
      <c r="A57" s="423" t="s">
        <v>3303</v>
      </c>
      <c r="B57" s="486"/>
    </row>
    <row r="58" spans="1:8" ht="18" x14ac:dyDescent="0.25">
      <c r="A58" s="434" t="s">
        <v>3367</v>
      </c>
      <c r="B58" s="420"/>
    </row>
  </sheetData>
  <sortState xmlns:xlrd2="http://schemas.microsoft.com/office/spreadsheetml/2017/richdata2" ref="A2:H52">
    <sortCondition ref="B2:B52"/>
  </sortState>
  <pageMargins left="0.7" right="0.7" top="0.75" bottom="0.75" header="0.3" footer="0.3"/>
  <pageSetup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15"/>
  <sheetViews>
    <sheetView workbookViewId="0">
      <pane ySplit="1" topLeftCell="A2" activePane="bottomLeft" state="frozen"/>
      <selection activeCell="C26" sqref="C26"/>
      <selection pane="bottomLeft" activeCell="F2" sqref="F2:F10"/>
    </sheetView>
  </sheetViews>
  <sheetFormatPr defaultColWidth="9.140625" defaultRowHeight="18" x14ac:dyDescent="0.25"/>
  <cols>
    <col min="1" max="1" width="63.5703125" style="4" bestFit="1" customWidth="1"/>
    <col min="2" max="2" width="14.42578125" style="3" bestFit="1" customWidth="1"/>
    <col min="3" max="3" width="20.42578125" style="309" bestFit="1" customWidth="1"/>
    <col min="4" max="4" width="20.140625" style="310" bestFit="1" customWidth="1"/>
    <col min="5" max="5" width="12.42578125" style="4" bestFit="1" customWidth="1"/>
    <col min="6" max="6" width="10" style="4" bestFit="1" customWidth="1"/>
    <col min="7" max="7" width="11.42578125" style="4" bestFit="1" customWidth="1"/>
    <col min="8" max="8" width="16.85546875" style="4" bestFit="1" customWidth="1"/>
    <col min="9" max="16384" width="9.140625" style="4"/>
  </cols>
  <sheetData>
    <row r="1" spans="1:8" ht="31.5" x14ac:dyDescent="0.25">
      <c r="A1" s="5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54" t="s">
        <v>412</v>
      </c>
      <c r="G1" s="441" t="s">
        <v>3368</v>
      </c>
      <c r="H1" s="418" t="s">
        <v>3369</v>
      </c>
    </row>
    <row r="2" spans="1:8" x14ac:dyDescent="0.25">
      <c r="A2" s="53" t="s">
        <v>17</v>
      </c>
      <c r="B2" s="114" t="s">
        <v>407</v>
      </c>
      <c r="C2" s="430"/>
      <c r="D2" s="267"/>
      <c r="E2" s="114">
        <v>55719</v>
      </c>
      <c r="F2" s="140">
        <v>1</v>
      </c>
      <c r="G2" s="480"/>
      <c r="H2" s="482"/>
    </row>
    <row r="3" spans="1:8" x14ac:dyDescent="0.25">
      <c r="A3" s="262" t="s">
        <v>3258</v>
      </c>
      <c r="B3" s="114" t="s">
        <v>561</v>
      </c>
      <c r="C3" s="430"/>
      <c r="D3" s="267"/>
      <c r="E3" s="114">
        <v>55719</v>
      </c>
      <c r="F3" s="140">
        <v>1</v>
      </c>
      <c r="G3" s="480"/>
      <c r="H3" s="482"/>
    </row>
    <row r="4" spans="1:8" x14ac:dyDescent="0.25">
      <c r="A4" s="53" t="s">
        <v>2211</v>
      </c>
      <c r="B4" s="114" t="s">
        <v>2210</v>
      </c>
      <c r="C4" s="430"/>
      <c r="D4" s="267"/>
      <c r="E4" s="114">
        <v>55719</v>
      </c>
      <c r="F4" s="140">
        <v>1</v>
      </c>
      <c r="G4" s="480"/>
      <c r="H4" s="482"/>
    </row>
    <row r="5" spans="1:8" x14ac:dyDescent="0.25">
      <c r="A5" s="53" t="s">
        <v>1471</v>
      </c>
      <c r="B5" s="114" t="s">
        <v>140</v>
      </c>
      <c r="C5" s="430"/>
      <c r="D5" s="267"/>
      <c r="E5" s="114">
        <v>55719</v>
      </c>
      <c r="F5" s="140">
        <v>1</v>
      </c>
      <c r="G5" s="480"/>
      <c r="H5" s="482"/>
    </row>
    <row r="6" spans="1:8" x14ac:dyDescent="0.25">
      <c r="A6" s="53" t="s">
        <v>1256</v>
      </c>
      <c r="B6" s="114" t="s">
        <v>321</v>
      </c>
      <c r="C6" s="430"/>
      <c r="D6" s="267"/>
      <c r="E6" s="114">
        <v>55719</v>
      </c>
      <c r="F6" s="140">
        <v>1</v>
      </c>
      <c r="G6" s="480"/>
      <c r="H6" s="482"/>
    </row>
    <row r="7" spans="1:8" x14ac:dyDescent="0.25">
      <c r="A7" s="53" t="s">
        <v>3251</v>
      </c>
      <c r="B7" s="114" t="s">
        <v>680</v>
      </c>
      <c r="C7" s="430"/>
      <c r="D7" s="267"/>
      <c r="E7" s="114">
        <v>55719</v>
      </c>
      <c r="F7" s="140">
        <v>1</v>
      </c>
      <c r="G7" s="480"/>
      <c r="H7" s="482"/>
    </row>
    <row r="8" spans="1:8" x14ac:dyDescent="0.25">
      <c r="A8" s="53" t="s">
        <v>2209</v>
      </c>
      <c r="B8" s="114" t="s">
        <v>2208</v>
      </c>
      <c r="C8" s="430"/>
      <c r="D8" s="267"/>
      <c r="E8" s="114">
        <v>55719</v>
      </c>
      <c r="F8" s="140">
        <v>1</v>
      </c>
      <c r="G8" s="480"/>
      <c r="H8" s="482"/>
    </row>
    <row r="9" spans="1:8" s="3" customFormat="1" x14ac:dyDescent="0.25">
      <c r="A9" s="53" t="s">
        <v>2133</v>
      </c>
      <c r="B9" s="114" t="s">
        <v>2909</v>
      </c>
      <c r="C9" s="430"/>
      <c r="D9" s="267"/>
      <c r="E9" s="114">
        <v>55719</v>
      </c>
      <c r="F9" s="140">
        <v>1</v>
      </c>
      <c r="G9" s="480"/>
      <c r="H9" s="483"/>
    </row>
    <row r="10" spans="1:8" s="3" customFormat="1" x14ac:dyDescent="0.25">
      <c r="A10" s="53" t="s">
        <v>1214</v>
      </c>
      <c r="B10" s="114" t="s">
        <v>515</v>
      </c>
      <c r="C10" s="430"/>
      <c r="D10" s="267"/>
      <c r="E10" s="114">
        <v>55719</v>
      </c>
      <c r="F10" s="140">
        <v>1</v>
      </c>
      <c r="G10" s="480"/>
      <c r="H10" s="483"/>
    </row>
    <row r="12" spans="1:8" x14ac:dyDescent="0.25">
      <c r="A12" s="422" t="s">
        <v>2212</v>
      </c>
      <c r="B12" s="425"/>
    </row>
    <row r="13" spans="1:8" x14ac:dyDescent="0.25">
      <c r="A13" s="422" t="s">
        <v>2943</v>
      </c>
      <c r="B13" s="425"/>
    </row>
    <row r="14" spans="1:8" x14ac:dyDescent="0.25">
      <c r="A14" s="423" t="s">
        <v>3302</v>
      </c>
      <c r="B14" s="425"/>
    </row>
    <row r="15" spans="1:8" x14ac:dyDescent="0.25">
      <c r="A15" s="434" t="s">
        <v>3367</v>
      </c>
      <c r="B15" s="420"/>
    </row>
  </sheetData>
  <sortState xmlns:xlrd2="http://schemas.microsoft.com/office/spreadsheetml/2017/richdata2" ref="A3:H12">
    <sortCondition ref="B3:B12"/>
  </sortState>
  <printOptions gridLines="1"/>
  <pageMargins left="0.5" right="0.5" top="0.5" bottom="0.5" header="0.3" footer="0.3"/>
  <pageSetup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19"/>
  <sheetViews>
    <sheetView workbookViewId="0">
      <selection activeCell="F2" sqref="F2:F14"/>
    </sheetView>
  </sheetViews>
  <sheetFormatPr defaultColWidth="9.140625" defaultRowHeight="18" x14ac:dyDescent="0.25"/>
  <cols>
    <col min="1" max="1" width="63.5703125" style="4" bestFit="1" customWidth="1"/>
    <col min="2" max="2" width="14.42578125" style="3" bestFit="1" customWidth="1"/>
    <col min="3" max="3" width="20.42578125" style="309" bestFit="1" customWidth="1"/>
    <col min="4" max="4" width="20.140625" style="39" bestFit="1" customWidth="1"/>
    <col min="5" max="5" width="12.42578125" style="4" bestFit="1" customWidth="1"/>
    <col min="6" max="6" width="10" style="4" bestFit="1" customWidth="1"/>
    <col min="7" max="7" width="11.42578125" style="4" bestFit="1" customWidth="1"/>
    <col min="8" max="8" width="16.85546875" style="4" bestFit="1" customWidth="1"/>
    <col min="9" max="16384" width="9.140625" style="4"/>
  </cols>
  <sheetData>
    <row r="1" spans="1:8" ht="31.5" x14ac:dyDescent="0.25">
      <c r="A1" s="257" t="s">
        <v>0</v>
      </c>
      <c r="B1" s="323" t="s">
        <v>1</v>
      </c>
      <c r="C1" s="367" t="s">
        <v>3373</v>
      </c>
      <c r="D1" s="323" t="s">
        <v>1872</v>
      </c>
      <c r="E1" s="323" t="s">
        <v>1873</v>
      </c>
      <c r="F1" s="257" t="s">
        <v>412</v>
      </c>
      <c r="G1" s="441" t="s">
        <v>3368</v>
      </c>
      <c r="H1" s="418" t="s">
        <v>3369</v>
      </c>
    </row>
    <row r="2" spans="1:8" x14ac:dyDescent="0.25">
      <c r="A2" s="53" t="s">
        <v>17</v>
      </c>
      <c r="B2" s="114" t="s">
        <v>407</v>
      </c>
      <c r="C2" s="485"/>
      <c r="D2" s="114"/>
      <c r="E2" s="114">
        <v>55719</v>
      </c>
      <c r="F2" s="140">
        <v>1</v>
      </c>
      <c r="G2" s="480"/>
      <c r="H2" s="481"/>
    </row>
    <row r="3" spans="1:8" x14ac:dyDescent="0.25">
      <c r="A3" s="200" t="s">
        <v>16</v>
      </c>
      <c r="B3" s="203" t="s">
        <v>476</v>
      </c>
      <c r="C3" s="707"/>
      <c r="D3" s="114"/>
      <c r="E3" s="114">
        <v>55719</v>
      </c>
      <c r="F3" s="140">
        <v>1</v>
      </c>
      <c r="G3" s="480"/>
      <c r="H3" s="481"/>
    </row>
    <row r="4" spans="1:8" x14ac:dyDescent="0.25">
      <c r="A4" s="262" t="s">
        <v>3258</v>
      </c>
      <c r="B4" s="114" t="s">
        <v>561</v>
      </c>
      <c r="C4" s="485"/>
      <c r="D4" s="114"/>
      <c r="E4" s="114">
        <v>55719</v>
      </c>
      <c r="F4" s="140">
        <v>1</v>
      </c>
      <c r="G4" s="480"/>
      <c r="H4" s="481"/>
    </row>
    <row r="5" spans="1:8" x14ac:dyDescent="0.25">
      <c r="A5" s="53" t="s">
        <v>2211</v>
      </c>
      <c r="B5" s="114" t="s">
        <v>2210</v>
      </c>
      <c r="C5" s="485"/>
      <c r="D5" s="114"/>
      <c r="E5" s="114">
        <v>55719</v>
      </c>
      <c r="F5" s="140">
        <v>1</v>
      </c>
      <c r="G5" s="480"/>
      <c r="H5" s="481"/>
    </row>
    <row r="6" spans="1:8" x14ac:dyDescent="0.25">
      <c r="A6" s="53" t="s">
        <v>1471</v>
      </c>
      <c r="B6" s="114" t="s">
        <v>140</v>
      </c>
      <c r="C6" s="485"/>
      <c r="D6" s="114"/>
      <c r="E6" s="114">
        <v>55719</v>
      </c>
      <c r="F6" s="140">
        <v>1</v>
      </c>
      <c r="G6" s="480"/>
      <c r="H6" s="481"/>
    </row>
    <row r="7" spans="1:8" x14ac:dyDescent="0.25">
      <c r="A7" s="53" t="s">
        <v>1256</v>
      </c>
      <c r="B7" s="114" t="s">
        <v>321</v>
      </c>
      <c r="C7" s="485"/>
      <c r="D7" s="114"/>
      <c r="E7" s="114">
        <v>55719</v>
      </c>
      <c r="F7" s="140">
        <v>1</v>
      </c>
      <c r="G7" s="480"/>
      <c r="H7" s="481"/>
    </row>
    <row r="8" spans="1:8" x14ac:dyDescent="0.25">
      <c r="A8" s="53" t="s">
        <v>3251</v>
      </c>
      <c r="B8" s="114" t="s">
        <v>680</v>
      </c>
      <c r="C8" s="485"/>
      <c r="D8" s="114"/>
      <c r="E8" s="114">
        <v>55719</v>
      </c>
      <c r="F8" s="140">
        <v>1</v>
      </c>
      <c r="G8" s="480"/>
      <c r="H8" s="481"/>
    </row>
    <row r="9" spans="1:8" x14ac:dyDescent="0.25">
      <c r="A9" s="53" t="s">
        <v>2209</v>
      </c>
      <c r="B9" s="114" t="s">
        <v>2208</v>
      </c>
      <c r="C9" s="485"/>
      <c r="D9" s="114"/>
      <c r="E9" s="114">
        <v>55719</v>
      </c>
      <c r="F9" s="140">
        <v>1</v>
      </c>
      <c r="G9" s="480"/>
      <c r="H9" s="481"/>
    </row>
    <row r="10" spans="1:8" x14ac:dyDescent="0.25">
      <c r="A10" s="53" t="s">
        <v>1125</v>
      </c>
      <c r="B10" s="114">
        <v>8130020</v>
      </c>
      <c r="C10" s="485"/>
      <c r="D10" s="114"/>
      <c r="E10" s="114" t="s">
        <v>1975</v>
      </c>
      <c r="F10" s="140">
        <v>1</v>
      </c>
      <c r="G10" s="480"/>
      <c r="H10" s="481"/>
    </row>
    <row r="11" spans="1:8" x14ac:dyDescent="0.25">
      <c r="A11" s="53" t="s">
        <v>1127</v>
      </c>
      <c r="B11" s="114">
        <v>8130030</v>
      </c>
      <c r="C11" s="485"/>
      <c r="D11" s="114"/>
      <c r="E11" s="114" t="s">
        <v>1975</v>
      </c>
      <c r="F11" s="140">
        <v>1</v>
      </c>
      <c r="G11" s="480"/>
      <c r="H11" s="481"/>
    </row>
    <row r="12" spans="1:8" x14ac:dyDescent="0.25">
      <c r="A12" s="53" t="s">
        <v>2215</v>
      </c>
      <c r="B12" s="114" t="s">
        <v>2909</v>
      </c>
      <c r="C12" s="485"/>
      <c r="D12" s="114"/>
      <c r="E12" s="114">
        <v>55719</v>
      </c>
      <c r="F12" s="140">
        <v>1</v>
      </c>
      <c r="G12" s="480"/>
      <c r="H12" s="481"/>
    </row>
    <row r="13" spans="1:8" x14ac:dyDescent="0.25">
      <c r="A13" s="53" t="s">
        <v>1156</v>
      </c>
      <c r="B13" s="114" t="s">
        <v>2117</v>
      </c>
      <c r="C13" s="485"/>
      <c r="D13" s="114"/>
      <c r="E13" s="114">
        <v>55719</v>
      </c>
      <c r="F13" s="140">
        <v>2</v>
      </c>
      <c r="G13" s="480"/>
      <c r="H13" s="481"/>
    </row>
    <row r="14" spans="1:8" x14ac:dyDescent="0.25">
      <c r="A14" s="53" t="s">
        <v>1214</v>
      </c>
      <c r="B14" s="114" t="s">
        <v>515</v>
      </c>
      <c r="C14" s="485"/>
      <c r="D14" s="114"/>
      <c r="E14" s="114">
        <v>55719</v>
      </c>
      <c r="F14" s="140">
        <v>1</v>
      </c>
      <c r="G14" s="480"/>
      <c r="H14" s="481"/>
    </row>
    <row r="16" spans="1:8" x14ac:dyDescent="0.25">
      <c r="A16" s="422" t="s">
        <v>2216</v>
      </c>
      <c r="B16" s="425"/>
    </row>
    <row r="17" spans="1:2" x14ac:dyDescent="0.25">
      <c r="A17" s="422" t="s">
        <v>2944</v>
      </c>
      <c r="B17" s="425"/>
    </row>
    <row r="18" spans="1:2" x14ac:dyDescent="0.25">
      <c r="A18" s="423" t="s">
        <v>3300</v>
      </c>
      <c r="B18" s="425"/>
    </row>
    <row r="19" spans="1:2" x14ac:dyDescent="0.25">
      <c r="A19" s="434" t="s">
        <v>3367</v>
      </c>
      <c r="B19" s="420"/>
    </row>
  </sheetData>
  <sortState xmlns:xlrd2="http://schemas.microsoft.com/office/spreadsheetml/2017/richdata2" ref="A5:H18">
    <sortCondition ref="B5:B18"/>
  </sortState>
  <printOptions gridLines="1"/>
  <pageMargins left="0.5" right="0.5" top="0.5" bottom="0.5" header="0.3" footer="0.3"/>
  <pageSetup scale="70" orientation="landscape"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39"/>
  <sheetViews>
    <sheetView workbookViewId="0">
      <pane ySplit="1" topLeftCell="A2" activePane="bottomLeft" state="frozen"/>
      <selection activeCell="C26" sqref="C26"/>
      <selection pane="bottomLeft" activeCell="F2" sqref="F2:F33"/>
    </sheetView>
  </sheetViews>
  <sheetFormatPr defaultColWidth="92.140625" defaultRowHeight="15" x14ac:dyDescent="0.2"/>
  <cols>
    <col min="1" max="1" width="63.42578125" style="162" bestFit="1" customWidth="1"/>
    <col min="2" max="2" width="15" style="165" bestFit="1" customWidth="1"/>
    <col min="3" max="3" width="20.42578125" style="165" bestFit="1" customWidth="1"/>
    <col min="4" max="4" width="20.140625" style="165" bestFit="1" customWidth="1"/>
    <col min="5" max="5" width="12.42578125" style="165" bestFit="1" customWidth="1"/>
    <col min="6" max="6" width="10" style="165" bestFit="1" customWidth="1"/>
    <col min="7" max="7" width="11.42578125" style="177" bestFit="1" customWidth="1"/>
    <col min="8" max="8" width="16.85546875" style="162" bestFit="1" customWidth="1"/>
    <col min="9" max="16384" width="92.140625" style="162"/>
  </cols>
  <sheetData>
    <row r="1" spans="1:8" ht="31.5" x14ac:dyDescent="0.25">
      <c r="A1" s="2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24" t="s">
        <v>412</v>
      </c>
      <c r="G1" s="441" t="s">
        <v>3368</v>
      </c>
      <c r="H1" s="418" t="s">
        <v>3369</v>
      </c>
    </row>
    <row r="2" spans="1:8" x14ac:dyDescent="0.2">
      <c r="A2" s="151" t="s">
        <v>202</v>
      </c>
      <c r="B2" s="114" t="s">
        <v>260</v>
      </c>
      <c r="C2" s="430"/>
      <c r="D2" s="82"/>
      <c r="E2" s="82" t="s">
        <v>1920</v>
      </c>
      <c r="F2" s="47">
        <v>1</v>
      </c>
      <c r="G2" s="446" t="s">
        <v>2217</v>
      </c>
      <c r="H2" s="440"/>
    </row>
    <row r="3" spans="1:8" x14ac:dyDescent="0.2">
      <c r="A3" s="151" t="s">
        <v>3</v>
      </c>
      <c r="B3" s="114" t="s">
        <v>465</v>
      </c>
      <c r="C3" s="430"/>
      <c r="D3" s="82"/>
      <c r="E3" s="82" t="s">
        <v>1920</v>
      </c>
      <c r="F3" s="47">
        <v>1</v>
      </c>
      <c r="G3" s="446" t="s">
        <v>2217</v>
      </c>
      <c r="H3" s="440"/>
    </row>
    <row r="4" spans="1:8" x14ac:dyDescent="0.2">
      <c r="A4" s="151" t="s">
        <v>4</v>
      </c>
      <c r="B4" s="114" t="s">
        <v>90</v>
      </c>
      <c r="C4" s="430"/>
      <c r="D4" s="82"/>
      <c r="E4" s="82" t="s">
        <v>1920</v>
      </c>
      <c r="F4" s="47">
        <v>1</v>
      </c>
      <c r="G4" s="446"/>
      <c r="H4" s="440"/>
    </row>
    <row r="5" spans="1:8" x14ac:dyDescent="0.2">
      <c r="A5" s="151" t="s">
        <v>1379</v>
      </c>
      <c r="B5" s="114" t="s">
        <v>63</v>
      </c>
      <c r="C5" s="430"/>
      <c r="D5" s="82"/>
      <c r="E5" s="82" t="s">
        <v>1920</v>
      </c>
      <c r="F5" s="47">
        <v>1</v>
      </c>
      <c r="G5" s="446"/>
      <c r="H5" s="440"/>
    </row>
    <row r="6" spans="1:8" x14ac:dyDescent="0.2">
      <c r="A6" s="151" t="s">
        <v>44</v>
      </c>
      <c r="B6" s="114" t="s">
        <v>896</v>
      </c>
      <c r="C6" s="430"/>
      <c r="D6" s="82"/>
      <c r="E6" s="82" t="s">
        <v>1920</v>
      </c>
      <c r="F6" s="47">
        <v>1</v>
      </c>
      <c r="G6" s="446" t="s">
        <v>2217</v>
      </c>
      <c r="H6" s="440"/>
    </row>
    <row r="7" spans="1:8" x14ac:dyDescent="0.2">
      <c r="A7" s="151" t="s">
        <v>1125</v>
      </c>
      <c r="B7" s="114">
        <v>8130020</v>
      </c>
      <c r="C7" s="430"/>
      <c r="D7" s="82"/>
      <c r="E7" s="82" t="s">
        <v>1975</v>
      </c>
      <c r="F7" s="47">
        <v>1</v>
      </c>
      <c r="G7" s="446"/>
      <c r="H7" s="440"/>
    </row>
    <row r="8" spans="1:8" x14ac:dyDescent="0.2">
      <c r="A8" s="151" t="s">
        <v>1035</v>
      </c>
      <c r="B8" s="114" t="s">
        <v>414</v>
      </c>
      <c r="C8" s="430"/>
      <c r="D8" s="82"/>
      <c r="E8" s="82" t="s">
        <v>1920</v>
      </c>
      <c r="F8" s="47">
        <v>2</v>
      </c>
      <c r="G8" s="446"/>
      <c r="H8" s="440"/>
    </row>
    <row r="9" spans="1:8" x14ac:dyDescent="0.2">
      <c r="A9" s="151" t="s">
        <v>10</v>
      </c>
      <c r="B9" s="114" t="s">
        <v>469</v>
      </c>
      <c r="C9" s="430"/>
      <c r="D9" s="82"/>
      <c r="E9" s="82" t="s">
        <v>1920</v>
      </c>
      <c r="F9" s="47">
        <v>1</v>
      </c>
      <c r="G9" s="446"/>
      <c r="H9" s="440"/>
    </row>
    <row r="10" spans="1:8" x14ac:dyDescent="0.2">
      <c r="A10" s="151" t="s">
        <v>101</v>
      </c>
      <c r="B10" s="114" t="s">
        <v>509</v>
      </c>
      <c r="C10" s="430"/>
      <c r="D10" s="82"/>
      <c r="E10" s="82">
        <v>55719</v>
      </c>
      <c r="F10" s="47">
        <v>1</v>
      </c>
      <c r="G10" s="446"/>
      <c r="H10" s="440"/>
    </row>
    <row r="11" spans="1:8" x14ac:dyDescent="0.2">
      <c r="A11" s="151" t="s">
        <v>2133</v>
      </c>
      <c r="B11" s="114" t="s">
        <v>2909</v>
      </c>
      <c r="C11" s="430"/>
      <c r="D11" s="82"/>
      <c r="E11" s="82">
        <v>56654</v>
      </c>
      <c r="F11" s="47">
        <v>1</v>
      </c>
      <c r="G11" s="446"/>
      <c r="H11" s="440"/>
    </row>
    <row r="12" spans="1:8" x14ac:dyDescent="0.2">
      <c r="A12" s="151" t="s">
        <v>1038</v>
      </c>
      <c r="B12" s="114" t="s">
        <v>280</v>
      </c>
      <c r="C12" s="430"/>
      <c r="D12" s="82"/>
      <c r="E12" s="82">
        <v>55719</v>
      </c>
      <c r="F12" s="47">
        <v>1</v>
      </c>
      <c r="G12" s="446"/>
      <c r="H12" s="440"/>
    </row>
    <row r="13" spans="1:8" x14ac:dyDescent="0.2">
      <c r="A13" s="151" t="s">
        <v>1153</v>
      </c>
      <c r="B13" s="114" t="s">
        <v>2131</v>
      </c>
      <c r="C13" s="430"/>
      <c r="D13" s="82"/>
      <c r="E13" s="82" t="s">
        <v>1920</v>
      </c>
      <c r="F13" s="47">
        <v>1</v>
      </c>
      <c r="G13" s="446"/>
      <c r="H13" s="440"/>
    </row>
    <row r="14" spans="1:8" x14ac:dyDescent="0.2">
      <c r="A14" s="151" t="s">
        <v>1287</v>
      </c>
      <c r="B14" s="114" t="s">
        <v>474</v>
      </c>
      <c r="C14" s="430"/>
      <c r="D14" s="82"/>
      <c r="E14" s="82" t="s">
        <v>1920</v>
      </c>
      <c r="F14" s="47">
        <v>1</v>
      </c>
      <c r="G14" s="446"/>
      <c r="H14" s="440"/>
    </row>
    <row r="15" spans="1:8" x14ac:dyDescent="0.2">
      <c r="A15" s="151" t="s">
        <v>15</v>
      </c>
      <c r="B15" s="114" t="s">
        <v>380</v>
      </c>
      <c r="C15" s="430"/>
      <c r="D15" s="82"/>
      <c r="E15" s="82" t="s">
        <v>1920</v>
      </c>
      <c r="F15" s="47">
        <v>1</v>
      </c>
      <c r="G15" s="446"/>
      <c r="H15" s="440"/>
    </row>
    <row r="16" spans="1:8" x14ac:dyDescent="0.2">
      <c r="A16" s="151" t="s">
        <v>105</v>
      </c>
      <c r="B16" s="114" t="s">
        <v>2118</v>
      </c>
      <c r="C16" s="430"/>
      <c r="D16" s="82"/>
      <c r="E16" s="82" t="s">
        <v>1920</v>
      </c>
      <c r="F16" s="47">
        <v>1</v>
      </c>
      <c r="G16" s="446"/>
      <c r="H16" s="440"/>
    </row>
    <row r="17" spans="1:8" x14ac:dyDescent="0.2">
      <c r="A17" s="151" t="s">
        <v>1158</v>
      </c>
      <c r="B17" s="114" t="s">
        <v>512</v>
      </c>
      <c r="C17" s="430"/>
      <c r="D17" s="82"/>
      <c r="E17" s="82" t="s">
        <v>1920</v>
      </c>
      <c r="F17" s="47">
        <v>1</v>
      </c>
      <c r="G17" s="446"/>
      <c r="H17" s="440"/>
    </row>
    <row r="18" spans="1:8" x14ac:dyDescent="0.2">
      <c r="A18" s="151" t="s">
        <v>459</v>
      </c>
      <c r="B18" s="114" t="s">
        <v>1823</v>
      </c>
      <c r="C18" s="430"/>
      <c r="D18" s="82"/>
      <c r="E18" s="82" t="s">
        <v>1920</v>
      </c>
      <c r="F18" s="47">
        <v>1</v>
      </c>
      <c r="G18" s="446"/>
      <c r="H18" s="440"/>
    </row>
    <row r="19" spans="1:8" x14ac:dyDescent="0.2">
      <c r="A19" s="151" t="s">
        <v>1162</v>
      </c>
      <c r="B19" s="114" t="s">
        <v>2127</v>
      </c>
      <c r="C19" s="430"/>
      <c r="D19" s="82"/>
      <c r="E19" s="82">
        <v>55719</v>
      </c>
      <c r="F19" s="47">
        <v>1</v>
      </c>
      <c r="G19" s="446"/>
      <c r="H19" s="440"/>
    </row>
    <row r="20" spans="1:8" x14ac:dyDescent="0.2">
      <c r="A20" s="151" t="s">
        <v>1088</v>
      </c>
      <c r="B20" s="114" t="s">
        <v>485</v>
      </c>
      <c r="C20" s="430"/>
      <c r="D20" s="82"/>
      <c r="E20" s="82" t="s">
        <v>1920</v>
      </c>
      <c r="F20" s="47">
        <v>1</v>
      </c>
      <c r="G20" s="446"/>
      <c r="H20" s="440"/>
    </row>
    <row r="21" spans="1:8" x14ac:dyDescent="0.2">
      <c r="A21" s="151" t="s">
        <v>1340</v>
      </c>
      <c r="B21" s="114" t="s">
        <v>87</v>
      </c>
      <c r="C21" s="430"/>
      <c r="D21" s="82"/>
      <c r="E21" s="82" t="s">
        <v>1920</v>
      </c>
      <c r="F21" s="47">
        <v>1</v>
      </c>
      <c r="G21" s="446"/>
      <c r="H21" s="440"/>
    </row>
    <row r="22" spans="1:8" x14ac:dyDescent="0.2">
      <c r="A22" s="151" t="s">
        <v>868</v>
      </c>
      <c r="B22" s="114" t="s">
        <v>878</v>
      </c>
      <c r="C22" s="430"/>
      <c r="D22" s="82"/>
      <c r="E22" s="82" t="s">
        <v>1920</v>
      </c>
      <c r="F22" s="47">
        <v>1</v>
      </c>
      <c r="G22" s="446"/>
      <c r="H22" s="440"/>
    </row>
    <row r="23" spans="1:8" x14ac:dyDescent="0.2">
      <c r="A23" s="151" t="s">
        <v>259</v>
      </c>
      <c r="B23" s="114" t="s">
        <v>242</v>
      </c>
      <c r="C23" s="430"/>
      <c r="D23" s="82"/>
      <c r="E23" s="82" t="s">
        <v>1920</v>
      </c>
      <c r="F23" s="47">
        <v>1</v>
      </c>
      <c r="G23" s="446"/>
      <c r="H23" s="440"/>
    </row>
    <row r="24" spans="1:8" x14ac:dyDescent="0.2">
      <c r="A24" s="151" t="s">
        <v>1532</v>
      </c>
      <c r="B24" s="114" t="s">
        <v>2123</v>
      </c>
      <c r="C24" s="430"/>
      <c r="D24" s="82"/>
      <c r="E24" s="82">
        <v>55719</v>
      </c>
      <c r="F24" s="47">
        <v>1</v>
      </c>
      <c r="G24" s="446"/>
      <c r="H24" s="440"/>
    </row>
    <row r="25" spans="1:8" x14ac:dyDescent="0.2">
      <c r="A25" s="151" t="s">
        <v>1230</v>
      </c>
      <c r="B25" s="114" t="s">
        <v>584</v>
      </c>
      <c r="C25" s="430"/>
      <c r="D25" s="82"/>
      <c r="E25" s="82">
        <v>55719</v>
      </c>
      <c r="F25" s="47">
        <v>1</v>
      </c>
      <c r="G25" s="446"/>
      <c r="H25" s="440"/>
    </row>
    <row r="26" spans="1:8" x14ac:dyDescent="0.2">
      <c r="A26" s="151" t="s">
        <v>1330</v>
      </c>
      <c r="B26" s="114" t="s">
        <v>966</v>
      </c>
      <c r="C26" s="430"/>
      <c r="D26" s="82"/>
      <c r="E26" s="82">
        <v>55719</v>
      </c>
      <c r="F26" s="47">
        <v>1</v>
      </c>
      <c r="G26" s="446"/>
      <c r="H26" s="440"/>
    </row>
    <row r="27" spans="1:8" x14ac:dyDescent="0.2">
      <c r="A27" s="151" t="s">
        <v>1472</v>
      </c>
      <c r="B27" s="114" t="s">
        <v>1991</v>
      </c>
      <c r="C27" s="430"/>
      <c r="D27" s="82"/>
      <c r="E27" s="82" t="s">
        <v>1920</v>
      </c>
      <c r="F27" s="47">
        <v>1</v>
      </c>
      <c r="G27" s="446"/>
      <c r="H27" s="440"/>
    </row>
    <row r="28" spans="1:8" x14ac:dyDescent="0.2">
      <c r="A28" s="151" t="s">
        <v>917</v>
      </c>
      <c r="B28" s="114" t="s">
        <v>916</v>
      </c>
      <c r="C28" s="430"/>
      <c r="D28" s="82" t="s">
        <v>1898</v>
      </c>
      <c r="E28" s="82" t="s">
        <v>1957</v>
      </c>
      <c r="F28" s="47">
        <v>1</v>
      </c>
      <c r="G28" s="446"/>
      <c r="H28" s="440"/>
    </row>
    <row r="29" spans="1:8" x14ac:dyDescent="0.2">
      <c r="A29" s="151" t="s">
        <v>141</v>
      </c>
      <c r="B29" s="114" t="s">
        <v>576</v>
      </c>
      <c r="C29" s="430"/>
      <c r="D29" s="82"/>
      <c r="E29" s="82" t="s">
        <v>1920</v>
      </c>
      <c r="F29" s="47">
        <v>1</v>
      </c>
      <c r="G29" s="446"/>
      <c r="H29" s="440"/>
    </row>
    <row r="30" spans="1:8" x14ac:dyDescent="0.2">
      <c r="A30" s="151" t="s">
        <v>1180</v>
      </c>
      <c r="B30" s="114" t="s">
        <v>359</v>
      </c>
      <c r="C30" s="430"/>
      <c r="D30" s="82"/>
      <c r="E30" s="82" t="s">
        <v>1920</v>
      </c>
      <c r="F30" s="47">
        <v>1</v>
      </c>
      <c r="G30" s="446"/>
      <c r="H30" s="440"/>
    </row>
    <row r="31" spans="1:8" x14ac:dyDescent="0.2">
      <c r="A31" s="151" t="s">
        <v>1054</v>
      </c>
      <c r="B31" s="114" t="s">
        <v>326</v>
      </c>
      <c r="C31" s="430"/>
      <c r="D31" s="82"/>
      <c r="E31" s="82" t="s">
        <v>1920</v>
      </c>
      <c r="F31" s="47">
        <v>1</v>
      </c>
      <c r="G31" s="446"/>
      <c r="H31" s="440"/>
    </row>
    <row r="32" spans="1:8" x14ac:dyDescent="0.2">
      <c r="A32" s="151" t="s">
        <v>2231</v>
      </c>
      <c r="B32" s="114" t="s">
        <v>357</v>
      </c>
      <c r="C32" s="430"/>
      <c r="D32" s="82"/>
      <c r="E32" s="82" t="s">
        <v>1920</v>
      </c>
      <c r="F32" s="47">
        <v>1</v>
      </c>
      <c r="G32" s="446"/>
      <c r="H32" s="440"/>
    </row>
    <row r="33" spans="1:8" x14ac:dyDescent="0.2">
      <c r="A33" s="151" t="s">
        <v>1187</v>
      </c>
      <c r="B33" s="114" t="s">
        <v>360</v>
      </c>
      <c r="C33" s="430"/>
      <c r="D33" s="82"/>
      <c r="E33" s="82" t="s">
        <v>1920</v>
      </c>
      <c r="F33" s="47">
        <v>2</v>
      </c>
      <c r="G33" s="446"/>
      <c r="H33" s="440"/>
    </row>
    <row r="36" spans="1:8" s="4" customFormat="1" ht="18" x14ac:dyDescent="0.25">
      <c r="A36" s="422" t="s">
        <v>2528</v>
      </c>
      <c r="B36" s="425"/>
      <c r="C36" s="309"/>
      <c r="D36" s="3"/>
      <c r="E36" s="3"/>
      <c r="F36" s="3"/>
      <c r="G36" s="39"/>
    </row>
    <row r="37" spans="1:8" s="4" customFormat="1" ht="18" x14ac:dyDescent="0.25">
      <c r="A37" s="422" t="s">
        <v>2960</v>
      </c>
      <c r="B37" s="425"/>
      <c r="C37" s="309"/>
      <c r="D37" s="3"/>
      <c r="E37" s="3"/>
      <c r="F37" s="3"/>
      <c r="G37" s="39"/>
    </row>
    <row r="38" spans="1:8" ht="18" x14ac:dyDescent="0.25">
      <c r="A38" s="423" t="s">
        <v>3301</v>
      </c>
      <c r="B38" s="267"/>
    </row>
    <row r="39" spans="1:8" ht="18" x14ac:dyDescent="0.25">
      <c r="A39" s="434" t="s">
        <v>3367</v>
      </c>
      <c r="B39" s="420"/>
    </row>
  </sheetData>
  <sortState xmlns:xlrd2="http://schemas.microsoft.com/office/spreadsheetml/2017/richdata2" ref="A2:H34">
    <sortCondition ref="A2:A34"/>
  </sortState>
  <pageMargins left="0.7" right="0.7" top="0.75" bottom="0.75" header="0.3" footer="0.3"/>
  <pageSetup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121"/>
  <sheetViews>
    <sheetView workbookViewId="0">
      <pane ySplit="1" topLeftCell="A84" activePane="bottomLeft" state="frozen"/>
      <selection activeCell="C26" sqref="C26"/>
      <selection pane="bottomLeft" activeCell="F2" sqref="F2:F114"/>
    </sheetView>
  </sheetViews>
  <sheetFormatPr defaultColWidth="9.140625" defaultRowHeight="15" x14ac:dyDescent="0.2"/>
  <cols>
    <col min="1" max="1" width="68.5703125" style="117" bestFit="1" customWidth="1"/>
    <col min="2" max="2" width="20" style="60" bestFit="1" customWidth="1"/>
    <col min="3" max="3" width="20.42578125" style="60" bestFit="1" customWidth="1"/>
    <col min="4" max="4" width="20.140625" style="60" bestFit="1" customWidth="1"/>
    <col min="5" max="5" width="12.42578125" style="60" bestFit="1" customWidth="1"/>
    <col min="6" max="6" width="10" style="60" bestFit="1" customWidth="1"/>
    <col min="7" max="7" width="11.42578125" style="118" bestFit="1" customWidth="1"/>
    <col min="8" max="8" width="16.85546875" style="117" bestFit="1" customWidth="1"/>
    <col min="9" max="9" width="17" style="117" bestFit="1" customWidth="1"/>
    <col min="10" max="10" width="3" style="117" bestFit="1" customWidth="1"/>
    <col min="11" max="16384" width="9.140625" style="117"/>
  </cols>
  <sheetData>
    <row r="1" spans="1:8" ht="31.5" x14ac:dyDescent="0.25">
      <c r="A1" s="290" t="s">
        <v>0</v>
      </c>
      <c r="B1" s="285" t="s">
        <v>1</v>
      </c>
      <c r="C1" s="367" t="s">
        <v>3373</v>
      </c>
      <c r="D1" s="285" t="s">
        <v>1872</v>
      </c>
      <c r="E1" s="285" t="s">
        <v>1873</v>
      </c>
      <c r="F1" s="225" t="s">
        <v>412</v>
      </c>
      <c r="G1" s="441" t="s">
        <v>3368</v>
      </c>
      <c r="H1" s="418" t="s">
        <v>3369</v>
      </c>
    </row>
    <row r="2" spans="1:8" x14ac:dyDescent="0.2">
      <c r="A2" s="396" t="s">
        <v>3298</v>
      </c>
      <c r="B2" s="398" t="s">
        <v>3269</v>
      </c>
      <c r="C2" s="625"/>
      <c r="D2" s="398"/>
      <c r="E2" s="398">
        <v>55719</v>
      </c>
      <c r="F2" s="471">
        <v>1</v>
      </c>
      <c r="G2" s="476"/>
      <c r="H2" s="444"/>
    </row>
    <row r="3" spans="1:8" ht="15" customHeight="1" x14ac:dyDescent="0.2">
      <c r="A3" s="287" t="s">
        <v>2151</v>
      </c>
      <c r="B3" s="71" t="s">
        <v>2152</v>
      </c>
      <c r="C3" s="625"/>
      <c r="D3" s="71"/>
      <c r="E3" s="71" t="s">
        <v>1920</v>
      </c>
      <c r="F3" s="472">
        <v>1</v>
      </c>
      <c r="G3" s="477" t="s">
        <v>2217</v>
      </c>
      <c r="H3" s="444"/>
    </row>
    <row r="4" spans="1:8" s="215" customFormat="1" x14ac:dyDescent="0.2">
      <c r="A4" s="287" t="s">
        <v>459</v>
      </c>
      <c r="B4" s="71" t="s">
        <v>1823</v>
      </c>
      <c r="C4" s="625"/>
      <c r="D4" s="71"/>
      <c r="E4" s="71" t="s">
        <v>1920</v>
      </c>
      <c r="F4" s="472">
        <v>1</v>
      </c>
      <c r="G4" s="477"/>
      <c r="H4" s="433"/>
    </row>
    <row r="5" spans="1:8" s="215" customFormat="1" x14ac:dyDescent="0.2">
      <c r="A5" s="287" t="s">
        <v>2091</v>
      </c>
      <c r="B5" s="71" t="s">
        <v>2090</v>
      </c>
      <c r="C5" s="625"/>
      <c r="D5" s="71"/>
      <c r="E5" s="71" t="s">
        <v>1920</v>
      </c>
      <c r="F5" s="472">
        <v>1</v>
      </c>
      <c r="G5" s="477"/>
      <c r="H5" s="433"/>
    </row>
    <row r="6" spans="1:8" s="215" customFormat="1" x14ac:dyDescent="0.2">
      <c r="A6" s="287" t="s">
        <v>17</v>
      </c>
      <c r="B6" s="71" t="s">
        <v>407</v>
      </c>
      <c r="C6" s="625"/>
      <c r="D6" s="71"/>
      <c r="E6" s="71" t="s">
        <v>1920</v>
      </c>
      <c r="F6" s="472">
        <v>1</v>
      </c>
      <c r="G6" s="477"/>
      <c r="H6" s="433"/>
    </row>
    <row r="7" spans="1:8" x14ac:dyDescent="0.2">
      <c r="A7" s="287" t="s">
        <v>197</v>
      </c>
      <c r="B7" s="71" t="s">
        <v>645</v>
      </c>
      <c r="C7" s="625"/>
      <c r="D7" s="71"/>
      <c r="E7" s="71" t="s">
        <v>1920</v>
      </c>
      <c r="F7" s="472">
        <v>1</v>
      </c>
      <c r="G7" s="477"/>
      <c r="H7" s="444"/>
    </row>
    <row r="8" spans="1:8" x14ac:dyDescent="0.2">
      <c r="A8" s="287" t="s">
        <v>2153</v>
      </c>
      <c r="B8" s="71" t="s">
        <v>2154</v>
      </c>
      <c r="C8" s="625"/>
      <c r="D8" s="71"/>
      <c r="E8" s="71" t="s">
        <v>1920</v>
      </c>
      <c r="F8" s="472">
        <v>1</v>
      </c>
      <c r="G8" s="477"/>
      <c r="H8" s="444"/>
    </row>
    <row r="9" spans="1:8" s="119" customFormat="1" x14ac:dyDescent="0.2">
      <c r="A9" s="287" t="s">
        <v>3244</v>
      </c>
      <c r="B9" s="71" t="s">
        <v>308</v>
      </c>
      <c r="C9" s="625"/>
      <c r="D9" s="71"/>
      <c r="E9" s="71" t="s">
        <v>1920</v>
      </c>
      <c r="F9" s="472">
        <v>1</v>
      </c>
      <c r="G9" s="477"/>
      <c r="H9" s="433"/>
    </row>
    <row r="10" spans="1:8" s="119" customFormat="1" x14ac:dyDescent="0.2">
      <c r="A10" s="287" t="s">
        <v>16</v>
      </c>
      <c r="B10" s="71" t="s">
        <v>476</v>
      </c>
      <c r="C10" s="625"/>
      <c r="D10" s="71"/>
      <c r="E10" s="71" t="s">
        <v>1920</v>
      </c>
      <c r="F10" s="472">
        <v>1</v>
      </c>
      <c r="G10" s="477"/>
      <c r="H10" s="433"/>
    </row>
    <row r="11" spans="1:8" s="119" customFormat="1" x14ac:dyDescent="0.2">
      <c r="A11" s="287" t="s">
        <v>1192</v>
      </c>
      <c r="B11" s="71" t="s">
        <v>94</v>
      </c>
      <c r="C11" s="625"/>
      <c r="D11" s="71"/>
      <c r="E11" s="71" t="s">
        <v>1920</v>
      </c>
      <c r="F11" s="472">
        <v>1</v>
      </c>
      <c r="G11" s="477"/>
      <c r="H11" s="433"/>
    </row>
    <row r="12" spans="1:8" s="119" customFormat="1" x14ac:dyDescent="0.2">
      <c r="A12" s="287" t="s">
        <v>1059</v>
      </c>
      <c r="B12" s="71" t="s">
        <v>607</v>
      </c>
      <c r="C12" s="625"/>
      <c r="D12" s="71"/>
      <c r="E12" s="71" t="s">
        <v>1920</v>
      </c>
      <c r="F12" s="472">
        <v>1</v>
      </c>
      <c r="G12" s="477"/>
      <c r="H12" s="433"/>
    </row>
    <row r="13" spans="1:8" s="119" customFormat="1" x14ac:dyDescent="0.2">
      <c r="A13" s="287" t="s">
        <v>1033</v>
      </c>
      <c r="B13" s="71" t="s">
        <v>98</v>
      </c>
      <c r="C13" s="625"/>
      <c r="D13" s="71"/>
      <c r="E13" s="71" t="s">
        <v>1920</v>
      </c>
      <c r="F13" s="472">
        <v>1</v>
      </c>
      <c r="G13" s="477"/>
      <c r="H13" s="433"/>
    </row>
    <row r="14" spans="1:8" s="119" customFormat="1" x14ac:dyDescent="0.2">
      <c r="A14" s="287" t="s">
        <v>1277</v>
      </c>
      <c r="B14" s="71" t="s">
        <v>1832</v>
      </c>
      <c r="C14" s="625"/>
      <c r="D14" s="71"/>
      <c r="E14" s="71" t="s">
        <v>1920</v>
      </c>
      <c r="F14" s="472">
        <v>1</v>
      </c>
      <c r="G14" s="477"/>
      <c r="H14" s="433"/>
    </row>
    <row r="15" spans="1:8" ht="15" customHeight="1" x14ac:dyDescent="0.2">
      <c r="A15" s="287" t="s">
        <v>1279</v>
      </c>
      <c r="B15" s="71" t="s">
        <v>1833</v>
      </c>
      <c r="C15" s="625"/>
      <c r="D15" s="71"/>
      <c r="E15" s="71" t="s">
        <v>1920</v>
      </c>
      <c r="F15" s="472">
        <v>1</v>
      </c>
      <c r="G15" s="477"/>
      <c r="H15" s="444"/>
    </row>
    <row r="16" spans="1:8" ht="15" customHeight="1" x14ac:dyDescent="0.2">
      <c r="A16" s="287" t="s">
        <v>1280</v>
      </c>
      <c r="B16" s="71" t="s">
        <v>1834</v>
      </c>
      <c r="C16" s="625"/>
      <c r="D16" s="71"/>
      <c r="E16" s="71" t="s">
        <v>1920</v>
      </c>
      <c r="F16" s="472">
        <v>1</v>
      </c>
      <c r="G16" s="477"/>
      <c r="H16" s="444"/>
    </row>
    <row r="17" spans="1:10" ht="15" customHeight="1" x14ac:dyDescent="0.2">
      <c r="A17" s="287" t="s">
        <v>1278</v>
      </c>
      <c r="B17" s="71" t="s">
        <v>1835</v>
      </c>
      <c r="C17" s="625"/>
      <c r="D17" s="71"/>
      <c r="E17" s="71">
        <v>55719</v>
      </c>
      <c r="F17" s="472">
        <v>1</v>
      </c>
      <c r="G17" s="477"/>
      <c r="H17" s="444"/>
    </row>
    <row r="18" spans="1:10" ht="15" customHeight="1" x14ac:dyDescent="0.2">
      <c r="A18" s="287" t="s">
        <v>35</v>
      </c>
      <c r="B18" s="71" t="s">
        <v>1827</v>
      </c>
      <c r="C18" s="625"/>
      <c r="D18" s="71"/>
      <c r="E18" s="71" t="s">
        <v>1920</v>
      </c>
      <c r="F18" s="472">
        <v>1</v>
      </c>
      <c r="G18" s="477"/>
      <c r="H18" s="444"/>
    </row>
    <row r="19" spans="1:10" ht="15" customHeight="1" x14ac:dyDescent="0.2">
      <c r="A19" s="287" t="s">
        <v>36</v>
      </c>
      <c r="B19" s="71" t="s">
        <v>1828</v>
      </c>
      <c r="C19" s="625"/>
      <c r="D19" s="71"/>
      <c r="E19" s="71" t="s">
        <v>1920</v>
      </c>
      <c r="F19" s="472">
        <v>1</v>
      </c>
      <c r="G19" s="477"/>
      <c r="H19" s="444"/>
    </row>
    <row r="20" spans="1:10" ht="15" customHeight="1" x14ac:dyDescent="0.2">
      <c r="A20" s="287" t="s">
        <v>34</v>
      </c>
      <c r="B20" s="71" t="s">
        <v>1826</v>
      </c>
      <c r="C20" s="625"/>
      <c r="D20" s="71"/>
      <c r="E20" s="71" t="s">
        <v>1920</v>
      </c>
      <c r="F20" s="472">
        <v>1</v>
      </c>
      <c r="G20" s="477"/>
      <c r="H20" s="444"/>
    </row>
    <row r="21" spans="1:10" ht="15" customHeight="1" x14ac:dyDescent="0.2">
      <c r="A21" s="287" t="s">
        <v>985</v>
      </c>
      <c r="B21" s="71" t="s">
        <v>1830</v>
      </c>
      <c r="C21" s="625"/>
      <c r="D21" s="71"/>
      <c r="E21" s="71" t="s">
        <v>1920</v>
      </c>
      <c r="F21" s="472">
        <v>1</v>
      </c>
      <c r="G21" s="477"/>
      <c r="H21" s="444" t="s">
        <v>2217</v>
      </c>
    </row>
    <row r="22" spans="1:10" ht="15" customHeight="1" x14ac:dyDescent="0.2">
      <c r="A22" s="287" t="s">
        <v>1244</v>
      </c>
      <c r="B22" s="71" t="s">
        <v>1831</v>
      </c>
      <c r="C22" s="625"/>
      <c r="D22" s="71"/>
      <c r="E22" s="71" t="s">
        <v>1920</v>
      </c>
      <c r="F22" s="472">
        <v>1</v>
      </c>
      <c r="G22" s="477"/>
      <c r="H22" s="444"/>
      <c r="J22" s="117" t="s">
        <v>1729</v>
      </c>
    </row>
    <row r="23" spans="1:10" x14ac:dyDescent="0.2">
      <c r="A23" s="288" t="s">
        <v>3191</v>
      </c>
      <c r="B23" s="71" t="s">
        <v>3089</v>
      </c>
      <c r="C23" s="625"/>
      <c r="D23" s="71"/>
      <c r="E23" s="71">
        <v>55719</v>
      </c>
      <c r="F23" s="473">
        <v>1</v>
      </c>
      <c r="G23" s="454"/>
      <c r="H23" s="444"/>
      <c r="J23" s="117" t="s">
        <v>2217</v>
      </c>
    </row>
    <row r="24" spans="1:10" ht="15" customHeight="1" x14ac:dyDescent="0.2">
      <c r="A24" s="287" t="s">
        <v>39</v>
      </c>
      <c r="B24" s="71" t="s">
        <v>245</v>
      </c>
      <c r="C24" s="625"/>
      <c r="D24" s="71"/>
      <c r="E24" s="71" t="s">
        <v>1920</v>
      </c>
      <c r="F24" s="472">
        <v>1</v>
      </c>
      <c r="G24" s="477"/>
      <c r="H24" s="444"/>
    </row>
    <row r="25" spans="1:10" x14ac:dyDescent="0.2">
      <c r="A25" s="287" t="s">
        <v>6</v>
      </c>
      <c r="B25" s="71" t="s">
        <v>91</v>
      </c>
      <c r="C25" s="625"/>
      <c r="D25" s="71"/>
      <c r="E25" s="71" t="s">
        <v>1920</v>
      </c>
      <c r="F25" s="472">
        <v>1</v>
      </c>
      <c r="G25" s="477"/>
      <c r="H25" s="444"/>
    </row>
    <row r="26" spans="1:10" ht="15" customHeight="1" x14ac:dyDescent="0.2">
      <c r="A26" s="287" t="s">
        <v>1372</v>
      </c>
      <c r="B26" s="71" t="s">
        <v>1100</v>
      </c>
      <c r="C26" s="625"/>
      <c r="D26" s="71"/>
      <c r="E26" s="71" t="s">
        <v>1920</v>
      </c>
      <c r="F26" s="472">
        <v>1</v>
      </c>
      <c r="G26" s="477"/>
      <c r="H26" s="444"/>
    </row>
    <row r="27" spans="1:10" ht="15" customHeight="1" x14ac:dyDescent="0.2">
      <c r="A27" s="287" t="s">
        <v>1379</v>
      </c>
      <c r="B27" s="71" t="s">
        <v>63</v>
      </c>
      <c r="C27" s="625"/>
      <c r="D27" s="71"/>
      <c r="E27" s="71" t="s">
        <v>1920</v>
      </c>
      <c r="F27" s="472">
        <v>1</v>
      </c>
      <c r="G27" s="478"/>
      <c r="H27" s="444"/>
    </row>
    <row r="28" spans="1:10" ht="18" x14ac:dyDescent="0.2">
      <c r="A28" s="289" t="s">
        <v>3120</v>
      </c>
      <c r="B28" s="252" t="s">
        <v>3119</v>
      </c>
      <c r="C28" s="625"/>
      <c r="D28" s="244"/>
      <c r="E28" s="244" t="s">
        <v>1928</v>
      </c>
      <c r="F28" s="474">
        <v>1</v>
      </c>
      <c r="G28" s="479"/>
      <c r="H28" s="444"/>
    </row>
    <row r="29" spans="1:10" x14ac:dyDescent="0.2">
      <c r="A29" s="287" t="s">
        <v>180</v>
      </c>
      <c r="B29" s="71" t="s">
        <v>479</v>
      </c>
      <c r="C29" s="625"/>
      <c r="D29" s="71"/>
      <c r="E29" s="71" t="s">
        <v>1920</v>
      </c>
      <c r="F29" s="472">
        <v>1</v>
      </c>
      <c r="G29" s="478"/>
      <c r="H29" s="444"/>
    </row>
    <row r="30" spans="1:10" x14ac:dyDescent="0.2">
      <c r="A30" s="289" t="s">
        <v>3258</v>
      </c>
      <c r="B30" s="71" t="s">
        <v>561</v>
      </c>
      <c r="C30" s="625"/>
      <c r="D30" s="71"/>
      <c r="E30" s="71" t="s">
        <v>1920</v>
      </c>
      <c r="F30" s="472">
        <v>1</v>
      </c>
      <c r="G30" s="478"/>
      <c r="H30" s="444"/>
    </row>
    <row r="31" spans="1:10" ht="15" customHeight="1" x14ac:dyDescent="0.2">
      <c r="A31" s="289" t="s">
        <v>3257</v>
      </c>
      <c r="B31" s="314" t="s">
        <v>888</v>
      </c>
      <c r="C31" s="625"/>
      <c r="D31" s="314"/>
      <c r="E31" s="314" t="s">
        <v>1920</v>
      </c>
      <c r="F31" s="472">
        <v>1</v>
      </c>
      <c r="G31" s="478"/>
      <c r="H31" s="444"/>
    </row>
    <row r="32" spans="1:10" x14ac:dyDescent="0.2">
      <c r="A32" s="396" t="s">
        <v>1273</v>
      </c>
      <c r="B32" s="356" t="s">
        <v>993</v>
      </c>
      <c r="C32" s="625"/>
      <c r="D32" s="356"/>
      <c r="E32" s="356" t="s">
        <v>1938</v>
      </c>
      <c r="F32" s="471">
        <v>1</v>
      </c>
      <c r="G32" s="476" t="s">
        <v>2217</v>
      </c>
      <c r="H32" s="444"/>
    </row>
    <row r="33" spans="1:8" x14ac:dyDescent="0.2">
      <c r="A33" s="287" t="s">
        <v>2857</v>
      </c>
      <c r="B33" s="314" t="s">
        <v>2850</v>
      </c>
      <c r="C33" s="625"/>
      <c r="D33" s="314"/>
      <c r="E33" s="314" t="s">
        <v>1928</v>
      </c>
      <c r="F33" s="472">
        <v>1</v>
      </c>
      <c r="G33" s="478" t="s">
        <v>2217</v>
      </c>
      <c r="H33" s="444"/>
    </row>
    <row r="34" spans="1:8" x14ac:dyDescent="0.2">
      <c r="A34" s="287" t="s">
        <v>2231</v>
      </c>
      <c r="B34" s="314" t="s">
        <v>357</v>
      </c>
      <c r="C34" s="625"/>
      <c r="D34" s="314"/>
      <c r="E34" s="314" t="s">
        <v>1920</v>
      </c>
      <c r="F34" s="472">
        <v>1</v>
      </c>
      <c r="G34" s="477"/>
      <c r="H34" s="444"/>
    </row>
    <row r="35" spans="1:8" x14ac:dyDescent="0.2">
      <c r="A35" s="287" t="s">
        <v>1186</v>
      </c>
      <c r="B35" s="314" t="s">
        <v>328</v>
      </c>
      <c r="C35" s="625"/>
      <c r="D35" s="314"/>
      <c r="E35" s="314" t="s">
        <v>1920</v>
      </c>
      <c r="F35" s="472">
        <v>1</v>
      </c>
      <c r="G35" s="477"/>
      <c r="H35" s="444"/>
    </row>
    <row r="36" spans="1:8" x14ac:dyDescent="0.2">
      <c r="A36" s="287" t="s">
        <v>1180</v>
      </c>
      <c r="B36" s="314" t="s">
        <v>359</v>
      </c>
      <c r="C36" s="625"/>
      <c r="D36" s="314"/>
      <c r="E36" s="314" t="s">
        <v>1920</v>
      </c>
      <c r="F36" s="472">
        <v>1</v>
      </c>
      <c r="G36" s="477"/>
      <c r="H36" s="444"/>
    </row>
    <row r="37" spans="1:8" ht="15" customHeight="1" x14ac:dyDescent="0.2">
      <c r="A37" s="287" t="s">
        <v>1187</v>
      </c>
      <c r="B37" s="314" t="s">
        <v>360</v>
      </c>
      <c r="C37" s="625"/>
      <c r="D37" s="314"/>
      <c r="E37" s="314" t="s">
        <v>1920</v>
      </c>
      <c r="F37" s="472">
        <v>1</v>
      </c>
      <c r="G37" s="477"/>
      <c r="H37" s="444"/>
    </row>
    <row r="38" spans="1:8" x14ac:dyDescent="0.2">
      <c r="A38" s="287" t="s">
        <v>1258</v>
      </c>
      <c r="B38" s="314" t="s">
        <v>544</v>
      </c>
      <c r="C38" s="625"/>
      <c r="D38" s="314"/>
      <c r="E38" s="314" t="s">
        <v>1920</v>
      </c>
      <c r="F38" s="472">
        <v>1</v>
      </c>
      <c r="G38" s="477"/>
      <c r="H38" s="444"/>
    </row>
    <row r="39" spans="1:8" x14ac:dyDescent="0.2">
      <c r="A39" s="287" t="s">
        <v>1185</v>
      </c>
      <c r="B39" s="71" t="s">
        <v>330</v>
      </c>
      <c r="C39" s="625"/>
      <c r="D39" s="71"/>
      <c r="E39" s="71" t="s">
        <v>1920</v>
      </c>
      <c r="F39" s="472">
        <v>1</v>
      </c>
      <c r="G39" s="477"/>
      <c r="H39" s="444"/>
    </row>
    <row r="40" spans="1:8" x14ac:dyDescent="0.2">
      <c r="A40" s="287" t="s">
        <v>1181</v>
      </c>
      <c r="B40" s="71" t="s">
        <v>199</v>
      </c>
      <c r="C40" s="625"/>
      <c r="D40" s="71"/>
      <c r="E40" s="71" t="s">
        <v>1920</v>
      </c>
      <c r="F40" s="472">
        <v>1</v>
      </c>
      <c r="G40" s="477"/>
      <c r="H40" s="444"/>
    </row>
    <row r="41" spans="1:8" x14ac:dyDescent="0.2">
      <c r="A41" s="287" t="s">
        <v>1054</v>
      </c>
      <c r="B41" s="71" t="s">
        <v>326</v>
      </c>
      <c r="C41" s="625"/>
      <c r="D41" s="71"/>
      <c r="E41" s="71" t="s">
        <v>1920</v>
      </c>
      <c r="F41" s="472">
        <v>1</v>
      </c>
      <c r="G41" s="477"/>
      <c r="H41" s="444"/>
    </row>
    <row r="42" spans="1:8" x14ac:dyDescent="0.2">
      <c r="A42" s="287" t="s">
        <v>2230</v>
      </c>
      <c r="B42" s="71" t="s">
        <v>325</v>
      </c>
      <c r="C42" s="625"/>
      <c r="D42" s="71"/>
      <c r="E42" s="71" t="s">
        <v>1920</v>
      </c>
      <c r="F42" s="472">
        <v>1</v>
      </c>
      <c r="G42" s="477"/>
      <c r="H42" s="444"/>
    </row>
    <row r="43" spans="1:8" x14ac:dyDescent="0.2">
      <c r="A43" s="287" t="s">
        <v>2897</v>
      </c>
      <c r="B43" s="71" t="s">
        <v>324</v>
      </c>
      <c r="C43" s="625"/>
      <c r="D43" s="71"/>
      <c r="E43" s="71" t="s">
        <v>1920</v>
      </c>
      <c r="F43" s="472">
        <v>1</v>
      </c>
      <c r="G43" s="477"/>
      <c r="H43" s="444"/>
    </row>
    <row r="44" spans="1:8" x14ac:dyDescent="0.2">
      <c r="A44" s="288" t="s">
        <v>2559</v>
      </c>
      <c r="B44" s="71" t="s">
        <v>2392</v>
      </c>
      <c r="C44" s="625"/>
      <c r="D44" s="71"/>
      <c r="E44" s="71">
        <v>55719</v>
      </c>
      <c r="F44" s="473">
        <v>1</v>
      </c>
      <c r="G44" s="454"/>
      <c r="H44" s="444"/>
    </row>
    <row r="45" spans="1:8" x14ac:dyDescent="0.2">
      <c r="A45" s="287" t="s">
        <v>852</v>
      </c>
      <c r="B45" s="71" t="s">
        <v>545</v>
      </c>
      <c r="C45" s="625"/>
      <c r="D45" s="71"/>
      <c r="E45" s="71" t="s">
        <v>1920</v>
      </c>
      <c r="F45" s="472">
        <v>1</v>
      </c>
      <c r="G45" s="477"/>
      <c r="H45" s="444"/>
    </row>
    <row r="46" spans="1:8" x14ac:dyDescent="0.2">
      <c r="A46" s="287" t="s">
        <v>1189</v>
      </c>
      <c r="B46" s="71" t="s">
        <v>356</v>
      </c>
      <c r="C46" s="625"/>
      <c r="D46" s="71"/>
      <c r="E46" s="71" t="s">
        <v>1920</v>
      </c>
      <c r="F46" s="472">
        <v>1</v>
      </c>
      <c r="G46" s="477"/>
      <c r="H46" s="444"/>
    </row>
    <row r="47" spans="1:8" x14ac:dyDescent="0.2">
      <c r="A47" s="287" t="s">
        <v>1055</v>
      </c>
      <c r="B47" s="71" t="s">
        <v>347</v>
      </c>
      <c r="C47" s="625"/>
      <c r="D47" s="71"/>
      <c r="E47" s="71" t="s">
        <v>1920</v>
      </c>
      <c r="F47" s="472">
        <v>1</v>
      </c>
      <c r="G47" s="477"/>
      <c r="H47" s="444"/>
    </row>
    <row r="48" spans="1:8" x14ac:dyDescent="0.2">
      <c r="A48" s="287" t="s">
        <v>2161</v>
      </c>
      <c r="B48" s="71" t="s">
        <v>348</v>
      </c>
      <c r="C48" s="625"/>
      <c r="D48" s="71"/>
      <c r="E48" s="71" t="s">
        <v>1920</v>
      </c>
      <c r="F48" s="472">
        <v>1</v>
      </c>
      <c r="G48" s="477" t="s">
        <v>2217</v>
      </c>
      <c r="H48" s="444"/>
    </row>
    <row r="49" spans="1:8" x14ac:dyDescent="0.2">
      <c r="A49" s="287" t="s">
        <v>14</v>
      </c>
      <c r="B49" s="71" t="s">
        <v>472</v>
      </c>
      <c r="C49" s="625"/>
      <c r="D49" s="71"/>
      <c r="E49" s="71" t="s">
        <v>1971</v>
      </c>
      <c r="F49" s="472">
        <v>2</v>
      </c>
      <c r="G49" s="477"/>
      <c r="H49" s="444"/>
    </row>
    <row r="50" spans="1:8" x14ac:dyDescent="0.2">
      <c r="A50" s="287" t="s">
        <v>1040</v>
      </c>
      <c r="B50" s="71" t="s">
        <v>274</v>
      </c>
      <c r="C50" s="625"/>
      <c r="D50" s="71"/>
      <c r="E50" s="71" t="s">
        <v>1920</v>
      </c>
      <c r="F50" s="472">
        <v>1</v>
      </c>
      <c r="G50" s="477"/>
      <c r="H50" s="444"/>
    </row>
    <row r="51" spans="1:8" ht="15" customHeight="1" x14ac:dyDescent="0.2">
      <c r="A51" s="287" t="s">
        <v>3199</v>
      </c>
      <c r="B51" s="71" t="s">
        <v>253</v>
      </c>
      <c r="C51" s="625"/>
      <c r="D51" s="71"/>
      <c r="E51" s="71" t="s">
        <v>1920</v>
      </c>
      <c r="F51" s="472">
        <v>1</v>
      </c>
      <c r="G51" s="477"/>
      <c r="H51" s="444"/>
    </row>
    <row r="52" spans="1:8" ht="15" customHeight="1" x14ac:dyDescent="0.2">
      <c r="A52" s="287" t="s">
        <v>3198</v>
      </c>
      <c r="B52" s="71" t="s">
        <v>255</v>
      </c>
      <c r="C52" s="625"/>
      <c r="D52" s="71"/>
      <c r="E52" s="71" t="s">
        <v>1920</v>
      </c>
      <c r="F52" s="472">
        <v>1</v>
      </c>
      <c r="G52" s="477"/>
      <c r="H52" s="444"/>
    </row>
    <row r="53" spans="1:8" x14ac:dyDescent="0.2">
      <c r="A53" s="287" t="s">
        <v>1079</v>
      </c>
      <c r="B53" s="71" t="s">
        <v>487</v>
      </c>
      <c r="C53" s="625"/>
      <c r="D53" s="71"/>
      <c r="E53" s="71" t="s">
        <v>1920</v>
      </c>
      <c r="F53" s="472">
        <v>1</v>
      </c>
      <c r="G53" s="477"/>
      <c r="H53" s="444"/>
    </row>
    <row r="54" spans="1:8" x14ac:dyDescent="0.2">
      <c r="A54" s="287" t="s">
        <v>3115</v>
      </c>
      <c r="B54" s="71" t="s">
        <v>2226</v>
      </c>
      <c r="C54" s="625"/>
      <c r="D54" s="71"/>
      <c r="E54" s="71" t="s">
        <v>1920</v>
      </c>
      <c r="F54" s="472">
        <v>2</v>
      </c>
      <c r="G54" s="477"/>
      <c r="H54" s="444"/>
    </row>
    <row r="55" spans="1:8" x14ac:dyDescent="0.2">
      <c r="A55" s="287" t="s">
        <v>1275</v>
      </c>
      <c r="B55" s="71" t="s">
        <v>478</v>
      </c>
      <c r="C55" s="625"/>
      <c r="D55" s="71"/>
      <c r="E55" s="71" t="s">
        <v>1920</v>
      </c>
      <c r="F55" s="472">
        <v>1</v>
      </c>
      <c r="G55" s="477"/>
      <c r="H55" s="444"/>
    </row>
    <row r="56" spans="1:8" ht="15" customHeight="1" x14ac:dyDescent="0.2">
      <c r="A56" s="287" t="s">
        <v>1253</v>
      </c>
      <c r="B56" s="71" t="s">
        <v>315</v>
      </c>
      <c r="C56" s="625"/>
      <c r="D56" s="71"/>
      <c r="E56" s="71" t="s">
        <v>1920</v>
      </c>
      <c r="F56" s="472">
        <v>1</v>
      </c>
      <c r="G56" s="477"/>
      <c r="H56" s="444"/>
    </row>
    <row r="57" spans="1:8" x14ac:dyDescent="0.2">
      <c r="A57" s="287" t="s">
        <v>1175</v>
      </c>
      <c r="B57" s="71" t="s">
        <v>310</v>
      </c>
      <c r="C57" s="625"/>
      <c r="D57" s="71"/>
      <c r="E57" s="71" t="s">
        <v>1920</v>
      </c>
      <c r="F57" s="472">
        <v>1</v>
      </c>
      <c r="G57" s="477"/>
      <c r="H57" s="444"/>
    </row>
    <row r="58" spans="1:8" ht="15" customHeight="1" x14ac:dyDescent="0.2">
      <c r="A58" s="287" t="s">
        <v>68</v>
      </c>
      <c r="B58" s="71" t="s">
        <v>536</v>
      </c>
      <c r="C58" s="625"/>
      <c r="D58" s="71"/>
      <c r="E58" s="71" t="s">
        <v>1920</v>
      </c>
      <c r="F58" s="472">
        <v>1</v>
      </c>
      <c r="G58" s="477"/>
      <c r="H58" s="444"/>
    </row>
    <row r="59" spans="1:8" ht="15" customHeight="1" x14ac:dyDescent="0.2">
      <c r="A59" s="287" t="s">
        <v>1286</v>
      </c>
      <c r="B59" s="71" t="s">
        <v>482</v>
      </c>
      <c r="C59" s="625"/>
      <c r="D59" s="71"/>
      <c r="E59" s="71" t="s">
        <v>1920</v>
      </c>
      <c r="F59" s="472">
        <v>1</v>
      </c>
      <c r="G59" s="477"/>
      <c r="H59" s="444"/>
    </row>
    <row r="60" spans="1:8" ht="15" customHeight="1" x14ac:dyDescent="0.2">
      <c r="A60" s="287" t="s">
        <v>410</v>
      </c>
      <c r="B60" s="71" t="s">
        <v>483</v>
      </c>
      <c r="C60" s="625"/>
      <c r="D60" s="71"/>
      <c r="E60" s="71" t="s">
        <v>1920</v>
      </c>
      <c r="F60" s="472">
        <v>1</v>
      </c>
      <c r="G60" s="477"/>
      <c r="H60" s="444"/>
    </row>
    <row r="61" spans="1:8" ht="15" customHeight="1" x14ac:dyDescent="0.2">
      <c r="A61" s="287" t="s">
        <v>1426</v>
      </c>
      <c r="B61" s="71" t="s">
        <v>534</v>
      </c>
      <c r="C61" s="625"/>
      <c r="D61" s="71"/>
      <c r="E61" s="71" t="s">
        <v>1920</v>
      </c>
      <c r="F61" s="472">
        <v>1</v>
      </c>
      <c r="G61" s="477"/>
      <c r="H61" s="444"/>
    </row>
    <row r="62" spans="1:8" ht="15" customHeight="1" x14ac:dyDescent="0.2">
      <c r="A62" s="287" t="s">
        <v>2133</v>
      </c>
      <c r="B62" s="71" t="s">
        <v>2909</v>
      </c>
      <c r="C62" s="625"/>
      <c r="D62" s="71"/>
      <c r="E62" s="71">
        <v>56654</v>
      </c>
      <c r="F62" s="472">
        <v>1</v>
      </c>
      <c r="G62" s="477"/>
      <c r="H62" s="444"/>
    </row>
    <row r="63" spans="1:8" ht="15" customHeight="1" x14ac:dyDescent="0.2">
      <c r="A63" s="287" t="s">
        <v>1123</v>
      </c>
      <c r="B63" s="71">
        <v>8130010</v>
      </c>
      <c r="C63" s="625"/>
      <c r="D63" s="71"/>
      <c r="E63" s="71" t="s">
        <v>1975</v>
      </c>
      <c r="F63" s="472">
        <v>1</v>
      </c>
      <c r="G63" s="477"/>
      <c r="H63" s="444"/>
    </row>
    <row r="64" spans="1:8" ht="15" customHeight="1" x14ac:dyDescent="0.2">
      <c r="A64" s="287" t="s">
        <v>1124</v>
      </c>
      <c r="B64" s="71">
        <v>8130015</v>
      </c>
      <c r="C64" s="625"/>
      <c r="D64" s="71"/>
      <c r="E64" s="71" t="s">
        <v>1975</v>
      </c>
      <c r="F64" s="472">
        <v>2</v>
      </c>
      <c r="G64" s="477"/>
      <c r="H64" s="444"/>
    </row>
    <row r="65" spans="1:8" ht="15" customHeight="1" x14ac:dyDescent="0.2">
      <c r="A65" s="287" t="s">
        <v>1125</v>
      </c>
      <c r="B65" s="71">
        <v>8130020</v>
      </c>
      <c r="C65" s="625"/>
      <c r="D65" s="71"/>
      <c r="E65" s="71" t="s">
        <v>1975</v>
      </c>
      <c r="F65" s="472">
        <v>2</v>
      </c>
      <c r="G65" s="477"/>
      <c r="H65" s="444"/>
    </row>
    <row r="66" spans="1:8" x14ac:dyDescent="0.2">
      <c r="A66" s="287" t="s">
        <v>1127</v>
      </c>
      <c r="B66" s="71">
        <v>8130030</v>
      </c>
      <c r="C66" s="625"/>
      <c r="D66" s="71"/>
      <c r="E66" s="71" t="s">
        <v>1975</v>
      </c>
      <c r="F66" s="472">
        <v>2</v>
      </c>
      <c r="G66" s="477"/>
      <c r="H66" s="444"/>
    </row>
    <row r="67" spans="1:8" ht="15" customHeight="1" x14ac:dyDescent="0.2">
      <c r="A67" s="287" t="s">
        <v>1128</v>
      </c>
      <c r="B67" s="71">
        <v>8130040</v>
      </c>
      <c r="C67" s="625"/>
      <c r="D67" s="71"/>
      <c r="E67" s="71" t="s">
        <v>1975</v>
      </c>
      <c r="F67" s="472">
        <v>2</v>
      </c>
      <c r="G67" s="477"/>
      <c r="H67" s="444"/>
    </row>
    <row r="68" spans="1:8" ht="15" customHeight="1" x14ac:dyDescent="0.2">
      <c r="A68" s="287" t="s">
        <v>1697</v>
      </c>
      <c r="B68" s="71" t="s">
        <v>3075</v>
      </c>
      <c r="C68" s="625"/>
      <c r="D68" s="71"/>
      <c r="E68" s="71" t="s">
        <v>1975</v>
      </c>
      <c r="F68" s="472">
        <v>1</v>
      </c>
      <c r="G68" s="477"/>
      <c r="H68" s="444"/>
    </row>
    <row r="69" spans="1:8" x14ac:dyDescent="0.2">
      <c r="A69" s="287" t="s">
        <v>105</v>
      </c>
      <c r="B69" s="71" t="s">
        <v>2118</v>
      </c>
      <c r="C69" s="625"/>
      <c r="D69" s="71"/>
      <c r="E69" s="71" t="s">
        <v>1920</v>
      </c>
      <c r="F69" s="472">
        <v>3</v>
      </c>
      <c r="G69" s="477"/>
      <c r="H69" s="444"/>
    </row>
    <row r="70" spans="1:8" ht="15" customHeight="1" x14ac:dyDescent="0.2">
      <c r="A70" s="287" t="s">
        <v>1156</v>
      </c>
      <c r="B70" s="71" t="s">
        <v>2117</v>
      </c>
      <c r="C70" s="625"/>
      <c r="D70" s="71"/>
      <c r="E70" s="71" t="s">
        <v>1920</v>
      </c>
      <c r="F70" s="472">
        <v>4</v>
      </c>
      <c r="G70" s="477"/>
      <c r="H70" s="444"/>
    </row>
    <row r="71" spans="1:8" ht="15" customHeight="1" x14ac:dyDescent="0.2">
      <c r="A71" s="287" t="s">
        <v>1229</v>
      </c>
      <c r="B71" s="71" t="s">
        <v>303</v>
      </c>
      <c r="C71" s="625"/>
      <c r="D71" s="71"/>
      <c r="E71" s="71" t="s">
        <v>1920</v>
      </c>
      <c r="F71" s="472">
        <v>1</v>
      </c>
      <c r="G71" s="477" t="s">
        <v>2217</v>
      </c>
      <c r="H71" s="444"/>
    </row>
    <row r="72" spans="1:8" x14ac:dyDescent="0.2">
      <c r="A72" s="287" t="s">
        <v>1167</v>
      </c>
      <c r="B72" s="71" t="s">
        <v>296</v>
      </c>
      <c r="C72" s="625"/>
      <c r="D72" s="71"/>
      <c r="E72" s="71" t="s">
        <v>1920</v>
      </c>
      <c r="F72" s="472">
        <v>1</v>
      </c>
      <c r="G72" s="477"/>
      <c r="H72" s="444"/>
    </row>
    <row r="73" spans="1:8" x14ac:dyDescent="0.2">
      <c r="A73" s="287" t="s">
        <v>1085</v>
      </c>
      <c r="B73" s="71" t="s">
        <v>92</v>
      </c>
      <c r="C73" s="625"/>
      <c r="D73" s="71"/>
      <c r="E73" s="71" t="s">
        <v>1920</v>
      </c>
      <c r="F73" s="472">
        <v>2</v>
      </c>
      <c r="G73" s="477"/>
      <c r="H73" s="444"/>
    </row>
    <row r="74" spans="1:8" x14ac:dyDescent="0.2">
      <c r="A74" s="287" t="s">
        <v>30</v>
      </c>
      <c r="B74" s="71" t="s">
        <v>1825</v>
      </c>
      <c r="C74" s="625"/>
      <c r="D74" s="71"/>
      <c r="E74" s="71" t="s">
        <v>1920</v>
      </c>
      <c r="F74" s="472">
        <v>1</v>
      </c>
      <c r="G74" s="477"/>
      <c r="H74" s="444"/>
    </row>
    <row r="75" spans="1:8" ht="15" customHeight="1" x14ac:dyDescent="0.2">
      <c r="A75" s="287" t="s">
        <v>29</v>
      </c>
      <c r="B75" s="71" t="s">
        <v>2758</v>
      </c>
      <c r="C75" s="625"/>
      <c r="D75" s="71"/>
      <c r="E75" s="71" t="s">
        <v>1920</v>
      </c>
      <c r="F75" s="472">
        <v>1</v>
      </c>
      <c r="G75" s="477"/>
      <c r="H75" s="444"/>
    </row>
    <row r="76" spans="1:8" x14ac:dyDescent="0.2">
      <c r="A76" s="287" t="s">
        <v>2760</v>
      </c>
      <c r="B76" s="71" t="s">
        <v>532</v>
      </c>
      <c r="C76" s="625"/>
      <c r="D76" s="71"/>
      <c r="E76" s="71" t="s">
        <v>1920</v>
      </c>
      <c r="F76" s="472">
        <v>1</v>
      </c>
      <c r="G76" s="477"/>
      <c r="H76" s="444"/>
    </row>
    <row r="77" spans="1:8" x14ac:dyDescent="0.2">
      <c r="A77" s="287" t="s">
        <v>1333</v>
      </c>
      <c r="B77" s="71" t="s">
        <v>65</v>
      </c>
      <c r="C77" s="625"/>
      <c r="D77" s="71"/>
      <c r="E77" s="71" t="s">
        <v>1920</v>
      </c>
      <c r="F77" s="472">
        <v>1</v>
      </c>
      <c r="G77" s="477"/>
      <c r="H77" s="444"/>
    </row>
    <row r="78" spans="1:8" x14ac:dyDescent="0.2">
      <c r="A78" s="287" t="s">
        <v>1335</v>
      </c>
      <c r="B78" s="71" t="s">
        <v>540</v>
      </c>
      <c r="C78" s="625"/>
      <c r="D78" s="71"/>
      <c r="E78" s="71" t="s">
        <v>1920</v>
      </c>
      <c r="F78" s="472">
        <v>1</v>
      </c>
      <c r="G78" s="477"/>
      <c r="H78" s="444"/>
    </row>
    <row r="79" spans="1:8" x14ac:dyDescent="0.2">
      <c r="A79" s="287" t="s">
        <v>1336</v>
      </c>
      <c r="B79" s="71" t="s">
        <v>537</v>
      </c>
      <c r="C79" s="625"/>
      <c r="D79" s="71"/>
      <c r="E79" s="71" t="s">
        <v>1920</v>
      </c>
      <c r="F79" s="472">
        <v>1</v>
      </c>
      <c r="G79" s="477"/>
      <c r="H79" s="444"/>
    </row>
    <row r="80" spans="1:8" ht="15" customHeight="1" x14ac:dyDescent="0.2">
      <c r="A80" s="287" t="s">
        <v>1086</v>
      </c>
      <c r="B80" s="71" t="s">
        <v>70</v>
      </c>
      <c r="C80" s="625"/>
      <c r="D80" s="71"/>
      <c r="E80" s="71" t="s">
        <v>1920</v>
      </c>
      <c r="F80" s="472">
        <v>1</v>
      </c>
      <c r="G80" s="477"/>
      <c r="H80" s="444"/>
    </row>
    <row r="81" spans="1:8" x14ac:dyDescent="0.2">
      <c r="A81" s="287" t="s">
        <v>1087</v>
      </c>
      <c r="B81" s="71" t="s">
        <v>484</v>
      </c>
      <c r="C81" s="625"/>
      <c r="D81" s="71"/>
      <c r="E81" s="71" t="s">
        <v>1920</v>
      </c>
      <c r="F81" s="472">
        <v>1</v>
      </c>
      <c r="G81" s="477"/>
      <c r="H81" s="444"/>
    </row>
    <row r="82" spans="1:8" x14ac:dyDescent="0.2">
      <c r="A82" s="287" t="s">
        <v>1337</v>
      </c>
      <c r="B82" s="71" t="s">
        <v>519</v>
      </c>
      <c r="C82" s="625"/>
      <c r="D82" s="71"/>
      <c r="E82" s="71" t="s">
        <v>1920</v>
      </c>
      <c r="F82" s="472">
        <v>1</v>
      </c>
      <c r="G82" s="477"/>
      <c r="H82" s="444"/>
    </row>
    <row r="83" spans="1:8" ht="15" customHeight="1" x14ac:dyDescent="0.2">
      <c r="A83" s="287" t="s">
        <v>1985</v>
      </c>
      <c r="B83" s="71" t="s">
        <v>1986</v>
      </c>
      <c r="C83" s="625"/>
      <c r="D83" s="71"/>
      <c r="E83" s="71" t="s">
        <v>1920</v>
      </c>
      <c r="F83" s="472">
        <v>1</v>
      </c>
      <c r="G83" s="477"/>
      <c r="H83" s="444"/>
    </row>
    <row r="84" spans="1:8" x14ac:dyDescent="0.2">
      <c r="A84" s="287" t="s">
        <v>1088</v>
      </c>
      <c r="B84" s="71" t="s">
        <v>485</v>
      </c>
      <c r="C84" s="625"/>
      <c r="D84" s="71"/>
      <c r="E84" s="71" t="s">
        <v>1920</v>
      </c>
      <c r="F84" s="472">
        <v>1</v>
      </c>
      <c r="G84" s="477" t="s">
        <v>2217</v>
      </c>
      <c r="H84" s="444"/>
    </row>
    <row r="85" spans="1:8" x14ac:dyDescent="0.2">
      <c r="A85" s="287" t="s">
        <v>1339</v>
      </c>
      <c r="B85" s="71" t="s">
        <v>88</v>
      </c>
      <c r="C85" s="625"/>
      <c r="D85" s="71"/>
      <c r="E85" s="71" t="s">
        <v>1920</v>
      </c>
      <c r="F85" s="472">
        <v>1</v>
      </c>
      <c r="G85" s="477"/>
      <c r="H85" s="444"/>
    </row>
    <row r="86" spans="1:8" ht="15" customHeight="1" x14ac:dyDescent="0.2">
      <c r="A86" s="287" t="s">
        <v>1089</v>
      </c>
      <c r="B86" s="71" t="s">
        <v>486</v>
      </c>
      <c r="C86" s="625"/>
      <c r="D86" s="71"/>
      <c r="E86" s="71" t="s">
        <v>1920</v>
      </c>
      <c r="F86" s="472">
        <v>1</v>
      </c>
      <c r="G86" s="477"/>
      <c r="H86" s="444"/>
    </row>
    <row r="87" spans="1:8" x14ac:dyDescent="0.2">
      <c r="A87" s="287" t="s">
        <v>1289</v>
      </c>
      <c r="B87" s="71" t="s">
        <v>940</v>
      </c>
      <c r="C87" s="625"/>
      <c r="D87" s="71"/>
      <c r="E87" s="71" t="s">
        <v>1920</v>
      </c>
      <c r="F87" s="472">
        <v>1</v>
      </c>
      <c r="G87" s="477" t="s">
        <v>2217</v>
      </c>
      <c r="H87" s="444"/>
    </row>
    <row r="88" spans="1:8" ht="15.75" customHeight="1" x14ac:dyDescent="0.2">
      <c r="A88" s="287" t="s">
        <v>1236</v>
      </c>
      <c r="B88" s="71" t="s">
        <v>77</v>
      </c>
      <c r="C88" s="625"/>
      <c r="D88" s="71"/>
      <c r="E88" s="71" t="s">
        <v>1920</v>
      </c>
      <c r="F88" s="472">
        <v>2</v>
      </c>
      <c r="G88" s="477"/>
      <c r="H88" s="444"/>
    </row>
    <row r="89" spans="1:8" ht="15.75" customHeight="1" x14ac:dyDescent="0.2">
      <c r="A89" s="287" t="s">
        <v>1235</v>
      </c>
      <c r="B89" s="71" t="s">
        <v>78</v>
      </c>
      <c r="C89" s="625"/>
      <c r="D89" s="71"/>
      <c r="E89" s="71" t="s">
        <v>1920</v>
      </c>
      <c r="F89" s="472">
        <v>1</v>
      </c>
      <c r="G89" s="477"/>
      <c r="H89" s="444"/>
    </row>
    <row r="90" spans="1:8" ht="15.75" customHeight="1" x14ac:dyDescent="0.2">
      <c r="A90" s="287" t="s">
        <v>1237</v>
      </c>
      <c r="B90" s="71" t="s">
        <v>306</v>
      </c>
      <c r="C90" s="625"/>
      <c r="D90" s="71"/>
      <c r="E90" s="71" t="s">
        <v>1920</v>
      </c>
      <c r="F90" s="472">
        <v>1</v>
      </c>
      <c r="G90" s="477"/>
      <c r="H90" s="444"/>
    </row>
    <row r="91" spans="1:8" ht="15.75" customHeight="1" x14ac:dyDescent="0.2">
      <c r="A91" s="287" t="s">
        <v>1345</v>
      </c>
      <c r="B91" s="71" t="s">
        <v>79</v>
      </c>
      <c r="C91" s="625"/>
      <c r="D91" s="71"/>
      <c r="E91" s="71" t="s">
        <v>1920</v>
      </c>
      <c r="F91" s="472">
        <v>1</v>
      </c>
      <c r="G91" s="477"/>
      <c r="H91" s="444"/>
    </row>
    <row r="92" spans="1:8" ht="15.75" customHeight="1" x14ac:dyDescent="0.2">
      <c r="A92" s="287" t="s">
        <v>1238</v>
      </c>
      <c r="B92" s="71" t="s">
        <v>75</v>
      </c>
      <c r="C92" s="625"/>
      <c r="D92" s="71"/>
      <c r="E92" s="71" t="s">
        <v>1920</v>
      </c>
      <c r="F92" s="472">
        <v>1</v>
      </c>
      <c r="G92" s="477"/>
      <c r="H92" s="444"/>
    </row>
    <row r="93" spans="1:8" ht="15.75" customHeight="1" x14ac:dyDescent="0.2">
      <c r="A93" s="287" t="s">
        <v>1232</v>
      </c>
      <c r="B93" s="71" t="s">
        <v>76</v>
      </c>
      <c r="C93" s="625"/>
      <c r="D93" s="71"/>
      <c r="E93" s="71" t="s">
        <v>1920</v>
      </c>
      <c r="F93" s="472">
        <v>1</v>
      </c>
      <c r="G93" s="477"/>
      <c r="H93" s="444"/>
    </row>
    <row r="94" spans="1:8" ht="15.75" customHeight="1" x14ac:dyDescent="0.2">
      <c r="A94" s="287" t="s">
        <v>868</v>
      </c>
      <c r="B94" s="71" t="s">
        <v>878</v>
      </c>
      <c r="C94" s="625"/>
      <c r="D94" s="71"/>
      <c r="E94" s="71" t="s">
        <v>1920</v>
      </c>
      <c r="F94" s="472">
        <v>1</v>
      </c>
      <c r="G94" s="477"/>
      <c r="H94" s="444"/>
    </row>
    <row r="95" spans="1:8" ht="15.75" customHeight="1" x14ac:dyDescent="0.2">
      <c r="A95" s="287" t="s">
        <v>259</v>
      </c>
      <c r="B95" s="71" t="s">
        <v>242</v>
      </c>
      <c r="C95" s="625"/>
      <c r="D95" s="71"/>
      <c r="E95" s="71" t="s">
        <v>1920</v>
      </c>
      <c r="F95" s="472">
        <v>1</v>
      </c>
      <c r="G95" s="477"/>
      <c r="H95" s="444"/>
    </row>
    <row r="96" spans="1:8" ht="15.75" customHeight="1" x14ac:dyDescent="0.2">
      <c r="A96" s="287" t="s">
        <v>15</v>
      </c>
      <c r="B96" s="71" t="s">
        <v>380</v>
      </c>
      <c r="C96" s="625"/>
      <c r="D96" s="71"/>
      <c r="E96" s="71" t="s">
        <v>1920</v>
      </c>
      <c r="F96" s="472">
        <v>1</v>
      </c>
      <c r="G96" s="477"/>
      <c r="H96" s="444"/>
    </row>
    <row r="97" spans="1:8" ht="15.75" customHeight="1" x14ac:dyDescent="0.2">
      <c r="A97" s="287" t="s">
        <v>37</v>
      </c>
      <c r="B97" s="71" t="s">
        <v>38</v>
      </c>
      <c r="C97" s="625"/>
      <c r="D97" s="71"/>
      <c r="E97" s="71" t="s">
        <v>1920</v>
      </c>
      <c r="F97" s="472">
        <v>1</v>
      </c>
      <c r="G97" s="477"/>
      <c r="H97" s="444"/>
    </row>
    <row r="98" spans="1:8" ht="15.75" customHeight="1" x14ac:dyDescent="0.2">
      <c r="A98" s="287" t="s">
        <v>1036</v>
      </c>
      <c r="B98" s="71" t="s">
        <v>468</v>
      </c>
      <c r="C98" s="625"/>
      <c r="D98" s="71"/>
      <c r="E98" s="71" t="s">
        <v>1920</v>
      </c>
      <c r="F98" s="472">
        <v>1</v>
      </c>
      <c r="G98" s="477"/>
      <c r="H98" s="444"/>
    </row>
    <row r="99" spans="1:8" ht="15.75" customHeight="1" x14ac:dyDescent="0.2">
      <c r="A99" s="287" t="s">
        <v>10</v>
      </c>
      <c r="B99" s="71" t="s">
        <v>469</v>
      </c>
      <c r="C99" s="625"/>
      <c r="D99" s="71"/>
      <c r="E99" s="71" t="s">
        <v>1920</v>
      </c>
      <c r="F99" s="472">
        <v>1</v>
      </c>
      <c r="G99" s="477"/>
      <c r="H99" s="444"/>
    </row>
    <row r="100" spans="1:8" ht="15.75" customHeight="1" x14ac:dyDescent="0.2">
      <c r="A100" s="287" t="s">
        <v>1447</v>
      </c>
      <c r="B100" s="71" t="s">
        <v>879</v>
      </c>
      <c r="C100" s="625"/>
      <c r="D100" s="71"/>
      <c r="E100" s="71" t="s">
        <v>1920</v>
      </c>
      <c r="F100" s="472">
        <v>1</v>
      </c>
      <c r="G100" s="477"/>
      <c r="H100" s="444"/>
    </row>
    <row r="101" spans="1:8" x14ac:dyDescent="0.2">
      <c r="A101" s="287" t="s">
        <v>2120</v>
      </c>
      <c r="B101" s="71" t="s">
        <v>2119</v>
      </c>
      <c r="C101" s="625"/>
      <c r="D101" s="71"/>
      <c r="E101" s="71">
        <v>55719</v>
      </c>
      <c r="F101" s="472">
        <v>1</v>
      </c>
      <c r="G101" s="477"/>
      <c r="H101" s="444"/>
    </row>
    <row r="102" spans="1:8" x14ac:dyDescent="0.2">
      <c r="A102" s="287" t="s">
        <v>1450</v>
      </c>
      <c r="B102" s="71" t="s">
        <v>987</v>
      </c>
      <c r="C102" s="625"/>
      <c r="D102" s="71"/>
      <c r="E102" s="71" t="s">
        <v>1920</v>
      </c>
      <c r="F102" s="472">
        <v>1</v>
      </c>
      <c r="G102" s="477"/>
      <c r="H102" s="444"/>
    </row>
    <row r="103" spans="1:8" x14ac:dyDescent="0.2">
      <c r="A103" s="287" t="s">
        <v>20</v>
      </c>
      <c r="B103" s="71" t="s">
        <v>287</v>
      </c>
      <c r="C103" s="625"/>
      <c r="D103" s="71"/>
      <c r="E103" s="71" t="s">
        <v>1920</v>
      </c>
      <c r="F103" s="472">
        <v>1</v>
      </c>
      <c r="G103" s="477"/>
      <c r="H103" s="444"/>
    </row>
    <row r="104" spans="1:8" x14ac:dyDescent="0.2">
      <c r="A104" s="287" t="s">
        <v>13</v>
      </c>
      <c r="B104" s="71" t="s">
        <v>471</v>
      </c>
      <c r="C104" s="625"/>
      <c r="D104" s="71"/>
      <c r="E104" s="71" t="s">
        <v>1920</v>
      </c>
      <c r="F104" s="472">
        <v>1</v>
      </c>
      <c r="G104" s="477"/>
      <c r="H104" s="444"/>
    </row>
    <row r="105" spans="1:8" x14ac:dyDescent="0.2">
      <c r="A105" s="287" t="s">
        <v>2919</v>
      </c>
      <c r="B105" s="314" t="s">
        <v>2918</v>
      </c>
      <c r="C105" s="625"/>
      <c r="D105" s="314"/>
      <c r="E105" s="314">
        <v>55719</v>
      </c>
      <c r="F105" s="472">
        <v>1</v>
      </c>
      <c r="G105" s="477"/>
      <c r="H105" s="444"/>
    </row>
    <row r="106" spans="1:8" ht="15.75" customHeight="1" x14ac:dyDescent="0.2">
      <c r="A106" s="287" t="s">
        <v>5</v>
      </c>
      <c r="B106" s="71" t="s">
        <v>466</v>
      </c>
      <c r="C106" s="625"/>
      <c r="D106" s="71"/>
      <c r="E106" s="71" t="s">
        <v>1920</v>
      </c>
      <c r="F106" s="472">
        <v>1</v>
      </c>
      <c r="G106" s="477"/>
      <c r="H106" s="444"/>
    </row>
    <row r="107" spans="1:8" ht="15.75" customHeight="1" x14ac:dyDescent="0.2">
      <c r="A107" s="287" t="s">
        <v>209</v>
      </c>
      <c r="B107" s="71" t="s">
        <v>210</v>
      </c>
      <c r="C107" s="625"/>
      <c r="D107" s="71"/>
      <c r="E107" s="71" t="s">
        <v>1920</v>
      </c>
      <c r="F107" s="472">
        <v>1</v>
      </c>
      <c r="G107" s="477"/>
      <c r="H107" s="444"/>
    </row>
    <row r="108" spans="1:8" ht="15.75" customHeight="1" x14ac:dyDescent="0.2">
      <c r="A108" s="287" t="s">
        <v>11</v>
      </c>
      <c r="B108" s="71" t="s">
        <v>278</v>
      </c>
      <c r="C108" s="625"/>
      <c r="D108" s="71"/>
      <c r="E108" s="71" t="s">
        <v>1920</v>
      </c>
      <c r="F108" s="472">
        <v>1</v>
      </c>
      <c r="G108" s="477"/>
      <c r="H108" s="444"/>
    </row>
    <row r="109" spans="1:8" ht="15.75" customHeight="1" x14ac:dyDescent="0.2">
      <c r="A109" s="287" t="s">
        <v>12</v>
      </c>
      <c r="B109" s="71" t="s">
        <v>171</v>
      </c>
      <c r="C109" s="625"/>
      <c r="D109" s="71"/>
      <c r="E109" s="71" t="s">
        <v>1920</v>
      </c>
      <c r="F109" s="472">
        <v>1</v>
      </c>
      <c r="G109" s="477"/>
      <c r="H109" s="444"/>
    </row>
    <row r="110" spans="1:8" x14ac:dyDescent="0.2">
      <c r="A110" s="287" t="s">
        <v>1276</v>
      </c>
      <c r="B110" s="301" t="s">
        <v>960</v>
      </c>
      <c r="C110" s="625"/>
      <c r="D110" s="144"/>
      <c r="E110" s="144" t="s">
        <v>1920</v>
      </c>
      <c r="F110" s="150">
        <v>1</v>
      </c>
      <c r="G110" s="477"/>
      <c r="H110" s="444"/>
    </row>
    <row r="111" spans="1:8" x14ac:dyDescent="0.2">
      <c r="A111" s="287" t="s">
        <v>1042</v>
      </c>
      <c r="B111" s="314" t="s">
        <v>952</v>
      </c>
      <c r="C111" s="625"/>
      <c r="D111" s="314"/>
      <c r="E111" s="314" t="s">
        <v>1920</v>
      </c>
      <c r="F111" s="472">
        <v>1</v>
      </c>
      <c r="G111" s="478"/>
      <c r="H111" s="444"/>
    </row>
    <row r="112" spans="1:8" x14ac:dyDescent="0.2">
      <c r="A112" s="397" t="s">
        <v>1216</v>
      </c>
      <c r="B112" s="302" t="s">
        <v>481</v>
      </c>
      <c r="C112" s="625"/>
      <c r="D112" s="302"/>
      <c r="E112" s="302" t="s">
        <v>1920</v>
      </c>
      <c r="F112" s="475">
        <v>1</v>
      </c>
      <c r="G112" s="477"/>
      <c r="H112" s="444"/>
    </row>
    <row r="113" spans="1:8" x14ac:dyDescent="0.2">
      <c r="A113" s="397" t="s">
        <v>4</v>
      </c>
      <c r="B113" s="302" t="s">
        <v>90</v>
      </c>
      <c r="C113" s="625"/>
      <c r="D113" s="302"/>
      <c r="E113" s="302" t="s">
        <v>1920</v>
      </c>
      <c r="F113" s="475">
        <v>1</v>
      </c>
      <c r="G113" s="477"/>
      <c r="H113" s="444"/>
    </row>
    <row r="114" spans="1:8" x14ac:dyDescent="0.2">
      <c r="A114" s="397" t="s">
        <v>101</v>
      </c>
      <c r="B114" s="302" t="s">
        <v>509</v>
      </c>
      <c r="C114" s="625"/>
      <c r="D114" s="302"/>
      <c r="E114" s="302" t="s">
        <v>1920</v>
      </c>
      <c r="F114" s="475">
        <v>1</v>
      </c>
      <c r="G114" s="477"/>
      <c r="H114" s="444"/>
    </row>
    <row r="115" spans="1:8" ht="15.75" x14ac:dyDescent="0.25">
      <c r="F115" s="304">
        <f>SUM(F2:F114)</f>
        <v>126</v>
      </c>
    </row>
    <row r="117" spans="1:8" x14ac:dyDescent="0.2">
      <c r="A117" s="117" t="s">
        <v>2217</v>
      </c>
    </row>
    <row r="118" spans="1:8" s="4" customFormat="1" ht="18" x14ac:dyDescent="0.25">
      <c r="A118" s="422" t="s">
        <v>2229</v>
      </c>
      <c r="B118" s="425"/>
      <c r="C118" s="309"/>
      <c r="D118" s="3"/>
      <c r="E118" s="3"/>
      <c r="F118" s="3"/>
      <c r="G118" s="39"/>
    </row>
    <row r="119" spans="1:8" s="4" customFormat="1" ht="18" x14ac:dyDescent="0.25">
      <c r="A119" s="422" t="s">
        <v>2964</v>
      </c>
      <c r="B119" s="425"/>
      <c r="C119" s="309"/>
      <c r="D119" s="3"/>
      <c r="E119" s="3"/>
      <c r="F119" s="3"/>
      <c r="G119" s="39"/>
    </row>
    <row r="120" spans="1:8" ht="18" x14ac:dyDescent="0.25">
      <c r="A120" s="423" t="s">
        <v>3299</v>
      </c>
      <c r="B120" s="443"/>
      <c r="C120" s="117"/>
      <c r="D120" s="60" t="s">
        <v>1729</v>
      </c>
    </row>
    <row r="121" spans="1:8" ht="18" x14ac:dyDescent="0.25">
      <c r="A121" s="434" t="s">
        <v>3367</v>
      </c>
      <c r="B121" s="420"/>
      <c r="C121" s="117"/>
      <c r="D121" s="60" t="s">
        <v>2217</v>
      </c>
    </row>
  </sheetData>
  <sortState xmlns:xlrd2="http://schemas.microsoft.com/office/spreadsheetml/2017/richdata2" ref="A3:H108">
    <sortCondition ref="B5:B108"/>
  </sortState>
  <printOptions gridLines="1"/>
  <pageMargins left="0.5" right="0.5" top="0.5" bottom="0.5" header="0.3" footer="0.3"/>
  <pageSetup scale="60" orientation="landscape" r:id="rId1"/>
  <headerFooter>
    <oddFooter xml:space="preserve">&amp;C </oddFooter>
  </headerFooter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2"/>
  <sheetViews>
    <sheetView workbookViewId="0">
      <pane ySplit="1" topLeftCell="A2" activePane="bottomLeft" state="frozen"/>
      <selection activeCell="C26" sqref="C26"/>
      <selection pane="bottomLeft" activeCell="F2" sqref="F2:F4"/>
    </sheetView>
  </sheetViews>
  <sheetFormatPr defaultColWidth="9.140625" defaultRowHeight="15" x14ac:dyDescent="0.2"/>
  <cols>
    <col min="1" max="1" width="63.85546875" style="117" bestFit="1" customWidth="1"/>
    <col min="2" max="2" width="15.85546875" style="60" bestFit="1" customWidth="1"/>
    <col min="3" max="3" width="20.42578125" style="60" bestFit="1" customWidth="1"/>
    <col min="4" max="4" width="20.140625" style="60" bestFit="1" customWidth="1"/>
    <col min="5" max="5" width="12.42578125" style="60" bestFit="1" customWidth="1"/>
    <col min="6" max="6" width="10" style="60" bestFit="1" customWidth="1"/>
    <col min="7" max="7" width="11.42578125" style="118" bestFit="1" customWidth="1"/>
    <col min="8" max="8" width="16.85546875" style="117" bestFit="1" customWidth="1"/>
    <col min="9" max="9" width="17" style="117" bestFit="1" customWidth="1"/>
    <col min="10" max="16384" width="9.140625" style="117"/>
  </cols>
  <sheetData>
    <row r="1" spans="1:8" ht="31.5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54" t="s">
        <v>412</v>
      </c>
      <c r="G1" s="441" t="s">
        <v>3368</v>
      </c>
      <c r="H1" s="418" t="s">
        <v>3369</v>
      </c>
    </row>
    <row r="2" spans="1:8" x14ac:dyDescent="0.2">
      <c r="A2" s="113" t="s">
        <v>17</v>
      </c>
      <c r="B2" s="314" t="s">
        <v>407</v>
      </c>
      <c r="C2" s="430"/>
      <c r="D2" s="314"/>
      <c r="E2" s="314" t="s">
        <v>1920</v>
      </c>
      <c r="F2" s="267">
        <v>1</v>
      </c>
      <c r="G2" s="440"/>
      <c r="H2" s="444"/>
    </row>
    <row r="3" spans="1:8" x14ac:dyDescent="0.2">
      <c r="A3" s="113" t="s">
        <v>1275</v>
      </c>
      <c r="B3" s="314" t="s">
        <v>478</v>
      </c>
      <c r="C3" s="430"/>
      <c r="D3" s="314"/>
      <c r="E3" s="314" t="s">
        <v>1920</v>
      </c>
      <c r="F3" s="267">
        <v>1</v>
      </c>
      <c r="G3" s="440"/>
      <c r="H3" s="444"/>
    </row>
    <row r="4" spans="1:8" x14ac:dyDescent="0.2">
      <c r="A4" s="113" t="s">
        <v>2133</v>
      </c>
      <c r="B4" s="314" t="s">
        <v>2909</v>
      </c>
      <c r="C4" s="430"/>
      <c r="D4" s="314"/>
      <c r="E4" s="314">
        <v>56654</v>
      </c>
      <c r="F4" s="267">
        <v>1</v>
      </c>
      <c r="G4" s="440"/>
      <c r="H4" s="444"/>
    </row>
    <row r="7" spans="1:8" s="308" customFormat="1" ht="18" x14ac:dyDescent="0.25">
      <c r="A7" s="422" t="s">
        <v>2965</v>
      </c>
      <c r="B7" s="425"/>
      <c r="C7" s="309"/>
      <c r="D7" s="309"/>
      <c r="E7" s="309"/>
      <c r="F7" s="309"/>
      <c r="G7" s="310"/>
    </row>
    <row r="8" spans="1:8" s="308" customFormat="1" ht="18" x14ac:dyDescent="0.25">
      <c r="A8" s="422" t="s">
        <v>2966</v>
      </c>
      <c r="B8" s="425"/>
      <c r="C8" s="309"/>
      <c r="D8" s="309"/>
      <c r="E8" s="309"/>
      <c r="F8" s="309"/>
      <c r="G8" s="310"/>
    </row>
    <row r="9" spans="1:8" ht="18" x14ac:dyDescent="0.25">
      <c r="A9" s="449" t="s">
        <v>3297</v>
      </c>
      <c r="B9" s="6"/>
    </row>
    <row r="10" spans="1:8" ht="18" x14ac:dyDescent="0.25">
      <c r="A10" s="434" t="s">
        <v>3367</v>
      </c>
      <c r="B10" s="420"/>
    </row>
    <row r="12" spans="1:8" ht="18" x14ac:dyDescent="0.25">
      <c r="B12" s="309"/>
      <c r="C12" s="309"/>
    </row>
  </sheetData>
  <sortState xmlns:xlrd2="http://schemas.microsoft.com/office/spreadsheetml/2017/richdata2" ref="A2:H4">
    <sortCondition ref="B2:B4"/>
  </sortState>
  <printOptions gridLines="1"/>
  <pageMargins left="0.5" right="0.5" top="0.5" bottom="0.5" header="0.3" footer="0.3"/>
  <pageSetup scale="60" orientation="landscape" r:id="rId1"/>
  <headerFooter>
    <oddFooter xml:space="preserve">&amp;C 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91"/>
  <sheetViews>
    <sheetView workbookViewId="0">
      <pane ySplit="1" topLeftCell="A54" activePane="bottomLeft" state="frozen"/>
      <selection activeCell="C26" sqref="C26"/>
      <selection pane="bottomLeft" activeCell="F2" sqref="F2:F84"/>
    </sheetView>
  </sheetViews>
  <sheetFormatPr defaultColWidth="9.140625" defaultRowHeight="15" x14ac:dyDescent="0.2"/>
  <cols>
    <col min="1" max="1" width="69.42578125" style="117" bestFit="1" customWidth="1"/>
    <col min="2" max="2" width="15.85546875" style="60" bestFit="1" customWidth="1"/>
    <col min="3" max="3" width="20.42578125" style="60" bestFit="1" customWidth="1"/>
    <col min="4" max="4" width="20.140625" style="60" bestFit="1" customWidth="1"/>
    <col min="5" max="5" width="12.42578125" style="60" bestFit="1" customWidth="1"/>
    <col min="6" max="6" width="10" style="60" bestFit="1" customWidth="1"/>
    <col min="7" max="7" width="11.42578125" style="118" bestFit="1" customWidth="1"/>
    <col min="8" max="8" width="16.85546875" style="117" bestFit="1" customWidth="1"/>
    <col min="9" max="9" width="17" style="117" bestFit="1" customWidth="1"/>
    <col min="10" max="16384" width="9.140625" style="117"/>
  </cols>
  <sheetData>
    <row r="1" spans="1:8" ht="31.5" x14ac:dyDescent="0.25">
      <c r="A1" s="2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24" t="s">
        <v>412</v>
      </c>
      <c r="G1" s="441" t="s">
        <v>3368</v>
      </c>
      <c r="H1" s="418" t="s">
        <v>3369</v>
      </c>
    </row>
    <row r="2" spans="1:8" ht="15" customHeight="1" x14ac:dyDescent="0.2">
      <c r="A2" s="151" t="s">
        <v>2151</v>
      </c>
      <c r="B2" s="15" t="s">
        <v>2152</v>
      </c>
      <c r="C2" s="430"/>
      <c r="D2" s="71"/>
      <c r="E2" s="71" t="s">
        <v>1920</v>
      </c>
      <c r="F2" s="140">
        <v>1</v>
      </c>
      <c r="G2" s="467" t="s">
        <v>2217</v>
      </c>
      <c r="H2" s="444"/>
    </row>
    <row r="3" spans="1:8" x14ac:dyDescent="0.2">
      <c r="A3" s="151" t="s">
        <v>1265</v>
      </c>
      <c r="B3" s="15" t="s">
        <v>2731</v>
      </c>
      <c r="C3" s="430"/>
      <c r="D3" s="71"/>
      <c r="E3" s="71" t="s">
        <v>1920</v>
      </c>
      <c r="F3" s="140">
        <v>1</v>
      </c>
      <c r="G3" s="467"/>
      <c r="H3" s="444"/>
    </row>
    <row r="4" spans="1:8" ht="15" customHeight="1" x14ac:dyDescent="0.2">
      <c r="A4" s="151" t="s">
        <v>459</v>
      </c>
      <c r="B4" s="15" t="s">
        <v>1823</v>
      </c>
      <c r="C4" s="430"/>
      <c r="D4" s="71"/>
      <c r="E4" s="71" t="s">
        <v>1920</v>
      </c>
      <c r="F4" s="140">
        <v>1</v>
      </c>
      <c r="G4" s="467"/>
      <c r="H4" s="444"/>
    </row>
    <row r="5" spans="1:8" s="215" customFormat="1" x14ac:dyDescent="0.2">
      <c r="A5" s="75" t="s">
        <v>2559</v>
      </c>
      <c r="B5" s="71" t="s">
        <v>2392</v>
      </c>
      <c r="C5" s="430"/>
      <c r="D5" s="71"/>
      <c r="E5" s="71">
        <v>55719</v>
      </c>
      <c r="F5" s="31">
        <v>1</v>
      </c>
      <c r="G5" s="454"/>
      <c r="H5" s="433"/>
    </row>
    <row r="6" spans="1:8" s="215" customFormat="1" x14ac:dyDescent="0.2">
      <c r="A6" s="75" t="s">
        <v>3191</v>
      </c>
      <c r="B6" s="71" t="s">
        <v>3089</v>
      </c>
      <c r="C6" s="430"/>
      <c r="D6" s="71"/>
      <c r="E6" s="71">
        <v>55719</v>
      </c>
      <c r="F6" s="31">
        <v>1</v>
      </c>
      <c r="G6" s="454"/>
      <c r="H6" s="433"/>
    </row>
    <row r="7" spans="1:8" ht="15" customHeight="1" x14ac:dyDescent="0.2">
      <c r="A7" s="151" t="s">
        <v>17</v>
      </c>
      <c r="B7" s="15" t="s">
        <v>407</v>
      </c>
      <c r="C7" s="430"/>
      <c r="D7" s="71"/>
      <c r="E7" s="71" t="s">
        <v>1920</v>
      </c>
      <c r="F7" s="140">
        <v>1</v>
      </c>
      <c r="G7" s="467"/>
      <c r="H7" s="444"/>
    </row>
    <row r="8" spans="1:8" ht="15" customHeight="1" x14ac:dyDescent="0.2">
      <c r="A8" s="151" t="s">
        <v>197</v>
      </c>
      <c r="B8" s="15" t="s">
        <v>645</v>
      </c>
      <c r="C8" s="430"/>
      <c r="D8" s="71"/>
      <c r="E8" s="71" t="s">
        <v>1920</v>
      </c>
      <c r="F8" s="140">
        <v>1</v>
      </c>
      <c r="G8" s="467"/>
      <c r="H8" s="444"/>
    </row>
    <row r="9" spans="1:8" x14ac:dyDescent="0.2">
      <c r="A9" s="151" t="s">
        <v>2862</v>
      </c>
      <c r="B9" s="15" t="s">
        <v>3231</v>
      </c>
      <c r="C9" s="430"/>
      <c r="D9" s="71"/>
      <c r="E9" s="71">
        <v>55719</v>
      </c>
      <c r="F9" s="140">
        <v>1</v>
      </c>
      <c r="G9" s="467"/>
      <c r="H9" s="444"/>
    </row>
    <row r="10" spans="1:8" ht="15" customHeight="1" x14ac:dyDescent="0.2">
      <c r="A10" s="151" t="s">
        <v>2746</v>
      </c>
      <c r="B10" s="15">
        <v>42520</v>
      </c>
      <c r="C10" s="430"/>
      <c r="D10" s="71"/>
      <c r="E10" s="71" t="s">
        <v>1951</v>
      </c>
      <c r="F10" s="140">
        <v>1</v>
      </c>
      <c r="G10" s="467"/>
      <c r="H10" s="444"/>
    </row>
    <row r="11" spans="1:8" ht="15" customHeight="1" x14ac:dyDescent="0.2">
      <c r="A11" s="151" t="s">
        <v>2153</v>
      </c>
      <c r="B11" s="15" t="s">
        <v>2154</v>
      </c>
      <c r="C11" s="430"/>
      <c r="D11" s="71"/>
      <c r="E11" s="71" t="s">
        <v>1920</v>
      </c>
      <c r="F11" s="140">
        <v>1</v>
      </c>
      <c r="G11" s="467"/>
      <c r="H11" s="444"/>
    </row>
    <row r="12" spans="1:8" ht="15" customHeight="1" x14ac:dyDescent="0.2">
      <c r="A12" s="151" t="s">
        <v>16</v>
      </c>
      <c r="B12" s="15" t="s">
        <v>476</v>
      </c>
      <c r="C12" s="430"/>
      <c r="D12" s="71"/>
      <c r="E12" s="71" t="s">
        <v>1920</v>
      </c>
      <c r="F12" s="140">
        <v>1</v>
      </c>
      <c r="G12" s="467"/>
      <c r="H12" s="444"/>
    </row>
    <row r="13" spans="1:8" x14ac:dyDescent="0.2">
      <c r="A13" s="151" t="s">
        <v>1192</v>
      </c>
      <c r="B13" s="15" t="s">
        <v>94</v>
      </c>
      <c r="C13" s="430"/>
      <c r="D13" s="71"/>
      <c r="E13" s="71" t="s">
        <v>1920</v>
      </c>
      <c r="F13" s="140">
        <v>1</v>
      </c>
      <c r="G13" s="467"/>
      <c r="H13" s="444"/>
    </row>
    <row r="14" spans="1:8" ht="15" customHeight="1" x14ac:dyDescent="0.2">
      <c r="A14" s="151" t="s">
        <v>1303</v>
      </c>
      <c r="B14" s="15" t="s">
        <v>988</v>
      </c>
      <c r="C14" s="430"/>
      <c r="D14" s="71"/>
      <c r="E14" s="71" t="s">
        <v>1920</v>
      </c>
      <c r="F14" s="140">
        <v>1</v>
      </c>
      <c r="G14" s="467"/>
      <c r="H14" s="444"/>
    </row>
    <row r="15" spans="1:8" x14ac:dyDescent="0.2">
      <c r="A15" s="151" t="s">
        <v>1058</v>
      </c>
      <c r="B15" s="15" t="s">
        <v>2275</v>
      </c>
      <c r="C15" s="430"/>
      <c r="D15" s="71"/>
      <c r="E15" s="71" t="s">
        <v>1920</v>
      </c>
      <c r="F15" s="140">
        <v>1</v>
      </c>
      <c r="G15" s="467"/>
      <c r="H15" s="444"/>
    </row>
    <row r="16" spans="1:8" x14ac:dyDescent="0.2">
      <c r="A16" s="151" t="s">
        <v>1304</v>
      </c>
      <c r="B16" s="15" t="s">
        <v>2276</v>
      </c>
      <c r="C16" s="430"/>
      <c r="D16" s="71"/>
      <c r="E16" s="71" t="s">
        <v>1920</v>
      </c>
      <c r="F16" s="140">
        <v>1</v>
      </c>
      <c r="G16" s="467"/>
      <c r="H16" s="444"/>
    </row>
    <row r="17" spans="1:8" x14ac:dyDescent="0.2">
      <c r="A17" s="151" t="s">
        <v>1059</v>
      </c>
      <c r="B17" s="15" t="s">
        <v>607</v>
      </c>
      <c r="C17" s="430"/>
      <c r="D17" s="71"/>
      <c r="E17" s="71" t="s">
        <v>1920</v>
      </c>
      <c r="F17" s="140">
        <v>1</v>
      </c>
      <c r="G17" s="467"/>
      <c r="H17" s="444"/>
    </row>
    <row r="18" spans="1:8" x14ac:dyDescent="0.2">
      <c r="A18" s="151" t="s">
        <v>39</v>
      </c>
      <c r="B18" s="15" t="s">
        <v>245</v>
      </c>
      <c r="C18" s="430"/>
      <c r="D18" s="71"/>
      <c r="E18" s="71" t="s">
        <v>1920</v>
      </c>
      <c r="F18" s="140">
        <v>1</v>
      </c>
      <c r="G18" s="467"/>
      <c r="H18" s="444"/>
    </row>
    <row r="19" spans="1:8" x14ac:dyDescent="0.2">
      <c r="A19" s="151" t="s">
        <v>11</v>
      </c>
      <c r="B19" s="15" t="s">
        <v>278</v>
      </c>
      <c r="C19" s="430"/>
      <c r="D19" s="71"/>
      <c r="E19" s="71" t="s">
        <v>1920</v>
      </c>
      <c r="F19" s="140">
        <v>1</v>
      </c>
      <c r="G19" s="467"/>
      <c r="H19" s="444"/>
    </row>
    <row r="20" spans="1:8" x14ac:dyDescent="0.2">
      <c r="A20" s="151" t="s">
        <v>12</v>
      </c>
      <c r="B20" s="15" t="s">
        <v>171</v>
      </c>
      <c r="C20" s="430"/>
      <c r="D20" s="71"/>
      <c r="E20" s="71" t="s">
        <v>1920</v>
      </c>
      <c r="F20" s="140">
        <v>1</v>
      </c>
      <c r="G20" s="467"/>
      <c r="H20" s="444"/>
    </row>
    <row r="21" spans="1:8" ht="15" customHeight="1" x14ac:dyDescent="0.2">
      <c r="A21" s="151" t="s">
        <v>6</v>
      </c>
      <c r="B21" s="15" t="s">
        <v>91</v>
      </c>
      <c r="C21" s="430"/>
      <c r="D21" s="71"/>
      <c r="E21" s="71" t="s">
        <v>1920</v>
      </c>
      <c r="F21" s="140">
        <v>1</v>
      </c>
      <c r="G21" s="467"/>
      <c r="H21" s="444"/>
    </row>
    <row r="22" spans="1:8" x14ac:dyDescent="0.2">
      <c r="A22" s="151" t="s">
        <v>1372</v>
      </c>
      <c r="B22" s="15" t="s">
        <v>1100</v>
      </c>
      <c r="C22" s="430"/>
      <c r="D22" s="71"/>
      <c r="E22" s="71" t="s">
        <v>1920</v>
      </c>
      <c r="F22" s="140">
        <v>1</v>
      </c>
      <c r="G22" s="467"/>
      <c r="H22" s="444"/>
    </row>
    <row r="23" spans="1:8" x14ac:dyDescent="0.2">
      <c r="A23" s="151" t="s">
        <v>1379</v>
      </c>
      <c r="B23" s="15" t="s">
        <v>63</v>
      </c>
      <c r="C23" s="430"/>
      <c r="D23" s="71"/>
      <c r="E23" s="71" t="s">
        <v>1920</v>
      </c>
      <c r="F23" s="140">
        <v>1</v>
      </c>
      <c r="G23" s="467"/>
      <c r="H23" s="444"/>
    </row>
    <row r="24" spans="1:8" x14ac:dyDescent="0.2">
      <c r="A24" s="151" t="s">
        <v>180</v>
      </c>
      <c r="B24" s="15" t="s">
        <v>479</v>
      </c>
      <c r="C24" s="430"/>
      <c r="D24" s="71"/>
      <c r="E24" s="71" t="s">
        <v>1920</v>
      </c>
      <c r="F24" s="140">
        <v>1</v>
      </c>
      <c r="G24" s="467"/>
      <c r="H24" s="444"/>
    </row>
    <row r="25" spans="1:8" x14ac:dyDescent="0.2">
      <c r="A25" s="151" t="s">
        <v>66</v>
      </c>
      <c r="B25" s="15" t="s">
        <v>1836</v>
      </c>
      <c r="C25" s="430"/>
      <c r="D25" s="71"/>
      <c r="E25" s="71" t="s">
        <v>1947</v>
      </c>
      <c r="F25" s="140">
        <v>1</v>
      </c>
      <c r="G25" s="467"/>
      <c r="H25" s="444"/>
    </row>
    <row r="26" spans="1:8" x14ac:dyDescent="0.2">
      <c r="A26" s="151" t="s">
        <v>3229</v>
      </c>
      <c r="B26" s="15" t="s">
        <v>1106</v>
      </c>
      <c r="C26" s="430"/>
      <c r="D26" s="71" t="s">
        <v>1906</v>
      </c>
      <c r="E26" s="71" t="s">
        <v>1928</v>
      </c>
      <c r="F26" s="140">
        <v>1</v>
      </c>
      <c r="G26" s="467"/>
      <c r="H26" s="444"/>
    </row>
    <row r="27" spans="1:8" x14ac:dyDescent="0.2">
      <c r="A27" s="151" t="s">
        <v>1509</v>
      </c>
      <c r="B27" s="71" t="s">
        <v>3098</v>
      </c>
      <c r="C27" s="430"/>
      <c r="D27" s="71"/>
      <c r="E27" s="71" t="s">
        <v>1920</v>
      </c>
      <c r="F27" s="140">
        <v>1</v>
      </c>
      <c r="G27" s="467"/>
      <c r="H27" s="444"/>
    </row>
    <row r="28" spans="1:8" x14ac:dyDescent="0.2">
      <c r="A28" s="151" t="s">
        <v>2231</v>
      </c>
      <c r="B28" s="15" t="s">
        <v>357</v>
      </c>
      <c r="C28" s="430"/>
      <c r="D28" s="71"/>
      <c r="E28" s="71" t="s">
        <v>1920</v>
      </c>
      <c r="F28" s="140">
        <v>1</v>
      </c>
      <c r="G28" s="467"/>
      <c r="H28" s="444"/>
    </row>
    <row r="29" spans="1:8" x14ac:dyDescent="0.2">
      <c r="A29" s="151" t="s">
        <v>1191</v>
      </c>
      <c r="B29" s="15" t="s">
        <v>546</v>
      </c>
      <c r="C29" s="430"/>
      <c r="D29" s="71"/>
      <c r="E29" s="71" t="s">
        <v>1920</v>
      </c>
      <c r="F29" s="140">
        <v>1</v>
      </c>
      <c r="G29" s="467"/>
      <c r="H29" s="444"/>
    </row>
    <row r="30" spans="1:8" x14ac:dyDescent="0.2">
      <c r="A30" s="151" t="s">
        <v>1180</v>
      </c>
      <c r="B30" s="15" t="s">
        <v>359</v>
      </c>
      <c r="C30" s="430"/>
      <c r="D30" s="71"/>
      <c r="E30" s="71" t="s">
        <v>1920</v>
      </c>
      <c r="F30" s="140">
        <v>1</v>
      </c>
      <c r="G30" s="467"/>
      <c r="H30" s="444"/>
    </row>
    <row r="31" spans="1:8" x14ac:dyDescent="0.2">
      <c r="A31" s="151" t="s">
        <v>2277</v>
      </c>
      <c r="B31" s="15" t="s">
        <v>680</v>
      </c>
      <c r="C31" s="430"/>
      <c r="D31" s="71"/>
      <c r="E31" s="71" t="s">
        <v>1920</v>
      </c>
      <c r="F31" s="140">
        <v>1</v>
      </c>
      <c r="G31" s="467"/>
      <c r="H31" s="444"/>
    </row>
    <row r="32" spans="1:8" ht="15" customHeight="1" x14ac:dyDescent="0.2">
      <c r="A32" s="151" t="s">
        <v>1258</v>
      </c>
      <c r="B32" s="15" t="s">
        <v>544</v>
      </c>
      <c r="C32" s="430"/>
      <c r="D32" s="71"/>
      <c r="E32" s="71" t="s">
        <v>1920</v>
      </c>
      <c r="F32" s="140">
        <v>1</v>
      </c>
      <c r="G32" s="467"/>
      <c r="H32" s="444"/>
    </row>
    <row r="33" spans="1:8" ht="15" customHeight="1" x14ac:dyDescent="0.2">
      <c r="A33" s="151" t="s">
        <v>1181</v>
      </c>
      <c r="B33" s="15" t="s">
        <v>199</v>
      </c>
      <c r="C33" s="430"/>
      <c r="D33" s="71"/>
      <c r="E33" s="71" t="s">
        <v>1920</v>
      </c>
      <c r="F33" s="140">
        <v>1</v>
      </c>
      <c r="G33" s="467"/>
      <c r="H33" s="444"/>
    </row>
    <row r="34" spans="1:8" x14ac:dyDescent="0.2">
      <c r="A34" s="151" t="s">
        <v>1054</v>
      </c>
      <c r="B34" s="15" t="s">
        <v>326</v>
      </c>
      <c r="C34" s="430"/>
      <c r="D34" s="71"/>
      <c r="E34" s="71" t="s">
        <v>1920</v>
      </c>
      <c r="F34" s="140">
        <v>1</v>
      </c>
      <c r="G34" s="467"/>
      <c r="H34" s="444"/>
    </row>
    <row r="35" spans="1:8" x14ac:dyDescent="0.2">
      <c r="A35" s="151" t="s">
        <v>2879</v>
      </c>
      <c r="B35" s="15" t="s">
        <v>329</v>
      </c>
      <c r="C35" s="430"/>
      <c r="D35" s="71"/>
      <c r="E35" s="71" t="s">
        <v>1920</v>
      </c>
      <c r="F35" s="140">
        <v>1</v>
      </c>
      <c r="G35" s="467"/>
      <c r="H35" s="444"/>
    </row>
    <row r="36" spans="1:8" x14ac:dyDescent="0.2">
      <c r="A36" s="151" t="s">
        <v>2897</v>
      </c>
      <c r="B36" s="15" t="s">
        <v>324</v>
      </c>
      <c r="C36" s="430"/>
      <c r="D36" s="71"/>
      <c r="E36" s="71" t="s">
        <v>1920</v>
      </c>
      <c r="F36" s="140">
        <v>1</v>
      </c>
      <c r="G36" s="467"/>
      <c r="H36" s="444"/>
    </row>
    <row r="37" spans="1:8" x14ac:dyDescent="0.2">
      <c r="A37" s="151" t="s">
        <v>1069</v>
      </c>
      <c r="B37" s="15" t="s">
        <v>496</v>
      </c>
      <c r="C37" s="430"/>
      <c r="D37" s="71"/>
      <c r="E37" s="71" t="s">
        <v>1920</v>
      </c>
      <c r="F37" s="140">
        <v>1</v>
      </c>
      <c r="G37" s="467"/>
      <c r="H37" s="444"/>
    </row>
    <row r="38" spans="1:8" x14ac:dyDescent="0.2">
      <c r="A38" s="151" t="s">
        <v>852</v>
      </c>
      <c r="B38" s="15" t="s">
        <v>545</v>
      </c>
      <c r="C38" s="430"/>
      <c r="D38" s="71"/>
      <c r="E38" s="71" t="s">
        <v>1920</v>
      </c>
      <c r="F38" s="140">
        <v>1</v>
      </c>
      <c r="G38" s="467"/>
      <c r="H38" s="444"/>
    </row>
    <row r="39" spans="1:8" x14ac:dyDescent="0.2">
      <c r="A39" s="151" t="s">
        <v>14</v>
      </c>
      <c r="B39" s="15" t="s">
        <v>472</v>
      </c>
      <c r="C39" s="430"/>
      <c r="D39" s="71"/>
      <c r="E39" s="71" t="s">
        <v>1971</v>
      </c>
      <c r="F39" s="140">
        <v>1</v>
      </c>
      <c r="G39" s="467"/>
      <c r="H39" s="444"/>
    </row>
    <row r="40" spans="1:8" x14ac:dyDescent="0.2">
      <c r="A40" s="151" t="s">
        <v>1621</v>
      </c>
      <c r="B40" s="15" t="s">
        <v>288</v>
      </c>
      <c r="C40" s="430"/>
      <c r="D40" s="71"/>
      <c r="E40" s="71" t="s">
        <v>1920</v>
      </c>
      <c r="F40" s="140">
        <v>1</v>
      </c>
      <c r="G40" s="467"/>
      <c r="H40" s="444"/>
    </row>
    <row r="41" spans="1:8" ht="15" customHeight="1" x14ac:dyDescent="0.2">
      <c r="A41" s="151" t="s">
        <v>1681</v>
      </c>
      <c r="B41" s="15" t="s">
        <v>840</v>
      </c>
      <c r="C41" s="430"/>
      <c r="D41" s="71"/>
      <c r="E41" s="71" t="s">
        <v>1920</v>
      </c>
      <c r="F41" s="140">
        <v>1</v>
      </c>
      <c r="G41" s="467"/>
      <c r="H41" s="444"/>
    </row>
    <row r="42" spans="1:8" x14ac:dyDescent="0.2">
      <c r="A42" s="151" t="s">
        <v>1040</v>
      </c>
      <c r="B42" s="15" t="s">
        <v>274</v>
      </c>
      <c r="C42" s="430"/>
      <c r="D42" s="71"/>
      <c r="E42" s="71" t="s">
        <v>1920</v>
      </c>
      <c r="F42" s="140">
        <v>1</v>
      </c>
      <c r="G42" s="467"/>
      <c r="H42" s="444"/>
    </row>
    <row r="43" spans="1:8" x14ac:dyDescent="0.2">
      <c r="A43" s="151" t="s">
        <v>3199</v>
      </c>
      <c r="B43" s="15" t="s">
        <v>253</v>
      </c>
      <c r="C43" s="430"/>
      <c r="D43" s="71"/>
      <c r="E43" s="71" t="s">
        <v>1920</v>
      </c>
      <c r="F43" s="140">
        <v>1</v>
      </c>
      <c r="G43" s="467"/>
      <c r="H43" s="444"/>
    </row>
    <row r="44" spans="1:8" x14ac:dyDescent="0.2">
      <c r="A44" s="151" t="s">
        <v>3197</v>
      </c>
      <c r="B44" s="15" t="s">
        <v>254</v>
      </c>
      <c r="C44" s="430"/>
      <c r="D44" s="71"/>
      <c r="E44" s="71" t="s">
        <v>1920</v>
      </c>
      <c r="F44" s="140">
        <v>1</v>
      </c>
      <c r="G44" s="467"/>
      <c r="H44" s="444"/>
    </row>
    <row r="45" spans="1:8" x14ac:dyDescent="0.2">
      <c r="A45" s="151" t="s">
        <v>1683</v>
      </c>
      <c r="B45" s="15" t="s">
        <v>369</v>
      </c>
      <c r="C45" s="430"/>
      <c r="D45" s="71"/>
      <c r="E45" s="71" t="s">
        <v>1920</v>
      </c>
      <c r="F45" s="140">
        <v>1</v>
      </c>
      <c r="G45" s="467"/>
      <c r="H45" s="444"/>
    </row>
    <row r="46" spans="1:8" x14ac:dyDescent="0.2">
      <c r="A46" s="151" t="s">
        <v>3198</v>
      </c>
      <c r="B46" s="15" t="s">
        <v>255</v>
      </c>
      <c r="C46" s="430"/>
      <c r="D46" s="71"/>
      <c r="E46" s="71" t="s">
        <v>1920</v>
      </c>
      <c r="F46" s="140">
        <v>1</v>
      </c>
      <c r="G46" s="467"/>
      <c r="H46" s="444"/>
    </row>
    <row r="47" spans="1:8" x14ac:dyDescent="0.2">
      <c r="A47" s="151" t="s">
        <v>1210</v>
      </c>
      <c r="B47" s="15" t="s">
        <v>475</v>
      </c>
      <c r="C47" s="430"/>
      <c r="D47" s="71"/>
      <c r="E47" s="71" t="s">
        <v>1920</v>
      </c>
      <c r="F47" s="140">
        <v>1</v>
      </c>
      <c r="G47" s="467"/>
      <c r="H47" s="444"/>
    </row>
    <row r="48" spans="1:8" ht="15" customHeight="1" x14ac:dyDescent="0.2">
      <c r="A48" s="151" t="s">
        <v>1124</v>
      </c>
      <c r="B48" s="15">
        <v>8130015</v>
      </c>
      <c r="C48" s="430"/>
      <c r="D48" s="71"/>
      <c r="E48" s="71" t="s">
        <v>1975</v>
      </c>
      <c r="F48" s="140">
        <v>1</v>
      </c>
      <c r="G48" s="467"/>
      <c r="H48" s="444"/>
    </row>
    <row r="49" spans="1:8" x14ac:dyDescent="0.2">
      <c r="A49" s="151" t="s">
        <v>1125</v>
      </c>
      <c r="B49" s="15">
        <v>8130020</v>
      </c>
      <c r="C49" s="430"/>
      <c r="D49" s="71"/>
      <c r="E49" s="71" t="s">
        <v>1975</v>
      </c>
      <c r="F49" s="140">
        <v>2</v>
      </c>
      <c r="G49" s="467"/>
      <c r="H49" s="444"/>
    </row>
    <row r="50" spans="1:8" x14ac:dyDescent="0.2">
      <c r="A50" s="151" t="s">
        <v>1275</v>
      </c>
      <c r="B50" s="15" t="s">
        <v>478</v>
      </c>
      <c r="C50" s="430"/>
      <c r="D50" s="71"/>
      <c r="E50" s="71" t="s">
        <v>1920</v>
      </c>
      <c r="F50" s="140">
        <v>1</v>
      </c>
      <c r="G50" s="467"/>
      <c r="H50" s="444"/>
    </row>
    <row r="51" spans="1:8" x14ac:dyDescent="0.2">
      <c r="A51" s="151" t="s">
        <v>1253</v>
      </c>
      <c r="B51" s="15" t="s">
        <v>315</v>
      </c>
      <c r="C51" s="430"/>
      <c r="D51" s="71"/>
      <c r="E51" s="71" t="s">
        <v>1920</v>
      </c>
      <c r="F51" s="140">
        <v>1</v>
      </c>
      <c r="G51" s="467"/>
      <c r="H51" s="444"/>
    </row>
    <row r="52" spans="1:8" ht="15" customHeight="1" x14ac:dyDescent="0.2">
      <c r="A52" s="151" t="s">
        <v>1175</v>
      </c>
      <c r="B52" s="15" t="s">
        <v>310</v>
      </c>
      <c r="C52" s="430"/>
      <c r="D52" s="71"/>
      <c r="E52" s="71" t="s">
        <v>1920</v>
      </c>
      <c r="F52" s="140">
        <v>1</v>
      </c>
      <c r="G52" s="467"/>
      <c r="H52" s="444"/>
    </row>
    <row r="53" spans="1:8" x14ac:dyDescent="0.2">
      <c r="A53" s="151" t="s">
        <v>1699</v>
      </c>
      <c r="B53" s="15" t="s">
        <v>246</v>
      </c>
      <c r="C53" s="430"/>
      <c r="D53" s="71"/>
      <c r="E53" s="71" t="s">
        <v>1920</v>
      </c>
      <c r="F53" s="140">
        <v>1</v>
      </c>
      <c r="G53" s="467"/>
      <c r="H53" s="444"/>
    </row>
    <row r="54" spans="1:8" x14ac:dyDescent="0.2">
      <c r="A54" s="151" t="s">
        <v>68</v>
      </c>
      <c r="B54" s="15" t="s">
        <v>536</v>
      </c>
      <c r="C54" s="430"/>
      <c r="D54" s="71"/>
      <c r="E54" s="71" t="s">
        <v>1920</v>
      </c>
      <c r="F54" s="140">
        <v>1</v>
      </c>
      <c r="G54" s="467"/>
      <c r="H54" s="444"/>
    </row>
    <row r="55" spans="1:8" x14ac:dyDescent="0.2">
      <c r="A55" s="151" t="s">
        <v>1216</v>
      </c>
      <c r="B55" s="15" t="s">
        <v>481</v>
      </c>
      <c r="C55" s="430"/>
      <c r="D55" s="71"/>
      <c r="E55" s="71" t="s">
        <v>1920</v>
      </c>
      <c r="F55" s="140">
        <v>1</v>
      </c>
      <c r="G55" s="467"/>
      <c r="H55" s="444"/>
    </row>
    <row r="56" spans="1:8" ht="15" customHeight="1" x14ac:dyDescent="0.2">
      <c r="A56" s="151" t="s">
        <v>1286</v>
      </c>
      <c r="B56" s="15" t="s">
        <v>482</v>
      </c>
      <c r="C56" s="430"/>
      <c r="D56" s="71"/>
      <c r="E56" s="71" t="s">
        <v>1920</v>
      </c>
      <c r="F56" s="140">
        <v>1</v>
      </c>
      <c r="G56" s="467"/>
      <c r="H56" s="444"/>
    </row>
    <row r="57" spans="1:8" ht="15" customHeight="1" x14ac:dyDescent="0.2">
      <c r="A57" s="151" t="s">
        <v>2133</v>
      </c>
      <c r="B57" s="15" t="s">
        <v>2909</v>
      </c>
      <c r="C57" s="430"/>
      <c r="D57" s="71"/>
      <c r="E57" s="71">
        <v>56654</v>
      </c>
      <c r="F57" s="140">
        <v>2</v>
      </c>
      <c r="G57" s="467"/>
      <c r="H57" s="444"/>
    </row>
    <row r="58" spans="1:8" ht="15" customHeight="1" x14ac:dyDescent="0.2">
      <c r="A58" s="151" t="s">
        <v>1243</v>
      </c>
      <c r="B58" s="15" t="s">
        <v>307</v>
      </c>
      <c r="C58" s="430"/>
      <c r="D58" s="71"/>
      <c r="E58" s="71" t="s">
        <v>1920</v>
      </c>
      <c r="F58" s="140">
        <v>1</v>
      </c>
      <c r="G58" s="467"/>
      <c r="H58" s="444"/>
    </row>
    <row r="59" spans="1:8" ht="15" customHeight="1" x14ac:dyDescent="0.2">
      <c r="A59" s="151" t="s">
        <v>105</v>
      </c>
      <c r="B59" s="15" t="s">
        <v>2118</v>
      </c>
      <c r="C59" s="430"/>
      <c r="D59" s="71"/>
      <c r="E59" s="71" t="s">
        <v>1975</v>
      </c>
      <c r="F59" s="140">
        <v>3</v>
      </c>
      <c r="G59" s="467"/>
      <c r="H59" s="444"/>
    </row>
    <row r="60" spans="1:8" x14ac:dyDescent="0.2">
      <c r="A60" s="151" t="s">
        <v>1156</v>
      </c>
      <c r="B60" s="15" t="s">
        <v>2117</v>
      </c>
      <c r="C60" s="430"/>
      <c r="D60" s="71"/>
      <c r="E60" s="71" t="s">
        <v>1975</v>
      </c>
      <c r="F60" s="140">
        <v>3</v>
      </c>
      <c r="G60" s="467"/>
      <c r="H60" s="444"/>
    </row>
    <row r="61" spans="1:8" x14ac:dyDescent="0.2">
      <c r="A61" s="151" t="s">
        <v>1221</v>
      </c>
      <c r="B61" s="15" t="s">
        <v>248</v>
      </c>
      <c r="C61" s="430"/>
      <c r="D61" s="71"/>
      <c r="E61" s="71" t="s">
        <v>1920</v>
      </c>
      <c r="F61" s="140">
        <v>1</v>
      </c>
      <c r="G61" s="467"/>
      <c r="H61" s="444"/>
    </row>
    <row r="62" spans="1:8" x14ac:dyDescent="0.2">
      <c r="A62" s="151" t="s">
        <v>894</v>
      </c>
      <c r="B62" s="15" t="s">
        <v>895</v>
      </c>
      <c r="C62" s="430"/>
      <c r="D62" s="71"/>
      <c r="E62" s="71" t="s">
        <v>1920</v>
      </c>
      <c r="F62" s="140">
        <v>1</v>
      </c>
      <c r="G62" s="467"/>
      <c r="H62" s="444"/>
    </row>
    <row r="63" spans="1:8" x14ac:dyDescent="0.2">
      <c r="A63" s="151" t="s">
        <v>9</v>
      </c>
      <c r="B63" s="15" t="s">
        <v>375</v>
      </c>
      <c r="C63" s="430"/>
      <c r="D63" s="71"/>
      <c r="E63" s="71" t="s">
        <v>1920</v>
      </c>
      <c r="F63" s="140">
        <v>1</v>
      </c>
      <c r="G63" s="467"/>
      <c r="H63" s="444"/>
    </row>
    <row r="64" spans="1:8" x14ac:dyDescent="0.2">
      <c r="A64" s="151" t="s">
        <v>1085</v>
      </c>
      <c r="B64" s="15" t="s">
        <v>92</v>
      </c>
      <c r="C64" s="430"/>
      <c r="D64" s="71"/>
      <c r="E64" s="71" t="s">
        <v>1920</v>
      </c>
      <c r="F64" s="140">
        <v>1</v>
      </c>
      <c r="G64" s="467"/>
      <c r="H64" s="444"/>
    </row>
    <row r="65" spans="1:8" x14ac:dyDescent="0.2">
      <c r="A65" s="151" t="s">
        <v>4</v>
      </c>
      <c r="B65" s="15" t="s">
        <v>90</v>
      </c>
      <c r="C65" s="430"/>
      <c r="D65" s="71"/>
      <c r="E65" s="71" t="s">
        <v>1920</v>
      </c>
      <c r="F65" s="140">
        <v>1</v>
      </c>
      <c r="G65" s="467"/>
      <c r="H65" s="444"/>
    </row>
    <row r="66" spans="1:8" x14ac:dyDescent="0.2">
      <c r="A66" s="151" t="s">
        <v>1335</v>
      </c>
      <c r="B66" s="15" t="s">
        <v>540</v>
      </c>
      <c r="C66" s="430"/>
      <c r="D66" s="71"/>
      <c r="E66" s="71" t="s">
        <v>1920</v>
      </c>
      <c r="F66" s="140">
        <v>1</v>
      </c>
      <c r="G66" s="467"/>
      <c r="H66" s="444"/>
    </row>
    <row r="67" spans="1:8" ht="15.75" customHeight="1" x14ac:dyDescent="0.2">
      <c r="A67" s="151" t="s">
        <v>1336</v>
      </c>
      <c r="B67" s="15" t="s">
        <v>537</v>
      </c>
      <c r="C67" s="430"/>
      <c r="D67" s="71"/>
      <c r="E67" s="71" t="s">
        <v>1920</v>
      </c>
      <c r="F67" s="140">
        <v>1</v>
      </c>
      <c r="G67" s="467"/>
      <c r="H67" s="444"/>
    </row>
    <row r="68" spans="1:8" ht="15.75" customHeight="1" x14ac:dyDescent="0.2">
      <c r="A68" s="151" t="s">
        <v>1086</v>
      </c>
      <c r="B68" s="15" t="s">
        <v>70</v>
      </c>
      <c r="C68" s="430"/>
      <c r="D68" s="71"/>
      <c r="E68" s="71" t="s">
        <v>1920</v>
      </c>
      <c r="F68" s="140">
        <v>1</v>
      </c>
      <c r="G68" s="467"/>
      <c r="H68" s="444"/>
    </row>
    <row r="69" spans="1:8" ht="15.75" customHeight="1" x14ac:dyDescent="0.2">
      <c r="A69" s="151" t="s">
        <v>1087</v>
      </c>
      <c r="B69" s="15" t="s">
        <v>484</v>
      </c>
      <c r="C69" s="430"/>
      <c r="D69" s="71"/>
      <c r="E69" s="71" t="s">
        <v>1920</v>
      </c>
      <c r="F69" s="140">
        <v>1</v>
      </c>
      <c r="G69" s="467"/>
      <c r="H69" s="444"/>
    </row>
    <row r="70" spans="1:8" ht="15.75" customHeight="1" x14ac:dyDescent="0.2">
      <c r="A70" s="151" t="s">
        <v>1337</v>
      </c>
      <c r="B70" s="15" t="s">
        <v>519</v>
      </c>
      <c r="C70" s="430"/>
      <c r="D70" s="71"/>
      <c r="E70" s="71" t="s">
        <v>1920</v>
      </c>
      <c r="F70" s="140">
        <v>1</v>
      </c>
      <c r="G70" s="467"/>
      <c r="H70" s="444"/>
    </row>
    <row r="71" spans="1:8" ht="15.75" customHeight="1" x14ac:dyDescent="0.2">
      <c r="A71" s="151" t="s">
        <v>1985</v>
      </c>
      <c r="B71" s="15" t="s">
        <v>1986</v>
      </c>
      <c r="C71" s="430"/>
      <c r="D71" s="71"/>
      <c r="E71" s="71" t="s">
        <v>1920</v>
      </c>
      <c r="F71" s="140">
        <v>1</v>
      </c>
      <c r="G71" s="467"/>
      <c r="H71" s="444"/>
    </row>
    <row r="72" spans="1:8" ht="15.75" customHeight="1" x14ac:dyDescent="0.2">
      <c r="A72" s="151" t="s">
        <v>1341</v>
      </c>
      <c r="B72" s="15" t="s">
        <v>539</v>
      </c>
      <c r="C72" s="430"/>
      <c r="D72" s="71"/>
      <c r="E72" s="71" t="s">
        <v>1920</v>
      </c>
      <c r="F72" s="140">
        <v>1</v>
      </c>
      <c r="G72" s="467"/>
      <c r="H72" s="444"/>
    </row>
    <row r="73" spans="1:8" ht="15.75" customHeight="1" x14ac:dyDescent="0.2">
      <c r="A73" s="151" t="s">
        <v>1342</v>
      </c>
      <c r="B73" s="15" t="s">
        <v>531</v>
      </c>
      <c r="C73" s="430"/>
      <c r="D73" s="71"/>
      <c r="E73" s="71" t="s">
        <v>1920</v>
      </c>
      <c r="F73" s="140">
        <v>1</v>
      </c>
      <c r="G73" s="467"/>
      <c r="H73" s="444"/>
    </row>
    <row r="74" spans="1:8" ht="15.75" customHeight="1" x14ac:dyDescent="0.2">
      <c r="A74" s="151" t="s">
        <v>1343</v>
      </c>
      <c r="B74" s="15" t="s">
        <v>538</v>
      </c>
      <c r="C74" s="430"/>
      <c r="D74" s="71"/>
      <c r="E74" s="71" t="s">
        <v>1920</v>
      </c>
      <c r="F74" s="140">
        <v>1</v>
      </c>
      <c r="G74" s="467"/>
      <c r="H74" s="444"/>
    </row>
    <row r="75" spans="1:8" ht="15.75" customHeight="1" x14ac:dyDescent="0.2">
      <c r="A75" s="151" t="s">
        <v>1236</v>
      </c>
      <c r="B75" s="15" t="s">
        <v>77</v>
      </c>
      <c r="C75" s="430"/>
      <c r="D75" s="71"/>
      <c r="E75" s="71" t="s">
        <v>1920</v>
      </c>
      <c r="F75" s="140">
        <v>2</v>
      </c>
      <c r="G75" s="467"/>
      <c r="H75" s="444"/>
    </row>
    <row r="76" spans="1:8" ht="15.75" customHeight="1" x14ac:dyDescent="0.2">
      <c r="A76" s="151" t="s">
        <v>1235</v>
      </c>
      <c r="B76" s="15" t="s">
        <v>78</v>
      </c>
      <c r="C76" s="430"/>
      <c r="D76" s="71"/>
      <c r="E76" s="71" t="s">
        <v>1920</v>
      </c>
      <c r="F76" s="140">
        <v>1</v>
      </c>
      <c r="G76" s="467"/>
      <c r="H76" s="444"/>
    </row>
    <row r="77" spans="1:8" ht="15.75" customHeight="1" x14ac:dyDescent="0.2">
      <c r="A77" s="151" t="s">
        <v>1237</v>
      </c>
      <c r="B77" s="15" t="s">
        <v>306</v>
      </c>
      <c r="C77" s="430"/>
      <c r="D77" s="71"/>
      <c r="E77" s="71" t="s">
        <v>1920</v>
      </c>
      <c r="F77" s="140">
        <v>1</v>
      </c>
      <c r="G77" s="467"/>
      <c r="H77" s="444"/>
    </row>
    <row r="78" spans="1:8" ht="15.75" customHeight="1" x14ac:dyDescent="0.2">
      <c r="A78" s="151" t="s">
        <v>1345</v>
      </c>
      <c r="B78" s="15" t="s">
        <v>79</v>
      </c>
      <c r="C78" s="430"/>
      <c r="D78" s="71"/>
      <c r="E78" s="71" t="s">
        <v>1920</v>
      </c>
      <c r="F78" s="140">
        <v>1</v>
      </c>
      <c r="G78" s="467"/>
      <c r="H78" s="444"/>
    </row>
    <row r="79" spans="1:8" ht="15.75" customHeight="1" x14ac:dyDescent="0.2">
      <c r="A79" s="151" t="s">
        <v>1232</v>
      </c>
      <c r="B79" s="15" t="s">
        <v>76</v>
      </c>
      <c r="C79" s="430"/>
      <c r="D79" s="71"/>
      <c r="E79" s="71" t="s">
        <v>1920</v>
      </c>
      <c r="F79" s="140">
        <v>1</v>
      </c>
      <c r="G79" s="467"/>
      <c r="H79" s="444"/>
    </row>
    <row r="80" spans="1:8" ht="15.75" customHeight="1" x14ac:dyDescent="0.2">
      <c r="A80" s="151" t="s">
        <v>15</v>
      </c>
      <c r="B80" s="15" t="s">
        <v>380</v>
      </c>
      <c r="C80" s="430"/>
      <c r="D80" s="71"/>
      <c r="E80" s="71" t="s">
        <v>1920</v>
      </c>
      <c r="F80" s="140">
        <v>1</v>
      </c>
      <c r="G80" s="467"/>
      <c r="H80" s="444"/>
    </row>
    <row r="81" spans="1:8" ht="15.75" customHeight="1" x14ac:dyDescent="0.2">
      <c r="A81" s="151" t="s">
        <v>37</v>
      </c>
      <c r="B81" s="15" t="s">
        <v>38</v>
      </c>
      <c r="C81" s="430"/>
      <c r="D81" s="71"/>
      <c r="E81" s="71" t="s">
        <v>1920</v>
      </c>
      <c r="F81" s="140">
        <v>1</v>
      </c>
      <c r="G81" s="467"/>
      <c r="H81" s="444"/>
    </row>
    <row r="82" spans="1:8" ht="15.75" customHeight="1" x14ac:dyDescent="0.2">
      <c r="A82" s="151" t="s">
        <v>1036</v>
      </c>
      <c r="B82" s="15" t="s">
        <v>468</v>
      </c>
      <c r="C82" s="430"/>
      <c r="D82" s="71"/>
      <c r="E82" s="71" t="s">
        <v>1920</v>
      </c>
      <c r="F82" s="140">
        <v>1</v>
      </c>
      <c r="G82" s="467"/>
      <c r="H82" s="444"/>
    </row>
    <row r="83" spans="1:8" ht="15.75" customHeight="1" x14ac:dyDescent="0.2">
      <c r="A83" s="151" t="s">
        <v>101</v>
      </c>
      <c r="B83" s="15" t="s">
        <v>509</v>
      </c>
      <c r="C83" s="430"/>
      <c r="D83" s="71"/>
      <c r="E83" s="71" t="s">
        <v>1920</v>
      </c>
      <c r="F83" s="140">
        <v>1</v>
      </c>
      <c r="G83" s="467"/>
      <c r="H83" s="444"/>
    </row>
    <row r="84" spans="1:8" ht="15.75" customHeight="1" x14ac:dyDescent="0.2">
      <c r="A84" s="151" t="s">
        <v>20</v>
      </c>
      <c r="B84" s="15" t="s">
        <v>287</v>
      </c>
      <c r="C84" s="430"/>
      <c r="D84" s="71"/>
      <c r="E84" s="71" t="s">
        <v>1920</v>
      </c>
      <c r="F84" s="140">
        <v>1</v>
      </c>
      <c r="G84" s="467"/>
      <c r="H84" s="444"/>
    </row>
    <row r="88" spans="1:8" s="4" customFormat="1" ht="18" x14ac:dyDescent="0.25">
      <c r="A88" s="422" t="s">
        <v>2278</v>
      </c>
      <c r="B88" s="425"/>
      <c r="C88" s="309"/>
      <c r="D88" s="3"/>
      <c r="E88" s="3"/>
      <c r="F88" s="39"/>
      <c r="G88" s="39"/>
    </row>
    <row r="89" spans="1:8" s="4" customFormat="1" ht="18" x14ac:dyDescent="0.25">
      <c r="A89" s="422" t="s">
        <v>2967</v>
      </c>
      <c r="B89" s="425"/>
      <c r="C89" s="309"/>
      <c r="D89" s="3"/>
      <c r="E89" s="3"/>
      <c r="F89" s="39"/>
      <c r="G89" s="39"/>
    </row>
    <row r="90" spans="1:8" ht="18" x14ac:dyDescent="0.25">
      <c r="A90" s="423" t="s">
        <v>3296</v>
      </c>
      <c r="B90" s="6"/>
    </row>
    <row r="91" spans="1:8" ht="18" x14ac:dyDescent="0.25">
      <c r="A91" s="434" t="s">
        <v>3367</v>
      </c>
      <c r="B91" s="420"/>
    </row>
  </sheetData>
  <sortState xmlns:xlrd2="http://schemas.microsoft.com/office/spreadsheetml/2017/richdata2" ref="A2:H92">
    <sortCondition ref="B2:B92"/>
  </sortState>
  <printOptions gridLines="1"/>
  <pageMargins left="0.5" right="0.5" top="0.5" bottom="0.5" header="0.3" footer="0.3"/>
  <pageSetup scale="60" orientation="landscape" r:id="rId1"/>
  <headerFooter>
    <oddFooter xml:space="preserve">&amp;C 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XFB106"/>
  <sheetViews>
    <sheetView workbookViewId="0">
      <pane ySplit="1" topLeftCell="A69" activePane="bottomLeft" state="frozen"/>
      <selection activeCell="C26" sqref="C26"/>
      <selection pane="bottomLeft" activeCell="F2" sqref="F2:F100"/>
    </sheetView>
  </sheetViews>
  <sheetFormatPr defaultColWidth="9.140625" defaultRowHeight="15" x14ac:dyDescent="0.2"/>
  <cols>
    <col min="1" max="1" width="70.42578125" style="57" bestFit="1" customWidth="1"/>
    <col min="2" max="2" width="15.85546875" style="58" bestFit="1" customWidth="1"/>
    <col min="3" max="3" width="20.42578125" style="264" bestFit="1" customWidth="1"/>
    <col min="4" max="4" width="20.140625" style="58" bestFit="1" customWidth="1"/>
    <col min="5" max="5" width="12.42578125" style="58" bestFit="1" customWidth="1"/>
    <col min="6" max="6" width="10" style="58" bestFit="1" customWidth="1"/>
    <col min="7" max="7" width="11.42578125" style="59" bestFit="1" customWidth="1"/>
    <col min="8" max="8" width="16.85546875" style="57" bestFit="1" customWidth="1"/>
    <col min="9" max="9" width="17" style="57" bestFit="1" customWidth="1"/>
    <col min="10" max="16384" width="9.140625" style="57"/>
  </cols>
  <sheetData>
    <row r="1" spans="1:8" ht="31.5" x14ac:dyDescent="0.25">
      <c r="A1" s="258" t="s">
        <v>0</v>
      </c>
      <c r="B1" s="256" t="s">
        <v>1</v>
      </c>
      <c r="C1" s="367" t="s">
        <v>3373</v>
      </c>
      <c r="D1" s="256" t="s">
        <v>1872</v>
      </c>
      <c r="E1" s="256" t="s">
        <v>1873</v>
      </c>
      <c r="F1" s="257" t="s">
        <v>412</v>
      </c>
      <c r="G1" s="441" t="s">
        <v>3368</v>
      </c>
      <c r="H1" s="418" t="s">
        <v>3369</v>
      </c>
    </row>
    <row r="2" spans="1:8" ht="15" customHeight="1" x14ac:dyDescent="0.2">
      <c r="A2" s="269" t="s">
        <v>202</v>
      </c>
      <c r="B2" s="15" t="s">
        <v>260</v>
      </c>
      <c r="C2" s="523"/>
      <c r="D2" s="71"/>
      <c r="E2" s="71" t="s">
        <v>1920</v>
      </c>
      <c r="F2" s="140">
        <v>1</v>
      </c>
      <c r="G2" s="467"/>
      <c r="H2" s="468"/>
    </row>
    <row r="3" spans="1:8" x14ac:dyDescent="0.2">
      <c r="A3" s="269" t="s">
        <v>3</v>
      </c>
      <c r="B3" s="15" t="s">
        <v>465</v>
      </c>
      <c r="C3" s="523"/>
      <c r="D3" s="71"/>
      <c r="E3" s="71" t="s">
        <v>1920</v>
      </c>
      <c r="F3" s="140">
        <v>1</v>
      </c>
      <c r="G3" s="467"/>
      <c r="H3" s="468"/>
    </row>
    <row r="4" spans="1:8" x14ac:dyDescent="0.2">
      <c r="A4" s="269" t="s">
        <v>4</v>
      </c>
      <c r="B4" s="15" t="s">
        <v>90</v>
      </c>
      <c r="C4" s="523"/>
      <c r="D4" s="71"/>
      <c r="E4" s="71" t="s">
        <v>1920</v>
      </c>
      <c r="F4" s="140">
        <v>1</v>
      </c>
      <c r="G4" s="467"/>
      <c r="H4" s="468"/>
    </row>
    <row r="5" spans="1:8" x14ac:dyDescent="0.2">
      <c r="A5" s="269" t="s">
        <v>5</v>
      </c>
      <c r="B5" s="15" t="s">
        <v>466</v>
      </c>
      <c r="C5" s="523"/>
      <c r="D5" s="71"/>
      <c r="E5" s="71" t="s">
        <v>1920</v>
      </c>
      <c r="F5" s="140">
        <v>1</v>
      </c>
      <c r="G5" s="467"/>
      <c r="H5" s="468"/>
    </row>
    <row r="6" spans="1:8" x14ac:dyDescent="0.2">
      <c r="A6" s="269" t="s">
        <v>6</v>
      </c>
      <c r="B6" s="15" t="s">
        <v>91</v>
      </c>
      <c r="C6" s="523"/>
      <c r="D6" s="71"/>
      <c r="E6" s="71" t="s">
        <v>1920</v>
      </c>
      <c r="F6" s="140">
        <v>1</v>
      </c>
      <c r="G6" s="467"/>
      <c r="H6" s="468"/>
    </row>
    <row r="7" spans="1:8" x14ac:dyDescent="0.2">
      <c r="A7" s="269" t="s">
        <v>1392</v>
      </c>
      <c r="B7" s="15" t="s">
        <v>507</v>
      </c>
      <c r="C7" s="523"/>
      <c r="D7" s="71"/>
      <c r="E7" s="71" t="s">
        <v>1920</v>
      </c>
      <c r="F7" s="140">
        <v>1</v>
      </c>
      <c r="G7" s="467"/>
      <c r="H7" s="468"/>
    </row>
    <row r="8" spans="1:8" x14ac:dyDescent="0.2">
      <c r="A8" s="269" t="s">
        <v>1363</v>
      </c>
      <c r="B8" s="15" t="s">
        <v>223</v>
      </c>
      <c r="C8" s="523"/>
      <c r="D8" s="71"/>
      <c r="E8" s="71" t="s">
        <v>1920</v>
      </c>
      <c r="F8" s="140">
        <v>1</v>
      </c>
      <c r="G8" s="467"/>
      <c r="H8" s="468"/>
    </row>
    <row r="9" spans="1:8" ht="15" customHeight="1" x14ac:dyDescent="0.2">
      <c r="A9" s="269" t="s">
        <v>1123</v>
      </c>
      <c r="B9" s="15">
        <v>8130010</v>
      </c>
      <c r="C9" s="523"/>
      <c r="D9" s="71" t="s">
        <v>1729</v>
      </c>
      <c r="E9" s="71" t="s">
        <v>1975</v>
      </c>
      <c r="F9" s="140">
        <v>1</v>
      </c>
      <c r="G9" s="467"/>
      <c r="H9" s="468"/>
    </row>
    <row r="10" spans="1:8" x14ac:dyDescent="0.2">
      <c r="A10" s="269" t="s">
        <v>1125</v>
      </c>
      <c r="B10" s="15">
        <v>8130020</v>
      </c>
      <c r="C10" s="523"/>
      <c r="D10" s="71" t="s">
        <v>2217</v>
      </c>
      <c r="E10" s="71" t="s">
        <v>1975</v>
      </c>
      <c r="F10" s="140">
        <v>3</v>
      </c>
      <c r="G10" s="467"/>
      <c r="H10" s="468"/>
    </row>
    <row r="11" spans="1:8" x14ac:dyDescent="0.2">
      <c r="A11" s="269" t="s">
        <v>1127</v>
      </c>
      <c r="B11" s="15">
        <v>8130030</v>
      </c>
      <c r="C11" s="523"/>
      <c r="D11" s="71"/>
      <c r="E11" s="71" t="s">
        <v>1975</v>
      </c>
      <c r="F11" s="140">
        <v>1</v>
      </c>
      <c r="G11" s="467"/>
      <c r="H11" s="468"/>
    </row>
    <row r="12" spans="1:8" x14ac:dyDescent="0.2">
      <c r="A12" s="269" t="s">
        <v>3115</v>
      </c>
      <c r="B12" s="15" t="s">
        <v>2226</v>
      </c>
      <c r="C12" s="523"/>
      <c r="D12" s="71"/>
      <c r="E12" s="71" t="s">
        <v>1920</v>
      </c>
      <c r="F12" s="140">
        <v>1</v>
      </c>
      <c r="G12" s="467"/>
      <c r="H12" s="468"/>
    </row>
    <row r="13" spans="1:8" x14ac:dyDescent="0.2">
      <c r="A13" s="269" t="s">
        <v>3116</v>
      </c>
      <c r="B13" s="15" t="s">
        <v>872</v>
      </c>
      <c r="C13" s="523"/>
      <c r="D13" s="71" t="s">
        <v>2217</v>
      </c>
      <c r="E13" s="71" t="s">
        <v>1920</v>
      </c>
      <c r="F13" s="140">
        <v>1</v>
      </c>
      <c r="G13" s="467"/>
      <c r="H13" s="468"/>
    </row>
    <row r="14" spans="1:8" x14ac:dyDescent="0.2">
      <c r="A14" s="269" t="s">
        <v>1095</v>
      </c>
      <c r="B14" s="15" t="s">
        <v>46</v>
      </c>
      <c r="C14" s="523"/>
      <c r="D14" s="71"/>
      <c r="E14" s="71" t="s">
        <v>1920</v>
      </c>
      <c r="F14" s="140">
        <v>1</v>
      </c>
      <c r="G14" s="467"/>
      <c r="H14" s="468"/>
    </row>
    <row r="15" spans="1:8" ht="15" customHeight="1" x14ac:dyDescent="0.2">
      <c r="A15" s="269" t="s">
        <v>1094</v>
      </c>
      <c r="B15" s="15" t="s">
        <v>508</v>
      </c>
      <c r="C15" s="523"/>
      <c r="D15" s="71"/>
      <c r="E15" s="71" t="s">
        <v>1920</v>
      </c>
      <c r="F15" s="140">
        <v>1</v>
      </c>
      <c r="G15" s="467"/>
      <c r="H15" s="468"/>
    </row>
    <row r="16" spans="1:8" ht="15" customHeight="1" x14ac:dyDescent="0.2">
      <c r="A16" s="269" t="s">
        <v>1026</v>
      </c>
      <c r="B16" s="15" t="s">
        <v>99</v>
      </c>
      <c r="C16" s="523"/>
      <c r="D16" s="71"/>
      <c r="E16" s="71" t="s">
        <v>1920</v>
      </c>
      <c r="F16" s="140">
        <v>1</v>
      </c>
      <c r="G16" s="467"/>
      <c r="H16" s="468"/>
    </row>
    <row r="17" spans="1:8" x14ac:dyDescent="0.2">
      <c r="A17" s="269" t="s">
        <v>1139</v>
      </c>
      <c r="B17" s="15" t="s">
        <v>45</v>
      </c>
      <c r="C17" s="523"/>
      <c r="D17" s="71"/>
      <c r="E17" s="71" t="s">
        <v>1920</v>
      </c>
      <c r="F17" s="140">
        <v>1</v>
      </c>
      <c r="G17" s="467"/>
      <c r="H17" s="468"/>
    </row>
    <row r="18" spans="1:8" x14ac:dyDescent="0.2">
      <c r="A18" s="269" t="s">
        <v>9</v>
      </c>
      <c r="B18" s="15" t="s">
        <v>375</v>
      </c>
      <c r="C18" s="523"/>
      <c r="D18" s="71"/>
      <c r="E18" s="71" t="s">
        <v>1920</v>
      </c>
      <c r="F18" s="140">
        <v>2</v>
      </c>
      <c r="G18" s="467"/>
      <c r="H18" s="468"/>
    </row>
    <row r="19" spans="1:8" x14ac:dyDescent="0.2">
      <c r="A19" s="269" t="s">
        <v>101</v>
      </c>
      <c r="B19" s="15" t="s">
        <v>509</v>
      </c>
      <c r="C19" s="523"/>
      <c r="D19" s="71"/>
      <c r="E19" s="71" t="s">
        <v>1920</v>
      </c>
      <c r="F19" s="140">
        <v>1</v>
      </c>
      <c r="G19" s="467"/>
      <c r="H19" s="468"/>
    </row>
    <row r="20" spans="1:8" x14ac:dyDescent="0.2">
      <c r="A20" s="269" t="s">
        <v>1036</v>
      </c>
      <c r="B20" s="15" t="s">
        <v>468</v>
      </c>
      <c r="C20" s="523"/>
      <c r="D20" s="71"/>
      <c r="E20" s="71" t="s">
        <v>1920</v>
      </c>
      <c r="F20" s="140">
        <v>1</v>
      </c>
      <c r="G20" s="467"/>
      <c r="H20" s="468"/>
    </row>
    <row r="21" spans="1:8" x14ac:dyDescent="0.2">
      <c r="A21" s="269" t="s">
        <v>1037</v>
      </c>
      <c r="B21" s="15" t="s">
        <v>470</v>
      </c>
      <c r="C21" s="523"/>
      <c r="D21" s="71"/>
      <c r="E21" s="71" t="s">
        <v>1920</v>
      </c>
      <c r="F21" s="140">
        <v>1</v>
      </c>
      <c r="G21" s="467"/>
      <c r="H21" s="468"/>
    </row>
    <row r="22" spans="1:8" x14ac:dyDescent="0.2">
      <c r="A22" s="269" t="s">
        <v>11</v>
      </c>
      <c r="B22" s="15" t="s">
        <v>278</v>
      </c>
      <c r="C22" s="523"/>
      <c r="D22" s="71"/>
      <c r="E22" s="71" t="s">
        <v>1920</v>
      </c>
      <c r="F22" s="140">
        <v>1</v>
      </c>
      <c r="G22" s="467"/>
      <c r="H22" s="468"/>
    </row>
    <row r="23" spans="1:8" x14ac:dyDescent="0.2">
      <c r="A23" s="269" t="s">
        <v>12</v>
      </c>
      <c r="B23" s="15" t="s">
        <v>171</v>
      </c>
      <c r="C23" s="523"/>
      <c r="D23" s="71"/>
      <c r="E23" s="71" t="s">
        <v>1920</v>
      </c>
      <c r="F23" s="140">
        <v>1</v>
      </c>
      <c r="G23" s="467"/>
      <c r="H23" s="468"/>
    </row>
    <row r="24" spans="1:8" x14ac:dyDescent="0.2">
      <c r="A24" s="269" t="s">
        <v>2133</v>
      </c>
      <c r="B24" s="15" t="s">
        <v>2909</v>
      </c>
      <c r="C24" s="523"/>
      <c r="D24" s="71"/>
      <c r="E24" s="71">
        <v>56654</v>
      </c>
      <c r="F24" s="140">
        <v>1</v>
      </c>
      <c r="G24" s="467"/>
      <c r="H24" s="468"/>
    </row>
    <row r="25" spans="1:8" ht="15" customHeight="1" x14ac:dyDescent="0.2">
      <c r="A25" s="269" t="s">
        <v>1287</v>
      </c>
      <c r="B25" s="15" t="s">
        <v>474</v>
      </c>
      <c r="C25" s="523"/>
      <c r="D25" s="71"/>
      <c r="E25" s="71" t="s">
        <v>1920</v>
      </c>
      <c r="F25" s="140">
        <v>1</v>
      </c>
      <c r="G25" s="467"/>
      <c r="H25" s="468"/>
    </row>
    <row r="26" spans="1:8" x14ac:dyDescent="0.2">
      <c r="A26" s="269" t="s">
        <v>1210</v>
      </c>
      <c r="B26" s="15" t="s">
        <v>475</v>
      </c>
      <c r="C26" s="523"/>
      <c r="D26" s="71"/>
      <c r="E26" s="71" t="s">
        <v>1920</v>
      </c>
      <c r="F26" s="140">
        <v>2</v>
      </c>
      <c r="G26" s="467"/>
      <c r="H26" s="468"/>
    </row>
    <row r="27" spans="1:8" x14ac:dyDescent="0.2">
      <c r="A27" s="269" t="s">
        <v>1085</v>
      </c>
      <c r="B27" s="15" t="s">
        <v>92</v>
      </c>
      <c r="C27" s="523"/>
      <c r="D27" s="71"/>
      <c r="E27" s="71" t="s">
        <v>1920</v>
      </c>
      <c r="F27" s="140">
        <v>1</v>
      </c>
      <c r="G27" s="467"/>
      <c r="H27" s="468"/>
    </row>
    <row r="28" spans="1:8" x14ac:dyDescent="0.2">
      <c r="A28" s="269" t="s">
        <v>1192</v>
      </c>
      <c r="B28" s="15" t="s">
        <v>94</v>
      </c>
      <c r="C28" s="523"/>
      <c r="D28" s="71"/>
      <c r="E28" s="71" t="s">
        <v>1920</v>
      </c>
      <c r="F28" s="140">
        <v>1</v>
      </c>
      <c r="G28" s="467"/>
      <c r="H28" s="468"/>
    </row>
    <row r="29" spans="1:8" x14ac:dyDescent="0.2">
      <c r="A29" s="269" t="s">
        <v>50</v>
      </c>
      <c r="B29" s="15" t="s">
        <v>381</v>
      </c>
      <c r="C29" s="523"/>
      <c r="D29" s="71"/>
      <c r="E29" s="71" t="s">
        <v>1920</v>
      </c>
      <c r="F29" s="140">
        <v>1</v>
      </c>
      <c r="G29" s="467"/>
      <c r="H29" s="468"/>
    </row>
    <row r="30" spans="1:8" x14ac:dyDescent="0.2">
      <c r="A30" s="269" t="s">
        <v>16</v>
      </c>
      <c r="B30" s="15" t="s">
        <v>476</v>
      </c>
      <c r="C30" s="523"/>
      <c r="D30" s="71"/>
      <c r="E30" s="71" t="s">
        <v>1920</v>
      </c>
      <c r="F30" s="140">
        <v>2</v>
      </c>
      <c r="G30" s="467"/>
      <c r="H30" s="468"/>
    </row>
    <row r="31" spans="1:8" x14ac:dyDescent="0.2">
      <c r="A31" s="269" t="s">
        <v>3353</v>
      </c>
      <c r="B31" s="15" t="s">
        <v>2754</v>
      </c>
      <c r="C31" s="523"/>
      <c r="D31" s="71"/>
      <c r="E31" s="71" t="s">
        <v>1920</v>
      </c>
      <c r="F31" s="140">
        <v>1</v>
      </c>
      <c r="G31" s="467"/>
      <c r="H31" s="468"/>
    </row>
    <row r="32" spans="1:8" s="263" customFormat="1" x14ac:dyDescent="0.2">
      <c r="A32" s="357" t="s">
        <v>3352</v>
      </c>
      <c r="B32" s="358" t="s">
        <v>2756</v>
      </c>
      <c r="C32" s="523"/>
      <c r="D32" s="356"/>
      <c r="E32" s="314" t="s">
        <v>1920</v>
      </c>
      <c r="F32" s="268">
        <v>1</v>
      </c>
      <c r="G32" s="469"/>
      <c r="H32" s="468"/>
    </row>
    <row r="33" spans="1:8" s="263" customFormat="1" x14ac:dyDescent="0.2">
      <c r="A33" s="357" t="s">
        <v>3351</v>
      </c>
      <c r="B33" s="358" t="s">
        <v>2757</v>
      </c>
      <c r="C33" s="523"/>
      <c r="D33" s="356"/>
      <c r="E33" s="314" t="s">
        <v>1920</v>
      </c>
      <c r="F33" s="268">
        <v>1</v>
      </c>
      <c r="G33" s="469"/>
      <c r="H33" s="468"/>
    </row>
    <row r="34" spans="1:8" x14ac:dyDescent="0.2">
      <c r="A34" s="269" t="s">
        <v>105</v>
      </c>
      <c r="B34" s="15" t="s">
        <v>2118</v>
      </c>
      <c r="C34" s="523"/>
      <c r="D34" s="71" t="s">
        <v>1729</v>
      </c>
      <c r="E34" s="71" t="s">
        <v>1975</v>
      </c>
      <c r="F34" s="140">
        <v>1</v>
      </c>
      <c r="G34" s="467"/>
      <c r="H34" s="468"/>
    </row>
    <row r="35" spans="1:8" x14ac:dyDescent="0.2">
      <c r="A35" s="269" t="s">
        <v>1156</v>
      </c>
      <c r="B35" s="15" t="s">
        <v>2117</v>
      </c>
      <c r="C35" s="523"/>
      <c r="D35" s="71" t="s">
        <v>2217</v>
      </c>
      <c r="E35" s="71" t="s">
        <v>1975</v>
      </c>
      <c r="F35" s="140">
        <v>3</v>
      </c>
      <c r="G35" s="467"/>
      <c r="H35" s="468"/>
    </row>
    <row r="36" spans="1:8" x14ac:dyDescent="0.2">
      <c r="A36" s="270" t="s">
        <v>3120</v>
      </c>
      <c r="B36" s="267" t="s">
        <v>3119</v>
      </c>
      <c r="C36" s="523"/>
      <c r="D36" s="267"/>
      <c r="E36" s="267" t="s">
        <v>1928</v>
      </c>
      <c r="F36" s="140">
        <v>1</v>
      </c>
      <c r="G36" s="446"/>
      <c r="H36" s="468"/>
    </row>
    <row r="37" spans="1:8" x14ac:dyDescent="0.2">
      <c r="A37" s="269" t="s">
        <v>2237</v>
      </c>
      <c r="B37" s="15" t="s">
        <v>2236</v>
      </c>
      <c r="C37" s="523"/>
      <c r="D37" s="71"/>
      <c r="E37" s="71" t="s">
        <v>1920</v>
      </c>
      <c r="F37" s="140">
        <v>1</v>
      </c>
      <c r="G37" s="467"/>
      <c r="H37" s="468"/>
    </row>
    <row r="38" spans="1:8" x14ac:dyDescent="0.2">
      <c r="A38" s="269" t="s">
        <v>1275</v>
      </c>
      <c r="B38" s="15" t="s">
        <v>478</v>
      </c>
      <c r="C38" s="523"/>
      <c r="D38" s="71"/>
      <c r="E38" s="71" t="s">
        <v>1920</v>
      </c>
      <c r="F38" s="140">
        <v>1</v>
      </c>
      <c r="G38" s="467"/>
      <c r="H38" s="468"/>
    </row>
    <row r="39" spans="1:8" x14ac:dyDescent="0.2">
      <c r="A39" s="269" t="s">
        <v>459</v>
      </c>
      <c r="B39" s="15" t="s">
        <v>1823</v>
      </c>
      <c r="C39" s="523"/>
      <c r="D39" s="71"/>
      <c r="E39" s="71" t="s">
        <v>1920</v>
      </c>
      <c r="F39" s="140">
        <v>1</v>
      </c>
      <c r="G39" s="467" t="s">
        <v>2217</v>
      </c>
      <c r="H39" s="468"/>
    </row>
    <row r="40" spans="1:8" x14ac:dyDescent="0.2">
      <c r="A40" s="269" t="s">
        <v>180</v>
      </c>
      <c r="B40" s="15" t="s">
        <v>479</v>
      </c>
      <c r="C40" s="523"/>
      <c r="D40" s="71"/>
      <c r="E40" s="71" t="s">
        <v>1920</v>
      </c>
      <c r="F40" s="140">
        <v>1</v>
      </c>
      <c r="G40" s="467"/>
      <c r="H40" s="468"/>
    </row>
    <row r="41" spans="1:8" x14ac:dyDescent="0.2">
      <c r="A41" s="269" t="s">
        <v>1215</v>
      </c>
      <c r="B41" s="15" t="s">
        <v>286</v>
      </c>
      <c r="C41" s="523"/>
      <c r="D41" s="71"/>
      <c r="E41" s="71" t="s">
        <v>1920</v>
      </c>
      <c r="F41" s="140">
        <v>1</v>
      </c>
      <c r="G41" s="467"/>
      <c r="H41" s="468"/>
    </row>
    <row r="42" spans="1:8" x14ac:dyDescent="0.2">
      <c r="A42" s="269" t="s">
        <v>1563</v>
      </c>
      <c r="B42" s="261" t="s">
        <v>513</v>
      </c>
      <c r="C42" s="523"/>
      <c r="D42" s="266"/>
      <c r="E42" s="266" t="s">
        <v>1920</v>
      </c>
      <c r="F42" s="140">
        <v>1</v>
      </c>
      <c r="G42" s="467"/>
      <c r="H42" s="468"/>
    </row>
    <row r="43" spans="1:8" x14ac:dyDescent="0.2">
      <c r="A43" s="269" t="s">
        <v>1566</v>
      </c>
      <c r="B43" s="15" t="s">
        <v>514</v>
      </c>
      <c r="C43" s="523"/>
      <c r="D43" s="71"/>
      <c r="E43" s="71" t="s">
        <v>1920</v>
      </c>
      <c r="F43" s="140">
        <v>1</v>
      </c>
      <c r="G43" s="467"/>
      <c r="H43" s="468"/>
    </row>
    <row r="44" spans="1:8" ht="15" customHeight="1" x14ac:dyDescent="0.2">
      <c r="A44" s="269" t="s">
        <v>1216</v>
      </c>
      <c r="B44" s="15" t="s">
        <v>481</v>
      </c>
      <c r="C44" s="523"/>
      <c r="D44" s="71"/>
      <c r="E44" s="71" t="s">
        <v>1920</v>
      </c>
      <c r="F44" s="140">
        <v>1</v>
      </c>
      <c r="G44" s="467"/>
      <c r="H44" s="468"/>
    </row>
    <row r="45" spans="1:8" ht="15" customHeight="1" x14ac:dyDescent="0.2">
      <c r="A45" s="269" t="s">
        <v>1163</v>
      </c>
      <c r="B45" s="15" t="s">
        <v>239</v>
      </c>
      <c r="C45" s="523"/>
      <c r="D45" s="71"/>
      <c r="E45" s="71" t="s">
        <v>1920</v>
      </c>
      <c r="F45" s="140">
        <v>1</v>
      </c>
      <c r="G45" s="467"/>
      <c r="H45" s="468"/>
    </row>
    <row r="46" spans="1:8" x14ac:dyDescent="0.2">
      <c r="A46" s="269" t="s">
        <v>1591</v>
      </c>
      <c r="B46" s="15" t="s">
        <v>516</v>
      </c>
      <c r="C46" s="523"/>
      <c r="D46" s="71"/>
      <c r="E46" s="71" t="s">
        <v>1920</v>
      </c>
      <c r="F46" s="140">
        <v>1</v>
      </c>
      <c r="G46" s="467"/>
      <c r="H46" s="468"/>
    </row>
    <row r="47" spans="1:8" x14ac:dyDescent="0.2">
      <c r="A47" s="269" t="s">
        <v>410</v>
      </c>
      <c r="B47" s="15" t="s">
        <v>483</v>
      </c>
      <c r="C47" s="523"/>
      <c r="D47" s="71"/>
      <c r="E47" s="71" t="s">
        <v>1920</v>
      </c>
      <c r="F47" s="140">
        <v>1</v>
      </c>
      <c r="G47" s="467"/>
      <c r="H47" s="468"/>
    </row>
    <row r="48" spans="1:8" ht="15" customHeight="1" x14ac:dyDescent="0.2">
      <c r="A48" s="269" t="s">
        <v>20</v>
      </c>
      <c r="B48" s="15" t="s">
        <v>287</v>
      </c>
      <c r="C48" s="523"/>
      <c r="D48" s="71"/>
      <c r="E48" s="71" t="s">
        <v>1920</v>
      </c>
      <c r="F48" s="140">
        <v>1</v>
      </c>
      <c r="G48" s="467"/>
      <c r="H48" s="468"/>
    </row>
    <row r="49" spans="1:8" ht="15" customHeight="1" x14ac:dyDescent="0.2">
      <c r="A49" s="269" t="s">
        <v>1340</v>
      </c>
      <c r="B49" s="15" t="s">
        <v>87</v>
      </c>
      <c r="C49" s="523"/>
      <c r="D49" s="71"/>
      <c r="E49" s="71" t="s">
        <v>1920</v>
      </c>
      <c r="F49" s="140">
        <v>1</v>
      </c>
      <c r="G49" s="467"/>
      <c r="H49" s="468"/>
    </row>
    <row r="50" spans="1:8" x14ac:dyDescent="0.2">
      <c r="A50" s="269" t="s">
        <v>1339</v>
      </c>
      <c r="B50" s="15" t="s">
        <v>88</v>
      </c>
      <c r="C50" s="523"/>
      <c r="D50" s="71"/>
      <c r="E50" s="71" t="s">
        <v>1920</v>
      </c>
      <c r="F50" s="140">
        <v>1</v>
      </c>
      <c r="G50" s="467"/>
      <c r="H50" s="468"/>
    </row>
    <row r="51" spans="1:8" ht="15" customHeight="1" x14ac:dyDescent="0.2">
      <c r="A51" s="269" t="s">
        <v>1087</v>
      </c>
      <c r="B51" s="15" t="s">
        <v>484</v>
      </c>
      <c r="C51" s="523"/>
      <c r="D51" s="71"/>
      <c r="E51" s="71" t="s">
        <v>1920</v>
      </c>
      <c r="F51" s="140">
        <v>1</v>
      </c>
      <c r="G51" s="467"/>
      <c r="H51" s="468"/>
    </row>
    <row r="52" spans="1:8" x14ac:dyDescent="0.2">
      <c r="A52" s="269" t="s">
        <v>1088</v>
      </c>
      <c r="B52" s="15" t="s">
        <v>485</v>
      </c>
      <c r="C52" s="523"/>
      <c r="D52" s="71"/>
      <c r="E52" s="71" t="s">
        <v>1920</v>
      </c>
      <c r="F52" s="140">
        <v>1</v>
      </c>
      <c r="G52" s="467"/>
      <c r="H52" s="468"/>
    </row>
    <row r="53" spans="1:8" x14ac:dyDescent="0.2">
      <c r="A53" s="269" t="s">
        <v>1337</v>
      </c>
      <c r="B53" s="15" t="s">
        <v>519</v>
      </c>
      <c r="C53" s="523"/>
      <c r="D53" s="71"/>
      <c r="E53" s="71" t="s">
        <v>1920</v>
      </c>
      <c r="F53" s="140">
        <v>2</v>
      </c>
      <c r="G53" s="467"/>
      <c r="H53" s="468"/>
    </row>
    <row r="54" spans="1:8" ht="15" customHeight="1" x14ac:dyDescent="0.2">
      <c r="A54" s="269" t="s">
        <v>1295</v>
      </c>
      <c r="B54" s="15" t="s">
        <v>52</v>
      </c>
      <c r="C54" s="523"/>
      <c r="D54" s="71"/>
      <c r="E54" s="71" t="s">
        <v>1920</v>
      </c>
      <c r="F54" s="140">
        <v>1</v>
      </c>
      <c r="G54" s="467"/>
      <c r="H54" s="468"/>
    </row>
    <row r="55" spans="1:8" x14ac:dyDescent="0.2">
      <c r="A55" s="269" t="s">
        <v>1301</v>
      </c>
      <c r="B55" s="15" t="s">
        <v>829</v>
      </c>
      <c r="C55" s="523"/>
      <c r="D55" s="71"/>
      <c r="E55" s="71" t="s">
        <v>1920</v>
      </c>
      <c r="F55" s="140">
        <v>1</v>
      </c>
      <c r="G55" s="467"/>
      <c r="H55" s="468"/>
    </row>
    <row r="56" spans="1:8" x14ac:dyDescent="0.2">
      <c r="A56" s="269" t="s">
        <v>1260</v>
      </c>
      <c r="B56" s="15" t="s">
        <v>520</v>
      </c>
      <c r="C56" s="523"/>
      <c r="D56" s="71"/>
      <c r="E56" s="71" t="s">
        <v>1920</v>
      </c>
      <c r="F56" s="140">
        <v>1</v>
      </c>
      <c r="G56" s="467"/>
      <c r="H56" s="468"/>
    </row>
    <row r="57" spans="1:8" x14ac:dyDescent="0.2">
      <c r="A57" s="269" t="s">
        <v>1394</v>
      </c>
      <c r="B57" s="15" t="s">
        <v>240</v>
      </c>
      <c r="C57" s="523"/>
      <c r="D57" s="71"/>
      <c r="E57" s="71" t="s">
        <v>1920</v>
      </c>
      <c r="F57" s="140">
        <v>1</v>
      </c>
      <c r="G57" s="467"/>
      <c r="H57" s="468"/>
    </row>
    <row r="58" spans="1:8" x14ac:dyDescent="0.2">
      <c r="A58" s="269" t="s">
        <v>1399</v>
      </c>
      <c r="B58" s="15" t="s">
        <v>521</v>
      </c>
      <c r="C58" s="523"/>
      <c r="D58" s="71"/>
      <c r="E58" s="71" t="s">
        <v>1920</v>
      </c>
      <c r="F58" s="140">
        <v>1</v>
      </c>
      <c r="G58" s="467"/>
      <c r="H58" s="468"/>
    </row>
    <row r="59" spans="1:8" x14ac:dyDescent="0.2">
      <c r="A59" s="269" t="s">
        <v>1397</v>
      </c>
      <c r="B59" s="15" t="s">
        <v>522</v>
      </c>
      <c r="C59" s="523"/>
      <c r="D59" s="71"/>
      <c r="E59" s="71" t="s">
        <v>1920</v>
      </c>
      <c r="F59" s="140">
        <v>1</v>
      </c>
      <c r="G59" s="467"/>
      <c r="H59" s="468"/>
    </row>
    <row r="60" spans="1:8" x14ac:dyDescent="0.2">
      <c r="A60" s="269" t="s">
        <v>1225</v>
      </c>
      <c r="B60" s="15" t="s">
        <v>523</v>
      </c>
      <c r="C60" s="523"/>
      <c r="D60" s="71"/>
      <c r="E60" s="71" t="s">
        <v>1920</v>
      </c>
      <c r="F60" s="140">
        <v>1</v>
      </c>
      <c r="G60" s="467"/>
      <c r="H60" s="468"/>
    </row>
    <row r="61" spans="1:8" x14ac:dyDescent="0.2">
      <c r="A61" s="269" t="s">
        <v>24</v>
      </c>
      <c r="B61" s="15" t="s">
        <v>297</v>
      </c>
      <c r="C61" s="523"/>
      <c r="D61" s="71"/>
      <c r="E61" s="71" t="s">
        <v>1920</v>
      </c>
      <c r="F61" s="140">
        <v>1</v>
      </c>
      <c r="G61" s="467"/>
      <c r="H61" s="468"/>
    </row>
    <row r="62" spans="1:8" x14ac:dyDescent="0.2">
      <c r="A62" s="269" t="s">
        <v>25</v>
      </c>
      <c r="B62" s="15" t="s">
        <v>300</v>
      </c>
      <c r="C62" s="523"/>
      <c r="D62" s="71"/>
      <c r="E62" s="71" t="s">
        <v>1920</v>
      </c>
      <c r="F62" s="140">
        <v>2</v>
      </c>
      <c r="G62" s="467"/>
      <c r="H62" s="468"/>
    </row>
    <row r="63" spans="1:8" ht="15" customHeight="1" x14ac:dyDescent="0.2">
      <c r="A63" s="269" t="s">
        <v>1228</v>
      </c>
      <c r="B63" s="15" t="s">
        <v>489</v>
      </c>
      <c r="C63" s="523"/>
      <c r="D63" s="71"/>
      <c r="E63" s="71" t="s">
        <v>1920</v>
      </c>
      <c r="F63" s="140">
        <v>2</v>
      </c>
      <c r="G63" s="467"/>
      <c r="H63" s="468"/>
    </row>
    <row r="64" spans="1:8" ht="15" customHeight="1" x14ac:dyDescent="0.2">
      <c r="A64" s="269" t="s">
        <v>1449</v>
      </c>
      <c r="B64" s="15" t="s">
        <v>859</v>
      </c>
      <c r="C64" s="523"/>
      <c r="D64" s="71"/>
      <c r="E64" s="71" t="s">
        <v>1920</v>
      </c>
      <c r="F64" s="140">
        <v>1</v>
      </c>
      <c r="G64" s="467"/>
      <c r="H64" s="468"/>
    </row>
    <row r="65" spans="1:8" x14ac:dyDescent="0.2">
      <c r="A65" s="269" t="s">
        <v>27</v>
      </c>
      <c r="B65" s="15" t="s">
        <v>302</v>
      </c>
      <c r="C65" s="523"/>
      <c r="D65" s="71"/>
      <c r="E65" s="71" t="s">
        <v>1920</v>
      </c>
      <c r="F65" s="140">
        <v>1</v>
      </c>
      <c r="G65" s="467"/>
      <c r="H65" s="468"/>
    </row>
    <row r="66" spans="1:8" x14ac:dyDescent="0.2">
      <c r="A66" s="269" t="s">
        <v>1229</v>
      </c>
      <c r="B66" s="15" t="s">
        <v>303</v>
      </c>
      <c r="C66" s="523"/>
      <c r="D66" s="71"/>
      <c r="E66" s="71" t="s">
        <v>1920</v>
      </c>
      <c r="F66" s="140">
        <v>1</v>
      </c>
      <c r="G66" s="467"/>
      <c r="H66" s="468"/>
    </row>
    <row r="67" spans="1:8" x14ac:dyDescent="0.2">
      <c r="A67" s="269" t="s">
        <v>1079</v>
      </c>
      <c r="B67" s="15" t="s">
        <v>487</v>
      </c>
      <c r="C67" s="523"/>
      <c r="D67" s="71"/>
      <c r="E67" s="71" t="s">
        <v>1920</v>
      </c>
      <c r="F67" s="140">
        <v>1</v>
      </c>
      <c r="G67" s="467"/>
      <c r="H67" s="468"/>
    </row>
    <row r="68" spans="1:8" x14ac:dyDescent="0.2">
      <c r="A68" s="269" t="s">
        <v>1232</v>
      </c>
      <c r="B68" s="15" t="s">
        <v>76</v>
      </c>
      <c r="C68" s="523"/>
      <c r="D68" s="71"/>
      <c r="E68" s="71" t="s">
        <v>1920</v>
      </c>
      <c r="F68" s="140">
        <v>1</v>
      </c>
      <c r="G68" s="467"/>
      <c r="H68" s="468"/>
    </row>
    <row r="69" spans="1:8" x14ac:dyDescent="0.2">
      <c r="A69" s="269" t="s">
        <v>1235</v>
      </c>
      <c r="B69" s="15" t="s">
        <v>78</v>
      </c>
      <c r="C69" s="523"/>
      <c r="D69" s="71"/>
      <c r="E69" s="71" t="s">
        <v>1920</v>
      </c>
      <c r="F69" s="140">
        <v>1</v>
      </c>
      <c r="G69" s="467"/>
      <c r="H69" s="468"/>
    </row>
    <row r="70" spans="1:8" x14ac:dyDescent="0.2">
      <c r="A70" s="269" t="s">
        <v>29</v>
      </c>
      <c r="B70" s="15" t="s">
        <v>2758</v>
      </c>
      <c r="C70" s="523"/>
      <c r="D70" s="71"/>
      <c r="E70" s="71" t="s">
        <v>1920</v>
      </c>
      <c r="F70" s="140">
        <v>1</v>
      </c>
      <c r="G70" s="467"/>
      <c r="H70" s="468"/>
    </row>
    <row r="71" spans="1:8" x14ac:dyDescent="0.2">
      <c r="A71" s="269" t="s">
        <v>1240</v>
      </c>
      <c r="B71" s="15" t="s">
        <v>304</v>
      </c>
      <c r="C71" s="523"/>
      <c r="D71" s="71"/>
      <c r="E71" s="71" t="s">
        <v>1920</v>
      </c>
      <c r="F71" s="140">
        <v>2</v>
      </c>
      <c r="G71" s="467"/>
      <c r="H71" s="468"/>
    </row>
    <row r="72" spans="1:8" x14ac:dyDescent="0.2">
      <c r="A72" s="269" t="s">
        <v>54</v>
      </c>
      <c r="B72" s="15" t="s">
        <v>3073</v>
      </c>
      <c r="C72" s="523"/>
      <c r="D72" s="71"/>
      <c r="E72" s="71" t="s">
        <v>1920</v>
      </c>
      <c r="F72" s="140">
        <v>1</v>
      </c>
      <c r="G72" s="467"/>
      <c r="H72" s="468"/>
    </row>
    <row r="73" spans="1:8" x14ac:dyDescent="0.2">
      <c r="A73" s="269" t="s">
        <v>55</v>
      </c>
      <c r="B73" s="15" t="s">
        <v>524</v>
      </c>
      <c r="C73" s="523"/>
      <c r="D73" s="71"/>
      <c r="E73" s="71" t="s">
        <v>1920</v>
      </c>
      <c r="F73" s="140">
        <v>1</v>
      </c>
      <c r="G73" s="467"/>
      <c r="H73" s="468"/>
    </row>
    <row r="74" spans="1:8" x14ac:dyDescent="0.2">
      <c r="A74" s="269" t="s">
        <v>56</v>
      </c>
      <c r="B74" s="15" t="s">
        <v>525</v>
      </c>
      <c r="C74" s="523"/>
      <c r="D74" s="71"/>
      <c r="E74" s="71" t="s">
        <v>1920</v>
      </c>
      <c r="F74" s="140">
        <v>1</v>
      </c>
      <c r="G74" s="467"/>
      <c r="H74" s="468"/>
    </row>
    <row r="75" spans="1:8" x14ac:dyDescent="0.2">
      <c r="A75" s="269" t="s">
        <v>1193</v>
      </c>
      <c r="B75" s="15" t="s">
        <v>316</v>
      </c>
      <c r="C75" s="523"/>
      <c r="D75" s="71"/>
      <c r="E75" s="71" t="s">
        <v>1920</v>
      </c>
      <c r="F75" s="140">
        <v>1</v>
      </c>
      <c r="G75" s="467"/>
      <c r="H75" s="468"/>
    </row>
    <row r="76" spans="1:8" ht="15" customHeight="1" x14ac:dyDescent="0.2">
      <c r="A76" s="269" t="s">
        <v>34</v>
      </c>
      <c r="B76" s="15" t="s">
        <v>1826</v>
      </c>
      <c r="C76" s="523"/>
      <c r="D76" s="71"/>
      <c r="E76" s="71" t="s">
        <v>1920</v>
      </c>
      <c r="F76" s="140">
        <v>1</v>
      </c>
      <c r="G76" s="467"/>
      <c r="H76" s="468"/>
    </row>
    <row r="77" spans="1:8" x14ac:dyDescent="0.2">
      <c r="A77" s="269" t="s">
        <v>1048</v>
      </c>
      <c r="B77" s="15" t="s">
        <v>170</v>
      </c>
      <c r="C77" s="523"/>
      <c r="D77" s="71"/>
      <c r="E77" s="71" t="s">
        <v>1920</v>
      </c>
      <c r="F77" s="140">
        <v>1</v>
      </c>
      <c r="G77" s="467"/>
      <c r="H77" s="468"/>
    </row>
    <row r="78" spans="1:8" x14ac:dyDescent="0.2">
      <c r="A78" s="269" t="s">
        <v>35</v>
      </c>
      <c r="B78" s="15" t="s">
        <v>1827</v>
      </c>
      <c r="C78" s="523"/>
      <c r="D78" s="71"/>
      <c r="E78" s="71" t="s">
        <v>1920</v>
      </c>
      <c r="F78" s="140">
        <v>1</v>
      </c>
      <c r="G78" s="467"/>
      <c r="H78" s="468"/>
    </row>
    <row r="79" spans="1:8" x14ac:dyDescent="0.2">
      <c r="A79" s="269" t="s">
        <v>1050</v>
      </c>
      <c r="B79" s="15" t="s">
        <v>404</v>
      </c>
      <c r="C79" s="523"/>
      <c r="D79" s="71"/>
      <c r="E79" s="71" t="s">
        <v>1920</v>
      </c>
      <c r="F79" s="140">
        <v>1</v>
      </c>
      <c r="G79" s="467"/>
      <c r="H79" s="468"/>
    </row>
    <row r="80" spans="1:8" x14ac:dyDescent="0.2">
      <c r="A80" s="269" t="s">
        <v>36</v>
      </c>
      <c r="B80" s="15" t="s">
        <v>1828</v>
      </c>
      <c r="C80" s="523"/>
      <c r="D80" s="71"/>
      <c r="E80" s="71" t="s">
        <v>1920</v>
      </c>
      <c r="F80" s="140">
        <v>1</v>
      </c>
      <c r="G80" s="467"/>
      <c r="H80" s="468"/>
    </row>
    <row r="81" spans="1:8" x14ac:dyDescent="0.2">
      <c r="A81" s="269" t="s">
        <v>1194</v>
      </c>
      <c r="B81" s="15" t="s">
        <v>314</v>
      </c>
      <c r="C81" s="523"/>
      <c r="D81" s="71"/>
      <c r="E81" s="71" t="s">
        <v>1920</v>
      </c>
      <c r="F81" s="140">
        <v>1</v>
      </c>
      <c r="G81" s="467"/>
      <c r="H81" s="468"/>
    </row>
    <row r="82" spans="1:8" x14ac:dyDescent="0.2">
      <c r="A82" s="269" t="s">
        <v>1247</v>
      </c>
      <c r="B82" s="15" t="s">
        <v>443</v>
      </c>
      <c r="C82" s="523"/>
      <c r="D82" s="71"/>
      <c r="E82" s="71" t="s">
        <v>1920</v>
      </c>
      <c r="F82" s="140">
        <v>1</v>
      </c>
      <c r="G82" s="467"/>
      <c r="H82" s="468"/>
    </row>
    <row r="83" spans="1:8" x14ac:dyDescent="0.2">
      <c r="A83" s="269" t="s">
        <v>1250</v>
      </c>
      <c r="B83" s="15" t="s">
        <v>462</v>
      </c>
      <c r="C83" s="523"/>
      <c r="D83" s="71"/>
      <c r="E83" s="71" t="s">
        <v>1920</v>
      </c>
      <c r="F83" s="140">
        <v>1</v>
      </c>
      <c r="G83" s="467"/>
      <c r="H83" s="468"/>
    </row>
    <row r="84" spans="1:8" ht="15" customHeight="1" x14ac:dyDescent="0.2">
      <c r="A84" s="269" t="s">
        <v>2877</v>
      </c>
      <c r="B84" s="15" t="s">
        <v>308</v>
      </c>
      <c r="C84" s="523"/>
      <c r="D84" s="71"/>
      <c r="E84" s="71" t="s">
        <v>1920</v>
      </c>
      <c r="F84" s="140">
        <v>1</v>
      </c>
      <c r="G84" s="467"/>
      <c r="H84" s="468"/>
    </row>
    <row r="85" spans="1:8" ht="15" customHeight="1" x14ac:dyDescent="0.2">
      <c r="A85" s="269" t="s">
        <v>1174</v>
      </c>
      <c r="B85" s="15" t="s">
        <v>309</v>
      </c>
      <c r="C85" s="523"/>
      <c r="D85" s="71"/>
      <c r="E85" s="71" t="s">
        <v>1920</v>
      </c>
      <c r="F85" s="140">
        <v>2</v>
      </c>
      <c r="G85" s="467"/>
      <c r="H85" s="468"/>
    </row>
    <row r="86" spans="1:8" x14ac:dyDescent="0.2">
      <c r="A86" s="269" t="s">
        <v>3243</v>
      </c>
      <c r="B86" s="15" t="s">
        <v>82</v>
      </c>
      <c r="C86" s="523"/>
      <c r="D86" s="71"/>
      <c r="E86" s="71" t="s">
        <v>1920</v>
      </c>
      <c r="F86" s="140">
        <v>1</v>
      </c>
      <c r="G86" s="467"/>
      <c r="H86" s="468"/>
    </row>
    <row r="87" spans="1:8" x14ac:dyDescent="0.2">
      <c r="A87" s="269" t="s">
        <v>1052</v>
      </c>
      <c r="B87" s="15" t="s">
        <v>312</v>
      </c>
      <c r="C87" s="523"/>
      <c r="D87" s="71"/>
      <c r="E87" s="71" t="s">
        <v>1920</v>
      </c>
      <c r="F87" s="140">
        <v>1</v>
      </c>
      <c r="G87" s="467"/>
      <c r="H87" s="468"/>
    </row>
    <row r="88" spans="1:8" ht="15" customHeight="1" x14ac:dyDescent="0.2">
      <c r="A88" s="269" t="s">
        <v>39</v>
      </c>
      <c r="B88" s="15" t="s">
        <v>245</v>
      </c>
      <c r="C88" s="523"/>
      <c r="D88" s="71"/>
      <c r="E88" s="71" t="s">
        <v>1920</v>
      </c>
      <c r="F88" s="140">
        <v>1</v>
      </c>
      <c r="G88" s="467"/>
      <c r="H88" s="468"/>
    </row>
    <row r="89" spans="1:8" ht="15.75" customHeight="1" x14ac:dyDescent="0.2">
      <c r="A89" s="269" t="s">
        <v>1631</v>
      </c>
      <c r="B89" s="15" t="s">
        <v>1996</v>
      </c>
      <c r="C89" s="523"/>
      <c r="D89" s="71"/>
      <c r="E89" s="71" t="s">
        <v>1920</v>
      </c>
      <c r="F89" s="140">
        <v>1</v>
      </c>
      <c r="G89" s="467"/>
      <c r="H89" s="468"/>
    </row>
    <row r="90" spans="1:8" ht="15.75" customHeight="1" x14ac:dyDescent="0.2">
      <c r="A90" s="269" t="s">
        <v>2234</v>
      </c>
      <c r="B90" s="15" t="s">
        <v>119</v>
      </c>
      <c r="C90" s="523"/>
      <c r="D90" s="71"/>
      <c r="E90" s="71" t="s">
        <v>1920</v>
      </c>
      <c r="F90" s="140">
        <v>1</v>
      </c>
      <c r="G90" s="467"/>
      <c r="H90" s="468"/>
    </row>
    <row r="91" spans="1:8" ht="15.75" customHeight="1" x14ac:dyDescent="0.2">
      <c r="A91" s="269" t="s">
        <v>2897</v>
      </c>
      <c r="B91" s="15" t="s">
        <v>324</v>
      </c>
      <c r="C91" s="523"/>
      <c r="D91" s="71"/>
      <c r="E91" s="71" t="s">
        <v>1920</v>
      </c>
      <c r="F91" s="140">
        <v>1</v>
      </c>
      <c r="G91" s="467"/>
      <c r="H91" s="468"/>
    </row>
    <row r="92" spans="1:8" ht="15.75" customHeight="1" x14ac:dyDescent="0.2">
      <c r="A92" s="269" t="s">
        <v>167</v>
      </c>
      <c r="B92" s="15" t="s">
        <v>323</v>
      </c>
      <c r="C92" s="523"/>
      <c r="D92" s="71"/>
      <c r="E92" s="71" t="s">
        <v>1920</v>
      </c>
      <c r="F92" s="140">
        <v>1</v>
      </c>
      <c r="G92" s="467"/>
      <c r="H92" s="468"/>
    </row>
    <row r="93" spans="1:8" ht="15.75" customHeight="1" x14ac:dyDescent="0.2">
      <c r="A93" s="269" t="s">
        <v>1054</v>
      </c>
      <c r="B93" s="15" t="s">
        <v>326</v>
      </c>
      <c r="C93" s="523"/>
      <c r="D93" s="71"/>
      <c r="E93" s="71" t="s">
        <v>1920</v>
      </c>
      <c r="F93" s="140">
        <v>1</v>
      </c>
      <c r="G93" s="467"/>
      <c r="H93" s="468"/>
    </row>
    <row r="94" spans="1:8" ht="15.75" customHeight="1" x14ac:dyDescent="0.2">
      <c r="A94" s="269" t="s">
        <v>1184</v>
      </c>
      <c r="B94" s="15" t="s">
        <v>327</v>
      </c>
      <c r="C94" s="523"/>
      <c r="D94" s="71"/>
      <c r="E94" s="71" t="s">
        <v>1920</v>
      </c>
      <c r="F94" s="140">
        <v>1</v>
      </c>
      <c r="G94" s="467"/>
      <c r="H94" s="468"/>
    </row>
    <row r="95" spans="1:8" ht="15.75" customHeight="1" x14ac:dyDescent="0.2">
      <c r="A95" s="269" t="s">
        <v>1493</v>
      </c>
      <c r="B95" s="15" t="s">
        <v>526</v>
      </c>
      <c r="C95" s="523"/>
      <c r="D95" s="71" t="s">
        <v>1888</v>
      </c>
      <c r="E95" s="71" t="s">
        <v>1928</v>
      </c>
      <c r="F95" s="140">
        <v>1</v>
      </c>
      <c r="G95" s="467"/>
      <c r="H95" s="468"/>
    </row>
    <row r="96" spans="1:8" ht="15.75" customHeight="1" x14ac:dyDescent="0.2">
      <c r="A96" s="269" t="s">
        <v>3250</v>
      </c>
      <c r="B96" s="15" t="s">
        <v>318</v>
      </c>
      <c r="C96" s="523"/>
      <c r="D96" s="71"/>
      <c r="E96" s="71" t="s">
        <v>1920</v>
      </c>
      <c r="F96" s="140">
        <v>1</v>
      </c>
      <c r="G96" s="467"/>
      <c r="H96" s="468"/>
    </row>
    <row r="97" spans="1:16382" ht="15.75" customHeight="1" x14ac:dyDescent="0.2">
      <c r="A97" s="269" t="s">
        <v>1693</v>
      </c>
      <c r="B97" s="15" t="s">
        <v>527</v>
      </c>
      <c r="C97" s="523"/>
      <c r="D97" s="71"/>
      <c r="E97" s="71" t="s">
        <v>1920</v>
      </c>
      <c r="F97" s="140">
        <v>1</v>
      </c>
      <c r="G97" s="467"/>
      <c r="H97" s="468"/>
    </row>
    <row r="98" spans="1:16382" ht="15.75" customHeight="1" x14ac:dyDescent="0.2">
      <c r="A98" s="269" t="s">
        <v>1694</v>
      </c>
      <c r="B98" s="15" t="s">
        <v>528</v>
      </c>
      <c r="C98" s="523"/>
      <c r="D98" s="71"/>
      <c r="E98" s="71" t="s">
        <v>1920</v>
      </c>
      <c r="F98" s="140">
        <v>1</v>
      </c>
      <c r="G98" s="467"/>
      <c r="H98" s="468"/>
    </row>
    <row r="99" spans="1:16382" x14ac:dyDescent="0.2">
      <c r="A99" s="269" t="s">
        <v>59</v>
      </c>
      <c r="B99" s="15" t="s">
        <v>60</v>
      </c>
      <c r="C99" s="523"/>
      <c r="D99" s="71"/>
      <c r="E99" s="71" t="s">
        <v>1920</v>
      </c>
      <c r="F99" s="140">
        <v>1</v>
      </c>
      <c r="G99" s="467"/>
      <c r="H99" s="468"/>
    </row>
    <row r="100" spans="1:16382" x14ac:dyDescent="0.2">
      <c r="A100" s="269" t="s">
        <v>1537</v>
      </c>
      <c r="B100" s="261" t="s">
        <v>530</v>
      </c>
      <c r="C100" s="523"/>
      <c r="D100" s="266"/>
      <c r="E100" s="266" t="s">
        <v>1920</v>
      </c>
      <c r="F100" s="268">
        <v>1</v>
      </c>
      <c r="G100" s="470"/>
      <c r="H100" s="468"/>
    </row>
    <row r="101" spans="1:16382" x14ac:dyDescent="0.2">
      <c r="A101" s="263"/>
      <c r="B101" s="264"/>
      <c r="D101" s="264"/>
      <c r="E101" s="264"/>
      <c r="F101" s="264"/>
      <c r="G101" s="265"/>
    </row>
    <row r="103" spans="1:16382" ht="18" x14ac:dyDescent="0.25">
      <c r="A103" s="422" t="s">
        <v>2235</v>
      </c>
      <c r="B103" s="422"/>
      <c r="C103" s="30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/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  <c r="UG103" s="4"/>
      <c r="UH103" s="4"/>
      <c r="UI103" s="4"/>
      <c r="UJ103" s="4"/>
      <c r="UK103" s="4"/>
      <c r="UL103" s="4"/>
      <c r="UM103" s="4"/>
      <c r="UN103" s="4"/>
      <c r="UO103" s="4"/>
      <c r="UP103" s="4"/>
      <c r="UQ103" s="4"/>
      <c r="UR103" s="4"/>
      <c r="US103" s="4"/>
      <c r="UT103" s="4"/>
      <c r="UU103" s="4"/>
      <c r="UV103" s="4"/>
      <c r="UW103" s="4"/>
      <c r="UX103" s="4"/>
      <c r="UY103" s="4"/>
      <c r="UZ103" s="4"/>
      <c r="VA103" s="4"/>
      <c r="VB103" s="4"/>
      <c r="VC103" s="4"/>
      <c r="VD103" s="4"/>
      <c r="VE103" s="4"/>
      <c r="VF103" s="4"/>
      <c r="VG103" s="4"/>
      <c r="VH103" s="4"/>
      <c r="VI103" s="4"/>
      <c r="VJ103" s="4"/>
      <c r="VK103" s="4"/>
      <c r="VL103" s="4"/>
      <c r="VM103" s="4"/>
      <c r="VN103" s="4"/>
      <c r="VO103" s="4"/>
      <c r="VP103" s="4"/>
      <c r="VQ103" s="4"/>
      <c r="VR103" s="4"/>
      <c r="VS103" s="4"/>
      <c r="VT103" s="4"/>
      <c r="VU103" s="4"/>
      <c r="VV103" s="4"/>
      <c r="VW103" s="4"/>
      <c r="VX103" s="4"/>
      <c r="VY103" s="4"/>
      <c r="VZ103" s="4"/>
      <c r="WA103" s="4"/>
      <c r="WB103" s="4"/>
      <c r="WC103" s="4"/>
      <c r="WD103" s="4"/>
      <c r="WE103" s="4"/>
      <c r="WF103" s="4"/>
      <c r="WG103" s="4"/>
      <c r="WH103" s="4"/>
      <c r="WI103" s="4"/>
      <c r="WJ103" s="4"/>
      <c r="WK103" s="4"/>
      <c r="WL103" s="4"/>
      <c r="WM103" s="4"/>
      <c r="WN103" s="4"/>
      <c r="WO103" s="4"/>
      <c r="WP103" s="4"/>
      <c r="WQ103" s="4"/>
      <c r="WR103" s="4"/>
      <c r="WS103" s="4"/>
      <c r="WT103" s="4"/>
      <c r="WU103" s="4"/>
      <c r="WV103" s="4"/>
      <c r="WW103" s="4"/>
      <c r="WX103" s="4"/>
      <c r="WY103" s="4"/>
      <c r="WZ103" s="4"/>
      <c r="XA103" s="4"/>
      <c r="XB103" s="4"/>
      <c r="XC103" s="4"/>
      <c r="XD103" s="4"/>
      <c r="XE103" s="4"/>
      <c r="XF103" s="4"/>
      <c r="XG103" s="4"/>
      <c r="XH103" s="4"/>
      <c r="XI103" s="4"/>
      <c r="XJ103" s="4"/>
      <c r="XK103" s="4"/>
      <c r="XL103" s="4"/>
      <c r="XM103" s="4"/>
      <c r="XN103" s="4"/>
      <c r="XO103" s="4"/>
      <c r="XP103" s="4"/>
      <c r="XQ103" s="4"/>
      <c r="XR103" s="4"/>
      <c r="XS103" s="4"/>
      <c r="XT103" s="4"/>
      <c r="XU103" s="4"/>
      <c r="XV103" s="4"/>
      <c r="XW103" s="4"/>
      <c r="XX103" s="4"/>
      <c r="XY103" s="4"/>
      <c r="XZ103" s="4"/>
      <c r="YA103" s="4"/>
      <c r="YB103" s="4"/>
      <c r="YC103" s="4"/>
      <c r="YD103" s="4"/>
      <c r="YE103" s="4"/>
      <c r="YF103" s="4"/>
      <c r="YG103" s="4"/>
      <c r="YH103" s="4"/>
      <c r="YI103" s="4"/>
      <c r="YJ103" s="4"/>
      <c r="YK103" s="4"/>
      <c r="YL103" s="4"/>
      <c r="YM103" s="4"/>
      <c r="YN103" s="4"/>
      <c r="YO103" s="4"/>
      <c r="YP103" s="4"/>
      <c r="YQ103" s="4"/>
      <c r="YR103" s="4"/>
      <c r="YS103" s="4"/>
      <c r="YT103" s="4"/>
      <c r="YU103" s="4"/>
      <c r="YV103" s="4"/>
      <c r="YW103" s="4"/>
      <c r="YX103" s="4"/>
      <c r="YY103" s="4"/>
      <c r="YZ103" s="4"/>
      <c r="ZA103" s="4"/>
      <c r="ZB103" s="4"/>
      <c r="ZC103" s="4"/>
      <c r="ZD103" s="4"/>
      <c r="ZE103" s="4"/>
      <c r="ZF103" s="4"/>
      <c r="ZG103" s="4"/>
      <c r="ZH103" s="4"/>
      <c r="ZI103" s="4"/>
      <c r="ZJ103" s="4"/>
      <c r="ZK103" s="4"/>
      <c r="ZL103" s="4"/>
      <c r="ZM103" s="4"/>
      <c r="ZN103" s="4"/>
      <c r="ZO103" s="4"/>
      <c r="ZP103" s="4"/>
      <c r="ZQ103" s="4"/>
      <c r="ZR103" s="4"/>
      <c r="ZS103" s="4"/>
      <c r="ZT103" s="4"/>
      <c r="ZU103" s="4"/>
      <c r="ZV103" s="4"/>
      <c r="ZW103" s="4"/>
      <c r="ZX103" s="4"/>
      <c r="ZY103" s="4"/>
      <c r="ZZ103" s="4"/>
      <c r="AAA103" s="4"/>
      <c r="AAB103" s="4"/>
      <c r="AAC103" s="4"/>
      <c r="AAD103" s="4"/>
      <c r="AAE103" s="4"/>
      <c r="AAF103" s="4"/>
      <c r="AAG103" s="4"/>
      <c r="AAH103" s="4"/>
      <c r="AAI103" s="4"/>
      <c r="AAJ103" s="4"/>
      <c r="AAK103" s="4"/>
      <c r="AAL103" s="4"/>
      <c r="AAM103" s="4"/>
      <c r="AAN103" s="4"/>
      <c r="AAO103" s="4"/>
      <c r="AAP103" s="4"/>
      <c r="AAQ103" s="4"/>
      <c r="AAR103" s="4"/>
      <c r="AAS103" s="4"/>
      <c r="AAT103" s="4"/>
      <c r="AAU103" s="4"/>
      <c r="AAV103" s="4"/>
      <c r="AAW103" s="4"/>
      <c r="AAX103" s="4"/>
      <c r="AAY103" s="4"/>
      <c r="AAZ103" s="4"/>
      <c r="ABA103" s="4"/>
      <c r="ABB103" s="4"/>
      <c r="ABC103" s="4"/>
      <c r="ABD103" s="4"/>
      <c r="ABE103" s="4"/>
      <c r="ABF103" s="4"/>
      <c r="ABG103" s="4"/>
      <c r="ABH103" s="4"/>
      <c r="ABI103" s="4"/>
      <c r="ABJ103" s="4"/>
      <c r="ABK103" s="4"/>
      <c r="ABL103" s="4"/>
      <c r="ABM103" s="4"/>
      <c r="ABN103" s="4"/>
      <c r="ABO103" s="4"/>
      <c r="ABP103" s="4"/>
      <c r="ABQ103" s="4"/>
      <c r="ABR103" s="4"/>
      <c r="ABS103" s="4"/>
      <c r="ABT103" s="4"/>
      <c r="ABU103" s="4"/>
      <c r="ABV103" s="4"/>
      <c r="ABW103" s="4"/>
      <c r="ABX103" s="4"/>
      <c r="ABY103" s="4"/>
      <c r="ABZ103" s="4"/>
      <c r="ACA103" s="4"/>
      <c r="ACB103" s="4"/>
      <c r="ACC103" s="4"/>
      <c r="ACD103" s="4"/>
      <c r="ACE103" s="4"/>
      <c r="ACF103" s="4"/>
      <c r="ACG103" s="4"/>
      <c r="ACH103" s="4"/>
      <c r="ACI103" s="4"/>
      <c r="ACJ103" s="4"/>
      <c r="ACK103" s="4"/>
      <c r="ACL103" s="4"/>
      <c r="ACM103" s="4"/>
      <c r="ACN103" s="4"/>
      <c r="ACO103" s="4"/>
      <c r="ACP103" s="4"/>
      <c r="ACQ103" s="4"/>
      <c r="ACR103" s="4"/>
      <c r="ACS103" s="4"/>
      <c r="ACT103" s="4"/>
      <c r="ACU103" s="4"/>
      <c r="ACV103" s="4"/>
      <c r="ACW103" s="4"/>
      <c r="ACX103" s="4"/>
      <c r="ACY103" s="4"/>
      <c r="ACZ103" s="4"/>
      <c r="ADA103" s="4"/>
      <c r="ADB103" s="4"/>
      <c r="ADC103" s="4"/>
      <c r="ADD103" s="4"/>
      <c r="ADE103" s="4"/>
      <c r="ADF103" s="4"/>
      <c r="ADG103" s="4"/>
      <c r="ADH103" s="4"/>
      <c r="ADI103" s="4"/>
      <c r="ADJ103" s="4"/>
      <c r="ADK103" s="4"/>
      <c r="ADL103" s="4"/>
      <c r="ADM103" s="4"/>
      <c r="ADN103" s="4"/>
      <c r="ADO103" s="4"/>
      <c r="ADP103" s="4"/>
      <c r="ADQ103" s="4"/>
      <c r="ADR103" s="4"/>
      <c r="ADS103" s="4"/>
      <c r="ADT103" s="4"/>
      <c r="ADU103" s="4"/>
      <c r="ADV103" s="4"/>
      <c r="ADW103" s="4"/>
      <c r="ADX103" s="4"/>
      <c r="ADY103" s="4"/>
      <c r="ADZ103" s="4"/>
      <c r="AEA103" s="4"/>
      <c r="AEB103" s="4"/>
      <c r="AEC103" s="4"/>
      <c r="AED103" s="4"/>
      <c r="AEE103" s="4"/>
      <c r="AEF103" s="4"/>
      <c r="AEG103" s="4"/>
      <c r="AEH103" s="4"/>
      <c r="AEI103" s="4"/>
      <c r="AEJ103" s="4"/>
      <c r="AEK103" s="4"/>
      <c r="AEL103" s="4"/>
      <c r="AEM103" s="4"/>
      <c r="AEN103" s="4"/>
      <c r="AEO103" s="4"/>
      <c r="AEP103" s="4"/>
      <c r="AEQ103" s="4"/>
      <c r="AER103" s="4"/>
      <c r="AES103" s="4"/>
      <c r="AET103" s="4"/>
      <c r="AEU103" s="4"/>
      <c r="AEV103" s="4"/>
      <c r="AEW103" s="4"/>
      <c r="AEX103" s="4"/>
      <c r="AEY103" s="4"/>
      <c r="AEZ103" s="4"/>
      <c r="AFA103" s="4"/>
      <c r="AFB103" s="4"/>
      <c r="AFC103" s="4"/>
      <c r="AFD103" s="4"/>
      <c r="AFE103" s="4"/>
      <c r="AFF103" s="4"/>
      <c r="AFG103" s="4"/>
      <c r="AFH103" s="4"/>
      <c r="AFI103" s="4"/>
      <c r="AFJ103" s="4"/>
      <c r="AFK103" s="4"/>
      <c r="AFL103" s="4"/>
      <c r="AFM103" s="4"/>
      <c r="AFN103" s="4"/>
      <c r="AFO103" s="4"/>
      <c r="AFP103" s="4"/>
      <c r="AFQ103" s="4"/>
      <c r="AFR103" s="4"/>
      <c r="AFS103" s="4"/>
      <c r="AFT103" s="4"/>
      <c r="AFU103" s="4"/>
      <c r="AFV103" s="4"/>
      <c r="AFW103" s="4"/>
      <c r="AFX103" s="4"/>
      <c r="AFY103" s="4"/>
      <c r="AFZ103" s="4"/>
      <c r="AGA103" s="4"/>
      <c r="AGB103" s="4"/>
      <c r="AGC103" s="4"/>
      <c r="AGD103" s="4"/>
      <c r="AGE103" s="4"/>
      <c r="AGF103" s="4"/>
      <c r="AGG103" s="4"/>
      <c r="AGH103" s="4"/>
      <c r="AGI103" s="4"/>
      <c r="AGJ103" s="4"/>
      <c r="AGK103" s="4"/>
      <c r="AGL103" s="4"/>
      <c r="AGM103" s="4"/>
      <c r="AGN103" s="4"/>
      <c r="AGO103" s="4"/>
      <c r="AGP103" s="4"/>
      <c r="AGQ103" s="4"/>
      <c r="AGR103" s="4"/>
      <c r="AGS103" s="4"/>
      <c r="AGT103" s="4"/>
      <c r="AGU103" s="4"/>
      <c r="AGV103" s="4"/>
      <c r="AGW103" s="4"/>
      <c r="AGX103" s="4"/>
      <c r="AGY103" s="4"/>
      <c r="AGZ103" s="4"/>
      <c r="AHA103" s="4"/>
      <c r="AHB103" s="4"/>
      <c r="AHC103" s="4"/>
      <c r="AHD103" s="4"/>
      <c r="AHE103" s="4"/>
      <c r="AHF103" s="4"/>
      <c r="AHG103" s="4"/>
      <c r="AHH103" s="4"/>
      <c r="AHI103" s="4"/>
      <c r="AHJ103" s="4"/>
      <c r="AHK103" s="4"/>
      <c r="AHL103" s="4"/>
      <c r="AHM103" s="4"/>
      <c r="AHN103" s="4"/>
      <c r="AHO103" s="4"/>
      <c r="AHP103" s="4"/>
      <c r="AHQ103" s="4"/>
      <c r="AHR103" s="4"/>
      <c r="AHS103" s="4"/>
      <c r="AHT103" s="4"/>
      <c r="AHU103" s="4"/>
      <c r="AHV103" s="4"/>
      <c r="AHW103" s="4"/>
      <c r="AHX103" s="4"/>
      <c r="AHY103" s="4"/>
      <c r="AHZ103" s="4"/>
      <c r="AIA103" s="4"/>
      <c r="AIB103" s="4"/>
      <c r="AIC103" s="4"/>
      <c r="AID103" s="4"/>
      <c r="AIE103" s="4"/>
      <c r="AIF103" s="4"/>
      <c r="AIG103" s="4"/>
      <c r="AIH103" s="4"/>
      <c r="AII103" s="4"/>
      <c r="AIJ103" s="4"/>
      <c r="AIK103" s="4"/>
      <c r="AIL103" s="4"/>
      <c r="AIM103" s="4"/>
      <c r="AIN103" s="4"/>
      <c r="AIO103" s="4"/>
      <c r="AIP103" s="4"/>
      <c r="AIQ103" s="4"/>
      <c r="AIR103" s="4"/>
      <c r="AIS103" s="4"/>
      <c r="AIT103" s="4"/>
      <c r="AIU103" s="4"/>
      <c r="AIV103" s="4"/>
      <c r="AIW103" s="4"/>
      <c r="AIX103" s="4"/>
      <c r="AIY103" s="4"/>
      <c r="AIZ103" s="4"/>
      <c r="AJA103" s="4"/>
      <c r="AJB103" s="4"/>
      <c r="AJC103" s="4"/>
      <c r="AJD103" s="4"/>
      <c r="AJE103" s="4"/>
      <c r="AJF103" s="4"/>
      <c r="AJG103" s="4"/>
      <c r="AJH103" s="4"/>
      <c r="AJI103" s="4"/>
      <c r="AJJ103" s="4"/>
      <c r="AJK103" s="4"/>
      <c r="AJL103" s="4"/>
      <c r="AJM103" s="4"/>
      <c r="AJN103" s="4"/>
      <c r="AJO103" s="4"/>
      <c r="AJP103" s="4"/>
      <c r="AJQ103" s="4"/>
      <c r="AJR103" s="4"/>
      <c r="AJS103" s="4"/>
      <c r="AJT103" s="4"/>
      <c r="AJU103" s="4"/>
      <c r="AJV103" s="4"/>
      <c r="AJW103" s="4"/>
      <c r="AJX103" s="4"/>
      <c r="AJY103" s="4"/>
      <c r="AJZ103" s="4"/>
      <c r="AKA103" s="4"/>
      <c r="AKB103" s="4"/>
      <c r="AKC103" s="4"/>
      <c r="AKD103" s="4"/>
      <c r="AKE103" s="4"/>
      <c r="AKF103" s="4"/>
      <c r="AKG103" s="4"/>
      <c r="AKH103" s="4"/>
      <c r="AKI103" s="4"/>
      <c r="AKJ103" s="4"/>
      <c r="AKK103" s="4"/>
      <c r="AKL103" s="4"/>
      <c r="AKM103" s="4"/>
      <c r="AKN103" s="4"/>
      <c r="AKO103" s="4"/>
      <c r="AKP103" s="4"/>
      <c r="AKQ103" s="4"/>
      <c r="AKR103" s="4"/>
      <c r="AKS103" s="4"/>
      <c r="AKT103" s="4"/>
      <c r="AKU103" s="4"/>
      <c r="AKV103" s="4"/>
      <c r="AKW103" s="4"/>
      <c r="AKX103" s="4"/>
      <c r="AKY103" s="4"/>
      <c r="AKZ103" s="4"/>
      <c r="ALA103" s="4"/>
      <c r="ALB103" s="4"/>
      <c r="ALC103" s="4"/>
      <c r="ALD103" s="4"/>
      <c r="ALE103" s="4"/>
      <c r="ALF103" s="4"/>
      <c r="ALG103" s="4"/>
      <c r="ALH103" s="4"/>
      <c r="ALI103" s="4"/>
      <c r="ALJ103" s="4"/>
      <c r="ALK103" s="4"/>
      <c r="ALL103" s="4"/>
      <c r="ALM103" s="4"/>
      <c r="ALN103" s="4"/>
      <c r="ALO103" s="4"/>
      <c r="ALP103" s="4"/>
      <c r="ALQ103" s="4"/>
      <c r="ALR103" s="4"/>
      <c r="ALS103" s="4"/>
      <c r="ALT103" s="4"/>
      <c r="ALU103" s="4"/>
      <c r="ALV103" s="4"/>
      <c r="ALW103" s="4"/>
      <c r="ALX103" s="4"/>
      <c r="ALY103" s="4"/>
      <c r="ALZ103" s="4"/>
      <c r="AMA103" s="4"/>
      <c r="AMB103" s="4"/>
      <c r="AMC103" s="4"/>
      <c r="AMD103" s="4"/>
      <c r="AME103" s="4"/>
      <c r="AMF103" s="4"/>
      <c r="AMG103" s="4"/>
      <c r="AMH103" s="4"/>
      <c r="AMI103" s="4"/>
      <c r="AMJ103" s="4"/>
      <c r="AMK103" s="4"/>
      <c r="AML103" s="4"/>
      <c r="AMM103" s="4"/>
      <c r="AMN103" s="4"/>
      <c r="AMO103" s="4"/>
      <c r="AMP103" s="4"/>
      <c r="AMQ103" s="4"/>
      <c r="AMR103" s="4"/>
      <c r="AMS103" s="4"/>
      <c r="AMT103" s="4"/>
      <c r="AMU103" s="4"/>
      <c r="AMV103" s="4"/>
      <c r="AMW103" s="4"/>
      <c r="AMX103" s="4"/>
      <c r="AMY103" s="4"/>
      <c r="AMZ103" s="4"/>
      <c r="ANA103" s="4"/>
      <c r="ANB103" s="4"/>
      <c r="ANC103" s="4"/>
      <c r="AND103" s="4"/>
      <c r="ANE103" s="4"/>
      <c r="ANF103" s="4"/>
      <c r="ANG103" s="4"/>
      <c r="ANH103" s="4"/>
      <c r="ANI103" s="4"/>
      <c r="ANJ103" s="4"/>
      <c r="ANK103" s="4"/>
      <c r="ANL103" s="4"/>
      <c r="ANM103" s="4"/>
      <c r="ANN103" s="4"/>
      <c r="ANO103" s="4"/>
      <c r="ANP103" s="4"/>
      <c r="ANQ103" s="4"/>
      <c r="ANR103" s="4"/>
      <c r="ANS103" s="4"/>
      <c r="ANT103" s="4"/>
      <c r="ANU103" s="4"/>
      <c r="ANV103" s="4"/>
      <c r="ANW103" s="4"/>
      <c r="ANX103" s="4"/>
      <c r="ANY103" s="4"/>
      <c r="ANZ103" s="4"/>
      <c r="AOA103" s="4"/>
      <c r="AOB103" s="4"/>
      <c r="AOC103" s="4"/>
      <c r="AOD103" s="4"/>
      <c r="AOE103" s="4"/>
      <c r="AOF103" s="4"/>
      <c r="AOG103" s="4"/>
      <c r="AOH103" s="4"/>
      <c r="AOI103" s="4"/>
      <c r="AOJ103" s="4"/>
      <c r="AOK103" s="4"/>
      <c r="AOL103" s="4"/>
      <c r="AOM103" s="4"/>
      <c r="AON103" s="4"/>
      <c r="AOO103" s="4"/>
      <c r="AOP103" s="4"/>
      <c r="AOQ103" s="4"/>
      <c r="AOR103" s="4"/>
      <c r="AOS103" s="4"/>
      <c r="AOT103" s="4"/>
      <c r="AOU103" s="4"/>
      <c r="AOV103" s="4"/>
      <c r="AOW103" s="4"/>
      <c r="AOX103" s="4"/>
      <c r="AOY103" s="4"/>
      <c r="AOZ103" s="4"/>
      <c r="APA103" s="4"/>
      <c r="APB103" s="4"/>
      <c r="APC103" s="4"/>
      <c r="APD103" s="4"/>
      <c r="APE103" s="4"/>
      <c r="APF103" s="4"/>
      <c r="APG103" s="4"/>
      <c r="APH103" s="4"/>
      <c r="API103" s="4"/>
      <c r="APJ103" s="4"/>
      <c r="APK103" s="4"/>
      <c r="APL103" s="4"/>
      <c r="APM103" s="4"/>
      <c r="APN103" s="4"/>
      <c r="APO103" s="4"/>
      <c r="APP103" s="4"/>
      <c r="APQ103" s="4"/>
      <c r="APR103" s="4"/>
      <c r="APS103" s="4"/>
      <c r="APT103" s="4"/>
      <c r="APU103" s="4"/>
      <c r="APV103" s="4"/>
      <c r="APW103" s="4"/>
      <c r="APX103" s="4"/>
      <c r="APY103" s="4"/>
      <c r="APZ103" s="4"/>
      <c r="AQA103" s="4"/>
      <c r="AQB103" s="4"/>
      <c r="AQC103" s="4"/>
      <c r="AQD103" s="4"/>
      <c r="AQE103" s="4"/>
      <c r="AQF103" s="4"/>
      <c r="AQG103" s="4"/>
      <c r="AQH103" s="4"/>
      <c r="AQI103" s="4"/>
      <c r="AQJ103" s="4"/>
      <c r="AQK103" s="4"/>
      <c r="AQL103" s="4"/>
      <c r="AQM103" s="4"/>
      <c r="AQN103" s="4"/>
      <c r="AQO103" s="4"/>
      <c r="AQP103" s="4"/>
      <c r="AQQ103" s="4"/>
      <c r="AQR103" s="4"/>
      <c r="AQS103" s="4"/>
      <c r="AQT103" s="4"/>
      <c r="AQU103" s="4"/>
      <c r="AQV103" s="4"/>
      <c r="AQW103" s="4"/>
      <c r="AQX103" s="4"/>
      <c r="AQY103" s="4"/>
      <c r="AQZ103" s="4"/>
      <c r="ARA103" s="4"/>
      <c r="ARB103" s="4"/>
      <c r="ARC103" s="4"/>
      <c r="ARD103" s="4"/>
      <c r="ARE103" s="4"/>
      <c r="ARF103" s="4"/>
      <c r="ARG103" s="4"/>
      <c r="ARH103" s="4"/>
      <c r="ARI103" s="4"/>
      <c r="ARJ103" s="4"/>
      <c r="ARK103" s="4"/>
      <c r="ARL103" s="4"/>
      <c r="ARM103" s="4"/>
      <c r="ARN103" s="4"/>
      <c r="ARO103" s="4"/>
      <c r="ARP103" s="4"/>
      <c r="ARQ103" s="4"/>
      <c r="ARR103" s="4"/>
      <c r="ARS103" s="4"/>
      <c r="ART103" s="4"/>
      <c r="ARU103" s="4"/>
      <c r="ARV103" s="4"/>
      <c r="ARW103" s="4"/>
      <c r="ARX103" s="4"/>
      <c r="ARY103" s="4"/>
      <c r="ARZ103" s="4"/>
      <c r="ASA103" s="4"/>
      <c r="ASB103" s="4"/>
      <c r="ASC103" s="4"/>
      <c r="ASD103" s="4"/>
      <c r="ASE103" s="4"/>
      <c r="ASF103" s="4"/>
      <c r="ASG103" s="4"/>
      <c r="ASH103" s="4"/>
      <c r="ASI103" s="4"/>
      <c r="ASJ103" s="4"/>
      <c r="ASK103" s="4"/>
      <c r="ASL103" s="4"/>
      <c r="ASM103" s="4"/>
      <c r="ASN103" s="4"/>
      <c r="ASO103" s="4"/>
      <c r="ASP103" s="4"/>
      <c r="ASQ103" s="4"/>
      <c r="ASR103" s="4"/>
      <c r="ASS103" s="4"/>
      <c r="AST103" s="4"/>
      <c r="ASU103" s="4"/>
      <c r="ASV103" s="4"/>
      <c r="ASW103" s="4"/>
      <c r="ASX103" s="4"/>
      <c r="ASY103" s="4"/>
      <c r="ASZ103" s="4"/>
      <c r="ATA103" s="4"/>
      <c r="ATB103" s="4"/>
      <c r="ATC103" s="4"/>
      <c r="ATD103" s="4"/>
      <c r="ATE103" s="4"/>
      <c r="ATF103" s="4"/>
      <c r="ATG103" s="4"/>
      <c r="ATH103" s="4"/>
      <c r="ATI103" s="4"/>
      <c r="ATJ103" s="4"/>
      <c r="ATK103" s="4"/>
      <c r="ATL103" s="4"/>
      <c r="ATM103" s="4"/>
      <c r="ATN103" s="4"/>
      <c r="ATO103" s="4"/>
      <c r="ATP103" s="4"/>
      <c r="ATQ103" s="4"/>
      <c r="ATR103" s="4"/>
      <c r="ATS103" s="4"/>
      <c r="ATT103" s="4"/>
      <c r="ATU103" s="4"/>
      <c r="ATV103" s="4"/>
      <c r="ATW103" s="4"/>
      <c r="ATX103" s="4"/>
      <c r="ATY103" s="4"/>
      <c r="ATZ103" s="4"/>
      <c r="AUA103" s="4"/>
      <c r="AUB103" s="4"/>
      <c r="AUC103" s="4"/>
      <c r="AUD103" s="4"/>
      <c r="AUE103" s="4"/>
      <c r="AUF103" s="4"/>
      <c r="AUG103" s="4"/>
      <c r="AUH103" s="4"/>
      <c r="AUI103" s="4"/>
      <c r="AUJ103" s="4"/>
      <c r="AUK103" s="4"/>
      <c r="AUL103" s="4"/>
      <c r="AUM103" s="4"/>
      <c r="AUN103" s="4"/>
      <c r="AUO103" s="4"/>
      <c r="AUP103" s="4"/>
      <c r="AUQ103" s="4"/>
      <c r="AUR103" s="4"/>
      <c r="AUS103" s="4"/>
      <c r="AUT103" s="4"/>
      <c r="AUU103" s="4"/>
      <c r="AUV103" s="4"/>
      <c r="AUW103" s="4"/>
      <c r="AUX103" s="4"/>
      <c r="AUY103" s="4"/>
      <c r="AUZ103" s="4"/>
      <c r="AVA103" s="4"/>
      <c r="AVB103" s="4"/>
      <c r="AVC103" s="4"/>
      <c r="AVD103" s="4"/>
      <c r="AVE103" s="4"/>
      <c r="AVF103" s="4"/>
      <c r="AVG103" s="4"/>
      <c r="AVH103" s="4"/>
      <c r="AVI103" s="4"/>
      <c r="AVJ103" s="4"/>
      <c r="AVK103" s="4"/>
      <c r="AVL103" s="4"/>
      <c r="AVM103" s="4"/>
      <c r="AVN103" s="4"/>
      <c r="AVO103" s="4"/>
      <c r="AVP103" s="4"/>
      <c r="AVQ103" s="4"/>
      <c r="AVR103" s="4"/>
      <c r="AVS103" s="4"/>
      <c r="AVT103" s="4"/>
      <c r="AVU103" s="4"/>
      <c r="AVV103" s="4"/>
      <c r="AVW103" s="4"/>
      <c r="AVX103" s="4"/>
      <c r="AVY103" s="4"/>
      <c r="AVZ103" s="4"/>
      <c r="AWA103" s="4"/>
      <c r="AWB103" s="4"/>
      <c r="AWC103" s="4"/>
      <c r="AWD103" s="4"/>
      <c r="AWE103" s="4"/>
      <c r="AWF103" s="4"/>
      <c r="AWG103" s="4"/>
      <c r="AWH103" s="4"/>
      <c r="AWI103" s="4"/>
      <c r="AWJ103" s="4"/>
      <c r="AWK103" s="4"/>
      <c r="AWL103" s="4"/>
      <c r="AWM103" s="4"/>
      <c r="AWN103" s="4"/>
      <c r="AWO103" s="4"/>
      <c r="AWP103" s="4"/>
      <c r="AWQ103" s="4"/>
      <c r="AWR103" s="4"/>
      <c r="AWS103" s="4"/>
      <c r="AWT103" s="4"/>
      <c r="AWU103" s="4"/>
      <c r="AWV103" s="4"/>
      <c r="AWW103" s="4"/>
      <c r="AWX103" s="4"/>
      <c r="AWY103" s="4"/>
      <c r="AWZ103" s="4"/>
      <c r="AXA103" s="4"/>
      <c r="AXB103" s="4"/>
      <c r="AXC103" s="4"/>
      <c r="AXD103" s="4"/>
      <c r="AXE103" s="4"/>
      <c r="AXF103" s="4"/>
      <c r="AXG103" s="4"/>
      <c r="AXH103" s="4"/>
      <c r="AXI103" s="4"/>
      <c r="AXJ103" s="4"/>
      <c r="AXK103" s="4"/>
      <c r="AXL103" s="4"/>
      <c r="AXM103" s="4"/>
      <c r="AXN103" s="4"/>
      <c r="AXO103" s="4"/>
      <c r="AXP103" s="4"/>
      <c r="AXQ103" s="4"/>
      <c r="AXR103" s="4"/>
      <c r="AXS103" s="4"/>
      <c r="AXT103" s="4"/>
      <c r="AXU103" s="4"/>
      <c r="AXV103" s="4"/>
      <c r="AXW103" s="4"/>
      <c r="AXX103" s="4"/>
      <c r="AXY103" s="4"/>
      <c r="AXZ103" s="4"/>
      <c r="AYA103" s="4"/>
      <c r="AYB103" s="4"/>
      <c r="AYC103" s="4"/>
      <c r="AYD103" s="4"/>
      <c r="AYE103" s="4"/>
      <c r="AYF103" s="4"/>
      <c r="AYG103" s="4"/>
      <c r="AYH103" s="4"/>
      <c r="AYI103" s="4"/>
      <c r="AYJ103" s="4"/>
      <c r="AYK103" s="4"/>
      <c r="AYL103" s="4"/>
      <c r="AYM103" s="4"/>
      <c r="AYN103" s="4"/>
      <c r="AYO103" s="4"/>
      <c r="AYP103" s="4"/>
      <c r="AYQ103" s="4"/>
      <c r="AYR103" s="4"/>
      <c r="AYS103" s="4"/>
      <c r="AYT103" s="4"/>
      <c r="AYU103" s="4"/>
      <c r="AYV103" s="4"/>
      <c r="AYW103" s="4"/>
      <c r="AYX103" s="4"/>
      <c r="AYY103" s="4"/>
      <c r="AYZ103" s="4"/>
      <c r="AZA103" s="4"/>
      <c r="AZB103" s="4"/>
      <c r="AZC103" s="4"/>
      <c r="AZD103" s="4"/>
      <c r="AZE103" s="4"/>
      <c r="AZF103" s="4"/>
      <c r="AZG103" s="4"/>
      <c r="AZH103" s="4"/>
      <c r="AZI103" s="4"/>
      <c r="AZJ103" s="4"/>
      <c r="AZK103" s="4"/>
      <c r="AZL103" s="4"/>
      <c r="AZM103" s="4"/>
      <c r="AZN103" s="4"/>
      <c r="AZO103" s="4"/>
      <c r="AZP103" s="4"/>
      <c r="AZQ103" s="4"/>
      <c r="AZR103" s="4"/>
      <c r="AZS103" s="4"/>
      <c r="AZT103" s="4"/>
      <c r="AZU103" s="4"/>
      <c r="AZV103" s="4"/>
      <c r="AZW103" s="4"/>
      <c r="AZX103" s="4"/>
      <c r="AZY103" s="4"/>
      <c r="AZZ103" s="4"/>
      <c r="BAA103" s="4"/>
      <c r="BAB103" s="4"/>
      <c r="BAC103" s="4"/>
      <c r="BAD103" s="4"/>
      <c r="BAE103" s="4"/>
      <c r="BAF103" s="4"/>
      <c r="BAG103" s="4"/>
      <c r="BAH103" s="4"/>
      <c r="BAI103" s="4"/>
      <c r="BAJ103" s="4"/>
      <c r="BAK103" s="4"/>
      <c r="BAL103" s="4"/>
      <c r="BAM103" s="4"/>
      <c r="BAN103" s="4"/>
      <c r="BAO103" s="4"/>
      <c r="BAP103" s="4"/>
      <c r="BAQ103" s="4"/>
      <c r="BAR103" s="4"/>
      <c r="BAS103" s="4"/>
      <c r="BAT103" s="4"/>
      <c r="BAU103" s="4"/>
      <c r="BAV103" s="4"/>
      <c r="BAW103" s="4"/>
      <c r="BAX103" s="4"/>
      <c r="BAY103" s="4"/>
      <c r="BAZ103" s="4"/>
      <c r="BBA103" s="4"/>
      <c r="BBB103" s="4"/>
      <c r="BBC103" s="4"/>
      <c r="BBD103" s="4"/>
      <c r="BBE103" s="4"/>
      <c r="BBF103" s="4"/>
      <c r="BBG103" s="4"/>
      <c r="BBH103" s="4"/>
      <c r="BBI103" s="4"/>
      <c r="BBJ103" s="4"/>
      <c r="BBK103" s="4"/>
      <c r="BBL103" s="4"/>
      <c r="BBM103" s="4"/>
      <c r="BBN103" s="4"/>
      <c r="BBO103" s="4"/>
      <c r="BBP103" s="4"/>
      <c r="BBQ103" s="4"/>
      <c r="BBR103" s="4"/>
      <c r="BBS103" s="4"/>
      <c r="BBT103" s="4"/>
      <c r="BBU103" s="4"/>
      <c r="BBV103" s="4"/>
      <c r="BBW103" s="4"/>
      <c r="BBX103" s="4"/>
      <c r="BBY103" s="4"/>
      <c r="BBZ103" s="4"/>
      <c r="BCA103" s="4"/>
      <c r="BCB103" s="4"/>
      <c r="BCC103" s="4"/>
      <c r="BCD103" s="4"/>
      <c r="BCE103" s="4"/>
      <c r="BCF103" s="4"/>
      <c r="BCG103" s="4"/>
      <c r="BCH103" s="4"/>
      <c r="BCI103" s="4"/>
      <c r="BCJ103" s="4"/>
      <c r="BCK103" s="4"/>
      <c r="BCL103" s="4"/>
      <c r="BCM103" s="4"/>
      <c r="BCN103" s="4"/>
      <c r="BCO103" s="4"/>
      <c r="BCP103" s="4"/>
      <c r="BCQ103" s="4"/>
      <c r="BCR103" s="4"/>
      <c r="BCS103" s="4"/>
      <c r="BCT103" s="4"/>
      <c r="BCU103" s="4"/>
      <c r="BCV103" s="4"/>
      <c r="BCW103" s="4"/>
      <c r="BCX103" s="4"/>
      <c r="BCY103" s="4"/>
      <c r="BCZ103" s="4"/>
      <c r="BDA103" s="4"/>
      <c r="BDB103" s="4"/>
      <c r="BDC103" s="4"/>
      <c r="BDD103" s="4"/>
      <c r="BDE103" s="4"/>
      <c r="BDF103" s="4"/>
      <c r="BDG103" s="4"/>
      <c r="BDH103" s="4"/>
      <c r="BDI103" s="4"/>
      <c r="BDJ103" s="4"/>
      <c r="BDK103" s="4"/>
      <c r="BDL103" s="4"/>
      <c r="BDM103" s="4"/>
      <c r="BDN103" s="4"/>
      <c r="BDO103" s="4"/>
      <c r="BDP103" s="4"/>
      <c r="BDQ103" s="4"/>
      <c r="BDR103" s="4"/>
      <c r="BDS103" s="4"/>
      <c r="BDT103" s="4"/>
      <c r="BDU103" s="4"/>
      <c r="BDV103" s="4"/>
      <c r="BDW103" s="4"/>
      <c r="BDX103" s="4"/>
      <c r="BDY103" s="4"/>
      <c r="BDZ103" s="4"/>
      <c r="BEA103" s="4"/>
      <c r="BEB103" s="4"/>
      <c r="BEC103" s="4"/>
      <c r="BED103" s="4"/>
      <c r="BEE103" s="4"/>
      <c r="BEF103" s="4"/>
      <c r="BEG103" s="4"/>
      <c r="BEH103" s="4"/>
      <c r="BEI103" s="4"/>
      <c r="BEJ103" s="4"/>
      <c r="BEK103" s="4"/>
      <c r="BEL103" s="4"/>
      <c r="BEM103" s="4"/>
      <c r="BEN103" s="4"/>
      <c r="BEO103" s="4"/>
      <c r="BEP103" s="4"/>
      <c r="BEQ103" s="4"/>
      <c r="BER103" s="4"/>
      <c r="BES103" s="4"/>
      <c r="BET103" s="4"/>
      <c r="BEU103" s="4"/>
      <c r="BEV103" s="4"/>
      <c r="BEW103" s="4"/>
      <c r="BEX103" s="4"/>
      <c r="BEY103" s="4"/>
      <c r="BEZ103" s="4"/>
      <c r="BFA103" s="4"/>
      <c r="BFB103" s="4"/>
      <c r="BFC103" s="4"/>
      <c r="BFD103" s="4"/>
      <c r="BFE103" s="4"/>
      <c r="BFF103" s="4"/>
      <c r="BFG103" s="4"/>
      <c r="BFH103" s="4"/>
      <c r="BFI103" s="4"/>
      <c r="BFJ103" s="4"/>
      <c r="BFK103" s="4"/>
      <c r="BFL103" s="4"/>
      <c r="BFM103" s="4"/>
      <c r="BFN103" s="4"/>
      <c r="BFO103" s="4"/>
      <c r="BFP103" s="4"/>
      <c r="BFQ103" s="4"/>
      <c r="BFR103" s="4"/>
      <c r="BFS103" s="4"/>
      <c r="BFT103" s="4"/>
      <c r="BFU103" s="4"/>
      <c r="BFV103" s="4"/>
      <c r="BFW103" s="4"/>
      <c r="BFX103" s="4"/>
      <c r="BFY103" s="4"/>
      <c r="BFZ103" s="4"/>
      <c r="BGA103" s="4"/>
      <c r="BGB103" s="4"/>
      <c r="BGC103" s="4"/>
      <c r="BGD103" s="4"/>
      <c r="BGE103" s="4"/>
      <c r="BGF103" s="4"/>
      <c r="BGG103" s="4"/>
      <c r="BGH103" s="4"/>
      <c r="BGI103" s="4"/>
      <c r="BGJ103" s="4"/>
      <c r="BGK103" s="4"/>
      <c r="BGL103" s="4"/>
      <c r="BGM103" s="4"/>
      <c r="BGN103" s="4"/>
      <c r="BGO103" s="4"/>
      <c r="BGP103" s="4"/>
      <c r="BGQ103" s="4"/>
      <c r="BGR103" s="4"/>
      <c r="BGS103" s="4"/>
      <c r="BGT103" s="4"/>
      <c r="BGU103" s="4"/>
      <c r="BGV103" s="4"/>
      <c r="BGW103" s="4"/>
      <c r="BGX103" s="4"/>
      <c r="BGY103" s="4"/>
      <c r="BGZ103" s="4"/>
      <c r="BHA103" s="4"/>
      <c r="BHB103" s="4"/>
      <c r="BHC103" s="4"/>
      <c r="BHD103" s="4"/>
      <c r="BHE103" s="4"/>
      <c r="BHF103" s="4"/>
      <c r="BHG103" s="4"/>
      <c r="BHH103" s="4"/>
      <c r="BHI103" s="4"/>
      <c r="BHJ103" s="4"/>
      <c r="BHK103" s="4"/>
      <c r="BHL103" s="4"/>
      <c r="BHM103" s="4"/>
      <c r="BHN103" s="4"/>
      <c r="BHO103" s="4"/>
      <c r="BHP103" s="4"/>
      <c r="BHQ103" s="4"/>
      <c r="BHR103" s="4"/>
      <c r="BHS103" s="4"/>
      <c r="BHT103" s="4"/>
      <c r="BHU103" s="4"/>
      <c r="BHV103" s="4"/>
      <c r="BHW103" s="4"/>
      <c r="BHX103" s="4"/>
      <c r="BHY103" s="4"/>
      <c r="BHZ103" s="4"/>
      <c r="BIA103" s="4"/>
      <c r="BIB103" s="4"/>
      <c r="BIC103" s="4"/>
      <c r="BID103" s="4"/>
      <c r="BIE103" s="4"/>
      <c r="BIF103" s="4"/>
      <c r="BIG103" s="4"/>
      <c r="BIH103" s="4"/>
      <c r="BII103" s="4"/>
      <c r="BIJ103" s="4"/>
      <c r="BIK103" s="4"/>
      <c r="BIL103" s="4"/>
      <c r="BIM103" s="4"/>
      <c r="BIN103" s="4"/>
      <c r="BIO103" s="4"/>
      <c r="BIP103" s="4"/>
      <c r="BIQ103" s="4"/>
      <c r="BIR103" s="4"/>
      <c r="BIS103" s="4"/>
      <c r="BIT103" s="4"/>
      <c r="BIU103" s="4"/>
      <c r="BIV103" s="4"/>
      <c r="BIW103" s="4"/>
      <c r="BIX103" s="4"/>
      <c r="BIY103" s="4"/>
      <c r="BIZ103" s="4"/>
      <c r="BJA103" s="4"/>
      <c r="BJB103" s="4"/>
      <c r="BJC103" s="4"/>
      <c r="BJD103" s="4"/>
      <c r="BJE103" s="4"/>
      <c r="BJF103" s="4"/>
      <c r="BJG103" s="4"/>
      <c r="BJH103" s="4"/>
      <c r="BJI103" s="4"/>
      <c r="BJJ103" s="4"/>
      <c r="BJK103" s="4"/>
      <c r="BJL103" s="4"/>
      <c r="BJM103" s="4"/>
      <c r="BJN103" s="4"/>
      <c r="BJO103" s="4"/>
      <c r="BJP103" s="4"/>
      <c r="BJQ103" s="4"/>
      <c r="BJR103" s="4"/>
      <c r="BJS103" s="4"/>
      <c r="BJT103" s="4"/>
      <c r="BJU103" s="4"/>
      <c r="BJV103" s="4"/>
      <c r="BJW103" s="4"/>
      <c r="BJX103" s="4"/>
      <c r="BJY103" s="4"/>
      <c r="BJZ103" s="4"/>
      <c r="BKA103" s="4"/>
      <c r="BKB103" s="4"/>
      <c r="BKC103" s="4"/>
      <c r="BKD103" s="4"/>
      <c r="BKE103" s="4"/>
      <c r="BKF103" s="4"/>
      <c r="BKG103" s="4"/>
      <c r="BKH103" s="4"/>
      <c r="BKI103" s="4"/>
      <c r="BKJ103" s="4"/>
      <c r="BKK103" s="4"/>
      <c r="BKL103" s="4"/>
      <c r="BKM103" s="4"/>
      <c r="BKN103" s="4"/>
      <c r="BKO103" s="4"/>
      <c r="BKP103" s="4"/>
      <c r="BKQ103" s="4"/>
      <c r="BKR103" s="4"/>
      <c r="BKS103" s="4"/>
      <c r="BKT103" s="4"/>
      <c r="BKU103" s="4"/>
      <c r="BKV103" s="4"/>
      <c r="BKW103" s="4"/>
      <c r="BKX103" s="4"/>
      <c r="BKY103" s="4"/>
      <c r="BKZ103" s="4"/>
      <c r="BLA103" s="4"/>
      <c r="BLB103" s="4"/>
      <c r="BLC103" s="4"/>
      <c r="BLD103" s="4"/>
      <c r="BLE103" s="4"/>
      <c r="BLF103" s="4"/>
      <c r="BLG103" s="4"/>
      <c r="BLH103" s="4"/>
      <c r="BLI103" s="4"/>
      <c r="BLJ103" s="4"/>
      <c r="BLK103" s="4"/>
      <c r="BLL103" s="4"/>
      <c r="BLM103" s="4"/>
      <c r="BLN103" s="4"/>
      <c r="BLO103" s="4"/>
      <c r="BLP103" s="4"/>
      <c r="BLQ103" s="4"/>
      <c r="BLR103" s="4"/>
      <c r="BLS103" s="4"/>
      <c r="BLT103" s="4"/>
      <c r="BLU103" s="4"/>
      <c r="BLV103" s="4"/>
      <c r="BLW103" s="4"/>
      <c r="BLX103" s="4"/>
      <c r="BLY103" s="4"/>
      <c r="BLZ103" s="4"/>
      <c r="BMA103" s="4"/>
      <c r="BMB103" s="4"/>
      <c r="BMC103" s="4"/>
      <c r="BMD103" s="4"/>
      <c r="BME103" s="4"/>
      <c r="BMF103" s="4"/>
      <c r="BMG103" s="4"/>
      <c r="BMH103" s="4"/>
      <c r="BMI103" s="4"/>
      <c r="BMJ103" s="4"/>
      <c r="BMK103" s="4"/>
      <c r="BML103" s="4"/>
      <c r="BMM103" s="4"/>
      <c r="BMN103" s="4"/>
      <c r="BMO103" s="4"/>
      <c r="BMP103" s="4"/>
      <c r="BMQ103" s="4"/>
      <c r="BMR103" s="4"/>
      <c r="BMS103" s="4"/>
      <c r="BMT103" s="4"/>
      <c r="BMU103" s="4"/>
      <c r="BMV103" s="4"/>
      <c r="BMW103" s="4"/>
      <c r="BMX103" s="4"/>
      <c r="BMY103" s="4"/>
      <c r="BMZ103" s="4"/>
      <c r="BNA103" s="4"/>
      <c r="BNB103" s="4"/>
      <c r="BNC103" s="4"/>
      <c r="BND103" s="4"/>
      <c r="BNE103" s="4"/>
      <c r="BNF103" s="4"/>
      <c r="BNG103" s="4"/>
      <c r="BNH103" s="4"/>
      <c r="BNI103" s="4"/>
      <c r="BNJ103" s="4"/>
      <c r="BNK103" s="4"/>
      <c r="BNL103" s="4"/>
      <c r="BNM103" s="4"/>
      <c r="BNN103" s="4"/>
      <c r="BNO103" s="4"/>
      <c r="BNP103" s="4"/>
      <c r="BNQ103" s="4"/>
      <c r="BNR103" s="4"/>
      <c r="BNS103" s="4"/>
      <c r="BNT103" s="4"/>
      <c r="BNU103" s="4"/>
      <c r="BNV103" s="4"/>
      <c r="BNW103" s="4"/>
      <c r="BNX103" s="4"/>
      <c r="BNY103" s="4"/>
      <c r="BNZ103" s="4"/>
      <c r="BOA103" s="4"/>
      <c r="BOB103" s="4"/>
      <c r="BOC103" s="4"/>
      <c r="BOD103" s="4"/>
      <c r="BOE103" s="4"/>
      <c r="BOF103" s="4"/>
      <c r="BOG103" s="4"/>
      <c r="BOH103" s="4"/>
      <c r="BOI103" s="4"/>
      <c r="BOJ103" s="4"/>
      <c r="BOK103" s="4"/>
      <c r="BOL103" s="4"/>
      <c r="BOM103" s="4"/>
      <c r="BON103" s="4"/>
      <c r="BOO103" s="4"/>
      <c r="BOP103" s="4"/>
      <c r="BOQ103" s="4"/>
      <c r="BOR103" s="4"/>
      <c r="BOS103" s="4"/>
      <c r="BOT103" s="4"/>
      <c r="BOU103" s="4"/>
      <c r="BOV103" s="4"/>
      <c r="BOW103" s="4"/>
      <c r="BOX103" s="4"/>
      <c r="BOY103" s="4"/>
      <c r="BOZ103" s="4"/>
      <c r="BPA103" s="4"/>
      <c r="BPB103" s="4"/>
      <c r="BPC103" s="4"/>
      <c r="BPD103" s="4"/>
      <c r="BPE103" s="4"/>
      <c r="BPF103" s="4"/>
      <c r="BPG103" s="4"/>
      <c r="BPH103" s="4"/>
      <c r="BPI103" s="4"/>
      <c r="BPJ103" s="4"/>
      <c r="BPK103" s="4"/>
      <c r="BPL103" s="4"/>
      <c r="BPM103" s="4"/>
      <c r="BPN103" s="4"/>
      <c r="BPO103" s="4"/>
      <c r="BPP103" s="4"/>
      <c r="BPQ103" s="4"/>
      <c r="BPR103" s="4"/>
      <c r="BPS103" s="4"/>
      <c r="BPT103" s="4"/>
      <c r="BPU103" s="4"/>
      <c r="BPV103" s="4"/>
      <c r="BPW103" s="4"/>
      <c r="BPX103" s="4"/>
      <c r="BPY103" s="4"/>
      <c r="BPZ103" s="4"/>
      <c r="BQA103" s="4"/>
      <c r="BQB103" s="4"/>
      <c r="BQC103" s="4"/>
      <c r="BQD103" s="4"/>
      <c r="BQE103" s="4"/>
      <c r="BQF103" s="4"/>
      <c r="BQG103" s="4"/>
      <c r="BQH103" s="4"/>
      <c r="BQI103" s="4"/>
      <c r="BQJ103" s="4"/>
      <c r="BQK103" s="4"/>
      <c r="BQL103" s="4"/>
      <c r="BQM103" s="4"/>
      <c r="BQN103" s="4"/>
      <c r="BQO103" s="4"/>
      <c r="BQP103" s="4"/>
      <c r="BQQ103" s="4"/>
      <c r="BQR103" s="4"/>
      <c r="BQS103" s="4"/>
      <c r="BQT103" s="4"/>
      <c r="BQU103" s="4"/>
      <c r="BQV103" s="4"/>
      <c r="BQW103" s="4"/>
      <c r="BQX103" s="4"/>
      <c r="BQY103" s="4"/>
      <c r="BQZ103" s="4"/>
      <c r="BRA103" s="4"/>
      <c r="BRB103" s="4"/>
      <c r="BRC103" s="4"/>
      <c r="BRD103" s="4"/>
      <c r="BRE103" s="4"/>
      <c r="BRF103" s="4"/>
      <c r="BRG103" s="4"/>
      <c r="BRH103" s="4"/>
      <c r="BRI103" s="4"/>
      <c r="BRJ103" s="4"/>
      <c r="BRK103" s="4"/>
      <c r="BRL103" s="4"/>
      <c r="BRM103" s="4"/>
      <c r="BRN103" s="4"/>
      <c r="BRO103" s="4"/>
      <c r="BRP103" s="4"/>
      <c r="BRQ103" s="4"/>
      <c r="BRR103" s="4"/>
      <c r="BRS103" s="4"/>
      <c r="BRT103" s="4"/>
      <c r="BRU103" s="4"/>
      <c r="BRV103" s="4"/>
      <c r="BRW103" s="4"/>
      <c r="BRX103" s="4"/>
      <c r="BRY103" s="4"/>
      <c r="BRZ103" s="4"/>
      <c r="BSA103" s="4"/>
      <c r="BSB103" s="4"/>
      <c r="BSC103" s="4"/>
      <c r="BSD103" s="4"/>
      <c r="BSE103" s="4"/>
      <c r="BSF103" s="4"/>
      <c r="BSG103" s="4"/>
      <c r="BSH103" s="4"/>
      <c r="BSI103" s="4"/>
      <c r="BSJ103" s="4"/>
      <c r="BSK103" s="4"/>
      <c r="BSL103" s="4"/>
      <c r="BSM103" s="4"/>
      <c r="BSN103" s="4"/>
      <c r="BSO103" s="4"/>
      <c r="BSP103" s="4"/>
      <c r="BSQ103" s="4"/>
      <c r="BSR103" s="4"/>
      <c r="BSS103" s="4"/>
      <c r="BST103" s="4"/>
      <c r="BSU103" s="4"/>
      <c r="BSV103" s="4"/>
      <c r="BSW103" s="4"/>
      <c r="BSX103" s="4"/>
      <c r="BSY103" s="4"/>
      <c r="BSZ103" s="4"/>
      <c r="BTA103" s="4"/>
      <c r="BTB103" s="4"/>
      <c r="BTC103" s="4"/>
      <c r="BTD103" s="4"/>
      <c r="BTE103" s="4"/>
      <c r="BTF103" s="4"/>
      <c r="BTG103" s="4"/>
      <c r="BTH103" s="4"/>
      <c r="BTI103" s="4"/>
      <c r="BTJ103" s="4"/>
      <c r="BTK103" s="4"/>
      <c r="BTL103" s="4"/>
      <c r="BTM103" s="4"/>
      <c r="BTN103" s="4"/>
      <c r="BTO103" s="4"/>
      <c r="BTP103" s="4"/>
      <c r="BTQ103" s="4"/>
      <c r="BTR103" s="4"/>
      <c r="BTS103" s="4"/>
      <c r="BTT103" s="4"/>
      <c r="BTU103" s="4"/>
      <c r="BTV103" s="4"/>
      <c r="BTW103" s="4"/>
      <c r="BTX103" s="4"/>
      <c r="BTY103" s="4"/>
      <c r="BTZ103" s="4"/>
      <c r="BUA103" s="4"/>
      <c r="BUB103" s="4"/>
      <c r="BUC103" s="4"/>
      <c r="BUD103" s="4"/>
      <c r="BUE103" s="4"/>
      <c r="BUF103" s="4"/>
      <c r="BUG103" s="4"/>
      <c r="BUH103" s="4"/>
      <c r="BUI103" s="4"/>
      <c r="BUJ103" s="4"/>
      <c r="BUK103" s="4"/>
      <c r="BUL103" s="4"/>
      <c r="BUM103" s="4"/>
      <c r="BUN103" s="4"/>
      <c r="BUO103" s="4"/>
      <c r="BUP103" s="4"/>
      <c r="BUQ103" s="4"/>
      <c r="BUR103" s="4"/>
      <c r="BUS103" s="4"/>
      <c r="BUT103" s="4"/>
      <c r="BUU103" s="4"/>
      <c r="BUV103" s="4"/>
      <c r="BUW103" s="4"/>
      <c r="BUX103" s="4"/>
      <c r="BUY103" s="4"/>
      <c r="BUZ103" s="4"/>
      <c r="BVA103" s="4"/>
      <c r="BVB103" s="4"/>
      <c r="BVC103" s="4"/>
      <c r="BVD103" s="4"/>
      <c r="BVE103" s="4"/>
      <c r="BVF103" s="4"/>
      <c r="BVG103" s="4"/>
      <c r="BVH103" s="4"/>
      <c r="BVI103" s="4"/>
      <c r="BVJ103" s="4"/>
      <c r="BVK103" s="4"/>
      <c r="BVL103" s="4"/>
      <c r="BVM103" s="4"/>
      <c r="BVN103" s="4"/>
      <c r="BVO103" s="4"/>
      <c r="BVP103" s="4"/>
      <c r="BVQ103" s="4"/>
      <c r="BVR103" s="4"/>
      <c r="BVS103" s="4"/>
      <c r="BVT103" s="4"/>
      <c r="BVU103" s="4"/>
      <c r="BVV103" s="4"/>
      <c r="BVW103" s="4"/>
      <c r="BVX103" s="4"/>
      <c r="BVY103" s="4"/>
      <c r="BVZ103" s="4"/>
      <c r="BWA103" s="4"/>
      <c r="BWB103" s="4"/>
      <c r="BWC103" s="4"/>
      <c r="BWD103" s="4"/>
      <c r="BWE103" s="4"/>
      <c r="BWF103" s="4"/>
      <c r="BWG103" s="4"/>
      <c r="BWH103" s="4"/>
      <c r="BWI103" s="4"/>
      <c r="BWJ103" s="4"/>
      <c r="BWK103" s="4"/>
      <c r="BWL103" s="4"/>
      <c r="BWM103" s="4"/>
      <c r="BWN103" s="4"/>
      <c r="BWO103" s="4"/>
      <c r="BWP103" s="4"/>
      <c r="BWQ103" s="4"/>
      <c r="BWR103" s="4"/>
      <c r="BWS103" s="4"/>
      <c r="BWT103" s="4"/>
      <c r="BWU103" s="4"/>
      <c r="BWV103" s="4"/>
      <c r="BWW103" s="4"/>
      <c r="BWX103" s="4"/>
      <c r="BWY103" s="4"/>
      <c r="BWZ103" s="4"/>
      <c r="BXA103" s="4"/>
      <c r="BXB103" s="4"/>
      <c r="BXC103" s="4"/>
      <c r="BXD103" s="4"/>
      <c r="BXE103" s="4"/>
      <c r="BXF103" s="4"/>
      <c r="BXG103" s="4"/>
      <c r="BXH103" s="4"/>
      <c r="BXI103" s="4"/>
      <c r="BXJ103" s="4"/>
      <c r="BXK103" s="4"/>
      <c r="BXL103" s="4"/>
      <c r="BXM103" s="4"/>
      <c r="BXN103" s="4"/>
      <c r="BXO103" s="4"/>
      <c r="BXP103" s="4"/>
      <c r="BXQ103" s="4"/>
      <c r="BXR103" s="4"/>
      <c r="BXS103" s="4"/>
      <c r="BXT103" s="4"/>
      <c r="BXU103" s="4"/>
      <c r="BXV103" s="4"/>
      <c r="BXW103" s="4"/>
      <c r="BXX103" s="4"/>
      <c r="BXY103" s="4"/>
      <c r="BXZ103" s="4"/>
      <c r="BYA103" s="4"/>
      <c r="BYB103" s="4"/>
      <c r="BYC103" s="4"/>
      <c r="BYD103" s="4"/>
      <c r="BYE103" s="4"/>
      <c r="BYF103" s="4"/>
      <c r="BYG103" s="4"/>
      <c r="BYH103" s="4"/>
      <c r="BYI103" s="4"/>
      <c r="BYJ103" s="4"/>
      <c r="BYK103" s="4"/>
      <c r="BYL103" s="4"/>
      <c r="BYM103" s="4"/>
      <c r="BYN103" s="4"/>
      <c r="BYO103" s="4"/>
      <c r="BYP103" s="4"/>
      <c r="BYQ103" s="4"/>
      <c r="BYR103" s="4"/>
      <c r="BYS103" s="4"/>
      <c r="BYT103" s="4"/>
      <c r="BYU103" s="4"/>
      <c r="BYV103" s="4"/>
      <c r="BYW103" s="4"/>
      <c r="BYX103" s="4"/>
      <c r="BYY103" s="4"/>
      <c r="BYZ103" s="4"/>
      <c r="BZA103" s="4"/>
      <c r="BZB103" s="4"/>
      <c r="BZC103" s="4"/>
      <c r="BZD103" s="4"/>
      <c r="BZE103" s="4"/>
      <c r="BZF103" s="4"/>
      <c r="BZG103" s="4"/>
      <c r="BZH103" s="4"/>
      <c r="BZI103" s="4"/>
      <c r="BZJ103" s="4"/>
      <c r="BZK103" s="4"/>
      <c r="BZL103" s="4"/>
      <c r="BZM103" s="4"/>
      <c r="BZN103" s="4"/>
      <c r="BZO103" s="4"/>
      <c r="BZP103" s="4"/>
      <c r="BZQ103" s="4"/>
      <c r="BZR103" s="4"/>
      <c r="BZS103" s="4"/>
      <c r="BZT103" s="4"/>
      <c r="BZU103" s="4"/>
      <c r="BZV103" s="4"/>
      <c r="BZW103" s="4"/>
      <c r="BZX103" s="4"/>
      <c r="BZY103" s="4"/>
      <c r="BZZ103" s="4"/>
      <c r="CAA103" s="4"/>
      <c r="CAB103" s="4"/>
      <c r="CAC103" s="4"/>
      <c r="CAD103" s="4"/>
      <c r="CAE103" s="4"/>
      <c r="CAF103" s="4"/>
      <c r="CAG103" s="4"/>
      <c r="CAH103" s="4"/>
      <c r="CAI103" s="4"/>
      <c r="CAJ103" s="4"/>
      <c r="CAK103" s="4"/>
      <c r="CAL103" s="4"/>
      <c r="CAM103" s="4"/>
      <c r="CAN103" s="4"/>
      <c r="CAO103" s="4"/>
      <c r="CAP103" s="4"/>
      <c r="CAQ103" s="4"/>
      <c r="CAR103" s="4"/>
      <c r="CAS103" s="4"/>
      <c r="CAT103" s="4"/>
      <c r="CAU103" s="4"/>
      <c r="CAV103" s="4"/>
      <c r="CAW103" s="4"/>
      <c r="CAX103" s="4"/>
      <c r="CAY103" s="4"/>
      <c r="CAZ103" s="4"/>
      <c r="CBA103" s="4"/>
      <c r="CBB103" s="4"/>
      <c r="CBC103" s="4"/>
      <c r="CBD103" s="4"/>
      <c r="CBE103" s="4"/>
      <c r="CBF103" s="4"/>
      <c r="CBG103" s="4"/>
      <c r="CBH103" s="4"/>
      <c r="CBI103" s="4"/>
      <c r="CBJ103" s="4"/>
      <c r="CBK103" s="4"/>
      <c r="CBL103" s="4"/>
      <c r="CBM103" s="4"/>
      <c r="CBN103" s="4"/>
      <c r="CBO103" s="4"/>
      <c r="CBP103" s="4"/>
      <c r="CBQ103" s="4"/>
      <c r="CBR103" s="4"/>
      <c r="CBS103" s="4"/>
      <c r="CBT103" s="4"/>
      <c r="CBU103" s="4"/>
      <c r="CBV103" s="4"/>
      <c r="CBW103" s="4"/>
      <c r="CBX103" s="4"/>
      <c r="CBY103" s="4"/>
      <c r="CBZ103" s="4"/>
      <c r="CCA103" s="4"/>
      <c r="CCB103" s="4"/>
      <c r="CCC103" s="4"/>
      <c r="CCD103" s="4"/>
      <c r="CCE103" s="4"/>
      <c r="CCF103" s="4"/>
      <c r="CCG103" s="4"/>
      <c r="CCH103" s="4"/>
      <c r="CCI103" s="4"/>
      <c r="CCJ103" s="4"/>
      <c r="CCK103" s="4"/>
      <c r="CCL103" s="4"/>
      <c r="CCM103" s="4"/>
      <c r="CCN103" s="4"/>
      <c r="CCO103" s="4"/>
      <c r="CCP103" s="4"/>
      <c r="CCQ103" s="4"/>
      <c r="CCR103" s="4"/>
      <c r="CCS103" s="4"/>
      <c r="CCT103" s="4"/>
      <c r="CCU103" s="4"/>
      <c r="CCV103" s="4"/>
      <c r="CCW103" s="4"/>
      <c r="CCX103" s="4"/>
      <c r="CCY103" s="4"/>
      <c r="CCZ103" s="4"/>
      <c r="CDA103" s="4"/>
      <c r="CDB103" s="4"/>
      <c r="CDC103" s="4"/>
      <c r="CDD103" s="4"/>
      <c r="CDE103" s="4"/>
      <c r="CDF103" s="4"/>
      <c r="CDG103" s="4"/>
      <c r="CDH103" s="4"/>
      <c r="CDI103" s="4"/>
      <c r="CDJ103" s="4"/>
      <c r="CDK103" s="4"/>
      <c r="CDL103" s="4"/>
      <c r="CDM103" s="4"/>
      <c r="CDN103" s="4"/>
      <c r="CDO103" s="4"/>
      <c r="CDP103" s="4"/>
      <c r="CDQ103" s="4"/>
      <c r="CDR103" s="4"/>
      <c r="CDS103" s="4"/>
      <c r="CDT103" s="4"/>
      <c r="CDU103" s="4"/>
      <c r="CDV103" s="4"/>
      <c r="CDW103" s="4"/>
      <c r="CDX103" s="4"/>
      <c r="CDY103" s="4"/>
      <c r="CDZ103" s="4"/>
      <c r="CEA103" s="4"/>
      <c r="CEB103" s="4"/>
      <c r="CEC103" s="4"/>
      <c r="CED103" s="4"/>
      <c r="CEE103" s="4"/>
      <c r="CEF103" s="4"/>
      <c r="CEG103" s="4"/>
      <c r="CEH103" s="4"/>
      <c r="CEI103" s="4"/>
      <c r="CEJ103" s="4"/>
      <c r="CEK103" s="4"/>
      <c r="CEL103" s="4"/>
      <c r="CEM103" s="4"/>
      <c r="CEN103" s="4"/>
      <c r="CEO103" s="4"/>
      <c r="CEP103" s="4"/>
      <c r="CEQ103" s="4"/>
      <c r="CER103" s="4"/>
      <c r="CES103" s="4"/>
      <c r="CET103" s="4"/>
      <c r="CEU103" s="4"/>
      <c r="CEV103" s="4"/>
      <c r="CEW103" s="4"/>
      <c r="CEX103" s="4"/>
      <c r="CEY103" s="4"/>
      <c r="CEZ103" s="4"/>
      <c r="CFA103" s="4"/>
      <c r="CFB103" s="4"/>
      <c r="CFC103" s="4"/>
      <c r="CFD103" s="4"/>
      <c r="CFE103" s="4"/>
      <c r="CFF103" s="4"/>
      <c r="CFG103" s="4"/>
      <c r="CFH103" s="4"/>
      <c r="CFI103" s="4"/>
      <c r="CFJ103" s="4"/>
      <c r="CFK103" s="4"/>
      <c r="CFL103" s="4"/>
      <c r="CFM103" s="4"/>
      <c r="CFN103" s="4"/>
      <c r="CFO103" s="4"/>
      <c r="CFP103" s="4"/>
      <c r="CFQ103" s="4"/>
      <c r="CFR103" s="4"/>
      <c r="CFS103" s="4"/>
      <c r="CFT103" s="4"/>
      <c r="CFU103" s="4"/>
      <c r="CFV103" s="4"/>
      <c r="CFW103" s="4"/>
      <c r="CFX103" s="4"/>
      <c r="CFY103" s="4"/>
      <c r="CFZ103" s="4"/>
      <c r="CGA103" s="4"/>
      <c r="CGB103" s="4"/>
      <c r="CGC103" s="4"/>
      <c r="CGD103" s="4"/>
      <c r="CGE103" s="4"/>
      <c r="CGF103" s="4"/>
      <c r="CGG103" s="4"/>
      <c r="CGH103" s="4"/>
      <c r="CGI103" s="4"/>
      <c r="CGJ103" s="4"/>
      <c r="CGK103" s="4"/>
      <c r="CGL103" s="4"/>
      <c r="CGM103" s="4"/>
      <c r="CGN103" s="4"/>
      <c r="CGO103" s="4"/>
      <c r="CGP103" s="4"/>
      <c r="CGQ103" s="4"/>
      <c r="CGR103" s="4"/>
      <c r="CGS103" s="4"/>
      <c r="CGT103" s="4"/>
      <c r="CGU103" s="4"/>
      <c r="CGV103" s="4"/>
      <c r="CGW103" s="4"/>
      <c r="CGX103" s="4"/>
      <c r="CGY103" s="4"/>
      <c r="CGZ103" s="4"/>
      <c r="CHA103" s="4"/>
      <c r="CHB103" s="4"/>
      <c r="CHC103" s="4"/>
      <c r="CHD103" s="4"/>
      <c r="CHE103" s="4"/>
      <c r="CHF103" s="4"/>
      <c r="CHG103" s="4"/>
      <c r="CHH103" s="4"/>
      <c r="CHI103" s="4"/>
      <c r="CHJ103" s="4"/>
      <c r="CHK103" s="4"/>
      <c r="CHL103" s="4"/>
      <c r="CHM103" s="4"/>
      <c r="CHN103" s="4"/>
      <c r="CHO103" s="4"/>
      <c r="CHP103" s="4"/>
      <c r="CHQ103" s="4"/>
      <c r="CHR103" s="4"/>
      <c r="CHS103" s="4"/>
      <c r="CHT103" s="4"/>
      <c r="CHU103" s="4"/>
      <c r="CHV103" s="4"/>
      <c r="CHW103" s="4"/>
      <c r="CHX103" s="4"/>
      <c r="CHY103" s="4"/>
      <c r="CHZ103" s="4"/>
      <c r="CIA103" s="4"/>
      <c r="CIB103" s="4"/>
      <c r="CIC103" s="4"/>
      <c r="CID103" s="4"/>
      <c r="CIE103" s="4"/>
      <c r="CIF103" s="4"/>
      <c r="CIG103" s="4"/>
      <c r="CIH103" s="4"/>
      <c r="CII103" s="4"/>
      <c r="CIJ103" s="4"/>
      <c r="CIK103" s="4"/>
      <c r="CIL103" s="4"/>
      <c r="CIM103" s="4"/>
      <c r="CIN103" s="4"/>
      <c r="CIO103" s="4"/>
      <c r="CIP103" s="4"/>
      <c r="CIQ103" s="4"/>
      <c r="CIR103" s="4"/>
      <c r="CIS103" s="4"/>
      <c r="CIT103" s="4"/>
      <c r="CIU103" s="4"/>
      <c r="CIV103" s="4"/>
      <c r="CIW103" s="4"/>
      <c r="CIX103" s="4"/>
      <c r="CIY103" s="4"/>
      <c r="CIZ103" s="4"/>
      <c r="CJA103" s="4"/>
      <c r="CJB103" s="4"/>
      <c r="CJC103" s="4"/>
      <c r="CJD103" s="4"/>
      <c r="CJE103" s="4"/>
      <c r="CJF103" s="4"/>
      <c r="CJG103" s="4"/>
      <c r="CJH103" s="4"/>
      <c r="CJI103" s="4"/>
      <c r="CJJ103" s="4"/>
      <c r="CJK103" s="4"/>
      <c r="CJL103" s="4"/>
      <c r="CJM103" s="4"/>
      <c r="CJN103" s="4"/>
      <c r="CJO103" s="4"/>
      <c r="CJP103" s="4"/>
      <c r="CJQ103" s="4"/>
      <c r="CJR103" s="4"/>
      <c r="CJS103" s="4"/>
      <c r="CJT103" s="4"/>
      <c r="CJU103" s="4"/>
      <c r="CJV103" s="4"/>
      <c r="CJW103" s="4"/>
      <c r="CJX103" s="4"/>
      <c r="CJY103" s="4"/>
      <c r="CJZ103" s="4"/>
      <c r="CKA103" s="4"/>
      <c r="CKB103" s="4"/>
      <c r="CKC103" s="4"/>
      <c r="CKD103" s="4"/>
      <c r="CKE103" s="4"/>
      <c r="CKF103" s="4"/>
      <c r="CKG103" s="4"/>
      <c r="CKH103" s="4"/>
      <c r="CKI103" s="4"/>
      <c r="CKJ103" s="4"/>
      <c r="CKK103" s="4"/>
      <c r="CKL103" s="4"/>
      <c r="CKM103" s="4"/>
      <c r="CKN103" s="4"/>
      <c r="CKO103" s="4"/>
      <c r="CKP103" s="4"/>
      <c r="CKQ103" s="4"/>
      <c r="CKR103" s="4"/>
      <c r="CKS103" s="4"/>
      <c r="CKT103" s="4"/>
      <c r="CKU103" s="4"/>
      <c r="CKV103" s="4"/>
      <c r="CKW103" s="4"/>
      <c r="CKX103" s="4"/>
      <c r="CKY103" s="4"/>
      <c r="CKZ103" s="4"/>
      <c r="CLA103" s="4"/>
      <c r="CLB103" s="4"/>
      <c r="CLC103" s="4"/>
      <c r="CLD103" s="4"/>
      <c r="CLE103" s="4"/>
      <c r="CLF103" s="4"/>
      <c r="CLG103" s="4"/>
      <c r="CLH103" s="4"/>
      <c r="CLI103" s="4"/>
      <c r="CLJ103" s="4"/>
      <c r="CLK103" s="4"/>
      <c r="CLL103" s="4"/>
      <c r="CLM103" s="4"/>
      <c r="CLN103" s="4"/>
      <c r="CLO103" s="4"/>
      <c r="CLP103" s="4"/>
      <c r="CLQ103" s="4"/>
      <c r="CLR103" s="4"/>
      <c r="CLS103" s="4"/>
      <c r="CLT103" s="4"/>
      <c r="CLU103" s="4"/>
      <c r="CLV103" s="4"/>
      <c r="CLW103" s="4"/>
      <c r="CLX103" s="4"/>
      <c r="CLY103" s="4"/>
      <c r="CLZ103" s="4"/>
      <c r="CMA103" s="4"/>
      <c r="CMB103" s="4"/>
      <c r="CMC103" s="4"/>
      <c r="CMD103" s="4"/>
      <c r="CME103" s="4"/>
      <c r="CMF103" s="4"/>
      <c r="CMG103" s="4"/>
      <c r="CMH103" s="4"/>
      <c r="CMI103" s="4"/>
      <c r="CMJ103" s="4"/>
      <c r="CMK103" s="4"/>
      <c r="CML103" s="4"/>
      <c r="CMM103" s="4"/>
      <c r="CMN103" s="4"/>
      <c r="CMO103" s="4"/>
      <c r="CMP103" s="4"/>
      <c r="CMQ103" s="4"/>
      <c r="CMR103" s="4"/>
      <c r="CMS103" s="4"/>
      <c r="CMT103" s="4"/>
      <c r="CMU103" s="4"/>
      <c r="CMV103" s="4"/>
      <c r="CMW103" s="4"/>
      <c r="CMX103" s="4"/>
      <c r="CMY103" s="4"/>
      <c r="CMZ103" s="4"/>
      <c r="CNA103" s="4"/>
      <c r="CNB103" s="4"/>
      <c r="CNC103" s="4"/>
      <c r="CND103" s="4"/>
      <c r="CNE103" s="4"/>
      <c r="CNF103" s="4"/>
      <c r="CNG103" s="4"/>
      <c r="CNH103" s="4"/>
      <c r="CNI103" s="4"/>
      <c r="CNJ103" s="4"/>
      <c r="CNK103" s="4"/>
      <c r="CNL103" s="4"/>
      <c r="CNM103" s="4"/>
      <c r="CNN103" s="4"/>
      <c r="CNO103" s="4"/>
      <c r="CNP103" s="4"/>
      <c r="CNQ103" s="4"/>
      <c r="CNR103" s="4"/>
      <c r="CNS103" s="4"/>
      <c r="CNT103" s="4"/>
      <c r="CNU103" s="4"/>
      <c r="CNV103" s="4"/>
      <c r="CNW103" s="4"/>
      <c r="CNX103" s="4"/>
      <c r="CNY103" s="4"/>
      <c r="CNZ103" s="4"/>
      <c r="COA103" s="4"/>
      <c r="COB103" s="4"/>
      <c r="COC103" s="4"/>
      <c r="COD103" s="4"/>
      <c r="COE103" s="4"/>
      <c r="COF103" s="4"/>
      <c r="COG103" s="4"/>
      <c r="COH103" s="4"/>
      <c r="COI103" s="4"/>
      <c r="COJ103" s="4"/>
      <c r="COK103" s="4"/>
      <c r="COL103" s="4"/>
      <c r="COM103" s="4"/>
      <c r="CON103" s="4"/>
      <c r="COO103" s="4"/>
      <c r="COP103" s="4"/>
      <c r="COQ103" s="4"/>
      <c r="COR103" s="4"/>
      <c r="COS103" s="4"/>
      <c r="COT103" s="4"/>
      <c r="COU103" s="4"/>
      <c r="COV103" s="4"/>
      <c r="COW103" s="4"/>
      <c r="COX103" s="4"/>
      <c r="COY103" s="4"/>
      <c r="COZ103" s="4"/>
      <c r="CPA103" s="4"/>
      <c r="CPB103" s="4"/>
      <c r="CPC103" s="4"/>
      <c r="CPD103" s="4"/>
      <c r="CPE103" s="4"/>
      <c r="CPF103" s="4"/>
      <c r="CPG103" s="4"/>
      <c r="CPH103" s="4"/>
      <c r="CPI103" s="4"/>
      <c r="CPJ103" s="4"/>
      <c r="CPK103" s="4"/>
      <c r="CPL103" s="4"/>
      <c r="CPM103" s="4"/>
      <c r="CPN103" s="4"/>
      <c r="CPO103" s="4"/>
      <c r="CPP103" s="4"/>
      <c r="CPQ103" s="4"/>
      <c r="CPR103" s="4"/>
      <c r="CPS103" s="4"/>
      <c r="CPT103" s="4"/>
      <c r="CPU103" s="4"/>
      <c r="CPV103" s="4"/>
      <c r="CPW103" s="4"/>
      <c r="CPX103" s="4"/>
      <c r="CPY103" s="4"/>
      <c r="CPZ103" s="4"/>
      <c r="CQA103" s="4"/>
      <c r="CQB103" s="4"/>
      <c r="CQC103" s="4"/>
      <c r="CQD103" s="4"/>
      <c r="CQE103" s="4"/>
      <c r="CQF103" s="4"/>
      <c r="CQG103" s="4"/>
      <c r="CQH103" s="4"/>
      <c r="CQI103" s="4"/>
      <c r="CQJ103" s="4"/>
      <c r="CQK103" s="4"/>
      <c r="CQL103" s="4"/>
      <c r="CQM103" s="4"/>
      <c r="CQN103" s="4"/>
      <c r="CQO103" s="4"/>
      <c r="CQP103" s="4"/>
      <c r="CQQ103" s="4"/>
      <c r="CQR103" s="4"/>
      <c r="CQS103" s="4"/>
      <c r="CQT103" s="4"/>
      <c r="CQU103" s="4"/>
      <c r="CQV103" s="4"/>
      <c r="CQW103" s="4"/>
      <c r="CQX103" s="4"/>
      <c r="CQY103" s="4"/>
      <c r="CQZ103" s="4"/>
      <c r="CRA103" s="4"/>
      <c r="CRB103" s="4"/>
      <c r="CRC103" s="4"/>
      <c r="CRD103" s="4"/>
      <c r="CRE103" s="4"/>
      <c r="CRF103" s="4"/>
      <c r="CRG103" s="4"/>
      <c r="CRH103" s="4"/>
      <c r="CRI103" s="4"/>
      <c r="CRJ103" s="4"/>
      <c r="CRK103" s="4"/>
      <c r="CRL103" s="4"/>
      <c r="CRM103" s="4"/>
      <c r="CRN103" s="4"/>
      <c r="CRO103" s="4"/>
      <c r="CRP103" s="4"/>
      <c r="CRQ103" s="4"/>
      <c r="CRR103" s="4"/>
      <c r="CRS103" s="4"/>
      <c r="CRT103" s="4"/>
      <c r="CRU103" s="4"/>
      <c r="CRV103" s="4"/>
      <c r="CRW103" s="4"/>
      <c r="CRX103" s="4"/>
      <c r="CRY103" s="4"/>
      <c r="CRZ103" s="4"/>
      <c r="CSA103" s="4"/>
      <c r="CSB103" s="4"/>
      <c r="CSC103" s="4"/>
      <c r="CSD103" s="4"/>
      <c r="CSE103" s="4"/>
      <c r="CSF103" s="4"/>
      <c r="CSG103" s="4"/>
      <c r="CSH103" s="4"/>
      <c r="CSI103" s="4"/>
      <c r="CSJ103" s="4"/>
      <c r="CSK103" s="4"/>
      <c r="CSL103" s="4"/>
      <c r="CSM103" s="4"/>
      <c r="CSN103" s="4"/>
      <c r="CSO103" s="4"/>
      <c r="CSP103" s="4"/>
      <c r="CSQ103" s="4"/>
      <c r="CSR103" s="4"/>
      <c r="CSS103" s="4"/>
      <c r="CST103" s="4"/>
      <c r="CSU103" s="4"/>
      <c r="CSV103" s="4"/>
      <c r="CSW103" s="4"/>
      <c r="CSX103" s="4"/>
      <c r="CSY103" s="4"/>
      <c r="CSZ103" s="4"/>
      <c r="CTA103" s="4"/>
      <c r="CTB103" s="4"/>
      <c r="CTC103" s="4"/>
      <c r="CTD103" s="4"/>
      <c r="CTE103" s="4"/>
      <c r="CTF103" s="4"/>
      <c r="CTG103" s="4"/>
      <c r="CTH103" s="4"/>
      <c r="CTI103" s="4"/>
      <c r="CTJ103" s="4"/>
      <c r="CTK103" s="4"/>
      <c r="CTL103" s="4"/>
      <c r="CTM103" s="4"/>
      <c r="CTN103" s="4"/>
      <c r="CTO103" s="4"/>
      <c r="CTP103" s="4"/>
      <c r="CTQ103" s="4"/>
      <c r="CTR103" s="4"/>
      <c r="CTS103" s="4"/>
      <c r="CTT103" s="4"/>
      <c r="CTU103" s="4"/>
      <c r="CTV103" s="4"/>
      <c r="CTW103" s="4"/>
      <c r="CTX103" s="4"/>
      <c r="CTY103" s="4"/>
      <c r="CTZ103" s="4"/>
      <c r="CUA103" s="4"/>
      <c r="CUB103" s="4"/>
      <c r="CUC103" s="4"/>
      <c r="CUD103" s="4"/>
      <c r="CUE103" s="4"/>
      <c r="CUF103" s="4"/>
      <c r="CUG103" s="4"/>
      <c r="CUH103" s="4"/>
      <c r="CUI103" s="4"/>
      <c r="CUJ103" s="4"/>
      <c r="CUK103" s="4"/>
      <c r="CUL103" s="4"/>
      <c r="CUM103" s="4"/>
      <c r="CUN103" s="4"/>
      <c r="CUO103" s="4"/>
      <c r="CUP103" s="4"/>
      <c r="CUQ103" s="4"/>
      <c r="CUR103" s="4"/>
      <c r="CUS103" s="4"/>
      <c r="CUT103" s="4"/>
      <c r="CUU103" s="4"/>
      <c r="CUV103" s="4"/>
      <c r="CUW103" s="4"/>
      <c r="CUX103" s="4"/>
      <c r="CUY103" s="4"/>
      <c r="CUZ103" s="4"/>
      <c r="CVA103" s="4"/>
      <c r="CVB103" s="4"/>
      <c r="CVC103" s="4"/>
      <c r="CVD103" s="4"/>
      <c r="CVE103" s="4"/>
      <c r="CVF103" s="4"/>
      <c r="CVG103" s="4"/>
      <c r="CVH103" s="4"/>
      <c r="CVI103" s="4"/>
      <c r="CVJ103" s="4"/>
      <c r="CVK103" s="4"/>
      <c r="CVL103" s="4"/>
      <c r="CVM103" s="4"/>
      <c r="CVN103" s="4"/>
      <c r="CVO103" s="4"/>
      <c r="CVP103" s="4"/>
      <c r="CVQ103" s="4"/>
      <c r="CVR103" s="4"/>
      <c r="CVS103" s="4"/>
      <c r="CVT103" s="4"/>
      <c r="CVU103" s="4"/>
      <c r="CVV103" s="4"/>
      <c r="CVW103" s="4"/>
      <c r="CVX103" s="4"/>
      <c r="CVY103" s="4"/>
      <c r="CVZ103" s="4"/>
      <c r="CWA103" s="4"/>
      <c r="CWB103" s="4"/>
      <c r="CWC103" s="4"/>
      <c r="CWD103" s="4"/>
      <c r="CWE103" s="4"/>
      <c r="CWF103" s="4"/>
      <c r="CWG103" s="4"/>
      <c r="CWH103" s="4"/>
      <c r="CWI103" s="4"/>
      <c r="CWJ103" s="4"/>
      <c r="CWK103" s="4"/>
      <c r="CWL103" s="4"/>
      <c r="CWM103" s="4"/>
      <c r="CWN103" s="4"/>
      <c r="CWO103" s="4"/>
      <c r="CWP103" s="4"/>
      <c r="CWQ103" s="4"/>
      <c r="CWR103" s="4"/>
      <c r="CWS103" s="4"/>
      <c r="CWT103" s="4"/>
      <c r="CWU103" s="4"/>
      <c r="CWV103" s="4"/>
      <c r="CWW103" s="4"/>
      <c r="CWX103" s="4"/>
      <c r="CWY103" s="4"/>
      <c r="CWZ103" s="4"/>
      <c r="CXA103" s="4"/>
      <c r="CXB103" s="4"/>
      <c r="CXC103" s="4"/>
      <c r="CXD103" s="4"/>
      <c r="CXE103" s="4"/>
      <c r="CXF103" s="4"/>
      <c r="CXG103" s="4"/>
      <c r="CXH103" s="4"/>
      <c r="CXI103" s="4"/>
      <c r="CXJ103" s="4"/>
      <c r="CXK103" s="4"/>
      <c r="CXL103" s="4"/>
      <c r="CXM103" s="4"/>
      <c r="CXN103" s="4"/>
      <c r="CXO103" s="4"/>
      <c r="CXP103" s="4"/>
      <c r="CXQ103" s="4"/>
      <c r="CXR103" s="4"/>
      <c r="CXS103" s="4"/>
      <c r="CXT103" s="4"/>
      <c r="CXU103" s="4"/>
      <c r="CXV103" s="4"/>
      <c r="CXW103" s="4"/>
      <c r="CXX103" s="4"/>
      <c r="CXY103" s="4"/>
      <c r="CXZ103" s="4"/>
      <c r="CYA103" s="4"/>
      <c r="CYB103" s="4"/>
      <c r="CYC103" s="4"/>
      <c r="CYD103" s="4"/>
      <c r="CYE103" s="4"/>
      <c r="CYF103" s="4"/>
      <c r="CYG103" s="4"/>
      <c r="CYH103" s="4"/>
      <c r="CYI103" s="4"/>
      <c r="CYJ103" s="4"/>
      <c r="CYK103" s="4"/>
      <c r="CYL103" s="4"/>
      <c r="CYM103" s="4"/>
      <c r="CYN103" s="4"/>
      <c r="CYO103" s="4"/>
      <c r="CYP103" s="4"/>
      <c r="CYQ103" s="4"/>
      <c r="CYR103" s="4"/>
      <c r="CYS103" s="4"/>
      <c r="CYT103" s="4"/>
      <c r="CYU103" s="4"/>
      <c r="CYV103" s="4"/>
      <c r="CYW103" s="4"/>
      <c r="CYX103" s="4"/>
      <c r="CYY103" s="4"/>
      <c r="CYZ103" s="4"/>
      <c r="CZA103" s="4"/>
      <c r="CZB103" s="4"/>
      <c r="CZC103" s="4"/>
      <c r="CZD103" s="4"/>
      <c r="CZE103" s="4"/>
      <c r="CZF103" s="4"/>
      <c r="CZG103" s="4"/>
      <c r="CZH103" s="4"/>
      <c r="CZI103" s="4"/>
      <c r="CZJ103" s="4"/>
      <c r="CZK103" s="4"/>
      <c r="CZL103" s="4"/>
      <c r="CZM103" s="4"/>
      <c r="CZN103" s="4"/>
      <c r="CZO103" s="4"/>
      <c r="CZP103" s="4"/>
      <c r="CZQ103" s="4"/>
      <c r="CZR103" s="4"/>
      <c r="CZS103" s="4"/>
      <c r="CZT103" s="4"/>
      <c r="CZU103" s="4"/>
      <c r="CZV103" s="4"/>
      <c r="CZW103" s="4"/>
      <c r="CZX103" s="4"/>
      <c r="CZY103" s="4"/>
      <c r="CZZ103" s="4"/>
      <c r="DAA103" s="4"/>
      <c r="DAB103" s="4"/>
      <c r="DAC103" s="4"/>
      <c r="DAD103" s="4"/>
      <c r="DAE103" s="4"/>
      <c r="DAF103" s="4"/>
      <c r="DAG103" s="4"/>
      <c r="DAH103" s="4"/>
      <c r="DAI103" s="4"/>
      <c r="DAJ103" s="4"/>
      <c r="DAK103" s="4"/>
      <c r="DAL103" s="4"/>
      <c r="DAM103" s="4"/>
      <c r="DAN103" s="4"/>
      <c r="DAO103" s="4"/>
      <c r="DAP103" s="4"/>
      <c r="DAQ103" s="4"/>
      <c r="DAR103" s="4"/>
      <c r="DAS103" s="4"/>
      <c r="DAT103" s="4"/>
      <c r="DAU103" s="4"/>
      <c r="DAV103" s="4"/>
      <c r="DAW103" s="4"/>
      <c r="DAX103" s="4"/>
      <c r="DAY103" s="4"/>
      <c r="DAZ103" s="4"/>
      <c r="DBA103" s="4"/>
      <c r="DBB103" s="4"/>
      <c r="DBC103" s="4"/>
      <c r="DBD103" s="4"/>
      <c r="DBE103" s="4"/>
      <c r="DBF103" s="4"/>
      <c r="DBG103" s="4"/>
      <c r="DBH103" s="4"/>
      <c r="DBI103" s="4"/>
      <c r="DBJ103" s="4"/>
      <c r="DBK103" s="4"/>
      <c r="DBL103" s="4"/>
      <c r="DBM103" s="4"/>
      <c r="DBN103" s="4"/>
      <c r="DBO103" s="4"/>
      <c r="DBP103" s="4"/>
      <c r="DBQ103" s="4"/>
      <c r="DBR103" s="4"/>
      <c r="DBS103" s="4"/>
      <c r="DBT103" s="4"/>
      <c r="DBU103" s="4"/>
      <c r="DBV103" s="4"/>
      <c r="DBW103" s="4"/>
      <c r="DBX103" s="4"/>
      <c r="DBY103" s="4"/>
      <c r="DBZ103" s="4"/>
      <c r="DCA103" s="4"/>
      <c r="DCB103" s="4"/>
      <c r="DCC103" s="4"/>
      <c r="DCD103" s="4"/>
      <c r="DCE103" s="4"/>
      <c r="DCF103" s="4"/>
      <c r="DCG103" s="4"/>
      <c r="DCH103" s="4"/>
      <c r="DCI103" s="4"/>
      <c r="DCJ103" s="4"/>
      <c r="DCK103" s="4"/>
      <c r="DCL103" s="4"/>
      <c r="DCM103" s="4"/>
      <c r="DCN103" s="4"/>
      <c r="DCO103" s="4"/>
      <c r="DCP103" s="4"/>
      <c r="DCQ103" s="4"/>
      <c r="DCR103" s="4"/>
      <c r="DCS103" s="4"/>
      <c r="DCT103" s="4"/>
      <c r="DCU103" s="4"/>
      <c r="DCV103" s="4"/>
      <c r="DCW103" s="4"/>
      <c r="DCX103" s="4"/>
      <c r="DCY103" s="4"/>
      <c r="DCZ103" s="4"/>
      <c r="DDA103" s="4"/>
      <c r="DDB103" s="4"/>
      <c r="DDC103" s="4"/>
      <c r="DDD103" s="4"/>
      <c r="DDE103" s="4"/>
      <c r="DDF103" s="4"/>
      <c r="DDG103" s="4"/>
      <c r="DDH103" s="4"/>
      <c r="DDI103" s="4"/>
      <c r="DDJ103" s="4"/>
      <c r="DDK103" s="4"/>
      <c r="DDL103" s="4"/>
      <c r="DDM103" s="4"/>
      <c r="DDN103" s="4"/>
      <c r="DDO103" s="4"/>
      <c r="DDP103" s="4"/>
      <c r="DDQ103" s="4"/>
      <c r="DDR103" s="4"/>
      <c r="DDS103" s="4"/>
      <c r="DDT103" s="4"/>
      <c r="DDU103" s="4"/>
      <c r="DDV103" s="4"/>
      <c r="DDW103" s="4"/>
      <c r="DDX103" s="4"/>
      <c r="DDY103" s="4"/>
      <c r="DDZ103" s="4"/>
      <c r="DEA103" s="4"/>
      <c r="DEB103" s="4"/>
      <c r="DEC103" s="4"/>
      <c r="DED103" s="4"/>
      <c r="DEE103" s="4"/>
      <c r="DEF103" s="4"/>
      <c r="DEG103" s="4"/>
      <c r="DEH103" s="4"/>
      <c r="DEI103" s="4"/>
      <c r="DEJ103" s="4"/>
      <c r="DEK103" s="4"/>
      <c r="DEL103" s="4"/>
      <c r="DEM103" s="4"/>
      <c r="DEN103" s="4"/>
      <c r="DEO103" s="4"/>
      <c r="DEP103" s="4"/>
      <c r="DEQ103" s="4"/>
      <c r="DER103" s="4"/>
      <c r="DES103" s="4"/>
      <c r="DET103" s="4"/>
      <c r="DEU103" s="4"/>
      <c r="DEV103" s="4"/>
      <c r="DEW103" s="4"/>
      <c r="DEX103" s="4"/>
      <c r="DEY103" s="4"/>
      <c r="DEZ103" s="4"/>
      <c r="DFA103" s="4"/>
      <c r="DFB103" s="4"/>
      <c r="DFC103" s="4"/>
      <c r="DFD103" s="4"/>
      <c r="DFE103" s="4"/>
      <c r="DFF103" s="4"/>
      <c r="DFG103" s="4"/>
      <c r="DFH103" s="4"/>
      <c r="DFI103" s="4"/>
      <c r="DFJ103" s="4"/>
      <c r="DFK103" s="4"/>
      <c r="DFL103" s="4"/>
      <c r="DFM103" s="4"/>
      <c r="DFN103" s="4"/>
      <c r="DFO103" s="4"/>
      <c r="DFP103" s="4"/>
      <c r="DFQ103" s="4"/>
      <c r="DFR103" s="4"/>
      <c r="DFS103" s="4"/>
      <c r="DFT103" s="4"/>
      <c r="DFU103" s="4"/>
      <c r="DFV103" s="4"/>
      <c r="DFW103" s="4"/>
      <c r="DFX103" s="4"/>
      <c r="DFY103" s="4"/>
      <c r="DFZ103" s="4"/>
      <c r="DGA103" s="4"/>
      <c r="DGB103" s="4"/>
      <c r="DGC103" s="4"/>
      <c r="DGD103" s="4"/>
      <c r="DGE103" s="4"/>
      <c r="DGF103" s="4"/>
      <c r="DGG103" s="4"/>
      <c r="DGH103" s="4"/>
      <c r="DGI103" s="4"/>
      <c r="DGJ103" s="4"/>
      <c r="DGK103" s="4"/>
      <c r="DGL103" s="4"/>
      <c r="DGM103" s="4"/>
      <c r="DGN103" s="4"/>
      <c r="DGO103" s="4"/>
      <c r="DGP103" s="4"/>
      <c r="DGQ103" s="4"/>
      <c r="DGR103" s="4"/>
      <c r="DGS103" s="4"/>
      <c r="DGT103" s="4"/>
      <c r="DGU103" s="4"/>
      <c r="DGV103" s="4"/>
      <c r="DGW103" s="4"/>
      <c r="DGX103" s="4"/>
      <c r="DGY103" s="4"/>
      <c r="DGZ103" s="4"/>
      <c r="DHA103" s="4"/>
      <c r="DHB103" s="4"/>
      <c r="DHC103" s="4"/>
      <c r="DHD103" s="4"/>
      <c r="DHE103" s="4"/>
      <c r="DHF103" s="4"/>
      <c r="DHG103" s="4"/>
      <c r="DHH103" s="4"/>
      <c r="DHI103" s="4"/>
      <c r="DHJ103" s="4"/>
      <c r="DHK103" s="4"/>
      <c r="DHL103" s="4"/>
      <c r="DHM103" s="4"/>
      <c r="DHN103" s="4"/>
      <c r="DHO103" s="4"/>
      <c r="DHP103" s="4"/>
      <c r="DHQ103" s="4"/>
      <c r="DHR103" s="4"/>
      <c r="DHS103" s="4"/>
      <c r="DHT103" s="4"/>
      <c r="DHU103" s="4"/>
      <c r="DHV103" s="4"/>
      <c r="DHW103" s="4"/>
      <c r="DHX103" s="4"/>
      <c r="DHY103" s="4"/>
      <c r="DHZ103" s="4"/>
      <c r="DIA103" s="4"/>
      <c r="DIB103" s="4"/>
      <c r="DIC103" s="4"/>
      <c r="DID103" s="4"/>
      <c r="DIE103" s="4"/>
      <c r="DIF103" s="4"/>
      <c r="DIG103" s="4"/>
      <c r="DIH103" s="4"/>
      <c r="DII103" s="4"/>
      <c r="DIJ103" s="4"/>
      <c r="DIK103" s="4"/>
      <c r="DIL103" s="4"/>
      <c r="DIM103" s="4"/>
      <c r="DIN103" s="4"/>
      <c r="DIO103" s="4"/>
      <c r="DIP103" s="4"/>
      <c r="DIQ103" s="4"/>
      <c r="DIR103" s="4"/>
      <c r="DIS103" s="4"/>
      <c r="DIT103" s="4"/>
      <c r="DIU103" s="4"/>
      <c r="DIV103" s="4"/>
      <c r="DIW103" s="4"/>
      <c r="DIX103" s="4"/>
      <c r="DIY103" s="4"/>
      <c r="DIZ103" s="4"/>
      <c r="DJA103" s="4"/>
      <c r="DJB103" s="4"/>
      <c r="DJC103" s="4"/>
      <c r="DJD103" s="4"/>
      <c r="DJE103" s="4"/>
      <c r="DJF103" s="4"/>
      <c r="DJG103" s="4"/>
      <c r="DJH103" s="4"/>
      <c r="DJI103" s="4"/>
      <c r="DJJ103" s="4"/>
      <c r="DJK103" s="4"/>
      <c r="DJL103" s="4"/>
      <c r="DJM103" s="4"/>
      <c r="DJN103" s="4"/>
      <c r="DJO103" s="4"/>
      <c r="DJP103" s="4"/>
      <c r="DJQ103" s="4"/>
      <c r="DJR103" s="4"/>
      <c r="DJS103" s="4"/>
      <c r="DJT103" s="4"/>
      <c r="DJU103" s="4"/>
      <c r="DJV103" s="4"/>
      <c r="DJW103" s="4"/>
      <c r="DJX103" s="4"/>
      <c r="DJY103" s="4"/>
      <c r="DJZ103" s="4"/>
      <c r="DKA103" s="4"/>
      <c r="DKB103" s="4"/>
      <c r="DKC103" s="4"/>
      <c r="DKD103" s="4"/>
      <c r="DKE103" s="4"/>
      <c r="DKF103" s="4"/>
      <c r="DKG103" s="4"/>
      <c r="DKH103" s="4"/>
      <c r="DKI103" s="4"/>
      <c r="DKJ103" s="4"/>
      <c r="DKK103" s="4"/>
      <c r="DKL103" s="4"/>
      <c r="DKM103" s="4"/>
      <c r="DKN103" s="4"/>
      <c r="DKO103" s="4"/>
      <c r="DKP103" s="4"/>
      <c r="DKQ103" s="4"/>
      <c r="DKR103" s="4"/>
      <c r="DKS103" s="4"/>
      <c r="DKT103" s="4"/>
      <c r="DKU103" s="4"/>
      <c r="DKV103" s="4"/>
      <c r="DKW103" s="4"/>
      <c r="DKX103" s="4"/>
      <c r="DKY103" s="4"/>
      <c r="DKZ103" s="4"/>
      <c r="DLA103" s="4"/>
      <c r="DLB103" s="4"/>
      <c r="DLC103" s="4"/>
      <c r="DLD103" s="4"/>
      <c r="DLE103" s="4"/>
      <c r="DLF103" s="4"/>
      <c r="DLG103" s="4"/>
      <c r="DLH103" s="4"/>
      <c r="DLI103" s="4"/>
      <c r="DLJ103" s="4"/>
      <c r="DLK103" s="4"/>
      <c r="DLL103" s="4"/>
      <c r="DLM103" s="4"/>
      <c r="DLN103" s="4"/>
      <c r="DLO103" s="4"/>
      <c r="DLP103" s="4"/>
      <c r="DLQ103" s="4"/>
      <c r="DLR103" s="4"/>
      <c r="DLS103" s="4"/>
      <c r="DLT103" s="4"/>
      <c r="DLU103" s="4"/>
      <c r="DLV103" s="4"/>
      <c r="DLW103" s="4"/>
      <c r="DLX103" s="4"/>
      <c r="DLY103" s="4"/>
      <c r="DLZ103" s="4"/>
      <c r="DMA103" s="4"/>
      <c r="DMB103" s="4"/>
      <c r="DMC103" s="4"/>
      <c r="DMD103" s="4"/>
      <c r="DME103" s="4"/>
      <c r="DMF103" s="4"/>
      <c r="DMG103" s="4"/>
      <c r="DMH103" s="4"/>
      <c r="DMI103" s="4"/>
      <c r="DMJ103" s="4"/>
      <c r="DMK103" s="4"/>
      <c r="DML103" s="4"/>
      <c r="DMM103" s="4"/>
      <c r="DMN103" s="4"/>
      <c r="DMO103" s="4"/>
      <c r="DMP103" s="4"/>
      <c r="DMQ103" s="4"/>
      <c r="DMR103" s="4"/>
      <c r="DMS103" s="4"/>
      <c r="DMT103" s="4"/>
      <c r="DMU103" s="4"/>
      <c r="DMV103" s="4"/>
      <c r="DMW103" s="4"/>
      <c r="DMX103" s="4"/>
      <c r="DMY103" s="4"/>
      <c r="DMZ103" s="4"/>
      <c r="DNA103" s="4"/>
      <c r="DNB103" s="4"/>
      <c r="DNC103" s="4"/>
      <c r="DND103" s="4"/>
      <c r="DNE103" s="4"/>
      <c r="DNF103" s="4"/>
      <c r="DNG103" s="4"/>
      <c r="DNH103" s="4"/>
      <c r="DNI103" s="4"/>
      <c r="DNJ103" s="4"/>
      <c r="DNK103" s="4"/>
      <c r="DNL103" s="4"/>
      <c r="DNM103" s="4"/>
      <c r="DNN103" s="4"/>
      <c r="DNO103" s="4"/>
      <c r="DNP103" s="4"/>
      <c r="DNQ103" s="4"/>
      <c r="DNR103" s="4"/>
      <c r="DNS103" s="4"/>
      <c r="DNT103" s="4"/>
      <c r="DNU103" s="4"/>
      <c r="DNV103" s="4"/>
      <c r="DNW103" s="4"/>
      <c r="DNX103" s="4"/>
      <c r="DNY103" s="4"/>
      <c r="DNZ103" s="4"/>
      <c r="DOA103" s="4"/>
      <c r="DOB103" s="4"/>
      <c r="DOC103" s="4"/>
      <c r="DOD103" s="4"/>
      <c r="DOE103" s="4"/>
      <c r="DOF103" s="4"/>
      <c r="DOG103" s="4"/>
      <c r="DOH103" s="4"/>
      <c r="DOI103" s="4"/>
      <c r="DOJ103" s="4"/>
      <c r="DOK103" s="4"/>
      <c r="DOL103" s="4"/>
      <c r="DOM103" s="4"/>
      <c r="DON103" s="4"/>
      <c r="DOO103" s="4"/>
      <c r="DOP103" s="4"/>
      <c r="DOQ103" s="4"/>
      <c r="DOR103" s="4"/>
      <c r="DOS103" s="4"/>
      <c r="DOT103" s="4"/>
      <c r="DOU103" s="4"/>
      <c r="DOV103" s="4"/>
      <c r="DOW103" s="4"/>
      <c r="DOX103" s="4"/>
      <c r="DOY103" s="4"/>
      <c r="DOZ103" s="4"/>
      <c r="DPA103" s="4"/>
      <c r="DPB103" s="4"/>
      <c r="DPC103" s="4"/>
      <c r="DPD103" s="4"/>
      <c r="DPE103" s="4"/>
      <c r="DPF103" s="4"/>
      <c r="DPG103" s="4"/>
      <c r="DPH103" s="4"/>
      <c r="DPI103" s="4"/>
      <c r="DPJ103" s="4"/>
      <c r="DPK103" s="4"/>
      <c r="DPL103" s="4"/>
      <c r="DPM103" s="4"/>
      <c r="DPN103" s="4"/>
      <c r="DPO103" s="4"/>
      <c r="DPP103" s="4"/>
      <c r="DPQ103" s="4"/>
      <c r="DPR103" s="4"/>
      <c r="DPS103" s="4"/>
      <c r="DPT103" s="4"/>
      <c r="DPU103" s="4"/>
      <c r="DPV103" s="4"/>
      <c r="DPW103" s="4"/>
      <c r="DPX103" s="4"/>
      <c r="DPY103" s="4"/>
      <c r="DPZ103" s="4"/>
      <c r="DQA103" s="4"/>
      <c r="DQB103" s="4"/>
      <c r="DQC103" s="4"/>
      <c r="DQD103" s="4"/>
      <c r="DQE103" s="4"/>
      <c r="DQF103" s="4"/>
      <c r="DQG103" s="4"/>
      <c r="DQH103" s="4"/>
      <c r="DQI103" s="4"/>
      <c r="DQJ103" s="4"/>
      <c r="DQK103" s="4"/>
      <c r="DQL103" s="4"/>
      <c r="DQM103" s="4"/>
      <c r="DQN103" s="4"/>
      <c r="DQO103" s="4"/>
      <c r="DQP103" s="4"/>
      <c r="DQQ103" s="4"/>
      <c r="DQR103" s="4"/>
      <c r="DQS103" s="4"/>
      <c r="DQT103" s="4"/>
      <c r="DQU103" s="4"/>
      <c r="DQV103" s="4"/>
      <c r="DQW103" s="4"/>
      <c r="DQX103" s="4"/>
      <c r="DQY103" s="4"/>
      <c r="DQZ103" s="4"/>
      <c r="DRA103" s="4"/>
      <c r="DRB103" s="4"/>
      <c r="DRC103" s="4"/>
      <c r="DRD103" s="4"/>
      <c r="DRE103" s="4"/>
      <c r="DRF103" s="4"/>
      <c r="DRG103" s="4"/>
      <c r="DRH103" s="4"/>
      <c r="DRI103" s="4"/>
      <c r="DRJ103" s="4"/>
      <c r="DRK103" s="4"/>
      <c r="DRL103" s="4"/>
      <c r="DRM103" s="4"/>
      <c r="DRN103" s="4"/>
      <c r="DRO103" s="4"/>
      <c r="DRP103" s="4"/>
      <c r="DRQ103" s="4"/>
      <c r="DRR103" s="4"/>
      <c r="DRS103" s="4"/>
      <c r="DRT103" s="4"/>
      <c r="DRU103" s="4"/>
      <c r="DRV103" s="4"/>
      <c r="DRW103" s="4"/>
      <c r="DRX103" s="4"/>
      <c r="DRY103" s="4"/>
      <c r="DRZ103" s="4"/>
      <c r="DSA103" s="4"/>
      <c r="DSB103" s="4"/>
      <c r="DSC103" s="4"/>
      <c r="DSD103" s="4"/>
      <c r="DSE103" s="4"/>
      <c r="DSF103" s="4"/>
      <c r="DSG103" s="4"/>
      <c r="DSH103" s="4"/>
      <c r="DSI103" s="4"/>
      <c r="DSJ103" s="4"/>
      <c r="DSK103" s="4"/>
      <c r="DSL103" s="4"/>
      <c r="DSM103" s="4"/>
      <c r="DSN103" s="4"/>
      <c r="DSO103" s="4"/>
      <c r="DSP103" s="4"/>
      <c r="DSQ103" s="4"/>
      <c r="DSR103" s="4"/>
      <c r="DSS103" s="4"/>
      <c r="DST103" s="4"/>
      <c r="DSU103" s="4"/>
      <c r="DSV103" s="4"/>
      <c r="DSW103" s="4"/>
      <c r="DSX103" s="4"/>
      <c r="DSY103" s="4"/>
      <c r="DSZ103" s="4"/>
      <c r="DTA103" s="4"/>
      <c r="DTB103" s="4"/>
      <c r="DTC103" s="4"/>
      <c r="DTD103" s="4"/>
      <c r="DTE103" s="4"/>
      <c r="DTF103" s="4"/>
      <c r="DTG103" s="4"/>
      <c r="DTH103" s="4"/>
      <c r="DTI103" s="4"/>
      <c r="DTJ103" s="4"/>
      <c r="DTK103" s="4"/>
      <c r="DTL103" s="4"/>
      <c r="DTM103" s="4"/>
      <c r="DTN103" s="4"/>
      <c r="DTO103" s="4"/>
      <c r="DTP103" s="4"/>
      <c r="DTQ103" s="4"/>
      <c r="DTR103" s="4"/>
      <c r="DTS103" s="4"/>
      <c r="DTT103" s="4"/>
      <c r="DTU103" s="4"/>
      <c r="DTV103" s="4"/>
      <c r="DTW103" s="4"/>
      <c r="DTX103" s="4"/>
      <c r="DTY103" s="4"/>
      <c r="DTZ103" s="4"/>
      <c r="DUA103" s="4"/>
      <c r="DUB103" s="4"/>
      <c r="DUC103" s="4"/>
      <c r="DUD103" s="4"/>
      <c r="DUE103" s="4"/>
      <c r="DUF103" s="4"/>
      <c r="DUG103" s="4"/>
      <c r="DUH103" s="4"/>
      <c r="DUI103" s="4"/>
      <c r="DUJ103" s="4"/>
      <c r="DUK103" s="4"/>
      <c r="DUL103" s="4"/>
      <c r="DUM103" s="4"/>
      <c r="DUN103" s="4"/>
      <c r="DUO103" s="4"/>
      <c r="DUP103" s="4"/>
      <c r="DUQ103" s="4"/>
      <c r="DUR103" s="4"/>
      <c r="DUS103" s="4"/>
      <c r="DUT103" s="4"/>
      <c r="DUU103" s="4"/>
      <c r="DUV103" s="4"/>
      <c r="DUW103" s="4"/>
      <c r="DUX103" s="4"/>
      <c r="DUY103" s="4"/>
      <c r="DUZ103" s="4"/>
      <c r="DVA103" s="4"/>
      <c r="DVB103" s="4"/>
      <c r="DVC103" s="4"/>
      <c r="DVD103" s="4"/>
      <c r="DVE103" s="4"/>
      <c r="DVF103" s="4"/>
      <c r="DVG103" s="4"/>
      <c r="DVH103" s="4"/>
      <c r="DVI103" s="4"/>
      <c r="DVJ103" s="4"/>
      <c r="DVK103" s="4"/>
      <c r="DVL103" s="4"/>
      <c r="DVM103" s="4"/>
      <c r="DVN103" s="4"/>
      <c r="DVO103" s="4"/>
      <c r="DVP103" s="4"/>
      <c r="DVQ103" s="4"/>
      <c r="DVR103" s="4"/>
      <c r="DVS103" s="4"/>
      <c r="DVT103" s="4"/>
      <c r="DVU103" s="4"/>
      <c r="DVV103" s="4"/>
      <c r="DVW103" s="4"/>
      <c r="DVX103" s="4"/>
      <c r="DVY103" s="4"/>
      <c r="DVZ103" s="4"/>
      <c r="DWA103" s="4"/>
      <c r="DWB103" s="4"/>
      <c r="DWC103" s="4"/>
      <c r="DWD103" s="4"/>
      <c r="DWE103" s="4"/>
      <c r="DWF103" s="4"/>
      <c r="DWG103" s="4"/>
      <c r="DWH103" s="4"/>
      <c r="DWI103" s="4"/>
      <c r="DWJ103" s="4"/>
      <c r="DWK103" s="4"/>
      <c r="DWL103" s="4"/>
      <c r="DWM103" s="4"/>
      <c r="DWN103" s="4"/>
      <c r="DWO103" s="4"/>
      <c r="DWP103" s="4"/>
      <c r="DWQ103" s="4"/>
      <c r="DWR103" s="4"/>
      <c r="DWS103" s="4"/>
      <c r="DWT103" s="4"/>
      <c r="DWU103" s="4"/>
      <c r="DWV103" s="4"/>
      <c r="DWW103" s="4"/>
      <c r="DWX103" s="4"/>
      <c r="DWY103" s="4"/>
      <c r="DWZ103" s="4"/>
      <c r="DXA103" s="4"/>
      <c r="DXB103" s="4"/>
      <c r="DXC103" s="4"/>
      <c r="DXD103" s="4"/>
      <c r="DXE103" s="4"/>
      <c r="DXF103" s="4"/>
      <c r="DXG103" s="4"/>
      <c r="DXH103" s="4"/>
      <c r="DXI103" s="4"/>
      <c r="DXJ103" s="4"/>
      <c r="DXK103" s="4"/>
      <c r="DXL103" s="4"/>
      <c r="DXM103" s="4"/>
      <c r="DXN103" s="4"/>
      <c r="DXO103" s="4"/>
      <c r="DXP103" s="4"/>
      <c r="DXQ103" s="4"/>
      <c r="DXR103" s="4"/>
      <c r="DXS103" s="4"/>
      <c r="DXT103" s="4"/>
      <c r="DXU103" s="4"/>
      <c r="DXV103" s="4"/>
      <c r="DXW103" s="4"/>
      <c r="DXX103" s="4"/>
      <c r="DXY103" s="4"/>
      <c r="DXZ103" s="4"/>
      <c r="DYA103" s="4"/>
      <c r="DYB103" s="4"/>
      <c r="DYC103" s="4"/>
      <c r="DYD103" s="4"/>
      <c r="DYE103" s="4"/>
      <c r="DYF103" s="4"/>
      <c r="DYG103" s="4"/>
      <c r="DYH103" s="4"/>
      <c r="DYI103" s="4"/>
      <c r="DYJ103" s="4"/>
      <c r="DYK103" s="4"/>
      <c r="DYL103" s="4"/>
      <c r="DYM103" s="4"/>
      <c r="DYN103" s="4"/>
      <c r="DYO103" s="4"/>
      <c r="DYP103" s="4"/>
      <c r="DYQ103" s="4"/>
      <c r="DYR103" s="4"/>
      <c r="DYS103" s="4"/>
      <c r="DYT103" s="4"/>
      <c r="DYU103" s="4"/>
      <c r="DYV103" s="4"/>
      <c r="DYW103" s="4"/>
      <c r="DYX103" s="4"/>
      <c r="DYY103" s="4"/>
      <c r="DYZ103" s="4"/>
      <c r="DZA103" s="4"/>
      <c r="DZB103" s="4"/>
      <c r="DZC103" s="4"/>
      <c r="DZD103" s="4"/>
      <c r="DZE103" s="4"/>
      <c r="DZF103" s="4"/>
      <c r="DZG103" s="4"/>
      <c r="DZH103" s="4"/>
      <c r="DZI103" s="4"/>
      <c r="DZJ103" s="4"/>
      <c r="DZK103" s="4"/>
      <c r="DZL103" s="4"/>
      <c r="DZM103" s="4"/>
      <c r="DZN103" s="4"/>
      <c r="DZO103" s="4"/>
      <c r="DZP103" s="4"/>
      <c r="DZQ103" s="4"/>
      <c r="DZR103" s="4"/>
      <c r="DZS103" s="4"/>
      <c r="DZT103" s="4"/>
      <c r="DZU103" s="4"/>
      <c r="DZV103" s="4"/>
      <c r="DZW103" s="4"/>
      <c r="DZX103" s="4"/>
      <c r="DZY103" s="4"/>
      <c r="DZZ103" s="4"/>
      <c r="EAA103" s="4"/>
      <c r="EAB103" s="4"/>
      <c r="EAC103" s="4"/>
      <c r="EAD103" s="4"/>
      <c r="EAE103" s="4"/>
      <c r="EAF103" s="4"/>
      <c r="EAG103" s="4"/>
      <c r="EAH103" s="4"/>
      <c r="EAI103" s="4"/>
      <c r="EAJ103" s="4"/>
      <c r="EAK103" s="4"/>
      <c r="EAL103" s="4"/>
      <c r="EAM103" s="4"/>
      <c r="EAN103" s="4"/>
      <c r="EAO103" s="4"/>
      <c r="EAP103" s="4"/>
      <c r="EAQ103" s="4"/>
      <c r="EAR103" s="4"/>
      <c r="EAS103" s="4"/>
      <c r="EAT103" s="4"/>
      <c r="EAU103" s="4"/>
      <c r="EAV103" s="4"/>
      <c r="EAW103" s="4"/>
      <c r="EAX103" s="4"/>
      <c r="EAY103" s="4"/>
      <c r="EAZ103" s="4"/>
      <c r="EBA103" s="4"/>
      <c r="EBB103" s="4"/>
      <c r="EBC103" s="4"/>
      <c r="EBD103" s="4"/>
      <c r="EBE103" s="4"/>
      <c r="EBF103" s="4"/>
      <c r="EBG103" s="4"/>
      <c r="EBH103" s="4"/>
      <c r="EBI103" s="4"/>
      <c r="EBJ103" s="4"/>
      <c r="EBK103" s="4"/>
      <c r="EBL103" s="4"/>
      <c r="EBM103" s="4"/>
      <c r="EBN103" s="4"/>
      <c r="EBO103" s="4"/>
      <c r="EBP103" s="4"/>
      <c r="EBQ103" s="4"/>
      <c r="EBR103" s="4"/>
      <c r="EBS103" s="4"/>
      <c r="EBT103" s="4"/>
      <c r="EBU103" s="4"/>
      <c r="EBV103" s="4"/>
      <c r="EBW103" s="4"/>
      <c r="EBX103" s="4"/>
      <c r="EBY103" s="4"/>
      <c r="EBZ103" s="4"/>
      <c r="ECA103" s="4"/>
      <c r="ECB103" s="4"/>
      <c r="ECC103" s="4"/>
      <c r="ECD103" s="4"/>
      <c r="ECE103" s="4"/>
      <c r="ECF103" s="4"/>
      <c r="ECG103" s="4"/>
      <c r="ECH103" s="4"/>
      <c r="ECI103" s="4"/>
      <c r="ECJ103" s="4"/>
      <c r="ECK103" s="4"/>
      <c r="ECL103" s="4"/>
      <c r="ECM103" s="4"/>
      <c r="ECN103" s="4"/>
      <c r="ECO103" s="4"/>
      <c r="ECP103" s="4"/>
      <c r="ECQ103" s="4"/>
      <c r="ECR103" s="4"/>
      <c r="ECS103" s="4"/>
      <c r="ECT103" s="4"/>
      <c r="ECU103" s="4"/>
      <c r="ECV103" s="4"/>
      <c r="ECW103" s="4"/>
      <c r="ECX103" s="4"/>
      <c r="ECY103" s="4"/>
      <c r="ECZ103" s="4"/>
      <c r="EDA103" s="4"/>
      <c r="EDB103" s="4"/>
      <c r="EDC103" s="4"/>
      <c r="EDD103" s="4"/>
      <c r="EDE103" s="4"/>
      <c r="EDF103" s="4"/>
      <c r="EDG103" s="4"/>
      <c r="EDH103" s="4"/>
      <c r="EDI103" s="4"/>
      <c r="EDJ103" s="4"/>
      <c r="EDK103" s="4"/>
      <c r="EDL103" s="4"/>
      <c r="EDM103" s="4"/>
      <c r="EDN103" s="4"/>
      <c r="EDO103" s="4"/>
      <c r="EDP103" s="4"/>
      <c r="EDQ103" s="4"/>
      <c r="EDR103" s="4"/>
      <c r="EDS103" s="4"/>
      <c r="EDT103" s="4"/>
      <c r="EDU103" s="4"/>
      <c r="EDV103" s="4"/>
      <c r="EDW103" s="4"/>
      <c r="EDX103" s="4"/>
      <c r="EDY103" s="4"/>
      <c r="EDZ103" s="4"/>
      <c r="EEA103" s="4"/>
      <c r="EEB103" s="4"/>
      <c r="EEC103" s="4"/>
      <c r="EED103" s="4"/>
      <c r="EEE103" s="4"/>
      <c r="EEF103" s="4"/>
      <c r="EEG103" s="4"/>
      <c r="EEH103" s="4"/>
      <c r="EEI103" s="4"/>
      <c r="EEJ103" s="4"/>
      <c r="EEK103" s="4"/>
      <c r="EEL103" s="4"/>
      <c r="EEM103" s="4"/>
      <c r="EEN103" s="4"/>
      <c r="EEO103" s="4"/>
      <c r="EEP103" s="4"/>
      <c r="EEQ103" s="4"/>
      <c r="EER103" s="4"/>
      <c r="EES103" s="4"/>
      <c r="EET103" s="4"/>
      <c r="EEU103" s="4"/>
      <c r="EEV103" s="4"/>
      <c r="EEW103" s="4"/>
      <c r="EEX103" s="4"/>
      <c r="EEY103" s="4"/>
      <c r="EEZ103" s="4"/>
      <c r="EFA103" s="4"/>
      <c r="EFB103" s="4"/>
      <c r="EFC103" s="4"/>
      <c r="EFD103" s="4"/>
      <c r="EFE103" s="4"/>
      <c r="EFF103" s="4"/>
      <c r="EFG103" s="4"/>
      <c r="EFH103" s="4"/>
      <c r="EFI103" s="4"/>
      <c r="EFJ103" s="4"/>
      <c r="EFK103" s="4"/>
      <c r="EFL103" s="4"/>
      <c r="EFM103" s="4"/>
      <c r="EFN103" s="4"/>
      <c r="EFO103" s="4"/>
      <c r="EFP103" s="4"/>
      <c r="EFQ103" s="4"/>
      <c r="EFR103" s="4"/>
      <c r="EFS103" s="4"/>
      <c r="EFT103" s="4"/>
      <c r="EFU103" s="4"/>
      <c r="EFV103" s="4"/>
      <c r="EFW103" s="4"/>
      <c r="EFX103" s="4"/>
      <c r="EFY103" s="4"/>
      <c r="EFZ103" s="4"/>
      <c r="EGA103" s="4"/>
      <c r="EGB103" s="4"/>
      <c r="EGC103" s="4"/>
      <c r="EGD103" s="4"/>
      <c r="EGE103" s="4"/>
      <c r="EGF103" s="4"/>
      <c r="EGG103" s="4"/>
      <c r="EGH103" s="4"/>
      <c r="EGI103" s="4"/>
      <c r="EGJ103" s="4"/>
      <c r="EGK103" s="4"/>
      <c r="EGL103" s="4"/>
      <c r="EGM103" s="4"/>
      <c r="EGN103" s="4"/>
      <c r="EGO103" s="4"/>
      <c r="EGP103" s="4"/>
      <c r="EGQ103" s="4"/>
      <c r="EGR103" s="4"/>
      <c r="EGS103" s="4"/>
      <c r="EGT103" s="4"/>
      <c r="EGU103" s="4"/>
      <c r="EGV103" s="4"/>
      <c r="EGW103" s="4"/>
      <c r="EGX103" s="4"/>
      <c r="EGY103" s="4"/>
      <c r="EGZ103" s="4"/>
      <c r="EHA103" s="4"/>
      <c r="EHB103" s="4"/>
      <c r="EHC103" s="4"/>
      <c r="EHD103" s="4"/>
      <c r="EHE103" s="4"/>
      <c r="EHF103" s="4"/>
      <c r="EHG103" s="4"/>
      <c r="EHH103" s="4"/>
      <c r="EHI103" s="4"/>
      <c r="EHJ103" s="4"/>
      <c r="EHK103" s="4"/>
      <c r="EHL103" s="4"/>
      <c r="EHM103" s="4"/>
      <c r="EHN103" s="4"/>
      <c r="EHO103" s="4"/>
      <c r="EHP103" s="4"/>
      <c r="EHQ103" s="4"/>
      <c r="EHR103" s="4"/>
      <c r="EHS103" s="4"/>
      <c r="EHT103" s="4"/>
      <c r="EHU103" s="4"/>
      <c r="EHV103" s="4"/>
      <c r="EHW103" s="4"/>
      <c r="EHX103" s="4"/>
      <c r="EHY103" s="4"/>
      <c r="EHZ103" s="4"/>
      <c r="EIA103" s="4"/>
      <c r="EIB103" s="4"/>
      <c r="EIC103" s="4"/>
      <c r="EID103" s="4"/>
      <c r="EIE103" s="4"/>
      <c r="EIF103" s="4"/>
      <c r="EIG103" s="4"/>
      <c r="EIH103" s="4"/>
      <c r="EII103" s="4"/>
      <c r="EIJ103" s="4"/>
      <c r="EIK103" s="4"/>
      <c r="EIL103" s="4"/>
      <c r="EIM103" s="4"/>
      <c r="EIN103" s="4"/>
      <c r="EIO103" s="4"/>
      <c r="EIP103" s="4"/>
      <c r="EIQ103" s="4"/>
      <c r="EIR103" s="4"/>
      <c r="EIS103" s="4"/>
      <c r="EIT103" s="4"/>
      <c r="EIU103" s="4"/>
      <c r="EIV103" s="4"/>
      <c r="EIW103" s="4"/>
      <c r="EIX103" s="4"/>
      <c r="EIY103" s="4"/>
      <c r="EIZ103" s="4"/>
      <c r="EJA103" s="4"/>
      <c r="EJB103" s="4"/>
      <c r="EJC103" s="4"/>
      <c r="EJD103" s="4"/>
      <c r="EJE103" s="4"/>
      <c r="EJF103" s="4"/>
      <c r="EJG103" s="4"/>
      <c r="EJH103" s="4"/>
      <c r="EJI103" s="4"/>
      <c r="EJJ103" s="4"/>
      <c r="EJK103" s="4"/>
      <c r="EJL103" s="4"/>
      <c r="EJM103" s="4"/>
      <c r="EJN103" s="4"/>
      <c r="EJO103" s="4"/>
      <c r="EJP103" s="4"/>
      <c r="EJQ103" s="4"/>
      <c r="EJR103" s="4"/>
      <c r="EJS103" s="4"/>
      <c r="EJT103" s="4"/>
      <c r="EJU103" s="4"/>
      <c r="EJV103" s="4"/>
      <c r="EJW103" s="4"/>
      <c r="EJX103" s="4"/>
      <c r="EJY103" s="4"/>
      <c r="EJZ103" s="4"/>
      <c r="EKA103" s="4"/>
      <c r="EKB103" s="4"/>
      <c r="EKC103" s="4"/>
      <c r="EKD103" s="4"/>
      <c r="EKE103" s="4"/>
      <c r="EKF103" s="4"/>
      <c r="EKG103" s="4"/>
      <c r="EKH103" s="4"/>
      <c r="EKI103" s="4"/>
      <c r="EKJ103" s="4"/>
      <c r="EKK103" s="4"/>
      <c r="EKL103" s="4"/>
      <c r="EKM103" s="4"/>
      <c r="EKN103" s="4"/>
      <c r="EKO103" s="4"/>
      <c r="EKP103" s="4"/>
      <c r="EKQ103" s="4"/>
      <c r="EKR103" s="4"/>
      <c r="EKS103" s="4"/>
      <c r="EKT103" s="4"/>
      <c r="EKU103" s="4"/>
      <c r="EKV103" s="4"/>
      <c r="EKW103" s="4"/>
      <c r="EKX103" s="4"/>
      <c r="EKY103" s="4"/>
      <c r="EKZ103" s="4"/>
      <c r="ELA103" s="4"/>
      <c r="ELB103" s="4"/>
      <c r="ELC103" s="4"/>
      <c r="ELD103" s="4"/>
      <c r="ELE103" s="4"/>
      <c r="ELF103" s="4"/>
      <c r="ELG103" s="4"/>
      <c r="ELH103" s="4"/>
      <c r="ELI103" s="4"/>
      <c r="ELJ103" s="4"/>
      <c r="ELK103" s="4"/>
      <c r="ELL103" s="4"/>
      <c r="ELM103" s="4"/>
      <c r="ELN103" s="4"/>
      <c r="ELO103" s="4"/>
      <c r="ELP103" s="4"/>
      <c r="ELQ103" s="4"/>
      <c r="ELR103" s="4"/>
      <c r="ELS103" s="4"/>
      <c r="ELT103" s="4"/>
      <c r="ELU103" s="4"/>
      <c r="ELV103" s="4"/>
      <c r="ELW103" s="4"/>
      <c r="ELX103" s="4"/>
      <c r="ELY103" s="4"/>
      <c r="ELZ103" s="4"/>
      <c r="EMA103" s="4"/>
      <c r="EMB103" s="4"/>
      <c r="EMC103" s="4"/>
      <c r="EMD103" s="4"/>
      <c r="EME103" s="4"/>
      <c r="EMF103" s="4"/>
      <c r="EMG103" s="4"/>
      <c r="EMH103" s="4"/>
      <c r="EMI103" s="4"/>
      <c r="EMJ103" s="4"/>
      <c r="EMK103" s="4"/>
      <c r="EML103" s="4"/>
      <c r="EMM103" s="4"/>
      <c r="EMN103" s="4"/>
      <c r="EMO103" s="4"/>
      <c r="EMP103" s="4"/>
      <c r="EMQ103" s="4"/>
      <c r="EMR103" s="4"/>
      <c r="EMS103" s="4"/>
      <c r="EMT103" s="4"/>
      <c r="EMU103" s="4"/>
      <c r="EMV103" s="4"/>
      <c r="EMW103" s="4"/>
      <c r="EMX103" s="4"/>
      <c r="EMY103" s="4"/>
      <c r="EMZ103" s="4"/>
      <c r="ENA103" s="4"/>
      <c r="ENB103" s="4"/>
      <c r="ENC103" s="4"/>
      <c r="END103" s="4"/>
      <c r="ENE103" s="4"/>
      <c r="ENF103" s="4"/>
      <c r="ENG103" s="4"/>
      <c r="ENH103" s="4"/>
      <c r="ENI103" s="4"/>
      <c r="ENJ103" s="4"/>
      <c r="ENK103" s="4"/>
      <c r="ENL103" s="4"/>
      <c r="ENM103" s="4"/>
      <c r="ENN103" s="4"/>
      <c r="ENO103" s="4"/>
      <c r="ENP103" s="4"/>
      <c r="ENQ103" s="4"/>
      <c r="ENR103" s="4"/>
      <c r="ENS103" s="4"/>
      <c r="ENT103" s="4"/>
      <c r="ENU103" s="4"/>
      <c r="ENV103" s="4"/>
      <c r="ENW103" s="4"/>
      <c r="ENX103" s="4"/>
      <c r="ENY103" s="4"/>
      <c r="ENZ103" s="4"/>
      <c r="EOA103" s="4"/>
      <c r="EOB103" s="4"/>
      <c r="EOC103" s="4"/>
      <c r="EOD103" s="4"/>
      <c r="EOE103" s="4"/>
      <c r="EOF103" s="4"/>
      <c r="EOG103" s="4"/>
      <c r="EOH103" s="4"/>
      <c r="EOI103" s="4"/>
      <c r="EOJ103" s="4"/>
      <c r="EOK103" s="4"/>
      <c r="EOL103" s="4"/>
      <c r="EOM103" s="4"/>
      <c r="EON103" s="4"/>
      <c r="EOO103" s="4"/>
      <c r="EOP103" s="4"/>
      <c r="EOQ103" s="4"/>
      <c r="EOR103" s="4"/>
      <c r="EOS103" s="4"/>
      <c r="EOT103" s="4"/>
      <c r="EOU103" s="4"/>
      <c r="EOV103" s="4"/>
      <c r="EOW103" s="4"/>
      <c r="EOX103" s="4"/>
      <c r="EOY103" s="4"/>
      <c r="EOZ103" s="4"/>
      <c r="EPA103" s="4"/>
      <c r="EPB103" s="4"/>
      <c r="EPC103" s="4"/>
      <c r="EPD103" s="4"/>
      <c r="EPE103" s="4"/>
      <c r="EPF103" s="4"/>
      <c r="EPG103" s="4"/>
      <c r="EPH103" s="4"/>
      <c r="EPI103" s="4"/>
      <c r="EPJ103" s="4"/>
      <c r="EPK103" s="4"/>
      <c r="EPL103" s="4"/>
      <c r="EPM103" s="4"/>
      <c r="EPN103" s="4"/>
      <c r="EPO103" s="4"/>
      <c r="EPP103" s="4"/>
      <c r="EPQ103" s="4"/>
      <c r="EPR103" s="4"/>
      <c r="EPS103" s="4"/>
      <c r="EPT103" s="4"/>
      <c r="EPU103" s="4"/>
      <c r="EPV103" s="4"/>
      <c r="EPW103" s="4"/>
      <c r="EPX103" s="4"/>
      <c r="EPY103" s="4"/>
      <c r="EPZ103" s="4"/>
      <c r="EQA103" s="4"/>
      <c r="EQB103" s="4"/>
      <c r="EQC103" s="4"/>
      <c r="EQD103" s="4"/>
      <c r="EQE103" s="4"/>
      <c r="EQF103" s="4"/>
      <c r="EQG103" s="4"/>
      <c r="EQH103" s="4"/>
      <c r="EQI103" s="4"/>
      <c r="EQJ103" s="4"/>
      <c r="EQK103" s="4"/>
      <c r="EQL103" s="4"/>
      <c r="EQM103" s="4"/>
      <c r="EQN103" s="4"/>
      <c r="EQO103" s="4"/>
      <c r="EQP103" s="4"/>
      <c r="EQQ103" s="4"/>
      <c r="EQR103" s="4"/>
      <c r="EQS103" s="4"/>
      <c r="EQT103" s="4"/>
      <c r="EQU103" s="4"/>
      <c r="EQV103" s="4"/>
      <c r="EQW103" s="4"/>
      <c r="EQX103" s="4"/>
      <c r="EQY103" s="4"/>
      <c r="EQZ103" s="4"/>
      <c r="ERA103" s="4"/>
      <c r="ERB103" s="4"/>
      <c r="ERC103" s="4"/>
      <c r="ERD103" s="4"/>
      <c r="ERE103" s="4"/>
      <c r="ERF103" s="4"/>
      <c r="ERG103" s="4"/>
      <c r="ERH103" s="4"/>
      <c r="ERI103" s="4"/>
      <c r="ERJ103" s="4"/>
      <c r="ERK103" s="4"/>
      <c r="ERL103" s="4"/>
      <c r="ERM103" s="4"/>
      <c r="ERN103" s="4"/>
      <c r="ERO103" s="4"/>
      <c r="ERP103" s="4"/>
      <c r="ERQ103" s="4"/>
      <c r="ERR103" s="4"/>
      <c r="ERS103" s="4"/>
      <c r="ERT103" s="4"/>
      <c r="ERU103" s="4"/>
      <c r="ERV103" s="4"/>
      <c r="ERW103" s="4"/>
      <c r="ERX103" s="4"/>
      <c r="ERY103" s="4"/>
      <c r="ERZ103" s="4"/>
      <c r="ESA103" s="4"/>
      <c r="ESB103" s="4"/>
      <c r="ESC103" s="4"/>
      <c r="ESD103" s="4"/>
      <c r="ESE103" s="4"/>
      <c r="ESF103" s="4"/>
      <c r="ESG103" s="4"/>
      <c r="ESH103" s="4"/>
      <c r="ESI103" s="4"/>
      <c r="ESJ103" s="4"/>
      <c r="ESK103" s="4"/>
      <c r="ESL103" s="4"/>
      <c r="ESM103" s="4"/>
      <c r="ESN103" s="4"/>
      <c r="ESO103" s="4"/>
      <c r="ESP103" s="4"/>
      <c r="ESQ103" s="4"/>
      <c r="ESR103" s="4"/>
      <c r="ESS103" s="4"/>
      <c r="EST103" s="4"/>
      <c r="ESU103" s="4"/>
      <c r="ESV103" s="4"/>
      <c r="ESW103" s="4"/>
      <c r="ESX103" s="4"/>
      <c r="ESY103" s="4"/>
      <c r="ESZ103" s="4"/>
      <c r="ETA103" s="4"/>
      <c r="ETB103" s="4"/>
      <c r="ETC103" s="4"/>
      <c r="ETD103" s="4"/>
      <c r="ETE103" s="4"/>
      <c r="ETF103" s="4"/>
      <c r="ETG103" s="4"/>
      <c r="ETH103" s="4"/>
      <c r="ETI103" s="4"/>
      <c r="ETJ103" s="4"/>
      <c r="ETK103" s="4"/>
      <c r="ETL103" s="4"/>
      <c r="ETM103" s="4"/>
      <c r="ETN103" s="4"/>
      <c r="ETO103" s="4"/>
      <c r="ETP103" s="4"/>
      <c r="ETQ103" s="4"/>
      <c r="ETR103" s="4"/>
      <c r="ETS103" s="4"/>
      <c r="ETT103" s="4"/>
      <c r="ETU103" s="4"/>
      <c r="ETV103" s="4"/>
      <c r="ETW103" s="4"/>
      <c r="ETX103" s="4"/>
      <c r="ETY103" s="4"/>
      <c r="ETZ103" s="4"/>
      <c r="EUA103" s="4"/>
      <c r="EUB103" s="4"/>
      <c r="EUC103" s="4"/>
      <c r="EUD103" s="4"/>
      <c r="EUE103" s="4"/>
      <c r="EUF103" s="4"/>
      <c r="EUG103" s="4"/>
      <c r="EUH103" s="4"/>
      <c r="EUI103" s="4"/>
      <c r="EUJ103" s="4"/>
      <c r="EUK103" s="4"/>
      <c r="EUL103" s="4"/>
      <c r="EUM103" s="4"/>
      <c r="EUN103" s="4"/>
      <c r="EUO103" s="4"/>
      <c r="EUP103" s="4"/>
      <c r="EUQ103" s="4"/>
      <c r="EUR103" s="4"/>
      <c r="EUS103" s="4"/>
      <c r="EUT103" s="4"/>
      <c r="EUU103" s="4"/>
      <c r="EUV103" s="4"/>
      <c r="EUW103" s="4"/>
      <c r="EUX103" s="4"/>
      <c r="EUY103" s="4"/>
      <c r="EUZ103" s="4"/>
      <c r="EVA103" s="4"/>
      <c r="EVB103" s="4"/>
      <c r="EVC103" s="4"/>
      <c r="EVD103" s="4"/>
      <c r="EVE103" s="4"/>
      <c r="EVF103" s="4"/>
      <c r="EVG103" s="4"/>
      <c r="EVH103" s="4"/>
      <c r="EVI103" s="4"/>
      <c r="EVJ103" s="4"/>
      <c r="EVK103" s="4"/>
      <c r="EVL103" s="4"/>
      <c r="EVM103" s="4"/>
      <c r="EVN103" s="4"/>
      <c r="EVO103" s="4"/>
      <c r="EVP103" s="4"/>
      <c r="EVQ103" s="4"/>
      <c r="EVR103" s="4"/>
      <c r="EVS103" s="4"/>
      <c r="EVT103" s="4"/>
      <c r="EVU103" s="4"/>
      <c r="EVV103" s="4"/>
      <c r="EVW103" s="4"/>
      <c r="EVX103" s="4"/>
      <c r="EVY103" s="4"/>
      <c r="EVZ103" s="4"/>
      <c r="EWA103" s="4"/>
      <c r="EWB103" s="4"/>
      <c r="EWC103" s="4"/>
      <c r="EWD103" s="4"/>
      <c r="EWE103" s="4"/>
      <c r="EWF103" s="4"/>
      <c r="EWG103" s="4"/>
      <c r="EWH103" s="4"/>
      <c r="EWI103" s="4"/>
      <c r="EWJ103" s="4"/>
      <c r="EWK103" s="4"/>
      <c r="EWL103" s="4"/>
      <c r="EWM103" s="4"/>
      <c r="EWN103" s="4"/>
      <c r="EWO103" s="4"/>
      <c r="EWP103" s="4"/>
      <c r="EWQ103" s="4"/>
      <c r="EWR103" s="4"/>
      <c r="EWS103" s="4"/>
      <c r="EWT103" s="4"/>
      <c r="EWU103" s="4"/>
      <c r="EWV103" s="4"/>
      <c r="EWW103" s="4"/>
      <c r="EWX103" s="4"/>
      <c r="EWY103" s="4"/>
      <c r="EWZ103" s="4"/>
      <c r="EXA103" s="4"/>
      <c r="EXB103" s="4"/>
      <c r="EXC103" s="4"/>
      <c r="EXD103" s="4"/>
      <c r="EXE103" s="4"/>
      <c r="EXF103" s="4"/>
      <c r="EXG103" s="4"/>
      <c r="EXH103" s="4"/>
      <c r="EXI103" s="4"/>
      <c r="EXJ103" s="4"/>
      <c r="EXK103" s="4"/>
      <c r="EXL103" s="4"/>
      <c r="EXM103" s="4"/>
      <c r="EXN103" s="4"/>
      <c r="EXO103" s="4"/>
      <c r="EXP103" s="4"/>
      <c r="EXQ103" s="4"/>
      <c r="EXR103" s="4"/>
      <c r="EXS103" s="4"/>
      <c r="EXT103" s="4"/>
      <c r="EXU103" s="4"/>
      <c r="EXV103" s="4"/>
      <c r="EXW103" s="4"/>
      <c r="EXX103" s="4"/>
      <c r="EXY103" s="4"/>
      <c r="EXZ103" s="4"/>
      <c r="EYA103" s="4"/>
      <c r="EYB103" s="4"/>
      <c r="EYC103" s="4"/>
      <c r="EYD103" s="4"/>
      <c r="EYE103" s="4"/>
      <c r="EYF103" s="4"/>
      <c r="EYG103" s="4"/>
      <c r="EYH103" s="4"/>
      <c r="EYI103" s="4"/>
      <c r="EYJ103" s="4"/>
      <c r="EYK103" s="4"/>
      <c r="EYL103" s="4"/>
      <c r="EYM103" s="4"/>
      <c r="EYN103" s="4"/>
      <c r="EYO103" s="4"/>
      <c r="EYP103" s="4"/>
      <c r="EYQ103" s="4"/>
      <c r="EYR103" s="4"/>
      <c r="EYS103" s="4"/>
      <c r="EYT103" s="4"/>
      <c r="EYU103" s="4"/>
      <c r="EYV103" s="4"/>
      <c r="EYW103" s="4"/>
      <c r="EYX103" s="4"/>
      <c r="EYY103" s="4"/>
      <c r="EYZ103" s="4"/>
      <c r="EZA103" s="4"/>
      <c r="EZB103" s="4"/>
      <c r="EZC103" s="4"/>
      <c r="EZD103" s="4"/>
      <c r="EZE103" s="4"/>
      <c r="EZF103" s="4"/>
      <c r="EZG103" s="4"/>
      <c r="EZH103" s="4"/>
      <c r="EZI103" s="4"/>
      <c r="EZJ103" s="4"/>
      <c r="EZK103" s="4"/>
      <c r="EZL103" s="4"/>
      <c r="EZM103" s="4"/>
      <c r="EZN103" s="4"/>
      <c r="EZO103" s="4"/>
      <c r="EZP103" s="4"/>
      <c r="EZQ103" s="4"/>
      <c r="EZR103" s="4"/>
      <c r="EZS103" s="4"/>
      <c r="EZT103" s="4"/>
      <c r="EZU103" s="4"/>
      <c r="EZV103" s="4"/>
      <c r="EZW103" s="4"/>
      <c r="EZX103" s="4"/>
      <c r="EZY103" s="4"/>
      <c r="EZZ103" s="4"/>
      <c r="FAA103" s="4"/>
      <c r="FAB103" s="4"/>
      <c r="FAC103" s="4"/>
      <c r="FAD103" s="4"/>
      <c r="FAE103" s="4"/>
      <c r="FAF103" s="4"/>
      <c r="FAG103" s="4"/>
      <c r="FAH103" s="4"/>
      <c r="FAI103" s="4"/>
      <c r="FAJ103" s="4"/>
      <c r="FAK103" s="4"/>
      <c r="FAL103" s="4"/>
      <c r="FAM103" s="4"/>
      <c r="FAN103" s="4"/>
      <c r="FAO103" s="4"/>
      <c r="FAP103" s="4"/>
      <c r="FAQ103" s="4"/>
      <c r="FAR103" s="4"/>
      <c r="FAS103" s="4"/>
      <c r="FAT103" s="4"/>
      <c r="FAU103" s="4"/>
      <c r="FAV103" s="4"/>
      <c r="FAW103" s="4"/>
      <c r="FAX103" s="4"/>
      <c r="FAY103" s="4"/>
      <c r="FAZ103" s="4"/>
      <c r="FBA103" s="4"/>
      <c r="FBB103" s="4"/>
      <c r="FBC103" s="4"/>
      <c r="FBD103" s="4"/>
      <c r="FBE103" s="4"/>
      <c r="FBF103" s="4"/>
      <c r="FBG103" s="4"/>
      <c r="FBH103" s="4"/>
      <c r="FBI103" s="4"/>
      <c r="FBJ103" s="4"/>
      <c r="FBK103" s="4"/>
      <c r="FBL103" s="4"/>
      <c r="FBM103" s="4"/>
      <c r="FBN103" s="4"/>
      <c r="FBO103" s="4"/>
      <c r="FBP103" s="4"/>
      <c r="FBQ103" s="4"/>
      <c r="FBR103" s="4"/>
      <c r="FBS103" s="4"/>
      <c r="FBT103" s="4"/>
      <c r="FBU103" s="4"/>
      <c r="FBV103" s="4"/>
      <c r="FBW103" s="4"/>
      <c r="FBX103" s="4"/>
      <c r="FBY103" s="4"/>
      <c r="FBZ103" s="4"/>
      <c r="FCA103" s="4"/>
      <c r="FCB103" s="4"/>
      <c r="FCC103" s="4"/>
      <c r="FCD103" s="4"/>
      <c r="FCE103" s="4"/>
      <c r="FCF103" s="4"/>
      <c r="FCG103" s="4"/>
      <c r="FCH103" s="4"/>
      <c r="FCI103" s="4"/>
      <c r="FCJ103" s="4"/>
      <c r="FCK103" s="4"/>
      <c r="FCL103" s="4"/>
      <c r="FCM103" s="4"/>
      <c r="FCN103" s="4"/>
      <c r="FCO103" s="4"/>
      <c r="FCP103" s="4"/>
      <c r="FCQ103" s="4"/>
      <c r="FCR103" s="4"/>
      <c r="FCS103" s="4"/>
      <c r="FCT103" s="4"/>
      <c r="FCU103" s="4"/>
      <c r="FCV103" s="4"/>
      <c r="FCW103" s="4"/>
      <c r="FCX103" s="4"/>
      <c r="FCY103" s="4"/>
      <c r="FCZ103" s="4"/>
      <c r="FDA103" s="4"/>
      <c r="FDB103" s="4"/>
      <c r="FDC103" s="4"/>
      <c r="FDD103" s="4"/>
      <c r="FDE103" s="4"/>
      <c r="FDF103" s="4"/>
      <c r="FDG103" s="4"/>
      <c r="FDH103" s="4"/>
      <c r="FDI103" s="4"/>
      <c r="FDJ103" s="4"/>
      <c r="FDK103" s="4"/>
      <c r="FDL103" s="4"/>
      <c r="FDM103" s="4"/>
      <c r="FDN103" s="4"/>
      <c r="FDO103" s="4"/>
      <c r="FDP103" s="4"/>
      <c r="FDQ103" s="4"/>
      <c r="FDR103" s="4"/>
      <c r="FDS103" s="4"/>
      <c r="FDT103" s="4"/>
      <c r="FDU103" s="4"/>
      <c r="FDV103" s="4"/>
      <c r="FDW103" s="4"/>
      <c r="FDX103" s="4"/>
      <c r="FDY103" s="4"/>
      <c r="FDZ103" s="4"/>
      <c r="FEA103" s="4"/>
      <c r="FEB103" s="4"/>
      <c r="FEC103" s="4"/>
      <c r="FED103" s="4"/>
      <c r="FEE103" s="4"/>
      <c r="FEF103" s="4"/>
      <c r="FEG103" s="4"/>
      <c r="FEH103" s="4"/>
      <c r="FEI103" s="4"/>
      <c r="FEJ103" s="4"/>
      <c r="FEK103" s="4"/>
      <c r="FEL103" s="4"/>
      <c r="FEM103" s="4"/>
      <c r="FEN103" s="4"/>
      <c r="FEO103" s="4"/>
      <c r="FEP103" s="4"/>
      <c r="FEQ103" s="4"/>
      <c r="FER103" s="4"/>
      <c r="FES103" s="4"/>
      <c r="FET103" s="4"/>
      <c r="FEU103" s="4"/>
      <c r="FEV103" s="4"/>
      <c r="FEW103" s="4"/>
      <c r="FEX103" s="4"/>
      <c r="FEY103" s="4"/>
      <c r="FEZ103" s="4"/>
      <c r="FFA103" s="4"/>
      <c r="FFB103" s="4"/>
      <c r="FFC103" s="4"/>
      <c r="FFD103" s="4"/>
      <c r="FFE103" s="4"/>
      <c r="FFF103" s="4"/>
      <c r="FFG103" s="4"/>
      <c r="FFH103" s="4"/>
      <c r="FFI103" s="4"/>
      <c r="FFJ103" s="4"/>
      <c r="FFK103" s="4"/>
      <c r="FFL103" s="4"/>
      <c r="FFM103" s="4"/>
      <c r="FFN103" s="4"/>
      <c r="FFO103" s="4"/>
      <c r="FFP103" s="4"/>
      <c r="FFQ103" s="4"/>
      <c r="FFR103" s="4"/>
      <c r="FFS103" s="4"/>
      <c r="FFT103" s="4"/>
      <c r="FFU103" s="4"/>
      <c r="FFV103" s="4"/>
      <c r="FFW103" s="4"/>
      <c r="FFX103" s="4"/>
      <c r="FFY103" s="4"/>
      <c r="FFZ103" s="4"/>
      <c r="FGA103" s="4"/>
      <c r="FGB103" s="4"/>
      <c r="FGC103" s="4"/>
      <c r="FGD103" s="4"/>
      <c r="FGE103" s="4"/>
      <c r="FGF103" s="4"/>
      <c r="FGG103" s="4"/>
      <c r="FGH103" s="4"/>
      <c r="FGI103" s="4"/>
      <c r="FGJ103" s="4"/>
      <c r="FGK103" s="4"/>
      <c r="FGL103" s="4"/>
      <c r="FGM103" s="4"/>
      <c r="FGN103" s="4"/>
      <c r="FGO103" s="4"/>
      <c r="FGP103" s="4"/>
      <c r="FGQ103" s="4"/>
      <c r="FGR103" s="4"/>
      <c r="FGS103" s="4"/>
      <c r="FGT103" s="4"/>
      <c r="FGU103" s="4"/>
      <c r="FGV103" s="4"/>
      <c r="FGW103" s="4"/>
      <c r="FGX103" s="4"/>
      <c r="FGY103" s="4"/>
      <c r="FGZ103" s="4"/>
      <c r="FHA103" s="4"/>
      <c r="FHB103" s="4"/>
      <c r="FHC103" s="4"/>
      <c r="FHD103" s="4"/>
      <c r="FHE103" s="4"/>
      <c r="FHF103" s="4"/>
      <c r="FHG103" s="4"/>
      <c r="FHH103" s="4"/>
      <c r="FHI103" s="4"/>
      <c r="FHJ103" s="4"/>
      <c r="FHK103" s="4"/>
      <c r="FHL103" s="4"/>
      <c r="FHM103" s="4"/>
      <c r="FHN103" s="4"/>
      <c r="FHO103" s="4"/>
      <c r="FHP103" s="4"/>
      <c r="FHQ103" s="4"/>
      <c r="FHR103" s="4"/>
      <c r="FHS103" s="4"/>
      <c r="FHT103" s="4"/>
      <c r="FHU103" s="4"/>
      <c r="FHV103" s="4"/>
      <c r="FHW103" s="4"/>
      <c r="FHX103" s="4"/>
      <c r="FHY103" s="4"/>
      <c r="FHZ103" s="4"/>
      <c r="FIA103" s="4"/>
      <c r="FIB103" s="4"/>
      <c r="FIC103" s="4"/>
      <c r="FID103" s="4"/>
      <c r="FIE103" s="4"/>
      <c r="FIF103" s="4"/>
      <c r="FIG103" s="4"/>
      <c r="FIH103" s="4"/>
      <c r="FII103" s="4"/>
      <c r="FIJ103" s="4"/>
      <c r="FIK103" s="4"/>
      <c r="FIL103" s="4"/>
      <c r="FIM103" s="4"/>
      <c r="FIN103" s="4"/>
      <c r="FIO103" s="4"/>
      <c r="FIP103" s="4"/>
      <c r="FIQ103" s="4"/>
      <c r="FIR103" s="4"/>
      <c r="FIS103" s="4"/>
      <c r="FIT103" s="4"/>
      <c r="FIU103" s="4"/>
      <c r="FIV103" s="4"/>
      <c r="FIW103" s="4"/>
      <c r="FIX103" s="4"/>
      <c r="FIY103" s="4"/>
      <c r="FIZ103" s="4"/>
      <c r="FJA103" s="4"/>
      <c r="FJB103" s="4"/>
      <c r="FJC103" s="4"/>
      <c r="FJD103" s="4"/>
      <c r="FJE103" s="4"/>
      <c r="FJF103" s="4"/>
      <c r="FJG103" s="4"/>
      <c r="FJH103" s="4"/>
      <c r="FJI103" s="4"/>
      <c r="FJJ103" s="4"/>
      <c r="FJK103" s="4"/>
      <c r="FJL103" s="4"/>
      <c r="FJM103" s="4"/>
      <c r="FJN103" s="4"/>
      <c r="FJO103" s="4"/>
      <c r="FJP103" s="4"/>
      <c r="FJQ103" s="4"/>
      <c r="FJR103" s="4"/>
      <c r="FJS103" s="4"/>
      <c r="FJT103" s="4"/>
      <c r="FJU103" s="4"/>
      <c r="FJV103" s="4"/>
      <c r="FJW103" s="4"/>
      <c r="FJX103" s="4"/>
      <c r="FJY103" s="4"/>
      <c r="FJZ103" s="4"/>
      <c r="FKA103" s="4"/>
      <c r="FKB103" s="4"/>
      <c r="FKC103" s="4"/>
      <c r="FKD103" s="4"/>
      <c r="FKE103" s="4"/>
      <c r="FKF103" s="4"/>
      <c r="FKG103" s="4"/>
      <c r="FKH103" s="4"/>
      <c r="FKI103" s="4"/>
      <c r="FKJ103" s="4"/>
      <c r="FKK103" s="4"/>
      <c r="FKL103" s="4"/>
      <c r="FKM103" s="4"/>
      <c r="FKN103" s="4"/>
      <c r="FKO103" s="4"/>
      <c r="FKP103" s="4"/>
      <c r="FKQ103" s="4"/>
      <c r="FKR103" s="4"/>
      <c r="FKS103" s="4"/>
      <c r="FKT103" s="4"/>
      <c r="FKU103" s="4"/>
      <c r="FKV103" s="4"/>
      <c r="FKW103" s="4"/>
      <c r="FKX103" s="4"/>
      <c r="FKY103" s="4"/>
      <c r="FKZ103" s="4"/>
      <c r="FLA103" s="4"/>
      <c r="FLB103" s="4"/>
      <c r="FLC103" s="4"/>
      <c r="FLD103" s="4"/>
      <c r="FLE103" s="4"/>
      <c r="FLF103" s="4"/>
      <c r="FLG103" s="4"/>
      <c r="FLH103" s="4"/>
      <c r="FLI103" s="4"/>
      <c r="FLJ103" s="4"/>
      <c r="FLK103" s="4"/>
      <c r="FLL103" s="4"/>
      <c r="FLM103" s="4"/>
      <c r="FLN103" s="4"/>
      <c r="FLO103" s="4"/>
      <c r="FLP103" s="4"/>
      <c r="FLQ103" s="4"/>
      <c r="FLR103" s="4"/>
      <c r="FLS103" s="4"/>
      <c r="FLT103" s="4"/>
      <c r="FLU103" s="4"/>
      <c r="FLV103" s="4"/>
      <c r="FLW103" s="4"/>
      <c r="FLX103" s="4"/>
      <c r="FLY103" s="4"/>
      <c r="FLZ103" s="4"/>
      <c r="FMA103" s="4"/>
      <c r="FMB103" s="4"/>
      <c r="FMC103" s="4"/>
      <c r="FMD103" s="4"/>
      <c r="FME103" s="4"/>
      <c r="FMF103" s="4"/>
      <c r="FMG103" s="4"/>
      <c r="FMH103" s="4"/>
      <c r="FMI103" s="4"/>
      <c r="FMJ103" s="4"/>
      <c r="FMK103" s="4"/>
      <c r="FML103" s="4"/>
      <c r="FMM103" s="4"/>
      <c r="FMN103" s="4"/>
      <c r="FMO103" s="4"/>
      <c r="FMP103" s="4"/>
      <c r="FMQ103" s="4"/>
      <c r="FMR103" s="4"/>
      <c r="FMS103" s="4"/>
      <c r="FMT103" s="4"/>
      <c r="FMU103" s="4"/>
      <c r="FMV103" s="4"/>
      <c r="FMW103" s="4"/>
      <c r="FMX103" s="4"/>
      <c r="FMY103" s="4"/>
      <c r="FMZ103" s="4"/>
      <c r="FNA103" s="4"/>
      <c r="FNB103" s="4"/>
      <c r="FNC103" s="4"/>
      <c r="FND103" s="4"/>
      <c r="FNE103" s="4"/>
      <c r="FNF103" s="4"/>
      <c r="FNG103" s="4"/>
      <c r="FNH103" s="4"/>
      <c r="FNI103" s="4"/>
      <c r="FNJ103" s="4"/>
      <c r="FNK103" s="4"/>
      <c r="FNL103" s="4"/>
      <c r="FNM103" s="4"/>
      <c r="FNN103" s="4"/>
      <c r="FNO103" s="4"/>
      <c r="FNP103" s="4"/>
      <c r="FNQ103" s="4"/>
      <c r="FNR103" s="4"/>
      <c r="FNS103" s="4"/>
      <c r="FNT103" s="4"/>
      <c r="FNU103" s="4"/>
      <c r="FNV103" s="4"/>
      <c r="FNW103" s="4"/>
      <c r="FNX103" s="4"/>
      <c r="FNY103" s="4"/>
      <c r="FNZ103" s="4"/>
      <c r="FOA103" s="4"/>
      <c r="FOB103" s="4"/>
      <c r="FOC103" s="4"/>
      <c r="FOD103" s="4"/>
      <c r="FOE103" s="4"/>
      <c r="FOF103" s="4"/>
      <c r="FOG103" s="4"/>
      <c r="FOH103" s="4"/>
      <c r="FOI103" s="4"/>
      <c r="FOJ103" s="4"/>
      <c r="FOK103" s="4"/>
      <c r="FOL103" s="4"/>
      <c r="FOM103" s="4"/>
      <c r="FON103" s="4"/>
      <c r="FOO103" s="4"/>
      <c r="FOP103" s="4"/>
      <c r="FOQ103" s="4"/>
      <c r="FOR103" s="4"/>
      <c r="FOS103" s="4"/>
      <c r="FOT103" s="4"/>
      <c r="FOU103" s="4"/>
      <c r="FOV103" s="4"/>
      <c r="FOW103" s="4"/>
      <c r="FOX103" s="4"/>
      <c r="FOY103" s="4"/>
      <c r="FOZ103" s="4"/>
      <c r="FPA103" s="4"/>
      <c r="FPB103" s="4"/>
      <c r="FPC103" s="4"/>
      <c r="FPD103" s="4"/>
      <c r="FPE103" s="4"/>
      <c r="FPF103" s="4"/>
      <c r="FPG103" s="4"/>
      <c r="FPH103" s="4"/>
      <c r="FPI103" s="4"/>
      <c r="FPJ103" s="4"/>
      <c r="FPK103" s="4"/>
      <c r="FPL103" s="4"/>
      <c r="FPM103" s="4"/>
      <c r="FPN103" s="4"/>
      <c r="FPO103" s="4"/>
      <c r="FPP103" s="4"/>
      <c r="FPQ103" s="4"/>
      <c r="FPR103" s="4"/>
      <c r="FPS103" s="4"/>
      <c r="FPT103" s="4"/>
      <c r="FPU103" s="4"/>
      <c r="FPV103" s="4"/>
      <c r="FPW103" s="4"/>
      <c r="FPX103" s="4"/>
      <c r="FPY103" s="4"/>
      <c r="FPZ103" s="4"/>
      <c r="FQA103" s="4"/>
      <c r="FQB103" s="4"/>
      <c r="FQC103" s="4"/>
      <c r="FQD103" s="4"/>
      <c r="FQE103" s="4"/>
      <c r="FQF103" s="4"/>
      <c r="FQG103" s="4"/>
      <c r="FQH103" s="4"/>
      <c r="FQI103" s="4"/>
      <c r="FQJ103" s="4"/>
      <c r="FQK103" s="4"/>
      <c r="FQL103" s="4"/>
      <c r="FQM103" s="4"/>
      <c r="FQN103" s="4"/>
      <c r="FQO103" s="4"/>
      <c r="FQP103" s="4"/>
      <c r="FQQ103" s="4"/>
      <c r="FQR103" s="4"/>
      <c r="FQS103" s="4"/>
      <c r="FQT103" s="4"/>
      <c r="FQU103" s="4"/>
      <c r="FQV103" s="4"/>
      <c r="FQW103" s="4"/>
      <c r="FQX103" s="4"/>
      <c r="FQY103" s="4"/>
      <c r="FQZ103" s="4"/>
      <c r="FRA103" s="4"/>
      <c r="FRB103" s="4"/>
      <c r="FRC103" s="4"/>
      <c r="FRD103" s="4"/>
      <c r="FRE103" s="4"/>
      <c r="FRF103" s="4"/>
      <c r="FRG103" s="4"/>
      <c r="FRH103" s="4"/>
      <c r="FRI103" s="4"/>
      <c r="FRJ103" s="4"/>
      <c r="FRK103" s="4"/>
      <c r="FRL103" s="4"/>
      <c r="FRM103" s="4"/>
      <c r="FRN103" s="4"/>
      <c r="FRO103" s="4"/>
      <c r="FRP103" s="4"/>
      <c r="FRQ103" s="4"/>
      <c r="FRR103" s="4"/>
      <c r="FRS103" s="4"/>
      <c r="FRT103" s="4"/>
      <c r="FRU103" s="4"/>
      <c r="FRV103" s="4"/>
      <c r="FRW103" s="4"/>
      <c r="FRX103" s="4"/>
      <c r="FRY103" s="4"/>
      <c r="FRZ103" s="4"/>
      <c r="FSA103" s="4"/>
      <c r="FSB103" s="4"/>
      <c r="FSC103" s="4"/>
      <c r="FSD103" s="4"/>
      <c r="FSE103" s="4"/>
      <c r="FSF103" s="4"/>
      <c r="FSG103" s="4"/>
      <c r="FSH103" s="4"/>
      <c r="FSI103" s="4"/>
      <c r="FSJ103" s="4"/>
      <c r="FSK103" s="4"/>
      <c r="FSL103" s="4"/>
      <c r="FSM103" s="4"/>
      <c r="FSN103" s="4"/>
      <c r="FSO103" s="4"/>
      <c r="FSP103" s="4"/>
      <c r="FSQ103" s="4"/>
      <c r="FSR103" s="4"/>
      <c r="FSS103" s="4"/>
      <c r="FST103" s="4"/>
      <c r="FSU103" s="4"/>
      <c r="FSV103" s="4"/>
      <c r="FSW103" s="4"/>
      <c r="FSX103" s="4"/>
      <c r="FSY103" s="4"/>
      <c r="FSZ103" s="4"/>
      <c r="FTA103" s="4"/>
      <c r="FTB103" s="4"/>
      <c r="FTC103" s="4"/>
      <c r="FTD103" s="4"/>
      <c r="FTE103" s="4"/>
      <c r="FTF103" s="4"/>
      <c r="FTG103" s="4"/>
      <c r="FTH103" s="4"/>
      <c r="FTI103" s="4"/>
      <c r="FTJ103" s="4"/>
      <c r="FTK103" s="4"/>
      <c r="FTL103" s="4"/>
      <c r="FTM103" s="4"/>
      <c r="FTN103" s="4"/>
      <c r="FTO103" s="4"/>
      <c r="FTP103" s="4"/>
      <c r="FTQ103" s="4"/>
      <c r="FTR103" s="4"/>
      <c r="FTS103" s="4"/>
      <c r="FTT103" s="4"/>
      <c r="FTU103" s="4"/>
      <c r="FTV103" s="4"/>
      <c r="FTW103" s="4"/>
      <c r="FTX103" s="4"/>
      <c r="FTY103" s="4"/>
      <c r="FTZ103" s="4"/>
      <c r="FUA103" s="4"/>
      <c r="FUB103" s="4"/>
      <c r="FUC103" s="4"/>
      <c r="FUD103" s="4"/>
      <c r="FUE103" s="4"/>
      <c r="FUF103" s="4"/>
      <c r="FUG103" s="4"/>
      <c r="FUH103" s="4"/>
      <c r="FUI103" s="4"/>
      <c r="FUJ103" s="4"/>
      <c r="FUK103" s="4"/>
      <c r="FUL103" s="4"/>
      <c r="FUM103" s="4"/>
      <c r="FUN103" s="4"/>
      <c r="FUO103" s="4"/>
      <c r="FUP103" s="4"/>
      <c r="FUQ103" s="4"/>
      <c r="FUR103" s="4"/>
      <c r="FUS103" s="4"/>
      <c r="FUT103" s="4"/>
      <c r="FUU103" s="4"/>
      <c r="FUV103" s="4"/>
      <c r="FUW103" s="4"/>
      <c r="FUX103" s="4"/>
      <c r="FUY103" s="4"/>
      <c r="FUZ103" s="4"/>
      <c r="FVA103" s="4"/>
      <c r="FVB103" s="4"/>
      <c r="FVC103" s="4"/>
      <c r="FVD103" s="4"/>
      <c r="FVE103" s="4"/>
      <c r="FVF103" s="4"/>
      <c r="FVG103" s="4"/>
      <c r="FVH103" s="4"/>
      <c r="FVI103" s="4"/>
      <c r="FVJ103" s="4"/>
      <c r="FVK103" s="4"/>
      <c r="FVL103" s="4"/>
      <c r="FVM103" s="4"/>
      <c r="FVN103" s="4"/>
      <c r="FVO103" s="4"/>
      <c r="FVP103" s="4"/>
      <c r="FVQ103" s="4"/>
      <c r="FVR103" s="4"/>
      <c r="FVS103" s="4"/>
      <c r="FVT103" s="4"/>
      <c r="FVU103" s="4"/>
      <c r="FVV103" s="4"/>
      <c r="FVW103" s="4"/>
      <c r="FVX103" s="4"/>
      <c r="FVY103" s="4"/>
      <c r="FVZ103" s="4"/>
      <c r="FWA103" s="4"/>
      <c r="FWB103" s="4"/>
      <c r="FWC103" s="4"/>
      <c r="FWD103" s="4"/>
      <c r="FWE103" s="4"/>
      <c r="FWF103" s="4"/>
      <c r="FWG103" s="4"/>
      <c r="FWH103" s="4"/>
      <c r="FWI103" s="4"/>
      <c r="FWJ103" s="4"/>
      <c r="FWK103" s="4"/>
      <c r="FWL103" s="4"/>
      <c r="FWM103" s="4"/>
      <c r="FWN103" s="4"/>
      <c r="FWO103" s="4"/>
      <c r="FWP103" s="4"/>
      <c r="FWQ103" s="4"/>
      <c r="FWR103" s="4"/>
      <c r="FWS103" s="4"/>
      <c r="FWT103" s="4"/>
      <c r="FWU103" s="4"/>
      <c r="FWV103" s="4"/>
      <c r="FWW103" s="4"/>
      <c r="FWX103" s="4"/>
      <c r="FWY103" s="4"/>
      <c r="FWZ103" s="4"/>
      <c r="FXA103" s="4"/>
      <c r="FXB103" s="4"/>
      <c r="FXC103" s="4"/>
      <c r="FXD103" s="4"/>
      <c r="FXE103" s="4"/>
      <c r="FXF103" s="4"/>
      <c r="FXG103" s="4"/>
      <c r="FXH103" s="4"/>
      <c r="FXI103" s="4"/>
      <c r="FXJ103" s="4"/>
      <c r="FXK103" s="4"/>
      <c r="FXL103" s="4"/>
      <c r="FXM103" s="4"/>
      <c r="FXN103" s="4"/>
      <c r="FXO103" s="4"/>
      <c r="FXP103" s="4"/>
      <c r="FXQ103" s="4"/>
      <c r="FXR103" s="4"/>
      <c r="FXS103" s="4"/>
      <c r="FXT103" s="4"/>
      <c r="FXU103" s="4"/>
      <c r="FXV103" s="4"/>
      <c r="FXW103" s="4"/>
      <c r="FXX103" s="4"/>
      <c r="FXY103" s="4"/>
      <c r="FXZ103" s="4"/>
      <c r="FYA103" s="4"/>
      <c r="FYB103" s="4"/>
      <c r="FYC103" s="4"/>
      <c r="FYD103" s="4"/>
      <c r="FYE103" s="4"/>
      <c r="FYF103" s="4"/>
      <c r="FYG103" s="4"/>
      <c r="FYH103" s="4"/>
      <c r="FYI103" s="4"/>
      <c r="FYJ103" s="4"/>
      <c r="FYK103" s="4"/>
      <c r="FYL103" s="4"/>
      <c r="FYM103" s="4"/>
      <c r="FYN103" s="4"/>
      <c r="FYO103" s="4"/>
      <c r="FYP103" s="4"/>
      <c r="FYQ103" s="4"/>
      <c r="FYR103" s="4"/>
      <c r="FYS103" s="4"/>
      <c r="FYT103" s="4"/>
      <c r="FYU103" s="4"/>
      <c r="FYV103" s="4"/>
      <c r="FYW103" s="4"/>
      <c r="FYX103" s="4"/>
      <c r="FYY103" s="4"/>
      <c r="FYZ103" s="4"/>
      <c r="FZA103" s="4"/>
      <c r="FZB103" s="4"/>
      <c r="FZC103" s="4"/>
      <c r="FZD103" s="4"/>
      <c r="FZE103" s="4"/>
      <c r="FZF103" s="4"/>
      <c r="FZG103" s="4"/>
      <c r="FZH103" s="4"/>
      <c r="FZI103" s="4"/>
      <c r="FZJ103" s="4"/>
      <c r="FZK103" s="4"/>
      <c r="FZL103" s="4"/>
      <c r="FZM103" s="4"/>
      <c r="FZN103" s="4"/>
      <c r="FZO103" s="4"/>
      <c r="FZP103" s="4"/>
      <c r="FZQ103" s="4"/>
      <c r="FZR103" s="4"/>
      <c r="FZS103" s="4"/>
      <c r="FZT103" s="4"/>
      <c r="FZU103" s="4"/>
      <c r="FZV103" s="4"/>
      <c r="FZW103" s="4"/>
      <c r="FZX103" s="4"/>
      <c r="FZY103" s="4"/>
      <c r="FZZ103" s="4"/>
      <c r="GAA103" s="4"/>
      <c r="GAB103" s="4"/>
      <c r="GAC103" s="4"/>
      <c r="GAD103" s="4"/>
      <c r="GAE103" s="4"/>
      <c r="GAF103" s="4"/>
      <c r="GAG103" s="4"/>
      <c r="GAH103" s="4"/>
      <c r="GAI103" s="4"/>
      <c r="GAJ103" s="4"/>
      <c r="GAK103" s="4"/>
      <c r="GAL103" s="4"/>
      <c r="GAM103" s="4"/>
      <c r="GAN103" s="4"/>
      <c r="GAO103" s="4"/>
      <c r="GAP103" s="4"/>
      <c r="GAQ103" s="4"/>
      <c r="GAR103" s="4"/>
      <c r="GAS103" s="4"/>
      <c r="GAT103" s="4"/>
      <c r="GAU103" s="4"/>
      <c r="GAV103" s="4"/>
      <c r="GAW103" s="4"/>
      <c r="GAX103" s="4"/>
      <c r="GAY103" s="4"/>
      <c r="GAZ103" s="4"/>
      <c r="GBA103" s="4"/>
      <c r="GBB103" s="4"/>
      <c r="GBC103" s="4"/>
      <c r="GBD103" s="4"/>
      <c r="GBE103" s="4"/>
      <c r="GBF103" s="4"/>
      <c r="GBG103" s="4"/>
      <c r="GBH103" s="4"/>
      <c r="GBI103" s="4"/>
      <c r="GBJ103" s="4"/>
      <c r="GBK103" s="4"/>
      <c r="GBL103" s="4"/>
      <c r="GBM103" s="4"/>
      <c r="GBN103" s="4"/>
      <c r="GBO103" s="4"/>
      <c r="GBP103" s="4"/>
      <c r="GBQ103" s="4"/>
      <c r="GBR103" s="4"/>
      <c r="GBS103" s="4"/>
      <c r="GBT103" s="4"/>
      <c r="GBU103" s="4"/>
      <c r="GBV103" s="4"/>
      <c r="GBW103" s="4"/>
      <c r="GBX103" s="4"/>
      <c r="GBY103" s="4"/>
      <c r="GBZ103" s="4"/>
      <c r="GCA103" s="4"/>
      <c r="GCB103" s="4"/>
      <c r="GCC103" s="4"/>
      <c r="GCD103" s="4"/>
      <c r="GCE103" s="4"/>
      <c r="GCF103" s="4"/>
      <c r="GCG103" s="4"/>
      <c r="GCH103" s="4"/>
      <c r="GCI103" s="4"/>
      <c r="GCJ103" s="4"/>
      <c r="GCK103" s="4"/>
      <c r="GCL103" s="4"/>
      <c r="GCM103" s="4"/>
      <c r="GCN103" s="4"/>
      <c r="GCO103" s="4"/>
      <c r="GCP103" s="4"/>
      <c r="GCQ103" s="4"/>
      <c r="GCR103" s="4"/>
      <c r="GCS103" s="4"/>
      <c r="GCT103" s="4"/>
      <c r="GCU103" s="4"/>
      <c r="GCV103" s="4"/>
      <c r="GCW103" s="4"/>
      <c r="GCX103" s="4"/>
      <c r="GCY103" s="4"/>
      <c r="GCZ103" s="4"/>
      <c r="GDA103" s="4"/>
      <c r="GDB103" s="4"/>
      <c r="GDC103" s="4"/>
      <c r="GDD103" s="4"/>
      <c r="GDE103" s="4"/>
      <c r="GDF103" s="4"/>
      <c r="GDG103" s="4"/>
      <c r="GDH103" s="4"/>
      <c r="GDI103" s="4"/>
      <c r="GDJ103" s="4"/>
      <c r="GDK103" s="4"/>
      <c r="GDL103" s="4"/>
      <c r="GDM103" s="4"/>
      <c r="GDN103" s="4"/>
      <c r="GDO103" s="4"/>
      <c r="GDP103" s="4"/>
      <c r="GDQ103" s="4"/>
      <c r="GDR103" s="4"/>
      <c r="GDS103" s="4"/>
      <c r="GDT103" s="4"/>
      <c r="GDU103" s="4"/>
      <c r="GDV103" s="4"/>
      <c r="GDW103" s="4"/>
      <c r="GDX103" s="4"/>
      <c r="GDY103" s="4"/>
      <c r="GDZ103" s="4"/>
      <c r="GEA103" s="4"/>
      <c r="GEB103" s="4"/>
      <c r="GEC103" s="4"/>
      <c r="GED103" s="4"/>
      <c r="GEE103" s="4"/>
      <c r="GEF103" s="4"/>
      <c r="GEG103" s="4"/>
      <c r="GEH103" s="4"/>
      <c r="GEI103" s="4"/>
      <c r="GEJ103" s="4"/>
      <c r="GEK103" s="4"/>
      <c r="GEL103" s="4"/>
      <c r="GEM103" s="4"/>
      <c r="GEN103" s="4"/>
      <c r="GEO103" s="4"/>
      <c r="GEP103" s="4"/>
      <c r="GEQ103" s="4"/>
      <c r="GER103" s="4"/>
      <c r="GES103" s="4"/>
      <c r="GET103" s="4"/>
      <c r="GEU103" s="4"/>
      <c r="GEV103" s="4"/>
      <c r="GEW103" s="4"/>
      <c r="GEX103" s="4"/>
      <c r="GEY103" s="4"/>
      <c r="GEZ103" s="4"/>
      <c r="GFA103" s="4"/>
      <c r="GFB103" s="4"/>
      <c r="GFC103" s="4"/>
      <c r="GFD103" s="4"/>
      <c r="GFE103" s="4"/>
      <c r="GFF103" s="4"/>
      <c r="GFG103" s="4"/>
      <c r="GFH103" s="4"/>
      <c r="GFI103" s="4"/>
      <c r="GFJ103" s="4"/>
      <c r="GFK103" s="4"/>
      <c r="GFL103" s="4"/>
      <c r="GFM103" s="4"/>
      <c r="GFN103" s="4"/>
      <c r="GFO103" s="4"/>
      <c r="GFP103" s="4"/>
      <c r="GFQ103" s="4"/>
      <c r="GFR103" s="4"/>
      <c r="GFS103" s="4"/>
      <c r="GFT103" s="4"/>
      <c r="GFU103" s="4"/>
      <c r="GFV103" s="4"/>
      <c r="GFW103" s="4"/>
      <c r="GFX103" s="4"/>
      <c r="GFY103" s="4"/>
      <c r="GFZ103" s="4"/>
      <c r="GGA103" s="4"/>
      <c r="GGB103" s="4"/>
      <c r="GGC103" s="4"/>
      <c r="GGD103" s="4"/>
      <c r="GGE103" s="4"/>
      <c r="GGF103" s="4"/>
      <c r="GGG103" s="4"/>
      <c r="GGH103" s="4"/>
      <c r="GGI103" s="4"/>
      <c r="GGJ103" s="4"/>
      <c r="GGK103" s="4"/>
      <c r="GGL103" s="4"/>
      <c r="GGM103" s="4"/>
      <c r="GGN103" s="4"/>
      <c r="GGO103" s="4"/>
      <c r="GGP103" s="4"/>
      <c r="GGQ103" s="4"/>
      <c r="GGR103" s="4"/>
      <c r="GGS103" s="4"/>
      <c r="GGT103" s="4"/>
      <c r="GGU103" s="4"/>
      <c r="GGV103" s="4"/>
      <c r="GGW103" s="4"/>
      <c r="GGX103" s="4"/>
      <c r="GGY103" s="4"/>
      <c r="GGZ103" s="4"/>
      <c r="GHA103" s="4"/>
      <c r="GHB103" s="4"/>
      <c r="GHC103" s="4"/>
      <c r="GHD103" s="4"/>
      <c r="GHE103" s="4"/>
      <c r="GHF103" s="4"/>
      <c r="GHG103" s="4"/>
      <c r="GHH103" s="4"/>
      <c r="GHI103" s="4"/>
      <c r="GHJ103" s="4"/>
      <c r="GHK103" s="4"/>
      <c r="GHL103" s="4"/>
      <c r="GHM103" s="4"/>
      <c r="GHN103" s="4"/>
      <c r="GHO103" s="4"/>
      <c r="GHP103" s="4"/>
      <c r="GHQ103" s="4"/>
      <c r="GHR103" s="4"/>
      <c r="GHS103" s="4"/>
      <c r="GHT103" s="4"/>
      <c r="GHU103" s="4"/>
      <c r="GHV103" s="4"/>
      <c r="GHW103" s="4"/>
      <c r="GHX103" s="4"/>
      <c r="GHY103" s="4"/>
      <c r="GHZ103" s="4"/>
      <c r="GIA103" s="4"/>
      <c r="GIB103" s="4"/>
      <c r="GIC103" s="4"/>
      <c r="GID103" s="4"/>
      <c r="GIE103" s="4"/>
      <c r="GIF103" s="4"/>
      <c r="GIG103" s="4"/>
      <c r="GIH103" s="4"/>
      <c r="GII103" s="4"/>
      <c r="GIJ103" s="4"/>
      <c r="GIK103" s="4"/>
      <c r="GIL103" s="4"/>
      <c r="GIM103" s="4"/>
      <c r="GIN103" s="4"/>
      <c r="GIO103" s="4"/>
      <c r="GIP103" s="4"/>
      <c r="GIQ103" s="4"/>
      <c r="GIR103" s="4"/>
      <c r="GIS103" s="4"/>
      <c r="GIT103" s="4"/>
      <c r="GIU103" s="4"/>
      <c r="GIV103" s="4"/>
      <c r="GIW103" s="4"/>
      <c r="GIX103" s="4"/>
      <c r="GIY103" s="4"/>
      <c r="GIZ103" s="4"/>
      <c r="GJA103" s="4"/>
      <c r="GJB103" s="4"/>
      <c r="GJC103" s="4"/>
      <c r="GJD103" s="4"/>
      <c r="GJE103" s="4"/>
      <c r="GJF103" s="4"/>
      <c r="GJG103" s="4"/>
      <c r="GJH103" s="4"/>
      <c r="GJI103" s="4"/>
      <c r="GJJ103" s="4"/>
      <c r="GJK103" s="4"/>
      <c r="GJL103" s="4"/>
      <c r="GJM103" s="4"/>
      <c r="GJN103" s="4"/>
      <c r="GJO103" s="4"/>
      <c r="GJP103" s="4"/>
      <c r="GJQ103" s="4"/>
      <c r="GJR103" s="4"/>
      <c r="GJS103" s="4"/>
      <c r="GJT103" s="4"/>
      <c r="GJU103" s="4"/>
      <c r="GJV103" s="4"/>
      <c r="GJW103" s="4"/>
      <c r="GJX103" s="4"/>
      <c r="GJY103" s="4"/>
      <c r="GJZ103" s="4"/>
      <c r="GKA103" s="4"/>
      <c r="GKB103" s="4"/>
      <c r="GKC103" s="4"/>
      <c r="GKD103" s="4"/>
      <c r="GKE103" s="4"/>
      <c r="GKF103" s="4"/>
      <c r="GKG103" s="4"/>
      <c r="GKH103" s="4"/>
      <c r="GKI103" s="4"/>
      <c r="GKJ103" s="4"/>
      <c r="GKK103" s="4"/>
      <c r="GKL103" s="4"/>
      <c r="GKM103" s="4"/>
      <c r="GKN103" s="4"/>
      <c r="GKO103" s="4"/>
      <c r="GKP103" s="4"/>
      <c r="GKQ103" s="4"/>
      <c r="GKR103" s="4"/>
      <c r="GKS103" s="4"/>
      <c r="GKT103" s="4"/>
      <c r="GKU103" s="4"/>
      <c r="GKV103" s="4"/>
      <c r="GKW103" s="4"/>
      <c r="GKX103" s="4"/>
      <c r="GKY103" s="4"/>
      <c r="GKZ103" s="4"/>
      <c r="GLA103" s="4"/>
      <c r="GLB103" s="4"/>
      <c r="GLC103" s="4"/>
      <c r="GLD103" s="4"/>
      <c r="GLE103" s="4"/>
      <c r="GLF103" s="4"/>
      <c r="GLG103" s="4"/>
      <c r="GLH103" s="4"/>
      <c r="GLI103" s="4"/>
      <c r="GLJ103" s="4"/>
      <c r="GLK103" s="4"/>
      <c r="GLL103" s="4"/>
      <c r="GLM103" s="4"/>
      <c r="GLN103" s="4"/>
      <c r="GLO103" s="4"/>
      <c r="GLP103" s="4"/>
      <c r="GLQ103" s="4"/>
      <c r="GLR103" s="4"/>
      <c r="GLS103" s="4"/>
      <c r="GLT103" s="4"/>
      <c r="GLU103" s="4"/>
      <c r="GLV103" s="4"/>
      <c r="GLW103" s="4"/>
      <c r="GLX103" s="4"/>
      <c r="GLY103" s="4"/>
      <c r="GLZ103" s="4"/>
      <c r="GMA103" s="4"/>
      <c r="GMB103" s="4"/>
      <c r="GMC103" s="4"/>
      <c r="GMD103" s="4"/>
      <c r="GME103" s="4"/>
      <c r="GMF103" s="4"/>
      <c r="GMG103" s="4"/>
      <c r="GMH103" s="4"/>
      <c r="GMI103" s="4"/>
      <c r="GMJ103" s="4"/>
      <c r="GMK103" s="4"/>
      <c r="GML103" s="4"/>
      <c r="GMM103" s="4"/>
      <c r="GMN103" s="4"/>
      <c r="GMO103" s="4"/>
      <c r="GMP103" s="4"/>
      <c r="GMQ103" s="4"/>
      <c r="GMR103" s="4"/>
      <c r="GMS103" s="4"/>
      <c r="GMT103" s="4"/>
      <c r="GMU103" s="4"/>
      <c r="GMV103" s="4"/>
      <c r="GMW103" s="4"/>
      <c r="GMX103" s="4"/>
      <c r="GMY103" s="4"/>
      <c r="GMZ103" s="4"/>
      <c r="GNA103" s="4"/>
      <c r="GNB103" s="4"/>
      <c r="GNC103" s="4"/>
      <c r="GND103" s="4"/>
      <c r="GNE103" s="4"/>
      <c r="GNF103" s="4"/>
      <c r="GNG103" s="4"/>
      <c r="GNH103" s="4"/>
      <c r="GNI103" s="4"/>
      <c r="GNJ103" s="4"/>
      <c r="GNK103" s="4"/>
      <c r="GNL103" s="4"/>
      <c r="GNM103" s="4"/>
      <c r="GNN103" s="4"/>
      <c r="GNO103" s="4"/>
      <c r="GNP103" s="4"/>
      <c r="GNQ103" s="4"/>
      <c r="GNR103" s="4"/>
      <c r="GNS103" s="4"/>
      <c r="GNT103" s="4"/>
      <c r="GNU103" s="4"/>
      <c r="GNV103" s="4"/>
      <c r="GNW103" s="4"/>
      <c r="GNX103" s="4"/>
      <c r="GNY103" s="4"/>
      <c r="GNZ103" s="4"/>
      <c r="GOA103" s="4"/>
      <c r="GOB103" s="4"/>
      <c r="GOC103" s="4"/>
      <c r="GOD103" s="4"/>
      <c r="GOE103" s="4"/>
      <c r="GOF103" s="4"/>
      <c r="GOG103" s="4"/>
      <c r="GOH103" s="4"/>
      <c r="GOI103" s="4"/>
      <c r="GOJ103" s="4"/>
      <c r="GOK103" s="4"/>
      <c r="GOL103" s="4"/>
      <c r="GOM103" s="4"/>
      <c r="GON103" s="4"/>
      <c r="GOO103" s="4"/>
      <c r="GOP103" s="4"/>
      <c r="GOQ103" s="4"/>
      <c r="GOR103" s="4"/>
      <c r="GOS103" s="4"/>
      <c r="GOT103" s="4"/>
      <c r="GOU103" s="4"/>
      <c r="GOV103" s="4"/>
      <c r="GOW103" s="4"/>
      <c r="GOX103" s="4"/>
      <c r="GOY103" s="4"/>
      <c r="GOZ103" s="4"/>
      <c r="GPA103" s="4"/>
      <c r="GPB103" s="4"/>
      <c r="GPC103" s="4"/>
      <c r="GPD103" s="4"/>
      <c r="GPE103" s="4"/>
      <c r="GPF103" s="4"/>
      <c r="GPG103" s="4"/>
      <c r="GPH103" s="4"/>
      <c r="GPI103" s="4"/>
      <c r="GPJ103" s="4"/>
      <c r="GPK103" s="4"/>
      <c r="GPL103" s="4"/>
      <c r="GPM103" s="4"/>
      <c r="GPN103" s="4"/>
      <c r="GPO103" s="4"/>
      <c r="GPP103" s="4"/>
      <c r="GPQ103" s="4"/>
      <c r="GPR103" s="4"/>
      <c r="GPS103" s="4"/>
      <c r="GPT103" s="4"/>
      <c r="GPU103" s="4"/>
      <c r="GPV103" s="4"/>
      <c r="GPW103" s="4"/>
      <c r="GPX103" s="4"/>
      <c r="GPY103" s="4"/>
      <c r="GPZ103" s="4"/>
      <c r="GQA103" s="4"/>
      <c r="GQB103" s="4"/>
      <c r="GQC103" s="4"/>
      <c r="GQD103" s="4"/>
      <c r="GQE103" s="4"/>
      <c r="GQF103" s="4"/>
      <c r="GQG103" s="4"/>
      <c r="GQH103" s="4"/>
      <c r="GQI103" s="4"/>
      <c r="GQJ103" s="4"/>
      <c r="GQK103" s="4"/>
      <c r="GQL103" s="4"/>
      <c r="GQM103" s="4"/>
      <c r="GQN103" s="4"/>
      <c r="GQO103" s="4"/>
      <c r="GQP103" s="4"/>
      <c r="GQQ103" s="4"/>
      <c r="GQR103" s="4"/>
      <c r="GQS103" s="4"/>
      <c r="GQT103" s="4"/>
      <c r="GQU103" s="4"/>
      <c r="GQV103" s="4"/>
      <c r="GQW103" s="4"/>
      <c r="GQX103" s="4"/>
      <c r="GQY103" s="4"/>
      <c r="GQZ103" s="4"/>
      <c r="GRA103" s="4"/>
      <c r="GRB103" s="4"/>
      <c r="GRC103" s="4"/>
      <c r="GRD103" s="4"/>
      <c r="GRE103" s="4"/>
      <c r="GRF103" s="4"/>
      <c r="GRG103" s="4"/>
      <c r="GRH103" s="4"/>
      <c r="GRI103" s="4"/>
      <c r="GRJ103" s="4"/>
      <c r="GRK103" s="4"/>
      <c r="GRL103" s="4"/>
      <c r="GRM103" s="4"/>
      <c r="GRN103" s="4"/>
      <c r="GRO103" s="4"/>
      <c r="GRP103" s="4"/>
      <c r="GRQ103" s="4"/>
      <c r="GRR103" s="4"/>
      <c r="GRS103" s="4"/>
      <c r="GRT103" s="4"/>
      <c r="GRU103" s="4"/>
      <c r="GRV103" s="4"/>
      <c r="GRW103" s="4"/>
      <c r="GRX103" s="4"/>
      <c r="GRY103" s="4"/>
      <c r="GRZ103" s="4"/>
      <c r="GSA103" s="4"/>
      <c r="GSB103" s="4"/>
      <c r="GSC103" s="4"/>
      <c r="GSD103" s="4"/>
      <c r="GSE103" s="4"/>
      <c r="GSF103" s="4"/>
      <c r="GSG103" s="4"/>
      <c r="GSH103" s="4"/>
      <c r="GSI103" s="4"/>
      <c r="GSJ103" s="4"/>
      <c r="GSK103" s="4"/>
      <c r="GSL103" s="4"/>
      <c r="GSM103" s="4"/>
      <c r="GSN103" s="4"/>
      <c r="GSO103" s="4"/>
      <c r="GSP103" s="4"/>
      <c r="GSQ103" s="4"/>
      <c r="GSR103" s="4"/>
      <c r="GSS103" s="4"/>
      <c r="GST103" s="4"/>
      <c r="GSU103" s="4"/>
      <c r="GSV103" s="4"/>
      <c r="GSW103" s="4"/>
      <c r="GSX103" s="4"/>
      <c r="GSY103" s="4"/>
      <c r="GSZ103" s="4"/>
      <c r="GTA103" s="4"/>
      <c r="GTB103" s="4"/>
      <c r="GTC103" s="4"/>
      <c r="GTD103" s="4"/>
      <c r="GTE103" s="4"/>
      <c r="GTF103" s="4"/>
      <c r="GTG103" s="4"/>
      <c r="GTH103" s="4"/>
      <c r="GTI103" s="4"/>
      <c r="GTJ103" s="4"/>
      <c r="GTK103" s="4"/>
      <c r="GTL103" s="4"/>
      <c r="GTM103" s="4"/>
      <c r="GTN103" s="4"/>
      <c r="GTO103" s="4"/>
      <c r="GTP103" s="4"/>
      <c r="GTQ103" s="4"/>
      <c r="GTR103" s="4"/>
      <c r="GTS103" s="4"/>
      <c r="GTT103" s="4"/>
      <c r="GTU103" s="4"/>
      <c r="GTV103" s="4"/>
      <c r="GTW103" s="4"/>
      <c r="GTX103" s="4"/>
      <c r="GTY103" s="4"/>
      <c r="GTZ103" s="4"/>
      <c r="GUA103" s="4"/>
      <c r="GUB103" s="4"/>
      <c r="GUC103" s="4"/>
      <c r="GUD103" s="4"/>
      <c r="GUE103" s="4"/>
      <c r="GUF103" s="4"/>
      <c r="GUG103" s="4"/>
      <c r="GUH103" s="4"/>
      <c r="GUI103" s="4"/>
      <c r="GUJ103" s="4"/>
      <c r="GUK103" s="4"/>
      <c r="GUL103" s="4"/>
      <c r="GUM103" s="4"/>
      <c r="GUN103" s="4"/>
      <c r="GUO103" s="4"/>
      <c r="GUP103" s="4"/>
      <c r="GUQ103" s="4"/>
      <c r="GUR103" s="4"/>
      <c r="GUS103" s="4"/>
      <c r="GUT103" s="4"/>
      <c r="GUU103" s="4"/>
      <c r="GUV103" s="4"/>
      <c r="GUW103" s="4"/>
      <c r="GUX103" s="4"/>
      <c r="GUY103" s="4"/>
      <c r="GUZ103" s="4"/>
      <c r="GVA103" s="4"/>
      <c r="GVB103" s="4"/>
      <c r="GVC103" s="4"/>
      <c r="GVD103" s="4"/>
      <c r="GVE103" s="4"/>
      <c r="GVF103" s="4"/>
      <c r="GVG103" s="4"/>
      <c r="GVH103" s="4"/>
      <c r="GVI103" s="4"/>
      <c r="GVJ103" s="4"/>
      <c r="GVK103" s="4"/>
      <c r="GVL103" s="4"/>
      <c r="GVM103" s="4"/>
      <c r="GVN103" s="4"/>
      <c r="GVO103" s="4"/>
      <c r="GVP103" s="4"/>
      <c r="GVQ103" s="4"/>
      <c r="GVR103" s="4"/>
      <c r="GVS103" s="4"/>
      <c r="GVT103" s="4"/>
      <c r="GVU103" s="4"/>
      <c r="GVV103" s="4"/>
      <c r="GVW103" s="4"/>
      <c r="GVX103" s="4"/>
      <c r="GVY103" s="4"/>
      <c r="GVZ103" s="4"/>
      <c r="GWA103" s="4"/>
      <c r="GWB103" s="4"/>
      <c r="GWC103" s="4"/>
      <c r="GWD103" s="4"/>
      <c r="GWE103" s="4"/>
      <c r="GWF103" s="4"/>
      <c r="GWG103" s="4"/>
      <c r="GWH103" s="4"/>
      <c r="GWI103" s="4"/>
      <c r="GWJ103" s="4"/>
      <c r="GWK103" s="4"/>
      <c r="GWL103" s="4"/>
      <c r="GWM103" s="4"/>
      <c r="GWN103" s="4"/>
      <c r="GWO103" s="4"/>
      <c r="GWP103" s="4"/>
      <c r="GWQ103" s="4"/>
      <c r="GWR103" s="4"/>
      <c r="GWS103" s="4"/>
      <c r="GWT103" s="4"/>
      <c r="GWU103" s="4"/>
      <c r="GWV103" s="4"/>
      <c r="GWW103" s="4"/>
      <c r="GWX103" s="4"/>
      <c r="GWY103" s="4"/>
      <c r="GWZ103" s="4"/>
      <c r="GXA103" s="4"/>
      <c r="GXB103" s="4"/>
      <c r="GXC103" s="4"/>
      <c r="GXD103" s="4"/>
      <c r="GXE103" s="4"/>
      <c r="GXF103" s="4"/>
      <c r="GXG103" s="4"/>
      <c r="GXH103" s="4"/>
      <c r="GXI103" s="4"/>
      <c r="GXJ103" s="4"/>
      <c r="GXK103" s="4"/>
      <c r="GXL103" s="4"/>
      <c r="GXM103" s="4"/>
      <c r="GXN103" s="4"/>
      <c r="GXO103" s="4"/>
      <c r="GXP103" s="4"/>
      <c r="GXQ103" s="4"/>
      <c r="GXR103" s="4"/>
      <c r="GXS103" s="4"/>
      <c r="GXT103" s="4"/>
      <c r="GXU103" s="4"/>
      <c r="GXV103" s="4"/>
      <c r="GXW103" s="4"/>
      <c r="GXX103" s="4"/>
      <c r="GXY103" s="4"/>
      <c r="GXZ103" s="4"/>
      <c r="GYA103" s="4"/>
      <c r="GYB103" s="4"/>
      <c r="GYC103" s="4"/>
      <c r="GYD103" s="4"/>
      <c r="GYE103" s="4"/>
      <c r="GYF103" s="4"/>
      <c r="GYG103" s="4"/>
      <c r="GYH103" s="4"/>
      <c r="GYI103" s="4"/>
      <c r="GYJ103" s="4"/>
      <c r="GYK103" s="4"/>
      <c r="GYL103" s="4"/>
      <c r="GYM103" s="4"/>
      <c r="GYN103" s="4"/>
      <c r="GYO103" s="4"/>
      <c r="GYP103" s="4"/>
      <c r="GYQ103" s="4"/>
      <c r="GYR103" s="4"/>
      <c r="GYS103" s="4"/>
      <c r="GYT103" s="4"/>
      <c r="GYU103" s="4"/>
      <c r="GYV103" s="4"/>
      <c r="GYW103" s="4"/>
      <c r="GYX103" s="4"/>
      <c r="GYY103" s="4"/>
      <c r="GYZ103" s="4"/>
      <c r="GZA103" s="4"/>
      <c r="GZB103" s="4"/>
      <c r="GZC103" s="4"/>
      <c r="GZD103" s="4"/>
      <c r="GZE103" s="4"/>
      <c r="GZF103" s="4"/>
      <c r="GZG103" s="4"/>
      <c r="GZH103" s="4"/>
      <c r="GZI103" s="4"/>
      <c r="GZJ103" s="4"/>
      <c r="GZK103" s="4"/>
      <c r="GZL103" s="4"/>
      <c r="GZM103" s="4"/>
      <c r="GZN103" s="4"/>
      <c r="GZO103" s="4"/>
      <c r="GZP103" s="4"/>
      <c r="GZQ103" s="4"/>
      <c r="GZR103" s="4"/>
      <c r="GZS103" s="4"/>
      <c r="GZT103" s="4"/>
      <c r="GZU103" s="4"/>
      <c r="GZV103" s="4"/>
      <c r="GZW103" s="4"/>
      <c r="GZX103" s="4"/>
      <c r="GZY103" s="4"/>
      <c r="GZZ103" s="4"/>
      <c r="HAA103" s="4"/>
      <c r="HAB103" s="4"/>
      <c r="HAC103" s="4"/>
      <c r="HAD103" s="4"/>
      <c r="HAE103" s="4"/>
      <c r="HAF103" s="4"/>
      <c r="HAG103" s="4"/>
      <c r="HAH103" s="4"/>
      <c r="HAI103" s="4"/>
      <c r="HAJ103" s="4"/>
      <c r="HAK103" s="4"/>
      <c r="HAL103" s="4"/>
      <c r="HAM103" s="4"/>
      <c r="HAN103" s="4"/>
      <c r="HAO103" s="4"/>
      <c r="HAP103" s="4"/>
      <c r="HAQ103" s="4"/>
      <c r="HAR103" s="4"/>
      <c r="HAS103" s="4"/>
      <c r="HAT103" s="4"/>
      <c r="HAU103" s="4"/>
      <c r="HAV103" s="4"/>
      <c r="HAW103" s="4"/>
      <c r="HAX103" s="4"/>
      <c r="HAY103" s="4"/>
      <c r="HAZ103" s="4"/>
      <c r="HBA103" s="4"/>
      <c r="HBB103" s="4"/>
      <c r="HBC103" s="4"/>
      <c r="HBD103" s="4"/>
      <c r="HBE103" s="4"/>
      <c r="HBF103" s="4"/>
      <c r="HBG103" s="4"/>
      <c r="HBH103" s="4"/>
      <c r="HBI103" s="4"/>
      <c r="HBJ103" s="4"/>
      <c r="HBK103" s="4"/>
      <c r="HBL103" s="4"/>
      <c r="HBM103" s="4"/>
      <c r="HBN103" s="4"/>
      <c r="HBO103" s="4"/>
      <c r="HBP103" s="4"/>
      <c r="HBQ103" s="4"/>
      <c r="HBR103" s="4"/>
      <c r="HBS103" s="4"/>
      <c r="HBT103" s="4"/>
      <c r="HBU103" s="4"/>
      <c r="HBV103" s="4"/>
      <c r="HBW103" s="4"/>
      <c r="HBX103" s="4"/>
      <c r="HBY103" s="4"/>
      <c r="HBZ103" s="4"/>
      <c r="HCA103" s="4"/>
      <c r="HCB103" s="4"/>
      <c r="HCC103" s="4"/>
      <c r="HCD103" s="4"/>
      <c r="HCE103" s="4"/>
      <c r="HCF103" s="4"/>
      <c r="HCG103" s="4"/>
      <c r="HCH103" s="4"/>
      <c r="HCI103" s="4"/>
      <c r="HCJ103" s="4"/>
      <c r="HCK103" s="4"/>
      <c r="HCL103" s="4"/>
      <c r="HCM103" s="4"/>
      <c r="HCN103" s="4"/>
      <c r="HCO103" s="4"/>
      <c r="HCP103" s="4"/>
      <c r="HCQ103" s="4"/>
      <c r="HCR103" s="4"/>
      <c r="HCS103" s="4"/>
      <c r="HCT103" s="4"/>
      <c r="HCU103" s="4"/>
      <c r="HCV103" s="4"/>
      <c r="HCW103" s="4"/>
      <c r="HCX103" s="4"/>
      <c r="HCY103" s="4"/>
      <c r="HCZ103" s="4"/>
      <c r="HDA103" s="4"/>
      <c r="HDB103" s="4"/>
      <c r="HDC103" s="4"/>
      <c r="HDD103" s="4"/>
      <c r="HDE103" s="4"/>
      <c r="HDF103" s="4"/>
      <c r="HDG103" s="4"/>
      <c r="HDH103" s="4"/>
      <c r="HDI103" s="4"/>
      <c r="HDJ103" s="4"/>
      <c r="HDK103" s="4"/>
      <c r="HDL103" s="4"/>
      <c r="HDM103" s="4"/>
      <c r="HDN103" s="4"/>
      <c r="HDO103" s="4"/>
      <c r="HDP103" s="4"/>
      <c r="HDQ103" s="4"/>
      <c r="HDR103" s="4"/>
      <c r="HDS103" s="4"/>
      <c r="HDT103" s="4"/>
      <c r="HDU103" s="4"/>
      <c r="HDV103" s="4"/>
      <c r="HDW103" s="4"/>
      <c r="HDX103" s="4"/>
      <c r="HDY103" s="4"/>
      <c r="HDZ103" s="4"/>
      <c r="HEA103" s="4"/>
      <c r="HEB103" s="4"/>
      <c r="HEC103" s="4"/>
      <c r="HED103" s="4"/>
      <c r="HEE103" s="4"/>
      <c r="HEF103" s="4"/>
      <c r="HEG103" s="4"/>
      <c r="HEH103" s="4"/>
      <c r="HEI103" s="4"/>
      <c r="HEJ103" s="4"/>
      <c r="HEK103" s="4"/>
      <c r="HEL103" s="4"/>
      <c r="HEM103" s="4"/>
      <c r="HEN103" s="4"/>
      <c r="HEO103" s="4"/>
      <c r="HEP103" s="4"/>
      <c r="HEQ103" s="4"/>
      <c r="HER103" s="4"/>
      <c r="HES103" s="4"/>
      <c r="HET103" s="4"/>
      <c r="HEU103" s="4"/>
      <c r="HEV103" s="4"/>
      <c r="HEW103" s="4"/>
      <c r="HEX103" s="4"/>
      <c r="HEY103" s="4"/>
      <c r="HEZ103" s="4"/>
      <c r="HFA103" s="4"/>
      <c r="HFB103" s="4"/>
      <c r="HFC103" s="4"/>
      <c r="HFD103" s="4"/>
      <c r="HFE103" s="4"/>
      <c r="HFF103" s="4"/>
      <c r="HFG103" s="4"/>
      <c r="HFH103" s="4"/>
      <c r="HFI103" s="4"/>
      <c r="HFJ103" s="4"/>
      <c r="HFK103" s="4"/>
      <c r="HFL103" s="4"/>
      <c r="HFM103" s="4"/>
      <c r="HFN103" s="4"/>
      <c r="HFO103" s="4"/>
      <c r="HFP103" s="4"/>
      <c r="HFQ103" s="4"/>
      <c r="HFR103" s="4"/>
      <c r="HFS103" s="4"/>
      <c r="HFT103" s="4"/>
      <c r="HFU103" s="4"/>
      <c r="HFV103" s="4"/>
      <c r="HFW103" s="4"/>
      <c r="HFX103" s="4"/>
      <c r="HFY103" s="4"/>
      <c r="HFZ103" s="4"/>
      <c r="HGA103" s="4"/>
      <c r="HGB103" s="4"/>
      <c r="HGC103" s="4"/>
      <c r="HGD103" s="4"/>
      <c r="HGE103" s="4"/>
      <c r="HGF103" s="4"/>
      <c r="HGG103" s="4"/>
      <c r="HGH103" s="4"/>
      <c r="HGI103" s="4"/>
      <c r="HGJ103" s="4"/>
      <c r="HGK103" s="4"/>
      <c r="HGL103" s="4"/>
      <c r="HGM103" s="4"/>
      <c r="HGN103" s="4"/>
      <c r="HGO103" s="4"/>
      <c r="HGP103" s="4"/>
      <c r="HGQ103" s="4"/>
      <c r="HGR103" s="4"/>
      <c r="HGS103" s="4"/>
      <c r="HGT103" s="4"/>
      <c r="HGU103" s="4"/>
      <c r="HGV103" s="4"/>
      <c r="HGW103" s="4"/>
      <c r="HGX103" s="4"/>
      <c r="HGY103" s="4"/>
      <c r="HGZ103" s="4"/>
      <c r="HHA103" s="4"/>
      <c r="HHB103" s="4"/>
      <c r="HHC103" s="4"/>
      <c r="HHD103" s="4"/>
      <c r="HHE103" s="4"/>
      <c r="HHF103" s="4"/>
      <c r="HHG103" s="4"/>
      <c r="HHH103" s="4"/>
      <c r="HHI103" s="4"/>
      <c r="HHJ103" s="4"/>
      <c r="HHK103" s="4"/>
      <c r="HHL103" s="4"/>
      <c r="HHM103" s="4"/>
      <c r="HHN103" s="4"/>
      <c r="HHO103" s="4"/>
      <c r="HHP103" s="4"/>
      <c r="HHQ103" s="4"/>
      <c r="HHR103" s="4"/>
      <c r="HHS103" s="4"/>
      <c r="HHT103" s="4"/>
      <c r="HHU103" s="4"/>
      <c r="HHV103" s="4"/>
      <c r="HHW103" s="4"/>
      <c r="HHX103" s="4"/>
      <c r="HHY103" s="4"/>
      <c r="HHZ103" s="4"/>
      <c r="HIA103" s="4"/>
      <c r="HIB103" s="4"/>
      <c r="HIC103" s="4"/>
      <c r="HID103" s="4"/>
      <c r="HIE103" s="4"/>
      <c r="HIF103" s="4"/>
      <c r="HIG103" s="4"/>
      <c r="HIH103" s="4"/>
      <c r="HII103" s="4"/>
      <c r="HIJ103" s="4"/>
      <c r="HIK103" s="4"/>
      <c r="HIL103" s="4"/>
      <c r="HIM103" s="4"/>
      <c r="HIN103" s="4"/>
      <c r="HIO103" s="4"/>
      <c r="HIP103" s="4"/>
      <c r="HIQ103" s="4"/>
      <c r="HIR103" s="4"/>
      <c r="HIS103" s="4"/>
      <c r="HIT103" s="4"/>
      <c r="HIU103" s="4"/>
      <c r="HIV103" s="4"/>
      <c r="HIW103" s="4"/>
      <c r="HIX103" s="4"/>
      <c r="HIY103" s="4"/>
      <c r="HIZ103" s="4"/>
      <c r="HJA103" s="4"/>
      <c r="HJB103" s="4"/>
      <c r="HJC103" s="4"/>
      <c r="HJD103" s="4"/>
      <c r="HJE103" s="4"/>
      <c r="HJF103" s="4"/>
      <c r="HJG103" s="4"/>
      <c r="HJH103" s="4"/>
      <c r="HJI103" s="4"/>
      <c r="HJJ103" s="4"/>
      <c r="HJK103" s="4"/>
      <c r="HJL103" s="4"/>
      <c r="HJM103" s="4"/>
      <c r="HJN103" s="4"/>
      <c r="HJO103" s="4"/>
      <c r="HJP103" s="4"/>
      <c r="HJQ103" s="4"/>
      <c r="HJR103" s="4"/>
      <c r="HJS103" s="4"/>
      <c r="HJT103" s="4"/>
      <c r="HJU103" s="4"/>
      <c r="HJV103" s="4"/>
      <c r="HJW103" s="4"/>
      <c r="HJX103" s="4"/>
      <c r="HJY103" s="4"/>
      <c r="HJZ103" s="4"/>
      <c r="HKA103" s="4"/>
      <c r="HKB103" s="4"/>
      <c r="HKC103" s="4"/>
      <c r="HKD103" s="4"/>
      <c r="HKE103" s="4"/>
      <c r="HKF103" s="4"/>
      <c r="HKG103" s="4"/>
      <c r="HKH103" s="4"/>
      <c r="HKI103" s="4"/>
      <c r="HKJ103" s="4"/>
      <c r="HKK103" s="4"/>
      <c r="HKL103" s="4"/>
      <c r="HKM103" s="4"/>
      <c r="HKN103" s="4"/>
      <c r="HKO103" s="4"/>
      <c r="HKP103" s="4"/>
      <c r="HKQ103" s="4"/>
      <c r="HKR103" s="4"/>
      <c r="HKS103" s="4"/>
      <c r="HKT103" s="4"/>
      <c r="HKU103" s="4"/>
      <c r="HKV103" s="4"/>
      <c r="HKW103" s="4"/>
      <c r="HKX103" s="4"/>
      <c r="HKY103" s="4"/>
      <c r="HKZ103" s="4"/>
      <c r="HLA103" s="4"/>
      <c r="HLB103" s="4"/>
      <c r="HLC103" s="4"/>
      <c r="HLD103" s="4"/>
      <c r="HLE103" s="4"/>
      <c r="HLF103" s="4"/>
      <c r="HLG103" s="4"/>
      <c r="HLH103" s="4"/>
      <c r="HLI103" s="4"/>
      <c r="HLJ103" s="4"/>
      <c r="HLK103" s="4"/>
      <c r="HLL103" s="4"/>
      <c r="HLM103" s="4"/>
      <c r="HLN103" s="4"/>
      <c r="HLO103" s="4"/>
      <c r="HLP103" s="4"/>
      <c r="HLQ103" s="4"/>
      <c r="HLR103" s="4"/>
      <c r="HLS103" s="4"/>
      <c r="HLT103" s="4"/>
      <c r="HLU103" s="4"/>
      <c r="HLV103" s="4"/>
      <c r="HLW103" s="4"/>
      <c r="HLX103" s="4"/>
      <c r="HLY103" s="4"/>
      <c r="HLZ103" s="4"/>
      <c r="HMA103" s="4"/>
      <c r="HMB103" s="4"/>
      <c r="HMC103" s="4"/>
      <c r="HMD103" s="4"/>
      <c r="HME103" s="4"/>
      <c r="HMF103" s="4"/>
      <c r="HMG103" s="4"/>
      <c r="HMH103" s="4"/>
      <c r="HMI103" s="4"/>
      <c r="HMJ103" s="4"/>
      <c r="HMK103" s="4"/>
      <c r="HML103" s="4"/>
      <c r="HMM103" s="4"/>
      <c r="HMN103" s="4"/>
      <c r="HMO103" s="4"/>
      <c r="HMP103" s="4"/>
      <c r="HMQ103" s="4"/>
      <c r="HMR103" s="4"/>
      <c r="HMS103" s="4"/>
      <c r="HMT103" s="4"/>
      <c r="HMU103" s="4"/>
      <c r="HMV103" s="4"/>
      <c r="HMW103" s="4"/>
      <c r="HMX103" s="4"/>
      <c r="HMY103" s="4"/>
      <c r="HMZ103" s="4"/>
      <c r="HNA103" s="4"/>
      <c r="HNB103" s="4"/>
      <c r="HNC103" s="4"/>
      <c r="HND103" s="4"/>
      <c r="HNE103" s="4"/>
      <c r="HNF103" s="4"/>
      <c r="HNG103" s="4"/>
      <c r="HNH103" s="4"/>
      <c r="HNI103" s="4"/>
      <c r="HNJ103" s="4"/>
      <c r="HNK103" s="4"/>
      <c r="HNL103" s="4"/>
      <c r="HNM103" s="4"/>
      <c r="HNN103" s="4"/>
      <c r="HNO103" s="4"/>
      <c r="HNP103" s="4"/>
      <c r="HNQ103" s="4"/>
      <c r="HNR103" s="4"/>
      <c r="HNS103" s="4"/>
      <c r="HNT103" s="4"/>
      <c r="HNU103" s="4"/>
      <c r="HNV103" s="4"/>
      <c r="HNW103" s="4"/>
      <c r="HNX103" s="4"/>
      <c r="HNY103" s="4"/>
      <c r="HNZ103" s="4"/>
      <c r="HOA103" s="4"/>
      <c r="HOB103" s="4"/>
      <c r="HOC103" s="4"/>
      <c r="HOD103" s="4"/>
      <c r="HOE103" s="4"/>
      <c r="HOF103" s="4"/>
      <c r="HOG103" s="4"/>
      <c r="HOH103" s="4"/>
      <c r="HOI103" s="4"/>
      <c r="HOJ103" s="4"/>
      <c r="HOK103" s="4"/>
      <c r="HOL103" s="4"/>
      <c r="HOM103" s="4"/>
      <c r="HON103" s="4"/>
      <c r="HOO103" s="4"/>
      <c r="HOP103" s="4"/>
      <c r="HOQ103" s="4"/>
      <c r="HOR103" s="4"/>
      <c r="HOS103" s="4"/>
      <c r="HOT103" s="4"/>
      <c r="HOU103" s="4"/>
      <c r="HOV103" s="4"/>
      <c r="HOW103" s="4"/>
      <c r="HOX103" s="4"/>
      <c r="HOY103" s="4"/>
      <c r="HOZ103" s="4"/>
      <c r="HPA103" s="4"/>
      <c r="HPB103" s="4"/>
      <c r="HPC103" s="4"/>
      <c r="HPD103" s="4"/>
      <c r="HPE103" s="4"/>
      <c r="HPF103" s="4"/>
      <c r="HPG103" s="4"/>
      <c r="HPH103" s="4"/>
      <c r="HPI103" s="4"/>
      <c r="HPJ103" s="4"/>
      <c r="HPK103" s="4"/>
      <c r="HPL103" s="4"/>
      <c r="HPM103" s="4"/>
      <c r="HPN103" s="4"/>
      <c r="HPO103" s="4"/>
      <c r="HPP103" s="4"/>
      <c r="HPQ103" s="4"/>
      <c r="HPR103" s="4"/>
      <c r="HPS103" s="4"/>
      <c r="HPT103" s="4"/>
      <c r="HPU103" s="4"/>
      <c r="HPV103" s="4"/>
      <c r="HPW103" s="4"/>
      <c r="HPX103" s="4"/>
      <c r="HPY103" s="4"/>
      <c r="HPZ103" s="4"/>
      <c r="HQA103" s="4"/>
      <c r="HQB103" s="4"/>
      <c r="HQC103" s="4"/>
      <c r="HQD103" s="4"/>
      <c r="HQE103" s="4"/>
      <c r="HQF103" s="4"/>
      <c r="HQG103" s="4"/>
      <c r="HQH103" s="4"/>
      <c r="HQI103" s="4"/>
      <c r="HQJ103" s="4"/>
      <c r="HQK103" s="4"/>
      <c r="HQL103" s="4"/>
      <c r="HQM103" s="4"/>
      <c r="HQN103" s="4"/>
      <c r="HQO103" s="4"/>
      <c r="HQP103" s="4"/>
      <c r="HQQ103" s="4"/>
      <c r="HQR103" s="4"/>
      <c r="HQS103" s="4"/>
      <c r="HQT103" s="4"/>
      <c r="HQU103" s="4"/>
      <c r="HQV103" s="4"/>
      <c r="HQW103" s="4"/>
      <c r="HQX103" s="4"/>
      <c r="HQY103" s="4"/>
      <c r="HQZ103" s="4"/>
      <c r="HRA103" s="4"/>
      <c r="HRB103" s="4"/>
      <c r="HRC103" s="4"/>
      <c r="HRD103" s="4"/>
      <c r="HRE103" s="4"/>
      <c r="HRF103" s="4"/>
      <c r="HRG103" s="4"/>
      <c r="HRH103" s="4"/>
      <c r="HRI103" s="4"/>
      <c r="HRJ103" s="4"/>
      <c r="HRK103" s="4"/>
      <c r="HRL103" s="4"/>
      <c r="HRM103" s="4"/>
      <c r="HRN103" s="4"/>
      <c r="HRO103" s="4"/>
      <c r="HRP103" s="4"/>
      <c r="HRQ103" s="4"/>
      <c r="HRR103" s="4"/>
      <c r="HRS103" s="4"/>
      <c r="HRT103" s="4"/>
      <c r="HRU103" s="4"/>
      <c r="HRV103" s="4"/>
      <c r="HRW103" s="4"/>
      <c r="HRX103" s="4"/>
      <c r="HRY103" s="4"/>
      <c r="HRZ103" s="4"/>
      <c r="HSA103" s="4"/>
      <c r="HSB103" s="4"/>
      <c r="HSC103" s="4"/>
      <c r="HSD103" s="4"/>
      <c r="HSE103" s="4"/>
      <c r="HSF103" s="4"/>
      <c r="HSG103" s="4"/>
      <c r="HSH103" s="4"/>
      <c r="HSI103" s="4"/>
      <c r="HSJ103" s="4"/>
      <c r="HSK103" s="4"/>
      <c r="HSL103" s="4"/>
      <c r="HSM103" s="4"/>
      <c r="HSN103" s="4"/>
      <c r="HSO103" s="4"/>
      <c r="HSP103" s="4"/>
      <c r="HSQ103" s="4"/>
      <c r="HSR103" s="4"/>
      <c r="HSS103" s="4"/>
      <c r="HST103" s="4"/>
      <c r="HSU103" s="4"/>
      <c r="HSV103" s="4"/>
      <c r="HSW103" s="4"/>
      <c r="HSX103" s="4"/>
      <c r="HSY103" s="4"/>
      <c r="HSZ103" s="4"/>
      <c r="HTA103" s="4"/>
      <c r="HTB103" s="4"/>
      <c r="HTC103" s="4"/>
      <c r="HTD103" s="4"/>
      <c r="HTE103" s="4"/>
      <c r="HTF103" s="4"/>
      <c r="HTG103" s="4"/>
      <c r="HTH103" s="4"/>
      <c r="HTI103" s="4"/>
      <c r="HTJ103" s="4"/>
      <c r="HTK103" s="4"/>
      <c r="HTL103" s="4"/>
      <c r="HTM103" s="4"/>
      <c r="HTN103" s="4"/>
      <c r="HTO103" s="4"/>
      <c r="HTP103" s="4"/>
      <c r="HTQ103" s="4"/>
      <c r="HTR103" s="4"/>
      <c r="HTS103" s="4"/>
      <c r="HTT103" s="4"/>
      <c r="HTU103" s="4"/>
      <c r="HTV103" s="4"/>
      <c r="HTW103" s="4"/>
      <c r="HTX103" s="4"/>
      <c r="HTY103" s="4"/>
      <c r="HTZ103" s="4"/>
      <c r="HUA103" s="4"/>
      <c r="HUB103" s="4"/>
      <c r="HUC103" s="4"/>
      <c r="HUD103" s="4"/>
      <c r="HUE103" s="4"/>
      <c r="HUF103" s="4"/>
      <c r="HUG103" s="4"/>
      <c r="HUH103" s="4"/>
      <c r="HUI103" s="4"/>
      <c r="HUJ103" s="4"/>
      <c r="HUK103" s="4"/>
      <c r="HUL103" s="4"/>
      <c r="HUM103" s="4"/>
      <c r="HUN103" s="4"/>
      <c r="HUO103" s="4"/>
      <c r="HUP103" s="4"/>
      <c r="HUQ103" s="4"/>
      <c r="HUR103" s="4"/>
      <c r="HUS103" s="4"/>
      <c r="HUT103" s="4"/>
      <c r="HUU103" s="4"/>
      <c r="HUV103" s="4"/>
      <c r="HUW103" s="4"/>
      <c r="HUX103" s="4"/>
      <c r="HUY103" s="4"/>
      <c r="HUZ103" s="4"/>
      <c r="HVA103" s="4"/>
      <c r="HVB103" s="4"/>
      <c r="HVC103" s="4"/>
      <c r="HVD103" s="4"/>
      <c r="HVE103" s="4"/>
      <c r="HVF103" s="4"/>
      <c r="HVG103" s="4"/>
      <c r="HVH103" s="4"/>
      <c r="HVI103" s="4"/>
      <c r="HVJ103" s="4"/>
      <c r="HVK103" s="4"/>
      <c r="HVL103" s="4"/>
      <c r="HVM103" s="4"/>
      <c r="HVN103" s="4"/>
      <c r="HVO103" s="4"/>
      <c r="HVP103" s="4"/>
      <c r="HVQ103" s="4"/>
      <c r="HVR103" s="4"/>
      <c r="HVS103" s="4"/>
      <c r="HVT103" s="4"/>
      <c r="HVU103" s="4"/>
      <c r="HVV103" s="4"/>
      <c r="HVW103" s="4"/>
      <c r="HVX103" s="4"/>
      <c r="HVY103" s="4"/>
      <c r="HVZ103" s="4"/>
      <c r="HWA103" s="4"/>
      <c r="HWB103" s="4"/>
      <c r="HWC103" s="4"/>
      <c r="HWD103" s="4"/>
      <c r="HWE103" s="4"/>
      <c r="HWF103" s="4"/>
      <c r="HWG103" s="4"/>
      <c r="HWH103" s="4"/>
      <c r="HWI103" s="4"/>
      <c r="HWJ103" s="4"/>
      <c r="HWK103" s="4"/>
      <c r="HWL103" s="4"/>
      <c r="HWM103" s="4"/>
      <c r="HWN103" s="4"/>
      <c r="HWO103" s="4"/>
      <c r="HWP103" s="4"/>
      <c r="HWQ103" s="4"/>
      <c r="HWR103" s="4"/>
      <c r="HWS103" s="4"/>
      <c r="HWT103" s="4"/>
      <c r="HWU103" s="4"/>
      <c r="HWV103" s="4"/>
      <c r="HWW103" s="4"/>
      <c r="HWX103" s="4"/>
      <c r="HWY103" s="4"/>
      <c r="HWZ103" s="4"/>
      <c r="HXA103" s="4"/>
      <c r="HXB103" s="4"/>
      <c r="HXC103" s="4"/>
      <c r="HXD103" s="4"/>
      <c r="HXE103" s="4"/>
      <c r="HXF103" s="4"/>
      <c r="HXG103" s="4"/>
      <c r="HXH103" s="4"/>
      <c r="HXI103" s="4"/>
      <c r="HXJ103" s="4"/>
      <c r="HXK103" s="4"/>
      <c r="HXL103" s="4"/>
      <c r="HXM103" s="4"/>
      <c r="HXN103" s="4"/>
      <c r="HXO103" s="4"/>
      <c r="HXP103" s="4"/>
      <c r="HXQ103" s="4"/>
      <c r="HXR103" s="4"/>
      <c r="HXS103" s="4"/>
      <c r="HXT103" s="4"/>
      <c r="HXU103" s="4"/>
      <c r="HXV103" s="4"/>
      <c r="HXW103" s="4"/>
      <c r="HXX103" s="4"/>
      <c r="HXY103" s="4"/>
      <c r="HXZ103" s="4"/>
      <c r="HYA103" s="4"/>
      <c r="HYB103" s="4"/>
      <c r="HYC103" s="4"/>
      <c r="HYD103" s="4"/>
      <c r="HYE103" s="4"/>
      <c r="HYF103" s="4"/>
      <c r="HYG103" s="4"/>
      <c r="HYH103" s="4"/>
      <c r="HYI103" s="4"/>
      <c r="HYJ103" s="4"/>
      <c r="HYK103" s="4"/>
      <c r="HYL103" s="4"/>
      <c r="HYM103" s="4"/>
      <c r="HYN103" s="4"/>
      <c r="HYO103" s="4"/>
      <c r="HYP103" s="4"/>
      <c r="HYQ103" s="4"/>
      <c r="HYR103" s="4"/>
      <c r="HYS103" s="4"/>
      <c r="HYT103" s="4"/>
      <c r="HYU103" s="4"/>
      <c r="HYV103" s="4"/>
      <c r="HYW103" s="4"/>
      <c r="HYX103" s="4"/>
      <c r="HYY103" s="4"/>
      <c r="HYZ103" s="4"/>
      <c r="HZA103" s="4"/>
      <c r="HZB103" s="4"/>
      <c r="HZC103" s="4"/>
      <c r="HZD103" s="4"/>
      <c r="HZE103" s="4"/>
      <c r="HZF103" s="4"/>
      <c r="HZG103" s="4"/>
      <c r="HZH103" s="4"/>
      <c r="HZI103" s="4"/>
      <c r="HZJ103" s="4"/>
      <c r="HZK103" s="4"/>
      <c r="HZL103" s="4"/>
      <c r="HZM103" s="4"/>
      <c r="HZN103" s="4"/>
      <c r="HZO103" s="4"/>
      <c r="HZP103" s="4"/>
      <c r="HZQ103" s="4"/>
      <c r="HZR103" s="4"/>
      <c r="HZS103" s="4"/>
      <c r="HZT103" s="4"/>
      <c r="HZU103" s="4"/>
      <c r="HZV103" s="4"/>
      <c r="HZW103" s="4"/>
      <c r="HZX103" s="4"/>
      <c r="HZY103" s="4"/>
      <c r="HZZ103" s="4"/>
      <c r="IAA103" s="4"/>
      <c r="IAB103" s="4"/>
      <c r="IAC103" s="4"/>
      <c r="IAD103" s="4"/>
      <c r="IAE103" s="4"/>
      <c r="IAF103" s="4"/>
      <c r="IAG103" s="4"/>
      <c r="IAH103" s="4"/>
      <c r="IAI103" s="4"/>
      <c r="IAJ103" s="4"/>
      <c r="IAK103" s="4"/>
      <c r="IAL103" s="4"/>
      <c r="IAM103" s="4"/>
      <c r="IAN103" s="4"/>
      <c r="IAO103" s="4"/>
      <c r="IAP103" s="4"/>
      <c r="IAQ103" s="4"/>
      <c r="IAR103" s="4"/>
      <c r="IAS103" s="4"/>
      <c r="IAT103" s="4"/>
      <c r="IAU103" s="4"/>
      <c r="IAV103" s="4"/>
      <c r="IAW103" s="4"/>
      <c r="IAX103" s="4"/>
      <c r="IAY103" s="4"/>
      <c r="IAZ103" s="4"/>
      <c r="IBA103" s="4"/>
      <c r="IBB103" s="4"/>
      <c r="IBC103" s="4"/>
      <c r="IBD103" s="4"/>
      <c r="IBE103" s="4"/>
      <c r="IBF103" s="4"/>
      <c r="IBG103" s="4"/>
      <c r="IBH103" s="4"/>
      <c r="IBI103" s="4"/>
      <c r="IBJ103" s="4"/>
      <c r="IBK103" s="4"/>
      <c r="IBL103" s="4"/>
      <c r="IBM103" s="4"/>
      <c r="IBN103" s="4"/>
      <c r="IBO103" s="4"/>
      <c r="IBP103" s="4"/>
      <c r="IBQ103" s="4"/>
      <c r="IBR103" s="4"/>
      <c r="IBS103" s="4"/>
      <c r="IBT103" s="4"/>
      <c r="IBU103" s="4"/>
      <c r="IBV103" s="4"/>
      <c r="IBW103" s="4"/>
      <c r="IBX103" s="4"/>
      <c r="IBY103" s="4"/>
      <c r="IBZ103" s="4"/>
      <c r="ICA103" s="4"/>
      <c r="ICB103" s="4"/>
      <c r="ICC103" s="4"/>
      <c r="ICD103" s="4"/>
      <c r="ICE103" s="4"/>
      <c r="ICF103" s="4"/>
      <c r="ICG103" s="4"/>
      <c r="ICH103" s="4"/>
      <c r="ICI103" s="4"/>
      <c r="ICJ103" s="4"/>
      <c r="ICK103" s="4"/>
      <c r="ICL103" s="4"/>
      <c r="ICM103" s="4"/>
      <c r="ICN103" s="4"/>
      <c r="ICO103" s="4"/>
      <c r="ICP103" s="4"/>
      <c r="ICQ103" s="4"/>
      <c r="ICR103" s="4"/>
      <c r="ICS103" s="4"/>
      <c r="ICT103" s="4"/>
      <c r="ICU103" s="4"/>
      <c r="ICV103" s="4"/>
      <c r="ICW103" s="4"/>
      <c r="ICX103" s="4"/>
      <c r="ICY103" s="4"/>
      <c r="ICZ103" s="4"/>
      <c r="IDA103" s="4"/>
      <c r="IDB103" s="4"/>
      <c r="IDC103" s="4"/>
      <c r="IDD103" s="4"/>
      <c r="IDE103" s="4"/>
      <c r="IDF103" s="4"/>
      <c r="IDG103" s="4"/>
      <c r="IDH103" s="4"/>
      <c r="IDI103" s="4"/>
      <c r="IDJ103" s="4"/>
      <c r="IDK103" s="4"/>
      <c r="IDL103" s="4"/>
      <c r="IDM103" s="4"/>
      <c r="IDN103" s="4"/>
      <c r="IDO103" s="4"/>
      <c r="IDP103" s="4"/>
      <c r="IDQ103" s="4"/>
      <c r="IDR103" s="4"/>
      <c r="IDS103" s="4"/>
      <c r="IDT103" s="4"/>
      <c r="IDU103" s="4"/>
      <c r="IDV103" s="4"/>
      <c r="IDW103" s="4"/>
      <c r="IDX103" s="4"/>
      <c r="IDY103" s="4"/>
      <c r="IDZ103" s="4"/>
      <c r="IEA103" s="4"/>
      <c r="IEB103" s="4"/>
      <c r="IEC103" s="4"/>
      <c r="IED103" s="4"/>
      <c r="IEE103" s="4"/>
      <c r="IEF103" s="4"/>
      <c r="IEG103" s="4"/>
      <c r="IEH103" s="4"/>
      <c r="IEI103" s="4"/>
      <c r="IEJ103" s="4"/>
      <c r="IEK103" s="4"/>
      <c r="IEL103" s="4"/>
      <c r="IEM103" s="4"/>
      <c r="IEN103" s="4"/>
      <c r="IEO103" s="4"/>
      <c r="IEP103" s="4"/>
      <c r="IEQ103" s="4"/>
      <c r="IER103" s="4"/>
      <c r="IES103" s="4"/>
      <c r="IET103" s="4"/>
      <c r="IEU103" s="4"/>
      <c r="IEV103" s="4"/>
      <c r="IEW103" s="4"/>
      <c r="IEX103" s="4"/>
      <c r="IEY103" s="4"/>
      <c r="IEZ103" s="4"/>
      <c r="IFA103" s="4"/>
      <c r="IFB103" s="4"/>
      <c r="IFC103" s="4"/>
      <c r="IFD103" s="4"/>
      <c r="IFE103" s="4"/>
      <c r="IFF103" s="4"/>
      <c r="IFG103" s="4"/>
      <c r="IFH103" s="4"/>
      <c r="IFI103" s="4"/>
      <c r="IFJ103" s="4"/>
      <c r="IFK103" s="4"/>
      <c r="IFL103" s="4"/>
      <c r="IFM103" s="4"/>
      <c r="IFN103" s="4"/>
      <c r="IFO103" s="4"/>
      <c r="IFP103" s="4"/>
      <c r="IFQ103" s="4"/>
      <c r="IFR103" s="4"/>
      <c r="IFS103" s="4"/>
      <c r="IFT103" s="4"/>
      <c r="IFU103" s="4"/>
      <c r="IFV103" s="4"/>
      <c r="IFW103" s="4"/>
      <c r="IFX103" s="4"/>
      <c r="IFY103" s="4"/>
      <c r="IFZ103" s="4"/>
      <c r="IGA103" s="4"/>
      <c r="IGB103" s="4"/>
      <c r="IGC103" s="4"/>
      <c r="IGD103" s="4"/>
      <c r="IGE103" s="4"/>
      <c r="IGF103" s="4"/>
      <c r="IGG103" s="4"/>
      <c r="IGH103" s="4"/>
      <c r="IGI103" s="4"/>
      <c r="IGJ103" s="4"/>
      <c r="IGK103" s="4"/>
      <c r="IGL103" s="4"/>
      <c r="IGM103" s="4"/>
      <c r="IGN103" s="4"/>
      <c r="IGO103" s="4"/>
      <c r="IGP103" s="4"/>
      <c r="IGQ103" s="4"/>
      <c r="IGR103" s="4"/>
      <c r="IGS103" s="4"/>
      <c r="IGT103" s="4"/>
      <c r="IGU103" s="4"/>
      <c r="IGV103" s="4"/>
      <c r="IGW103" s="4"/>
      <c r="IGX103" s="4"/>
      <c r="IGY103" s="4"/>
      <c r="IGZ103" s="4"/>
      <c r="IHA103" s="4"/>
      <c r="IHB103" s="4"/>
      <c r="IHC103" s="4"/>
      <c r="IHD103" s="4"/>
      <c r="IHE103" s="4"/>
      <c r="IHF103" s="4"/>
      <c r="IHG103" s="4"/>
      <c r="IHH103" s="4"/>
      <c r="IHI103" s="4"/>
      <c r="IHJ103" s="4"/>
      <c r="IHK103" s="4"/>
      <c r="IHL103" s="4"/>
      <c r="IHM103" s="4"/>
      <c r="IHN103" s="4"/>
      <c r="IHO103" s="4"/>
      <c r="IHP103" s="4"/>
      <c r="IHQ103" s="4"/>
      <c r="IHR103" s="4"/>
      <c r="IHS103" s="4"/>
      <c r="IHT103" s="4"/>
      <c r="IHU103" s="4"/>
      <c r="IHV103" s="4"/>
      <c r="IHW103" s="4"/>
      <c r="IHX103" s="4"/>
      <c r="IHY103" s="4"/>
      <c r="IHZ103" s="4"/>
      <c r="IIA103" s="4"/>
      <c r="IIB103" s="4"/>
      <c r="IIC103" s="4"/>
      <c r="IID103" s="4"/>
      <c r="IIE103" s="4"/>
      <c r="IIF103" s="4"/>
      <c r="IIG103" s="4"/>
      <c r="IIH103" s="4"/>
      <c r="III103" s="4"/>
      <c r="IIJ103" s="4"/>
      <c r="IIK103" s="4"/>
      <c r="IIL103" s="4"/>
      <c r="IIM103" s="4"/>
      <c r="IIN103" s="4"/>
      <c r="IIO103" s="4"/>
      <c r="IIP103" s="4"/>
      <c r="IIQ103" s="4"/>
      <c r="IIR103" s="4"/>
      <c r="IIS103" s="4"/>
      <c r="IIT103" s="4"/>
      <c r="IIU103" s="4"/>
      <c r="IIV103" s="4"/>
      <c r="IIW103" s="4"/>
      <c r="IIX103" s="4"/>
      <c r="IIY103" s="4"/>
      <c r="IIZ103" s="4"/>
      <c r="IJA103" s="4"/>
      <c r="IJB103" s="4"/>
      <c r="IJC103" s="4"/>
      <c r="IJD103" s="4"/>
      <c r="IJE103" s="4"/>
      <c r="IJF103" s="4"/>
      <c r="IJG103" s="4"/>
      <c r="IJH103" s="4"/>
      <c r="IJI103" s="4"/>
      <c r="IJJ103" s="4"/>
      <c r="IJK103" s="4"/>
      <c r="IJL103" s="4"/>
      <c r="IJM103" s="4"/>
      <c r="IJN103" s="4"/>
      <c r="IJO103" s="4"/>
      <c r="IJP103" s="4"/>
      <c r="IJQ103" s="4"/>
      <c r="IJR103" s="4"/>
      <c r="IJS103" s="4"/>
      <c r="IJT103" s="4"/>
      <c r="IJU103" s="4"/>
      <c r="IJV103" s="4"/>
      <c r="IJW103" s="4"/>
      <c r="IJX103" s="4"/>
      <c r="IJY103" s="4"/>
      <c r="IJZ103" s="4"/>
      <c r="IKA103" s="4"/>
      <c r="IKB103" s="4"/>
      <c r="IKC103" s="4"/>
      <c r="IKD103" s="4"/>
      <c r="IKE103" s="4"/>
      <c r="IKF103" s="4"/>
      <c r="IKG103" s="4"/>
      <c r="IKH103" s="4"/>
      <c r="IKI103" s="4"/>
      <c r="IKJ103" s="4"/>
      <c r="IKK103" s="4"/>
      <c r="IKL103" s="4"/>
      <c r="IKM103" s="4"/>
      <c r="IKN103" s="4"/>
      <c r="IKO103" s="4"/>
      <c r="IKP103" s="4"/>
      <c r="IKQ103" s="4"/>
      <c r="IKR103" s="4"/>
      <c r="IKS103" s="4"/>
      <c r="IKT103" s="4"/>
      <c r="IKU103" s="4"/>
      <c r="IKV103" s="4"/>
      <c r="IKW103" s="4"/>
      <c r="IKX103" s="4"/>
      <c r="IKY103" s="4"/>
      <c r="IKZ103" s="4"/>
      <c r="ILA103" s="4"/>
      <c r="ILB103" s="4"/>
      <c r="ILC103" s="4"/>
      <c r="ILD103" s="4"/>
      <c r="ILE103" s="4"/>
      <c r="ILF103" s="4"/>
      <c r="ILG103" s="4"/>
      <c r="ILH103" s="4"/>
      <c r="ILI103" s="4"/>
      <c r="ILJ103" s="4"/>
      <c r="ILK103" s="4"/>
      <c r="ILL103" s="4"/>
      <c r="ILM103" s="4"/>
      <c r="ILN103" s="4"/>
      <c r="ILO103" s="4"/>
      <c r="ILP103" s="4"/>
      <c r="ILQ103" s="4"/>
      <c r="ILR103" s="4"/>
      <c r="ILS103" s="4"/>
      <c r="ILT103" s="4"/>
      <c r="ILU103" s="4"/>
      <c r="ILV103" s="4"/>
      <c r="ILW103" s="4"/>
      <c r="ILX103" s="4"/>
      <c r="ILY103" s="4"/>
      <c r="ILZ103" s="4"/>
      <c r="IMA103" s="4"/>
      <c r="IMB103" s="4"/>
      <c r="IMC103" s="4"/>
      <c r="IMD103" s="4"/>
      <c r="IME103" s="4"/>
      <c r="IMF103" s="4"/>
      <c r="IMG103" s="4"/>
      <c r="IMH103" s="4"/>
      <c r="IMI103" s="4"/>
      <c r="IMJ103" s="4"/>
      <c r="IMK103" s="4"/>
      <c r="IML103" s="4"/>
      <c r="IMM103" s="4"/>
      <c r="IMN103" s="4"/>
      <c r="IMO103" s="4"/>
      <c r="IMP103" s="4"/>
      <c r="IMQ103" s="4"/>
      <c r="IMR103" s="4"/>
      <c r="IMS103" s="4"/>
      <c r="IMT103" s="4"/>
      <c r="IMU103" s="4"/>
      <c r="IMV103" s="4"/>
      <c r="IMW103" s="4"/>
      <c r="IMX103" s="4"/>
      <c r="IMY103" s="4"/>
      <c r="IMZ103" s="4"/>
      <c r="INA103" s="4"/>
      <c r="INB103" s="4"/>
      <c r="INC103" s="4"/>
      <c r="IND103" s="4"/>
      <c r="INE103" s="4"/>
      <c r="INF103" s="4"/>
      <c r="ING103" s="4"/>
      <c r="INH103" s="4"/>
      <c r="INI103" s="4"/>
      <c r="INJ103" s="4"/>
      <c r="INK103" s="4"/>
      <c r="INL103" s="4"/>
      <c r="INM103" s="4"/>
      <c r="INN103" s="4"/>
      <c r="INO103" s="4"/>
      <c r="INP103" s="4"/>
      <c r="INQ103" s="4"/>
      <c r="INR103" s="4"/>
      <c r="INS103" s="4"/>
      <c r="INT103" s="4"/>
      <c r="INU103" s="4"/>
      <c r="INV103" s="4"/>
      <c r="INW103" s="4"/>
      <c r="INX103" s="4"/>
      <c r="INY103" s="4"/>
      <c r="INZ103" s="4"/>
      <c r="IOA103" s="4"/>
      <c r="IOB103" s="4"/>
      <c r="IOC103" s="4"/>
      <c r="IOD103" s="4"/>
      <c r="IOE103" s="4"/>
      <c r="IOF103" s="4"/>
      <c r="IOG103" s="4"/>
      <c r="IOH103" s="4"/>
      <c r="IOI103" s="4"/>
      <c r="IOJ103" s="4"/>
      <c r="IOK103" s="4"/>
      <c r="IOL103" s="4"/>
      <c r="IOM103" s="4"/>
      <c r="ION103" s="4"/>
      <c r="IOO103" s="4"/>
      <c r="IOP103" s="4"/>
      <c r="IOQ103" s="4"/>
      <c r="IOR103" s="4"/>
      <c r="IOS103" s="4"/>
      <c r="IOT103" s="4"/>
      <c r="IOU103" s="4"/>
      <c r="IOV103" s="4"/>
      <c r="IOW103" s="4"/>
      <c r="IOX103" s="4"/>
      <c r="IOY103" s="4"/>
      <c r="IOZ103" s="4"/>
      <c r="IPA103" s="4"/>
      <c r="IPB103" s="4"/>
      <c r="IPC103" s="4"/>
      <c r="IPD103" s="4"/>
      <c r="IPE103" s="4"/>
      <c r="IPF103" s="4"/>
      <c r="IPG103" s="4"/>
      <c r="IPH103" s="4"/>
      <c r="IPI103" s="4"/>
      <c r="IPJ103" s="4"/>
      <c r="IPK103" s="4"/>
      <c r="IPL103" s="4"/>
      <c r="IPM103" s="4"/>
      <c r="IPN103" s="4"/>
      <c r="IPO103" s="4"/>
      <c r="IPP103" s="4"/>
      <c r="IPQ103" s="4"/>
      <c r="IPR103" s="4"/>
      <c r="IPS103" s="4"/>
      <c r="IPT103" s="4"/>
      <c r="IPU103" s="4"/>
      <c r="IPV103" s="4"/>
      <c r="IPW103" s="4"/>
      <c r="IPX103" s="4"/>
      <c r="IPY103" s="4"/>
      <c r="IPZ103" s="4"/>
      <c r="IQA103" s="4"/>
      <c r="IQB103" s="4"/>
      <c r="IQC103" s="4"/>
      <c r="IQD103" s="4"/>
      <c r="IQE103" s="4"/>
      <c r="IQF103" s="4"/>
      <c r="IQG103" s="4"/>
      <c r="IQH103" s="4"/>
      <c r="IQI103" s="4"/>
      <c r="IQJ103" s="4"/>
      <c r="IQK103" s="4"/>
      <c r="IQL103" s="4"/>
      <c r="IQM103" s="4"/>
      <c r="IQN103" s="4"/>
      <c r="IQO103" s="4"/>
      <c r="IQP103" s="4"/>
      <c r="IQQ103" s="4"/>
      <c r="IQR103" s="4"/>
      <c r="IQS103" s="4"/>
      <c r="IQT103" s="4"/>
      <c r="IQU103" s="4"/>
      <c r="IQV103" s="4"/>
      <c r="IQW103" s="4"/>
      <c r="IQX103" s="4"/>
      <c r="IQY103" s="4"/>
      <c r="IQZ103" s="4"/>
      <c r="IRA103" s="4"/>
      <c r="IRB103" s="4"/>
      <c r="IRC103" s="4"/>
      <c r="IRD103" s="4"/>
      <c r="IRE103" s="4"/>
      <c r="IRF103" s="4"/>
      <c r="IRG103" s="4"/>
      <c r="IRH103" s="4"/>
      <c r="IRI103" s="4"/>
      <c r="IRJ103" s="4"/>
      <c r="IRK103" s="4"/>
      <c r="IRL103" s="4"/>
      <c r="IRM103" s="4"/>
      <c r="IRN103" s="4"/>
      <c r="IRO103" s="4"/>
      <c r="IRP103" s="4"/>
      <c r="IRQ103" s="4"/>
      <c r="IRR103" s="4"/>
      <c r="IRS103" s="4"/>
      <c r="IRT103" s="4"/>
      <c r="IRU103" s="4"/>
      <c r="IRV103" s="4"/>
      <c r="IRW103" s="4"/>
      <c r="IRX103" s="4"/>
      <c r="IRY103" s="4"/>
      <c r="IRZ103" s="4"/>
      <c r="ISA103" s="4"/>
      <c r="ISB103" s="4"/>
      <c r="ISC103" s="4"/>
      <c r="ISD103" s="4"/>
      <c r="ISE103" s="4"/>
      <c r="ISF103" s="4"/>
      <c r="ISG103" s="4"/>
      <c r="ISH103" s="4"/>
      <c r="ISI103" s="4"/>
      <c r="ISJ103" s="4"/>
      <c r="ISK103" s="4"/>
      <c r="ISL103" s="4"/>
      <c r="ISM103" s="4"/>
      <c r="ISN103" s="4"/>
      <c r="ISO103" s="4"/>
      <c r="ISP103" s="4"/>
      <c r="ISQ103" s="4"/>
      <c r="ISR103" s="4"/>
      <c r="ISS103" s="4"/>
      <c r="IST103" s="4"/>
      <c r="ISU103" s="4"/>
      <c r="ISV103" s="4"/>
      <c r="ISW103" s="4"/>
      <c r="ISX103" s="4"/>
      <c r="ISY103" s="4"/>
      <c r="ISZ103" s="4"/>
      <c r="ITA103" s="4"/>
      <c r="ITB103" s="4"/>
      <c r="ITC103" s="4"/>
      <c r="ITD103" s="4"/>
      <c r="ITE103" s="4"/>
      <c r="ITF103" s="4"/>
      <c r="ITG103" s="4"/>
      <c r="ITH103" s="4"/>
      <c r="ITI103" s="4"/>
      <c r="ITJ103" s="4"/>
      <c r="ITK103" s="4"/>
      <c r="ITL103" s="4"/>
      <c r="ITM103" s="4"/>
      <c r="ITN103" s="4"/>
      <c r="ITO103" s="4"/>
      <c r="ITP103" s="4"/>
      <c r="ITQ103" s="4"/>
      <c r="ITR103" s="4"/>
      <c r="ITS103" s="4"/>
      <c r="ITT103" s="4"/>
      <c r="ITU103" s="4"/>
      <c r="ITV103" s="4"/>
      <c r="ITW103" s="4"/>
      <c r="ITX103" s="4"/>
      <c r="ITY103" s="4"/>
      <c r="ITZ103" s="4"/>
      <c r="IUA103" s="4"/>
      <c r="IUB103" s="4"/>
      <c r="IUC103" s="4"/>
      <c r="IUD103" s="4"/>
      <c r="IUE103" s="4"/>
      <c r="IUF103" s="4"/>
      <c r="IUG103" s="4"/>
      <c r="IUH103" s="4"/>
      <c r="IUI103" s="4"/>
      <c r="IUJ103" s="4"/>
      <c r="IUK103" s="4"/>
      <c r="IUL103" s="4"/>
      <c r="IUM103" s="4"/>
      <c r="IUN103" s="4"/>
      <c r="IUO103" s="4"/>
      <c r="IUP103" s="4"/>
      <c r="IUQ103" s="4"/>
      <c r="IUR103" s="4"/>
      <c r="IUS103" s="4"/>
      <c r="IUT103" s="4"/>
      <c r="IUU103" s="4"/>
      <c r="IUV103" s="4"/>
      <c r="IUW103" s="4"/>
      <c r="IUX103" s="4"/>
      <c r="IUY103" s="4"/>
      <c r="IUZ103" s="4"/>
      <c r="IVA103" s="4"/>
      <c r="IVB103" s="4"/>
      <c r="IVC103" s="4"/>
      <c r="IVD103" s="4"/>
      <c r="IVE103" s="4"/>
      <c r="IVF103" s="4"/>
      <c r="IVG103" s="4"/>
      <c r="IVH103" s="4"/>
      <c r="IVI103" s="4"/>
      <c r="IVJ103" s="4"/>
      <c r="IVK103" s="4"/>
      <c r="IVL103" s="4"/>
      <c r="IVM103" s="4"/>
      <c r="IVN103" s="4"/>
      <c r="IVO103" s="4"/>
      <c r="IVP103" s="4"/>
      <c r="IVQ103" s="4"/>
      <c r="IVR103" s="4"/>
      <c r="IVS103" s="4"/>
      <c r="IVT103" s="4"/>
      <c r="IVU103" s="4"/>
      <c r="IVV103" s="4"/>
      <c r="IVW103" s="4"/>
      <c r="IVX103" s="4"/>
      <c r="IVY103" s="4"/>
      <c r="IVZ103" s="4"/>
      <c r="IWA103" s="4"/>
      <c r="IWB103" s="4"/>
      <c r="IWC103" s="4"/>
      <c r="IWD103" s="4"/>
      <c r="IWE103" s="4"/>
      <c r="IWF103" s="4"/>
      <c r="IWG103" s="4"/>
      <c r="IWH103" s="4"/>
      <c r="IWI103" s="4"/>
      <c r="IWJ103" s="4"/>
      <c r="IWK103" s="4"/>
      <c r="IWL103" s="4"/>
      <c r="IWM103" s="4"/>
      <c r="IWN103" s="4"/>
      <c r="IWO103" s="4"/>
      <c r="IWP103" s="4"/>
      <c r="IWQ103" s="4"/>
      <c r="IWR103" s="4"/>
      <c r="IWS103" s="4"/>
      <c r="IWT103" s="4"/>
      <c r="IWU103" s="4"/>
      <c r="IWV103" s="4"/>
      <c r="IWW103" s="4"/>
      <c r="IWX103" s="4"/>
      <c r="IWY103" s="4"/>
      <c r="IWZ103" s="4"/>
      <c r="IXA103" s="4"/>
      <c r="IXB103" s="4"/>
      <c r="IXC103" s="4"/>
      <c r="IXD103" s="4"/>
      <c r="IXE103" s="4"/>
      <c r="IXF103" s="4"/>
      <c r="IXG103" s="4"/>
      <c r="IXH103" s="4"/>
      <c r="IXI103" s="4"/>
      <c r="IXJ103" s="4"/>
      <c r="IXK103" s="4"/>
      <c r="IXL103" s="4"/>
      <c r="IXM103" s="4"/>
      <c r="IXN103" s="4"/>
      <c r="IXO103" s="4"/>
      <c r="IXP103" s="4"/>
      <c r="IXQ103" s="4"/>
      <c r="IXR103" s="4"/>
      <c r="IXS103" s="4"/>
      <c r="IXT103" s="4"/>
      <c r="IXU103" s="4"/>
      <c r="IXV103" s="4"/>
      <c r="IXW103" s="4"/>
      <c r="IXX103" s="4"/>
      <c r="IXY103" s="4"/>
      <c r="IXZ103" s="4"/>
      <c r="IYA103" s="4"/>
      <c r="IYB103" s="4"/>
      <c r="IYC103" s="4"/>
      <c r="IYD103" s="4"/>
      <c r="IYE103" s="4"/>
      <c r="IYF103" s="4"/>
      <c r="IYG103" s="4"/>
      <c r="IYH103" s="4"/>
      <c r="IYI103" s="4"/>
      <c r="IYJ103" s="4"/>
      <c r="IYK103" s="4"/>
      <c r="IYL103" s="4"/>
      <c r="IYM103" s="4"/>
      <c r="IYN103" s="4"/>
      <c r="IYO103" s="4"/>
      <c r="IYP103" s="4"/>
      <c r="IYQ103" s="4"/>
      <c r="IYR103" s="4"/>
      <c r="IYS103" s="4"/>
      <c r="IYT103" s="4"/>
      <c r="IYU103" s="4"/>
      <c r="IYV103" s="4"/>
      <c r="IYW103" s="4"/>
      <c r="IYX103" s="4"/>
      <c r="IYY103" s="4"/>
      <c r="IYZ103" s="4"/>
      <c r="IZA103" s="4"/>
      <c r="IZB103" s="4"/>
      <c r="IZC103" s="4"/>
      <c r="IZD103" s="4"/>
      <c r="IZE103" s="4"/>
      <c r="IZF103" s="4"/>
      <c r="IZG103" s="4"/>
      <c r="IZH103" s="4"/>
      <c r="IZI103" s="4"/>
      <c r="IZJ103" s="4"/>
      <c r="IZK103" s="4"/>
      <c r="IZL103" s="4"/>
      <c r="IZM103" s="4"/>
      <c r="IZN103" s="4"/>
      <c r="IZO103" s="4"/>
      <c r="IZP103" s="4"/>
      <c r="IZQ103" s="4"/>
      <c r="IZR103" s="4"/>
      <c r="IZS103" s="4"/>
      <c r="IZT103" s="4"/>
      <c r="IZU103" s="4"/>
      <c r="IZV103" s="4"/>
      <c r="IZW103" s="4"/>
      <c r="IZX103" s="4"/>
      <c r="IZY103" s="4"/>
      <c r="IZZ103" s="4"/>
      <c r="JAA103" s="4"/>
      <c r="JAB103" s="4"/>
      <c r="JAC103" s="4"/>
      <c r="JAD103" s="4"/>
      <c r="JAE103" s="4"/>
      <c r="JAF103" s="4"/>
      <c r="JAG103" s="4"/>
      <c r="JAH103" s="4"/>
      <c r="JAI103" s="4"/>
      <c r="JAJ103" s="4"/>
      <c r="JAK103" s="4"/>
      <c r="JAL103" s="4"/>
      <c r="JAM103" s="4"/>
      <c r="JAN103" s="4"/>
      <c r="JAO103" s="4"/>
      <c r="JAP103" s="4"/>
      <c r="JAQ103" s="4"/>
      <c r="JAR103" s="4"/>
      <c r="JAS103" s="4"/>
      <c r="JAT103" s="4"/>
      <c r="JAU103" s="4"/>
      <c r="JAV103" s="4"/>
      <c r="JAW103" s="4"/>
      <c r="JAX103" s="4"/>
      <c r="JAY103" s="4"/>
      <c r="JAZ103" s="4"/>
      <c r="JBA103" s="4"/>
      <c r="JBB103" s="4"/>
      <c r="JBC103" s="4"/>
      <c r="JBD103" s="4"/>
      <c r="JBE103" s="4"/>
      <c r="JBF103" s="4"/>
      <c r="JBG103" s="4"/>
      <c r="JBH103" s="4"/>
      <c r="JBI103" s="4"/>
      <c r="JBJ103" s="4"/>
      <c r="JBK103" s="4"/>
      <c r="JBL103" s="4"/>
      <c r="JBM103" s="4"/>
      <c r="JBN103" s="4"/>
      <c r="JBO103" s="4"/>
      <c r="JBP103" s="4"/>
      <c r="JBQ103" s="4"/>
      <c r="JBR103" s="4"/>
      <c r="JBS103" s="4"/>
      <c r="JBT103" s="4"/>
      <c r="JBU103" s="4"/>
      <c r="JBV103" s="4"/>
      <c r="JBW103" s="4"/>
      <c r="JBX103" s="4"/>
      <c r="JBY103" s="4"/>
      <c r="JBZ103" s="4"/>
      <c r="JCA103" s="4"/>
      <c r="JCB103" s="4"/>
      <c r="JCC103" s="4"/>
      <c r="JCD103" s="4"/>
      <c r="JCE103" s="4"/>
      <c r="JCF103" s="4"/>
      <c r="JCG103" s="4"/>
      <c r="JCH103" s="4"/>
      <c r="JCI103" s="4"/>
      <c r="JCJ103" s="4"/>
      <c r="JCK103" s="4"/>
      <c r="JCL103" s="4"/>
      <c r="JCM103" s="4"/>
      <c r="JCN103" s="4"/>
      <c r="JCO103" s="4"/>
      <c r="JCP103" s="4"/>
      <c r="JCQ103" s="4"/>
      <c r="JCR103" s="4"/>
      <c r="JCS103" s="4"/>
      <c r="JCT103" s="4"/>
      <c r="JCU103" s="4"/>
      <c r="JCV103" s="4"/>
      <c r="JCW103" s="4"/>
      <c r="JCX103" s="4"/>
      <c r="JCY103" s="4"/>
      <c r="JCZ103" s="4"/>
      <c r="JDA103" s="4"/>
      <c r="JDB103" s="4"/>
      <c r="JDC103" s="4"/>
      <c r="JDD103" s="4"/>
      <c r="JDE103" s="4"/>
      <c r="JDF103" s="4"/>
      <c r="JDG103" s="4"/>
      <c r="JDH103" s="4"/>
      <c r="JDI103" s="4"/>
      <c r="JDJ103" s="4"/>
      <c r="JDK103" s="4"/>
      <c r="JDL103" s="4"/>
      <c r="JDM103" s="4"/>
      <c r="JDN103" s="4"/>
      <c r="JDO103" s="4"/>
      <c r="JDP103" s="4"/>
      <c r="JDQ103" s="4"/>
      <c r="JDR103" s="4"/>
      <c r="JDS103" s="4"/>
      <c r="JDT103" s="4"/>
      <c r="JDU103" s="4"/>
      <c r="JDV103" s="4"/>
      <c r="JDW103" s="4"/>
      <c r="JDX103" s="4"/>
      <c r="JDY103" s="4"/>
      <c r="JDZ103" s="4"/>
      <c r="JEA103" s="4"/>
      <c r="JEB103" s="4"/>
      <c r="JEC103" s="4"/>
      <c r="JED103" s="4"/>
      <c r="JEE103" s="4"/>
      <c r="JEF103" s="4"/>
      <c r="JEG103" s="4"/>
      <c r="JEH103" s="4"/>
      <c r="JEI103" s="4"/>
      <c r="JEJ103" s="4"/>
      <c r="JEK103" s="4"/>
      <c r="JEL103" s="4"/>
      <c r="JEM103" s="4"/>
      <c r="JEN103" s="4"/>
      <c r="JEO103" s="4"/>
      <c r="JEP103" s="4"/>
      <c r="JEQ103" s="4"/>
      <c r="JER103" s="4"/>
      <c r="JES103" s="4"/>
      <c r="JET103" s="4"/>
      <c r="JEU103" s="4"/>
      <c r="JEV103" s="4"/>
      <c r="JEW103" s="4"/>
      <c r="JEX103" s="4"/>
      <c r="JEY103" s="4"/>
      <c r="JEZ103" s="4"/>
      <c r="JFA103" s="4"/>
      <c r="JFB103" s="4"/>
      <c r="JFC103" s="4"/>
      <c r="JFD103" s="4"/>
      <c r="JFE103" s="4"/>
      <c r="JFF103" s="4"/>
      <c r="JFG103" s="4"/>
      <c r="JFH103" s="4"/>
      <c r="JFI103" s="4"/>
      <c r="JFJ103" s="4"/>
      <c r="JFK103" s="4"/>
      <c r="JFL103" s="4"/>
      <c r="JFM103" s="4"/>
      <c r="JFN103" s="4"/>
      <c r="JFO103" s="4"/>
      <c r="JFP103" s="4"/>
      <c r="JFQ103" s="4"/>
      <c r="JFR103" s="4"/>
      <c r="JFS103" s="4"/>
      <c r="JFT103" s="4"/>
      <c r="JFU103" s="4"/>
      <c r="JFV103" s="4"/>
      <c r="JFW103" s="4"/>
      <c r="JFX103" s="4"/>
      <c r="JFY103" s="4"/>
      <c r="JFZ103" s="4"/>
      <c r="JGA103" s="4"/>
      <c r="JGB103" s="4"/>
      <c r="JGC103" s="4"/>
      <c r="JGD103" s="4"/>
      <c r="JGE103" s="4"/>
      <c r="JGF103" s="4"/>
      <c r="JGG103" s="4"/>
      <c r="JGH103" s="4"/>
      <c r="JGI103" s="4"/>
      <c r="JGJ103" s="4"/>
      <c r="JGK103" s="4"/>
      <c r="JGL103" s="4"/>
      <c r="JGM103" s="4"/>
      <c r="JGN103" s="4"/>
      <c r="JGO103" s="4"/>
      <c r="JGP103" s="4"/>
      <c r="JGQ103" s="4"/>
      <c r="JGR103" s="4"/>
      <c r="JGS103" s="4"/>
      <c r="JGT103" s="4"/>
      <c r="JGU103" s="4"/>
      <c r="JGV103" s="4"/>
      <c r="JGW103" s="4"/>
      <c r="JGX103" s="4"/>
      <c r="JGY103" s="4"/>
      <c r="JGZ103" s="4"/>
      <c r="JHA103" s="4"/>
      <c r="JHB103" s="4"/>
      <c r="JHC103" s="4"/>
      <c r="JHD103" s="4"/>
      <c r="JHE103" s="4"/>
      <c r="JHF103" s="4"/>
      <c r="JHG103" s="4"/>
      <c r="JHH103" s="4"/>
      <c r="JHI103" s="4"/>
      <c r="JHJ103" s="4"/>
      <c r="JHK103" s="4"/>
      <c r="JHL103" s="4"/>
      <c r="JHM103" s="4"/>
      <c r="JHN103" s="4"/>
      <c r="JHO103" s="4"/>
      <c r="JHP103" s="4"/>
      <c r="JHQ103" s="4"/>
      <c r="JHR103" s="4"/>
      <c r="JHS103" s="4"/>
      <c r="JHT103" s="4"/>
      <c r="JHU103" s="4"/>
      <c r="JHV103" s="4"/>
      <c r="JHW103" s="4"/>
      <c r="JHX103" s="4"/>
      <c r="JHY103" s="4"/>
      <c r="JHZ103" s="4"/>
      <c r="JIA103" s="4"/>
      <c r="JIB103" s="4"/>
      <c r="JIC103" s="4"/>
      <c r="JID103" s="4"/>
      <c r="JIE103" s="4"/>
      <c r="JIF103" s="4"/>
      <c r="JIG103" s="4"/>
      <c r="JIH103" s="4"/>
      <c r="JII103" s="4"/>
      <c r="JIJ103" s="4"/>
      <c r="JIK103" s="4"/>
      <c r="JIL103" s="4"/>
      <c r="JIM103" s="4"/>
      <c r="JIN103" s="4"/>
      <c r="JIO103" s="4"/>
      <c r="JIP103" s="4"/>
      <c r="JIQ103" s="4"/>
      <c r="JIR103" s="4"/>
      <c r="JIS103" s="4"/>
      <c r="JIT103" s="4"/>
      <c r="JIU103" s="4"/>
      <c r="JIV103" s="4"/>
      <c r="JIW103" s="4"/>
      <c r="JIX103" s="4"/>
      <c r="JIY103" s="4"/>
      <c r="JIZ103" s="4"/>
      <c r="JJA103" s="4"/>
      <c r="JJB103" s="4"/>
      <c r="JJC103" s="4"/>
      <c r="JJD103" s="4"/>
      <c r="JJE103" s="4"/>
      <c r="JJF103" s="4"/>
      <c r="JJG103" s="4"/>
      <c r="JJH103" s="4"/>
      <c r="JJI103" s="4"/>
      <c r="JJJ103" s="4"/>
      <c r="JJK103" s="4"/>
      <c r="JJL103" s="4"/>
      <c r="JJM103" s="4"/>
      <c r="JJN103" s="4"/>
      <c r="JJO103" s="4"/>
      <c r="JJP103" s="4"/>
      <c r="JJQ103" s="4"/>
      <c r="JJR103" s="4"/>
      <c r="JJS103" s="4"/>
      <c r="JJT103" s="4"/>
      <c r="JJU103" s="4"/>
      <c r="JJV103" s="4"/>
      <c r="JJW103" s="4"/>
      <c r="JJX103" s="4"/>
      <c r="JJY103" s="4"/>
      <c r="JJZ103" s="4"/>
      <c r="JKA103" s="4"/>
      <c r="JKB103" s="4"/>
      <c r="JKC103" s="4"/>
      <c r="JKD103" s="4"/>
      <c r="JKE103" s="4"/>
      <c r="JKF103" s="4"/>
      <c r="JKG103" s="4"/>
      <c r="JKH103" s="4"/>
      <c r="JKI103" s="4"/>
      <c r="JKJ103" s="4"/>
      <c r="JKK103" s="4"/>
      <c r="JKL103" s="4"/>
      <c r="JKM103" s="4"/>
      <c r="JKN103" s="4"/>
      <c r="JKO103" s="4"/>
      <c r="JKP103" s="4"/>
      <c r="JKQ103" s="4"/>
      <c r="JKR103" s="4"/>
      <c r="JKS103" s="4"/>
      <c r="JKT103" s="4"/>
      <c r="JKU103" s="4"/>
      <c r="JKV103" s="4"/>
      <c r="JKW103" s="4"/>
      <c r="JKX103" s="4"/>
      <c r="JKY103" s="4"/>
      <c r="JKZ103" s="4"/>
      <c r="JLA103" s="4"/>
      <c r="JLB103" s="4"/>
      <c r="JLC103" s="4"/>
      <c r="JLD103" s="4"/>
      <c r="JLE103" s="4"/>
      <c r="JLF103" s="4"/>
      <c r="JLG103" s="4"/>
      <c r="JLH103" s="4"/>
      <c r="JLI103" s="4"/>
      <c r="JLJ103" s="4"/>
      <c r="JLK103" s="4"/>
      <c r="JLL103" s="4"/>
      <c r="JLM103" s="4"/>
      <c r="JLN103" s="4"/>
      <c r="JLO103" s="4"/>
      <c r="JLP103" s="4"/>
      <c r="JLQ103" s="4"/>
      <c r="JLR103" s="4"/>
      <c r="JLS103" s="4"/>
      <c r="JLT103" s="4"/>
      <c r="JLU103" s="4"/>
      <c r="JLV103" s="4"/>
      <c r="JLW103" s="4"/>
      <c r="JLX103" s="4"/>
      <c r="JLY103" s="4"/>
      <c r="JLZ103" s="4"/>
      <c r="JMA103" s="4"/>
      <c r="JMB103" s="4"/>
      <c r="JMC103" s="4"/>
      <c r="JMD103" s="4"/>
      <c r="JME103" s="4"/>
      <c r="JMF103" s="4"/>
      <c r="JMG103" s="4"/>
      <c r="JMH103" s="4"/>
      <c r="JMI103" s="4"/>
      <c r="JMJ103" s="4"/>
      <c r="JMK103" s="4"/>
      <c r="JML103" s="4"/>
      <c r="JMM103" s="4"/>
      <c r="JMN103" s="4"/>
      <c r="JMO103" s="4"/>
      <c r="JMP103" s="4"/>
      <c r="JMQ103" s="4"/>
      <c r="JMR103" s="4"/>
      <c r="JMS103" s="4"/>
      <c r="JMT103" s="4"/>
      <c r="JMU103" s="4"/>
      <c r="JMV103" s="4"/>
      <c r="JMW103" s="4"/>
      <c r="JMX103" s="4"/>
      <c r="JMY103" s="4"/>
      <c r="JMZ103" s="4"/>
      <c r="JNA103" s="4"/>
      <c r="JNB103" s="4"/>
      <c r="JNC103" s="4"/>
      <c r="JND103" s="4"/>
      <c r="JNE103" s="4"/>
      <c r="JNF103" s="4"/>
      <c r="JNG103" s="4"/>
      <c r="JNH103" s="4"/>
      <c r="JNI103" s="4"/>
      <c r="JNJ103" s="4"/>
      <c r="JNK103" s="4"/>
      <c r="JNL103" s="4"/>
      <c r="JNM103" s="4"/>
      <c r="JNN103" s="4"/>
      <c r="JNO103" s="4"/>
      <c r="JNP103" s="4"/>
      <c r="JNQ103" s="4"/>
      <c r="JNR103" s="4"/>
      <c r="JNS103" s="4"/>
      <c r="JNT103" s="4"/>
      <c r="JNU103" s="4"/>
      <c r="JNV103" s="4"/>
      <c r="JNW103" s="4"/>
      <c r="JNX103" s="4"/>
      <c r="JNY103" s="4"/>
      <c r="JNZ103" s="4"/>
      <c r="JOA103" s="4"/>
      <c r="JOB103" s="4"/>
      <c r="JOC103" s="4"/>
      <c r="JOD103" s="4"/>
      <c r="JOE103" s="4"/>
      <c r="JOF103" s="4"/>
      <c r="JOG103" s="4"/>
      <c r="JOH103" s="4"/>
      <c r="JOI103" s="4"/>
      <c r="JOJ103" s="4"/>
      <c r="JOK103" s="4"/>
      <c r="JOL103" s="4"/>
      <c r="JOM103" s="4"/>
      <c r="JON103" s="4"/>
      <c r="JOO103" s="4"/>
      <c r="JOP103" s="4"/>
      <c r="JOQ103" s="4"/>
      <c r="JOR103" s="4"/>
      <c r="JOS103" s="4"/>
      <c r="JOT103" s="4"/>
      <c r="JOU103" s="4"/>
      <c r="JOV103" s="4"/>
      <c r="JOW103" s="4"/>
      <c r="JOX103" s="4"/>
      <c r="JOY103" s="4"/>
      <c r="JOZ103" s="4"/>
      <c r="JPA103" s="4"/>
      <c r="JPB103" s="4"/>
      <c r="JPC103" s="4"/>
      <c r="JPD103" s="4"/>
      <c r="JPE103" s="4"/>
      <c r="JPF103" s="4"/>
      <c r="JPG103" s="4"/>
      <c r="JPH103" s="4"/>
      <c r="JPI103" s="4"/>
      <c r="JPJ103" s="4"/>
      <c r="JPK103" s="4"/>
      <c r="JPL103" s="4"/>
      <c r="JPM103" s="4"/>
      <c r="JPN103" s="4"/>
      <c r="JPO103" s="4"/>
      <c r="JPP103" s="4"/>
      <c r="JPQ103" s="4"/>
      <c r="JPR103" s="4"/>
      <c r="JPS103" s="4"/>
      <c r="JPT103" s="4"/>
      <c r="JPU103" s="4"/>
      <c r="JPV103" s="4"/>
      <c r="JPW103" s="4"/>
      <c r="JPX103" s="4"/>
      <c r="JPY103" s="4"/>
      <c r="JPZ103" s="4"/>
      <c r="JQA103" s="4"/>
      <c r="JQB103" s="4"/>
      <c r="JQC103" s="4"/>
      <c r="JQD103" s="4"/>
      <c r="JQE103" s="4"/>
      <c r="JQF103" s="4"/>
      <c r="JQG103" s="4"/>
      <c r="JQH103" s="4"/>
      <c r="JQI103" s="4"/>
      <c r="JQJ103" s="4"/>
      <c r="JQK103" s="4"/>
      <c r="JQL103" s="4"/>
      <c r="JQM103" s="4"/>
      <c r="JQN103" s="4"/>
      <c r="JQO103" s="4"/>
      <c r="JQP103" s="4"/>
      <c r="JQQ103" s="4"/>
      <c r="JQR103" s="4"/>
      <c r="JQS103" s="4"/>
      <c r="JQT103" s="4"/>
      <c r="JQU103" s="4"/>
      <c r="JQV103" s="4"/>
      <c r="JQW103" s="4"/>
      <c r="JQX103" s="4"/>
      <c r="JQY103" s="4"/>
      <c r="JQZ103" s="4"/>
      <c r="JRA103" s="4"/>
      <c r="JRB103" s="4"/>
      <c r="JRC103" s="4"/>
      <c r="JRD103" s="4"/>
      <c r="JRE103" s="4"/>
      <c r="JRF103" s="4"/>
      <c r="JRG103" s="4"/>
      <c r="JRH103" s="4"/>
      <c r="JRI103" s="4"/>
      <c r="JRJ103" s="4"/>
      <c r="JRK103" s="4"/>
      <c r="JRL103" s="4"/>
      <c r="JRM103" s="4"/>
      <c r="JRN103" s="4"/>
      <c r="JRO103" s="4"/>
      <c r="JRP103" s="4"/>
      <c r="JRQ103" s="4"/>
      <c r="JRR103" s="4"/>
      <c r="JRS103" s="4"/>
      <c r="JRT103" s="4"/>
      <c r="JRU103" s="4"/>
      <c r="JRV103" s="4"/>
      <c r="JRW103" s="4"/>
      <c r="JRX103" s="4"/>
      <c r="JRY103" s="4"/>
      <c r="JRZ103" s="4"/>
      <c r="JSA103" s="4"/>
      <c r="JSB103" s="4"/>
      <c r="JSC103" s="4"/>
      <c r="JSD103" s="4"/>
      <c r="JSE103" s="4"/>
      <c r="JSF103" s="4"/>
      <c r="JSG103" s="4"/>
      <c r="JSH103" s="4"/>
      <c r="JSI103" s="4"/>
      <c r="JSJ103" s="4"/>
      <c r="JSK103" s="4"/>
      <c r="JSL103" s="4"/>
      <c r="JSM103" s="4"/>
      <c r="JSN103" s="4"/>
      <c r="JSO103" s="4"/>
      <c r="JSP103" s="4"/>
      <c r="JSQ103" s="4"/>
      <c r="JSR103" s="4"/>
      <c r="JSS103" s="4"/>
      <c r="JST103" s="4"/>
      <c r="JSU103" s="4"/>
      <c r="JSV103" s="4"/>
      <c r="JSW103" s="4"/>
      <c r="JSX103" s="4"/>
      <c r="JSY103" s="4"/>
      <c r="JSZ103" s="4"/>
      <c r="JTA103" s="4"/>
      <c r="JTB103" s="4"/>
      <c r="JTC103" s="4"/>
      <c r="JTD103" s="4"/>
      <c r="JTE103" s="4"/>
      <c r="JTF103" s="4"/>
      <c r="JTG103" s="4"/>
      <c r="JTH103" s="4"/>
      <c r="JTI103" s="4"/>
      <c r="JTJ103" s="4"/>
      <c r="JTK103" s="4"/>
      <c r="JTL103" s="4"/>
      <c r="JTM103" s="4"/>
      <c r="JTN103" s="4"/>
      <c r="JTO103" s="4"/>
      <c r="JTP103" s="4"/>
      <c r="JTQ103" s="4"/>
      <c r="JTR103" s="4"/>
      <c r="JTS103" s="4"/>
      <c r="JTT103" s="4"/>
      <c r="JTU103" s="4"/>
      <c r="JTV103" s="4"/>
      <c r="JTW103" s="4"/>
      <c r="JTX103" s="4"/>
      <c r="JTY103" s="4"/>
      <c r="JTZ103" s="4"/>
      <c r="JUA103" s="4"/>
      <c r="JUB103" s="4"/>
      <c r="JUC103" s="4"/>
      <c r="JUD103" s="4"/>
      <c r="JUE103" s="4"/>
      <c r="JUF103" s="4"/>
      <c r="JUG103" s="4"/>
      <c r="JUH103" s="4"/>
      <c r="JUI103" s="4"/>
      <c r="JUJ103" s="4"/>
      <c r="JUK103" s="4"/>
      <c r="JUL103" s="4"/>
      <c r="JUM103" s="4"/>
      <c r="JUN103" s="4"/>
      <c r="JUO103" s="4"/>
      <c r="JUP103" s="4"/>
      <c r="JUQ103" s="4"/>
      <c r="JUR103" s="4"/>
      <c r="JUS103" s="4"/>
      <c r="JUT103" s="4"/>
      <c r="JUU103" s="4"/>
      <c r="JUV103" s="4"/>
      <c r="JUW103" s="4"/>
      <c r="JUX103" s="4"/>
      <c r="JUY103" s="4"/>
      <c r="JUZ103" s="4"/>
      <c r="JVA103" s="4"/>
      <c r="JVB103" s="4"/>
      <c r="JVC103" s="4"/>
      <c r="JVD103" s="4"/>
      <c r="JVE103" s="4"/>
      <c r="JVF103" s="4"/>
      <c r="JVG103" s="4"/>
      <c r="JVH103" s="4"/>
      <c r="JVI103" s="4"/>
      <c r="JVJ103" s="4"/>
      <c r="JVK103" s="4"/>
      <c r="JVL103" s="4"/>
      <c r="JVM103" s="4"/>
      <c r="JVN103" s="4"/>
      <c r="JVO103" s="4"/>
      <c r="JVP103" s="4"/>
      <c r="JVQ103" s="4"/>
      <c r="JVR103" s="4"/>
      <c r="JVS103" s="4"/>
      <c r="JVT103" s="4"/>
      <c r="JVU103" s="4"/>
      <c r="JVV103" s="4"/>
      <c r="JVW103" s="4"/>
      <c r="JVX103" s="4"/>
      <c r="JVY103" s="4"/>
      <c r="JVZ103" s="4"/>
      <c r="JWA103" s="4"/>
      <c r="JWB103" s="4"/>
      <c r="JWC103" s="4"/>
      <c r="JWD103" s="4"/>
      <c r="JWE103" s="4"/>
      <c r="JWF103" s="4"/>
      <c r="JWG103" s="4"/>
      <c r="JWH103" s="4"/>
      <c r="JWI103" s="4"/>
      <c r="JWJ103" s="4"/>
      <c r="JWK103" s="4"/>
      <c r="JWL103" s="4"/>
      <c r="JWM103" s="4"/>
      <c r="JWN103" s="4"/>
      <c r="JWO103" s="4"/>
      <c r="JWP103" s="4"/>
      <c r="JWQ103" s="4"/>
      <c r="JWR103" s="4"/>
      <c r="JWS103" s="4"/>
      <c r="JWT103" s="4"/>
      <c r="JWU103" s="4"/>
      <c r="JWV103" s="4"/>
      <c r="JWW103" s="4"/>
      <c r="JWX103" s="4"/>
      <c r="JWY103" s="4"/>
      <c r="JWZ103" s="4"/>
      <c r="JXA103" s="4"/>
      <c r="JXB103" s="4"/>
      <c r="JXC103" s="4"/>
      <c r="JXD103" s="4"/>
      <c r="JXE103" s="4"/>
      <c r="JXF103" s="4"/>
      <c r="JXG103" s="4"/>
      <c r="JXH103" s="4"/>
      <c r="JXI103" s="4"/>
      <c r="JXJ103" s="4"/>
      <c r="JXK103" s="4"/>
      <c r="JXL103" s="4"/>
      <c r="JXM103" s="4"/>
      <c r="JXN103" s="4"/>
      <c r="JXO103" s="4"/>
      <c r="JXP103" s="4"/>
      <c r="JXQ103" s="4"/>
      <c r="JXR103" s="4"/>
      <c r="JXS103" s="4"/>
      <c r="JXT103" s="4"/>
      <c r="JXU103" s="4"/>
      <c r="JXV103" s="4"/>
      <c r="JXW103" s="4"/>
      <c r="JXX103" s="4"/>
      <c r="JXY103" s="4"/>
      <c r="JXZ103" s="4"/>
      <c r="JYA103" s="4"/>
      <c r="JYB103" s="4"/>
      <c r="JYC103" s="4"/>
      <c r="JYD103" s="4"/>
      <c r="JYE103" s="4"/>
      <c r="JYF103" s="4"/>
      <c r="JYG103" s="4"/>
      <c r="JYH103" s="4"/>
      <c r="JYI103" s="4"/>
      <c r="JYJ103" s="4"/>
      <c r="JYK103" s="4"/>
      <c r="JYL103" s="4"/>
      <c r="JYM103" s="4"/>
      <c r="JYN103" s="4"/>
      <c r="JYO103" s="4"/>
      <c r="JYP103" s="4"/>
      <c r="JYQ103" s="4"/>
      <c r="JYR103" s="4"/>
      <c r="JYS103" s="4"/>
      <c r="JYT103" s="4"/>
      <c r="JYU103" s="4"/>
      <c r="JYV103" s="4"/>
      <c r="JYW103" s="4"/>
      <c r="JYX103" s="4"/>
      <c r="JYY103" s="4"/>
      <c r="JYZ103" s="4"/>
      <c r="JZA103" s="4"/>
      <c r="JZB103" s="4"/>
      <c r="JZC103" s="4"/>
      <c r="JZD103" s="4"/>
      <c r="JZE103" s="4"/>
      <c r="JZF103" s="4"/>
      <c r="JZG103" s="4"/>
      <c r="JZH103" s="4"/>
      <c r="JZI103" s="4"/>
      <c r="JZJ103" s="4"/>
      <c r="JZK103" s="4"/>
      <c r="JZL103" s="4"/>
      <c r="JZM103" s="4"/>
      <c r="JZN103" s="4"/>
      <c r="JZO103" s="4"/>
      <c r="JZP103" s="4"/>
      <c r="JZQ103" s="4"/>
      <c r="JZR103" s="4"/>
      <c r="JZS103" s="4"/>
      <c r="JZT103" s="4"/>
      <c r="JZU103" s="4"/>
      <c r="JZV103" s="4"/>
      <c r="JZW103" s="4"/>
      <c r="JZX103" s="4"/>
      <c r="JZY103" s="4"/>
      <c r="JZZ103" s="4"/>
      <c r="KAA103" s="4"/>
      <c r="KAB103" s="4"/>
      <c r="KAC103" s="4"/>
      <c r="KAD103" s="4"/>
      <c r="KAE103" s="4"/>
      <c r="KAF103" s="4"/>
      <c r="KAG103" s="4"/>
      <c r="KAH103" s="4"/>
      <c r="KAI103" s="4"/>
      <c r="KAJ103" s="4"/>
      <c r="KAK103" s="4"/>
      <c r="KAL103" s="4"/>
      <c r="KAM103" s="4"/>
      <c r="KAN103" s="4"/>
      <c r="KAO103" s="4"/>
      <c r="KAP103" s="4"/>
      <c r="KAQ103" s="4"/>
      <c r="KAR103" s="4"/>
      <c r="KAS103" s="4"/>
      <c r="KAT103" s="4"/>
      <c r="KAU103" s="4"/>
      <c r="KAV103" s="4"/>
      <c r="KAW103" s="4"/>
      <c r="KAX103" s="4"/>
      <c r="KAY103" s="4"/>
      <c r="KAZ103" s="4"/>
      <c r="KBA103" s="4"/>
      <c r="KBB103" s="4"/>
      <c r="KBC103" s="4"/>
      <c r="KBD103" s="4"/>
      <c r="KBE103" s="4"/>
      <c r="KBF103" s="4"/>
      <c r="KBG103" s="4"/>
      <c r="KBH103" s="4"/>
      <c r="KBI103" s="4"/>
      <c r="KBJ103" s="4"/>
      <c r="KBK103" s="4"/>
      <c r="KBL103" s="4"/>
      <c r="KBM103" s="4"/>
      <c r="KBN103" s="4"/>
      <c r="KBO103" s="4"/>
      <c r="KBP103" s="4"/>
      <c r="KBQ103" s="4"/>
      <c r="KBR103" s="4"/>
      <c r="KBS103" s="4"/>
      <c r="KBT103" s="4"/>
      <c r="KBU103" s="4"/>
      <c r="KBV103" s="4"/>
      <c r="KBW103" s="4"/>
      <c r="KBX103" s="4"/>
      <c r="KBY103" s="4"/>
      <c r="KBZ103" s="4"/>
      <c r="KCA103" s="4"/>
      <c r="KCB103" s="4"/>
      <c r="KCC103" s="4"/>
      <c r="KCD103" s="4"/>
      <c r="KCE103" s="4"/>
      <c r="KCF103" s="4"/>
      <c r="KCG103" s="4"/>
      <c r="KCH103" s="4"/>
      <c r="KCI103" s="4"/>
      <c r="KCJ103" s="4"/>
      <c r="KCK103" s="4"/>
      <c r="KCL103" s="4"/>
      <c r="KCM103" s="4"/>
      <c r="KCN103" s="4"/>
      <c r="KCO103" s="4"/>
      <c r="KCP103" s="4"/>
      <c r="KCQ103" s="4"/>
      <c r="KCR103" s="4"/>
      <c r="KCS103" s="4"/>
      <c r="KCT103" s="4"/>
      <c r="KCU103" s="4"/>
      <c r="KCV103" s="4"/>
      <c r="KCW103" s="4"/>
      <c r="KCX103" s="4"/>
      <c r="KCY103" s="4"/>
      <c r="KCZ103" s="4"/>
      <c r="KDA103" s="4"/>
      <c r="KDB103" s="4"/>
      <c r="KDC103" s="4"/>
      <c r="KDD103" s="4"/>
      <c r="KDE103" s="4"/>
      <c r="KDF103" s="4"/>
      <c r="KDG103" s="4"/>
      <c r="KDH103" s="4"/>
      <c r="KDI103" s="4"/>
      <c r="KDJ103" s="4"/>
      <c r="KDK103" s="4"/>
      <c r="KDL103" s="4"/>
      <c r="KDM103" s="4"/>
      <c r="KDN103" s="4"/>
      <c r="KDO103" s="4"/>
      <c r="KDP103" s="4"/>
      <c r="KDQ103" s="4"/>
      <c r="KDR103" s="4"/>
      <c r="KDS103" s="4"/>
      <c r="KDT103" s="4"/>
      <c r="KDU103" s="4"/>
      <c r="KDV103" s="4"/>
      <c r="KDW103" s="4"/>
      <c r="KDX103" s="4"/>
      <c r="KDY103" s="4"/>
      <c r="KDZ103" s="4"/>
      <c r="KEA103" s="4"/>
      <c r="KEB103" s="4"/>
      <c r="KEC103" s="4"/>
      <c r="KED103" s="4"/>
      <c r="KEE103" s="4"/>
      <c r="KEF103" s="4"/>
      <c r="KEG103" s="4"/>
      <c r="KEH103" s="4"/>
      <c r="KEI103" s="4"/>
      <c r="KEJ103" s="4"/>
      <c r="KEK103" s="4"/>
      <c r="KEL103" s="4"/>
      <c r="KEM103" s="4"/>
      <c r="KEN103" s="4"/>
      <c r="KEO103" s="4"/>
      <c r="KEP103" s="4"/>
      <c r="KEQ103" s="4"/>
      <c r="KER103" s="4"/>
      <c r="KES103" s="4"/>
      <c r="KET103" s="4"/>
      <c r="KEU103" s="4"/>
      <c r="KEV103" s="4"/>
      <c r="KEW103" s="4"/>
      <c r="KEX103" s="4"/>
      <c r="KEY103" s="4"/>
      <c r="KEZ103" s="4"/>
      <c r="KFA103" s="4"/>
      <c r="KFB103" s="4"/>
      <c r="KFC103" s="4"/>
      <c r="KFD103" s="4"/>
      <c r="KFE103" s="4"/>
      <c r="KFF103" s="4"/>
      <c r="KFG103" s="4"/>
      <c r="KFH103" s="4"/>
      <c r="KFI103" s="4"/>
      <c r="KFJ103" s="4"/>
      <c r="KFK103" s="4"/>
      <c r="KFL103" s="4"/>
      <c r="KFM103" s="4"/>
      <c r="KFN103" s="4"/>
      <c r="KFO103" s="4"/>
      <c r="KFP103" s="4"/>
      <c r="KFQ103" s="4"/>
      <c r="KFR103" s="4"/>
      <c r="KFS103" s="4"/>
      <c r="KFT103" s="4"/>
      <c r="KFU103" s="4"/>
      <c r="KFV103" s="4"/>
      <c r="KFW103" s="4"/>
      <c r="KFX103" s="4"/>
      <c r="KFY103" s="4"/>
      <c r="KFZ103" s="4"/>
      <c r="KGA103" s="4"/>
      <c r="KGB103" s="4"/>
      <c r="KGC103" s="4"/>
      <c r="KGD103" s="4"/>
      <c r="KGE103" s="4"/>
      <c r="KGF103" s="4"/>
      <c r="KGG103" s="4"/>
      <c r="KGH103" s="4"/>
      <c r="KGI103" s="4"/>
      <c r="KGJ103" s="4"/>
      <c r="KGK103" s="4"/>
      <c r="KGL103" s="4"/>
      <c r="KGM103" s="4"/>
      <c r="KGN103" s="4"/>
      <c r="KGO103" s="4"/>
      <c r="KGP103" s="4"/>
      <c r="KGQ103" s="4"/>
      <c r="KGR103" s="4"/>
      <c r="KGS103" s="4"/>
      <c r="KGT103" s="4"/>
      <c r="KGU103" s="4"/>
      <c r="KGV103" s="4"/>
      <c r="KGW103" s="4"/>
      <c r="KGX103" s="4"/>
      <c r="KGY103" s="4"/>
      <c r="KGZ103" s="4"/>
      <c r="KHA103" s="4"/>
      <c r="KHB103" s="4"/>
      <c r="KHC103" s="4"/>
      <c r="KHD103" s="4"/>
      <c r="KHE103" s="4"/>
      <c r="KHF103" s="4"/>
      <c r="KHG103" s="4"/>
      <c r="KHH103" s="4"/>
      <c r="KHI103" s="4"/>
      <c r="KHJ103" s="4"/>
      <c r="KHK103" s="4"/>
      <c r="KHL103" s="4"/>
      <c r="KHM103" s="4"/>
      <c r="KHN103" s="4"/>
      <c r="KHO103" s="4"/>
      <c r="KHP103" s="4"/>
      <c r="KHQ103" s="4"/>
      <c r="KHR103" s="4"/>
      <c r="KHS103" s="4"/>
      <c r="KHT103" s="4"/>
      <c r="KHU103" s="4"/>
      <c r="KHV103" s="4"/>
      <c r="KHW103" s="4"/>
      <c r="KHX103" s="4"/>
      <c r="KHY103" s="4"/>
      <c r="KHZ103" s="4"/>
      <c r="KIA103" s="4"/>
      <c r="KIB103" s="4"/>
      <c r="KIC103" s="4"/>
      <c r="KID103" s="4"/>
      <c r="KIE103" s="4"/>
      <c r="KIF103" s="4"/>
      <c r="KIG103" s="4"/>
      <c r="KIH103" s="4"/>
      <c r="KII103" s="4"/>
      <c r="KIJ103" s="4"/>
      <c r="KIK103" s="4"/>
      <c r="KIL103" s="4"/>
      <c r="KIM103" s="4"/>
      <c r="KIN103" s="4"/>
      <c r="KIO103" s="4"/>
      <c r="KIP103" s="4"/>
      <c r="KIQ103" s="4"/>
      <c r="KIR103" s="4"/>
      <c r="KIS103" s="4"/>
      <c r="KIT103" s="4"/>
      <c r="KIU103" s="4"/>
      <c r="KIV103" s="4"/>
      <c r="KIW103" s="4"/>
      <c r="KIX103" s="4"/>
      <c r="KIY103" s="4"/>
      <c r="KIZ103" s="4"/>
      <c r="KJA103" s="4"/>
      <c r="KJB103" s="4"/>
      <c r="KJC103" s="4"/>
      <c r="KJD103" s="4"/>
      <c r="KJE103" s="4"/>
      <c r="KJF103" s="4"/>
      <c r="KJG103" s="4"/>
      <c r="KJH103" s="4"/>
      <c r="KJI103" s="4"/>
      <c r="KJJ103" s="4"/>
      <c r="KJK103" s="4"/>
      <c r="KJL103" s="4"/>
      <c r="KJM103" s="4"/>
      <c r="KJN103" s="4"/>
      <c r="KJO103" s="4"/>
      <c r="KJP103" s="4"/>
      <c r="KJQ103" s="4"/>
      <c r="KJR103" s="4"/>
      <c r="KJS103" s="4"/>
      <c r="KJT103" s="4"/>
      <c r="KJU103" s="4"/>
      <c r="KJV103" s="4"/>
      <c r="KJW103" s="4"/>
      <c r="KJX103" s="4"/>
      <c r="KJY103" s="4"/>
      <c r="KJZ103" s="4"/>
      <c r="KKA103" s="4"/>
      <c r="KKB103" s="4"/>
      <c r="KKC103" s="4"/>
      <c r="KKD103" s="4"/>
      <c r="KKE103" s="4"/>
      <c r="KKF103" s="4"/>
      <c r="KKG103" s="4"/>
      <c r="KKH103" s="4"/>
      <c r="KKI103" s="4"/>
      <c r="KKJ103" s="4"/>
      <c r="KKK103" s="4"/>
      <c r="KKL103" s="4"/>
      <c r="KKM103" s="4"/>
      <c r="KKN103" s="4"/>
      <c r="KKO103" s="4"/>
      <c r="KKP103" s="4"/>
      <c r="KKQ103" s="4"/>
      <c r="KKR103" s="4"/>
      <c r="KKS103" s="4"/>
      <c r="KKT103" s="4"/>
      <c r="KKU103" s="4"/>
      <c r="KKV103" s="4"/>
      <c r="KKW103" s="4"/>
      <c r="KKX103" s="4"/>
      <c r="KKY103" s="4"/>
      <c r="KKZ103" s="4"/>
      <c r="KLA103" s="4"/>
      <c r="KLB103" s="4"/>
      <c r="KLC103" s="4"/>
      <c r="KLD103" s="4"/>
      <c r="KLE103" s="4"/>
      <c r="KLF103" s="4"/>
      <c r="KLG103" s="4"/>
      <c r="KLH103" s="4"/>
      <c r="KLI103" s="4"/>
      <c r="KLJ103" s="4"/>
      <c r="KLK103" s="4"/>
      <c r="KLL103" s="4"/>
      <c r="KLM103" s="4"/>
      <c r="KLN103" s="4"/>
      <c r="KLO103" s="4"/>
      <c r="KLP103" s="4"/>
      <c r="KLQ103" s="4"/>
      <c r="KLR103" s="4"/>
      <c r="KLS103" s="4"/>
      <c r="KLT103" s="4"/>
      <c r="KLU103" s="4"/>
      <c r="KLV103" s="4"/>
      <c r="KLW103" s="4"/>
      <c r="KLX103" s="4"/>
      <c r="KLY103" s="4"/>
      <c r="KLZ103" s="4"/>
      <c r="KMA103" s="4"/>
      <c r="KMB103" s="4"/>
      <c r="KMC103" s="4"/>
      <c r="KMD103" s="4"/>
      <c r="KME103" s="4"/>
      <c r="KMF103" s="4"/>
      <c r="KMG103" s="4"/>
      <c r="KMH103" s="4"/>
      <c r="KMI103" s="4"/>
      <c r="KMJ103" s="4"/>
      <c r="KMK103" s="4"/>
      <c r="KML103" s="4"/>
      <c r="KMM103" s="4"/>
      <c r="KMN103" s="4"/>
      <c r="KMO103" s="4"/>
      <c r="KMP103" s="4"/>
      <c r="KMQ103" s="4"/>
      <c r="KMR103" s="4"/>
      <c r="KMS103" s="4"/>
      <c r="KMT103" s="4"/>
      <c r="KMU103" s="4"/>
      <c r="KMV103" s="4"/>
      <c r="KMW103" s="4"/>
      <c r="KMX103" s="4"/>
      <c r="KMY103" s="4"/>
      <c r="KMZ103" s="4"/>
      <c r="KNA103" s="4"/>
      <c r="KNB103" s="4"/>
      <c r="KNC103" s="4"/>
      <c r="KND103" s="4"/>
      <c r="KNE103" s="4"/>
      <c r="KNF103" s="4"/>
      <c r="KNG103" s="4"/>
      <c r="KNH103" s="4"/>
      <c r="KNI103" s="4"/>
      <c r="KNJ103" s="4"/>
      <c r="KNK103" s="4"/>
      <c r="KNL103" s="4"/>
      <c r="KNM103" s="4"/>
      <c r="KNN103" s="4"/>
      <c r="KNO103" s="4"/>
      <c r="KNP103" s="4"/>
      <c r="KNQ103" s="4"/>
      <c r="KNR103" s="4"/>
      <c r="KNS103" s="4"/>
      <c r="KNT103" s="4"/>
      <c r="KNU103" s="4"/>
      <c r="KNV103" s="4"/>
      <c r="KNW103" s="4"/>
      <c r="KNX103" s="4"/>
      <c r="KNY103" s="4"/>
      <c r="KNZ103" s="4"/>
      <c r="KOA103" s="4"/>
      <c r="KOB103" s="4"/>
      <c r="KOC103" s="4"/>
      <c r="KOD103" s="4"/>
      <c r="KOE103" s="4"/>
      <c r="KOF103" s="4"/>
      <c r="KOG103" s="4"/>
      <c r="KOH103" s="4"/>
      <c r="KOI103" s="4"/>
      <c r="KOJ103" s="4"/>
      <c r="KOK103" s="4"/>
      <c r="KOL103" s="4"/>
      <c r="KOM103" s="4"/>
      <c r="KON103" s="4"/>
      <c r="KOO103" s="4"/>
      <c r="KOP103" s="4"/>
      <c r="KOQ103" s="4"/>
      <c r="KOR103" s="4"/>
      <c r="KOS103" s="4"/>
      <c r="KOT103" s="4"/>
      <c r="KOU103" s="4"/>
      <c r="KOV103" s="4"/>
      <c r="KOW103" s="4"/>
      <c r="KOX103" s="4"/>
      <c r="KOY103" s="4"/>
      <c r="KOZ103" s="4"/>
      <c r="KPA103" s="4"/>
      <c r="KPB103" s="4"/>
      <c r="KPC103" s="4"/>
      <c r="KPD103" s="4"/>
      <c r="KPE103" s="4"/>
      <c r="KPF103" s="4"/>
      <c r="KPG103" s="4"/>
      <c r="KPH103" s="4"/>
      <c r="KPI103" s="4"/>
      <c r="KPJ103" s="4"/>
      <c r="KPK103" s="4"/>
      <c r="KPL103" s="4"/>
      <c r="KPM103" s="4"/>
      <c r="KPN103" s="4"/>
      <c r="KPO103" s="4"/>
      <c r="KPP103" s="4"/>
      <c r="KPQ103" s="4"/>
      <c r="KPR103" s="4"/>
      <c r="KPS103" s="4"/>
      <c r="KPT103" s="4"/>
      <c r="KPU103" s="4"/>
      <c r="KPV103" s="4"/>
      <c r="KPW103" s="4"/>
      <c r="KPX103" s="4"/>
      <c r="KPY103" s="4"/>
      <c r="KPZ103" s="4"/>
      <c r="KQA103" s="4"/>
      <c r="KQB103" s="4"/>
      <c r="KQC103" s="4"/>
      <c r="KQD103" s="4"/>
      <c r="KQE103" s="4"/>
      <c r="KQF103" s="4"/>
      <c r="KQG103" s="4"/>
      <c r="KQH103" s="4"/>
      <c r="KQI103" s="4"/>
      <c r="KQJ103" s="4"/>
      <c r="KQK103" s="4"/>
      <c r="KQL103" s="4"/>
      <c r="KQM103" s="4"/>
      <c r="KQN103" s="4"/>
      <c r="KQO103" s="4"/>
      <c r="KQP103" s="4"/>
      <c r="KQQ103" s="4"/>
      <c r="KQR103" s="4"/>
      <c r="KQS103" s="4"/>
      <c r="KQT103" s="4"/>
      <c r="KQU103" s="4"/>
      <c r="KQV103" s="4"/>
      <c r="KQW103" s="4"/>
      <c r="KQX103" s="4"/>
      <c r="KQY103" s="4"/>
      <c r="KQZ103" s="4"/>
      <c r="KRA103" s="4"/>
      <c r="KRB103" s="4"/>
      <c r="KRC103" s="4"/>
      <c r="KRD103" s="4"/>
      <c r="KRE103" s="4"/>
      <c r="KRF103" s="4"/>
      <c r="KRG103" s="4"/>
      <c r="KRH103" s="4"/>
      <c r="KRI103" s="4"/>
      <c r="KRJ103" s="4"/>
      <c r="KRK103" s="4"/>
      <c r="KRL103" s="4"/>
      <c r="KRM103" s="4"/>
      <c r="KRN103" s="4"/>
      <c r="KRO103" s="4"/>
      <c r="KRP103" s="4"/>
      <c r="KRQ103" s="4"/>
      <c r="KRR103" s="4"/>
      <c r="KRS103" s="4"/>
      <c r="KRT103" s="4"/>
      <c r="KRU103" s="4"/>
      <c r="KRV103" s="4"/>
      <c r="KRW103" s="4"/>
      <c r="KRX103" s="4"/>
      <c r="KRY103" s="4"/>
      <c r="KRZ103" s="4"/>
      <c r="KSA103" s="4"/>
      <c r="KSB103" s="4"/>
      <c r="KSC103" s="4"/>
      <c r="KSD103" s="4"/>
      <c r="KSE103" s="4"/>
      <c r="KSF103" s="4"/>
      <c r="KSG103" s="4"/>
      <c r="KSH103" s="4"/>
      <c r="KSI103" s="4"/>
      <c r="KSJ103" s="4"/>
      <c r="KSK103" s="4"/>
      <c r="KSL103" s="4"/>
      <c r="KSM103" s="4"/>
      <c r="KSN103" s="4"/>
      <c r="KSO103" s="4"/>
      <c r="KSP103" s="4"/>
      <c r="KSQ103" s="4"/>
      <c r="KSR103" s="4"/>
      <c r="KSS103" s="4"/>
      <c r="KST103" s="4"/>
      <c r="KSU103" s="4"/>
      <c r="KSV103" s="4"/>
      <c r="KSW103" s="4"/>
      <c r="KSX103" s="4"/>
      <c r="KSY103" s="4"/>
      <c r="KSZ103" s="4"/>
      <c r="KTA103" s="4"/>
      <c r="KTB103" s="4"/>
      <c r="KTC103" s="4"/>
      <c r="KTD103" s="4"/>
      <c r="KTE103" s="4"/>
      <c r="KTF103" s="4"/>
      <c r="KTG103" s="4"/>
      <c r="KTH103" s="4"/>
      <c r="KTI103" s="4"/>
      <c r="KTJ103" s="4"/>
      <c r="KTK103" s="4"/>
      <c r="KTL103" s="4"/>
      <c r="KTM103" s="4"/>
      <c r="KTN103" s="4"/>
      <c r="KTO103" s="4"/>
      <c r="KTP103" s="4"/>
      <c r="KTQ103" s="4"/>
      <c r="KTR103" s="4"/>
      <c r="KTS103" s="4"/>
      <c r="KTT103" s="4"/>
      <c r="KTU103" s="4"/>
      <c r="KTV103" s="4"/>
      <c r="KTW103" s="4"/>
      <c r="KTX103" s="4"/>
      <c r="KTY103" s="4"/>
      <c r="KTZ103" s="4"/>
      <c r="KUA103" s="4"/>
      <c r="KUB103" s="4"/>
      <c r="KUC103" s="4"/>
      <c r="KUD103" s="4"/>
      <c r="KUE103" s="4"/>
      <c r="KUF103" s="4"/>
      <c r="KUG103" s="4"/>
      <c r="KUH103" s="4"/>
      <c r="KUI103" s="4"/>
      <c r="KUJ103" s="4"/>
      <c r="KUK103" s="4"/>
      <c r="KUL103" s="4"/>
      <c r="KUM103" s="4"/>
      <c r="KUN103" s="4"/>
      <c r="KUO103" s="4"/>
      <c r="KUP103" s="4"/>
      <c r="KUQ103" s="4"/>
      <c r="KUR103" s="4"/>
      <c r="KUS103" s="4"/>
      <c r="KUT103" s="4"/>
      <c r="KUU103" s="4"/>
      <c r="KUV103" s="4"/>
      <c r="KUW103" s="4"/>
      <c r="KUX103" s="4"/>
      <c r="KUY103" s="4"/>
      <c r="KUZ103" s="4"/>
      <c r="KVA103" s="4"/>
      <c r="KVB103" s="4"/>
      <c r="KVC103" s="4"/>
      <c r="KVD103" s="4"/>
      <c r="KVE103" s="4"/>
      <c r="KVF103" s="4"/>
      <c r="KVG103" s="4"/>
      <c r="KVH103" s="4"/>
      <c r="KVI103" s="4"/>
      <c r="KVJ103" s="4"/>
      <c r="KVK103" s="4"/>
      <c r="KVL103" s="4"/>
      <c r="KVM103" s="4"/>
      <c r="KVN103" s="4"/>
      <c r="KVO103" s="4"/>
      <c r="KVP103" s="4"/>
      <c r="KVQ103" s="4"/>
      <c r="KVR103" s="4"/>
      <c r="KVS103" s="4"/>
      <c r="KVT103" s="4"/>
      <c r="KVU103" s="4"/>
      <c r="KVV103" s="4"/>
      <c r="KVW103" s="4"/>
      <c r="KVX103" s="4"/>
      <c r="KVY103" s="4"/>
      <c r="KVZ103" s="4"/>
      <c r="KWA103" s="4"/>
      <c r="KWB103" s="4"/>
      <c r="KWC103" s="4"/>
      <c r="KWD103" s="4"/>
      <c r="KWE103" s="4"/>
      <c r="KWF103" s="4"/>
      <c r="KWG103" s="4"/>
      <c r="KWH103" s="4"/>
      <c r="KWI103" s="4"/>
      <c r="KWJ103" s="4"/>
      <c r="KWK103" s="4"/>
      <c r="KWL103" s="4"/>
      <c r="KWM103" s="4"/>
      <c r="KWN103" s="4"/>
      <c r="KWO103" s="4"/>
      <c r="KWP103" s="4"/>
      <c r="KWQ103" s="4"/>
      <c r="KWR103" s="4"/>
      <c r="KWS103" s="4"/>
      <c r="KWT103" s="4"/>
      <c r="KWU103" s="4"/>
      <c r="KWV103" s="4"/>
      <c r="KWW103" s="4"/>
      <c r="KWX103" s="4"/>
      <c r="KWY103" s="4"/>
      <c r="KWZ103" s="4"/>
      <c r="KXA103" s="4"/>
      <c r="KXB103" s="4"/>
      <c r="KXC103" s="4"/>
      <c r="KXD103" s="4"/>
      <c r="KXE103" s="4"/>
      <c r="KXF103" s="4"/>
      <c r="KXG103" s="4"/>
      <c r="KXH103" s="4"/>
      <c r="KXI103" s="4"/>
      <c r="KXJ103" s="4"/>
      <c r="KXK103" s="4"/>
      <c r="KXL103" s="4"/>
      <c r="KXM103" s="4"/>
      <c r="KXN103" s="4"/>
      <c r="KXO103" s="4"/>
      <c r="KXP103" s="4"/>
      <c r="KXQ103" s="4"/>
      <c r="KXR103" s="4"/>
      <c r="KXS103" s="4"/>
      <c r="KXT103" s="4"/>
      <c r="KXU103" s="4"/>
      <c r="KXV103" s="4"/>
      <c r="KXW103" s="4"/>
      <c r="KXX103" s="4"/>
      <c r="KXY103" s="4"/>
      <c r="KXZ103" s="4"/>
      <c r="KYA103" s="4"/>
      <c r="KYB103" s="4"/>
      <c r="KYC103" s="4"/>
      <c r="KYD103" s="4"/>
      <c r="KYE103" s="4"/>
      <c r="KYF103" s="4"/>
      <c r="KYG103" s="4"/>
      <c r="KYH103" s="4"/>
      <c r="KYI103" s="4"/>
      <c r="KYJ103" s="4"/>
      <c r="KYK103" s="4"/>
      <c r="KYL103" s="4"/>
      <c r="KYM103" s="4"/>
      <c r="KYN103" s="4"/>
      <c r="KYO103" s="4"/>
      <c r="KYP103" s="4"/>
      <c r="KYQ103" s="4"/>
      <c r="KYR103" s="4"/>
      <c r="KYS103" s="4"/>
      <c r="KYT103" s="4"/>
      <c r="KYU103" s="4"/>
      <c r="KYV103" s="4"/>
      <c r="KYW103" s="4"/>
      <c r="KYX103" s="4"/>
      <c r="KYY103" s="4"/>
      <c r="KYZ103" s="4"/>
      <c r="KZA103" s="4"/>
      <c r="KZB103" s="4"/>
      <c r="KZC103" s="4"/>
      <c r="KZD103" s="4"/>
      <c r="KZE103" s="4"/>
      <c r="KZF103" s="4"/>
      <c r="KZG103" s="4"/>
      <c r="KZH103" s="4"/>
      <c r="KZI103" s="4"/>
      <c r="KZJ103" s="4"/>
      <c r="KZK103" s="4"/>
      <c r="KZL103" s="4"/>
      <c r="KZM103" s="4"/>
      <c r="KZN103" s="4"/>
      <c r="KZO103" s="4"/>
      <c r="KZP103" s="4"/>
      <c r="KZQ103" s="4"/>
      <c r="KZR103" s="4"/>
      <c r="KZS103" s="4"/>
      <c r="KZT103" s="4"/>
      <c r="KZU103" s="4"/>
      <c r="KZV103" s="4"/>
      <c r="KZW103" s="4"/>
      <c r="KZX103" s="4"/>
      <c r="KZY103" s="4"/>
      <c r="KZZ103" s="4"/>
      <c r="LAA103" s="4"/>
      <c r="LAB103" s="4"/>
      <c r="LAC103" s="4"/>
      <c r="LAD103" s="4"/>
      <c r="LAE103" s="4"/>
      <c r="LAF103" s="4"/>
      <c r="LAG103" s="4"/>
      <c r="LAH103" s="4"/>
      <c r="LAI103" s="4"/>
      <c r="LAJ103" s="4"/>
      <c r="LAK103" s="4"/>
      <c r="LAL103" s="4"/>
      <c r="LAM103" s="4"/>
      <c r="LAN103" s="4"/>
      <c r="LAO103" s="4"/>
      <c r="LAP103" s="4"/>
      <c r="LAQ103" s="4"/>
      <c r="LAR103" s="4"/>
      <c r="LAS103" s="4"/>
      <c r="LAT103" s="4"/>
      <c r="LAU103" s="4"/>
      <c r="LAV103" s="4"/>
      <c r="LAW103" s="4"/>
      <c r="LAX103" s="4"/>
      <c r="LAY103" s="4"/>
      <c r="LAZ103" s="4"/>
      <c r="LBA103" s="4"/>
      <c r="LBB103" s="4"/>
      <c r="LBC103" s="4"/>
      <c r="LBD103" s="4"/>
      <c r="LBE103" s="4"/>
      <c r="LBF103" s="4"/>
      <c r="LBG103" s="4"/>
      <c r="LBH103" s="4"/>
      <c r="LBI103" s="4"/>
      <c r="LBJ103" s="4"/>
      <c r="LBK103" s="4"/>
      <c r="LBL103" s="4"/>
      <c r="LBM103" s="4"/>
      <c r="LBN103" s="4"/>
      <c r="LBO103" s="4"/>
      <c r="LBP103" s="4"/>
      <c r="LBQ103" s="4"/>
      <c r="LBR103" s="4"/>
      <c r="LBS103" s="4"/>
      <c r="LBT103" s="4"/>
      <c r="LBU103" s="4"/>
      <c r="LBV103" s="4"/>
      <c r="LBW103" s="4"/>
      <c r="LBX103" s="4"/>
      <c r="LBY103" s="4"/>
      <c r="LBZ103" s="4"/>
      <c r="LCA103" s="4"/>
      <c r="LCB103" s="4"/>
      <c r="LCC103" s="4"/>
      <c r="LCD103" s="4"/>
      <c r="LCE103" s="4"/>
      <c r="LCF103" s="4"/>
      <c r="LCG103" s="4"/>
      <c r="LCH103" s="4"/>
      <c r="LCI103" s="4"/>
      <c r="LCJ103" s="4"/>
      <c r="LCK103" s="4"/>
      <c r="LCL103" s="4"/>
      <c r="LCM103" s="4"/>
      <c r="LCN103" s="4"/>
      <c r="LCO103" s="4"/>
      <c r="LCP103" s="4"/>
      <c r="LCQ103" s="4"/>
      <c r="LCR103" s="4"/>
      <c r="LCS103" s="4"/>
      <c r="LCT103" s="4"/>
      <c r="LCU103" s="4"/>
      <c r="LCV103" s="4"/>
      <c r="LCW103" s="4"/>
      <c r="LCX103" s="4"/>
      <c r="LCY103" s="4"/>
      <c r="LCZ103" s="4"/>
      <c r="LDA103" s="4"/>
      <c r="LDB103" s="4"/>
      <c r="LDC103" s="4"/>
      <c r="LDD103" s="4"/>
      <c r="LDE103" s="4"/>
      <c r="LDF103" s="4"/>
      <c r="LDG103" s="4"/>
      <c r="LDH103" s="4"/>
      <c r="LDI103" s="4"/>
      <c r="LDJ103" s="4"/>
      <c r="LDK103" s="4"/>
      <c r="LDL103" s="4"/>
      <c r="LDM103" s="4"/>
      <c r="LDN103" s="4"/>
      <c r="LDO103" s="4"/>
      <c r="LDP103" s="4"/>
      <c r="LDQ103" s="4"/>
      <c r="LDR103" s="4"/>
      <c r="LDS103" s="4"/>
      <c r="LDT103" s="4"/>
      <c r="LDU103" s="4"/>
      <c r="LDV103" s="4"/>
      <c r="LDW103" s="4"/>
      <c r="LDX103" s="4"/>
      <c r="LDY103" s="4"/>
      <c r="LDZ103" s="4"/>
      <c r="LEA103" s="4"/>
      <c r="LEB103" s="4"/>
      <c r="LEC103" s="4"/>
      <c r="LED103" s="4"/>
      <c r="LEE103" s="4"/>
      <c r="LEF103" s="4"/>
      <c r="LEG103" s="4"/>
      <c r="LEH103" s="4"/>
      <c r="LEI103" s="4"/>
      <c r="LEJ103" s="4"/>
      <c r="LEK103" s="4"/>
      <c r="LEL103" s="4"/>
      <c r="LEM103" s="4"/>
      <c r="LEN103" s="4"/>
      <c r="LEO103" s="4"/>
      <c r="LEP103" s="4"/>
      <c r="LEQ103" s="4"/>
      <c r="LER103" s="4"/>
      <c r="LES103" s="4"/>
      <c r="LET103" s="4"/>
      <c r="LEU103" s="4"/>
      <c r="LEV103" s="4"/>
      <c r="LEW103" s="4"/>
      <c r="LEX103" s="4"/>
      <c r="LEY103" s="4"/>
      <c r="LEZ103" s="4"/>
      <c r="LFA103" s="4"/>
      <c r="LFB103" s="4"/>
      <c r="LFC103" s="4"/>
      <c r="LFD103" s="4"/>
      <c r="LFE103" s="4"/>
      <c r="LFF103" s="4"/>
      <c r="LFG103" s="4"/>
      <c r="LFH103" s="4"/>
      <c r="LFI103" s="4"/>
      <c r="LFJ103" s="4"/>
      <c r="LFK103" s="4"/>
      <c r="LFL103" s="4"/>
      <c r="LFM103" s="4"/>
      <c r="LFN103" s="4"/>
      <c r="LFO103" s="4"/>
      <c r="LFP103" s="4"/>
      <c r="LFQ103" s="4"/>
      <c r="LFR103" s="4"/>
      <c r="LFS103" s="4"/>
      <c r="LFT103" s="4"/>
      <c r="LFU103" s="4"/>
      <c r="LFV103" s="4"/>
      <c r="LFW103" s="4"/>
      <c r="LFX103" s="4"/>
      <c r="LFY103" s="4"/>
      <c r="LFZ103" s="4"/>
      <c r="LGA103" s="4"/>
      <c r="LGB103" s="4"/>
      <c r="LGC103" s="4"/>
      <c r="LGD103" s="4"/>
      <c r="LGE103" s="4"/>
      <c r="LGF103" s="4"/>
      <c r="LGG103" s="4"/>
      <c r="LGH103" s="4"/>
      <c r="LGI103" s="4"/>
      <c r="LGJ103" s="4"/>
      <c r="LGK103" s="4"/>
      <c r="LGL103" s="4"/>
      <c r="LGM103" s="4"/>
      <c r="LGN103" s="4"/>
      <c r="LGO103" s="4"/>
      <c r="LGP103" s="4"/>
      <c r="LGQ103" s="4"/>
      <c r="LGR103" s="4"/>
      <c r="LGS103" s="4"/>
      <c r="LGT103" s="4"/>
      <c r="LGU103" s="4"/>
      <c r="LGV103" s="4"/>
      <c r="LGW103" s="4"/>
      <c r="LGX103" s="4"/>
      <c r="LGY103" s="4"/>
      <c r="LGZ103" s="4"/>
      <c r="LHA103" s="4"/>
      <c r="LHB103" s="4"/>
      <c r="LHC103" s="4"/>
      <c r="LHD103" s="4"/>
      <c r="LHE103" s="4"/>
      <c r="LHF103" s="4"/>
      <c r="LHG103" s="4"/>
      <c r="LHH103" s="4"/>
      <c r="LHI103" s="4"/>
      <c r="LHJ103" s="4"/>
      <c r="LHK103" s="4"/>
      <c r="LHL103" s="4"/>
      <c r="LHM103" s="4"/>
      <c r="LHN103" s="4"/>
      <c r="LHO103" s="4"/>
      <c r="LHP103" s="4"/>
      <c r="LHQ103" s="4"/>
      <c r="LHR103" s="4"/>
      <c r="LHS103" s="4"/>
      <c r="LHT103" s="4"/>
      <c r="LHU103" s="4"/>
      <c r="LHV103" s="4"/>
      <c r="LHW103" s="4"/>
      <c r="LHX103" s="4"/>
      <c r="LHY103" s="4"/>
      <c r="LHZ103" s="4"/>
      <c r="LIA103" s="4"/>
      <c r="LIB103" s="4"/>
      <c r="LIC103" s="4"/>
      <c r="LID103" s="4"/>
      <c r="LIE103" s="4"/>
      <c r="LIF103" s="4"/>
      <c r="LIG103" s="4"/>
      <c r="LIH103" s="4"/>
      <c r="LII103" s="4"/>
      <c r="LIJ103" s="4"/>
      <c r="LIK103" s="4"/>
      <c r="LIL103" s="4"/>
      <c r="LIM103" s="4"/>
      <c r="LIN103" s="4"/>
      <c r="LIO103" s="4"/>
      <c r="LIP103" s="4"/>
      <c r="LIQ103" s="4"/>
      <c r="LIR103" s="4"/>
      <c r="LIS103" s="4"/>
      <c r="LIT103" s="4"/>
      <c r="LIU103" s="4"/>
      <c r="LIV103" s="4"/>
      <c r="LIW103" s="4"/>
      <c r="LIX103" s="4"/>
      <c r="LIY103" s="4"/>
      <c r="LIZ103" s="4"/>
      <c r="LJA103" s="4"/>
      <c r="LJB103" s="4"/>
      <c r="LJC103" s="4"/>
      <c r="LJD103" s="4"/>
      <c r="LJE103" s="4"/>
      <c r="LJF103" s="4"/>
      <c r="LJG103" s="4"/>
      <c r="LJH103" s="4"/>
      <c r="LJI103" s="4"/>
      <c r="LJJ103" s="4"/>
      <c r="LJK103" s="4"/>
      <c r="LJL103" s="4"/>
      <c r="LJM103" s="4"/>
      <c r="LJN103" s="4"/>
      <c r="LJO103" s="4"/>
      <c r="LJP103" s="4"/>
      <c r="LJQ103" s="4"/>
      <c r="LJR103" s="4"/>
      <c r="LJS103" s="4"/>
      <c r="LJT103" s="4"/>
      <c r="LJU103" s="4"/>
      <c r="LJV103" s="4"/>
      <c r="LJW103" s="4"/>
      <c r="LJX103" s="4"/>
      <c r="LJY103" s="4"/>
      <c r="LJZ103" s="4"/>
      <c r="LKA103" s="4"/>
      <c r="LKB103" s="4"/>
      <c r="LKC103" s="4"/>
      <c r="LKD103" s="4"/>
      <c r="LKE103" s="4"/>
      <c r="LKF103" s="4"/>
      <c r="LKG103" s="4"/>
      <c r="LKH103" s="4"/>
      <c r="LKI103" s="4"/>
      <c r="LKJ103" s="4"/>
      <c r="LKK103" s="4"/>
      <c r="LKL103" s="4"/>
      <c r="LKM103" s="4"/>
      <c r="LKN103" s="4"/>
      <c r="LKO103" s="4"/>
      <c r="LKP103" s="4"/>
      <c r="LKQ103" s="4"/>
      <c r="LKR103" s="4"/>
      <c r="LKS103" s="4"/>
      <c r="LKT103" s="4"/>
      <c r="LKU103" s="4"/>
      <c r="LKV103" s="4"/>
      <c r="LKW103" s="4"/>
      <c r="LKX103" s="4"/>
      <c r="LKY103" s="4"/>
      <c r="LKZ103" s="4"/>
      <c r="LLA103" s="4"/>
      <c r="LLB103" s="4"/>
      <c r="LLC103" s="4"/>
      <c r="LLD103" s="4"/>
      <c r="LLE103" s="4"/>
      <c r="LLF103" s="4"/>
      <c r="LLG103" s="4"/>
      <c r="LLH103" s="4"/>
      <c r="LLI103" s="4"/>
      <c r="LLJ103" s="4"/>
      <c r="LLK103" s="4"/>
      <c r="LLL103" s="4"/>
      <c r="LLM103" s="4"/>
      <c r="LLN103" s="4"/>
      <c r="LLO103" s="4"/>
      <c r="LLP103" s="4"/>
      <c r="LLQ103" s="4"/>
      <c r="LLR103" s="4"/>
      <c r="LLS103" s="4"/>
      <c r="LLT103" s="4"/>
      <c r="LLU103" s="4"/>
      <c r="LLV103" s="4"/>
      <c r="LLW103" s="4"/>
      <c r="LLX103" s="4"/>
      <c r="LLY103" s="4"/>
      <c r="LLZ103" s="4"/>
      <c r="LMA103" s="4"/>
      <c r="LMB103" s="4"/>
      <c r="LMC103" s="4"/>
      <c r="LMD103" s="4"/>
      <c r="LME103" s="4"/>
      <c r="LMF103" s="4"/>
      <c r="LMG103" s="4"/>
      <c r="LMH103" s="4"/>
      <c r="LMI103" s="4"/>
      <c r="LMJ103" s="4"/>
      <c r="LMK103" s="4"/>
      <c r="LML103" s="4"/>
      <c r="LMM103" s="4"/>
      <c r="LMN103" s="4"/>
      <c r="LMO103" s="4"/>
      <c r="LMP103" s="4"/>
      <c r="LMQ103" s="4"/>
      <c r="LMR103" s="4"/>
      <c r="LMS103" s="4"/>
      <c r="LMT103" s="4"/>
      <c r="LMU103" s="4"/>
      <c r="LMV103" s="4"/>
      <c r="LMW103" s="4"/>
      <c r="LMX103" s="4"/>
      <c r="LMY103" s="4"/>
      <c r="LMZ103" s="4"/>
      <c r="LNA103" s="4"/>
      <c r="LNB103" s="4"/>
      <c r="LNC103" s="4"/>
      <c r="LND103" s="4"/>
      <c r="LNE103" s="4"/>
      <c r="LNF103" s="4"/>
      <c r="LNG103" s="4"/>
      <c r="LNH103" s="4"/>
      <c r="LNI103" s="4"/>
      <c r="LNJ103" s="4"/>
      <c r="LNK103" s="4"/>
      <c r="LNL103" s="4"/>
      <c r="LNM103" s="4"/>
      <c r="LNN103" s="4"/>
      <c r="LNO103" s="4"/>
      <c r="LNP103" s="4"/>
      <c r="LNQ103" s="4"/>
      <c r="LNR103" s="4"/>
      <c r="LNS103" s="4"/>
      <c r="LNT103" s="4"/>
      <c r="LNU103" s="4"/>
      <c r="LNV103" s="4"/>
      <c r="LNW103" s="4"/>
      <c r="LNX103" s="4"/>
      <c r="LNY103" s="4"/>
      <c r="LNZ103" s="4"/>
      <c r="LOA103" s="4"/>
      <c r="LOB103" s="4"/>
      <c r="LOC103" s="4"/>
      <c r="LOD103" s="4"/>
      <c r="LOE103" s="4"/>
      <c r="LOF103" s="4"/>
      <c r="LOG103" s="4"/>
      <c r="LOH103" s="4"/>
      <c r="LOI103" s="4"/>
      <c r="LOJ103" s="4"/>
      <c r="LOK103" s="4"/>
      <c r="LOL103" s="4"/>
      <c r="LOM103" s="4"/>
      <c r="LON103" s="4"/>
      <c r="LOO103" s="4"/>
      <c r="LOP103" s="4"/>
      <c r="LOQ103" s="4"/>
      <c r="LOR103" s="4"/>
      <c r="LOS103" s="4"/>
      <c r="LOT103" s="4"/>
      <c r="LOU103" s="4"/>
      <c r="LOV103" s="4"/>
      <c r="LOW103" s="4"/>
      <c r="LOX103" s="4"/>
      <c r="LOY103" s="4"/>
      <c r="LOZ103" s="4"/>
      <c r="LPA103" s="4"/>
      <c r="LPB103" s="4"/>
      <c r="LPC103" s="4"/>
      <c r="LPD103" s="4"/>
      <c r="LPE103" s="4"/>
      <c r="LPF103" s="4"/>
      <c r="LPG103" s="4"/>
      <c r="LPH103" s="4"/>
      <c r="LPI103" s="4"/>
      <c r="LPJ103" s="4"/>
      <c r="LPK103" s="4"/>
      <c r="LPL103" s="4"/>
      <c r="LPM103" s="4"/>
      <c r="LPN103" s="4"/>
      <c r="LPO103" s="4"/>
      <c r="LPP103" s="4"/>
      <c r="LPQ103" s="4"/>
      <c r="LPR103" s="4"/>
      <c r="LPS103" s="4"/>
      <c r="LPT103" s="4"/>
      <c r="LPU103" s="4"/>
      <c r="LPV103" s="4"/>
      <c r="LPW103" s="4"/>
      <c r="LPX103" s="4"/>
      <c r="LPY103" s="4"/>
      <c r="LPZ103" s="4"/>
      <c r="LQA103" s="4"/>
      <c r="LQB103" s="4"/>
      <c r="LQC103" s="4"/>
      <c r="LQD103" s="4"/>
      <c r="LQE103" s="4"/>
      <c r="LQF103" s="4"/>
      <c r="LQG103" s="4"/>
      <c r="LQH103" s="4"/>
      <c r="LQI103" s="4"/>
      <c r="LQJ103" s="4"/>
      <c r="LQK103" s="4"/>
      <c r="LQL103" s="4"/>
      <c r="LQM103" s="4"/>
      <c r="LQN103" s="4"/>
      <c r="LQO103" s="4"/>
      <c r="LQP103" s="4"/>
      <c r="LQQ103" s="4"/>
      <c r="LQR103" s="4"/>
      <c r="LQS103" s="4"/>
      <c r="LQT103" s="4"/>
      <c r="LQU103" s="4"/>
      <c r="LQV103" s="4"/>
      <c r="LQW103" s="4"/>
      <c r="LQX103" s="4"/>
      <c r="LQY103" s="4"/>
      <c r="LQZ103" s="4"/>
      <c r="LRA103" s="4"/>
      <c r="LRB103" s="4"/>
      <c r="LRC103" s="4"/>
      <c r="LRD103" s="4"/>
      <c r="LRE103" s="4"/>
      <c r="LRF103" s="4"/>
      <c r="LRG103" s="4"/>
      <c r="LRH103" s="4"/>
      <c r="LRI103" s="4"/>
      <c r="LRJ103" s="4"/>
      <c r="LRK103" s="4"/>
      <c r="LRL103" s="4"/>
      <c r="LRM103" s="4"/>
      <c r="LRN103" s="4"/>
      <c r="LRO103" s="4"/>
      <c r="LRP103" s="4"/>
      <c r="LRQ103" s="4"/>
      <c r="LRR103" s="4"/>
      <c r="LRS103" s="4"/>
      <c r="LRT103" s="4"/>
      <c r="LRU103" s="4"/>
      <c r="LRV103" s="4"/>
      <c r="LRW103" s="4"/>
      <c r="LRX103" s="4"/>
      <c r="LRY103" s="4"/>
      <c r="LRZ103" s="4"/>
      <c r="LSA103" s="4"/>
      <c r="LSB103" s="4"/>
      <c r="LSC103" s="4"/>
      <c r="LSD103" s="4"/>
      <c r="LSE103" s="4"/>
      <c r="LSF103" s="4"/>
      <c r="LSG103" s="4"/>
      <c r="LSH103" s="4"/>
      <c r="LSI103" s="4"/>
      <c r="LSJ103" s="4"/>
      <c r="LSK103" s="4"/>
      <c r="LSL103" s="4"/>
      <c r="LSM103" s="4"/>
      <c r="LSN103" s="4"/>
      <c r="LSO103" s="4"/>
      <c r="LSP103" s="4"/>
      <c r="LSQ103" s="4"/>
      <c r="LSR103" s="4"/>
      <c r="LSS103" s="4"/>
      <c r="LST103" s="4"/>
      <c r="LSU103" s="4"/>
      <c r="LSV103" s="4"/>
      <c r="LSW103" s="4"/>
      <c r="LSX103" s="4"/>
      <c r="LSY103" s="4"/>
      <c r="LSZ103" s="4"/>
      <c r="LTA103" s="4"/>
      <c r="LTB103" s="4"/>
      <c r="LTC103" s="4"/>
      <c r="LTD103" s="4"/>
      <c r="LTE103" s="4"/>
      <c r="LTF103" s="4"/>
      <c r="LTG103" s="4"/>
      <c r="LTH103" s="4"/>
      <c r="LTI103" s="4"/>
      <c r="LTJ103" s="4"/>
      <c r="LTK103" s="4"/>
      <c r="LTL103" s="4"/>
      <c r="LTM103" s="4"/>
      <c r="LTN103" s="4"/>
      <c r="LTO103" s="4"/>
      <c r="LTP103" s="4"/>
      <c r="LTQ103" s="4"/>
      <c r="LTR103" s="4"/>
      <c r="LTS103" s="4"/>
      <c r="LTT103" s="4"/>
      <c r="LTU103" s="4"/>
      <c r="LTV103" s="4"/>
      <c r="LTW103" s="4"/>
      <c r="LTX103" s="4"/>
      <c r="LTY103" s="4"/>
      <c r="LTZ103" s="4"/>
      <c r="LUA103" s="4"/>
      <c r="LUB103" s="4"/>
      <c r="LUC103" s="4"/>
      <c r="LUD103" s="4"/>
      <c r="LUE103" s="4"/>
      <c r="LUF103" s="4"/>
      <c r="LUG103" s="4"/>
      <c r="LUH103" s="4"/>
      <c r="LUI103" s="4"/>
      <c r="LUJ103" s="4"/>
      <c r="LUK103" s="4"/>
      <c r="LUL103" s="4"/>
      <c r="LUM103" s="4"/>
      <c r="LUN103" s="4"/>
      <c r="LUO103" s="4"/>
      <c r="LUP103" s="4"/>
      <c r="LUQ103" s="4"/>
      <c r="LUR103" s="4"/>
      <c r="LUS103" s="4"/>
      <c r="LUT103" s="4"/>
      <c r="LUU103" s="4"/>
      <c r="LUV103" s="4"/>
      <c r="LUW103" s="4"/>
      <c r="LUX103" s="4"/>
      <c r="LUY103" s="4"/>
      <c r="LUZ103" s="4"/>
      <c r="LVA103" s="4"/>
      <c r="LVB103" s="4"/>
      <c r="LVC103" s="4"/>
      <c r="LVD103" s="4"/>
      <c r="LVE103" s="4"/>
      <c r="LVF103" s="4"/>
      <c r="LVG103" s="4"/>
      <c r="LVH103" s="4"/>
      <c r="LVI103" s="4"/>
      <c r="LVJ103" s="4"/>
      <c r="LVK103" s="4"/>
      <c r="LVL103" s="4"/>
      <c r="LVM103" s="4"/>
      <c r="LVN103" s="4"/>
      <c r="LVO103" s="4"/>
      <c r="LVP103" s="4"/>
      <c r="LVQ103" s="4"/>
      <c r="LVR103" s="4"/>
      <c r="LVS103" s="4"/>
      <c r="LVT103" s="4"/>
      <c r="LVU103" s="4"/>
      <c r="LVV103" s="4"/>
      <c r="LVW103" s="4"/>
      <c r="LVX103" s="4"/>
      <c r="LVY103" s="4"/>
      <c r="LVZ103" s="4"/>
      <c r="LWA103" s="4"/>
      <c r="LWB103" s="4"/>
      <c r="LWC103" s="4"/>
      <c r="LWD103" s="4"/>
      <c r="LWE103" s="4"/>
      <c r="LWF103" s="4"/>
      <c r="LWG103" s="4"/>
      <c r="LWH103" s="4"/>
      <c r="LWI103" s="4"/>
      <c r="LWJ103" s="4"/>
      <c r="LWK103" s="4"/>
      <c r="LWL103" s="4"/>
      <c r="LWM103" s="4"/>
      <c r="LWN103" s="4"/>
      <c r="LWO103" s="4"/>
      <c r="LWP103" s="4"/>
      <c r="LWQ103" s="4"/>
      <c r="LWR103" s="4"/>
      <c r="LWS103" s="4"/>
      <c r="LWT103" s="4"/>
      <c r="LWU103" s="4"/>
      <c r="LWV103" s="4"/>
      <c r="LWW103" s="4"/>
      <c r="LWX103" s="4"/>
      <c r="LWY103" s="4"/>
      <c r="LWZ103" s="4"/>
      <c r="LXA103" s="4"/>
      <c r="LXB103" s="4"/>
      <c r="LXC103" s="4"/>
      <c r="LXD103" s="4"/>
      <c r="LXE103" s="4"/>
      <c r="LXF103" s="4"/>
      <c r="LXG103" s="4"/>
      <c r="LXH103" s="4"/>
      <c r="LXI103" s="4"/>
      <c r="LXJ103" s="4"/>
      <c r="LXK103" s="4"/>
      <c r="LXL103" s="4"/>
      <c r="LXM103" s="4"/>
      <c r="LXN103" s="4"/>
      <c r="LXO103" s="4"/>
      <c r="LXP103" s="4"/>
      <c r="LXQ103" s="4"/>
      <c r="LXR103" s="4"/>
      <c r="LXS103" s="4"/>
      <c r="LXT103" s="4"/>
      <c r="LXU103" s="4"/>
      <c r="LXV103" s="4"/>
      <c r="LXW103" s="4"/>
      <c r="LXX103" s="4"/>
      <c r="LXY103" s="4"/>
      <c r="LXZ103" s="4"/>
      <c r="LYA103" s="4"/>
      <c r="LYB103" s="4"/>
      <c r="LYC103" s="4"/>
      <c r="LYD103" s="4"/>
      <c r="LYE103" s="4"/>
      <c r="LYF103" s="4"/>
      <c r="LYG103" s="4"/>
      <c r="LYH103" s="4"/>
      <c r="LYI103" s="4"/>
      <c r="LYJ103" s="4"/>
      <c r="LYK103" s="4"/>
      <c r="LYL103" s="4"/>
      <c r="LYM103" s="4"/>
      <c r="LYN103" s="4"/>
      <c r="LYO103" s="4"/>
      <c r="LYP103" s="4"/>
      <c r="LYQ103" s="4"/>
      <c r="LYR103" s="4"/>
      <c r="LYS103" s="4"/>
      <c r="LYT103" s="4"/>
      <c r="LYU103" s="4"/>
      <c r="LYV103" s="4"/>
      <c r="LYW103" s="4"/>
      <c r="LYX103" s="4"/>
      <c r="LYY103" s="4"/>
      <c r="LYZ103" s="4"/>
      <c r="LZA103" s="4"/>
      <c r="LZB103" s="4"/>
      <c r="LZC103" s="4"/>
      <c r="LZD103" s="4"/>
      <c r="LZE103" s="4"/>
      <c r="LZF103" s="4"/>
      <c r="LZG103" s="4"/>
      <c r="LZH103" s="4"/>
      <c r="LZI103" s="4"/>
      <c r="LZJ103" s="4"/>
      <c r="LZK103" s="4"/>
      <c r="LZL103" s="4"/>
      <c r="LZM103" s="4"/>
      <c r="LZN103" s="4"/>
      <c r="LZO103" s="4"/>
      <c r="LZP103" s="4"/>
      <c r="LZQ103" s="4"/>
      <c r="LZR103" s="4"/>
      <c r="LZS103" s="4"/>
      <c r="LZT103" s="4"/>
      <c r="LZU103" s="4"/>
      <c r="LZV103" s="4"/>
      <c r="LZW103" s="4"/>
      <c r="LZX103" s="4"/>
      <c r="LZY103" s="4"/>
      <c r="LZZ103" s="4"/>
      <c r="MAA103" s="4"/>
      <c r="MAB103" s="4"/>
      <c r="MAC103" s="4"/>
      <c r="MAD103" s="4"/>
      <c r="MAE103" s="4"/>
      <c r="MAF103" s="4"/>
      <c r="MAG103" s="4"/>
      <c r="MAH103" s="4"/>
      <c r="MAI103" s="4"/>
      <c r="MAJ103" s="4"/>
      <c r="MAK103" s="4"/>
      <c r="MAL103" s="4"/>
      <c r="MAM103" s="4"/>
      <c r="MAN103" s="4"/>
      <c r="MAO103" s="4"/>
      <c r="MAP103" s="4"/>
      <c r="MAQ103" s="4"/>
      <c r="MAR103" s="4"/>
      <c r="MAS103" s="4"/>
      <c r="MAT103" s="4"/>
      <c r="MAU103" s="4"/>
      <c r="MAV103" s="4"/>
      <c r="MAW103" s="4"/>
      <c r="MAX103" s="4"/>
      <c r="MAY103" s="4"/>
      <c r="MAZ103" s="4"/>
      <c r="MBA103" s="4"/>
      <c r="MBB103" s="4"/>
      <c r="MBC103" s="4"/>
      <c r="MBD103" s="4"/>
      <c r="MBE103" s="4"/>
      <c r="MBF103" s="4"/>
      <c r="MBG103" s="4"/>
      <c r="MBH103" s="4"/>
      <c r="MBI103" s="4"/>
      <c r="MBJ103" s="4"/>
      <c r="MBK103" s="4"/>
      <c r="MBL103" s="4"/>
      <c r="MBM103" s="4"/>
      <c r="MBN103" s="4"/>
      <c r="MBO103" s="4"/>
      <c r="MBP103" s="4"/>
      <c r="MBQ103" s="4"/>
      <c r="MBR103" s="4"/>
      <c r="MBS103" s="4"/>
      <c r="MBT103" s="4"/>
      <c r="MBU103" s="4"/>
      <c r="MBV103" s="4"/>
      <c r="MBW103" s="4"/>
      <c r="MBX103" s="4"/>
      <c r="MBY103" s="4"/>
      <c r="MBZ103" s="4"/>
      <c r="MCA103" s="4"/>
      <c r="MCB103" s="4"/>
      <c r="MCC103" s="4"/>
      <c r="MCD103" s="4"/>
      <c r="MCE103" s="4"/>
      <c r="MCF103" s="4"/>
      <c r="MCG103" s="4"/>
      <c r="MCH103" s="4"/>
      <c r="MCI103" s="4"/>
      <c r="MCJ103" s="4"/>
      <c r="MCK103" s="4"/>
      <c r="MCL103" s="4"/>
      <c r="MCM103" s="4"/>
      <c r="MCN103" s="4"/>
      <c r="MCO103" s="4"/>
      <c r="MCP103" s="4"/>
      <c r="MCQ103" s="4"/>
      <c r="MCR103" s="4"/>
      <c r="MCS103" s="4"/>
      <c r="MCT103" s="4"/>
      <c r="MCU103" s="4"/>
      <c r="MCV103" s="4"/>
      <c r="MCW103" s="4"/>
      <c r="MCX103" s="4"/>
      <c r="MCY103" s="4"/>
      <c r="MCZ103" s="4"/>
      <c r="MDA103" s="4"/>
      <c r="MDB103" s="4"/>
      <c r="MDC103" s="4"/>
      <c r="MDD103" s="4"/>
      <c r="MDE103" s="4"/>
      <c r="MDF103" s="4"/>
      <c r="MDG103" s="4"/>
      <c r="MDH103" s="4"/>
      <c r="MDI103" s="4"/>
      <c r="MDJ103" s="4"/>
      <c r="MDK103" s="4"/>
      <c r="MDL103" s="4"/>
      <c r="MDM103" s="4"/>
      <c r="MDN103" s="4"/>
      <c r="MDO103" s="4"/>
      <c r="MDP103" s="4"/>
      <c r="MDQ103" s="4"/>
      <c r="MDR103" s="4"/>
      <c r="MDS103" s="4"/>
      <c r="MDT103" s="4"/>
      <c r="MDU103" s="4"/>
      <c r="MDV103" s="4"/>
      <c r="MDW103" s="4"/>
      <c r="MDX103" s="4"/>
      <c r="MDY103" s="4"/>
      <c r="MDZ103" s="4"/>
      <c r="MEA103" s="4"/>
      <c r="MEB103" s="4"/>
      <c r="MEC103" s="4"/>
      <c r="MED103" s="4"/>
      <c r="MEE103" s="4"/>
      <c r="MEF103" s="4"/>
      <c r="MEG103" s="4"/>
      <c r="MEH103" s="4"/>
      <c r="MEI103" s="4"/>
      <c r="MEJ103" s="4"/>
      <c r="MEK103" s="4"/>
      <c r="MEL103" s="4"/>
      <c r="MEM103" s="4"/>
      <c r="MEN103" s="4"/>
      <c r="MEO103" s="4"/>
      <c r="MEP103" s="4"/>
      <c r="MEQ103" s="4"/>
      <c r="MER103" s="4"/>
      <c r="MES103" s="4"/>
      <c r="MET103" s="4"/>
      <c r="MEU103" s="4"/>
      <c r="MEV103" s="4"/>
      <c r="MEW103" s="4"/>
      <c r="MEX103" s="4"/>
      <c r="MEY103" s="4"/>
      <c r="MEZ103" s="4"/>
      <c r="MFA103" s="4"/>
      <c r="MFB103" s="4"/>
      <c r="MFC103" s="4"/>
      <c r="MFD103" s="4"/>
      <c r="MFE103" s="4"/>
      <c r="MFF103" s="4"/>
      <c r="MFG103" s="4"/>
      <c r="MFH103" s="4"/>
      <c r="MFI103" s="4"/>
      <c r="MFJ103" s="4"/>
      <c r="MFK103" s="4"/>
      <c r="MFL103" s="4"/>
      <c r="MFM103" s="4"/>
      <c r="MFN103" s="4"/>
      <c r="MFO103" s="4"/>
      <c r="MFP103" s="4"/>
      <c r="MFQ103" s="4"/>
      <c r="MFR103" s="4"/>
      <c r="MFS103" s="4"/>
      <c r="MFT103" s="4"/>
      <c r="MFU103" s="4"/>
      <c r="MFV103" s="4"/>
      <c r="MFW103" s="4"/>
      <c r="MFX103" s="4"/>
      <c r="MFY103" s="4"/>
      <c r="MFZ103" s="4"/>
      <c r="MGA103" s="4"/>
      <c r="MGB103" s="4"/>
      <c r="MGC103" s="4"/>
      <c r="MGD103" s="4"/>
      <c r="MGE103" s="4"/>
      <c r="MGF103" s="4"/>
      <c r="MGG103" s="4"/>
      <c r="MGH103" s="4"/>
      <c r="MGI103" s="4"/>
      <c r="MGJ103" s="4"/>
      <c r="MGK103" s="4"/>
      <c r="MGL103" s="4"/>
      <c r="MGM103" s="4"/>
      <c r="MGN103" s="4"/>
      <c r="MGO103" s="4"/>
      <c r="MGP103" s="4"/>
      <c r="MGQ103" s="4"/>
      <c r="MGR103" s="4"/>
      <c r="MGS103" s="4"/>
      <c r="MGT103" s="4"/>
      <c r="MGU103" s="4"/>
      <c r="MGV103" s="4"/>
      <c r="MGW103" s="4"/>
      <c r="MGX103" s="4"/>
      <c r="MGY103" s="4"/>
      <c r="MGZ103" s="4"/>
      <c r="MHA103" s="4"/>
      <c r="MHB103" s="4"/>
      <c r="MHC103" s="4"/>
      <c r="MHD103" s="4"/>
      <c r="MHE103" s="4"/>
      <c r="MHF103" s="4"/>
      <c r="MHG103" s="4"/>
      <c r="MHH103" s="4"/>
      <c r="MHI103" s="4"/>
      <c r="MHJ103" s="4"/>
      <c r="MHK103" s="4"/>
      <c r="MHL103" s="4"/>
      <c r="MHM103" s="4"/>
      <c r="MHN103" s="4"/>
      <c r="MHO103" s="4"/>
      <c r="MHP103" s="4"/>
      <c r="MHQ103" s="4"/>
      <c r="MHR103" s="4"/>
      <c r="MHS103" s="4"/>
      <c r="MHT103" s="4"/>
      <c r="MHU103" s="4"/>
      <c r="MHV103" s="4"/>
      <c r="MHW103" s="4"/>
      <c r="MHX103" s="4"/>
      <c r="MHY103" s="4"/>
      <c r="MHZ103" s="4"/>
      <c r="MIA103" s="4"/>
      <c r="MIB103" s="4"/>
      <c r="MIC103" s="4"/>
      <c r="MID103" s="4"/>
      <c r="MIE103" s="4"/>
      <c r="MIF103" s="4"/>
      <c r="MIG103" s="4"/>
      <c r="MIH103" s="4"/>
      <c r="MII103" s="4"/>
      <c r="MIJ103" s="4"/>
      <c r="MIK103" s="4"/>
      <c r="MIL103" s="4"/>
      <c r="MIM103" s="4"/>
      <c r="MIN103" s="4"/>
      <c r="MIO103" s="4"/>
      <c r="MIP103" s="4"/>
      <c r="MIQ103" s="4"/>
      <c r="MIR103" s="4"/>
      <c r="MIS103" s="4"/>
      <c r="MIT103" s="4"/>
      <c r="MIU103" s="4"/>
      <c r="MIV103" s="4"/>
      <c r="MIW103" s="4"/>
      <c r="MIX103" s="4"/>
      <c r="MIY103" s="4"/>
      <c r="MIZ103" s="4"/>
      <c r="MJA103" s="4"/>
      <c r="MJB103" s="4"/>
      <c r="MJC103" s="4"/>
      <c r="MJD103" s="4"/>
      <c r="MJE103" s="4"/>
      <c r="MJF103" s="4"/>
      <c r="MJG103" s="4"/>
      <c r="MJH103" s="4"/>
      <c r="MJI103" s="4"/>
      <c r="MJJ103" s="4"/>
      <c r="MJK103" s="4"/>
      <c r="MJL103" s="4"/>
      <c r="MJM103" s="4"/>
      <c r="MJN103" s="4"/>
      <c r="MJO103" s="4"/>
      <c r="MJP103" s="4"/>
      <c r="MJQ103" s="4"/>
      <c r="MJR103" s="4"/>
      <c r="MJS103" s="4"/>
      <c r="MJT103" s="4"/>
      <c r="MJU103" s="4"/>
      <c r="MJV103" s="4"/>
      <c r="MJW103" s="4"/>
      <c r="MJX103" s="4"/>
      <c r="MJY103" s="4"/>
      <c r="MJZ103" s="4"/>
      <c r="MKA103" s="4"/>
      <c r="MKB103" s="4"/>
      <c r="MKC103" s="4"/>
      <c r="MKD103" s="4"/>
      <c r="MKE103" s="4"/>
      <c r="MKF103" s="4"/>
      <c r="MKG103" s="4"/>
      <c r="MKH103" s="4"/>
      <c r="MKI103" s="4"/>
      <c r="MKJ103" s="4"/>
      <c r="MKK103" s="4"/>
      <c r="MKL103" s="4"/>
      <c r="MKM103" s="4"/>
      <c r="MKN103" s="4"/>
      <c r="MKO103" s="4"/>
      <c r="MKP103" s="4"/>
      <c r="MKQ103" s="4"/>
      <c r="MKR103" s="4"/>
      <c r="MKS103" s="4"/>
      <c r="MKT103" s="4"/>
      <c r="MKU103" s="4"/>
      <c r="MKV103" s="4"/>
      <c r="MKW103" s="4"/>
      <c r="MKX103" s="4"/>
      <c r="MKY103" s="4"/>
      <c r="MKZ103" s="4"/>
      <c r="MLA103" s="4"/>
      <c r="MLB103" s="4"/>
      <c r="MLC103" s="4"/>
      <c r="MLD103" s="4"/>
      <c r="MLE103" s="4"/>
      <c r="MLF103" s="4"/>
      <c r="MLG103" s="4"/>
      <c r="MLH103" s="4"/>
      <c r="MLI103" s="4"/>
      <c r="MLJ103" s="4"/>
      <c r="MLK103" s="4"/>
      <c r="MLL103" s="4"/>
      <c r="MLM103" s="4"/>
      <c r="MLN103" s="4"/>
      <c r="MLO103" s="4"/>
      <c r="MLP103" s="4"/>
      <c r="MLQ103" s="4"/>
      <c r="MLR103" s="4"/>
      <c r="MLS103" s="4"/>
      <c r="MLT103" s="4"/>
      <c r="MLU103" s="4"/>
      <c r="MLV103" s="4"/>
      <c r="MLW103" s="4"/>
      <c r="MLX103" s="4"/>
      <c r="MLY103" s="4"/>
      <c r="MLZ103" s="4"/>
      <c r="MMA103" s="4"/>
      <c r="MMB103" s="4"/>
      <c r="MMC103" s="4"/>
      <c r="MMD103" s="4"/>
      <c r="MME103" s="4"/>
      <c r="MMF103" s="4"/>
      <c r="MMG103" s="4"/>
      <c r="MMH103" s="4"/>
      <c r="MMI103" s="4"/>
      <c r="MMJ103" s="4"/>
      <c r="MMK103" s="4"/>
      <c r="MML103" s="4"/>
      <c r="MMM103" s="4"/>
      <c r="MMN103" s="4"/>
      <c r="MMO103" s="4"/>
      <c r="MMP103" s="4"/>
      <c r="MMQ103" s="4"/>
      <c r="MMR103" s="4"/>
      <c r="MMS103" s="4"/>
      <c r="MMT103" s="4"/>
      <c r="MMU103" s="4"/>
      <c r="MMV103" s="4"/>
      <c r="MMW103" s="4"/>
      <c r="MMX103" s="4"/>
      <c r="MMY103" s="4"/>
      <c r="MMZ103" s="4"/>
      <c r="MNA103" s="4"/>
      <c r="MNB103" s="4"/>
      <c r="MNC103" s="4"/>
      <c r="MND103" s="4"/>
      <c r="MNE103" s="4"/>
      <c r="MNF103" s="4"/>
      <c r="MNG103" s="4"/>
      <c r="MNH103" s="4"/>
      <c r="MNI103" s="4"/>
      <c r="MNJ103" s="4"/>
      <c r="MNK103" s="4"/>
      <c r="MNL103" s="4"/>
      <c r="MNM103" s="4"/>
      <c r="MNN103" s="4"/>
      <c r="MNO103" s="4"/>
      <c r="MNP103" s="4"/>
      <c r="MNQ103" s="4"/>
      <c r="MNR103" s="4"/>
      <c r="MNS103" s="4"/>
      <c r="MNT103" s="4"/>
      <c r="MNU103" s="4"/>
      <c r="MNV103" s="4"/>
      <c r="MNW103" s="4"/>
      <c r="MNX103" s="4"/>
      <c r="MNY103" s="4"/>
      <c r="MNZ103" s="4"/>
      <c r="MOA103" s="4"/>
      <c r="MOB103" s="4"/>
      <c r="MOC103" s="4"/>
      <c r="MOD103" s="4"/>
      <c r="MOE103" s="4"/>
      <c r="MOF103" s="4"/>
      <c r="MOG103" s="4"/>
      <c r="MOH103" s="4"/>
      <c r="MOI103" s="4"/>
      <c r="MOJ103" s="4"/>
      <c r="MOK103" s="4"/>
      <c r="MOL103" s="4"/>
      <c r="MOM103" s="4"/>
      <c r="MON103" s="4"/>
      <c r="MOO103" s="4"/>
      <c r="MOP103" s="4"/>
      <c r="MOQ103" s="4"/>
      <c r="MOR103" s="4"/>
      <c r="MOS103" s="4"/>
      <c r="MOT103" s="4"/>
      <c r="MOU103" s="4"/>
      <c r="MOV103" s="4"/>
      <c r="MOW103" s="4"/>
      <c r="MOX103" s="4"/>
      <c r="MOY103" s="4"/>
      <c r="MOZ103" s="4"/>
      <c r="MPA103" s="4"/>
      <c r="MPB103" s="4"/>
      <c r="MPC103" s="4"/>
      <c r="MPD103" s="4"/>
      <c r="MPE103" s="4"/>
      <c r="MPF103" s="4"/>
      <c r="MPG103" s="4"/>
      <c r="MPH103" s="4"/>
      <c r="MPI103" s="4"/>
      <c r="MPJ103" s="4"/>
      <c r="MPK103" s="4"/>
      <c r="MPL103" s="4"/>
      <c r="MPM103" s="4"/>
      <c r="MPN103" s="4"/>
      <c r="MPO103" s="4"/>
      <c r="MPP103" s="4"/>
      <c r="MPQ103" s="4"/>
      <c r="MPR103" s="4"/>
      <c r="MPS103" s="4"/>
      <c r="MPT103" s="4"/>
      <c r="MPU103" s="4"/>
      <c r="MPV103" s="4"/>
      <c r="MPW103" s="4"/>
      <c r="MPX103" s="4"/>
      <c r="MPY103" s="4"/>
      <c r="MPZ103" s="4"/>
      <c r="MQA103" s="4"/>
      <c r="MQB103" s="4"/>
      <c r="MQC103" s="4"/>
      <c r="MQD103" s="4"/>
      <c r="MQE103" s="4"/>
      <c r="MQF103" s="4"/>
      <c r="MQG103" s="4"/>
      <c r="MQH103" s="4"/>
      <c r="MQI103" s="4"/>
      <c r="MQJ103" s="4"/>
      <c r="MQK103" s="4"/>
      <c r="MQL103" s="4"/>
      <c r="MQM103" s="4"/>
      <c r="MQN103" s="4"/>
      <c r="MQO103" s="4"/>
      <c r="MQP103" s="4"/>
      <c r="MQQ103" s="4"/>
      <c r="MQR103" s="4"/>
      <c r="MQS103" s="4"/>
      <c r="MQT103" s="4"/>
      <c r="MQU103" s="4"/>
      <c r="MQV103" s="4"/>
      <c r="MQW103" s="4"/>
      <c r="MQX103" s="4"/>
      <c r="MQY103" s="4"/>
      <c r="MQZ103" s="4"/>
      <c r="MRA103" s="4"/>
      <c r="MRB103" s="4"/>
      <c r="MRC103" s="4"/>
      <c r="MRD103" s="4"/>
      <c r="MRE103" s="4"/>
      <c r="MRF103" s="4"/>
      <c r="MRG103" s="4"/>
      <c r="MRH103" s="4"/>
      <c r="MRI103" s="4"/>
      <c r="MRJ103" s="4"/>
      <c r="MRK103" s="4"/>
      <c r="MRL103" s="4"/>
      <c r="MRM103" s="4"/>
      <c r="MRN103" s="4"/>
      <c r="MRO103" s="4"/>
      <c r="MRP103" s="4"/>
      <c r="MRQ103" s="4"/>
      <c r="MRR103" s="4"/>
      <c r="MRS103" s="4"/>
      <c r="MRT103" s="4"/>
      <c r="MRU103" s="4"/>
      <c r="MRV103" s="4"/>
      <c r="MRW103" s="4"/>
      <c r="MRX103" s="4"/>
      <c r="MRY103" s="4"/>
      <c r="MRZ103" s="4"/>
      <c r="MSA103" s="4"/>
      <c r="MSB103" s="4"/>
      <c r="MSC103" s="4"/>
      <c r="MSD103" s="4"/>
      <c r="MSE103" s="4"/>
      <c r="MSF103" s="4"/>
      <c r="MSG103" s="4"/>
      <c r="MSH103" s="4"/>
      <c r="MSI103" s="4"/>
      <c r="MSJ103" s="4"/>
      <c r="MSK103" s="4"/>
      <c r="MSL103" s="4"/>
      <c r="MSM103" s="4"/>
      <c r="MSN103" s="4"/>
      <c r="MSO103" s="4"/>
      <c r="MSP103" s="4"/>
      <c r="MSQ103" s="4"/>
      <c r="MSR103" s="4"/>
      <c r="MSS103" s="4"/>
      <c r="MST103" s="4"/>
      <c r="MSU103" s="4"/>
      <c r="MSV103" s="4"/>
      <c r="MSW103" s="4"/>
      <c r="MSX103" s="4"/>
      <c r="MSY103" s="4"/>
      <c r="MSZ103" s="4"/>
      <c r="MTA103" s="4"/>
      <c r="MTB103" s="4"/>
      <c r="MTC103" s="4"/>
      <c r="MTD103" s="4"/>
      <c r="MTE103" s="4"/>
      <c r="MTF103" s="4"/>
      <c r="MTG103" s="4"/>
      <c r="MTH103" s="4"/>
      <c r="MTI103" s="4"/>
      <c r="MTJ103" s="4"/>
      <c r="MTK103" s="4"/>
      <c r="MTL103" s="4"/>
      <c r="MTM103" s="4"/>
      <c r="MTN103" s="4"/>
      <c r="MTO103" s="4"/>
      <c r="MTP103" s="4"/>
      <c r="MTQ103" s="4"/>
      <c r="MTR103" s="4"/>
      <c r="MTS103" s="4"/>
      <c r="MTT103" s="4"/>
      <c r="MTU103" s="4"/>
      <c r="MTV103" s="4"/>
      <c r="MTW103" s="4"/>
      <c r="MTX103" s="4"/>
      <c r="MTY103" s="4"/>
      <c r="MTZ103" s="4"/>
      <c r="MUA103" s="4"/>
      <c r="MUB103" s="4"/>
      <c r="MUC103" s="4"/>
      <c r="MUD103" s="4"/>
      <c r="MUE103" s="4"/>
      <c r="MUF103" s="4"/>
      <c r="MUG103" s="4"/>
      <c r="MUH103" s="4"/>
      <c r="MUI103" s="4"/>
      <c r="MUJ103" s="4"/>
      <c r="MUK103" s="4"/>
      <c r="MUL103" s="4"/>
      <c r="MUM103" s="4"/>
      <c r="MUN103" s="4"/>
      <c r="MUO103" s="4"/>
      <c r="MUP103" s="4"/>
      <c r="MUQ103" s="4"/>
      <c r="MUR103" s="4"/>
      <c r="MUS103" s="4"/>
      <c r="MUT103" s="4"/>
      <c r="MUU103" s="4"/>
      <c r="MUV103" s="4"/>
      <c r="MUW103" s="4"/>
      <c r="MUX103" s="4"/>
      <c r="MUY103" s="4"/>
      <c r="MUZ103" s="4"/>
      <c r="MVA103" s="4"/>
      <c r="MVB103" s="4"/>
      <c r="MVC103" s="4"/>
      <c r="MVD103" s="4"/>
      <c r="MVE103" s="4"/>
      <c r="MVF103" s="4"/>
      <c r="MVG103" s="4"/>
      <c r="MVH103" s="4"/>
      <c r="MVI103" s="4"/>
      <c r="MVJ103" s="4"/>
      <c r="MVK103" s="4"/>
      <c r="MVL103" s="4"/>
      <c r="MVM103" s="4"/>
      <c r="MVN103" s="4"/>
      <c r="MVO103" s="4"/>
      <c r="MVP103" s="4"/>
      <c r="MVQ103" s="4"/>
      <c r="MVR103" s="4"/>
      <c r="MVS103" s="4"/>
      <c r="MVT103" s="4"/>
      <c r="MVU103" s="4"/>
      <c r="MVV103" s="4"/>
      <c r="MVW103" s="4"/>
      <c r="MVX103" s="4"/>
      <c r="MVY103" s="4"/>
      <c r="MVZ103" s="4"/>
      <c r="MWA103" s="4"/>
      <c r="MWB103" s="4"/>
      <c r="MWC103" s="4"/>
      <c r="MWD103" s="4"/>
      <c r="MWE103" s="4"/>
      <c r="MWF103" s="4"/>
      <c r="MWG103" s="4"/>
      <c r="MWH103" s="4"/>
      <c r="MWI103" s="4"/>
      <c r="MWJ103" s="4"/>
      <c r="MWK103" s="4"/>
      <c r="MWL103" s="4"/>
      <c r="MWM103" s="4"/>
      <c r="MWN103" s="4"/>
      <c r="MWO103" s="4"/>
      <c r="MWP103" s="4"/>
      <c r="MWQ103" s="4"/>
      <c r="MWR103" s="4"/>
      <c r="MWS103" s="4"/>
      <c r="MWT103" s="4"/>
      <c r="MWU103" s="4"/>
      <c r="MWV103" s="4"/>
      <c r="MWW103" s="4"/>
      <c r="MWX103" s="4"/>
      <c r="MWY103" s="4"/>
      <c r="MWZ103" s="4"/>
      <c r="MXA103" s="4"/>
      <c r="MXB103" s="4"/>
      <c r="MXC103" s="4"/>
      <c r="MXD103" s="4"/>
      <c r="MXE103" s="4"/>
      <c r="MXF103" s="4"/>
      <c r="MXG103" s="4"/>
      <c r="MXH103" s="4"/>
      <c r="MXI103" s="4"/>
      <c r="MXJ103" s="4"/>
      <c r="MXK103" s="4"/>
      <c r="MXL103" s="4"/>
      <c r="MXM103" s="4"/>
      <c r="MXN103" s="4"/>
      <c r="MXO103" s="4"/>
      <c r="MXP103" s="4"/>
      <c r="MXQ103" s="4"/>
      <c r="MXR103" s="4"/>
      <c r="MXS103" s="4"/>
      <c r="MXT103" s="4"/>
      <c r="MXU103" s="4"/>
      <c r="MXV103" s="4"/>
      <c r="MXW103" s="4"/>
      <c r="MXX103" s="4"/>
      <c r="MXY103" s="4"/>
      <c r="MXZ103" s="4"/>
      <c r="MYA103" s="4"/>
      <c r="MYB103" s="4"/>
      <c r="MYC103" s="4"/>
      <c r="MYD103" s="4"/>
      <c r="MYE103" s="4"/>
      <c r="MYF103" s="4"/>
      <c r="MYG103" s="4"/>
      <c r="MYH103" s="4"/>
      <c r="MYI103" s="4"/>
      <c r="MYJ103" s="4"/>
      <c r="MYK103" s="4"/>
      <c r="MYL103" s="4"/>
      <c r="MYM103" s="4"/>
      <c r="MYN103" s="4"/>
      <c r="MYO103" s="4"/>
      <c r="MYP103" s="4"/>
      <c r="MYQ103" s="4"/>
      <c r="MYR103" s="4"/>
      <c r="MYS103" s="4"/>
      <c r="MYT103" s="4"/>
      <c r="MYU103" s="4"/>
      <c r="MYV103" s="4"/>
      <c r="MYW103" s="4"/>
      <c r="MYX103" s="4"/>
      <c r="MYY103" s="4"/>
      <c r="MYZ103" s="4"/>
      <c r="MZA103" s="4"/>
      <c r="MZB103" s="4"/>
      <c r="MZC103" s="4"/>
      <c r="MZD103" s="4"/>
      <c r="MZE103" s="4"/>
      <c r="MZF103" s="4"/>
      <c r="MZG103" s="4"/>
      <c r="MZH103" s="4"/>
      <c r="MZI103" s="4"/>
      <c r="MZJ103" s="4"/>
      <c r="MZK103" s="4"/>
      <c r="MZL103" s="4"/>
      <c r="MZM103" s="4"/>
      <c r="MZN103" s="4"/>
      <c r="MZO103" s="4"/>
      <c r="MZP103" s="4"/>
      <c r="MZQ103" s="4"/>
      <c r="MZR103" s="4"/>
      <c r="MZS103" s="4"/>
      <c r="MZT103" s="4"/>
      <c r="MZU103" s="4"/>
      <c r="MZV103" s="4"/>
      <c r="MZW103" s="4"/>
      <c r="MZX103" s="4"/>
      <c r="MZY103" s="4"/>
      <c r="MZZ103" s="4"/>
      <c r="NAA103" s="4"/>
      <c r="NAB103" s="4"/>
      <c r="NAC103" s="4"/>
      <c r="NAD103" s="4"/>
      <c r="NAE103" s="4"/>
      <c r="NAF103" s="4"/>
      <c r="NAG103" s="4"/>
      <c r="NAH103" s="4"/>
      <c r="NAI103" s="4"/>
      <c r="NAJ103" s="4"/>
      <c r="NAK103" s="4"/>
      <c r="NAL103" s="4"/>
      <c r="NAM103" s="4"/>
      <c r="NAN103" s="4"/>
      <c r="NAO103" s="4"/>
      <c r="NAP103" s="4"/>
      <c r="NAQ103" s="4"/>
      <c r="NAR103" s="4"/>
      <c r="NAS103" s="4"/>
      <c r="NAT103" s="4"/>
      <c r="NAU103" s="4"/>
      <c r="NAV103" s="4"/>
      <c r="NAW103" s="4"/>
      <c r="NAX103" s="4"/>
      <c r="NAY103" s="4"/>
      <c r="NAZ103" s="4"/>
      <c r="NBA103" s="4"/>
      <c r="NBB103" s="4"/>
      <c r="NBC103" s="4"/>
      <c r="NBD103" s="4"/>
      <c r="NBE103" s="4"/>
      <c r="NBF103" s="4"/>
      <c r="NBG103" s="4"/>
      <c r="NBH103" s="4"/>
      <c r="NBI103" s="4"/>
      <c r="NBJ103" s="4"/>
      <c r="NBK103" s="4"/>
      <c r="NBL103" s="4"/>
      <c r="NBM103" s="4"/>
      <c r="NBN103" s="4"/>
      <c r="NBO103" s="4"/>
      <c r="NBP103" s="4"/>
      <c r="NBQ103" s="4"/>
      <c r="NBR103" s="4"/>
      <c r="NBS103" s="4"/>
      <c r="NBT103" s="4"/>
      <c r="NBU103" s="4"/>
      <c r="NBV103" s="4"/>
      <c r="NBW103" s="4"/>
      <c r="NBX103" s="4"/>
      <c r="NBY103" s="4"/>
      <c r="NBZ103" s="4"/>
      <c r="NCA103" s="4"/>
      <c r="NCB103" s="4"/>
      <c r="NCC103" s="4"/>
      <c r="NCD103" s="4"/>
      <c r="NCE103" s="4"/>
      <c r="NCF103" s="4"/>
      <c r="NCG103" s="4"/>
      <c r="NCH103" s="4"/>
      <c r="NCI103" s="4"/>
      <c r="NCJ103" s="4"/>
      <c r="NCK103" s="4"/>
      <c r="NCL103" s="4"/>
      <c r="NCM103" s="4"/>
      <c r="NCN103" s="4"/>
      <c r="NCO103" s="4"/>
      <c r="NCP103" s="4"/>
      <c r="NCQ103" s="4"/>
      <c r="NCR103" s="4"/>
      <c r="NCS103" s="4"/>
      <c r="NCT103" s="4"/>
      <c r="NCU103" s="4"/>
      <c r="NCV103" s="4"/>
      <c r="NCW103" s="4"/>
      <c r="NCX103" s="4"/>
      <c r="NCY103" s="4"/>
      <c r="NCZ103" s="4"/>
      <c r="NDA103" s="4"/>
      <c r="NDB103" s="4"/>
      <c r="NDC103" s="4"/>
      <c r="NDD103" s="4"/>
      <c r="NDE103" s="4"/>
      <c r="NDF103" s="4"/>
      <c r="NDG103" s="4"/>
      <c r="NDH103" s="4"/>
      <c r="NDI103" s="4"/>
      <c r="NDJ103" s="4"/>
      <c r="NDK103" s="4"/>
      <c r="NDL103" s="4"/>
      <c r="NDM103" s="4"/>
      <c r="NDN103" s="4"/>
      <c r="NDO103" s="4"/>
      <c r="NDP103" s="4"/>
      <c r="NDQ103" s="4"/>
      <c r="NDR103" s="4"/>
      <c r="NDS103" s="4"/>
      <c r="NDT103" s="4"/>
      <c r="NDU103" s="4"/>
      <c r="NDV103" s="4"/>
      <c r="NDW103" s="4"/>
      <c r="NDX103" s="4"/>
      <c r="NDY103" s="4"/>
      <c r="NDZ103" s="4"/>
      <c r="NEA103" s="4"/>
      <c r="NEB103" s="4"/>
      <c r="NEC103" s="4"/>
      <c r="NED103" s="4"/>
      <c r="NEE103" s="4"/>
      <c r="NEF103" s="4"/>
      <c r="NEG103" s="4"/>
      <c r="NEH103" s="4"/>
      <c r="NEI103" s="4"/>
      <c r="NEJ103" s="4"/>
      <c r="NEK103" s="4"/>
      <c r="NEL103" s="4"/>
      <c r="NEM103" s="4"/>
      <c r="NEN103" s="4"/>
      <c r="NEO103" s="4"/>
      <c r="NEP103" s="4"/>
      <c r="NEQ103" s="4"/>
      <c r="NER103" s="4"/>
      <c r="NES103" s="4"/>
      <c r="NET103" s="4"/>
      <c r="NEU103" s="4"/>
      <c r="NEV103" s="4"/>
      <c r="NEW103" s="4"/>
      <c r="NEX103" s="4"/>
      <c r="NEY103" s="4"/>
      <c r="NEZ103" s="4"/>
      <c r="NFA103" s="4"/>
      <c r="NFB103" s="4"/>
      <c r="NFC103" s="4"/>
      <c r="NFD103" s="4"/>
      <c r="NFE103" s="4"/>
      <c r="NFF103" s="4"/>
      <c r="NFG103" s="4"/>
      <c r="NFH103" s="4"/>
      <c r="NFI103" s="4"/>
      <c r="NFJ103" s="4"/>
      <c r="NFK103" s="4"/>
      <c r="NFL103" s="4"/>
      <c r="NFM103" s="4"/>
      <c r="NFN103" s="4"/>
      <c r="NFO103" s="4"/>
      <c r="NFP103" s="4"/>
      <c r="NFQ103" s="4"/>
      <c r="NFR103" s="4"/>
      <c r="NFS103" s="4"/>
      <c r="NFT103" s="4"/>
      <c r="NFU103" s="4"/>
      <c r="NFV103" s="4"/>
      <c r="NFW103" s="4"/>
      <c r="NFX103" s="4"/>
      <c r="NFY103" s="4"/>
      <c r="NFZ103" s="4"/>
      <c r="NGA103" s="4"/>
      <c r="NGB103" s="4"/>
      <c r="NGC103" s="4"/>
      <c r="NGD103" s="4"/>
      <c r="NGE103" s="4"/>
      <c r="NGF103" s="4"/>
      <c r="NGG103" s="4"/>
      <c r="NGH103" s="4"/>
      <c r="NGI103" s="4"/>
      <c r="NGJ103" s="4"/>
      <c r="NGK103" s="4"/>
      <c r="NGL103" s="4"/>
      <c r="NGM103" s="4"/>
      <c r="NGN103" s="4"/>
      <c r="NGO103" s="4"/>
      <c r="NGP103" s="4"/>
      <c r="NGQ103" s="4"/>
      <c r="NGR103" s="4"/>
      <c r="NGS103" s="4"/>
      <c r="NGT103" s="4"/>
      <c r="NGU103" s="4"/>
      <c r="NGV103" s="4"/>
      <c r="NGW103" s="4"/>
      <c r="NGX103" s="4"/>
      <c r="NGY103" s="4"/>
      <c r="NGZ103" s="4"/>
      <c r="NHA103" s="4"/>
      <c r="NHB103" s="4"/>
      <c r="NHC103" s="4"/>
      <c r="NHD103" s="4"/>
      <c r="NHE103" s="4"/>
      <c r="NHF103" s="4"/>
      <c r="NHG103" s="4"/>
      <c r="NHH103" s="4"/>
      <c r="NHI103" s="4"/>
      <c r="NHJ103" s="4"/>
      <c r="NHK103" s="4"/>
      <c r="NHL103" s="4"/>
      <c r="NHM103" s="4"/>
      <c r="NHN103" s="4"/>
      <c r="NHO103" s="4"/>
      <c r="NHP103" s="4"/>
      <c r="NHQ103" s="4"/>
      <c r="NHR103" s="4"/>
      <c r="NHS103" s="4"/>
      <c r="NHT103" s="4"/>
      <c r="NHU103" s="4"/>
      <c r="NHV103" s="4"/>
      <c r="NHW103" s="4"/>
      <c r="NHX103" s="4"/>
      <c r="NHY103" s="4"/>
      <c r="NHZ103" s="4"/>
      <c r="NIA103" s="4"/>
      <c r="NIB103" s="4"/>
      <c r="NIC103" s="4"/>
      <c r="NID103" s="4"/>
      <c r="NIE103" s="4"/>
      <c r="NIF103" s="4"/>
      <c r="NIG103" s="4"/>
      <c r="NIH103" s="4"/>
      <c r="NII103" s="4"/>
      <c r="NIJ103" s="4"/>
      <c r="NIK103" s="4"/>
      <c r="NIL103" s="4"/>
      <c r="NIM103" s="4"/>
      <c r="NIN103" s="4"/>
      <c r="NIO103" s="4"/>
      <c r="NIP103" s="4"/>
      <c r="NIQ103" s="4"/>
      <c r="NIR103" s="4"/>
      <c r="NIS103" s="4"/>
      <c r="NIT103" s="4"/>
      <c r="NIU103" s="4"/>
      <c r="NIV103" s="4"/>
      <c r="NIW103" s="4"/>
      <c r="NIX103" s="4"/>
      <c r="NIY103" s="4"/>
      <c r="NIZ103" s="4"/>
      <c r="NJA103" s="4"/>
      <c r="NJB103" s="4"/>
      <c r="NJC103" s="4"/>
      <c r="NJD103" s="4"/>
      <c r="NJE103" s="4"/>
      <c r="NJF103" s="4"/>
      <c r="NJG103" s="4"/>
      <c r="NJH103" s="4"/>
      <c r="NJI103" s="4"/>
      <c r="NJJ103" s="4"/>
      <c r="NJK103" s="4"/>
      <c r="NJL103" s="4"/>
      <c r="NJM103" s="4"/>
      <c r="NJN103" s="4"/>
      <c r="NJO103" s="4"/>
      <c r="NJP103" s="4"/>
      <c r="NJQ103" s="4"/>
      <c r="NJR103" s="4"/>
      <c r="NJS103" s="4"/>
      <c r="NJT103" s="4"/>
      <c r="NJU103" s="4"/>
      <c r="NJV103" s="4"/>
      <c r="NJW103" s="4"/>
      <c r="NJX103" s="4"/>
      <c r="NJY103" s="4"/>
      <c r="NJZ103" s="4"/>
      <c r="NKA103" s="4"/>
      <c r="NKB103" s="4"/>
      <c r="NKC103" s="4"/>
      <c r="NKD103" s="4"/>
      <c r="NKE103" s="4"/>
      <c r="NKF103" s="4"/>
      <c r="NKG103" s="4"/>
      <c r="NKH103" s="4"/>
      <c r="NKI103" s="4"/>
      <c r="NKJ103" s="4"/>
      <c r="NKK103" s="4"/>
      <c r="NKL103" s="4"/>
      <c r="NKM103" s="4"/>
      <c r="NKN103" s="4"/>
      <c r="NKO103" s="4"/>
      <c r="NKP103" s="4"/>
      <c r="NKQ103" s="4"/>
      <c r="NKR103" s="4"/>
      <c r="NKS103" s="4"/>
      <c r="NKT103" s="4"/>
      <c r="NKU103" s="4"/>
      <c r="NKV103" s="4"/>
      <c r="NKW103" s="4"/>
      <c r="NKX103" s="4"/>
      <c r="NKY103" s="4"/>
      <c r="NKZ103" s="4"/>
      <c r="NLA103" s="4"/>
      <c r="NLB103" s="4"/>
      <c r="NLC103" s="4"/>
      <c r="NLD103" s="4"/>
      <c r="NLE103" s="4"/>
      <c r="NLF103" s="4"/>
      <c r="NLG103" s="4"/>
      <c r="NLH103" s="4"/>
      <c r="NLI103" s="4"/>
      <c r="NLJ103" s="4"/>
      <c r="NLK103" s="4"/>
      <c r="NLL103" s="4"/>
      <c r="NLM103" s="4"/>
      <c r="NLN103" s="4"/>
      <c r="NLO103" s="4"/>
      <c r="NLP103" s="4"/>
      <c r="NLQ103" s="4"/>
      <c r="NLR103" s="4"/>
      <c r="NLS103" s="4"/>
      <c r="NLT103" s="4"/>
      <c r="NLU103" s="4"/>
      <c r="NLV103" s="4"/>
      <c r="NLW103" s="4"/>
      <c r="NLX103" s="4"/>
      <c r="NLY103" s="4"/>
      <c r="NLZ103" s="4"/>
      <c r="NMA103" s="4"/>
      <c r="NMB103" s="4"/>
      <c r="NMC103" s="4"/>
      <c r="NMD103" s="4"/>
      <c r="NME103" s="4"/>
      <c r="NMF103" s="4"/>
      <c r="NMG103" s="4"/>
      <c r="NMH103" s="4"/>
      <c r="NMI103" s="4"/>
      <c r="NMJ103" s="4"/>
      <c r="NMK103" s="4"/>
      <c r="NML103" s="4"/>
      <c r="NMM103" s="4"/>
      <c r="NMN103" s="4"/>
      <c r="NMO103" s="4"/>
      <c r="NMP103" s="4"/>
      <c r="NMQ103" s="4"/>
      <c r="NMR103" s="4"/>
      <c r="NMS103" s="4"/>
      <c r="NMT103" s="4"/>
      <c r="NMU103" s="4"/>
      <c r="NMV103" s="4"/>
      <c r="NMW103" s="4"/>
      <c r="NMX103" s="4"/>
      <c r="NMY103" s="4"/>
      <c r="NMZ103" s="4"/>
      <c r="NNA103" s="4"/>
      <c r="NNB103" s="4"/>
      <c r="NNC103" s="4"/>
      <c r="NND103" s="4"/>
      <c r="NNE103" s="4"/>
      <c r="NNF103" s="4"/>
      <c r="NNG103" s="4"/>
      <c r="NNH103" s="4"/>
      <c r="NNI103" s="4"/>
      <c r="NNJ103" s="4"/>
      <c r="NNK103" s="4"/>
      <c r="NNL103" s="4"/>
      <c r="NNM103" s="4"/>
      <c r="NNN103" s="4"/>
      <c r="NNO103" s="4"/>
      <c r="NNP103" s="4"/>
      <c r="NNQ103" s="4"/>
      <c r="NNR103" s="4"/>
      <c r="NNS103" s="4"/>
      <c r="NNT103" s="4"/>
      <c r="NNU103" s="4"/>
      <c r="NNV103" s="4"/>
      <c r="NNW103" s="4"/>
      <c r="NNX103" s="4"/>
      <c r="NNY103" s="4"/>
      <c r="NNZ103" s="4"/>
      <c r="NOA103" s="4"/>
      <c r="NOB103" s="4"/>
      <c r="NOC103" s="4"/>
      <c r="NOD103" s="4"/>
      <c r="NOE103" s="4"/>
      <c r="NOF103" s="4"/>
      <c r="NOG103" s="4"/>
      <c r="NOH103" s="4"/>
      <c r="NOI103" s="4"/>
      <c r="NOJ103" s="4"/>
      <c r="NOK103" s="4"/>
      <c r="NOL103" s="4"/>
      <c r="NOM103" s="4"/>
      <c r="NON103" s="4"/>
      <c r="NOO103" s="4"/>
      <c r="NOP103" s="4"/>
      <c r="NOQ103" s="4"/>
      <c r="NOR103" s="4"/>
      <c r="NOS103" s="4"/>
      <c r="NOT103" s="4"/>
      <c r="NOU103" s="4"/>
      <c r="NOV103" s="4"/>
      <c r="NOW103" s="4"/>
      <c r="NOX103" s="4"/>
      <c r="NOY103" s="4"/>
      <c r="NOZ103" s="4"/>
      <c r="NPA103" s="4"/>
      <c r="NPB103" s="4"/>
      <c r="NPC103" s="4"/>
      <c r="NPD103" s="4"/>
      <c r="NPE103" s="4"/>
      <c r="NPF103" s="4"/>
      <c r="NPG103" s="4"/>
      <c r="NPH103" s="4"/>
      <c r="NPI103" s="4"/>
      <c r="NPJ103" s="4"/>
      <c r="NPK103" s="4"/>
      <c r="NPL103" s="4"/>
      <c r="NPM103" s="4"/>
      <c r="NPN103" s="4"/>
      <c r="NPO103" s="4"/>
      <c r="NPP103" s="4"/>
      <c r="NPQ103" s="4"/>
      <c r="NPR103" s="4"/>
      <c r="NPS103" s="4"/>
      <c r="NPT103" s="4"/>
      <c r="NPU103" s="4"/>
      <c r="NPV103" s="4"/>
      <c r="NPW103" s="4"/>
      <c r="NPX103" s="4"/>
      <c r="NPY103" s="4"/>
      <c r="NPZ103" s="4"/>
      <c r="NQA103" s="4"/>
      <c r="NQB103" s="4"/>
      <c r="NQC103" s="4"/>
      <c r="NQD103" s="4"/>
      <c r="NQE103" s="4"/>
      <c r="NQF103" s="4"/>
      <c r="NQG103" s="4"/>
      <c r="NQH103" s="4"/>
      <c r="NQI103" s="4"/>
      <c r="NQJ103" s="4"/>
      <c r="NQK103" s="4"/>
      <c r="NQL103" s="4"/>
      <c r="NQM103" s="4"/>
      <c r="NQN103" s="4"/>
      <c r="NQO103" s="4"/>
      <c r="NQP103" s="4"/>
      <c r="NQQ103" s="4"/>
      <c r="NQR103" s="4"/>
      <c r="NQS103" s="4"/>
      <c r="NQT103" s="4"/>
      <c r="NQU103" s="4"/>
      <c r="NQV103" s="4"/>
      <c r="NQW103" s="4"/>
      <c r="NQX103" s="4"/>
      <c r="NQY103" s="4"/>
      <c r="NQZ103" s="4"/>
      <c r="NRA103" s="4"/>
      <c r="NRB103" s="4"/>
      <c r="NRC103" s="4"/>
      <c r="NRD103" s="4"/>
      <c r="NRE103" s="4"/>
      <c r="NRF103" s="4"/>
      <c r="NRG103" s="4"/>
      <c r="NRH103" s="4"/>
      <c r="NRI103" s="4"/>
      <c r="NRJ103" s="4"/>
      <c r="NRK103" s="4"/>
      <c r="NRL103" s="4"/>
      <c r="NRM103" s="4"/>
      <c r="NRN103" s="4"/>
      <c r="NRO103" s="4"/>
      <c r="NRP103" s="4"/>
      <c r="NRQ103" s="4"/>
      <c r="NRR103" s="4"/>
      <c r="NRS103" s="4"/>
      <c r="NRT103" s="4"/>
      <c r="NRU103" s="4"/>
      <c r="NRV103" s="4"/>
      <c r="NRW103" s="4"/>
      <c r="NRX103" s="4"/>
      <c r="NRY103" s="4"/>
      <c r="NRZ103" s="4"/>
      <c r="NSA103" s="4"/>
      <c r="NSB103" s="4"/>
      <c r="NSC103" s="4"/>
      <c r="NSD103" s="4"/>
      <c r="NSE103" s="4"/>
      <c r="NSF103" s="4"/>
      <c r="NSG103" s="4"/>
      <c r="NSH103" s="4"/>
      <c r="NSI103" s="4"/>
      <c r="NSJ103" s="4"/>
      <c r="NSK103" s="4"/>
      <c r="NSL103" s="4"/>
      <c r="NSM103" s="4"/>
      <c r="NSN103" s="4"/>
      <c r="NSO103" s="4"/>
      <c r="NSP103" s="4"/>
      <c r="NSQ103" s="4"/>
      <c r="NSR103" s="4"/>
      <c r="NSS103" s="4"/>
      <c r="NST103" s="4"/>
      <c r="NSU103" s="4"/>
      <c r="NSV103" s="4"/>
      <c r="NSW103" s="4"/>
      <c r="NSX103" s="4"/>
      <c r="NSY103" s="4"/>
      <c r="NSZ103" s="4"/>
      <c r="NTA103" s="4"/>
      <c r="NTB103" s="4"/>
      <c r="NTC103" s="4"/>
      <c r="NTD103" s="4"/>
      <c r="NTE103" s="4"/>
      <c r="NTF103" s="4"/>
      <c r="NTG103" s="4"/>
      <c r="NTH103" s="4"/>
      <c r="NTI103" s="4"/>
      <c r="NTJ103" s="4"/>
      <c r="NTK103" s="4"/>
      <c r="NTL103" s="4"/>
      <c r="NTM103" s="4"/>
      <c r="NTN103" s="4"/>
      <c r="NTO103" s="4"/>
      <c r="NTP103" s="4"/>
      <c r="NTQ103" s="4"/>
      <c r="NTR103" s="4"/>
      <c r="NTS103" s="4"/>
      <c r="NTT103" s="4"/>
      <c r="NTU103" s="4"/>
      <c r="NTV103" s="4"/>
      <c r="NTW103" s="4"/>
      <c r="NTX103" s="4"/>
      <c r="NTY103" s="4"/>
      <c r="NTZ103" s="4"/>
      <c r="NUA103" s="4"/>
      <c r="NUB103" s="4"/>
      <c r="NUC103" s="4"/>
      <c r="NUD103" s="4"/>
      <c r="NUE103" s="4"/>
      <c r="NUF103" s="4"/>
      <c r="NUG103" s="4"/>
      <c r="NUH103" s="4"/>
      <c r="NUI103" s="4"/>
      <c r="NUJ103" s="4"/>
      <c r="NUK103" s="4"/>
      <c r="NUL103" s="4"/>
      <c r="NUM103" s="4"/>
      <c r="NUN103" s="4"/>
      <c r="NUO103" s="4"/>
      <c r="NUP103" s="4"/>
      <c r="NUQ103" s="4"/>
      <c r="NUR103" s="4"/>
      <c r="NUS103" s="4"/>
      <c r="NUT103" s="4"/>
      <c r="NUU103" s="4"/>
      <c r="NUV103" s="4"/>
      <c r="NUW103" s="4"/>
      <c r="NUX103" s="4"/>
      <c r="NUY103" s="4"/>
      <c r="NUZ103" s="4"/>
      <c r="NVA103" s="4"/>
      <c r="NVB103" s="4"/>
      <c r="NVC103" s="4"/>
      <c r="NVD103" s="4"/>
      <c r="NVE103" s="4"/>
      <c r="NVF103" s="4"/>
      <c r="NVG103" s="4"/>
      <c r="NVH103" s="4"/>
      <c r="NVI103" s="4"/>
      <c r="NVJ103" s="4"/>
      <c r="NVK103" s="4"/>
      <c r="NVL103" s="4"/>
      <c r="NVM103" s="4"/>
      <c r="NVN103" s="4"/>
      <c r="NVO103" s="4"/>
      <c r="NVP103" s="4"/>
      <c r="NVQ103" s="4"/>
      <c r="NVR103" s="4"/>
      <c r="NVS103" s="4"/>
      <c r="NVT103" s="4"/>
      <c r="NVU103" s="4"/>
      <c r="NVV103" s="4"/>
      <c r="NVW103" s="4"/>
      <c r="NVX103" s="4"/>
      <c r="NVY103" s="4"/>
      <c r="NVZ103" s="4"/>
      <c r="NWA103" s="4"/>
      <c r="NWB103" s="4"/>
      <c r="NWC103" s="4"/>
      <c r="NWD103" s="4"/>
      <c r="NWE103" s="4"/>
      <c r="NWF103" s="4"/>
      <c r="NWG103" s="4"/>
      <c r="NWH103" s="4"/>
      <c r="NWI103" s="4"/>
      <c r="NWJ103" s="4"/>
      <c r="NWK103" s="4"/>
      <c r="NWL103" s="4"/>
      <c r="NWM103" s="4"/>
      <c r="NWN103" s="4"/>
      <c r="NWO103" s="4"/>
      <c r="NWP103" s="4"/>
      <c r="NWQ103" s="4"/>
      <c r="NWR103" s="4"/>
      <c r="NWS103" s="4"/>
      <c r="NWT103" s="4"/>
      <c r="NWU103" s="4"/>
      <c r="NWV103" s="4"/>
      <c r="NWW103" s="4"/>
      <c r="NWX103" s="4"/>
      <c r="NWY103" s="4"/>
      <c r="NWZ103" s="4"/>
      <c r="NXA103" s="4"/>
      <c r="NXB103" s="4"/>
      <c r="NXC103" s="4"/>
      <c r="NXD103" s="4"/>
      <c r="NXE103" s="4"/>
      <c r="NXF103" s="4"/>
      <c r="NXG103" s="4"/>
      <c r="NXH103" s="4"/>
      <c r="NXI103" s="4"/>
      <c r="NXJ103" s="4"/>
      <c r="NXK103" s="4"/>
      <c r="NXL103" s="4"/>
      <c r="NXM103" s="4"/>
      <c r="NXN103" s="4"/>
      <c r="NXO103" s="4"/>
      <c r="NXP103" s="4"/>
      <c r="NXQ103" s="4"/>
      <c r="NXR103" s="4"/>
      <c r="NXS103" s="4"/>
      <c r="NXT103" s="4"/>
      <c r="NXU103" s="4"/>
      <c r="NXV103" s="4"/>
      <c r="NXW103" s="4"/>
      <c r="NXX103" s="4"/>
      <c r="NXY103" s="4"/>
      <c r="NXZ103" s="4"/>
      <c r="NYA103" s="4"/>
      <c r="NYB103" s="4"/>
      <c r="NYC103" s="4"/>
      <c r="NYD103" s="4"/>
      <c r="NYE103" s="4"/>
      <c r="NYF103" s="4"/>
      <c r="NYG103" s="4"/>
      <c r="NYH103" s="4"/>
      <c r="NYI103" s="4"/>
      <c r="NYJ103" s="4"/>
      <c r="NYK103" s="4"/>
      <c r="NYL103" s="4"/>
      <c r="NYM103" s="4"/>
      <c r="NYN103" s="4"/>
      <c r="NYO103" s="4"/>
      <c r="NYP103" s="4"/>
      <c r="NYQ103" s="4"/>
      <c r="NYR103" s="4"/>
      <c r="NYS103" s="4"/>
      <c r="NYT103" s="4"/>
      <c r="NYU103" s="4"/>
      <c r="NYV103" s="4"/>
      <c r="NYW103" s="4"/>
      <c r="NYX103" s="4"/>
      <c r="NYY103" s="4"/>
      <c r="NYZ103" s="4"/>
      <c r="NZA103" s="4"/>
      <c r="NZB103" s="4"/>
      <c r="NZC103" s="4"/>
      <c r="NZD103" s="4"/>
      <c r="NZE103" s="4"/>
      <c r="NZF103" s="4"/>
      <c r="NZG103" s="4"/>
      <c r="NZH103" s="4"/>
      <c r="NZI103" s="4"/>
      <c r="NZJ103" s="4"/>
      <c r="NZK103" s="4"/>
      <c r="NZL103" s="4"/>
      <c r="NZM103" s="4"/>
      <c r="NZN103" s="4"/>
      <c r="NZO103" s="4"/>
      <c r="NZP103" s="4"/>
      <c r="NZQ103" s="4"/>
      <c r="NZR103" s="4"/>
      <c r="NZS103" s="4"/>
      <c r="NZT103" s="4"/>
      <c r="NZU103" s="4"/>
      <c r="NZV103" s="4"/>
      <c r="NZW103" s="4"/>
      <c r="NZX103" s="4"/>
      <c r="NZY103" s="4"/>
      <c r="NZZ103" s="4"/>
      <c r="OAA103" s="4"/>
      <c r="OAB103" s="4"/>
      <c r="OAC103" s="4"/>
      <c r="OAD103" s="4"/>
      <c r="OAE103" s="4"/>
      <c r="OAF103" s="4"/>
      <c r="OAG103" s="4"/>
      <c r="OAH103" s="4"/>
      <c r="OAI103" s="4"/>
      <c r="OAJ103" s="4"/>
      <c r="OAK103" s="4"/>
      <c r="OAL103" s="4"/>
      <c r="OAM103" s="4"/>
      <c r="OAN103" s="4"/>
      <c r="OAO103" s="4"/>
      <c r="OAP103" s="4"/>
      <c r="OAQ103" s="4"/>
      <c r="OAR103" s="4"/>
      <c r="OAS103" s="4"/>
      <c r="OAT103" s="4"/>
      <c r="OAU103" s="4"/>
      <c r="OAV103" s="4"/>
      <c r="OAW103" s="4"/>
      <c r="OAX103" s="4"/>
      <c r="OAY103" s="4"/>
      <c r="OAZ103" s="4"/>
      <c r="OBA103" s="4"/>
      <c r="OBB103" s="4"/>
      <c r="OBC103" s="4"/>
      <c r="OBD103" s="4"/>
      <c r="OBE103" s="4"/>
      <c r="OBF103" s="4"/>
      <c r="OBG103" s="4"/>
      <c r="OBH103" s="4"/>
      <c r="OBI103" s="4"/>
      <c r="OBJ103" s="4"/>
      <c r="OBK103" s="4"/>
      <c r="OBL103" s="4"/>
      <c r="OBM103" s="4"/>
      <c r="OBN103" s="4"/>
      <c r="OBO103" s="4"/>
      <c r="OBP103" s="4"/>
      <c r="OBQ103" s="4"/>
      <c r="OBR103" s="4"/>
      <c r="OBS103" s="4"/>
      <c r="OBT103" s="4"/>
      <c r="OBU103" s="4"/>
      <c r="OBV103" s="4"/>
      <c r="OBW103" s="4"/>
      <c r="OBX103" s="4"/>
      <c r="OBY103" s="4"/>
      <c r="OBZ103" s="4"/>
      <c r="OCA103" s="4"/>
      <c r="OCB103" s="4"/>
      <c r="OCC103" s="4"/>
      <c r="OCD103" s="4"/>
      <c r="OCE103" s="4"/>
      <c r="OCF103" s="4"/>
      <c r="OCG103" s="4"/>
      <c r="OCH103" s="4"/>
      <c r="OCI103" s="4"/>
      <c r="OCJ103" s="4"/>
      <c r="OCK103" s="4"/>
      <c r="OCL103" s="4"/>
      <c r="OCM103" s="4"/>
      <c r="OCN103" s="4"/>
      <c r="OCO103" s="4"/>
      <c r="OCP103" s="4"/>
      <c r="OCQ103" s="4"/>
      <c r="OCR103" s="4"/>
      <c r="OCS103" s="4"/>
      <c r="OCT103" s="4"/>
      <c r="OCU103" s="4"/>
      <c r="OCV103" s="4"/>
      <c r="OCW103" s="4"/>
      <c r="OCX103" s="4"/>
      <c r="OCY103" s="4"/>
      <c r="OCZ103" s="4"/>
      <c r="ODA103" s="4"/>
      <c r="ODB103" s="4"/>
      <c r="ODC103" s="4"/>
      <c r="ODD103" s="4"/>
      <c r="ODE103" s="4"/>
      <c r="ODF103" s="4"/>
      <c r="ODG103" s="4"/>
      <c r="ODH103" s="4"/>
      <c r="ODI103" s="4"/>
      <c r="ODJ103" s="4"/>
      <c r="ODK103" s="4"/>
      <c r="ODL103" s="4"/>
      <c r="ODM103" s="4"/>
      <c r="ODN103" s="4"/>
      <c r="ODO103" s="4"/>
      <c r="ODP103" s="4"/>
      <c r="ODQ103" s="4"/>
      <c r="ODR103" s="4"/>
      <c r="ODS103" s="4"/>
      <c r="ODT103" s="4"/>
      <c r="ODU103" s="4"/>
      <c r="ODV103" s="4"/>
      <c r="ODW103" s="4"/>
      <c r="ODX103" s="4"/>
      <c r="ODY103" s="4"/>
      <c r="ODZ103" s="4"/>
      <c r="OEA103" s="4"/>
      <c r="OEB103" s="4"/>
      <c r="OEC103" s="4"/>
      <c r="OED103" s="4"/>
      <c r="OEE103" s="4"/>
      <c r="OEF103" s="4"/>
      <c r="OEG103" s="4"/>
      <c r="OEH103" s="4"/>
      <c r="OEI103" s="4"/>
      <c r="OEJ103" s="4"/>
      <c r="OEK103" s="4"/>
      <c r="OEL103" s="4"/>
      <c r="OEM103" s="4"/>
      <c r="OEN103" s="4"/>
      <c r="OEO103" s="4"/>
      <c r="OEP103" s="4"/>
      <c r="OEQ103" s="4"/>
      <c r="OER103" s="4"/>
      <c r="OES103" s="4"/>
      <c r="OET103" s="4"/>
      <c r="OEU103" s="4"/>
      <c r="OEV103" s="4"/>
      <c r="OEW103" s="4"/>
      <c r="OEX103" s="4"/>
      <c r="OEY103" s="4"/>
      <c r="OEZ103" s="4"/>
      <c r="OFA103" s="4"/>
      <c r="OFB103" s="4"/>
      <c r="OFC103" s="4"/>
      <c r="OFD103" s="4"/>
      <c r="OFE103" s="4"/>
      <c r="OFF103" s="4"/>
      <c r="OFG103" s="4"/>
      <c r="OFH103" s="4"/>
      <c r="OFI103" s="4"/>
      <c r="OFJ103" s="4"/>
      <c r="OFK103" s="4"/>
      <c r="OFL103" s="4"/>
      <c r="OFM103" s="4"/>
      <c r="OFN103" s="4"/>
      <c r="OFO103" s="4"/>
      <c r="OFP103" s="4"/>
      <c r="OFQ103" s="4"/>
      <c r="OFR103" s="4"/>
      <c r="OFS103" s="4"/>
      <c r="OFT103" s="4"/>
      <c r="OFU103" s="4"/>
      <c r="OFV103" s="4"/>
      <c r="OFW103" s="4"/>
      <c r="OFX103" s="4"/>
      <c r="OFY103" s="4"/>
      <c r="OFZ103" s="4"/>
      <c r="OGA103" s="4"/>
      <c r="OGB103" s="4"/>
      <c r="OGC103" s="4"/>
      <c r="OGD103" s="4"/>
      <c r="OGE103" s="4"/>
      <c r="OGF103" s="4"/>
      <c r="OGG103" s="4"/>
      <c r="OGH103" s="4"/>
      <c r="OGI103" s="4"/>
      <c r="OGJ103" s="4"/>
      <c r="OGK103" s="4"/>
      <c r="OGL103" s="4"/>
      <c r="OGM103" s="4"/>
      <c r="OGN103" s="4"/>
      <c r="OGO103" s="4"/>
      <c r="OGP103" s="4"/>
      <c r="OGQ103" s="4"/>
      <c r="OGR103" s="4"/>
      <c r="OGS103" s="4"/>
      <c r="OGT103" s="4"/>
      <c r="OGU103" s="4"/>
      <c r="OGV103" s="4"/>
      <c r="OGW103" s="4"/>
      <c r="OGX103" s="4"/>
      <c r="OGY103" s="4"/>
      <c r="OGZ103" s="4"/>
      <c r="OHA103" s="4"/>
      <c r="OHB103" s="4"/>
      <c r="OHC103" s="4"/>
      <c r="OHD103" s="4"/>
      <c r="OHE103" s="4"/>
      <c r="OHF103" s="4"/>
      <c r="OHG103" s="4"/>
      <c r="OHH103" s="4"/>
      <c r="OHI103" s="4"/>
      <c r="OHJ103" s="4"/>
      <c r="OHK103" s="4"/>
      <c r="OHL103" s="4"/>
      <c r="OHM103" s="4"/>
      <c r="OHN103" s="4"/>
      <c r="OHO103" s="4"/>
      <c r="OHP103" s="4"/>
      <c r="OHQ103" s="4"/>
      <c r="OHR103" s="4"/>
      <c r="OHS103" s="4"/>
      <c r="OHT103" s="4"/>
      <c r="OHU103" s="4"/>
      <c r="OHV103" s="4"/>
      <c r="OHW103" s="4"/>
      <c r="OHX103" s="4"/>
      <c r="OHY103" s="4"/>
      <c r="OHZ103" s="4"/>
      <c r="OIA103" s="4"/>
      <c r="OIB103" s="4"/>
      <c r="OIC103" s="4"/>
      <c r="OID103" s="4"/>
      <c r="OIE103" s="4"/>
      <c r="OIF103" s="4"/>
      <c r="OIG103" s="4"/>
      <c r="OIH103" s="4"/>
      <c r="OII103" s="4"/>
      <c r="OIJ103" s="4"/>
      <c r="OIK103" s="4"/>
      <c r="OIL103" s="4"/>
      <c r="OIM103" s="4"/>
      <c r="OIN103" s="4"/>
      <c r="OIO103" s="4"/>
      <c r="OIP103" s="4"/>
      <c r="OIQ103" s="4"/>
      <c r="OIR103" s="4"/>
      <c r="OIS103" s="4"/>
      <c r="OIT103" s="4"/>
      <c r="OIU103" s="4"/>
      <c r="OIV103" s="4"/>
      <c r="OIW103" s="4"/>
      <c r="OIX103" s="4"/>
      <c r="OIY103" s="4"/>
      <c r="OIZ103" s="4"/>
      <c r="OJA103" s="4"/>
      <c r="OJB103" s="4"/>
      <c r="OJC103" s="4"/>
      <c r="OJD103" s="4"/>
      <c r="OJE103" s="4"/>
      <c r="OJF103" s="4"/>
      <c r="OJG103" s="4"/>
      <c r="OJH103" s="4"/>
      <c r="OJI103" s="4"/>
      <c r="OJJ103" s="4"/>
      <c r="OJK103" s="4"/>
      <c r="OJL103" s="4"/>
      <c r="OJM103" s="4"/>
      <c r="OJN103" s="4"/>
      <c r="OJO103" s="4"/>
      <c r="OJP103" s="4"/>
      <c r="OJQ103" s="4"/>
      <c r="OJR103" s="4"/>
      <c r="OJS103" s="4"/>
      <c r="OJT103" s="4"/>
      <c r="OJU103" s="4"/>
      <c r="OJV103" s="4"/>
      <c r="OJW103" s="4"/>
      <c r="OJX103" s="4"/>
      <c r="OJY103" s="4"/>
      <c r="OJZ103" s="4"/>
      <c r="OKA103" s="4"/>
      <c r="OKB103" s="4"/>
      <c r="OKC103" s="4"/>
      <c r="OKD103" s="4"/>
      <c r="OKE103" s="4"/>
      <c r="OKF103" s="4"/>
      <c r="OKG103" s="4"/>
      <c r="OKH103" s="4"/>
      <c r="OKI103" s="4"/>
      <c r="OKJ103" s="4"/>
      <c r="OKK103" s="4"/>
      <c r="OKL103" s="4"/>
      <c r="OKM103" s="4"/>
      <c r="OKN103" s="4"/>
      <c r="OKO103" s="4"/>
      <c r="OKP103" s="4"/>
      <c r="OKQ103" s="4"/>
      <c r="OKR103" s="4"/>
      <c r="OKS103" s="4"/>
      <c r="OKT103" s="4"/>
      <c r="OKU103" s="4"/>
      <c r="OKV103" s="4"/>
      <c r="OKW103" s="4"/>
      <c r="OKX103" s="4"/>
      <c r="OKY103" s="4"/>
      <c r="OKZ103" s="4"/>
      <c r="OLA103" s="4"/>
      <c r="OLB103" s="4"/>
      <c r="OLC103" s="4"/>
      <c r="OLD103" s="4"/>
      <c r="OLE103" s="4"/>
      <c r="OLF103" s="4"/>
      <c r="OLG103" s="4"/>
      <c r="OLH103" s="4"/>
      <c r="OLI103" s="4"/>
      <c r="OLJ103" s="4"/>
      <c r="OLK103" s="4"/>
      <c r="OLL103" s="4"/>
      <c r="OLM103" s="4"/>
      <c r="OLN103" s="4"/>
      <c r="OLO103" s="4"/>
      <c r="OLP103" s="4"/>
      <c r="OLQ103" s="4"/>
      <c r="OLR103" s="4"/>
      <c r="OLS103" s="4"/>
      <c r="OLT103" s="4"/>
      <c r="OLU103" s="4"/>
      <c r="OLV103" s="4"/>
      <c r="OLW103" s="4"/>
      <c r="OLX103" s="4"/>
      <c r="OLY103" s="4"/>
      <c r="OLZ103" s="4"/>
      <c r="OMA103" s="4"/>
      <c r="OMB103" s="4"/>
      <c r="OMC103" s="4"/>
      <c r="OMD103" s="4"/>
      <c r="OME103" s="4"/>
      <c r="OMF103" s="4"/>
      <c r="OMG103" s="4"/>
      <c r="OMH103" s="4"/>
      <c r="OMI103" s="4"/>
      <c r="OMJ103" s="4"/>
      <c r="OMK103" s="4"/>
      <c r="OML103" s="4"/>
      <c r="OMM103" s="4"/>
      <c r="OMN103" s="4"/>
      <c r="OMO103" s="4"/>
      <c r="OMP103" s="4"/>
      <c r="OMQ103" s="4"/>
      <c r="OMR103" s="4"/>
      <c r="OMS103" s="4"/>
      <c r="OMT103" s="4"/>
      <c r="OMU103" s="4"/>
      <c r="OMV103" s="4"/>
      <c r="OMW103" s="4"/>
      <c r="OMX103" s="4"/>
      <c r="OMY103" s="4"/>
      <c r="OMZ103" s="4"/>
      <c r="ONA103" s="4"/>
      <c r="ONB103" s="4"/>
      <c r="ONC103" s="4"/>
      <c r="OND103" s="4"/>
      <c r="ONE103" s="4"/>
      <c r="ONF103" s="4"/>
      <c r="ONG103" s="4"/>
      <c r="ONH103" s="4"/>
      <c r="ONI103" s="4"/>
      <c r="ONJ103" s="4"/>
      <c r="ONK103" s="4"/>
      <c r="ONL103" s="4"/>
      <c r="ONM103" s="4"/>
      <c r="ONN103" s="4"/>
      <c r="ONO103" s="4"/>
      <c r="ONP103" s="4"/>
      <c r="ONQ103" s="4"/>
      <c r="ONR103" s="4"/>
      <c r="ONS103" s="4"/>
      <c r="ONT103" s="4"/>
      <c r="ONU103" s="4"/>
      <c r="ONV103" s="4"/>
      <c r="ONW103" s="4"/>
      <c r="ONX103" s="4"/>
      <c r="ONY103" s="4"/>
      <c r="ONZ103" s="4"/>
      <c r="OOA103" s="4"/>
      <c r="OOB103" s="4"/>
      <c r="OOC103" s="4"/>
      <c r="OOD103" s="4"/>
      <c r="OOE103" s="4"/>
      <c r="OOF103" s="4"/>
      <c r="OOG103" s="4"/>
      <c r="OOH103" s="4"/>
      <c r="OOI103" s="4"/>
      <c r="OOJ103" s="4"/>
      <c r="OOK103" s="4"/>
      <c r="OOL103" s="4"/>
      <c r="OOM103" s="4"/>
      <c r="OON103" s="4"/>
      <c r="OOO103" s="4"/>
      <c r="OOP103" s="4"/>
      <c r="OOQ103" s="4"/>
      <c r="OOR103" s="4"/>
      <c r="OOS103" s="4"/>
      <c r="OOT103" s="4"/>
      <c r="OOU103" s="4"/>
      <c r="OOV103" s="4"/>
      <c r="OOW103" s="4"/>
      <c r="OOX103" s="4"/>
      <c r="OOY103" s="4"/>
      <c r="OOZ103" s="4"/>
      <c r="OPA103" s="4"/>
      <c r="OPB103" s="4"/>
      <c r="OPC103" s="4"/>
      <c r="OPD103" s="4"/>
      <c r="OPE103" s="4"/>
      <c r="OPF103" s="4"/>
      <c r="OPG103" s="4"/>
      <c r="OPH103" s="4"/>
      <c r="OPI103" s="4"/>
      <c r="OPJ103" s="4"/>
      <c r="OPK103" s="4"/>
      <c r="OPL103" s="4"/>
      <c r="OPM103" s="4"/>
      <c r="OPN103" s="4"/>
      <c r="OPO103" s="4"/>
      <c r="OPP103" s="4"/>
      <c r="OPQ103" s="4"/>
      <c r="OPR103" s="4"/>
      <c r="OPS103" s="4"/>
      <c r="OPT103" s="4"/>
      <c r="OPU103" s="4"/>
      <c r="OPV103" s="4"/>
      <c r="OPW103" s="4"/>
      <c r="OPX103" s="4"/>
      <c r="OPY103" s="4"/>
      <c r="OPZ103" s="4"/>
      <c r="OQA103" s="4"/>
      <c r="OQB103" s="4"/>
      <c r="OQC103" s="4"/>
      <c r="OQD103" s="4"/>
      <c r="OQE103" s="4"/>
      <c r="OQF103" s="4"/>
      <c r="OQG103" s="4"/>
      <c r="OQH103" s="4"/>
      <c r="OQI103" s="4"/>
      <c r="OQJ103" s="4"/>
      <c r="OQK103" s="4"/>
      <c r="OQL103" s="4"/>
      <c r="OQM103" s="4"/>
      <c r="OQN103" s="4"/>
      <c r="OQO103" s="4"/>
      <c r="OQP103" s="4"/>
      <c r="OQQ103" s="4"/>
      <c r="OQR103" s="4"/>
      <c r="OQS103" s="4"/>
      <c r="OQT103" s="4"/>
      <c r="OQU103" s="4"/>
      <c r="OQV103" s="4"/>
      <c r="OQW103" s="4"/>
      <c r="OQX103" s="4"/>
      <c r="OQY103" s="4"/>
      <c r="OQZ103" s="4"/>
      <c r="ORA103" s="4"/>
      <c r="ORB103" s="4"/>
      <c r="ORC103" s="4"/>
      <c r="ORD103" s="4"/>
      <c r="ORE103" s="4"/>
      <c r="ORF103" s="4"/>
      <c r="ORG103" s="4"/>
      <c r="ORH103" s="4"/>
      <c r="ORI103" s="4"/>
      <c r="ORJ103" s="4"/>
      <c r="ORK103" s="4"/>
      <c r="ORL103" s="4"/>
      <c r="ORM103" s="4"/>
      <c r="ORN103" s="4"/>
      <c r="ORO103" s="4"/>
      <c r="ORP103" s="4"/>
      <c r="ORQ103" s="4"/>
      <c r="ORR103" s="4"/>
      <c r="ORS103" s="4"/>
      <c r="ORT103" s="4"/>
      <c r="ORU103" s="4"/>
      <c r="ORV103" s="4"/>
      <c r="ORW103" s="4"/>
      <c r="ORX103" s="4"/>
      <c r="ORY103" s="4"/>
      <c r="ORZ103" s="4"/>
      <c r="OSA103" s="4"/>
      <c r="OSB103" s="4"/>
      <c r="OSC103" s="4"/>
      <c r="OSD103" s="4"/>
      <c r="OSE103" s="4"/>
      <c r="OSF103" s="4"/>
      <c r="OSG103" s="4"/>
      <c r="OSH103" s="4"/>
      <c r="OSI103" s="4"/>
      <c r="OSJ103" s="4"/>
      <c r="OSK103" s="4"/>
      <c r="OSL103" s="4"/>
      <c r="OSM103" s="4"/>
      <c r="OSN103" s="4"/>
      <c r="OSO103" s="4"/>
      <c r="OSP103" s="4"/>
      <c r="OSQ103" s="4"/>
      <c r="OSR103" s="4"/>
      <c r="OSS103" s="4"/>
      <c r="OST103" s="4"/>
      <c r="OSU103" s="4"/>
      <c r="OSV103" s="4"/>
      <c r="OSW103" s="4"/>
      <c r="OSX103" s="4"/>
      <c r="OSY103" s="4"/>
      <c r="OSZ103" s="4"/>
      <c r="OTA103" s="4"/>
      <c r="OTB103" s="4"/>
      <c r="OTC103" s="4"/>
      <c r="OTD103" s="4"/>
      <c r="OTE103" s="4"/>
      <c r="OTF103" s="4"/>
      <c r="OTG103" s="4"/>
      <c r="OTH103" s="4"/>
      <c r="OTI103" s="4"/>
      <c r="OTJ103" s="4"/>
      <c r="OTK103" s="4"/>
      <c r="OTL103" s="4"/>
      <c r="OTM103" s="4"/>
      <c r="OTN103" s="4"/>
      <c r="OTO103" s="4"/>
      <c r="OTP103" s="4"/>
      <c r="OTQ103" s="4"/>
      <c r="OTR103" s="4"/>
      <c r="OTS103" s="4"/>
      <c r="OTT103" s="4"/>
      <c r="OTU103" s="4"/>
      <c r="OTV103" s="4"/>
      <c r="OTW103" s="4"/>
      <c r="OTX103" s="4"/>
      <c r="OTY103" s="4"/>
      <c r="OTZ103" s="4"/>
      <c r="OUA103" s="4"/>
      <c r="OUB103" s="4"/>
      <c r="OUC103" s="4"/>
      <c r="OUD103" s="4"/>
      <c r="OUE103" s="4"/>
      <c r="OUF103" s="4"/>
      <c r="OUG103" s="4"/>
      <c r="OUH103" s="4"/>
      <c r="OUI103" s="4"/>
      <c r="OUJ103" s="4"/>
      <c r="OUK103" s="4"/>
      <c r="OUL103" s="4"/>
      <c r="OUM103" s="4"/>
      <c r="OUN103" s="4"/>
      <c r="OUO103" s="4"/>
      <c r="OUP103" s="4"/>
      <c r="OUQ103" s="4"/>
      <c r="OUR103" s="4"/>
      <c r="OUS103" s="4"/>
      <c r="OUT103" s="4"/>
      <c r="OUU103" s="4"/>
      <c r="OUV103" s="4"/>
      <c r="OUW103" s="4"/>
      <c r="OUX103" s="4"/>
      <c r="OUY103" s="4"/>
      <c r="OUZ103" s="4"/>
      <c r="OVA103" s="4"/>
      <c r="OVB103" s="4"/>
      <c r="OVC103" s="4"/>
      <c r="OVD103" s="4"/>
      <c r="OVE103" s="4"/>
      <c r="OVF103" s="4"/>
      <c r="OVG103" s="4"/>
      <c r="OVH103" s="4"/>
      <c r="OVI103" s="4"/>
      <c r="OVJ103" s="4"/>
      <c r="OVK103" s="4"/>
      <c r="OVL103" s="4"/>
      <c r="OVM103" s="4"/>
      <c r="OVN103" s="4"/>
      <c r="OVO103" s="4"/>
      <c r="OVP103" s="4"/>
      <c r="OVQ103" s="4"/>
      <c r="OVR103" s="4"/>
      <c r="OVS103" s="4"/>
      <c r="OVT103" s="4"/>
      <c r="OVU103" s="4"/>
      <c r="OVV103" s="4"/>
      <c r="OVW103" s="4"/>
      <c r="OVX103" s="4"/>
      <c r="OVY103" s="4"/>
      <c r="OVZ103" s="4"/>
      <c r="OWA103" s="4"/>
      <c r="OWB103" s="4"/>
      <c r="OWC103" s="4"/>
      <c r="OWD103" s="4"/>
      <c r="OWE103" s="4"/>
      <c r="OWF103" s="4"/>
      <c r="OWG103" s="4"/>
      <c r="OWH103" s="4"/>
      <c r="OWI103" s="4"/>
      <c r="OWJ103" s="4"/>
      <c r="OWK103" s="4"/>
      <c r="OWL103" s="4"/>
      <c r="OWM103" s="4"/>
      <c r="OWN103" s="4"/>
      <c r="OWO103" s="4"/>
      <c r="OWP103" s="4"/>
      <c r="OWQ103" s="4"/>
      <c r="OWR103" s="4"/>
      <c r="OWS103" s="4"/>
      <c r="OWT103" s="4"/>
      <c r="OWU103" s="4"/>
      <c r="OWV103" s="4"/>
      <c r="OWW103" s="4"/>
      <c r="OWX103" s="4"/>
      <c r="OWY103" s="4"/>
      <c r="OWZ103" s="4"/>
      <c r="OXA103" s="4"/>
      <c r="OXB103" s="4"/>
      <c r="OXC103" s="4"/>
      <c r="OXD103" s="4"/>
      <c r="OXE103" s="4"/>
      <c r="OXF103" s="4"/>
      <c r="OXG103" s="4"/>
      <c r="OXH103" s="4"/>
      <c r="OXI103" s="4"/>
      <c r="OXJ103" s="4"/>
      <c r="OXK103" s="4"/>
      <c r="OXL103" s="4"/>
      <c r="OXM103" s="4"/>
      <c r="OXN103" s="4"/>
      <c r="OXO103" s="4"/>
      <c r="OXP103" s="4"/>
      <c r="OXQ103" s="4"/>
      <c r="OXR103" s="4"/>
      <c r="OXS103" s="4"/>
      <c r="OXT103" s="4"/>
      <c r="OXU103" s="4"/>
      <c r="OXV103" s="4"/>
      <c r="OXW103" s="4"/>
      <c r="OXX103" s="4"/>
      <c r="OXY103" s="4"/>
      <c r="OXZ103" s="4"/>
      <c r="OYA103" s="4"/>
      <c r="OYB103" s="4"/>
      <c r="OYC103" s="4"/>
      <c r="OYD103" s="4"/>
      <c r="OYE103" s="4"/>
      <c r="OYF103" s="4"/>
      <c r="OYG103" s="4"/>
      <c r="OYH103" s="4"/>
      <c r="OYI103" s="4"/>
      <c r="OYJ103" s="4"/>
      <c r="OYK103" s="4"/>
      <c r="OYL103" s="4"/>
      <c r="OYM103" s="4"/>
      <c r="OYN103" s="4"/>
      <c r="OYO103" s="4"/>
      <c r="OYP103" s="4"/>
      <c r="OYQ103" s="4"/>
      <c r="OYR103" s="4"/>
      <c r="OYS103" s="4"/>
      <c r="OYT103" s="4"/>
      <c r="OYU103" s="4"/>
      <c r="OYV103" s="4"/>
      <c r="OYW103" s="4"/>
      <c r="OYX103" s="4"/>
      <c r="OYY103" s="4"/>
      <c r="OYZ103" s="4"/>
      <c r="OZA103" s="4"/>
      <c r="OZB103" s="4"/>
      <c r="OZC103" s="4"/>
      <c r="OZD103" s="4"/>
      <c r="OZE103" s="4"/>
      <c r="OZF103" s="4"/>
      <c r="OZG103" s="4"/>
      <c r="OZH103" s="4"/>
      <c r="OZI103" s="4"/>
      <c r="OZJ103" s="4"/>
      <c r="OZK103" s="4"/>
      <c r="OZL103" s="4"/>
      <c r="OZM103" s="4"/>
      <c r="OZN103" s="4"/>
      <c r="OZO103" s="4"/>
      <c r="OZP103" s="4"/>
      <c r="OZQ103" s="4"/>
      <c r="OZR103" s="4"/>
      <c r="OZS103" s="4"/>
      <c r="OZT103" s="4"/>
      <c r="OZU103" s="4"/>
      <c r="OZV103" s="4"/>
      <c r="OZW103" s="4"/>
      <c r="OZX103" s="4"/>
      <c r="OZY103" s="4"/>
      <c r="OZZ103" s="4"/>
      <c r="PAA103" s="4"/>
      <c r="PAB103" s="4"/>
      <c r="PAC103" s="4"/>
      <c r="PAD103" s="4"/>
      <c r="PAE103" s="4"/>
      <c r="PAF103" s="4"/>
      <c r="PAG103" s="4"/>
      <c r="PAH103" s="4"/>
      <c r="PAI103" s="4"/>
      <c r="PAJ103" s="4"/>
      <c r="PAK103" s="4"/>
      <c r="PAL103" s="4"/>
      <c r="PAM103" s="4"/>
      <c r="PAN103" s="4"/>
      <c r="PAO103" s="4"/>
      <c r="PAP103" s="4"/>
      <c r="PAQ103" s="4"/>
      <c r="PAR103" s="4"/>
      <c r="PAS103" s="4"/>
      <c r="PAT103" s="4"/>
      <c r="PAU103" s="4"/>
      <c r="PAV103" s="4"/>
      <c r="PAW103" s="4"/>
      <c r="PAX103" s="4"/>
      <c r="PAY103" s="4"/>
      <c r="PAZ103" s="4"/>
      <c r="PBA103" s="4"/>
      <c r="PBB103" s="4"/>
      <c r="PBC103" s="4"/>
      <c r="PBD103" s="4"/>
      <c r="PBE103" s="4"/>
      <c r="PBF103" s="4"/>
      <c r="PBG103" s="4"/>
      <c r="PBH103" s="4"/>
      <c r="PBI103" s="4"/>
      <c r="PBJ103" s="4"/>
      <c r="PBK103" s="4"/>
      <c r="PBL103" s="4"/>
      <c r="PBM103" s="4"/>
      <c r="PBN103" s="4"/>
      <c r="PBO103" s="4"/>
      <c r="PBP103" s="4"/>
      <c r="PBQ103" s="4"/>
      <c r="PBR103" s="4"/>
      <c r="PBS103" s="4"/>
      <c r="PBT103" s="4"/>
      <c r="PBU103" s="4"/>
      <c r="PBV103" s="4"/>
      <c r="PBW103" s="4"/>
      <c r="PBX103" s="4"/>
      <c r="PBY103" s="4"/>
      <c r="PBZ103" s="4"/>
      <c r="PCA103" s="4"/>
      <c r="PCB103" s="4"/>
      <c r="PCC103" s="4"/>
      <c r="PCD103" s="4"/>
      <c r="PCE103" s="4"/>
      <c r="PCF103" s="4"/>
      <c r="PCG103" s="4"/>
      <c r="PCH103" s="4"/>
      <c r="PCI103" s="4"/>
      <c r="PCJ103" s="4"/>
      <c r="PCK103" s="4"/>
      <c r="PCL103" s="4"/>
      <c r="PCM103" s="4"/>
      <c r="PCN103" s="4"/>
      <c r="PCO103" s="4"/>
      <c r="PCP103" s="4"/>
      <c r="PCQ103" s="4"/>
      <c r="PCR103" s="4"/>
      <c r="PCS103" s="4"/>
      <c r="PCT103" s="4"/>
      <c r="PCU103" s="4"/>
      <c r="PCV103" s="4"/>
      <c r="PCW103" s="4"/>
      <c r="PCX103" s="4"/>
      <c r="PCY103" s="4"/>
      <c r="PCZ103" s="4"/>
      <c r="PDA103" s="4"/>
      <c r="PDB103" s="4"/>
      <c r="PDC103" s="4"/>
      <c r="PDD103" s="4"/>
      <c r="PDE103" s="4"/>
      <c r="PDF103" s="4"/>
      <c r="PDG103" s="4"/>
      <c r="PDH103" s="4"/>
      <c r="PDI103" s="4"/>
      <c r="PDJ103" s="4"/>
      <c r="PDK103" s="4"/>
      <c r="PDL103" s="4"/>
      <c r="PDM103" s="4"/>
      <c r="PDN103" s="4"/>
      <c r="PDO103" s="4"/>
      <c r="PDP103" s="4"/>
      <c r="PDQ103" s="4"/>
      <c r="PDR103" s="4"/>
      <c r="PDS103" s="4"/>
      <c r="PDT103" s="4"/>
      <c r="PDU103" s="4"/>
      <c r="PDV103" s="4"/>
      <c r="PDW103" s="4"/>
      <c r="PDX103" s="4"/>
      <c r="PDY103" s="4"/>
      <c r="PDZ103" s="4"/>
      <c r="PEA103" s="4"/>
      <c r="PEB103" s="4"/>
      <c r="PEC103" s="4"/>
      <c r="PED103" s="4"/>
      <c r="PEE103" s="4"/>
      <c r="PEF103" s="4"/>
      <c r="PEG103" s="4"/>
      <c r="PEH103" s="4"/>
      <c r="PEI103" s="4"/>
      <c r="PEJ103" s="4"/>
      <c r="PEK103" s="4"/>
      <c r="PEL103" s="4"/>
      <c r="PEM103" s="4"/>
      <c r="PEN103" s="4"/>
      <c r="PEO103" s="4"/>
      <c r="PEP103" s="4"/>
      <c r="PEQ103" s="4"/>
      <c r="PER103" s="4"/>
      <c r="PES103" s="4"/>
      <c r="PET103" s="4"/>
      <c r="PEU103" s="4"/>
      <c r="PEV103" s="4"/>
      <c r="PEW103" s="4"/>
      <c r="PEX103" s="4"/>
      <c r="PEY103" s="4"/>
      <c r="PEZ103" s="4"/>
      <c r="PFA103" s="4"/>
      <c r="PFB103" s="4"/>
      <c r="PFC103" s="4"/>
      <c r="PFD103" s="4"/>
      <c r="PFE103" s="4"/>
      <c r="PFF103" s="4"/>
      <c r="PFG103" s="4"/>
      <c r="PFH103" s="4"/>
      <c r="PFI103" s="4"/>
      <c r="PFJ103" s="4"/>
      <c r="PFK103" s="4"/>
      <c r="PFL103" s="4"/>
      <c r="PFM103" s="4"/>
      <c r="PFN103" s="4"/>
      <c r="PFO103" s="4"/>
      <c r="PFP103" s="4"/>
      <c r="PFQ103" s="4"/>
      <c r="PFR103" s="4"/>
      <c r="PFS103" s="4"/>
      <c r="PFT103" s="4"/>
      <c r="PFU103" s="4"/>
      <c r="PFV103" s="4"/>
      <c r="PFW103" s="4"/>
      <c r="PFX103" s="4"/>
      <c r="PFY103" s="4"/>
      <c r="PFZ103" s="4"/>
      <c r="PGA103" s="4"/>
      <c r="PGB103" s="4"/>
      <c r="PGC103" s="4"/>
      <c r="PGD103" s="4"/>
      <c r="PGE103" s="4"/>
      <c r="PGF103" s="4"/>
      <c r="PGG103" s="4"/>
      <c r="PGH103" s="4"/>
      <c r="PGI103" s="4"/>
      <c r="PGJ103" s="4"/>
      <c r="PGK103" s="4"/>
      <c r="PGL103" s="4"/>
      <c r="PGM103" s="4"/>
      <c r="PGN103" s="4"/>
      <c r="PGO103" s="4"/>
      <c r="PGP103" s="4"/>
      <c r="PGQ103" s="4"/>
      <c r="PGR103" s="4"/>
      <c r="PGS103" s="4"/>
      <c r="PGT103" s="4"/>
      <c r="PGU103" s="4"/>
      <c r="PGV103" s="4"/>
      <c r="PGW103" s="4"/>
      <c r="PGX103" s="4"/>
      <c r="PGY103" s="4"/>
      <c r="PGZ103" s="4"/>
      <c r="PHA103" s="4"/>
      <c r="PHB103" s="4"/>
      <c r="PHC103" s="4"/>
      <c r="PHD103" s="4"/>
      <c r="PHE103" s="4"/>
      <c r="PHF103" s="4"/>
      <c r="PHG103" s="4"/>
      <c r="PHH103" s="4"/>
      <c r="PHI103" s="4"/>
      <c r="PHJ103" s="4"/>
      <c r="PHK103" s="4"/>
      <c r="PHL103" s="4"/>
      <c r="PHM103" s="4"/>
      <c r="PHN103" s="4"/>
      <c r="PHO103" s="4"/>
      <c r="PHP103" s="4"/>
      <c r="PHQ103" s="4"/>
      <c r="PHR103" s="4"/>
      <c r="PHS103" s="4"/>
      <c r="PHT103" s="4"/>
      <c r="PHU103" s="4"/>
      <c r="PHV103" s="4"/>
      <c r="PHW103" s="4"/>
      <c r="PHX103" s="4"/>
      <c r="PHY103" s="4"/>
      <c r="PHZ103" s="4"/>
      <c r="PIA103" s="4"/>
      <c r="PIB103" s="4"/>
      <c r="PIC103" s="4"/>
      <c r="PID103" s="4"/>
      <c r="PIE103" s="4"/>
      <c r="PIF103" s="4"/>
      <c r="PIG103" s="4"/>
      <c r="PIH103" s="4"/>
      <c r="PII103" s="4"/>
      <c r="PIJ103" s="4"/>
      <c r="PIK103" s="4"/>
      <c r="PIL103" s="4"/>
      <c r="PIM103" s="4"/>
      <c r="PIN103" s="4"/>
      <c r="PIO103" s="4"/>
      <c r="PIP103" s="4"/>
      <c r="PIQ103" s="4"/>
      <c r="PIR103" s="4"/>
      <c r="PIS103" s="4"/>
      <c r="PIT103" s="4"/>
      <c r="PIU103" s="4"/>
      <c r="PIV103" s="4"/>
      <c r="PIW103" s="4"/>
      <c r="PIX103" s="4"/>
      <c r="PIY103" s="4"/>
      <c r="PIZ103" s="4"/>
      <c r="PJA103" s="4"/>
      <c r="PJB103" s="4"/>
      <c r="PJC103" s="4"/>
      <c r="PJD103" s="4"/>
      <c r="PJE103" s="4"/>
      <c r="PJF103" s="4"/>
      <c r="PJG103" s="4"/>
      <c r="PJH103" s="4"/>
      <c r="PJI103" s="4"/>
      <c r="PJJ103" s="4"/>
      <c r="PJK103" s="4"/>
      <c r="PJL103" s="4"/>
      <c r="PJM103" s="4"/>
      <c r="PJN103" s="4"/>
      <c r="PJO103" s="4"/>
      <c r="PJP103" s="4"/>
      <c r="PJQ103" s="4"/>
      <c r="PJR103" s="4"/>
      <c r="PJS103" s="4"/>
      <c r="PJT103" s="4"/>
      <c r="PJU103" s="4"/>
      <c r="PJV103" s="4"/>
      <c r="PJW103" s="4"/>
      <c r="PJX103" s="4"/>
      <c r="PJY103" s="4"/>
      <c r="PJZ103" s="4"/>
      <c r="PKA103" s="4"/>
      <c r="PKB103" s="4"/>
      <c r="PKC103" s="4"/>
      <c r="PKD103" s="4"/>
      <c r="PKE103" s="4"/>
      <c r="PKF103" s="4"/>
      <c r="PKG103" s="4"/>
      <c r="PKH103" s="4"/>
      <c r="PKI103" s="4"/>
      <c r="PKJ103" s="4"/>
      <c r="PKK103" s="4"/>
      <c r="PKL103" s="4"/>
      <c r="PKM103" s="4"/>
      <c r="PKN103" s="4"/>
      <c r="PKO103" s="4"/>
      <c r="PKP103" s="4"/>
      <c r="PKQ103" s="4"/>
      <c r="PKR103" s="4"/>
      <c r="PKS103" s="4"/>
      <c r="PKT103" s="4"/>
      <c r="PKU103" s="4"/>
      <c r="PKV103" s="4"/>
      <c r="PKW103" s="4"/>
      <c r="PKX103" s="4"/>
      <c r="PKY103" s="4"/>
      <c r="PKZ103" s="4"/>
      <c r="PLA103" s="4"/>
      <c r="PLB103" s="4"/>
      <c r="PLC103" s="4"/>
      <c r="PLD103" s="4"/>
      <c r="PLE103" s="4"/>
      <c r="PLF103" s="4"/>
      <c r="PLG103" s="4"/>
      <c r="PLH103" s="4"/>
      <c r="PLI103" s="4"/>
      <c r="PLJ103" s="4"/>
      <c r="PLK103" s="4"/>
      <c r="PLL103" s="4"/>
      <c r="PLM103" s="4"/>
      <c r="PLN103" s="4"/>
      <c r="PLO103" s="4"/>
      <c r="PLP103" s="4"/>
      <c r="PLQ103" s="4"/>
      <c r="PLR103" s="4"/>
      <c r="PLS103" s="4"/>
      <c r="PLT103" s="4"/>
      <c r="PLU103" s="4"/>
      <c r="PLV103" s="4"/>
      <c r="PLW103" s="4"/>
      <c r="PLX103" s="4"/>
      <c r="PLY103" s="4"/>
      <c r="PLZ103" s="4"/>
      <c r="PMA103" s="4"/>
      <c r="PMB103" s="4"/>
      <c r="PMC103" s="4"/>
      <c r="PMD103" s="4"/>
      <c r="PME103" s="4"/>
      <c r="PMF103" s="4"/>
      <c r="PMG103" s="4"/>
      <c r="PMH103" s="4"/>
      <c r="PMI103" s="4"/>
      <c r="PMJ103" s="4"/>
      <c r="PMK103" s="4"/>
      <c r="PML103" s="4"/>
      <c r="PMM103" s="4"/>
      <c r="PMN103" s="4"/>
      <c r="PMO103" s="4"/>
      <c r="PMP103" s="4"/>
      <c r="PMQ103" s="4"/>
      <c r="PMR103" s="4"/>
      <c r="PMS103" s="4"/>
      <c r="PMT103" s="4"/>
      <c r="PMU103" s="4"/>
      <c r="PMV103" s="4"/>
      <c r="PMW103" s="4"/>
      <c r="PMX103" s="4"/>
      <c r="PMY103" s="4"/>
      <c r="PMZ103" s="4"/>
      <c r="PNA103" s="4"/>
      <c r="PNB103" s="4"/>
      <c r="PNC103" s="4"/>
      <c r="PND103" s="4"/>
      <c r="PNE103" s="4"/>
      <c r="PNF103" s="4"/>
      <c r="PNG103" s="4"/>
      <c r="PNH103" s="4"/>
      <c r="PNI103" s="4"/>
      <c r="PNJ103" s="4"/>
      <c r="PNK103" s="4"/>
      <c r="PNL103" s="4"/>
      <c r="PNM103" s="4"/>
      <c r="PNN103" s="4"/>
      <c r="PNO103" s="4"/>
      <c r="PNP103" s="4"/>
      <c r="PNQ103" s="4"/>
      <c r="PNR103" s="4"/>
      <c r="PNS103" s="4"/>
      <c r="PNT103" s="4"/>
      <c r="PNU103" s="4"/>
      <c r="PNV103" s="4"/>
      <c r="PNW103" s="4"/>
      <c r="PNX103" s="4"/>
      <c r="PNY103" s="4"/>
      <c r="PNZ103" s="4"/>
      <c r="POA103" s="4"/>
      <c r="POB103" s="4"/>
      <c r="POC103" s="4"/>
      <c r="POD103" s="4"/>
      <c r="POE103" s="4"/>
      <c r="POF103" s="4"/>
      <c r="POG103" s="4"/>
      <c r="POH103" s="4"/>
      <c r="POI103" s="4"/>
      <c r="POJ103" s="4"/>
      <c r="POK103" s="4"/>
      <c r="POL103" s="4"/>
      <c r="POM103" s="4"/>
      <c r="PON103" s="4"/>
      <c r="POO103" s="4"/>
      <c r="POP103" s="4"/>
      <c r="POQ103" s="4"/>
      <c r="POR103" s="4"/>
      <c r="POS103" s="4"/>
      <c r="POT103" s="4"/>
      <c r="POU103" s="4"/>
      <c r="POV103" s="4"/>
      <c r="POW103" s="4"/>
      <c r="POX103" s="4"/>
      <c r="POY103" s="4"/>
      <c r="POZ103" s="4"/>
      <c r="PPA103" s="4"/>
      <c r="PPB103" s="4"/>
      <c r="PPC103" s="4"/>
      <c r="PPD103" s="4"/>
      <c r="PPE103" s="4"/>
      <c r="PPF103" s="4"/>
      <c r="PPG103" s="4"/>
      <c r="PPH103" s="4"/>
      <c r="PPI103" s="4"/>
      <c r="PPJ103" s="4"/>
      <c r="PPK103" s="4"/>
      <c r="PPL103" s="4"/>
      <c r="PPM103" s="4"/>
      <c r="PPN103" s="4"/>
      <c r="PPO103" s="4"/>
      <c r="PPP103" s="4"/>
      <c r="PPQ103" s="4"/>
      <c r="PPR103" s="4"/>
      <c r="PPS103" s="4"/>
      <c r="PPT103" s="4"/>
      <c r="PPU103" s="4"/>
      <c r="PPV103" s="4"/>
      <c r="PPW103" s="4"/>
      <c r="PPX103" s="4"/>
      <c r="PPY103" s="4"/>
      <c r="PPZ103" s="4"/>
      <c r="PQA103" s="4"/>
      <c r="PQB103" s="4"/>
      <c r="PQC103" s="4"/>
      <c r="PQD103" s="4"/>
      <c r="PQE103" s="4"/>
      <c r="PQF103" s="4"/>
      <c r="PQG103" s="4"/>
      <c r="PQH103" s="4"/>
      <c r="PQI103" s="4"/>
      <c r="PQJ103" s="4"/>
      <c r="PQK103" s="4"/>
      <c r="PQL103" s="4"/>
      <c r="PQM103" s="4"/>
      <c r="PQN103" s="4"/>
      <c r="PQO103" s="4"/>
      <c r="PQP103" s="4"/>
      <c r="PQQ103" s="4"/>
      <c r="PQR103" s="4"/>
      <c r="PQS103" s="4"/>
      <c r="PQT103" s="4"/>
      <c r="PQU103" s="4"/>
      <c r="PQV103" s="4"/>
      <c r="PQW103" s="4"/>
      <c r="PQX103" s="4"/>
      <c r="PQY103" s="4"/>
      <c r="PQZ103" s="4"/>
      <c r="PRA103" s="4"/>
      <c r="PRB103" s="4"/>
      <c r="PRC103" s="4"/>
      <c r="PRD103" s="4"/>
      <c r="PRE103" s="4"/>
      <c r="PRF103" s="4"/>
      <c r="PRG103" s="4"/>
      <c r="PRH103" s="4"/>
      <c r="PRI103" s="4"/>
      <c r="PRJ103" s="4"/>
      <c r="PRK103" s="4"/>
      <c r="PRL103" s="4"/>
      <c r="PRM103" s="4"/>
      <c r="PRN103" s="4"/>
      <c r="PRO103" s="4"/>
      <c r="PRP103" s="4"/>
      <c r="PRQ103" s="4"/>
      <c r="PRR103" s="4"/>
      <c r="PRS103" s="4"/>
      <c r="PRT103" s="4"/>
      <c r="PRU103" s="4"/>
      <c r="PRV103" s="4"/>
      <c r="PRW103" s="4"/>
      <c r="PRX103" s="4"/>
      <c r="PRY103" s="4"/>
      <c r="PRZ103" s="4"/>
      <c r="PSA103" s="4"/>
      <c r="PSB103" s="4"/>
      <c r="PSC103" s="4"/>
      <c r="PSD103" s="4"/>
      <c r="PSE103" s="4"/>
      <c r="PSF103" s="4"/>
      <c r="PSG103" s="4"/>
      <c r="PSH103" s="4"/>
      <c r="PSI103" s="4"/>
      <c r="PSJ103" s="4"/>
      <c r="PSK103" s="4"/>
      <c r="PSL103" s="4"/>
      <c r="PSM103" s="4"/>
      <c r="PSN103" s="4"/>
      <c r="PSO103" s="4"/>
      <c r="PSP103" s="4"/>
      <c r="PSQ103" s="4"/>
      <c r="PSR103" s="4"/>
      <c r="PSS103" s="4"/>
      <c r="PST103" s="4"/>
      <c r="PSU103" s="4"/>
      <c r="PSV103" s="4"/>
      <c r="PSW103" s="4"/>
      <c r="PSX103" s="4"/>
      <c r="PSY103" s="4"/>
      <c r="PSZ103" s="4"/>
      <c r="PTA103" s="4"/>
      <c r="PTB103" s="4"/>
      <c r="PTC103" s="4"/>
      <c r="PTD103" s="4"/>
      <c r="PTE103" s="4"/>
      <c r="PTF103" s="4"/>
      <c r="PTG103" s="4"/>
      <c r="PTH103" s="4"/>
      <c r="PTI103" s="4"/>
      <c r="PTJ103" s="4"/>
      <c r="PTK103" s="4"/>
      <c r="PTL103" s="4"/>
      <c r="PTM103" s="4"/>
      <c r="PTN103" s="4"/>
      <c r="PTO103" s="4"/>
      <c r="PTP103" s="4"/>
      <c r="PTQ103" s="4"/>
      <c r="PTR103" s="4"/>
      <c r="PTS103" s="4"/>
      <c r="PTT103" s="4"/>
      <c r="PTU103" s="4"/>
      <c r="PTV103" s="4"/>
      <c r="PTW103" s="4"/>
      <c r="PTX103" s="4"/>
      <c r="PTY103" s="4"/>
      <c r="PTZ103" s="4"/>
      <c r="PUA103" s="4"/>
      <c r="PUB103" s="4"/>
      <c r="PUC103" s="4"/>
      <c r="PUD103" s="4"/>
      <c r="PUE103" s="4"/>
      <c r="PUF103" s="4"/>
      <c r="PUG103" s="4"/>
      <c r="PUH103" s="4"/>
      <c r="PUI103" s="4"/>
      <c r="PUJ103" s="4"/>
      <c r="PUK103" s="4"/>
      <c r="PUL103" s="4"/>
      <c r="PUM103" s="4"/>
      <c r="PUN103" s="4"/>
      <c r="PUO103" s="4"/>
      <c r="PUP103" s="4"/>
      <c r="PUQ103" s="4"/>
      <c r="PUR103" s="4"/>
      <c r="PUS103" s="4"/>
      <c r="PUT103" s="4"/>
      <c r="PUU103" s="4"/>
      <c r="PUV103" s="4"/>
      <c r="PUW103" s="4"/>
      <c r="PUX103" s="4"/>
      <c r="PUY103" s="4"/>
      <c r="PUZ103" s="4"/>
      <c r="PVA103" s="4"/>
      <c r="PVB103" s="4"/>
      <c r="PVC103" s="4"/>
      <c r="PVD103" s="4"/>
      <c r="PVE103" s="4"/>
      <c r="PVF103" s="4"/>
      <c r="PVG103" s="4"/>
      <c r="PVH103" s="4"/>
      <c r="PVI103" s="4"/>
      <c r="PVJ103" s="4"/>
      <c r="PVK103" s="4"/>
      <c r="PVL103" s="4"/>
      <c r="PVM103" s="4"/>
      <c r="PVN103" s="4"/>
      <c r="PVO103" s="4"/>
      <c r="PVP103" s="4"/>
      <c r="PVQ103" s="4"/>
      <c r="PVR103" s="4"/>
      <c r="PVS103" s="4"/>
      <c r="PVT103" s="4"/>
      <c r="PVU103" s="4"/>
      <c r="PVV103" s="4"/>
      <c r="PVW103" s="4"/>
      <c r="PVX103" s="4"/>
      <c r="PVY103" s="4"/>
      <c r="PVZ103" s="4"/>
      <c r="PWA103" s="4"/>
      <c r="PWB103" s="4"/>
      <c r="PWC103" s="4"/>
      <c r="PWD103" s="4"/>
      <c r="PWE103" s="4"/>
      <c r="PWF103" s="4"/>
      <c r="PWG103" s="4"/>
      <c r="PWH103" s="4"/>
      <c r="PWI103" s="4"/>
      <c r="PWJ103" s="4"/>
      <c r="PWK103" s="4"/>
      <c r="PWL103" s="4"/>
      <c r="PWM103" s="4"/>
      <c r="PWN103" s="4"/>
      <c r="PWO103" s="4"/>
      <c r="PWP103" s="4"/>
      <c r="PWQ103" s="4"/>
      <c r="PWR103" s="4"/>
      <c r="PWS103" s="4"/>
      <c r="PWT103" s="4"/>
      <c r="PWU103" s="4"/>
      <c r="PWV103" s="4"/>
      <c r="PWW103" s="4"/>
      <c r="PWX103" s="4"/>
      <c r="PWY103" s="4"/>
      <c r="PWZ103" s="4"/>
      <c r="PXA103" s="4"/>
      <c r="PXB103" s="4"/>
      <c r="PXC103" s="4"/>
      <c r="PXD103" s="4"/>
      <c r="PXE103" s="4"/>
      <c r="PXF103" s="4"/>
      <c r="PXG103" s="4"/>
      <c r="PXH103" s="4"/>
      <c r="PXI103" s="4"/>
      <c r="PXJ103" s="4"/>
      <c r="PXK103" s="4"/>
      <c r="PXL103" s="4"/>
      <c r="PXM103" s="4"/>
      <c r="PXN103" s="4"/>
      <c r="PXO103" s="4"/>
      <c r="PXP103" s="4"/>
      <c r="PXQ103" s="4"/>
      <c r="PXR103" s="4"/>
      <c r="PXS103" s="4"/>
      <c r="PXT103" s="4"/>
      <c r="PXU103" s="4"/>
      <c r="PXV103" s="4"/>
      <c r="PXW103" s="4"/>
      <c r="PXX103" s="4"/>
      <c r="PXY103" s="4"/>
      <c r="PXZ103" s="4"/>
      <c r="PYA103" s="4"/>
      <c r="PYB103" s="4"/>
      <c r="PYC103" s="4"/>
      <c r="PYD103" s="4"/>
      <c r="PYE103" s="4"/>
      <c r="PYF103" s="4"/>
      <c r="PYG103" s="4"/>
      <c r="PYH103" s="4"/>
      <c r="PYI103" s="4"/>
      <c r="PYJ103" s="4"/>
      <c r="PYK103" s="4"/>
      <c r="PYL103" s="4"/>
      <c r="PYM103" s="4"/>
      <c r="PYN103" s="4"/>
      <c r="PYO103" s="4"/>
      <c r="PYP103" s="4"/>
      <c r="PYQ103" s="4"/>
      <c r="PYR103" s="4"/>
      <c r="PYS103" s="4"/>
      <c r="PYT103" s="4"/>
      <c r="PYU103" s="4"/>
      <c r="PYV103" s="4"/>
      <c r="PYW103" s="4"/>
      <c r="PYX103" s="4"/>
      <c r="PYY103" s="4"/>
      <c r="PYZ103" s="4"/>
      <c r="PZA103" s="4"/>
      <c r="PZB103" s="4"/>
      <c r="PZC103" s="4"/>
      <c r="PZD103" s="4"/>
      <c r="PZE103" s="4"/>
      <c r="PZF103" s="4"/>
      <c r="PZG103" s="4"/>
      <c r="PZH103" s="4"/>
      <c r="PZI103" s="4"/>
      <c r="PZJ103" s="4"/>
      <c r="PZK103" s="4"/>
      <c r="PZL103" s="4"/>
      <c r="PZM103" s="4"/>
      <c r="PZN103" s="4"/>
      <c r="PZO103" s="4"/>
      <c r="PZP103" s="4"/>
      <c r="PZQ103" s="4"/>
      <c r="PZR103" s="4"/>
      <c r="PZS103" s="4"/>
      <c r="PZT103" s="4"/>
      <c r="PZU103" s="4"/>
      <c r="PZV103" s="4"/>
      <c r="PZW103" s="4"/>
      <c r="PZX103" s="4"/>
      <c r="PZY103" s="4"/>
      <c r="PZZ103" s="4"/>
      <c r="QAA103" s="4"/>
      <c r="QAB103" s="4"/>
      <c r="QAC103" s="4"/>
      <c r="QAD103" s="4"/>
      <c r="QAE103" s="4"/>
      <c r="QAF103" s="4"/>
      <c r="QAG103" s="4"/>
      <c r="QAH103" s="4"/>
      <c r="QAI103" s="4"/>
      <c r="QAJ103" s="4"/>
      <c r="QAK103" s="4"/>
      <c r="QAL103" s="4"/>
      <c r="QAM103" s="4"/>
      <c r="QAN103" s="4"/>
      <c r="QAO103" s="4"/>
      <c r="QAP103" s="4"/>
      <c r="QAQ103" s="4"/>
      <c r="QAR103" s="4"/>
      <c r="QAS103" s="4"/>
      <c r="QAT103" s="4"/>
      <c r="QAU103" s="4"/>
      <c r="QAV103" s="4"/>
      <c r="QAW103" s="4"/>
      <c r="QAX103" s="4"/>
      <c r="QAY103" s="4"/>
      <c r="QAZ103" s="4"/>
      <c r="QBA103" s="4"/>
      <c r="QBB103" s="4"/>
      <c r="QBC103" s="4"/>
      <c r="QBD103" s="4"/>
      <c r="QBE103" s="4"/>
      <c r="QBF103" s="4"/>
      <c r="QBG103" s="4"/>
      <c r="QBH103" s="4"/>
      <c r="QBI103" s="4"/>
      <c r="QBJ103" s="4"/>
      <c r="QBK103" s="4"/>
      <c r="QBL103" s="4"/>
      <c r="QBM103" s="4"/>
      <c r="QBN103" s="4"/>
      <c r="QBO103" s="4"/>
      <c r="QBP103" s="4"/>
      <c r="QBQ103" s="4"/>
      <c r="QBR103" s="4"/>
      <c r="QBS103" s="4"/>
      <c r="QBT103" s="4"/>
      <c r="QBU103" s="4"/>
      <c r="QBV103" s="4"/>
      <c r="QBW103" s="4"/>
      <c r="QBX103" s="4"/>
      <c r="QBY103" s="4"/>
      <c r="QBZ103" s="4"/>
      <c r="QCA103" s="4"/>
      <c r="QCB103" s="4"/>
      <c r="QCC103" s="4"/>
      <c r="QCD103" s="4"/>
      <c r="QCE103" s="4"/>
      <c r="QCF103" s="4"/>
      <c r="QCG103" s="4"/>
      <c r="QCH103" s="4"/>
      <c r="QCI103" s="4"/>
      <c r="QCJ103" s="4"/>
      <c r="QCK103" s="4"/>
      <c r="QCL103" s="4"/>
      <c r="QCM103" s="4"/>
      <c r="QCN103" s="4"/>
      <c r="QCO103" s="4"/>
      <c r="QCP103" s="4"/>
      <c r="QCQ103" s="4"/>
      <c r="QCR103" s="4"/>
      <c r="QCS103" s="4"/>
      <c r="QCT103" s="4"/>
      <c r="QCU103" s="4"/>
      <c r="QCV103" s="4"/>
      <c r="QCW103" s="4"/>
      <c r="QCX103" s="4"/>
      <c r="QCY103" s="4"/>
      <c r="QCZ103" s="4"/>
      <c r="QDA103" s="4"/>
      <c r="QDB103" s="4"/>
      <c r="QDC103" s="4"/>
      <c r="QDD103" s="4"/>
      <c r="QDE103" s="4"/>
      <c r="QDF103" s="4"/>
      <c r="QDG103" s="4"/>
      <c r="QDH103" s="4"/>
      <c r="QDI103" s="4"/>
      <c r="QDJ103" s="4"/>
      <c r="QDK103" s="4"/>
      <c r="QDL103" s="4"/>
      <c r="QDM103" s="4"/>
      <c r="QDN103" s="4"/>
      <c r="QDO103" s="4"/>
      <c r="QDP103" s="4"/>
      <c r="QDQ103" s="4"/>
      <c r="QDR103" s="4"/>
      <c r="QDS103" s="4"/>
      <c r="QDT103" s="4"/>
      <c r="QDU103" s="4"/>
      <c r="QDV103" s="4"/>
      <c r="QDW103" s="4"/>
      <c r="QDX103" s="4"/>
      <c r="QDY103" s="4"/>
      <c r="QDZ103" s="4"/>
      <c r="QEA103" s="4"/>
      <c r="QEB103" s="4"/>
      <c r="QEC103" s="4"/>
      <c r="QED103" s="4"/>
      <c r="QEE103" s="4"/>
      <c r="QEF103" s="4"/>
      <c r="QEG103" s="4"/>
      <c r="QEH103" s="4"/>
      <c r="QEI103" s="4"/>
      <c r="QEJ103" s="4"/>
      <c r="QEK103" s="4"/>
      <c r="QEL103" s="4"/>
      <c r="QEM103" s="4"/>
      <c r="QEN103" s="4"/>
      <c r="QEO103" s="4"/>
      <c r="QEP103" s="4"/>
      <c r="QEQ103" s="4"/>
      <c r="QER103" s="4"/>
      <c r="QES103" s="4"/>
      <c r="QET103" s="4"/>
      <c r="QEU103" s="4"/>
      <c r="QEV103" s="4"/>
      <c r="QEW103" s="4"/>
      <c r="QEX103" s="4"/>
      <c r="QEY103" s="4"/>
      <c r="QEZ103" s="4"/>
      <c r="QFA103" s="4"/>
      <c r="QFB103" s="4"/>
      <c r="QFC103" s="4"/>
      <c r="QFD103" s="4"/>
      <c r="QFE103" s="4"/>
      <c r="QFF103" s="4"/>
      <c r="QFG103" s="4"/>
      <c r="QFH103" s="4"/>
      <c r="QFI103" s="4"/>
      <c r="QFJ103" s="4"/>
      <c r="QFK103" s="4"/>
      <c r="QFL103" s="4"/>
      <c r="QFM103" s="4"/>
      <c r="QFN103" s="4"/>
      <c r="QFO103" s="4"/>
      <c r="QFP103" s="4"/>
      <c r="QFQ103" s="4"/>
      <c r="QFR103" s="4"/>
      <c r="QFS103" s="4"/>
      <c r="QFT103" s="4"/>
      <c r="QFU103" s="4"/>
      <c r="QFV103" s="4"/>
      <c r="QFW103" s="4"/>
      <c r="QFX103" s="4"/>
      <c r="QFY103" s="4"/>
      <c r="QFZ103" s="4"/>
      <c r="QGA103" s="4"/>
      <c r="QGB103" s="4"/>
      <c r="QGC103" s="4"/>
      <c r="QGD103" s="4"/>
      <c r="QGE103" s="4"/>
      <c r="QGF103" s="4"/>
      <c r="QGG103" s="4"/>
      <c r="QGH103" s="4"/>
      <c r="QGI103" s="4"/>
      <c r="QGJ103" s="4"/>
      <c r="QGK103" s="4"/>
      <c r="QGL103" s="4"/>
      <c r="QGM103" s="4"/>
      <c r="QGN103" s="4"/>
      <c r="QGO103" s="4"/>
      <c r="QGP103" s="4"/>
      <c r="QGQ103" s="4"/>
      <c r="QGR103" s="4"/>
      <c r="QGS103" s="4"/>
      <c r="QGT103" s="4"/>
      <c r="QGU103" s="4"/>
      <c r="QGV103" s="4"/>
      <c r="QGW103" s="4"/>
      <c r="QGX103" s="4"/>
      <c r="QGY103" s="4"/>
      <c r="QGZ103" s="4"/>
      <c r="QHA103" s="4"/>
      <c r="QHB103" s="4"/>
      <c r="QHC103" s="4"/>
      <c r="QHD103" s="4"/>
      <c r="QHE103" s="4"/>
      <c r="QHF103" s="4"/>
      <c r="QHG103" s="4"/>
      <c r="QHH103" s="4"/>
      <c r="QHI103" s="4"/>
      <c r="QHJ103" s="4"/>
      <c r="QHK103" s="4"/>
      <c r="QHL103" s="4"/>
      <c r="QHM103" s="4"/>
      <c r="QHN103" s="4"/>
      <c r="QHO103" s="4"/>
      <c r="QHP103" s="4"/>
      <c r="QHQ103" s="4"/>
      <c r="QHR103" s="4"/>
      <c r="QHS103" s="4"/>
      <c r="QHT103" s="4"/>
      <c r="QHU103" s="4"/>
      <c r="QHV103" s="4"/>
      <c r="QHW103" s="4"/>
      <c r="QHX103" s="4"/>
      <c r="QHY103" s="4"/>
      <c r="QHZ103" s="4"/>
      <c r="QIA103" s="4"/>
      <c r="QIB103" s="4"/>
      <c r="QIC103" s="4"/>
      <c r="QID103" s="4"/>
      <c r="QIE103" s="4"/>
      <c r="QIF103" s="4"/>
      <c r="QIG103" s="4"/>
      <c r="QIH103" s="4"/>
      <c r="QII103" s="4"/>
      <c r="QIJ103" s="4"/>
      <c r="QIK103" s="4"/>
      <c r="QIL103" s="4"/>
      <c r="QIM103" s="4"/>
      <c r="QIN103" s="4"/>
      <c r="QIO103" s="4"/>
      <c r="QIP103" s="4"/>
      <c r="QIQ103" s="4"/>
      <c r="QIR103" s="4"/>
      <c r="QIS103" s="4"/>
      <c r="QIT103" s="4"/>
      <c r="QIU103" s="4"/>
      <c r="QIV103" s="4"/>
      <c r="QIW103" s="4"/>
      <c r="QIX103" s="4"/>
      <c r="QIY103" s="4"/>
      <c r="QIZ103" s="4"/>
      <c r="QJA103" s="4"/>
      <c r="QJB103" s="4"/>
      <c r="QJC103" s="4"/>
      <c r="QJD103" s="4"/>
      <c r="QJE103" s="4"/>
      <c r="QJF103" s="4"/>
      <c r="QJG103" s="4"/>
      <c r="QJH103" s="4"/>
      <c r="QJI103" s="4"/>
      <c r="QJJ103" s="4"/>
      <c r="QJK103" s="4"/>
      <c r="QJL103" s="4"/>
      <c r="QJM103" s="4"/>
      <c r="QJN103" s="4"/>
      <c r="QJO103" s="4"/>
      <c r="QJP103" s="4"/>
      <c r="QJQ103" s="4"/>
      <c r="QJR103" s="4"/>
      <c r="QJS103" s="4"/>
      <c r="QJT103" s="4"/>
      <c r="QJU103" s="4"/>
      <c r="QJV103" s="4"/>
      <c r="QJW103" s="4"/>
      <c r="QJX103" s="4"/>
      <c r="QJY103" s="4"/>
      <c r="QJZ103" s="4"/>
      <c r="QKA103" s="4"/>
      <c r="QKB103" s="4"/>
      <c r="QKC103" s="4"/>
      <c r="QKD103" s="4"/>
      <c r="QKE103" s="4"/>
      <c r="QKF103" s="4"/>
      <c r="QKG103" s="4"/>
      <c r="QKH103" s="4"/>
      <c r="QKI103" s="4"/>
      <c r="QKJ103" s="4"/>
      <c r="QKK103" s="4"/>
      <c r="QKL103" s="4"/>
      <c r="QKM103" s="4"/>
      <c r="QKN103" s="4"/>
      <c r="QKO103" s="4"/>
      <c r="QKP103" s="4"/>
      <c r="QKQ103" s="4"/>
      <c r="QKR103" s="4"/>
      <c r="QKS103" s="4"/>
      <c r="QKT103" s="4"/>
      <c r="QKU103" s="4"/>
      <c r="QKV103" s="4"/>
      <c r="QKW103" s="4"/>
      <c r="QKX103" s="4"/>
      <c r="QKY103" s="4"/>
      <c r="QKZ103" s="4"/>
      <c r="QLA103" s="4"/>
      <c r="QLB103" s="4"/>
      <c r="QLC103" s="4"/>
      <c r="QLD103" s="4"/>
      <c r="QLE103" s="4"/>
      <c r="QLF103" s="4"/>
      <c r="QLG103" s="4"/>
      <c r="QLH103" s="4"/>
      <c r="QLI103" s="4"/>
      <c r="QLJ103" s="4"/>
      <c r="QLK103" s="4"/>
      <c r="QLL103" s="4"/>
      <c r="QLM103" s="4"/>
      <c r="QLN103" s="4"/>
      <c r="QLO103" s="4"/>
      <c r="QLP103" s="4"/>
      <c r="QLQ103" s="4"/>
      <c r="QLR103" s="4"/>
      <c r="QLS103" s="4"/>
      <c r="QLT103" s="4"/>
      <c r="QLU103" s="4"/>
      <c r="QLV103" s="4"/>
      <c r="QLW103" s="4"/>
      <c r="QLX103" s="4"/>
      <c r="QLY103" s="4"/>
      <c r="QLZ103" s="4"/>
      <c r="QMA103" s="4"/>
      <c r="QMB103" s="4"/>
      <c r="QMC103" s="4"/>
      <c r="QMD103" s="4"/>
      <c r="QME103" s="4"/>
      <c r="QMF103" s="4"/>
      <c r="QMG103" s="4"/>
      <c r="QMH103" s="4"/>
      <c r="QMI103" s="4"/>
      <c r="QMJ103" s="4"/>
      <c r="QMK103" s="4"/>
      <c r="QML103" s="4"/>
      <c r="QMM103" s="4"/>
      <c r="QMN103" s="4"/>
      <c r="QMO103" s="4"/>
      <c r="QMP103" s="4"/>
      <c r="QMQ103" s="4"/>
      <c r="QMR103" s="4"/>
      <c r="QMS103" s="4"/>
      <c r="QMT103" s="4"/>
      <c r="QMU103" s="4"/>
      <c r="QMV103" s="4"/>
      <c r="QMW103" s="4"/>
      <c r="QMX103" s="4"/>
      <c r="QMY103" s="4"/>
      <c r="QMZ103" s="4"/>
      <c r="QNA103" s="4"/>
      <c r="QNB103" s="4"/>
      <c r="QNC103" s="4"/>
      <c r="QND103" s="4"/>
      <c r="QNE103" s="4"/>
      <c r="QNF103" s="4"/>
      <c r="QNG103" s="4"/>
      <c r="QNH103" s="4"/>
      <c r="QNI103" s="4"/>
      <c r="QNJ103" s="4"/>
      <c r="QNK103" s="4"/>
      <c r="QNL103" s="4"/>
      <c r="QNM103" s="4"/>
      <c r="QNN103" s="4"/>
      <c r="QNO103" s="4"/>
      <c r="QNP103" s="4"/>
      <c r="QNQ103" s="4"/>
      <c r="QNR103" s="4"/>
      <c r="QNS103" s="4"/>
      <c r="QNT103" s="4"/>
      <c r="QNU103" s="4"/>
      <c r="QNV103" s="4"/>
      <c r="QNW103" s="4"/>
      <c r="QNX103" s="4"/>
      <c r="QNY103" s="4"/>
      <c r="QNZ103" s="4"/>
      <c r="QOA103" s="4"/>
      <c r="QOB103" s="4"/>
      <c r="QOC103" s="4"/>
      <c r="QOD103" s="4"/>
      <c r="QOE103" s="4"/>
      <c r="QOF103" s="4"/>
      <c r="QOG103" s="4"/>
      <c r="QOH103" s="4"/>
      <c r="QOI103" s="4"/>
      <c r="QOJ103" s="4"/>
      <c r="QOK103" s="4"/>
      <c r="QOL103" s="4"/>
      <c r="QOM103" s="4"/>
      <c r="QON103" s="4"/>
      <c r="QOO103" s="4"/>
      <c r="QOP103" s="4"/>
      <c r="QOQ103" s="4"/>
      <c r="QOR103" s="4"/>
      <c r="QOS103" s="4"/>
      <c r="QOT103" s="4"/>
      <c r="QOU103" s="4"/>
      <c r="QOV103" s="4"/>
      <c r="QOW103" s="4"/>
      <c r="QOX103" s="4"/>
      <c r="QOY103" s="4"/>
      <c r="QOZ103" s="4"/>
      <c r="QPA103" s="4"/>
      <c r="QPB103" s="4"/>
      <c r="QPC103" s="4"/>
      <c r="QPD103" s="4"/>
      <c r="QPE103" s="4"/>
      <c r="QPF103" s="4"/>
      <c r="QPG103" s="4"/>
      <c r="QPH103" s="4"/>
      <c r="QPI103" s="4"/>
      <c r="QPJ103" s="4"/>
      <c r="QPK103" s="4"/>
      <c r="QPL103" s="4"/>
      <c r="QPM103" s="4"/>
      <c r="QPN103" s="4"/>
      <c r="QPO103" s="4"/>
      <c r="QPP103" s="4"/>
      <c r="QPQ103" s="4"/>
      <c r="QPR103" s="4"/>
      <c r="QPS103" s="4"/>
      <c r="QPT103" s="4"/>
      <c r="QPU103" s="4"/>
      <c r="QPV103" s="4"/>
      <c r="QPW103" s="4"/>
      <c r="QPX103" s="4"/>
      <c r="QPY103" s="4"/>
      <c r="QPZ103" s="4"/>
      <c r="QQA103" s="4"/>
      <c r="QQB103" s="4"/>
      <c r="QQC103" s="4"/>
      <c r="QQD103" s="4"/>
      <c r="QQE103" s="4"/>
      <c r="QQF103" s="4"/>
      <c r="QQG103" s="4"/>
      <c r="QQH103" s="4"/>
      <c r="QQI103" s="4"/>
      <c r="QQJ103" s="4"/>
      <c r="QQK103" s="4"/>
      <c r="QQL103" s="4"/>
      <c r="QQM103" s="4"/>
      <c r="QQN103" s="4"/>
      <c r="QQO103" s="4"/>
      <c r="QQP103" s="4"/>
      <c r="QQQ103" s="4"/>
      <c r="QQR103" s="4"/>
      <c r="QQS103" s="4"/>
      <c r="QQT103" s="4"/>
      <c r="QQU103" s="4"/>
      <c r="QQV103" s="4"/>
      <c r="QQW103" s="4"/>
      <c r="QQX103" s="4"/>
      <c r="QQY103" s="4"/>
      <c r="QQZ103" s="4"/>
      <c r="QRA103" s="4"/>
      <c r="QRB103" s="4"/>
      <c r="QRC103" s="4"/>
      <c r="QRD103" s="4"/>
      <c r="QRE103" s="4"/>
      <c r="QRF103" s="4"/>
      <c r="QRG103" s="4"/>
      <c r="QRH103" s="4"/>
      <c r="QRI103" s="4"/>
      <c r="QRJ103" s="4"/>
      <c r="QRK103" s="4"/>
      <c r="QRL103" s="4"/>
      <c r="QRM103" s="4"/>
      <c r="QRN103" s="4"/>
      <c r="QRO103" s="4"/>
      <c r="QRP103" s="4"/>
      <c r="QRQ103" s="4"/>
      <c r="QRR103" s="4"/>
      <c r="QRS103" s="4"/>
      <c r="QRT103" s="4"/>
      <c r="QRU103" s="4"/>
      <c r="QRV103" s="4"/>
      <c r="QRW103" s="4"/>
      <c r="QRX103" s="4"/>
      <c r="QRY103" s="4"/>
      <c r="QRZ103" s="4"/>
      <c r="QSA103" s="4"/>
      <c r="QSB103" s="4"/>
      <c r="QSC103" s="4"/>
      <c r="QSD103" s="4"/>
      <c r="QSE103" s="4"/>
      <c r="QSF103" s="4"/>
      <c r="QSG103" s="4"/>
      <c r="QSH103" s="4"/>
      <c r="QSI103" s="4"/>
      <c r="QSJ103" s="4"/>
      <c r="QSK103" s="4"/>
      <c r="QSL103" s="4"/>
      <c r="QSM103" s="4"/>
      <c r="QSN103" s="4"/>
      <c r="QSO103" s="4"/>
      <c r="QSP103" s="4"/>
      <c r="QSQ103" s="4"/>
      <c r="QSR103" s="4"/>
      <c r="QSS103" s="4"/>
      <c r="QST103" s="4"/>
      <c r="QSU103" s="4"/>
      <c r="QSV103" s="4"/>
      <c r="QSW103" s="4"/>
      <c r="QSX103" s="4"/>
      <c r="QSY103" s="4"/>
      <c r="QSZ103" s="4"/>
      <c r="QTA103" s="4"/>
      <c r="QTB103" s="4"/>
      <c r="QTC103" s="4"/>
      <c r="QTD103" s="4"/>
      <c r="QTE103" s="4"/>
      <c r="QTF103" s="4"/>
      <c r="QTG103" s="4"/>
      <c r="QTH103" s="4"/>
      <c r="QTI103" s="4"/>
      <c r="QTJ103" s="4"/>
      <c r="QTK103" s="4"/>
      <c r="QTL103" s="4"/>
      <c r="QTM103" s="4"/>
      <c r="QTN103" s="4"/>
      <c r="QTO103" s="4"/>
      <c r="QTP103" s="4"/>
      <c r="QTQ103" s="4"/>
      <c r="QTR103" s="4"/>
      <c r="QTS103" s="4"/>
      <c r="QTT103" s="4"/>
      <c r="QTU103" s="4"/>
      <c r="QTV103" s="4"/>
      <c r="QTW103" s="4"/>
      <c r="QTX103" s="4"/>
      <c r="QTY103" s="4"/>
      <c r="QTZ103" s="4"/>
      <c r="QUA103" s="4"/>
      <c r="QUB103" s="4"/>
      <c r="QUC103" s="4"/>
      <c r="QUD103" s="4"/>
      <c r="QUE103" s="4"/>
      <c r="QUF103" s="4"/>
      <c r="QUG103" s="4"/>
      <c r="QUH103" s="4"/>
      <c r="QUI103" s="4"/>
      <c r="QUJ103" s="4"/>
      <c r="QUK103" s="4"/>
      <c r="QUL103" s="4"/>
      <c r="QUM103" s="4"/>
      <c r="QUN103" s="4"/>
      <c r="QUO103" s="4"/>
      <c r="QUP103" s="4"/>
      <c r="QUQ103" s="4"/>
      <c r="QUR103" s="4"/>
      <c r="QUS103" s="4"/>
      <c r="QUT103" s="4"/>
      <c r="QUU103" s="4"/>
      <c r="QUV103" s="4"/>
      <c r="QUW103" s="4"/>
      <c r="QUX103" s="4"/>
      <c r="QUY103" s="4"/>
      <c r="QUZ103" s="4"/>
      <c r="QVA103" s="4"/>
      <c r="QVB103" s="4"/>
      <c r="QVC103" s="4"/>
      <c r="QVD103" s="4"/>
      <c r="QVE103" s="4"/>
      <c r="QVF103" s="4"/>
      <c r="QVG103" s="4"/>
      <c r="QVH103" s="4"/>
      <c r="QVI103" s="4"/>
      <c r="QVJ103" s="4"/>
      <c r="QVK103" s="4"/>
      <c r="QVL103" s="4"/>
      <c r="QVM103" s="4"/>
      <c r="QVN103" s="4"/>
      <c r="QVO103" s="4"/>
      <c r="QVP103" s="4"/>
      <c r="QVQ103" s="4"/>
      <c r="QVR103" s="4"/>
      <c r="QVS103" s="4"/>
      <c r="QVT103" s="4"/>
      <c r="QVU103" s="4"/>
      <c r="QVV103" s="4"/>
      <c r="QVW103" s="4"/>
      <c r="QVX103" s="4"/>
      <c r="QVY103" s="4"/>
      <c r="QVZ103" s="4"/>
      <c r="QWA103" s="4"/>
      <c r="QWB103" s="4"/>
      <c r="QWC103" s="4"/>
      <c r="QWD103" s="4"/>
      <c r="QWE103" s="4"/>
      <c r="QWF103" s="4"/>
      <c r="QWG103" s="4"/>
      <c r="QWH103" s="4"/>
      <c r="QWI103" s="4"/>
      <c r="QWJ103" s="4"/>
      <c r="QWK103" s="4"/>
      <c r="QWL103" s="4"/>
      <c r="QWM103" s="4"/>
      <c r="QWN103" s="4"/>
      <c r="QWO103" s="4"/>
      <c r="QWP103" s="4"/>
      <c r="QWQ103" s="4"/>
      <c r="QWR103" s="4"/>
      <c r="QWS103" s="4"/>
      <c r="QWT103" s="4"/>
      <c r="QWU103" s="4"/>
      <c r="QWV103" s="4"/>
      <c r="QWW103" s="4"/>
      <c r="QWX103" s="4"/>
      <c r="QWY103" s="4"/>
      <c r="QWZ103" s="4"/>
      <c r="QXA103" s="4"/>
      <c r="QXB103" s="4"/>
      <c r="QXC103" s="4"/>
      <c r="QXD103" s="4"/>
      <c r="QXE103" s="4"/>
      <c r="QXF103" s="4"/>
      <c r="QXG103" s="4"/>
      <c r="QXH103" s="4"/>
      <c r="QXI103" s="4"/>
      <c r="QXJ103" s="4"/>
      <c r="QXK103" s="4"/>
      <c r="QXL103" s="4"/>
      <c r="QXM103" s="4"/>
      <c r="QXN103" s="4"/>
      <c r="QXO103" s="4"/>
      <c r="QXP103" s="4"/>
      <c r="QXQ103" s="4"/>
      <c r="QXR103" s="4"/>
      <c r="QXS103" s="4"/>
      <c r="QXT103" s="4"/>
      <c r="QXU103" s="4"/>
      <c r="QXV103" s="4"/>
      <c r="QXW103" s="4"/>
      <c r="QXX103" s="4"/>
      <c r="QXY103" s="4"/>
      <c r="QXZ103" s="4"/>
      <c r="QYA103" s="4"/>
      <c r="QYB103" s="4"/>
      <c r="QYC103" s="4"/>
      <c r="QYD103" s="4"/>
      <c r="QYE103" s="4"/>
      <c r="QYF103" s="4"/>
      <c r="QYG103" s="4"/>
      <c r="QYH103" s="4"/>
      <c r="QYI103" s="4"/>
      <c r="QYJ103" s="4"/>
      <c r="QYK103" s="4"/>
      <c r="QYL103" s="4"/>
      <c r="QYM103" s="4"/>
      <c r="QYN103" s="4"/>
      <c r="QYO103" s="4"/>
      <c r="QYP103" s="4"/>
      <c r="QYQ103" s="4"/>
      <c r="QYR103" s="4"/>
      <c r="QYS103" s="4"/>
      <c r="QYT103" s="4"/>
      <c r="QYU103" s="4"/>
      <c r="QYV103" s="4"/>
      <c r="QYW103" s="4"/>
      <c r="QYX103" s="4"/>
      <c r="QYY103" s="4"/>
      <c r="QYZ103" s="4"/>
      <c r="QZA103" s="4"/>
      <c r="QZB103" s="4"/>
      <c r="QZC103" s="4"/>
      <c r="QZD103" s="4"/>
      <c r="QZE103" s="4"/>
      <c r="QZF103" s="4"/>
      <c r="QZG103" s="4"/>
      <c r="QZH103" s="4"/>
      <c r="QZI103" s="4"/>
      <c r="QZJ103" s="4"/>
      <c r="QZK103" s="4"/>
      <c r="QZL103" s="4"/>
      <c r="QZM103" s="4"/>
      <c r="QZN103" s="4"/>
      <c r="QZO103" s="4"/>
      <c r="QZP103" s="4"/>
      <c r="QZQ103" s="4"/>
      <c r="QZR103" s="4"/>
      <c r="QZS103" s="4"/>
      <c r="QZT103" s="4"/>
      <c r="QZU103" s="4"/>
      <c r="QZV103" s="4"/>
      <c r="QZW103" s="4"/>
      <c r="QZX103" s="4"/>
      <c r="QZY103" s="4"/>
      <c r="QZZ103" s="4"/>
      <c r="RAA103" s="4"/>
      <c r="RAB103" s="4"/>
      <c r="RAC103" s="4"/>
      <c r="RAD103" s="4"/>
      <c r="RAE103" s="4"/>
      <c r="RAF103" s="4"/>
      <c r="RAG103" s="4"/>
      <c r="RAH103" s="4"/>
      <c r="RAI103" s="4"/>
      <c r="RAJ103" s="4"/>
      <c r="RAK103" s="4"/>
      <c r="RAL103" s="4"/>
      <c r="RAM103" s="4"/>
      <c r="RAN103" s="4"/>
      <c r="RAO103" s="4"/>
      <c r="RAP103" s="4"/>
      <c r="RAQ103" s="4"/>
      <c r="RAR103" s="4"/>
      <c r="RAS103" s="4"/>
      <c r="RAT103" s="4"/>
      <c r="RAU103" s="4"/>
      <c r="RAV103" s="4"/>
      <c r="RAW103" s="4"/>
      <c r="RAX103" s="4"/>
      <c r="RAY103" s="4"/>
      <c r="RAZ103" s="4"/>
      <c r="RBA103" s="4"/>
      <c r="RBB103" s="4"/>
      <c r="RBC103" s="4"/>
      <c r="RBD103" s="4"/>
      <c r="RBE103" s="4"/>
      <c r="RBF103" s="4"/>
      <c r="RBG103" s="4"/>
      <c r="RBH103" s="4"/>
      <c r="RBI103" s="4"/>
      <c r="RBJ103" s="4"/>
      <c r="RBK103" s="4"/>
      <c r="RBL103" s="4"/>
      <c r="RBM103" s="4"/>
      <c r="RBN103" s="4"/>
      <c r="RBO103" s="4"/>
      <c r="RBP103" s="4"/>
      <c r="RBQ103" s="4"/>
      <c r="RBR103" s="4"/>
      <c r="RBS103" s="4"/>
      <c r="RBT103" s="4"/>
      <c r="RBU103" s="4"/>
      <c r="RBV103" s="4"/>
      <c r="RBW103" s="4"/>
      <c r="RBX103" s="4"/>
      <c r="RBY103" s="4"/>
      <c r="RBZ103" s="4"/>
      <c r="RCA103" s="4"/>
      <c r="RCB103" s="4"/>
      <c r="RCC103" s="4"/>
      <c r="RCD103" s="4"/>
      <c r="RCE103" s="4"/>
      <c r="RCF103" s="4"/>
      <c r="RCG103" s="4"/>
      <c r="RCH103" s="4"/>
      <c r="RCI103" s="4"/>
      <c r="RCJ103" s="4"/>
      <c r="RCK103" s="4"/>
      <c r="RCL103" s="4"/>
      <c r="RCM103" s="4"/>
      <c r="RCN103" s="4"/>
      <c r="RCO103" s="4"/>
      <c r="RCP103" s="4"/>
      <c r="RCQ103" s="4"/>
      <c r="RCR103" s="4"/>
      <c r="RCS103" s="4"/>
      <c r="RCT103" s="4"/>
      <c r="RCU103" s="4"/>
      <c r="RCV103" s="4"/>
      <c r="RCW103" s="4"/>
      <c r="RCX103" s="4"/>
      <c r="RCY103" s="4"/>
      <c r="RCZ103" s="4"/>
      <c r="RDA103" s="4"/>
      <c r="RDB103" s="4"/>
      <c r="RDC103" s="4"/>
      <c r="RDD103" s="4"/>
      <c r="RDE103" s="4"/>
      <c r="RDF103" s="4"/>
      <c r="RDG103" s="4"/>
      <c r="RDH103" s="4"/>
      <c r="RDI103" s="4"/>
      <c r="RDJ103" s="4"/>
      <c r="RDK103" s="4"/>
      <c r="RDL103" s="4"/>
      <c r="RDM103" s="4"/>
      <c r="RDN103" s="4"/>
      <c r="RDO103" s="4"/>
      <c r="RDP103" s="4"/>
      <c r="RDQ103" s="4"/>
      <c r="RDR103" s="4"/>
      <c r="RDS103" s="4"/>
      <c r="RDT103" s="4"/>
      <c r="RDU103" s="4"/>
      <c r="RDV103" s="4"/>
      <c r="RDW103" s="4"/>
      <c r="RDX103" s="4"/>
      <c r="RDY103" s="4"/>
      <c r="RDZ103" s="4"/>
      <c r="REA103" s="4"/>
      <c r="REB103" s="4"/>
      <c r="REC103" s="4"/>
      <c r="RED103" s="4"/>
      <c r="REE103" s="4"/>
      <c r="REF103" s="4"/>
      <c r="REG103" s="4"/>
      <c r="REH103" s="4"/>
      <c r="REI103" s="4"/>
      <c r="REJ103" s="4"/>
      <c r="REK103" s="4"/>
      <c r="REL103" s="4"/>
      <c r="REM103" s="4"/>
      <c r="REN103" s="4"/>
      <c r="REO103" s="4"/>
      <c r="REP103" s="4"/>
      <c r="REQ103" s="4"/>
      <c r="RER103" s="4"/>
      <c r="RES103" s="4"/>
      <c r="RET103" s="4"/>
      <c r="REU103" s="4"/>
      <c r="REV103" s="4"/>
      <c r="REW103" s="4"/>
      <c r="REX103" s="4"/>
      <c r="REY103" s="4"/>
      <c r="REZ103" s="4"/>
      <c r="RFA103" s="4"/>
      <c r="RFB103" s="4"/>
      <c r="RFC103" s="4"/>
      <c r="RFD103" s="4"/>
      <c r="RFE103" s="4"/>
      <c r="RFF103" s="4"/>
      <c r="RFG103" s="4"/>
      <c r="RFH103" s="4"/>
      <c r="RFI103" s="4"/>
      <c r="RFJ103" s="4"/>
      <c r="RFK103" s="4"/>
      <c r="RFL103" s="4"/>
      <c r="RFM103" s="4"/>
      <c r="RFN103" s="4"/>
      <c r="RFO103" s="4"/>
      <c r="RFP103" s="4"/>
      <c r="RFQ103" s="4"/>
      <c r="RFR103" s="4"/>
      <c r="RFS103" s="4"/>
      <c r="RFT103" s="4"/>
      <c r="RFU103" s="4"/>
      <c r="RFV103" s="4"/>
      <c r="RFW103" s="4"/>
      <c r="RFX103" s="4"/>
      <c r="RFY103" s="4"/>
      <c r="RFZ103" s="4"/>
      <c r="RGA103" s="4"/>
      <c r="RGB103" s="4"/>
      <c r="RGC103" s="4"/>
      <c r="RGD103" s="4"/>
      <c r="RGE103" s="4"/>
      <c r="RGF103" s="4"/>
      <c r="RGG103" s="4"/>
      <c r="RGH103" s="4"/>
      <c r="RGI103" s="4"/>
      <c r="RGJ103" s="4"/>
      <c r="RGK103" s="4"/>
      <c r="RGL103" s="4"/>
      <c r="RGM103" s="4"/>
      <c r="RGN103" s="4"/>
      <c r="RGO103" s="4"/>
      <c r="RGP103" s="4"/>
      <c r="RGQ103" s="4"/>
      <c r="RGR103" s="4"/>
      <c r="RGS103" s="4"/>
      <c r="RGT103" s="4"/>
      <c r="RGU103" s="4"/>
      <c r="RGV103" s="4"/>
      <c r="RGW103" s="4"/>
      <c r="RGX103" s="4"/>
      <c r="RGY103" s="4"/>
      <c r="RGZ103" s="4"/>
      <c r="RHA103" s="4"/>
      <c r="RHB103" s="4"/>
      <c r="RHC103" s="4"/>
      <c r="RHD103" s="4"/>
      <c r="RHE103" s="4"/>
      <c r="RHF103" s="4"/>
      <c r="RHG103" s="4"/>
      <c r="RHH103" s="4"/>
      <c r="RHI103" s="4"/>
      <c r="RHJ103" s="4"/>
      <c r="RHK103" s="4"/>
      <c r="RHL103" s="4"/>
      <c r="RHM103" s="4"/>
      <c r="RHN103" s="4"/>
      <c r="RHO103" s="4"/>
      <c r="RHP103" s="4"/>
      <c r="RHQ103" s="4"/>
      <c r="RHR103" s="4"/>
      <c r="RHS103" s="4"/>
      <c r="RHT103" s="4"/>
      <c r="RHU103" s="4"/>
      <c r="RHV103" s="4"/>
      <c r="RHW103" s="4"/>
      <c r="RHX103" s="4"/>
      <c r="RHY103" s="4"/>
      <c r="RHZ103" s="4"/>
      <c r="RIA103" s="4"/>
      <c r="RIB103" s="4"/>
      <c r="RIC103" s="4"/>
      <c r="RID103" s="4"/>
      <c r="RIE103" s="4"/>
      <c r="RIF103" s="4"/>
      <c r="RIG103" s="4"/>
      <c r="RIH103" s="4"/>
      <c r="RII103" s="4"/>
      <c r="RIJ103" s="4"/>
      <c r="RIK103" s="4"/>
      <c r="RIL103" s="4"/>
      <c r="RIM103" s="4"/>
      <c r="RIN103" s="4"/>
      <c r="RIO103" s="4"/>
      <c r="RIP103" s="4"/>
      <c r="RIQ103" s="4"/>
      <c r="RIR103" s="4"/>
      <c r="RIS103" s="4"/>
      <c r="RIT103" s="4"/>
      <c r="RIU103" s="4"/>
      <c r="RIV103" s="4"/>
      <c r="RIW103" s="4"/>
      <c r="RIX103" s="4"/>
      <c r="RIY103" s="4"/>
      <c r="RIZ103" s="4"/>
      <c r="RJA103" s="4"/>
      <c r="RJB103" s="4"/>
      <c r="RJC103" s="4"/>
      <c r="RJD103" s="4"/>
      <c r="RJE103" s="4"/>
      <c r="RJF103" s="4"/>
      <c r="RJG103" s="4"/>
      <c r="RJH103" s="4"/>
      <c r="RJI103" s="4"/>
      <c r="RJJ103" s="4"/>
      <c r="RJK103" s="4"/>
      <c r="RJL103" s="4"/>
      <c r="RJM103" s="4"/>
      <c r="RJN103" s="4"/>
      <c r="RJO103" s="4"/>
      <c r="RJP103" s="4"/>
      <c r="RJQ103" s="4"/>
      <c r="RJR103" s="4"/>
      <c r="RJS103" s="4"/>
      <c r="RJT103" s="4"/>
      <c r="RJU103" s="4"/>
      <c r="RJV103" s="4"/>
      <c r="RJW103" s="4"/>
      <c r="RJX103" s="4"/>
      <c r="RJY103" s="4"/>
      <c r="RJZ103" s="4"/>
      <c r="RKA103" s="4"/>
      <c r="RKB103" s="4"/>
      <c r="RKC103" s="4"/>
      <c r="RKD103" s="4"/>
      <c r="RKE103" s="4"/>
      <c r="RKF103" s="4"/>
      <c r="RKG103" s="4"/>
      <c r="RKH103" s="4"/>
      <c r="RKI103" s="4"/>
      <c r="RKJ103" s="4"/>
      <c r="RKK103" s="4"/>
      <c r="RKL103" s="4"/>
      <c r="RKM103" s="4"/>
      <c r="RKN103" s="4"/>
      <c r="RKO103" s="4"/>
      <c r="RKP103" s="4"/>
      <c r="RKQ103" s="4"/>
      <c r="RKR103" s="4"/>
      <c r="RKS103" s="4"/>
      <c r="RKT103" s="4"/>
      <c r="RKU103" s="4"/>
      <c r="RKV103" s="4"/>
      <c r="RKW103" s="4"/>
      <c r="RKX103" s="4"/>
      <c r="RKY103" s="4"/>
      <c r="RKZ103" s="4"/>
      <c r="RLA103" s="4"/>
      <c r="RLB103" s="4"/>
      <c r="RLC103" s="4"/>
      <c r="RLD103" s="4"/>
      <c r="RLE103" s="4"/>
      <c r="RLF103" s="4"/>
      <c r="RLG103" s="4"/>
      <c r="RLH103" s="4"/>
      <c r="RLI103" s="4"/>
      <c r="RLJ103" s="4"/>
      <c r="RLK103" s="4"/>
      <c r="RLL103" s="4"/>
      <c r="RLM103" s="4"/>
      <c r="RLN103" s="4"/>
      <c r="RLO103" s="4"/>
      <c r="RLP103" s="4"/>
      <c r="RLQ103" s="4"/>
      <c r="RLR103" s="4"/>
      <c r="RLS103" s="4"/>
      <c r="RLT103" s="4"/>
      <c r="RLU103" s="4"/>
      <c r="RLV103" s="4"/>
      <c r="RLW103" s="4"/>
      <c r="RLX103" s="4"/>
      <c r="RLY103" s="4"/>
      <c r="RLZ103" s="4"/>
      <c r="RMA103" s="4"/>
      <c r="RMB103" s="4"/>
      <c r="RMC103" s="4"/>
      <c r="RMD103" s="4"/>
      <c r="RME103" s="4"/>
      <c r="RMF103" s="4"/>
      <c r="RMG103" s="4"/>
      <c r="RMH103" s="4"/>
      <c r="RMI103" s="4"/>
      <c r="RMJ103" s="4"/>
      <c r="RMK103" s="4"/>
      <c r="RML103" s="4"/>
      <c r="RMM103" s="4"/>
      <c r="RMN103" s="4"/>
      <c r="RMO103" s="4"/>
      <c r="RMP103" s="4"/>
      <c r="RMQ103" s="4"/>
      <c r="RMR103" s="4"/>
      <c r="RMS103" s="4"/>
      <c r="RMT103" s="4"/>
      <c r="RMU103" s="4"/>
      <c r="RMV103" s="4"/>
      <c r="RMW103" s="4"/>
      <c r="RMX103" s="4"/>
      <c r="RMY103" s="4"/>
      <c r="RMZ103" s="4"/>
      <c r="RNA103" s="4"/>
      <c r="RNB103" s="4"/>
      <c r="RNC103" s="4"/>
      <c r="RND103" s="4"/>
      <c r="RNE103" s="4"/>
      <c r="RNF103" s="4"/>
      <c r="RNG103" s="4"/>
      <c r="RNH103" s="4"/>
      <c r="RNI103" s="4"/>
      <c r="RNJ103" s="4"/>
      <c r="RNK103" s="4"/>
      <c r="RNL103" s="4"/>
      <c r="RNM103" s="4"/>
      <c r="RNN103" s="4"/>
      <c r="RNO103" s="4"/>
      <c r="RNP103" s="4"/>
      <c r="RNQ103" s="4"/>
      <c r="RNR103" s="4"/>
      <c r="RNS103" s="4"/>
      <c r="RNT103" s="4"/>
      <c r="RNU103" s="4"/>
      <c r="RNV103" s="4"/>
      <c r="RNW103" s="4"/>
      <c r="RNX103" s="4"/>
      <c r="RNY103" s="4"/>
      <c r="RNZ103" s="4"/>
      <c r="ROA103" s="4"/>
      <c r="ROB103" s="4"/>
      <c r="ROC103" s="4"/>
      <c r="ROD103" s="4"/>
      <c r="ROE103" s="4"/>
      <c r="ROF103" s="4"/>
      <c r="ROG103" s="4"/>
      <c r="ROH103" s="4"/>
      <c r="ROI103" s="4"/>
      <c r="ROJ103" s="4"/>
      <c r="ROK103" s="4"/>
      <c r="ROL103" s="4"/>
      <c r="ROM103" s="4"/>
      <c r="RON103" s="4"/>
      <c r="ROO103" s="4"/>
      <c r="ROP103" s="4"/>
      <c r="ROQ103" s="4"/>
      <c r="ROR103" s="4"/>
      <c r="ROS103" s="4"/>
      <c r="ROT103" s="4"/>
      <c r="ROU103" s="4"/>
      <c r="ROV103" s="4"/>
      <c r="ROW103" s="4"/>
      <c r="ROX103" s="4"/>
      <c r="ROY103" s="4"/>
      <c r="ROZ103" s="4"/>
      <c r="RPA103" s="4"/>
      <c r="RPB103" s="4"/>
      <c r="RPC103" s="4"/>
      <c r="RPD103" s="4"/>
      <c r="RPE103" s="4"/>
      <c r="RPF103" s="4"/>
      <c r="RPG103" s="4"/>
      <c r="RPH103" s="4"/>
      <c r="RPI103" s="4"/>
      <c r="RPJ103" s="4"/>
      <c r="RPK103" s="4"/>
      <c r="RPL103" s="4"/>
      <c r="RPM103" s="4"/>
      <c r="RPN103" s="4"/>
      <c r="RPO103" s="4"/>
      <c r="RPP103" s="4"/>
      <c r="RPQ103" s="4"/>
      <c r="RPR103" s="4"/>
      <c r="RPS103" s="4"/>
      <c r="RPT103" s="4"/>
      <c r="RPU103" s="4"/>
      <c r="RPV103" s="4"/>
      <c r="RPW103" s="4"/>
      <c r="RPX103" s="4"/>
      <c r="RPY103" s="4"/>
      <c r="RPZ103" s="4"/>
      <c r="RQA103" s="4"/>
      <c r="RQB103" s="4"/>
      <c r="RQC103" s="4"/>
      <c r="RQD103" s="4"/>
      <c r="RQE103" s="4"/>
      <c r="RQF103" s="4"/>
      <c r="RQG103" s="4"/>
      <c r="RQH103" s="4"/>
      <c r="RQI103" s="4"/>
      <c r="RQJ103" s="4"/>
      <c r="RQK103" s="4"/>
      <c r="RQL103" s="4"/>
      <c r="RQM103" s="4"/>
      <c r="RQN103" s="4"/>
      <c r="RQO103" s="4"/>
      <c r="RQP103" s="4"/>
      <c r="RQQ103" s="4"/>
      <c r="RQR103" s="4"/>
      <c r="RQS103" s="4"/>
      <c r="RQT103" s="4"/>
      <c r="RQU103" s="4"/>
      <c r="RQV103" s="4"/>
      <c r="RQW103" s="4"/>
      <c r="RQX103" s="4"/>
      <c r="RQY103" s="4"/>
      <c r="RQZ103" s="4"/>
      <c r="RRA103" s="4"/>
      <c r="RRB103" s="4"/>
      <c r="RRC103" s="4"/>
      <c r="RRD103" s="4"/>
      <c r="RRE103" s="4"/>
      <c r="RRF103" s="4"/>
      <c r="RRG103" s="4"/>
      <c r="RRH103" s="4"/>
      <c r="RRI103" s="4"/>
      <c r="RRJ103" s="4"/>
      <c r="RRK103" s="4"/>
      <c r="RRL103" s="4"/>
      <c r="RRM103" s="4"/>
      <c r="RRN103" s="4"/>
      <c r="RRO103" s="4"/>
      <c r="RRP103" s="4"/>
      <c r="RRQ103" s="4"/>
      <c r="RRR103" s="4"/>
      <c r="RRS103" s="4"/>
      <c r="RRT103" s="4"/>
      <c r="RRU103" s="4"/>
      <c r="RRV103" s="4"/>
      <c r="RRW103" s="4"/>
      <c r="RRX103" s="4"/>
      <c r="RRY103" s="4"/>
      <c r="RRZ103" s="4"/>
      <c r="RSA103" s="4"/>
      <c r="RSB103" s="4"/>
      <c r="RSC103" s="4"/>
      <c r="RSD103" s="4"/>
      <c r="RSE103" s="4"/>
      <c r="RSF103" s="4"/>
      <c r="RSG103" s="4"/>
      <c r="RSH103" s="4"/>
      <c r="RSI103" s="4"/>
      <c r="RSJ103" s="4"/>
      <c r="RSK103" s="4"/>
      <c r="RSL103" s="4"/>
      <c r="RSM103" s="4"/>
      <c r="RSN103" s="4"/>
      <c r="RSO103" s="4"/>
      <c r="RSP103" s="4"/>
      <c r="RSQ103" s="4"/>
      <c r="RSR103" s="4"/>
      <c r="RSS103" s="4"/>
      <c r="RST103" s="4"/>
      <c r="RSU103" s="4"/>
      <c r="RSV103" s="4"/>
      <c r="RSW103" s="4"/>
      <c r="RSX103" s="4"/>
      <c r="RSY103" s="4"/>
      <c r="RSZ103" s="4"/>
      <c r="RTA103" s="4"/>
      <c r="RTB103" s="4"/>
      <c r="RTC103" s="4"/>
      <c r="RTD103" s="4"/>
      <c r="RTE103" s="4"/>
      <c r="RTF103" s="4"/>
      <c r="RTG103" s="4"/>
      <c r="RTH103" s="4"/>
      <c r="RTI103" s="4"/>
      <c r="RTJ103" s="4"/>
      <c r="RTK103" s="4"/>
      <c r="RTL103" s="4"/>
      <c r="RTM103" s="4"/>
      <c r="RTN103" s="4"/>
      <c r="RTO103" s="4"/>
      <c r="RTP103" s="4"/>
      <c r="RTQ103" s="4"/>
      <c r="RTR103" s="4"/>
      <c r="RTS103" s="4"/>
      <c r="RTT103" s="4"/>
      <c r="RTU103" s="4"/>
      <c r="RTV103" s="4"/>
      <c r="RTW103" s="4"/>
      <c r="RTX103" s="4"/>
      <c r="RTY103" s="4"/>
      <c r="RTZ103" s="4"/>
      <c r="RUA103" s="4"/>
      <c r="RUB103" s="4"/>
      <c r="RUC103" s="4"/>
      <c r="RUD103" s="4"/>
      <c r="RUE103" s="4"/>
      <c r="RUF103" s="4"/>
      <c r="RUG103" s="4"/>
      <c r="RUH103" s="4"/>
      <c r="RUI103" s="4"/>
      <c r="RUJ103" s="4"/>
      <c r="RUK103" s="4"/>
      <c r="RUL103" s="4"/>
      <c r="RUM103" s="4"/>
      <c r="RUN103" s="4"/>
      <c r="RUO103" s="4"/>
      <c r="RUP103" s="4"/>
      <c r="RUQ103" s="4"/>
      <c r="RUR103" s="4"/>
      <c r="RUS103" s="4"/>
      <c r="RUT103" s="4"/>
      <c r="RUU103" s="4"/>
      <c r="RUV103" s="4"/>
      <c r="RUW103" s="4"/>
      <c r="RUX103" s="4"/>
      <c r="RUY103" s="4"/>
      <c r="RUZ103" s="4"/>
      <c r="RVA103" s="4"/>
      <c r="RVB103" s="4"/>
      <c r="RVC103" s="4"/>
      <c r="RVD103" s="4"/>
      <c r="RVE103" s="4"/>
      <c r="RVF103" s="4"/>
      <c r="RVG103" s="4"/>
      <c r="RVH103" s="4"/>
      <c r="RVI103" s="4"/>
      <c r="RVJ103" s="4"/>
      <c r="RVK103" s="4"/>
      <c r="RVL103" s="4"/>
      <c r="RVM103" s="4"/>
      <c r="RVN103" s="4"/>
      <c r="RVO103" s="4"/>
      <c r="RVP103" s="4"/>
      <c r="RVQ103" s="4"/>
      <c r="RVR103" s="4"/>
      <c r="RVS103" s="4"/>
      <c r="RVT103" s="4"/>
      <c r="RVU103" s="4"/>
      <c r="RVV103" s="4"/>
      <c r="RVW103" s="4"/>
      <c r="RVX103" s="4"/>
      <c r="RVY103" s="4"/>
      <c r="RVZ103" s="4"/>
      <c r="RWA103" s="4"/>
      <c r="RWB103" s="4"/>
      <c r="RWC103" s="4"/>
      <c r="RWD103" s="4"/>
      <c r="RWE103" s="4"/>
      <c r="RWF103" s="4"/>
      <c r="RWG103" s="4"/>
      <c r="RWH103" s="4"/>
      <c r="RWI103" s="4"/>
      <c r="RWJ103" s="4"/>
      <c r="RWK103" s="4"/>
      <c r="RWL103" s="4"/>
      <c r="RWM103" s="4"/>
      <c r="RWN103" s="4"/>
      <c r="RWO103" s="4"/>
      <c r="RWP103" s="4"/>
      <c r="RWQ103" s="4"/>
      <c r="RWR103" s="4"/>
      <c r="RWS103" s="4"/>
      <c r="RWT103" s="4"/>
      <c r="RWU103" s="4"/>
      <c r="RWV103" s="4"/>
      <c r="RWW103" s="4"/>
      <c r="RWX103" s="4"/>
      <c r="RWY103" s="4"/>
      <c r="RWZ103" s="4"/>
      <c r="RXA103" s="4"/>
      <c r="RXB103" s="4"/>
      <c r="RXC103" s="4"/>
      <c r="RXD103" s="4"/>
      <c r="RXE103" s="4"/>
      <c r="RXF103" s="4"/>
      <c r="RXG103" s="4"/>
      <c r="RXH103" s="4"/>
      <c r="RXI103" s="4"/>
      <c r="RXJ103" s="4"/>
      <c r="RXK103" s="4"/>
      <c r="RXL103" s="4"/>
      <c r="RXM103" s="4"/>
      <c r="RXN103" s="4"/>
      <c r="RXO103" s="4"/>
      <c r="RXP103" s="4"/>
      <c r="RXQ103" s="4"/>
      <c r="RXR103" s="4"/>
      <c r="RXS103" s="4"/>
      <c r="RXT103" s="4"/>
      <c r="RXU103" s="4"/>
      <c r="RXV103" s="4"/>
      <c r="RXW103" s="4"/>
      <c r="RXX103" s="4"/>
      <c r="RXY103" s="4"/>
      <c r="RXZ103" s="4"/>
      <c r="RYA103" s="4"/>
      <c r="RYB103" s="4"/>
      <c r="RYC103" s="4"/>
      <c r="RYD103" s="4"/>
      <c r="RYE103" s="4"/>
      <c r="RYF103" s="4"/>
      <c r="RYG103" s="4"/>
      <c r="RYH103" s="4"/>
      <c r="RYI103" s="4"/>
      <c r="RYJ103" s="4"/>
      <c r="RYK103" s="4"/>
      <c r="RYL103" s="4"/>
      <c r="RYM103" s="4"/>
      <c r="RYN103" s="4"/>
      <c r="RYO103" s="4"/>
      <c r="RYP103" s="4"/>
      <c r="RYQ103" s="4"/>
      <c r="RYR103" s="4"/>
      <c r="RYS103" s="4"/>
      <c r="RYT103" s="4"/>
      <c r="RYU103" s="4"/>
      <c r="RYV103" s="4"/>
      <c r="RYW103" s="4"/>
      <c r="RYX103" s="4"/>
      <c r="RYY103" s="4"/>
      <c r="RYZ103" s="4"/>
      <c r="RZA103" s="4"/>
      <c r="RZB103" s="4"/>
      <c r="RZC103" s="4"/>
      <c r="RZD103" s="4"/>
      <c r="RZE103" s="4"/>
      <c r="RZF103" s="4"/>
      <c r="RZG103" s="4"/>
      <c r="RZH103" s="4"/>
      <c r="RZI103" s="4"/>
      <c r="RZJ103" s="4"/>
      <c r="RZK103" s="4"/>
      <c r="RZL103" s="4"/>
      <c r="RZM103" s="4"/>
      <c r="RZN103" s="4"/>
      <c r="RZO103" s="4"/>
      <c r="RZP103" s="4"/>
      <c r="RZQ103" s="4"/>
      <c r="RZR103" s="4"/>
      <c r="RZS103" s="4"/>
      <c r="RZT103" s="4"/>
      <c r="RZU103" s="4"/>
      <c r="RZV103" s="4"/>
      <c r="RZW103" s="4"/>
      <c r="RZX103" s="4"/>
      <c r="RZY103" s="4"/>
      <c r="RZZ103" s="4"/>
      <c r="SAA103" s="4"/>
      <c r="SAB103" s="4"/>
      <c r="SAC103" s="4"/>
      <c r="SAD103" s="4"/>
      <c r="SAE103" s="4"/>
      <c r="SAF103" s="4"/>
      <c r="SAG103" s="4"/>
      <c r="SAH103" s="4"/>
      <c r="SAI103" s="4"/>
      <c r="SAJ103" s="4"/>
      <c r="SAK103" s="4"/>
      <c r="SAL103" s="4"/>
      <c r="SAM103" s="4"/>
      <c r="SAN103" s="4"/>
      <c r="SAO103" s="4"/>
      <c r="SAP103" s="4"/>
      <c r="SAQ103" s="4"/>
      <c r="SAR103" s="4"/>
      <c r="SAS103" s="4"/>
      <c r="SAT103" s="4"/>
      <c r="SAU103" s="4"/>
      <c r="SAV103" s="4"/>
      <c r="SAW103" s="4"/>
      <c r="SAX103" s="4"/>
      <c r="SAY103" s="4"/>
      <c r="SAZ103" s="4"/>
      <c r="SBA103" s="4"/>
      <c r="SBB103" s="4"/>
      <c r="SBC103" s="4"/>
      <c r="SBD103" s="4"/>
      <c r="SBE103" s="4"/>
      <c r="SBF103" s="4"/>
      <c r="SBG103" s="4"/>
      <c r="SBH103" s="4"/>
      <c r="SBI103" s="4"/>
      <c r="SBJ103" s="4"/>
      <c r="SBK103" s="4"/>
      <c r="SBL103" s="4"/>
      <c r="SBM103" s="4"/>
      <c r="SBN103" s="4"/>
      <c r="SBO103" s="4"/>
      <c r="SBP103" s="4"/>
      <c r="SBQ103" s="4"/>
      <c r="SBR103" s="4"/>
      <c r="SBS103" s="4"/>
      <c r="SBT103" s="4"/>
      <c r="SBU103" s="4"/>
      <c r="SBV103" s="4"/>
      <c r="SBW103" s="4"/>
      <c r="SBX103" s="4"/>
      <c r="SBY103" s="4"/>
      <c r="SBZ103" s="4"/>
      <c r="SCA103" s="4"/>
      <c r="SCB103" s="4"/>
      <c r="SCC103" s="4"/>
      <c r="SCD103" s="4"/>
      <c r="SCE103" s="4"/>
      <c r="SCF103" s="4"/>
      <c r="SCG103" s="4"/>
      <c r="SCH103" s="4"/>
      <c r="SCI103" s="4"/>
      <c r="SCJ103" s="4"/>
      <c r="SCK103" s="4"/>
      <c r="SCL103" s="4"/>
      <c r="SCM103" s="4"/>
      <c r="SCN103" s="4"/>
      <c r="SCO103" s="4"/>
      <c r="SCP103" s="4"/>
      <c r="SCQ103" s="4"/>
      <c r="SCR103" s="4"/>
      <c r="SCS103" s="4"/>
      <c r="SCT103" s="4"/>
      <c r="SCU103" s="4"/>
      <c r="SCV103" s="4"/>
      <c r="SCW103" s="4"/>
      <c r="SCX103" s="4"/>
      <c r="SCY103" s="4"/>
      <c r="SCZ103" s="4"/>
      <c r="SDA103" s="4"/>
      <c r="SDB103" s="4"/>
      <c r="SDC103" s="4"/>
      <c r="SDD103" s="4"/>
      <c r="SDE103" s="4"/>
      <c r="SDF103" s="4"/>
      <c r="SDG103" s="4"/>
      <c r="SDH103" s="4"/>
      <c r="SDI103" s="4"/>
      <c r="SDJ103" s="4"/>
      <c r="SDK103" s="4"/>
      <c r="SDL103" s="4"/>
      <c r="SDM103" s="4"/>
      <c r="SDN103" s="4"/>
      <c r="SDO103" s="4"/>
      <c r="SDP103" s="4"/>
      <c r="SDQ103" s="4"/>
      <c r="SDR103" s="4"/>
      <c r="SDS103" s="4"/>
      <c r="SDT103" s="4"/>
      <c r="SDU103" s="4"/>
      <c r="SDV103" s="4"/>
      <c r="SDW103" s="4"/>
      <c r="SDX103" s="4"/>
      <c r="SDY103" s="4"/>
      <c r="SDZ103" s="4"/>
      <c r="SEA103" s="4"/>
      <c r="SEB103" s="4"/>
      <c r="SEC103" s="4"/>
      <c r="SED103" s="4"/>
      <c r="SEE103" s="4"/>
      <c r="SEF103" s="4"/>
      <c r="SEG103" s="4"/>
      <c r="SEH103" s="4"/>
      <c r="SEI103" s="4"/>
      <c r="SEJ103" s="4"/>
      <c r="SEK103" s="4"/>
      <c r="SEL103" s="4"/>
      <c r="SEM103" s="4"/>
      <c r="SEN103" s="4"/>
      <c r="SEO103" s="4"/>
      <c r="SEP103" s="4"/>
      <c r="SEQ103" s="4"/>
      <c r="SER103" s="4"/>
      <c r="SES103" s="4"/>
      <c r="SET103" s="4"/>
      <c r="SEU103" s="4"/>
      <c r="SEV103" s="4"/>
      <c r="SEW103" s="4"/>
      <c r="SEX103" s="4"/>
      <c r="SEY103" s="4"/>
      <c r="SEZ103" s="4"/>
      <c r="SFA103" s="4"/>
      <c r="SFB103" s="4"/>
      <c r="SFC103" s="4"/>
      <c r="SFD103" s="4"/>
      <c r="SFE103" s="4"/>
      <c r="SFF103" s="4"/>
      <c r="SFG103" s="4"/>
      <c r="SFH103" s="4"/>
      <c r="SFI103" s="4"/>
      <c r="SFJ103" s="4"/>
      <c r="SFK103" s="4"/>
      <c r="SFL103" s="4"/>
      <c r="SFM103" s="4"/>
      <c r="SFN103" s="4"/>
      <c r="SFO103" s="4"/>
      <c r="SFP103" s="4"/>
      <c r="SFQ103" s="4"/>
      <c r="SFR103" s="4"/>
      <c r="SFS103" s="4"/>
      <c r="SFT103" s="4"/>
      <c r="SFU103" s="4"/>
      <c r="SFV103" s="4"/>
      <c r="SFW103" s="4"/>
      <c r="SFX103" s="4"/>
      <c r="SFY103" s="4"/>
      <c r="SFZ103" s="4"/>
      <c r="SGA103" s="4"/>
      <c r="SGB103" s="4"/>
      <c r="SGC103" s="4"/>
      <c r="SGD103" s="4"/>
      <c r="SGE103" s="4"/>
      <c r="SGF103" s="4"/>
      <c r="SGG103" s="4"/>
      <c r="SGH103" s="4"/>
      <c r="SGI103" s="4"/>
      <c r="SGJ103" s="4"/>
      <c r="SGK103" s="4"/>
      <c r="SGL103" s="4"/>
      <c r="SGM103" s="4"/>
      <c r="SGN103" s="4"/>
      <c r="SGO103" s="4"/>
      <c r="SGP103" s="4"/>
      <c r="SGQ103" s="4"/>
      <c r="SGR103" s="4"/>
      <c r="SGS103" s="4"/>
      <c r="SGT103" s="4"/>
      <c r="SGU103" s="4"/>
      <c r="SGV103" s="4"/>
      <c r="SGW103" s="4"/>
      <c r="SGX103" s="4"/>
      <c r="SGY103" s="4"/>
      <c r="SGZ103" s="4"/>
      <c r="SHA103" s="4"/>
      <c r="SHB103" s="4"/>
      <c r="SHC103" s="4"/>
      <c r="SHD103" s="4"/>
      <c r="SHE103" s="4"/>
      <c r="SHF103" s="4"/>
      <c r="SHG103" s="4"/>
      <c r="SHH103" s="4"/>
      <c r="SHI103" s="4"/>
      <c r="SHJ103" s="4"/>
      <c r="SHK103" s="4"/>
      <c r="SHL103" s="4"/>
      <c r="SHM103" s="4"/>
      <c r="SHN103" s="4"/>
      <c r="SHO103" s="4"/>
      <c r="SHP103" s="4"/>
      <c r="SHQ103" s="4"/>
      <c r="SHR103" s="4"/>
      <c r="SHS103" s="4"/>
      <c r="SHT103" s="4"/>
      <c r="SHU103" s="4"/>
      <c r="SHV103" s="4"/>
      <c r="SHW103" s="4"/>
      <c r="SHX103" s="4"/>
      <c r="SHY103" s="4"/>
      <c r="SHZ103" s="4"/>
      <c r="SIA103" s="4"/>
      <c r="SIB103" s="4"/>
      <c r="SIC103" s="4"/>
      <c r="SID103" s="4"/>
      <c r="SIE103" s="4"/>
      <c r="SIF103" s="4"/>
      <c r="SIG103" s="4"/>
      <c r="SIH103" s="4"/>
      <c r="SII103" s="4"/>
      <c r="SIJ103" s="4"/>
      <c r="SIK103" s="4"/>
      <c r="SIL103" s="4"/>
      <c r="SIM103" s="4"/>
      <c r="SIN103" s="4"/>
      <c r="SIO103" s="4"/>
      <c r="SIP103" s="4"/>
      <c r="SIQ103" s="4"/>
      <c r="SIR103" s="4"/>
      <c r="SIS103" s="4"/>
      <c r="SIT103" s="4"/>
      <c r="SIU103" s="4"/>
      <c r="SIV103" s="4"/>
      <c r="SIW103" s="4"/>
      <c r="SIX103" s="4"/>
      <c r="SIY103" s="4"/>
      <c r="SIZ103" s="4"/>
      <c r="SJA103" s="4"/>
      <c r="SJB103" s="4"/>
      <c r="SJC103" s="4"/>
      <c r="SJD103" s="4"/>
      <c r="SJE103" s="4"/>
      <c r="SJF103" s="4"/>
      <c r="SJG103" s="4"/>
      <c r="SJH103" s="4"/>
      <c r="SJI103" s="4"/>
      <c r="SJJ103" s="4"/>
      <c r="SJK103" s="4"/>
      <c r="SJL103" s="4"/>
      <c r="SJM103" s="4"/>
      <c r="SJN103" s="4"/>
      <c r="SJO103" s="4"/>
      <c r="SJP103" s="4"/>
      <c r="SJQ103" s="4"/>
      <c r="SJR103" s="4"/>
      <c r="SJS103" s="4"/>
      <c r="SJT103" s="4"/>
      <c r="SJU103" s="4"/>
      <c r="SJV103" s="4"/>
      <c r="SJW103" s="4"/>
      <c r="SJX103" s="4"/>
      <c r="SJY103" s="4"/>
      <c r="SJZ103" s="4"/>
      <c r="SKA103" s="4"/>
      <c r="SKB103" s="4"/>
      <c r="SKC103" s="4"/>
      <c r="SKD103" s="4"/>
      <c r="SKE103" s="4"/>
      <c r="SKF103" s="4"/>
      <c r="SKG103" s="4"/>
      <c r="SKH103" s="4"/>
      <c r="SKI103" s="4"/>
      <c r="SKJ103" s="4"/>
      <c r="SKK103" s="4"/>
      <c r="SKL103" s="4"/>
      <c r="SKM103" s="4"/>
      <c r="SKN103" s="4"/>
      <c r="SKO103" s="4"/>
      <c r="SKP103" s="4"/>
      <c r="SKQ103" s="4"/>
      <c r="SKR103" s="4"/>
      <c r="SKS103" s="4"/>
      <c r="SKT103" s="4"/>
      <c r="SKU103" s="4"/>
      <c r="SKV103" s="4"/>
      <c r="SKW103" s="4"/>
      <c r="SKX103" s="4"/>
      <c r="SKY103" s="4"/>
      <c r="SKZ103" s="4"/>
      <c r="SLA103" s="4"/>
      <c r="SLB103" s="4"/>
      <c r="SLC103" s="4"/>
      <c r="SLD103" s="4"/>
      <c r="SLE103" s="4"/>
      <c r="SLF103" s="4"/>
      <c r="SLG103" s="4"/>
      <c r="SLH103" s="4"/>
      <c r="SLI103" s="4"/>
      <c r="SLJ103" s="4"/>
      <c r="SLK103" s="4"/>
      <c r="SLL103" s="4"/>
      <c r="SLM103" s="4"/>
      <c r="SLN103" s="4"/>
      <c r="SLO103" s="4"/>
      <c r="SLP103" s="4"/>
      <c r="SLQ103" s="4"/>
      <c r="SLR103" s="4"/>
      <c r="SLS103" s="4"/>
      <c r="SLT103" s="4"/>
      <c r="SLU103" s="4"/>
      <c r="SLV103" s="4"/>
      <c r="SLW103" s="4"/>
      <c r="SLX103" s="4"/>
      <c r="SLY103" s="4"/>
      <c r="SLZ103" s="4"/>
      <c r="SMA103" s="4"/>
      <c r="SMB103" s="4"/>
      <c r="SMC103" s="4"/>
      <c r="SMD103" s="4"/>
      <c r="SME103" s="4"/>
      <c r="SMF103" s="4"/>
      <c r="SMG103" s="4"/>
      <c r="SMH103" s="4"/>
      <c r="SMI103" s="4"/>
      <c r="SMJ103" s="4"/>
      <c r="SMK103" s="4"/>
      <c r="SML103" s="4"/>
      <c r="SMM103" s="4"/>
      <c r="SMN103" s="4"/>
      <c r="SMO103" s="4"/>
      <c r="SMP103" s="4"/>
      <c r="SMQ103" s="4"/>
      <c r="SMR103" s="4"/>
      <c r="SMS103" s="4"/>
      <c r="SMT103" s="4"/>
      <c r="SMU103" s="4"/>
      <c r="SMV103" s="4"/>
      <c r="SMW103" s="4"/>
      <c r="SMX103" s="4"/>
      <c r="SMY103" s="4"/>
      <c r="SMZ103" s="4"/>
      <c r="SNA103" s="4"/>
      <c r="SNB103" s="4"/>
      <c r="SNC103" s="4"/>
      <c r="SND103" s="4"/>
      <c r="SNE103" s="4"/>
      <c r="SNF103" s="4"/>
      <c r="SNG103" s="4"/>
      <c r="SNH103" s="4"/>
      <c r="SNI103" s="4"/>
      <c r="SNJ103" s="4"/>
      <c r="SNK103" s="4"/>
      <c r="SNL103" s="4"/>
      <c r="SNM103" s="4"/>
      <c r="SNN103" s="4"/>
      <c r="SNO103" s="4"/>
      <c r="SNP103" s="4"/>
      <c r="SNQ103" s="4"/>
      <c r="SNR103" s="4"/>
      <c r="SNS103" s="4"/>
      <c r="SNT103" s="4"/>
      <c r="SNU103" s="4"/>
      <c r="SNV103" s="4"/>
      <c r="SNW103" s="4"/>
      <c r="SNX103" s="4"/>
      <c r="SNY103" s="4"/>
      <c r="SNZ103" s="4"/>
      <c r="SOA103" s="4"/>
      <c r="SOB103" s="4"/>
      <c r="SOC103" s="4"/>
      <c r="SOD103" s="4"/>
      <c r="SOE103" s="4"/>
      <c r="SOF103" s="4"/>
      <c r="SOG103" s="4"/>
      <c r="SOH103" s="4"/>
      <c r="SOI103" s="4"/>
      <c r="SOJ103" s="4"/>
      <c r="SOK103" s="4"/>
      <c r="SOL103" s="4"/>
      <c r="SOM103" s="4"/>
      <c r="SON103" s="4"/>
      <c r="SOO103" s="4"/>
      <c r="SOP103" s="4"/>
      <c r="SOQ103" s="4"/>
      <c r="SOR103" s="4"/>
      <c r="SOS103" s="4"/>
      <c r="SOT103" s="4"/>
      <c r="SOU103" s="4"/>
      <c r="SOV103" s="4"/>
      <c r="SOW103" s="4"/>
      <c r="SOX103" s="4"/>
      <c r="SOY103" s="4"/>
      <c r="SOZ103" s="4"/>
      <c r="SPA103" s="4"/>
      <c r="SPB103" s="4"/>
      <c r="SPC103" s="4"/>
      <c r="SPD103" s="4"/>
      <c r="SPE103" s="4"/>
      <c r="SPF103" s="4"/>
      <c r="SPG103" s="4"/>
      <c r="SPH103" s="4"/>
      <c r="SPI103" s="4"/>
      <c r="SPJ103" s="4"/>
      <c r="SPK103" s="4"/>
      <c r="SPL103" s="4"/>
      <c r="SPM103" s="4"/>
      <c r="SPN103" s="4"/>
      <c r="SPO103" s="4"/>
      <c r="SPP103" s="4"/>
      <c r="SPQ103" s="4"/>
      <c r="SPR103" s="4"/>
      <c r="SPS103" s="4"/>
      <c r="SPT103" s="4"/>
      <c r="SPU103" s="4"/>
      <c r="SPV103" s="4"/>
      <c r="SPW103" s="4"/>
      <c r="SPX103" s="4"/>
      <c r="SPY103" s="4"/>
      <c r="SPZ103" s="4"/>
      <c r="SQA103" s="4"/>
      <c r="SQB103" s="4"/>
      <c r="SQC103" s="4"/>
      <c r="SQD103" s="4"/>
      <c r="SQE103" s="4"/>
      <c r="SQF103" s="4"/>
      <c r="SQG103" s="4"/>
      <c r="SQH103" s="4"/>
      <c r="SQI103" s="4"/>
      <c r="SQJ103" s="4"/>
      <c r="SQK103" s="4"/>
      <c r="SQL103" s="4"/>
      <c r="SQM103" s="4"/>
      <c r="SQN103" s="4"/>
      <c r="SQO103" s="4"/>
      <c r="SQP103" s="4"/>
      <c r="SQQ103" s="4"/>
      <c r="SQR103" s="4"/>
      <c r="SQS103" s="4"/>
      <c r="SQT103" s="4"/>
      <c r="SQU103" s="4"/>
      <c r="SQV103" s="4"/>
      <c r="SQW103" s="4"/>
      <c r="SQX103" s="4"/>
      <c r="SQY103" s="4"/>
      <c r="SQZ103" s="4"/>
      <c r="SRA103" s="4"/>
      <c r="SRB103" s="4"/>
      <c r="SRC103" s="4"/>
      <c r="SRD103" s="4"/>
      <c r="SRE103" s="4"/>
      <c r="SRF103" s="4"/>
      <c r="SRG103" s="4"/>
      <c r="SRH103" s="4"/>
      <c r="SRI103" s="4"/>
      <c r="SRJ103" s="4"/>
      <c r="SRK103" s="4"/>
      <c r="SRL103" s="4"/>
      <c r="SRM103" s="4"/>
      <c r="SRN103" s="4"/>
      <c r="SRO103" s="4"/>
      <c r="SRP103" s="4"/>
      <c r="SRQ103" s="4"/>
      <c r="SRR103" s="4"/>
      <c r="SRS103" s="4"/>
      <c r="SRT103" s="4"/>
      <c r="SRU103" s="4"/>
      <c r="SRV103" s="4"/>
      <c r="SRW103" s="4"/>
      <c r="SRX103" s="4"/>
      <c r="SRY103" s="4"/>
      <c r="SRZ103" s="4"/>
      <c r="SSA103" s="4"/>
      <c r="SSB103" s="4"/>
      <c r="SSC103" s="4"/>
      <c r="SSD103" s="4"/>
      <c r="SSE103" s="4"/>
      <c r="SSF103" s="4"/>
      <c r="SSG103" s="4"/>
      <c r="SSH103" s="4"/>
      <c r="SSI103" s="4"/>
      <c r="SSJ103" s="4"/>
      <c r="SSK103" s="4"/>
      <c r="SSL103" s="4"/>
      <c r="SSM103" s="4"/>
      <c r="SSN103" s="4"/>
      <c r="SSO103" s="4"/>
      <c r="SSP103" s="4"/>
      <c r="SSQ103" s="4"/>
      <c r="SSR103" s="4"/>
      <c r="SSS103" s="4"/>
      <c r="SST103" s="4"/>
      <c r="SSU103" s="4"/>
      <c r="SSV103" s="4"/>
      <c r="SSW103" s="4"/>
      <c r="SSX103" s="4"/>
      <c r="SSY103" s="4"/>
      <c r="SSZ103" s="4"/>
      <c r="STA103" s="4"/>
      <c r="STB103" s="4"/>
      <c r="STC103" s="4"/>
      <c r="STD103" s="4"/>
      <c r="STE103" s="4"/>
      <c r="STF103" s="4"/>
      <c r="STG103" s="4"/>
      <c r="STH103" s="4"/>
      <c r="STI103" s="4"/>
      <c r="STJ103" s="4"/>
      <c r="STK103" s="4"/>
      <c r="STL103" s="4"/>
      <c r="STM103" s="4"/>
      <c r="STN103" s="4"/>
      <c r="STO103" s="4"/>
      <c r="STP103" s="4"/>
      <c r="STQ103" s="4"/>
      <c r="STR103" s="4"/>
      <c r="STS103" s="4"/>
      <c r="STT103" s="4"/>
      <c r="STU103" s="4"/>
      <c r="STV103" s="4"/>
      <c r="STW103" s="4"/>
      <c r="STX103" s="4"/>
      <c r="STY103" s="4"/>
      <c r="STZ103" s="4"/>
      <c r="SUA103" s="4"/>
      <c r="SUB103" s="4"/>
      <c r="SUC103" s="4"/>
      <c r="SUD103" s="4"/>
      <c r="SUE103" s="4"/>
      <c r="SUF103" s="4"/>
      <c r="SUG103" s="4"/>
      <c r="SUH103" s="4"/>
      <c r="SUI103" s="4"/>
      <c r="SUJ103" s="4"/>
      <c r="SUK103" s="4"/>
      <c r="SUL103" s="4"/>
      <c r="SUM103" s="4"/>
      <c r="SUN103" s="4"/>
      <c r="SUO103" s="4"/>
      <c r="SUP103" s="4"/>
      <c r="SUQ103" s="4"/>
      <c r="SUR103" s="4"/>
      <c r="SUS103" s="4"/>
      <c r="SUT103" s="4"/>
      <c r="SUU103" s="4"/>
      <c r="SUV103" s="4"/>
      <c r="SUW103" s="4"/>
      <c r="SUX103" s="4"/>
      <c r="SUY103" s="4"/>
      <c r="SUZ103" s="4"/>
      <c r="SVA103" s="4"/>
      <c r="SVB103" s="4"/>
      <c r="SVC103" s="4"/>
      <c r="SVD103" s="4"/>
      <c r="SVE103" s="4"/>
      <c r="SVF103" s="4"/>
      <c r="SVG103" s="4"/>
      <c r="SVH103" s="4"/>
      <c r="SVI103" s="4"/>
      <c r="SVJ103" s="4"/>
      <c r="SVK103" s="4"/>
      <c r="SVL103" s="4"/>
      <c r="SVM103" s="4"/>
      <c r="SVN103" s="4"/>
      <c r="SVO103" s="4"/>
      <c r="SVP103" s="4"/>
      <c r="SVQ103" s="4"/>
      <c r="SVR103" s="4"/>
      <c r="SVS103" s="4"/>
      <c r="SVT103" s="4"/>
      <c r="SVU103" s="4"/>
      <c r="SVV103" s="4"/>
      <c r="SVW103" s="4"/>
      <c r="SVX103" s="4"/>
      <c r="SVY103" s="4"/>
      <c r="SVZ103" s="4"/>
      <c r="SWA103" s="4"/>
      <c r="SWB103" s="4"/>
      <c r="SWC103" s="4"/>
      <c r="SWD103" s="4"/>
      <c r="SWE103" s="4"/>
      <c r="SWF103" s="4"/>
      <c r="SWG103" s="4"/>
      <c r="SWH103" s="4"/>
      <c r="SWI103" s="4"/>
      <c r="SWJ103" s="4"/>
      <c r="SWK103" s="4"/>
      <c r="SWL103" s="4"/>
      <c r="SWM103" s="4"/>
      <c r="SWN103" s="4"/>
      <c r="SWO103" s="4"/>
      <c r="SWP103" s="4"/>
      <c r="SWQ103" s="4"/>
      <c r="SWR103" s="4"/>
      <c r="SWS103" s="4"/>
      <c r="SWT103" s="4"/>
      <c r="SWU103" s="4"/>
      <c r="SWV103" s="4"/>
      <c r="SWW103" s="4"/>
      <c r="SWX103" s="4"/>
      <c r="SWY103" s="4"/>
      <c r="SWZ103" s="4"/>
      <c r="SXA103" s="4"/>
      <c r="SXB103" s="4"/>
      <c r="SXC103" s="4"/>
      <c r="SXD103" s="4"/>
      <c r="SXE103" s="4"/>
      <c r="SXF103" s="4"/>
      <c r="SXG103" s="4"/>
      <c r="SXH103" s="4"/>
      <c r="SXI103" s="4"/>
      <c r="SXJ103" s="4"/>
      <c r="SXK103" s="4"/>
      <c r="SXL103" s="4"/>
      <c r="SXM103" s="4"/>
      <c r="SXN103" s="4"/>
      <c r="SXO103" s="4"/>
      <c r="SXP103" s="4"/>
      <c r="SXQ103" s="4"/>
      <c r="SXR103" s="4"/>
      <c r="SXS103" s="4"/>
      <c r="SXT103" s="4"/>
      <c r="SXU103" s="4"/>
      <c r="SXV103" s="4"/>
      <c r="SXW103" s="4"/>
      <c r="SXX103" s="4"/>
      <c r="SXY103" s="4"/>
      <c r="SXZ103" s="4"/>
      <c r="SYA103" s="4"/>
      <c r="SYB103" s="4"/>
      <c r="SYC103" s="4"/>
      <c r="SYD103" s="4"/>
      <c r="SYE103" s="4"/>
      <c r="SYF103" s="4"/>
      <c r="SYG103" s="4"/>
      <c r="SYH103" s="4"/>
      <c r="SYI103" s="4"/>
      <c r="SYJ103" s="4"/>
      <c r="SYK103" s="4"/>
      <c r="SYL103" s="4"/>
      <c r="SYM103" s="4"/>
      <c r="SYN103" s="4"/>
      <c r="SYO103" s="4"/>
      <c r="SYP103" s="4"/>
      <c r="SYQ103" s="4"/>
      <c r="SYR103" s="4"/>
      <c r="SYS103" s="4"/>
      <c r="SYT103" s="4"/>
      <c r="SYU103" s="4"/>
      <c r="SYV103" s="4"/>
      <c r="SYW103" s="4"/>
      <c r="SYX103" s="4"/>
      <c r="SYY103" s="4"/>
      <c r="SYZ103" s="4"/>
      <c r="SZA103" s="4"/>
      <c r="SZB103" s="4"/>
      <c r="SZC103" s="4"/>
      <c r="SZD103" s="4"/>
      <c r="SZE103" s="4"/>
      <c r="SZF103" s="4"/>
      <c r="SZG103" s="4"/>
      <c r="SZH103" s="4"/>
      <c r="SZI103" s="4"/>
      <c r="SZJ103" s="4"/>
      <c r="SZK103" s="4"/>
      <c r="SZL103" s="4"/>
      <c r="SZM103" s="4"/>
      <c r="SZN103" s="4"/>
      <c r="SZO103" s="4"/>
      <c r="SZP103" s="4"/>
      <c r="SZQ103" s="4"/>
      <c r="SZR103" s="4"/>
      <c r="SZS103" s="4"/>
      <c r="SZT103" s="4"/>
      <c r="SZU103" s="4"/>
      <c r="SZV103" s="4"/>
      <c r="SZW103" s="4"/>
      <c r="SZX103" s="4"/>
      <c r="SZY103" s="4"/>
      <c r="SZZ103" s="4"/>
      <c r="TAA103" s="4"/>
      <c r="TAB103" s="4"/>
      <c r="TAC103" s="4"/>
      <c r="TAD103" s="4"/>
      <c r="TAE103" s="4"/>
      <c r="TAF103" s="4"/>
      <c r="TAG103" s="4"/>
      <c r="TAH103" s="4"/>
      <c r="TAI103" s="4"/>
      <c r="TAJ103" s="4"/>
      <c r="TAK103" s="4"/>
      <c r="TAL103" s="4"/>
      <c r="TAM103" s="4"/>
      <c r="TAN103" s="4"/>
      <c r="TAO103" s="4"/>
      <c r="TAP103" s="4"/>
      <c r="TAQ103" s="4"/>
      <c r="TAR103" s="4"/>
      <c r="TAS103" s="4"/>
      <c r="TAT103" s="4"/>
      <c r="TAU103" s="4"/>
      <c r="TAV103" s="4"/>
      <c r="TAW103" s="4"/>
      <c r="TAX103" s="4"/>
      <c r="TAY103" s="4"/>
      <c r="TAZ103" s="4"/>
      <c r="TBA103" s="4"/>
      <c r="TBB103" s="4"/>
      <c r="TBC103" s="4"/>
      <c r="TBD103" s="4"/>
      <c r="TBE103" s="4"/>
      <c r="TBF103" s="4"/>
      <c r="TBG103" s="4"/>
      <c r="TBH103" s="4"/>
      <c r="TBI103" s="4"/>
      <c r="TBJ103" s="4"/>
      <c r="TBK103" s="4"/>
      <c r="TBL103" s="4"/>
      <c r="TBM103" s="4"/>
      <c r="TBN103" s="4"/>
      <c r="TBO103" s="4"/>
      <c r="TBP103" s="4"/>
      <c r="TBQ103" s="4"/>
      <c r="TBR103" s="4"/>
      <c r="TBS103" s="4"/>
      <c r="TBT103" s="4"/>
      <c r="TBU103" s="4"/>
      <c r="TBV103" s="4"/>
      <c r="TBW103" s="4"/>
      <c r="TBX103" s="4"/>
      <c r="TBY103" s="4"/>
      <c r="TBZ103" s="4"/>
      <c r="TCA103" s="4"/>
      <c r="TCB103" s="4"/>
      <c r="TCC103" s="4"/>
      <c r="TCD103" s="4"/>
      <c r="TCE103" s="4"/>
      <c r="TCF103" s="4"/>
      <c r="TCG103" s="4"/>
      <c r="TCH103" s="4"/>
      <c r="TCI103" s="4"/>
      <c r="TCJ103" s="4"/>
      <c r="TCK103" s="4"/>
      <c r="TCL103" s="4"/>
      <c r="TCM103" s="4"/>
      <c r="TCN103" s="4"/>
      <c r="TCO103" s="4"/>
      <c r="TCP103" s="4"/>
      <c r="TCQ103" s="4"/>
      <c r="TCR103" s="4"/>
      <c r="TCS103" s="4"/>
      <c r="TCT103" s="4"/>
      <c r="TCU103" s="4"/>
      <c r="TCV103" s="4"/>
      <c r="TCW103" s="4"/>
      <c r="TCX103" s="4"/>
      <c r="TCY103" s="4"/>
      <c r="TCZ103" s="4"/>
      <c r="TDA103" s="4"/>
      <c r="TDB103" s="4"/>
      <c r="TDC103" s="4"/>
      <c r="TDD103" s="4"/>
      <c r="TDE103" s="4"/>
      <c r="TDF103" s="4"/>
      <c r="TDG103" s="4"/>
      <c r="TDH103" s="4"/>
      <c r="TDI103" s="4"/>
      <c r="TDJ103" s="4"/>
      <c r="TDK103" s="4"/>
      <c r="TDL103" s="4"/>
      <c r="TDM103" s="4"/>
      <c r="TDN103" s="4"/>
      <c r="TDO103" s="4"/>
      <c r="TDP103" s="4"/>
      <c r="TDQ103" s="4"/>
      <c r="TDR103" s="4"/>
      <c r="TDS103" s="4"/>
      <c r="TDT103" s="4"/>
      <c r="TDU103" s="4"/>
      <c r="TDV103" s="4"/>
      <c r="TDW103" s="4"/>
      <c r="TDX103" s="4"/>
      <c r="TDY103" s="4"/>
      <c r="TDZ103" s="4"/>
      <c r="TEA103" s="4"/>
      <c r="TEB103" s="4"/>
      <c r="TEC103" s="4"/>
      <c r="TED103" s="4"/>
      <c r="TEE103" s="4"/>
      <c r="TEF103" s="4"/>
      <c r="TEG103" s="4"/>
      <c r="TEH103" s="4"/>
      <c r="TEI103" s="4"/>
      <c r="TEJ103" s="4"/>
      <c r="TEK103" s="4"/>
      <c r="TEL103" s="4"/>
      <c r="TEM103" s="4"/>
      <c r="TEN103" s="4"/>
      <c r="TEO103" s="4"/>
      <c r="TEP103" s="4"/>
      <c r="TEQ103" s="4"/>
      <c r="TER103" s="4"/>
      <c r="TES103" s="4"/>
      <c r="TET103" s="4"/>
      <c r="TEU103" s="4"/>
      <c r="TEV103" s="4"/>
      <c r="TEW103" s="4"/>
      <c r="TEX103" s="4"/>
      <c r="TEY103" s="4"/>
      <c r="TEZ103" s="4"/>
      <c r="TFA103" s="4"/>
      <c r="TFB103" s="4"/>
      <c r="TFC103" s="4"/>
      <c r="TFD103" s="4"/>
      <c r="TFE103" s="4"/>
      <c r="TFF103" s="4"/>
      <c r="TFG103" s="4"/>
      <c r="TFH103" s="4"/>
      <c r="TFI103" s="4"/>
      <c r="TFJ103" s="4"/>
      <c r="TFK103" s="4"/>
      <c r="TFL103" s="4"/>
      <c r="TFM103" s="4"/>
      <c r="TFN103" s="4"/>
      <c r="TFO103" s="4"/>
      <c r="TFP103" s="4"/>
      <c r="TFQ103" s="4"/>
      <c r="TFR103" s="4"/>
      <c r="TFS103" s="4"/>
      <c r="TFT103" s="4"/>
      <c r="TFU103" s="4"/>
      <c r="TFV103" s="4"/>
      <c r="TFW103" s="4"/>
      <c r="TFX103" s="4"/>
      <c r="TFY103" s="4"/>
      <c r="TFZ103" s="4"/>
      <c r="TGA103" s="4"/>
      <c r="TGB103" s="4"/>
      <c r="TGC103" s="4"/>
      <c r="TGD103" s="4"/>
      <c r="TGE103" s="4"/>
      <c r="TGF103" s="4"/>
      <c r="TGG103" s="4"/>
      <c r="TGH103" s="4"/>
      <c r="TGI103" s="4"/>
      <c r="TGJ103" s="4"/>
      <c r="TGK103" s="4"/>
      <c r="TGL103" s="4"/>
      <c r="TGM103" s="4"/>
      <c r="TGN103" s="4"/>
      <c r="TGO103" s="4"/>
      <c r="TGP103" s="4"/>
      <c r="TGQ103" s="4"/>
      <c r="TGR103" s="4"/>
      <c r="TGS103" s="4"/>
      <c r="TGT103" s="4"/>
      <c r="TGU103" s="4"/>
      <c r="TGV103" s="4"/>
      <c r="TGW103" s="4"/>
      <c r="TGX103" s="4"/>
      <c r="TGY103" s="4"/>
      <c r="TGZ103" s="4"/>
      <c r="THA103" s="4"/>
      <c r="THB103" s="4"/>
      <c r="THC103" s="4"/>
      <c r="THD103" s="4"/>
      <c r="THE103" s="4"/>
      <c r="THF103" s="4"/>
      <c r="THG103" s="4"/>
      <c r="THH103" s="4"/>
      <c r="THI103" s="4"/>
      <c r="THJ103" s="4"/>
      <c r="THK103" s="4"/>
      <c r="THL103" s="4"/>
      <c r="THM103" s="4"/>
      <c r="THN103" s="4"/>
      <c r="THO103" s="4"/>
      <c r="THP103" s="4"/>
      <c r="THQ103" s="4"/>
      <c r="THR103" s="4"/>
      <c r="THS103" s="4"/>
      <c r="THT103" s="4"/>
      <c r="THU103" s="4"/>
      <c r="THV103" s="4"/>
      <c r="THW103" s="4"/>
      <c r="THX103" s="4"/>
      <c r="THY103" s="4"/>
      <c r="THZ103" s="4"/>
      <c r="TIA103" s="4"/>
      <c r="TIB103" s="4"/>
      <c r="TIC103" s="4"/>
      <c r="TID103" s="4"/>
      <c r="TIE103" s="4"/>
      <c r="TIF103" s="4"/>
      <c r="TIG103" s="4"/>
      <c r="TIH103" s="4"/>
      <c r="TII103" s="4"/>
      <c r="TIJ103" s="4"/>
      <c r="TIK103" s="4"/>
      <c r="TIL103" s="4"/>
      <c r="TIM103" s="4"/>
      <c r="TIN103" s="4"/>
      <c r="TIO103" s="4"/>
      <c r="TIP103" s="4"/>
      <c r="TIQ103" s="4"/>
      <c r="TIR103" s="4"/>
      <c r="TIS103" s="4"/>
      <c r="TIT103" s="4"/>
      <c r="TIU103" s="4"/>
      <c r="TIV103" s="4"/>
      <c r="TIW103" s="4"/>
      <c r="TIX103" s="4"/>
      <c r="TIY103" s="4"/>
      <c r="TIZ103" s="4"/>
      <c r="TJA103" s="4"/>
      <c r="TJB103" s="4"/>
      <c r="TJC103" s="4"/>
      <c r="TJD103" s="4"/>
      <c r="TJE103" s="4"/>
      <c r="TJF103" s="4"/>
      <c r="TJG103" s="4"/>
      <c r="TJH103" s="4"/>
      <c r="TJI103" s="4"/>
      <c r="TJJ103" s="4"/>
      <c r="TJK103" s="4"/>
      <c r="TJL103" s="4"/>
      <c r="TJM103" s="4"/>
      <c r="TJN103" s="4"/>
      <c r="TJO103" s="4"/>
      <c r="TJP103" s="4"/>
      <c r="TJQ103" s="4"/>
      <c r="TJR103" s="4"/>
      <c r="TJS103" s="4"/>
      <c r="TJT103" s="4"/>
      <c r="TJU103" s="4"/>
      <c r="TJV103" s="4"/>
      <c r="TJW103" s="4"/>
      <c r="TJX103" s="4"/>
      <c r="TJY103" s="4"/>
      <c r="TJZ103" s="4"/>
      <c r="TKA103" s="4"/>
      <c r="TKB103" s="4"/>
      <c r="TKC103" s="4"/>
      <c r="TKD103" s="4"/>
      <c r="TKE103" s="4"/>
      <c r="TKF103" s="4"/>
      <c r="TKG103" s="4"/>
      <c r="TKH103" s="4"/>
      <c r="TKI103" s="4"/>
      <c r="TKJ103" s="4"/>
      <c r="TKK103" s="4"/>
      <c r="TKL103" s="4"/>
      <c r="TKM103" s="4"/>
      <c r="TKN103" s="4"/>
      <c r="TKO103" s="4"/>
      <c r="TKP103" s="4"/>
      <c r="TKQ103" s="4"/>
      <c r="TKR103" s="4"/>
      <c r="TKS103" s="4"/>
      <c r="TKT103" s="4"/>
      <c r="TKU103" s="4"/>
      <c r="TKV103" s="4"/>
      <c r="TKW103" s="4"/>
      <c r="TKX103" s="4"/>
      <c r="TKY103" s="4"/>
      <c r="TKZ103" s="4"/>
      <c r="TLA103" s="4"/>
      <c r="TLB103" s="4"/>
      <c r="TLC103" s="4"/>
      <c r="TLD103" s="4"/>
      <c r="TLE103" s="4"/>
      <c r="TLF103" s="4"/>
      <c r="TLG103" s="4"/>
      <c r="TLH103" s="4"/>
      <c r="TLI103" s="4"/>
      <c r="TLJ103" s="4"/>
      <c r="TLK103" s="4"/>
      <c r="TLL103" s="4"/>
      <c r="TLM103" s="4"/>
      <c r="TLN103" s="4"/>
      <c r="TLO103" s="4"/>
      <c r="TLP103" s="4"/>
      <c r="TLQ103" s="4"/>
      <c r="TLR103" s="4"/>
      <c r="TLS103" s="4"/>
      <c r="TLT103" s="4"/>
      <c r="TLU103" s="4"/>
      <c r="TLV103" s="4"/>
      <c r="TLW103" s="4"/>
      <c r="TLX103" s="4"/>
      <c r="TLY103" s="4"/>
      <c r="TLZ103" s="4"/>
      <c r="TMA103" s="4"/>
      <c r="TMB103" s="4"/>
      <c r="TMC103" s="4"/>
      <c r="TMD103" s="4"/>
      <c r="TME103" s="4"/>
      <c r="TMF103" s="4"/>
      <c r="TMG103" s="4"/>
      <c r="TMH103" s="4"/>
      <c r="TMI103" s="4"/>
      <c r="TMJ103" s="4"/>
      <c r="TMK103" s="4"/>
      <c r="TML103" s="4"/>
      <c r="TMM103" s="4"/>
      <c r="TMN103" s="4"/>
      <c r="TMO103" s="4"/>
      <c r="TMP103" s="4"/>
      <c r="TMQ103" s="4"/>
      <c r="TMR103" s="4"/>
      <c r="TMS103" s="4"/>
      <c r="TMT103" s="4"/>
      <c r="TMU103" s="4"/>
      <c r="TMV103" s="4"/>
      <c r="TMW103" s="4"/>
      <c r="TMX103" s="4"/>
      <c r="TMY103" s="4"/>
      <c r="TMZ103" s="4"/>
      <c r="TNA103" s="4"/>
      <c r="TNB103" s="4"/>
      <c r="TNC103" s="4"/>
      <c r="TND103" s="4"/>
      <c r="TNE103" s="4"/>
      <c r="TNF103" s="4"/>
      <c r="TNG103" s="4"/>
      <c r="TNH103" s="4"/>
      <c r="TNI103" s="4"/>
      <c r="TNJ103" s="4"/>
      <c r="TNK103" s="4"/>
      <c r="TNL103" s="4"/>
      <c r="TNM103" s="4"/>
      <c r="TNN103" s="4"/>
      <c r="TNO103" s="4"/>
      <c r="TNP103" s="4"/>
      <c r="TNQ103" s="4"/>
      <c r="TNR103" s="4"/>
      <c r="TNS103" s="4"/>
      <c r="TNT103" s="4"/>
      <c r="TNU103" s="4"/>
      <c r="TNV103" s="4"/>
      <c r="TNW103" s="4"/>
      <c r="TNX103" s="4"/>
      <c r="TNY103" s="4"/>
      <c r="TNZ103" s="4"/>
      <c r="TOA103" s="4"/>
      <c r="TOB103" s="4"/>
      <c r="TOC103" s="4"/>
      <c r="TOD103" s="4"/>
      <c r="TOE103" s="4"/>
      <c r="TOF103" s="4"/>
      <c r="TOG103" s="4"/>
      <c r="TOH103" s="4"/>
      <c r="TOI103" s="4"/>
      <c r="TOJ103" s="4"/>
      <c r="TOK103" s="4"/>
      <c r="TOL103" s="4"/>
      <c r="TOM103" s="4"/>
      <c r="TON103" s="4"/>
      <c r="TOO103" s="4"/>
      <c r="TOP103" s="4"/>
      <c r="TOQ103" s="4"/>
      <c r="TOR103" s="4"/>
      <c r="TOS103" s="4"/>
      <c r="TOT103" s="4"/>
      <c r="TOU103" s="4"/>
      <c r="TOV103" s="4"/>
      <c r="TOW103" s="4"/>
      <c r="TOX103" s="4"/>
      <c r="TOY103" s="4"/>
      <c r="TOZ103" s="4"/>
      <c r="TPA103" s="4"/>
      <c r="TPB103" s="4"/>
      <c r="TPC103" s="4"/>
      <c r="TPD103" s="4"/>
      <c r="TPE103" s="4"/>
      <c r="TPF103" s="4"/>
      <c r="TPG103" s="4"/>
      <c r="TPH103" s="4"/>
      <c r="TPI103" s="4"/>
      <c r="TPJ103" s="4"/>
      <c r="TPK103" s="4"/>
      <c r="TPL103" s="4"/>
      <c r="TPM103" s="4"/>
      <c r="TPN103" s="4"/>
      <c r="TPO103" s="4"/>
      <c r="TPP103" s="4"/>
      <c r="TPQ103" s="4"/>
      <c r="TPR103" s="4"/>
      <c r="TPS103" s="4"/>
      <c r="TPT103" s="4"/>
      <c r="TPU103" s="4"/>
      <c r="TPV103" s="4"/>
      <c r="TPW103" s="4"/>
      <c r="TPX103" s="4"/>
      <c r="TPY103" s="4"/>
      <c r="TPZ103" s="4"/>
      <c r="TQA103" s="4"/>
      <c r="TQB103" s="4"/>
      <c r="TQC103" s="4"/>
      <c r="TQD103" s="4"/>
      <c r="TQE103" s="4"/>
      <c r="TQF103" s="4"/>
      <c r="TQG103" s="4"/>
      <c r="TQH103" s="4"/>
      <c r="TQI103" s="4"/>
      <c r="TQJ103" s="4"/>
      <c r="TQK103" s="4"/>
      <c r="TQL103" s="4"/>
      <c r="TQM103" s="4"/>
      <c r="TQN103" s="4"/>
      <c r="TQO103" s="4"/>
      <c r="TQP103" s="4"/>
      <c r="TQQ103" s="4"/>
      <c r="TQR103" s="4"/>
      <c r="TQS103" s="4"/>
      <c r="TQT103" s="4"/>
      <c r="TQU103" s="4"/>
      <c r="TQV103" s="4"/>
      <c r="TQW103" s="4"/>
      <c r="TQX103" s="4"/>
      <c r="TQY103" s="4"/>
      <c r="TQZ103" s="4"/>
      <c r="TRA103" s="4"/>
      <c r="TRB103" s="4"/>
      <c r="TRC103" s="4"/>
      <c r="TRD103" s="4"/>
      <c r="TRE103" s="4"/>
      <c r="TRF103" s="4"/>
      <c r="TRG103" s="4"/>
      <c r="TRH103" s="4"/>
      <c r="TRI103" s="4"/>
      <c r="TRJ103" s="4"/>
      <c r="TRK103" s="4"/>
      <c r="TRL103" s="4"/>
      <c r="TRM103" s="4"/>
      <c r="TRN103" s="4"/>
      <c r="TRO103" s="4"/>
      <c r="TRP103" s="4"/>
      <c r="TRQ103" s="4"/>
      <c r="TRR103" s="4"/>
      <c r="TRS103" s="4"/>
      <c r="TRT103" s="4"/>
      <c r="TRU103" s="4"/>
      <c r="TRV103" s="4"/>
      <c r="TRW103" s="4"/>
      <c r="TRX103" s="4"/>
      <c r="TRY103" s="4"/>
      <c r="TRZ103" s="4"/>
      <c r="TSA103" s="4"/>
      <c r="TSB103" s="4"/>
      <c r="TSC103" s="4"/>
      <c r="TSD103" s="4"/>
      <c r="TSE103" s="4"/>
      <c r="TSF103" s="4"/>
      <c r="TSG103" s="4"/>
      <c r="TSH103" s="4"/>
      <c r="TSI103" s="4"/>
      <c r="TSJ103" s="4"/>
      <c r="TSK103" s="4"/>
      <c r="TSL103" s="4"/>
      <c r="TSM103" s="4"/>
      <c r="TSN103" s="4"/>
      <c r="TSO103" s="4"/>
      <c r="TSP103" s="4"/>
      <c r="TSQ103" s="4"/>
      <c r="TSR103" s="4"/>
      <c r="TSS103" s="4"/>
      <c r="TST103" s="4"/>
      <c r="TSU103" s="4"/>
      <c r="TSV103" s="4"/>
      <c r="TSW103" s="4"/>
      <c r="TSX103" s="4"/>
      <c r="TSY103" s="4"/>
      <c r="TSZ103" s="4"/>
      <c r="TTA103" s="4"/>
      <c r="TTB103" s="4"/>
      <c r="TTC103" s="4"/>
      <c r="TTD103" s="4"/>
      <c r="TTE103" s="4"/>
      <c r="TTF103" s="4"/>
      <c r="TTG103" s="4"/>
      <c r="TTH103" s="4"/>
      <c r="TTI103" s="4"/>
      <c r="TTJ103" s="4"/>
      <c r="TTK103" s="4"/>
      <c r="TTL103" s="4"/>
      <c r="TTM103" s="4"/>
      <c r="TTN103" s="4"/>
      <c r="TTO103" s="4"/>
      <c r="TTP103" s="4"/>
      <c r="TTQ103" s="4"/>
      <c r="TTR103" s="4"/>
      <c r="TTS103" s="4"/>
      <c r="TTT103" s="4"/>
      <c r="TTU103" s="4"/>
      <c r="TTV103" s="4"/>
      <c r="TTW103" s="4"/>
      <c r="TTX103" s="4"/>
      <c r="TTY103" s="4"/>
      <c r="TTZ103" s="4"/>
      <c r="TUA103" s="4"/>
      <c r="TUB103" s="4"/>
      <c r="TUC103" s="4"/>
      <c r="TUD103" s="4"/>
      <c r="TUE103" s="4"/>
      <c r="TUF103" s="4"/>
      <c r="TUG103" s="4"/>
      <c r="TUH103" s="4"/>
      <c r="TUI103" s="4"/>
      <c r="TUJ103" s="4"/>
      <c r="TUK103" s="4"/>
      <c r="TUL103" s="4"/>
      <c r="TUM103" s="4"/>
      <c r="TUN103" s="4"/>
      <c r="TUO103" s="4"/>
      <c r="TUP103" s="4"/>
      <c r="TUQ103" s="4"/>
      <c r="TUR103" s="4"/>
      <c r="TUS103" s="4"/>
      <c r="TUT103" s="4"/>
      <c r="TUU103" s="4"/>
      <c r="TUV103" s="4"/>
      <c r="TUW103" s="4"/>
      <c r="TUX103" s="4"/>
      <c r="TUY103" s="4"/>
      <c r="TUZ103" s="4"/>
      <c r="TVA103" s="4"/>
      <c r="TVB103" s="4"/>
      <c r="TVC103" s="4"/>
      <c r="TVD103" s="4"/>
      <c r="TVE103" s="4"/>
      <c r="TVF103" s="4"/>
      <c r="TVG103" s="4"/>
      <c r="TVH103" s="4"/>
      <c r="TVI103" s="4"/>
      <c r="TVJ103" s="4"/>
      <c r="TVK103" s="4"/>
      <c r="TVL103" s="4"/>
      <c r="TVM103" s="4"/>
      <c r="TVN103" s="4"/>
      <c r="TVO103" s="4"/>
      <c r="TVP103" s="4"/>
      <c r="TVQ103" s="4"/>
      <c r="TVR103" s="4"/>
      <c r="TVS103" s="4"/>
      <c r="TVT103" s="4"/>
      <c r="TVU103" s="4"/>
      <c r="TVV103" s="4"/>
      <c r="TVW103" s="4"/>
      <c r="TVX103" s="4"/>
      <c r="TVY103" s="4"/>
      <c r="TVZ103" s="4"/>
      <c r="TWA103" s="4"/>
      <c r="TWB103" s="4"/>
      <c r="TWC103" s="4"/>
      <c r="TWD103" s="4"/>
      <c r="TWE103" s="4"/>
      <c r="TWF103" s="4"/>
      <c r="TWG103" s="4"/>
      <c r="TWH103" s="4"/>
      <c r="TWI103" s="4"/>
      <c r="TWJ103" s="4"/>
      <c r="TWK103" s="4"/>
      <c r="TWL103" s="4"/>
      <c r="TWM103" s="4"/>
      <c r="TWN103" s="4"/>
      <c r="TWO103" s="4"/>
      <c r="TWP103" s="4"/>
      <c r="TWQ103" s="4"/>
      <c r="TWR103" s="4"/>
      <c r="TWS103" s="4"/>
      <c r="TWT103" s="4"/>
      <c r="TWU103" s="4"/>
      <c r="TWV103" s="4"/>
      <c r="TWW103" s="4"/>
      <c r="TWX103" s="4"/>
      <c r="TWY103" s="4"/>
      <c r="TWZ103" s="4"/>
      <c r="TXA103" s="4"/>
      <c r="TXB103" s="4"/>
      <c r="TXC103" s="4"/>
      <c r="TXD103" s="4"/>
      <c r="TXE103" s="4"/>
      <c r="TXF103" s="4"/>
      <c r="TXG103" s="4"/>
      <c r="TXH103" s="4"/>
      <c r="TXI103" s="4"/>
      <c r="TXJ103" s="4"/>
      <c r="TXK103" s="4"/>
      <c r="TXL103" s="4"/>
      <c r="TXM103" s="4"/>
      <c r="TXN103" s="4"/>
      <c r="TXO103" s="4"/>
      <c r="TXP103" s="4"/>
      <c r="TXQ103" s="4"/>
      <c r="TXR103" s="4"/>
      <c r="TXS103" s="4"/>
      <c r="TXT103" s="4"/>
      <c r="TXU103" s="4"/>
      <c r="TXV103" s="4"/>
      <c r="TXW103" s="4"/>
      <c r="TXX103" s="4"/>
      <c r="TXY103" s="4"/>
      <c r="TXZ103" s="4"/>
      <c r="TYA103" s="4"/>
      <c r="TYB103" s="4"/>
      <c r="TYC103" s="4"/>
      <c r="TYD103" s="4"/>
      <c r="TYE103" s="4"/>
      <c r="TYF103" s="4"/>
      <c r="TYG103" s="4"/>
      <c r="TYH103" s="4"/>
      <c r="TYI103" s="4"/>
      <c r="TYJ103" s="4"/>
      <c r="TYK103" s="4"/>
      <c r="TYL103" s="4"/>
      <c r="TYM103" s="4"/>
      <c r="TYN103" s="4"/>
      <c r="TYO103" s="4"/>
      <c r="TYP103" s="4"/>
      <c r="TYQ103" s="4"/>
      <c r="TYR103" s="4"/>
      <c r="TYS103" s="4"/>
      <c r="TYT103" s="4"/>
      <c r="TYU103" s="4"/>
      <c r="TYV103" s="4"/>
      <c r="TYW103" s="4"/>
      <c r="TYX103" s="4"/>
      <c r="TYY103" s="4"/>
      <c r="TYZ103" s="4"/>
      <c r="TZA103" s="4"/>
      <c r="TZB103" s="4"/>
      <c r="TZC103" s="4"/>
      <c r="TZD103" s="4"/>
      <c r="TZE103" s="4"/>
      <c r="TZF103" s="4"/>
      <c r="TZG103" s="4"/>
      <c r="TZH103" s="4"/>
      <c r="TZI103" s="4"/>
      <c r="TZJ103" s="4"/>
      <c r="TZK103" s="4"/>
      <c r="TZL103" s="4"/>
      <c r="TZM103" s="4"/>
      <c r="TZN103" s="4"/>
      <c r="TZO103" s="4"/>
      <c r="TZP103" s="4"/>
      <c r="TZQ103" s="4"/>
      <c r="TZR103" s="4"/>
      <c r="TZS103" s="4"/>
      <c r="TZT103" s="4"/>
      <c r="TZU103" s="4"/>
      <c r="TZV103" s="4"/>
      <c r="TZW103" s="4"/>
      <c r="TZX103" s="4"/>
      <c r="TZY103" s="4"/>
      <c r="TZZ103" s="4"/>
      <c r="UAA103" s="4"/>
      <c r="UAB103" s="4"/>
      <c r="UAC103" s="4"/>
      <c r="UAD103" s="4"/>
      <c r="UAE103" s="4"/>
      <c r="UAF103" s="4"/>
      <c r="UAG103" s="4"/>
      <c r="UAH103" s="4"/>
      <c r="UAI103" s="4"/>
      <c r="UAJ103" s="4"/>
      <c r="UAK103" s="4"/>
      <c r="UAL103" s="4"/>
      <c r="UAM103" s="4"/>
      <c r="UAN103" s="4"/>
      <c r="UAO103" s="4"/>
      <c r="UAP103" s="4"/>
      <c r="UAQ103" s="4"/>
      <c r="UAR103" s="4"/>
      <c r="UAS103" s="4"/>
      <c r="UAT103" s="4"/>
      <c r="UAU103" s="4"/>
      <c r="UAV103" s="4"/>
      <c r="UAW103" s="4"/>
      <c r="UAX103" s="4"/>
      <c r="UAY103" s="4"/>
      <c r="UAZ103" s="4"/>
      <c r="UBA103" s="4"/>
      <c r="UBB103" s="4"/>
      <c r="UBC103" s="4"/>
      <c r="UBD103" s="4"/>
      <c r="UBE103" s="4"/>
      <c r="UBF103" s="4"/>
      <c r="UBG103" s="4"/>
      <c r="UBH103" s="4"/>
      <c r="UBI103" s="4"/>
      <c r="UBJ103" s="4"/>
      <c r="UBK103" s="4"/>
      <c r="UBL103" s="4"/>
      <c r="UBM103" s="4"/>
      <c r="UBN103" s="4"/>
      <c r="UBO103" s="4"/>
      <c r="UBP103" s="4"/>
      <c r="UBQ103" s="4"/>
      <c r="UBR103" s="4"/>
      <c r="UBS103" s="4"/>
      <c r="UBT103" s="4"/>
      <c r="UBU103" s="4"/>
      <c r="UBV103" s="4"/>
      <c r="UBW103" s="4"/>
      <c r="UBX103" s="4"/>
      <c r="UBY103" s="4"/>
      <c r="UBZ103" s="4"/>
      <c r="UCA103" s="4"/>
      <c r="UCB103" s="4"/>
      <c r="UCC103" s="4"/>
      <c r="UCD103" s="4"/>
      <c r="UCE103" s="4"/>
      <c r="UCF103" s="4"/>
      <c r="UCG103" s="4"/>
      <c r="UCH103" s="4"/>
      <c r="UCI103" s="4"/>
      <c r="UCJ103" s="4"/>
      <c r="UCK103" s="4"/>
      <c r="UCL103" s="4"/>
      <c r="UCM103" s="4"/>
      <c r="UCN103" s="4"/>
      <c r="UCO103" s="4"/>
      <c r="UCP103" s="4"/>
      <c r="UCQ103" s="4"/>
      <c r="UCR103" s="4"/>
      <c r="UCS103" s="4"/>
      <c r="UCT103" s="4"/>
      <c r="UCU103" s="4"/>
      <c r="UCV103" s="4"/>
      <c r="UCW103" s="4"/>
      <c r="UCX103" s="4"/>
      <c r="UCY103" s="4"/>
      <c r="UCZ103" s="4"/>
      <c r="UDA103" s="4"/>
      <c r="UDB103" s="4"/>
      <c r="UDC103" s="4"/>
      <c r="UDD103" s="4"/>
      <c r="UDE103" s="4"/>
      <c r="UDF103" s="4"/>
      <c r="UDG103" s="4"/>
      <c r="UDH103" s="4"/>
      <c r="UDI103" s="4"/>
      <c r="UDJ103" s="4"/>
      <c r="UDK103" s="4"/>
      <c r="UDL103" s="4"/>
      <c r="UDM103" s="4"/>
      <c r="UDN103" s="4"/>
      <c r="UDO103" s="4"/>
      <c r="UDP103" s="4"/>
      <c r="UDQ103" s="4"/>
      <c r="UDR103" s="4"/>
      <c r="UDS103" s="4"/>
      <c r="UDT103" s="4"/>
      <c r="UDU103" s="4"/>
      <c r="UDV103" s="4"/>
      <c r="UDW103" s="4"/>
      <c r="UDX103" s="4"/>
      <c r="UDY103" s="4"/>
      <c r="UDZ103" s="4"/>
      <c r="UEA103" s="4"/>
      <c r="UEB103" s="4"/>
      <c r="UEC103" s="4"/>
      <c r="UED103" s="4"/>
      <c r="UEE103" s="4"/>
      <c r="UEF103" s="4"/>
      <c r="UEG103" s="4"/>
      <c r="UEH103" s="4"/>
      <c r="UEI103" s="4"/>
      <c r="UEJ103" s="4"/>
      <c r="UEK103" s="4"/>
      <c r="UEL103" s="4"/>
      <c r="UEM103" s="4"/>
      <c r="UEN103" s="4"/>
      <c r="UEO103" s="4"/>
      <c r="UEP103" s="4"/>
      <c r="UEQ103" s="4"/>
      <c r="UER103" s="4"/>
      <c r="UES103" s="4"/>
      <c r="UET103" s="4"/>
      <c r="UEU103" s="4"/>
      <c r="UEV103" s="4"/>
      <c r="UEW103" s="4"/>
      <c r="UEX103" s="4"/>
      <c r="UEY103" s="4"/>
      <c r="UEZ103" s="4"/>
      <c r="UFA103" s="4"/>
      <c r="UFB103" s="4"/>
      <c r="UFC103" s="4"/>
      <c r="UFD103" s="4"/>
      <c r="UFE103" s="4"/>
      <c r="UFF103" s="4"/>
      <c r="UFG103" s="4"/>
      <c r="UFH103" s="4"/>
      <c r="UFI103" s="4"/>
      <c r="UFJ103" s="4"/>
      <c r="UFK103" s="4"/>
      <c r="UFL103" s="4"/>
      <c r="UFM103" s="4"/>
      <c r="UFN103" s="4"/>
      <c r="UFO103" s="4"/>
      <c r="UFP103" s="4"/>
      <c r="UFQ103" s="4"/>
      <c r="UFR103" s="4"/>
      <c r="UFS103" s="4"/>
      <c r="UFT103" s="4"/>
      <c r="UFU103" s="4"/>
      <c r="UFV103" s="4"/>
      <c r="UFW103" s="4"/>
      <c r="UFX103" s="4"/>
      <c r="UFY103" s="4"/>
      <c r="UFZ103" s="4"/>
      <c r="UGA103" s="4"/>
      <c r="UGB103" s="4"/>
      <c r="UGC103" s="4"/>
      <c r="UGD103" s="4"/>
      <c r="UGE103" s="4"/>
      <c r="UGF103" s="4"/>
      <c r="UGG103" s="4"/>
      <c r="UGH103" s="4"/>
      <c r="UGI103" s="4"/>
      <c r="UGJ103" s="4"/>
      <c r="UGK103" s="4"/>
      <c r="UGL103" s="4"/>
      <c r="UGM103" s="4"/>
      <c r="UGN103" s="4"/>
      <c r="UGO103" s="4"/>
      <c r="UGP103" s="4"/>
      <c r="UGQ103" s="4"/>
      <c r="UGR103" s="4"/>
      <c r="UGS103" s="4"/>
      <c r="UGT103" s="4"/>
      <c r="UGU103" s="4"/>
      <c r="UGV103" s="4"/>
      <c r="UGW103" s="4"/>
      <c r="UGX103" s="4"/>
      <c r="UGY103" s="4"/>
      <c r="UGZ103" s="4"/>
      <c r="UHA103" s="4"/>
      <c r="UHB103" s="4"/>
      <c r="UHC103" s="4"/>
      <c r="UHD103" s="4"/>
      <c r="UHE103" s="4"/>
      <c r="UHF103" s="4"/>
      <c r="UHG103" s="4"/>
      <c r="UHH103" s="4"/>
      <c r="UHI103" s="4"/>
      <c r="UHJ103" s="4"/>
      <c r="UHK103" s="4"/>
      <c r="UHL103" s="4"/>
      <c r="UHM103" s="4"/>
      <c r="UHN103" s="4"/>
      <c r="UHO103" s="4"/>
      <c r="UHP103" s="4"/>
      <c r="UHQ103" s="4"/>
      <c r="UHR103" s="4"/>
      <c r="UHS103" s="4"/>
      <c r="UHT103" s="4"/>
      <c r="UHU103" s="4"/>
      <c r="UHV103" s="4"/>
      <c r="UHW103" s="4"/>
      <c r="UHX103" s="4"/>
      <c r="UHY103" s="4"/>
      <c r="UHZ103" s="4"/>
      <c r="UIA103" s="4"/>
      <c r="UIB103" s="4"/>
      <c r="UIC103" s="4"/>
      <c r="UID103" s="4"/>
      <c r="UIE103" s="4"/>
      <c r="UIF103" s="4"/>
      <c r="UIG103" s="4"/>
      <c r="UIH103" s="4"/>
      <c r="UII103" s="4"/>
      <c r="UIJ103" s="4"/>
      <c r="UIK103" s="4"/>
      <c r="UIL103" s="4"/>
      <c r="UIM103" s="4"/>
      <c r="UIN103" s="4"/>
      <c r="UIO103" s="4"/>
      <c r="UIP103" s="4"/>
      <c r="UIQ103" s="4"/>
      <c r="UIR103" s="4"/>
      <c r="UIS103" s="4"/>
      <c r="UIT103" s="4"/>
      <c r="UIU103" s="4"/>
      <c r="UIV103" s="4"/>
      <c r="UIW103" s="4"/>
      <c r="UIX103" s="4"/>
      <c r="UIY103" s="4"/>
      <c r="UIZ103" s="4"/>
      <c r="UJA103" s="4"/>
      <c r="UJB103" s="4"/>
      <c r="UJC103" s="4"/>
      <c r="UJD103" s="4"/>
      <c r="UJE103" s="4"/>
      <c r="UJF103" s="4"/>
      <c r="UJG103" s="4"/>
      <c r="UJH103" s="4"/>
      <c r="UJI103" s="4"/>
      <c r="UJJ103" s="4"/>
      <c r="UJK103" s="4"/>
      <c r="UJL103" s="4"/>
      <c r="UJM103" s="4"/>
      <c r="UJN103" s="4"/>
      <c r="UJO103" s="4"/>
      <c r="UJP103" s="4"/>
      <c r="UJQ103" s="4"/>
      <c r="UJR103" s="4"/>
      <c r="UJS103" s="4"/>
      <c r="UJT103" s="4"/>
      <c r="UJU103" s="4"/>
      <c r="UJV103" s="4"/>
      <c r="UJW103" s="4"/>
      <c r="UJX103" s="4"/>
      <c r="UJY103" s="4"/>
      <c r="UJZ103" s="4"/>
      <c r="UKA103" s="4"/>
      <c r="UKB103" s="4"/>
      <c r="UKC103" s="4"/>
      <c r="UKD103" s="4"/>
      <c r="UKE103" s="4"/>
      <c r="UKF103" s="4"/>
      <c r="UKG103" s="4"/>
      <c r="UKH103" s="4"/>
      <c r="UKI103" s="4"/>
      <c r="UKJ103" s="4"/>
      <c r="UKK103" s="4"/>
      <c r="UKL103" s="4"/>
      <c r="UKM103" s="4"/>
      <c r="UKN103" s="4"/>
      <c r="UKO103" s="4"/>
      <c r="UKP103" s="4"/>
      <c r="UKQ103" s="4"/>
      <c r="UKR103" s="4"/>
      <c r="UKS103" s="4"/>
      <c r="UKT103" s="4"/>
      <c r="UKU103" s="4"/>
      <c r="UKV103" s="4"/>
      <c r="UKW103" s="4"/>
      <c r="UKX103" s="4"/>
      <c r="UKY103" s="4"/>
      <c r="UKZ103" s="4"/>
      <c r="ULA103" s="4"/>
      <c r="ULB103" s="4"/>
      <c r="ULC103" s="4"/>
      <c r="ULD103" s="4"/>
      <c r="ULE103" s="4"/>
      <c r="ULF103" s="4"/>
      <c r="ULG103" s="4"/>
      <c r="ULH103" s="4"/>
      <c r="ULI103" s="4"/>
      <c r="ULJ103" s="4"/>
      <c r="ULK103" s="4"/>
      <c r="ULL103" s="4"/>
      <c r="ULM103" s="4"/>
      <c r="ULN103" s="4"/>
      <c r="ULO103" s="4"/>
      <c r="ULP103" s="4"/>
      <c r="ULQ103" s="4"/>
      <c r="ULR103" s="4"/>
      <c r="ULS103" s="4"/>
      <c r="ULT103" s="4"/>
      <c r="ULU103" s="4"/>
      <c r="ULV103" s="4"/>
      <c r="ULW103" s="4"/>
      <c r="ULX103" s="4"/>
      <c r="ULY103" s="4"/>
      <c r="ULZ103" s="4"/>
      <c r="UMA103" s="4"/>
      <c r="UMB103" s="4"/>
      <c r="UMC103" s="4"/>
      <c r="UMD103" s="4"/>
      <c r="UME103" s="4"/>
      <c r="UMF103" s="4"/>
      <c r="UMG103" s="4"/>
      <c r="UMH103" s="4"/>
      <c r="UMI103" s="4"/>
      <c r="UMJ103" s="4"/>
      <c r="UMK103" s="4"/>
      <c r="UML103" s="4"/>
      <c r="UMM103" s="4"/>
      <c r="UMN103" s="4"/>
      <c r="UMO103" s="4"/>
      <c r="UMP103" s="4"/>
      <c r="UMQ103" s="4"/>
      <c r="UMR103" s="4"/>
      <c r="UMS103" s="4"/>
      <c r="UMT103" s="4"/>
      <c r="UMU103" s="4"/>
      <c r="UMV103" s="4"/>
      <c r="UMW103" s="4"/>
      <c r="UMX103" s="4"/>
      <c r="UMY103" s="4"/>
      <c r="UMZ103" s="4"/>
      <c r="UNA103" s="4"/>
      <c r="UNB103" s="4"/>
      <c r="UNC103" s="4"/>
      <c r="UND103" s="4"/>
      <c r="UNE103" s="4"/>
      <c r="UNF103" s="4"/>
      <c r="UNG103" s="4"/>
      <c r="UNH103" s="4"/>
      <c r="UNI103" s="4"/>
      <c r="UNJ103" s="4"/>
      <c r="UNK103" s="4"/>
      <c r="UNL103" s="4"/>
      <c r="UNM103" s="4"/>
      <c r="UNN103" s="4"/>
      <c r="UNO103" s="4"/>
      <c r="UNP103" s="4"/>
      <c r="UNQ103" s="4"/>
      <c r="UNR103" s="4"/>
      <c r="UNS103" s="4"/>
      <c r="UNT103" s="4"/>
      <c r="UNU103" s="4"/>
      <c r="UNV103" s="4"/>
      <c r="UNW103" s="4"/>
      <c r="UNX103" s="4"/>
      <c r="UNY103" s="4"/>
      <c r="UNZ103" s="4"/>
      <c r="UOA103" s="4"/>
      <c r="UOB103" s="4"/>
      <c r="UOC103" s="4"/>
      <c r="UOD103" s="4"/>
      <c r="UOE103" s="4"/>
      <c r="UOF103" s="4"/>
      <c r="UOG103" s="4"/>
      <c r="UOH103" s="4"/>
      <c r="UOI103" s="4"/>
      <c r="UOJ103" s="4"/>
      <c r="UOK103" s="4"/>
      <c r="UOL103" s="4"/>
      <c r="UOM103" s="4"/>
      <c r="UON103" s="4"/>
      <c r="UOO103" s="4"/>
      <c r="UOP103" s="4"/>
      <c r="UOQ103" s="4"/>
      <c r="UOR103" s="4"/>
      <c r="UOS103" s="4"/>
      <c r="UOT103" s="4"/>
      <c r="UOU103" s="4"/>
      <c r="UOV103" s="4"/>
      <c r="UOW103" s="4"/>
      <c r="UOX103" s="4"/>
      <c r="UOY103" s="4"/>
      <c r="UOZ103" s="4"/>
      <c r="UPA103" s="4"/>
      <c r="UPB103" s="4"/>
      <c r="UPC103" s="4"/>
      <c r="UPD103" s="4"/>
      <c r="UPE103" s="4"/>
      <c r="UPF103" s="4"/>
      <c r="UPG103" s="4"/>
      <c r="UPH103" s="4"/>
      <c r="UPI103" s="4"/>
      <c r="UPJ103" s="4"/>
      <c r="UPK103" s="4"/>
      <c r="UPL103" s="4"/>
      <c r="UPM103" s="4"/>
      <c r="UPN103" s="4"/>
      <c r="UPO103" s="4"/>
      <c r="UPP103" s="4"/>
      <c r="UPQ103" s="4"/>
      <c r="UPR103" s="4"/>
      <c r="UPS103" s="4"/>
      <c r="UPT103" s="4"/>
      <c r="UPU103" s="4"/>
      <c r="UPV103" s="4"/>
      <c r="UPW103" s="4"/>
      <c r="UPX103" s="4"/>
      <c r="UPY103" s="4"/>
      <c r="UPZ103" s="4"/>
      <c r="UQA103" s="4"/>
      <c r="UQB103" s="4"/>
      <c r="UQC103" s="4"/>
      <c r="UQD103" s="4"/>
      <c r="UQE103" s="4"/>
      <c r="UQF103" s="4"/>
      <c r="UQG103" s="4"/>
      <c r="UQH103" s="4"/>
      <c r="UQI103" s="4"/>
      <c r="UQJ103" s="4"/>
      <c r="UQK103" s="4"/>
      <c r="UQL103" s="4"/>
      <c r="UQM103" s="4"/>
      <c r="UQN103" s="4"/>
      <c r="UQO103" s="4"/>
      <c r="UQP103" s="4"/>
      <c r="UQQ103" s="4"/>
      <c r="UQR103" s="4"/>
      <c r="UQS103" s="4"/>
      <c r="UQT103" s="4"/>
      <c r="UQU103" s="4"/>
      <c r="UQV103" s="4"/>
      <c r="UQW103" s="4"/>
      <c r="UQX103" s="4"/>
      <c r="UQY103" s="4"/>
      <c r="UQZ103" s="4"/>
      <c r="URA103" s="4"/>
      <c r="URB103" s="4"/>
      <c r="URC103" s="4"/>
      <c r="URD103" s="4"/>
      <c r="URE103" s="4"/>
      <c r="URF103" s="4"/>
      <c r="URG103" s="4"/>
      <c r="URH103" s="4"/>
      <c r="URI103" s="4"/>
      <c r="URJ103" s="4"/>
      <c r="URK103" s="4"/>
      <c r="URL103" s="4"/>
      <c r="URM103" s="4"/>
      <c r="URN103" s="4"/>
      <c r="URO103" s="4"/>
      <c r="URP103" s="4"/>
      <c r="URQ103" s="4"/>
      <c r="URR103" s="4"/>
      <c r="URS103" s="4"/>
      <c r="URT103" s="4"/>
      <c r="URU103" s="4"/>
      <c r="URV103" s="4"/>
      <c r="URW103" s="4"/>
      <c r="URX103" s="4"/>
      <c r="URY103" s="4"/>
      <c r="URZ103" s="4"/>
      <c r="USA103" s="4"/>
      <c r="USB103" s="4"/>
      <c r="USC103" s="4"/>
      <c r="USD103" s="4"/>
      <c r="USE103" s="4"/>
      <c r="USF103" s="4"/>
      <c r="USG103" s="4"/>
      <c r="USH103" s="4"/>
      <c r="USI103" s="4"/>
      <c r="USJ103" s="4"/>
      <c r="USK103" s="4"/>
      <c r="USL103" s="4"/>
      <c r="USM103" s="4"/>
      <c r="USN103" s="4"/>
      <c r="USO103" s="4"/>
      <c r="USP103" s="4"/>
      <c r="USQ103" s="4"/>
      <c r="USR103" s="4"/>
      <c r="USS103" s="4"/>
      <c r="UST103" s="4"/>
      <c r="USU103" s="4"/>
      <c r="USV103" s="4"/>
      <c r="USW103" s="4"/>
      <c r="USX103" s="4"/>
      <c r="USY103" s="4"/>
      <c r="USZ103" s="4"/>
      <c r="UTA103" s="4"/>
      <c r="UTB103" s="4"/>
      <c r="UTC103" s="4"/>
      <c r="UTD103" s="4"/>
      <c r="UTE103" s="4"/>
      <c r="UTF103" s="4"/>
      <c r="UTG103" s="4"/>
      <c r="UTH103" s="4"/>
      <c r="UTI103" s="4"/>
      <c r="UTJ103" s="4"/>
      <c r="UTK103" s="4"/>
      <c r="UTL103" s="4"/>
      <c r="UTM103" s="4"/>
      <c r="UTN103" s="4"/>
      <c r="UTO103" s="4"/>
      <c r="UTP103" s="4"/>
      <c r="UTQ103" s="4"/>
      <c r="UTR103" s="4"/>
      <c r="UTS103" s="4"/>
      <c r="UTT103" s="4"/>
      <c r="UTU103" s="4"/>
      <c r="UTV103" s="4"/>
      <c r="UTW103" s="4"/>
      <c r="UTX103" s="4"/>
      <c r="UTY103" s="4"/>
      <c r="UTZ103" s="4"/>
      <c r="UUA103" s="4"/>
      <c r="UUB103" s="4"/>
      <c r="UUC103" s="4"/>
      <c r="UUD103" s="4"/>
      <c r="UUE103" s="4"/>
      <c r="UUF103" s="4"/>
      <c r="UUG103" s="4"/>
      <c r="UUH103" s="4"/>
      <c r="UUI103" s="4"/>
      <c r="UUJ103" s="4"/>
      <c r="UUK103" s="4"/>
      <c r="UUL103" s="4"/>
      <c r="UUM103" s="4"/>
      <c r="UUN103" s="4"/>
      <c r="UUO103" s="4"/>
      <c r="UUP103" s="4"/>
      <c r="UUQ103" s="4"/>
      <c r="UUR103" s="4"/>
      <c r="UUS103" s="4"/>
      <c r="UUT103" s="4"/>
      <c r="UUU103" s="4"/>
      <c r="UUV103" s="4"/>
      <c r="UUW103" s="4"/>
      <c r="UUX103" s="4"/>
      <c r="UUY103" s="4"/>
      <c r="UUZ103" s="4"/>
      <c r="UVA103" s="4"/>
      <c r="UVB103" s="4"/>
      <c r="UVC103" s="4"/>
      <c r="UVD103" s="4"/>
      <c r="UVE103" s="4"/>
      <c r="UVF103" s="4"/>
      <c r="UVG103" s="4"/>
      <c r="UVH103" s="4"/>
      <c r="UVI103" s="4"/>
      <c r="UVJ103" s="4"/>
      <c r="UVK103" s="4"/>
      <c r="UVL103" s="4"/>
      <c r="UVM103" s="4"/>
      <c r="UVN103" s="4"/>
      <c r="UVO103" s="4"/>
      <c r="UVP103" s="4"/>
      <c r="UVQ103" s="4"/>
      <c r="UVR103" s="4"/>
      <c r="UVS103" s="4"/>
      <c r="UVT103" s="4"/>
      <c r="UVU103" s="4"/>
      <c r="UVV103" s="4"/>
      <c r="UVW103" s="4"/>
      <c r="UVX103" s="4"/>
      <c r="UVY103" s="4"/>
      <c r="UVZ103" s="4"/>
      <c r="UWA103" s="4"/>
      <c r="UWB103" s="4"/>
      <c r="UWC103" s="4"/>
      <c r="UWD103" s="4"/>
      <c r="UWE103" s="4"/>
      <c r="UWF103" s="4"/>
      <c r="UWG103" s="4"/>
      <c r="UWH103" s="4"/>
      <c r="UWI103" s="4"/>
      <c r="UWJ103" s="4"/>
      <c r="UWK103" s="4"/>
      <c r="UWL103" s="4"/>
      <c r="UWM103" s="4"/>
      <c r="UWN103" s="4"/>
      <c r="UWO103" s="4"/>
      <c r="UWP103" s="4"/>
      <c r="UWQ103" s="4"/>
      <c r="UWR103" s="4"/>
      <c r="UWS103" s="4"/>
      <c r="UWT103" s="4"/>
      <c r="UWU103" s="4"/>
      <c r="UWV103" s="4"/>
      <c r="UWW103" s="4"/>
      <c r="UWX103" s="4"/>
      <c r="UWY103" s="4"/>
      <c r="UWZ103" s="4"/>
      <c r="UXA103" s="4"/>
      <c r="UXB103" s="4"/>
      <c r="UXC103" s="4"/>
      <c r="UXD103" s="4"/>
      <c r="UXE103" s="4"/>
      <c r="UXF103" s="4"/>
      <c r="UXG103" s="4"/>
      <c r="UXH103" s="4"/>
      <c r="UXI103" s="4"/>
      <c r="UXJ103" s="4"/>
      <c r="UXK103" s="4"/>
      <c r="UXL103" s="4"/>
      <c r="UXM103" s="4"/>
      <c r="UXN103" s="4"/>
      <c r="UXO103" s="4"/>
      <c r="UXP103" s="4"/>
      <c r="UXQ103" s="4"/>
      <c r="UXR103" s="4"/>
      <c r="UXS103" s="4"/>
      <c r="UXT103" s="4"/>
      <c r="UXU103" s="4"/>
      <c r="UXV103" s="4"/>
      <c r="UXW103" s="4"/>
      <c r="UXX103" s="4"/>
      <c r="UXY103" s="4"/>
      <c r="UXZ103" s="4"/>
      <c r="UYA103" s="4"/>
      <c r="UYB103" s="4"/>
      <c r="UYC103" s="4"/>
      <c r="UYD103" s="4"/>
      <c r="UYE103" s="4"/>
      <c r="UYF103" s="4"/>
      <c r="UYG103" s="4"/>
      <c r="UYH103" s="4"/>
      <c r="UYI103" s="4"/>
      <c r="UYJ103" s="4"/>
      <c r="UYK103" s="4"/>
      <c r="UYL103" s="4"/>
      <c r="UYM103" s="4"/>
      <c r="UYN103" s="4"/>
      <c r="UYO103" s="4"/>
      <c r="UYP103" s="4"/>
      <c r="UYQ103" s="4"/>
      <c r="UYR103" s="4"/>
      <c r="UYS103" s="4"/>
      <c r="UYT103" s="4"/>
      <c r="UYU103" s="4"/>
      <c r="UYV103" s="4"/>
      <c r="UYW103" s="4"/>
      <c r="UYX103" s="4"/>
      <c r="UYY103" s="4"/>
      <c r="UYZ103" s="4"/>
      <c r="UZA103" s="4"/>
      <c r="UZB103" s="4"/>
      <c r="UZC103" s="4"/>
      <c r="UZD103" s="4"/>
      <c r="UZE103" s="4"/>
      <c r="UZF103" s="4"/>
      <c r="UZG103" s="4"/>
      <c r="UZH103" s="4"/>
      <c r="UZI103" s="4"/>
      <c r="UZJ103" s="4"/>
      <c r="UZK103" s="4"/>
      <c r="UZL103" s="4"/>
      <c r="UZM103" s="4"/>
      <c r="UZN103" s="4"/>
      <c r="UZO103" s="4"/>
      <c r="UZP103" s="4"/>
      <c r="UZQ103" s="4"/>
      <c r="UZR103" s="4"/>
      <c r="UZS103" s="4"/>
      <c r="UZT103" s="4"/>
      <c r="UZU103" s="4"/>
      <c r="UZV103" s="4"/>
      <c r="UZW103" s="4"/>
      <c r="UZX103" s="4"/>
      <c r="UZY103" s="4"/>
      <c r="UZZ103" s="4"/>
      <c r="VAA103" s="4"/>
      <c r="VAB103" s="4"/>
      <c r="VAC103" s="4"/>
      <c r="VAD103" s="4"/>
      <c r="VAE103" s="4"/>
      <c r="VAF103" s="4"/>
      <c r="VAG103" s="4"/>
      <c r="VAH103" s="4"/>
      <c r="VAI103" s="4"/>
      <c r="VAJ103" s="4"/>
      <c r="VAK103" s="4"/>
      <c r="VAL103" s="4"/>
      <c r="VAM103" s="4"/>
      <c r="VAN103" s="4"/>
      <c r="VAO103" s="4"/>
      <c r="VAP103" s="4"/>
      <c r="VAQ103" s="4"/>
      <c r="VAR103" s="4"/>
      <c r="VAS103" s="4"/>
      <c r="VAT103" s="4"/>
      <c r="VAU103" s="4"/>
      <c r="VAV103" s="4"/>
      <c r="VAW103" s="4"/>
      <c r="VAX103" s="4"/>
      <c r="VAY103" s="4"/>
      <c r="VAZ103" s="4"/>
      <c r="VBA103" s="4"/>
      <c r="VBB103" s="4"/>
      <c r="VBC103" s="4"/>
      <c r="VBD103" s="4"/>
      <c r="VBE103" s="4"/>
      <c r="VBF103" s="4"/>
      <c r="VBG103" s="4"/>
      <c r="VBH103" s="4"/>
      <c r="VBI103" s="4"/>
      <c r="VBJ103" s="4"/>
      <c r="VBK103" s="4"/>
      <c r="VBL103" s="4"/>
      <c r="VBM103" s="4"/>
      <c r="VBN103" s="4"/>
      <c r="VBO103" s="4"/>
      <c r="VBP103" s="4"/>
      <c r="VBQ103" s="4"/>
      <c r="VBR103" s="4"/>
      <c r="VBS103" s="4"/>
      <c r="VBT103" s="4"/>
      <c r="VBU103" s="4"/>
      <c r="VBV103" s="4"/>
      <c r="VBW103" s="4"/>
      <c r="VBX103" s="4"/>
      <c r="VBY103" s="4"/>
      <c r="VBZ103" s="4"/>
      <c r="VCA103" s="4"/>
      <c r="VCB103" s="4"/>
      <c r="VCC103" s="4"/>
      <c r="VCD103" s="4"/>
      <c r="VCE103" s="4"/>
      <c r="VCF103" s="4"/>
      <c r="VCG103" s="4"/>
      <c r="VCH103" s="4"/>
      <c r="VCI103" s="4"/>
      <c r="VCJ103" s="4"/>
      <c r="VCK103" s="4"/>
      <c r="VCL103" s="4"/>
      <c r="VCM103" s="4"/>
      <c r="VCN103" s="4"/>
      <c r="VCO103" s="4"/>
      <c r="VCP103" s="4"/>
      <c r="VCQ103" s="4"/>
      <c r="VCR103" s="4"/>
      <c r="VCS103" s="4"/>
      <c r="VCT103" s="4"/>
      <c r="VCU103" s="4"/>
      <c r="VCV103" s="4"/>
      <c r="VCW103" s="4"/>
      <c r="VCX103" s="4"/>
      <c r="VCY103" s="4"/>
      <c r="VCZ103" s="4"/>
      <c r="VDA103" s="4"/>
      <c r="VDB103" s="4"/>
      <c r="VDC103" s="4"/>
      <c r="VDD103" s="4"/>
      <c r="VDE103" s="4"/>
      <c r="VDF103" s="4"/>
      <c r="VDG103" s="4"/>
      <c r="VDH103" s="4"/>
      <c r="VDI103" s="4"/>
      <c r="VDJ103" s="4"/>
      <c r="VDK103" s="4"/>
      <c r="VDL103" s="4"/>
      <c r="VDM103" s="4"/>
      <c r="VDN103" s="4"/>
      <c r="VDO103" s="4"/>
      <c r="VDP103" s="4"/>
      <c r="VDQ103" s="4"/>
      <c r="VDR103" s="4"/>
      <c r="VDS103" s="4"/>
      <c r="VDT103" s="4"/>
      <c r="VDU103" s="4"/>
      <c r="VDV103" s="4"/>
      <c r="VDW103" s="4"/>
      <c r="VDX103" s="4"/>
      <c r="VDY103" s="4"/>
      <c r="VDZ103" s="4"/>
      <c r="VEA103" s="4"/>
      <c r="VEB103" s="4"/>
      <c r="VEC103" s="4"/>
      <c r="VED103" s="4"/>
      <c r="VEE103" s="4"/>
      <c r="VEF103" s="4"/>
      <c r="VEG103" s="4"/>
      <c r="VEH103" s="4"/>
      <c r="VEI103" s="4"/>
      <c r="VEJ103" s="4"/>
      <c r="VEK103" s="4"/>
      <c r="VEL103" s="4"/>
      <c r="VEM103" s="4"/>
      <c r="VEN103" s="4"/>
      <c r="VEO103" s="4"/>
      <c r="VEP103" s="4"/>
      <c r="VEQ103" s="4"/>
      <c r="VER103" s="4"/>
      <c r="VES103" s="4"/>
      <c r="VET103" s="4"/>
      <c r="VEU103" s="4"/>
      <c r="VEV103" s="4"/>
      <c r="VEW103" s="4"/>
      <c r="VEX103" s="4"/>
      <c r="VEY103" s="4"/>
      <c r="VEZ103" s="4"/>
      <c r="VFA103" s="4"/>
      <c r="VFB103" s="4"/>
      <c r="VFC103" s="4"/>
      <c r="VFD103" s="4"/>
      <c r="VFE103" s="4"/>
      <c r="VFF103" s="4"/>
      <c r="VFG103" s="4"/>
      <c r="VFH103" s="4"/>
      <c r="VFI103" s="4"/>
      <c r="VFJ103" s="4"/>
      <c r="VFK103" s="4"/>
      <c r="VFL103" s="4"/>
      <c r="VFM103" s="4"/>
      <c r="VFN103" s="4"/>
      <c r="VFO103" s="4"/>
      <c r="VFP103" s="4"/>
      <c r="VFQ103" s="4"/>
      <c r="VFR103" s="4"/>
      <c r="VFS103" s="4"/>
      <c r="VFT103" s="4"/>
      <c r="VFU103" s="4"/>
      <c r="VFV103" s="4"/>
      <c r="VFW103" s="4"/>
      <c r="VFX103" s="4"/>
      <c r="VFY103" s="4"/>
      <c r="VFZ103" s="4"/>
      <c r="VGA103" s="4"/>
      <c r="VGB103" s="4"/>
      <c r="VGC103" s="4"/>
      <c r="VGD103" s="4"/>
      <c r="VGE103" s="4"/>
      <c r="VGF103" s="4"/>
      <c r="VGG103" s="4"/>
      <c r="VGH103" s="4"/>
      <c r="VGI103" s="4"/>
      <c r="VGJ103" s="4"/>
      <c r="VGK103" s="4"/>
      <c r="VGL103" s="4"/>
      <c r="VGM103" s="4"/>
      <c r="VGN103" s="4"/>
      <c r="VGO103" s="4"/>
      <c r="VGP103" s="4"/>
      <c r="VGQ103" s="4"/>
      <c r="VGR103" s="4"/>
      <c r="VGS103" s="4"/>
      <c r="VGT103" s="4"/>
      <c r="VGU103" s="4"/>
      <c r="VGV103" s="4"/>
      <c r="VGW103" s="4"/>
      <c r="VGX103" s="4"/>
      <c r="VGY103" s="4"/>
      <c r="VGZ103" s="4"/>
      <c r="VHA103" s="4"/>
      <c r="VHB103" s="4"/>
      <c r="VHC103" s="4"/>
      <c r="VHD103" s="4"/>
      <c r="VHE103" s="4"/>
      <c r="VHF103" s="4"/>
      <c r="VHG103" s="4"/>
      <c r="VHH103" s="4"/>
      <c r="VHI103" s="4"/>
      <c r="VHJ103" s="4"/>
      <c r="VHK103" s="4"/>
      <c r="VHL103" s="4"/>
      <c r="VHM103" s="4"/>
      <c r="VHN103" s="4"/>
      <c r="VHO103" s="4"/>
      <c r="VHP103" s="4"/>
      <c r="VHQ103" s="4"/>
      <c r="VHR103" s="4"/>
      <c r="VHS103" s="4"/>
      <c r="VHT103" s="4"/>
      <c r="VHU103" s="4"/>
      <c r="VHV103" s="4"/>
      <c r="VHW103" s="4"/>
      <c r="VHX103" s="4"/>
      <c r="VHY103" s="4"/>
      <c r="VHZ103" s="4"/>
      <c r="VIA103" s="4"/>
      <c r="VIB103" s="4"/>
      <c r="VIC103" s="4"/>
      <c r="VID103" s="4"/>
      <c r="VIE103" s="4"/>
      <c r="VIF103" s="4"/>
      <c r="VIG103" s="4"/>
      <c r="VIH103" s="4"/>
      <c r="VII103" s="4"/>
      <c r="VIJ103" s="4"/>
      <c r="VIK103" s="4"/>
      <c r="VIL103" s="4"/>
      <c r="VIM103" s="4"/>
      <c r="VIN103" s="4"/>
      <c r="VIO103" s="4"/>
      <c r="VIP103" s="4"/>
      <c r="VIQ103" s="4"/>
      <c r="VIR103" s="4"/>
      <c r="VIS103" s="4"/>
      <c r="VIT103" s="4"/>
      <c r="VIU103" s="4"/>
      <c r="VIV103" s="4"/>
      <c r="VIW103" s="4"/>
      <c r="VIX103" s="4"/>
      <c r="VIY103" s="4"/>
      <c r="VIZ103" s="4"/>
      <c r="VJA103" s="4"/>
      <c r="VJB103" s="4"/>
      <c r="VJC103" s="4"/>
      <c r="VJD103" s="4"/>
      <c r="VJE103" s="4"/>
      <c r="VJF103" s="4"/>
      <c r="VJG103" s="4"/>
      <c r="VJH103" s="4"/>
      <c r="VJI103" s="4"/>
      <c r="VJJ103" s="4"/>
      <c r="VJK103" s="4"/>
      <c r="VJL103" s="4"/>
      <c r="VJM103" s="4"/>
      <c r="VJN103" s="4"/>
      <c r="VJO103" s="4"/>
      <c r="VJP103" s="4"/>
      <c r="VJQ103" s="4"/>
      <c r="VJR103" s="4"/>
      <c r="VJS103" s="4"/>
      <c r="VJT103" s="4"/>
      <c r="VJU103" s="4"/>
      <c r="VJV103" s="4"/>
      <c r="VJW103" s="4"/>
      <c r="VJX103" s="4"/>
      <c r="VJY103" s="4"/>
      <c r="VJZ103" s="4"/>
      <c r="VKA103" s="4"/>
      <c r="VKB103" s="4"/>
      <c r="VKC103" s="4"/>
      <c r="VKD103" s="4"/>
      <c r="VKE103" s="4"/>
      <c r="VKF103" s="4"/>
      <c r="VKG103" s="4"/>
      <c r="VKH103" s="4"/>
      <c r="VKI103" s="4"/>
      <c r="VKJ103" s="4"/>
      <c r="VKK103" s="4"/>
      <c r="VKL103" s="4"/>
      <c r="VKM103" s="4"/>
      <c r="VKN103" s="4"/>
      <c r="VKO103" s="4"/>
      <c r="VKP103" s="4"/>
      <c r="VKQ103" s="4"/>
      <c r="VKR103" s="4"/>
      <c r="VKS103" s="4"/>
      <c r="VKT103" s="4"/>
      <c r="VKU103" s="4"/>
      <c r="VKV103" s="4"/>
      <c r="VKW103" s="4"/>
      <c r="VKX103" s="4"/>
      <c r="VKY103" s="4"/>
      <c r="VKZ103" s="4"/>
      <c r="VLA103" s="4"/>
      <c r="VLB103" s="4"/>
      <c r="VLC103" s="4"/>
      <c r="VLD103" s="4"/>
      <c r="VLE103" s="4"/>
      <c r="VLF103" s="4"/>
      <c r="VLG103" s="4"/>
      <c r="VLH103" s="4"/>
      <c r="VLI103" s="4"/>
      <c r="VLJ103" s="4"/>
      <c r="VLK103" s="4"/>
      <c r="VLL103" s="4"/>
      <c r="VLM103" s="4"/>
      <c r="VLN103" s="4"/>
      <c r="VLO103" s="4"/>
      <c r="VLP103" s="4"/>
      <c r="VLQ103" s="4"/>
      <c r="VLR103" s="4"/>
      <c r="VLS103" s="4"/>
      <c r="VLT103" s="4"/>
      <c r="VLU103" s="4"/>
      <c r="VLV103" s="4"/>
      <c r="VLW103" s="4"/>
      <c r="VLX103" s="4"/>
      <c r="VLY103" s="4"/>
      <c r="VLZ103" s="4"/>
      <c r="VMA103" s="4"/>
      <c r="VMB103" s="4"/>
      <c r="VMC103" s="4"/>
      <c r="VMD103" s="4"/>
      <c r="VME103" s="4"/>
      <c r="VMF103" s="4"/>
      <c r="VMG103" s="4"/>
      <c r="VMH103" s="4"/>
      <c r="VMI103" s="4"/>
      <c r="VMJ103" s="4"/>
      <c r="VMK103" s="4"/>
      <c r="VML103" s="4"/>
      <c r="VMM103" s="4"/>
      <c r="VMN103" s="4"/>
      <c r="VMO103" s="4"/>
      <c r="VMP103" s="4"/>
      <c r="VMQ103" s="4"/>
      <c r="VMR103" s="4"/>
      <c r="VMS103" s="4"/>
      <c r="VMT103" s="4"/>
      <c r="VMU103" s="4"/>
      <c r="VMV103" s="4"/>
      <c r="VMW103" s="4"/>
      <c r="VMX103" s="4"/>
      <c r="VMY103" s="4"/>
      <c r="VMZ103" s="4"/>
      <c r="VNA103" s="4"/>
      <c r="VNB103" s="4"/>
      <c r="VNC103" s="4"/>
      <c r="VND103" s="4"/>
      <c r="VNE103" s="4"/>
      <c r="VNF103" s="4"/>
      <c r="VNG103" s="4"/>
      <c r="VNH103" s="4"/>
      <c r="VNI103" s="4"/>
      <c r="VNJ103" s="4"/>
      <c r="VNK103" s="4"/>
      <c r="VNL103" s="4"/>
      <c r="VNM103" s="4"/>
      <c r="VNN103" s="4"/>
      <c r="VNO103" s="4"/>
      <c r="VNP103" s="4"/>
      <c r="VNQ103" s="4"/>
      <c r="VNR103" s="4"/>
      <c r="VNS103" s="4"/>
      <c r="VNT103" s="4"/>
      <c r="VNU103" s="4"/>
      <c r="VNV103" s="4"/>
      <c r="VNW103" s="4"/>
      <c r="VNX103" s="4"/>
      <c r="VNY103" s="4"/>
      <c r="VNZ103" s="4"/>
      <c r="VOA103" s="4"/>
      <c r="VOB103" s="4"/>
      <c r="VOC103" s="4"/>
      <c r="VOD103" s="4"/>
      <c r="VOE103" s="4"/>
      <c r="VOF103" s="4"/>
      <c r="VOG103" s="4"/>
      <c r="VOH103" s="4"/>
      <c r="VOI103" s="4"/>
      <c r="VOJ103" s="4"/>
      <c r="VOK103" s="4"/>
      <c r="VOL103" s="4"/>
      <c r="VOM103" s="4"/>
      <c r="VON103" s="4"/>
      <c r="VOO103" s="4"/>
      <c r="VOP103" s="4"/>
      <c r="VOQ103" s="4"/>
      <c r="VOR103" s="4"/>
      <c r="VOS103" s="4"/>
      <c r="VOT103" s="4"/>
      <c r="VOU103" s="4"/>
      <c r="VOV103" s="4"/>
      <c r="VOW103" s="4"/>
      <c r="VOX103" s="4"/>
      <c r="VOY103" s="4"/>
      <c r="VOZ103" s="4"/>
      <c r="VPA103" s="4"/>
      <c r="VPB103" s="4"/>
      <c r="VPC103" s="4"/>
      <c r="VPD103" s="4"/>
      <c r="VPE103" s="4"/>
      <c r="VPF103" s="4"/>
      <c r="VPG103" s="4"/>
      <c r="VPH103" s="4"/>
      <c r="VPI103" s="4"/>
      <c r="VPJ103" s="4"/>
      <c r="VPK103" s="4"/>
      <c r="VPL103" s="4"/>
      <c r="VPM103" s="4"/>
      <c r="VPN103" s="4"/>
      <c r="VPO103" s="4"/>
      <c r="VPP103" s="4"/>
      <c r="VPQ103" s="4"/>
      <c r="VPR103" s="4"/>
      <c r="VPS103" s="4"/>
      <c r="VPT103" s="4"/>
      <c r="VPU103" s="4"/>
      <c r="VPV103" s="4"/>
      <c r="VPW103" s="4"/>
      <c r="VPX103" s="4"/>
      <c r="VPY103" s="4"/>
      <c r="VPZ103" s="4"/>
      <c r="VQA103" s="4"/>
      <c r="VQB103" s="4"/>
      <c r="VQC103" s="4"/>
      <c r="VQD103" s="4"/>
      <c r="VQE103" s="4"/>
      <c r="VQF103" s="4"/>
      <c r="VQG103" s="4"/>
      <c r="VQH103" s="4"/>
      <c r="VQI103" s="4"/>
      <c r="VQJ103" s="4"/>
      <c r="VQK103" s="4"/>
      <c r="VQL103" s="4"/>
      <c r="VQM103" s="4"/>
      <c r="VQN103" s="4"/>
      <c r="VQO103" s="4"/>
      <c r="VQP103" s="4"/>
      <c r="VQQ103" s="4"/>
      <c r="VQR103" s="4"/>
      <c r="VQS103" s="4"/>
      <c r="VQT103" s="4"/>
      <c r="VQU103" s="4"/>
      <c r="VQV103" s="4"/>
      <c r="VQW103" s="4"/>
      <c r="VQX103" s="4"/>
      <c r="VQY103" s="4"/>
      <c r="VQZ103" s="4"/>
      <c r="VRA103" s="4"/>
      <c r="VRB103" s="4"/>
      <c r="VRC103" s="4"/>
      <c r="VRD103" s="4"/>
      <c r="VRE103" s="4"/>
      <c r="VRF103" s="4"/>
      <c r="VRG103" s="4"/>
      <c r="VRH103" s="4"/>
      <c r="VRI103" s="4"/>
      <c r="VRJ103" s="4"/>
      <c r="VRK103" s="4"/>
      <c r="VRL103" s="4"/>
      <c r="VRM103" s="4"/>
      <c r="VRN103" s="4"/>
      <c r="VRO103" s="4"/>
      <c r="VRP103" s="4"/>
      <c r="VRQ103" s="4"/>
      <c r="VRR103" s="4"/>
      <c r="VRS103" s="4"/>
      <c r="VRT103" s="4"/>
      <c r="VRU103" s="4"/>
      <c r="VRV103" s="4"/>
      <c r="VRW103" s="4"/>
      <c r="VRX103" s="4"/>
      <c r="VRY103" s="4"/>
      <c r="VRZ103" s="4"/>
      <c r="VSA103" s="4"/>
      <c r="VSB103" s="4"/>
      <c r="VSC103" s="4"/>
      <c r="VSD103" s="4"/>
      <c r="VSE103" s="4"/>
      <c r="VSF103" s="4"/>
      <c r="VSG103" s="4"/>
      <c r="VSH103" s="4"/>
      <c r="VSI103" s="4"/>
      <c r="VSJ103" s="4"/>
      <c r="VSK103" s="4"/>
      <c r="VSL103" s="4"/>
      <c r="VSM103" s="4"/>
      <c r="VSN103" s="4"/>
      <c r="VSO103" s="4"/>
      <c r="VSP103" s="4"/>
      <c r="VSQ103" s="4"/>
      <c r="VSR103" s="4"/>
      <c r="VSS103" s="4"/>
      <c r="VST103" s="4"/>
      <c r="VSU103" s="4"/>
      <c r="VSV103" s="4"/>
      <c r="VSW103" s="4"/>
      <c r="VSX103" s="4"/>
      <c r="VSY103" s="4"/>
      <c r="VSZ103" s="4"/>
      <c r="VTA103" s="4"/>
      <c r="VTB103" s="4"/>
      <c r="VTC103" s="4"/>
      <c r="VTD103" s="4"/>
      <c r="VTE103" s="4"/>
      <c r="VTF103" s="4"/>
      <c r="VTG103" s="4"/>
      <c r="VTH103" s="4"/>
      <c r="VTI103" s="4"/>
      <c r="VTJ103" s="4"/>
      <c r="VTK103" s="4"/>
      <c r="VTL103" s="4"/>
      <c r="VTM103" s="4"/>
      <c r="VTN103" s="4"/>
      <c r="VTO103" s="4"/>
      <c r="VTP103" s="4"/>
      <c r="VTQ103" s="4"/>
      <c r="VTR103" s="4"/>
      <c r="VTS103" s="4"/>
      <c r="VTT103" s="4"/>
      <c r="VTU103" s="4"/>
      <c r="VTV103" s="4"/>
      <c r="VTW103" s="4"/>
      <c r="VTX103" s="4"/>
      <c r="VTY103" s="4"/>
      <c r="VTZ103" s="4"/>
      <c r="VUA103" s="4"/>
      <c r="VUB103" s="4"/>
      <c r="VUC103" s="4"/>
      <c r="VUD103" s="4"/>
      <c r="VUE103" s="4"/>
      <c r="VUF103" s="4"/>
      <c r="VUG103" s="4"/>
      <c r="VUH103" s="4"/>
      <c r="VUI103" s="4"/>
      <c r="VUJ103" s="4"/>
      <c r="VUK103" s="4"/>
      <c r="VUL103" s="4"/>
      <c r="VUM103" s="4"/>
      <c r="VUN103" s="4"/>
      <c r="VUO103" s="4"/>
      <c r="VUP103" s="4"/>
      <c r="VUQ103" s="4"/>
      <c r="VUR103" s="4"/>
      <c r="VUS103" s="4"/>
      <c r="VUT103" s="4"/>
      <c r="VUU103" s="4"/>
      <c r="VUV103" s="4"/>
      <c r="VUW103" s="4"/>
      <c r="VUX103" s="4"/>
      <c r="VUY103" s="4"/>
      <c r="VUZ103" s="4"/>
      <c r="VVA103" s="4"/>
      <c r="VVB103" s="4"/>
      <c r="VVC103" s="4"/>
      <c r="VVD103" s="4"/>
      <c r="VVE103" s="4"/>
      <c r="VVF103" s="4"/>
      <c r="VVG103" s="4"/>
      <c r="VVH103" s="4"/>
      <c r="VVI103" s="4"/>
      <c r="VVJ103" s="4"/>
      <c r="VVK103" s="4"/>
      <c r="VVL103" s="4"/>
      <c r="VVM103" s="4"/>
      <c r="VVN103" s="4"/>
      <c r="VVO103" s="4"/>
      <c r="VVP103" s="4"/>
      <c r="VVQ103" s="4"/>
      <c r="VVR103" s="4"/>
      <c r="VVS103" s="4"/>
      <c r="VVT103" s="4"/>
      <c r="VVU103" s="4"/>
      <c r="VVV103" s="4"/>
      <c r="VVW103" s="4"/>
      <c r="VVX103" s="4"/>
      <c r="VVY103" s="4"/>
      <c r="VVZ103" s="4"/>
      <c r="VWA103" s="4"/>
      <c r="VWB103" s="4"/>
      <c r="VWC103" s="4"/>
      <c r="VWD103" s="4"/>
      <c r="VWE103" s="4"/>
      <c r="VWF103" s="4"/>
      <c r="VWG103" s="4"/>
      <c r="VWH103" s="4"/>
      <c r="VWI103" s="4"/>
      <c r="VWJ103" s="4"/>
      <c r="VWK103" s="4"/>
      <c r="VWL103" s="4"/>
      <c r="VWM103" s="4"/>
      <c r="VWN103" s="4"/>
      <c r="VWO103" s="4"/>
      <c r="VWP103" s="4"/>
      <c r="VWQ103" s="4"/>
      <c r="VWR103" s="4"/>
      <c r="VWS103" s="4"/>
      <c r="VWT103" s="4"/>
      <c r="VWU103" s="4"/>
      <c r="VWV103" s="4"/>
      <c r="VWW103" s="4"/>
      <c r="VWX103" s="4"/>
      <c r="VWY103" s="4"/>
      <c r="VWZ103" s="4"/>
      <c r="VXA103" s="4"/>
      <c r="VXB103" s="4"/>
      <c r="VXC103" s="4"/>
      <c r="VXD103" s="4"/>
      <c r="VXE103" s="4"/>
      <c r="VXF103" s="4"/>
      <c r="VXG103" s="4"/>
      <c r="VXH103" s="4"/>
      <c r="VXI103" s="4"/>
      <c r="VXJ103" s="4"/>
      <c r="VXK103" s="4"/>
      <c r="VXL103" s="4"/>
      <c r="VXM103" s="4"/>
      <c r="VXN103" s="4"/>
      <c r="VXO103" s="4"/>
      <c r="VXP103" s="4"/>
      <c r="VXQ103" s="4"/>
      <c r="VXR103" s="4"/>
      <c r="VXS103" s="4"/>
      <c r="VXT103" s="4"/>
      <c r="VXU103" s="4"/>
      <c r="VXV103" s="4"/>
      <c r="VXW103" s="4"/>
      <c r="VXX103" s="4"/>
      <c r="VXY103" s="4"/>
      <c r="VXZ103" s="4"/>
      <c r="VYA103" s="4"/>
      <c r="VYB103" s="4"/>
      <c r="VYC103" s="4"/>
      <c r="VYD103" s="4"/>
      <c r="VYE103" s="4"/>
      <c r="VYF103" s="4"/>
      <c r="VYG103" s="4"/>
      <c r="VYH103" s="4"/>
      <c r="VYI103" s="4"/>
      <c r="VYJ103" s="4"/>
      <c r="VYK103" s="4"/>
      <c r="VYL103" s="4"/>
      <c r="VYM103" s="4"/>
      <c r="VYN103" s="4"/>
      <c r="VYO103" s="4"/>
      <c r="VYP103" s="4"/>
      <c r="VYQ103" s="4"/>
      <c r="VYR103" s="4"/>
      <c r="VYS103" s="4"/>
      <c r="VYT103" s="4"/>
      <c r="VYU103" s="4"/>
      <c r="VYV103" s="4"/>
      <c r="VYW103" s="4"/>
      <c r="VYX103" s="4"/>
      <c r="VYY103" s="4"/>
      <c r="VYZ103" s="4"/>
      <c r="VZA103" s="4"/>
      <c r="VZB103" s="4"/>
      <c r="VZC103" s="4"/>
      <c r="VZD103" s="4"/>
      <c r="VZE103" s="4"/>
      <c r="VZF103" s="4"/>
      <c r="VZG103" s="4"/>
      <c r="VZH103" s="4"/>
      <c r="VZI103" s="4"/>
      <c r="VZJ103" s="4"/>
      <c r="VZK103" s="4"/>
      <c r="VZL103" s="4"/>
      <c r="VZM103" s="4"/>
      <c r="VZN103" s="4"/>
      <c r="VZO103" s="4"/>
      <c r="VZP103" s="4"/>
      <c r="VZQ103" s="4"/>
      <c r="VZR103" s="4"/>
      <c r="VZS103" s="4"/>
      <c r="VZT103" s="4"/>
      <c r="VZU103" s="4"/>
      <c r="VZV103" s="4"/>
      <c r="VZW103" s="4"/>
      <c r="VZX103" s="4"/>
      <c r="VZY103" s="4"/>
      <c r="VZZ103" s="4"/>
      <c r="WAA103" s="4"/>
      <c r="WAB103" s="4"/>
      <c r="WAC103" s="4"/>
      <c r="WAD103" s="4"/>
      <c r="WAE103" s="4"/>
      <c r="WAF103" s="4"/>
      <c r="WAG103" s="4"/>
      <c r="WAH103" s="4"/>
      <c r="WAI103" s="4"/>
      <c r="WAJ103" s="4"/>
      <c r="WAK103" s="4"/>
      <c r="WAL103" s="4"/>
      <c r="WAM103" s="4"/>
      <c r="WAN103" s="4"/>
      <c r="WAO103" s="4"/>
      <c r="WAP103" s="4"/>
      <c r="WAQ103" s="4"/>
      <c r="WAR103" s="4"/>
      <c r="WAS103" s="4"/>
      <c r="WAT103" s="4"/>
      <c r="WAU103" s="4"/>
      <c r="WAV103" s="4"/>
      <c r="WAW103" s="4"/>
      <c r="WAX103" s="4"/>
      <c r="WAY103" s="4"/>
      <c r="WAZ103" s="4"/>
      <c r="WBA103" s="4"/>
      <c r="WBB103" s="4"/>
      <c r="WBC103" s="4"/>
      <c r="WBD103" s="4"/>
      <c r="WBE103" s="4"/>
      <c r="WBF103" s="4"/>
      <c r="WBG103" s="4"/>
      <c r="WBH103" s="4"/>
      <c r="WBI103" s="4"/>
      <c r="WBJ103" s="4"/>
      <c r="WBK103" s="4"/>
      <c r="WBL103" s="4"/>
      <c r="WBM103" s="4"/>
      <c r="WBN103" s="4"/>
      <c r="WBO103" s="4"/>
      <c r="WBP103" s="4"/>
      <c r="WBQ103" s="4"/>
      <c r="WBR103" s="4"/>
      <c r="WBS103" s="4"/>
      <c r="WBT103" s="4"/>
      <c r="WBU103" s="4"/>
      <c r="WBV103" s="4"/>
      <c r="WBW103" s="4"/>
      <c r="WBX103" s="4"/>
      <c r="WBY103" s="4"/>
      <c r="WBZ103" s="4"/>
      <c r="WCA103" s="4"/>
      <c r="WCB103" s="4"/>
      <c r="WCC103" s="4"/>
      <c r="WCD103" s="4"/>
      <c r="WCE103" s="4"/>
      <c r="WCF103" s="4"/>
      <c r="WCG103" s="4"/>
      <c r="WCH103" s="4"/>
      <c r="WCI103" s="4"/>
      <c r="WCJ103" s="4"/>
      <c r="WCK103" s="4"/>
      <c r="WCL103" s="4"/>
      <c r="WCM103" s="4"/>
      <c r="WCN103" s="4"/>
      <c r="WCO103" s="4"/>
      <c r="WCP103" s="4"/>
      <c r="WCQ103" s="4"/>
      <c r="WCR103" s="4"/>
      <c r="WCS103" s="4"/>
      <c r="WCT103" s="4"/>
      <c r="WCU103" s="4"/>
      <c r="WCV103" s="4"/>
      <c r="WCW103" s="4"/>
      <c r="WCX103" s="4"/>
      <c r="WCY103" s="4"/>
      <c r="WCZ103" s="4"/>
      <c r="WDA103" s="4"/>
      <c r="WDB103" s="4"/>
      <c r="WDC103" s="4"/>
      <c r="WDD103" s="4"/>
      <c r="WDE103" s="4"/>
      <c r="WDF103" s="4"/>
      <c r="WDG103" s="4"/>
      <c r="WDH103" s="4"/>
      <c r="WDI103" s="4"/>
      <c r="WDJ103" s="4"/>
      <c r="WDK103" s="4"/>
      <c r="WDL103" s="4"/>
      <c r="WDM103" s="4"/>
      <c r="WDN103" s="4"/>
      <c r="WDO103" s="4"/>
      <c r="WDP103" s="4"/>
      <c r="WDQ103" s="4"/>
      <c r="WDR103" s="4"/>
      <c r="WDS103" s="4"/>
      <c r="WDT103" s="4"/>
      <c r="WDU103" s="4"/>
      <c r="WDV103" s="4"/>
      <c r="WDW103" s="4"/>
      <c r="WDX103" s="4"/>
      <c r="WDY103" s="4"/>
      <c r="WDZ103" s="4"/>
      <c r="WEA103" s="4"/>
      <c r="WEB103" s="4"/>
      <c r="WEC103" s="4"/>
      <c r="WED103" s="4"/>
      <c r="WEE103" s="4"/>
      <c r="WEF103" s="4"/>
      <c r="WEG103" s="4"/>
      <c r="WEH103" s="4"/>
      <c r="WEI103" s="4"/>
      <c r="WEJ103" s="4"/>
      <c r="WEK103" s="4"/>
      <c r="WEL103" s="4"/>
      <c r="WEM103" s="4"/>
      <c r="WEN103" s="4"/>
      <c r="WEO103" s="4"/>
      <c r="WEP103" s="4"/>
      <c r="WEQ103" s="4"/>
      <c r="WER103" s="4"/>
      <c r="WES103" s="4"/>
      <c r="WET103" s="4"/>
      <c r="WEU103" s="4"/>
      <c r="WEV103" s="4"/>
      <c r="WEW103" s="4"/>
      <c r="WEX103" s="4"/>
      <c r="WEY103" s="4"/>
      <c r="WEZ103" s="4"/>
      <c r="WFA103" s="4"/>
      <c r="WFB103" s="4"/>
      <c r="WFC103" s="4"/>
      <c r="WFD103" s="4"/>
      <c r="WFE103" s="4"/>
      <c r="WFF103" s="4"/>
      <c r="WFG103" s="4"/>
      <c r="WFH103" s="4"/>
      <c r="WFI103" s="4"/>
      <c r="WFJ103" s="4"/>
      <c r="WFK103" s="4"/>
      <c r="WFL103" s="4"/>
      <c r="WFM103" s="4"/>
      <c r="WFN103" s="4"/>
      <c r="WFO103" s="4"/>
      <c r="WFP103" s="4"/>
      <c r="WFQ103" s="4"/>
      <c r="WFR103" s="4"/>
      <c r="WFS103" s="4"/>
      <c r="WFT103" s="4"/>
      <c r="WFU103" s="4"/>
      <c r="WFV103" s="4"/>
      <c r="WFW103" s="4"/>
      <c r="WFX103" s="4"/>
      <c r="WFY103" s="4"/>
      <c r="WFZ103" s="4"/>
      <c r="WGA103" s="4"/>
      <c r="WGB103" s="4"/>
      <c r="WGC103" s="4"/>
      <c r="WGD103" s="4"/>
      <c r="WGE103" s="4"/>
      <c r="WGF103" s="4"/>
      <c r="WGG103" s="4"/>
      <c r="WGH103" s="4"/>
      <c r="WGI103" s="4"/>
      <c r="WGJ103" s="4"/>
      <c r="WGK103" s="4"/>
      <c r="WGL103" s="4"/>
      <c r="WGM103" s="4"/>
      <c r="WGN103" s="4"/>
      <c r="WGO103" s="4"/>
      <c r="WGP103" s="4"/>
      <c r="WGQ103" s="4"/>
      <c r="WGR103" s="4"/>
      <c r="WGS103" s="4"/>
      <c r="WGT103" s="4"/>
      <c r="WGU103" s="4"/>
      <c r="WGV103" s="4"/>
      <c r="WGW103" s="4"/>
      <c r="WGX103" s="4"/>
      <c r="WGY103" s="4"/>
      <c r="WGZ103" s="4"/>
      <c r="WHA103" s="4"/>
      <c r="WHB103" s="4"/>
      <c r="WHC103" s="4"/>
      <c r="WHD103" s="4"/>
      <c r="WHE103" s="4"/>
      <c r="WHF103" s="4"/>
      <c r="WHG103" s="4"/>
      <c r="WHH103" s="4"/>
      <c r="WHI103" s="4"/>
      <c r="WHJ103" s="4"/>
      <c r="WHK103" s="4"/>
      <c r="WHL103" s="4"/>
      <c r="WHM103" s="4"/>
      <c r="WHN103" s="4"/>
      <c r="WHO103" s="4"/>
      <c r="WHP103" s="4"/>
      <c r="WHQ103" s="4"/>
      <c r="WHR103" s="4"/>
      <c r="WHS103" s="4"/>
      <c r="WHT103" s="4"/>
      <c r="WHU103" s="4"/>
      <c r="WHV103" s="4"/>
      <c r="WHW103" s="4"/>
      <c r="WHX103" s="4"/>
      <c r="WHY103" s="4"/>
      <c r="WHZ103" s="4"/>
      <c r="WIA103" s="4"/>
      <c r="WIB103" s="4"/>
      <c r="WIC103" s="4"/>
      <c r="WID103" s="4"/>
      <c r="WIE103" s="4"/>
      <c r="WIF103" s="4"/>
      <c r="WIG103" s="4"/>
      <c r="WIH103" s="4"/>
      <c r="WII103" s="4"/>
      <c r="WIJ103" s="4"/>
      <c r="WIK103" s="4"/>
      <c r="WIL103" s="4"/>
      <c r="WIM103" s="4"/>
      <c r="WIN103" s="4"/>
      <c r="WIO103" s="4"/>
      <c r="WIP103" s="4"/>
      <c r="WIQ103" s="4"/>
      <c r="WIR103" s="4"/>
      <c r="WIS103" s="4"/>
      <c r="WIT103" s="4"/>
      <c r="WIU103" s="4"/>
      <c r="WIV103" s="4"/>
      <c r="WIW103" s="4"/>
      <c r="WIX103" s="4"/>
      <c r="WIY103" s="4"/>
      <c r="WIZ103" s="4"/>
      <c r="WJA103" s="4"/>
      <c r="WJB103" s="4"/>
      <c r="WJC103" s="4"/>
      <c r="WJD103" s="4"/>
      <c r="WJE103" s="4"/>
      <c r="WJF103" s="4"/>
      <c r="WJG103" s="4"/>
      <c r="WJH103" s="4"/>
      <c r="WJI103" s="4"/>
      <c r="WJJ103" s="4"/>
      <c r="WJK103" s="4"/>
      <c r="WJL103" s="4"/>
      <c r="WJM103" s="4"/>
      <c r="WJN103" s="4"/>
      <c r="WJO103" s="4"/>
      <c r="WJP103" s="4"/>
      <c r="WJQ103" s="4"/>
      <c r="WJR103" s="4"/>
      <c r="WJS103" s="4"/>
      <c r="WJT103" s="4"/>
      <c r="WJU103" s="4"/>
      <c r="WJV103" s="4"/>
      <c r="WJW103" s="4"/>
      <c r="WJX103" s="4"/>
      <c r="WJY103" s="4"/>
      <c r="WJZ103" s="4"/>
      <c r="WKA103" s="4"/>
      <c r="WKB103" s="4"/>
      <c r="WKC103" s="4"/>
      <c r="WKD103" s="4"/>
      <c r="WKE103" s="4"/>
      <c r="WKF103" s="4"/>
      <c r="WKG103" s="4"/>
      <c r="WKH103" s="4"/>
      <c r="WKI103" s="4"/>
      <c r="WKJ103" s="4"/>
      <c r="WKK103" s="4"/>
      <c r="WKL103" s="4"/>
      <c r="WKM103" s="4"/>
      <c r="WKN103" s="4"/>
      <c r="WKO103" s="4"/>
      <c r="WKP103" s="4"/>
      <c r="WKQ103" s="4"/>
      <c r="WKR103" s="4"/>
      <c r="WKS103" s="4"/>
      <c r="WKT103" s="4"/>
      <c r="WKU103" s="4"/>
      <c r="WKV103" s="4"/>
      <c r="WKW103" s="4"/>
      <c r="WKX103" s="4"/>
      <c r="WKY103" s="4"/>
      <c r="WKZ103" s="4"/>
      <c r="WLA103" s="4"/>
      <c r="WLB103" s="4"/>
      <c r="WLC103" s="4"/>
      <c r="WLD103" s="4"/>
      <c r="WLE103" s="4"/>
      <c r="WLF103" s="4"/>
      <c r="WLG103" s="4"/>
      <c r="WLH103" s="4"/>
      <c r="WLI103" s="4"/>
      <c r="WLJ103" s="4"/>
      <c r="WLK103" s="4"/>
      <c r="WLL103" s="4"/>
      <c r="WLM103" s="4"/>
      <c r="WLN103" s="4"/>
      <c r="WLO103" s="4"/>
      <c r="WLP103" s="4"/>
      <c r="WLQ103" s="4"/>
      <c r="WLR103" s="4"/>
      <c r="WLS103" s="4"/>
      <c r="WLT103" s="4"/>
      <c r="WLU103" s="4"/>
      <c r="WLV103" s="4"/>
      <c r="WLW103" s="4"/>
      <c r="WLX103" s="4"/>
      <c r="WLY103" s="4"/>
      <c r="WLZ103" s="4"/>
      <c r="WMA103" s="4"/>
      <c r="WMB103" s="4"/>
      <c r="WMC103" s="4"/>
      <c r="WMD103" s="4"/>
      <c r="WME103" s="4"/>
      <c r="WMF103" s="4"/>
      <c r="WMG103" s="4"/>
      <c r="WMH103" s="4"/>
      <c r="WMI103" s="4"/>
      <c r="WMJ103" s="4"/>
      <c r="WMK103" s="4"/>
      <c r="WML103" s="4"/>
      <c r="WMM103" s="4"/>
      <c r="WMN103" s="4"/>
      <c r="WMO103" s="4"/>
      <c r="WMP103" s="4"/>
      <c r="WMQ103" s="4"/>
      <c r="WMR103" s="4"/>
      <c r="WMS103" s="4"/>
      <c r="WMT103" s="4"/>
      <c r="WMU103" s="4"/>
      <c r="WMV103" s="4"/>
      <c r="WMW103" s="4"/>
      <c r="WMX103" s="4"/>
      <c r="WMY103" s="4"/>
      <c r="WMZ103" s="4"/>
      <c r="WNA103" s="4"/>
      <c r="WNB103" s="4"/>
      <c r="WNC103" s="4"/>
      <c r="WND103" s="4"/>
      <c r="WNE103" s="4"/>
      <c r="WNF103" s="4"/>
      <c r="WNG103" s="4"/>
      <c r="WNH103" s="4"/>
      <c r="WNI103" s="4"/>
      <c r="WNJ103" s="4"/>
      <c r="WNK103" s="4"/>
      <c r="WNL103" s="4"/>
      <c r="WNM103" s="4"/>
      <c r="WNN103" s="4"/>
      <c r="WNO103" s="4"/>
      <c r="WNP103" s="4"/>
      <c r="WNQ103" s="4"/>
      <c r="WNR103" s="4"/>
      <c r="WNS103" s="4"/>
      <c r="WNT103" s="4"/>
      <c r="WNU103" s="4"/>
      <c r="WNV103" s="4"/>
      <c r="WNW103" s="4"/>
      <c r="WNX103" s="4"/>
      <c r="WNY103" s="4"/>
      <c r="WNZ103" s="4"/>
      <c r="WOA103" s="4"/>
      <c r="WOB103" s="4"/>
      <c r="WOC103" s="4"/>
      <c r="WOD103" s="4"/>
      <c r="WOE103" s="4"/>
      <c r="WOF103" s="4"/>
      <c r="WOG103" s="4"/>
      <c r="WOH103" s="4"/>
      <c r="WOI103" s="4"/>
      <c r="WOJ103" s="4"/>
      <c r="WOK103" s="4"/>
      <c r="WOL103" s="4"/>
      <c r="WOM103" s="4"/>
      <c r="WON103" s="4"/>
      <c r="WOO103" s="4"/>
      <c r="WOP103" s="4"/>
      <c r="WOQ103" s="4"/>
      <c r="WOR103" s="4"/>
      <c r="WOS103" s="4"/>
      <c r="WOT103" s="4"/>
      <c r="WOU103" s="4"/>
      <c r="WOV103" s="4"/>
      <c r="WOW103" s="4"/>
      <c r="WOX103" s="4"/>
      <c r="WOY103" s="4"/>
      <c r="WOZ103" s="4"/>
      <c r="WPA103" s="4"/>
      <c r="WPB103" s="4"/>
      <c r="WPC103" s="4"/>
      <c r="WPD103" s="4"/>
      <c r="WPE103" s="4"/>
      <c r="WPF103" s="4"/>
      <c r="WPG103" s="4"/>
      <c r="WPH103" s="4"/>
      <c r="WPI103" s="4"/>
      <c r="WPJ103" s="4"/>
      <c r="WPK103" s="4"/>
      <c r="WPL103" s="4"/>
      <c r="WPM103" s="4"/>
      <c r="WPN103" s="4"/>
      <c r="WPO103" s="4"/>
      <c r="WPP103" s="4"/>
      <c r="WPQ103" s="4"/>
      <c r="WPR103" s="4"/>
      <c r="WPS103" s="4"/>
      <c r="WPT103" s="4"/>
      <c r="WPU103" s="4"/>
      <c r="WPV103" s="4"/>
      <c r="WPW103" s="4"/>
      <c r="WPX103" s="4"/>
      <c r="WPY103" s="4"/>
      <c r="WPZ103" s="4"/>
      <c r="WQA103" s="4"/>
      <c r="WQB103" s="4"/>
      <c r="WQC103" s="4"/>
      <c r="WQD103" s="4"/>
      <c r="WQE103" s="4"/>
      <c r="WQF103" s="4"/>
      <c r="WQG103" s="4"/>
      <c r="WQH103" s="4"/>
      <c r="WQI103" s="4"/>
      <c r="WQJ103" s="4"/>
      <c r="WQK103" s="4"/>
      <c r="WQL103" s="4"/>
      <c r="WQM103" s="4"/>
      <c r="WQN103" s="4"/>
      <c r="WQO103" s="4"/>
      <c r="WQP103" s="4"/>
      <c r="WQQ103" s="4"/>
      <c r="WQR103" s="4"/>
      <c r="WQS103" s="4"/>
      <c r="WQT103" s="4"/>
      <c r="WQU103" s="4"/>
      <c r="WQV103" s="4"/>
      <c r="WQW103" s="4"/>
      <c r="WQX103" s="4"/>
      <c r="WQY103" s="4"/>
      <c r="WQZ103" s="4"/>
      <c r="WRA103" s="4"/>
      <c r="WRB103" s="4"/>
      <c r="WRC103" s="4"/>
      <c r="WRD103" s="4"/>
      <c r="WRE103" s="4"/>
      <c r="WRF103" s="4"/>
      <c r="WRG103" s="4"/>
      <c r="WRH103" s="4"/>
      <c r="WRI103" s="4"/>
      <c r="WRJ103" s="4"/>
      <c r="WRK103" s="4"/>
      <c r="WRL103" s="4"/>
      <c r="WRM103" s="4"/>
      <c r="WRN103" s="4"/>
      <c r="WRO103" s="4"/>
      <c r="WRP103" s="4"/>
      <c r="WRQ103" s="4"/>
      <c r="WRR103" s="4"/>
      <c r="WRS103" s="4"/>
      <c r="WRT103" s="4"/>
      <c r="WRU103" s="4"/>
      <c r="WRV103" s="4"/>
      <c r="WRW103" s="4"/>
      <c r="WRX103" s="4"/>
      <c r="WRY103" s="4"/>
      <c r="WRZ103" s="4"/>
      <c r="WSA103" s="4"/>
      <c r="WSB103" s="4"/>
      <c r="WSC103" s="4"/>
      <c r="WSD103" s="4"/>
      <c r="WSE103" s="4"/>
      <c r="WSF103" s="4"/>
      <c r="WSG103" s="4"/>
      <c r="WSH103" s="4"/>
      <c r="WSI103" s="4"/>
      <c r="WSJ103" s="4"/>
      <c r="WSK103" s="4"/>
      <c r="WSL103" s="4"/>
      <c r="WSM103" s="4"/>
      <c r="WSN103" s="4"/>
      <c r="WSO103" s="4"/>
      <c r="WSP103" s="4"/>
      <c r="WSQ103" s="4"/>
      <c r="WSR103" s="4"/>
      <c r="WSS103" s="4"/>
      <c r="WST103" s="4"/>
      <c r="WSU103" s="4"/>
      <c r="WSV103" s="4"/>
      <c r="WSW103" s="4"/>
      <c r="WSX103" s="4"/>
      <c r="WSY103" s="4"/>
      <c r="WSZ103" s="4"/>
      <c r="WTA103" s="4"/>
      <c r="WTB103" s="4"/>
      <c r="WTC103" s="4"/>
      <c r="WTD103" s="4"/>
      <c r="WTE103" s="4"/>
      <c r="WTF103" s="4"/>
      <c r="WTG103" s="4"/>
      <c r="WTH103" s="4"/>
      <c r="WTI103" s="4"/>
      <c r="WTJ103" s="4"/>
      <c r="WTK103" s="4"/>
      <c r="WTL103" s="4"/>
      <c r="WTM103" s="4"/>
      <c r="WTN103" s="4"/>
      <c r="WTO103" s="4"/>
      <c r="WTP103" s="4"/>
      <c r="WTQ103" s="4"/>
      <c r="WTR103" s="4"/>
      <c r="WTS103" s="4"/>
      <c r="WTT103" s="4"/>
      <c r="WTU103" s="4"/>
      <c r="WTV103" s="4"/>
      <c r="WTW103" s="4"/>
      <c r="WTX103" s="4"/>
      <c r="WTY103" s="4"/>
      <c r="WTZ103" s="4"/>
      <c r="WUA103" s="4"/>
      <c r="WUB103" s="4"/>
      <c r="WUC103" s="4"/>
      <c r="WUD103" s="4"/>
      <c r="WUE103" s="4"/>
      <c r="WUF103" s="4"/>
      <c r="WUG103" s="4"/>
      <c r="WUH103" s="4"/>
      <c r="WUI103" s="4"/>
      <c r="WUJ103" s="4"/>
      <c r="WUK103" s="4"/>
      <c r="WUL103" s="4"/>
      <c r="WUM103" s="4"/>
      <c r="WUN103" s="4"/>
      <c r="WUO103" s="4"/>
      <c r="WUP103" s="4"/>
      <c r="WUQ103" s="4"/>
      <c r="WUR103" s="4"/>
      <c r="WUS103" s="4"/>
      <c r="WUT103" s="4"/>
      <c r="WUU103" s="4"/>
      <c r="WUV103" s="4"/>
      <c r="WUW103" s="4"/>
      <c r="WUX103" s="4"/>
      <c r="WUY103" s="4"/>
      <c r="WUZ103" s="4"/>
      <c r="WVA103" s="4"/>
      <c r="WVB103" s="4"/>
      <c r="WVC103" s="4"/>
      <c r="WVD103" s="4"/>
      <c r="WVE103" s="4"/>
      <c r="WVF103" s="4"/>
      <c r="WVG103" s="4"/>
      <c r="WVH103" s="4"/>
      <c r="WVI103" s="4"/>
      <c r="WVJ103" s="4"/>
      <c r="WVK103" s="4"/>
      <c r="WVL103" s="4"/>
      <c r="WVM103" s="4"/>
      <c r="WVN103" s="4"/>
      <c r="WVO103" s="4"/>
      <c r="WVP103" s="4"/>
      <c r="WVQ103" s="4"/>
      <c r="WVR103" s="4"/>
      <c r="WVS103" s="4"/>
      <c r="WVT103" s="4"/>
      <c r="WVU103" s="4"/>
      <c r="WVV103" s="4"/>
      <c r="WVW103" s="4"/>
      <c r="WVX103" s="4"/>
      <c r="WVY103" s="4"/>
      <c r="WVZ103" s="4"/>
      <c r="WWA103" s="4"/>
      <c r="WWB103" s="4"/>
      <c r="WWC103" s="4"/>
      <c r="WWD103" s="4"/>
      <c r="WWE103" s="4"/>
      <c r="WWF103" s="4"/>
      <c r="WWG103" s="4"/>
      <c r="WWH103" s="4"/>
      <c r="WWI103" s="4"/>
      <c r="WWJ103" s="4"/>
      <c r="WWK103" s="4"/>
      <c r="WWL103" s="4"/>
      <c r="WWM103" s="4"/>
      <c r="WWN103" s="4"/>
      <c r="WWO103" s="4"/>
      <c r="WWP103" s="4"/>
      <c r="WWQ103" s="4"/>
      <c r="WWR103" s="4"/>
      <c r="WWS103" s="4"/>
      <c r="WWT103" s="4"/>
      <c r="WWU103" s="4"/>
      <c r="WWV103" s="4"/>
      <c r="WWW103" s="4"/>
      <c r="WWX103" s="4"/>
      <c r="WWY103" s="4"/>
      <c r="WWZ103" s="4"/>
      <c r="WXA103" s="4"/>
      <c r="WXB103" s="4"/>
      <c r="WXC103" s="4"/>
      <c r="WXD103" s="4"/>
      <c r="WXE103" s="4"/>
      <c r="WXF103" s="4"/>
      <c r="WXG103" s="4"/>
      <c r="WXH103" s="4"/>
      <c r="WXI103" s="4"/>
      <c r="WXJ103" s="4"/>
      <c r="WXK103" s="4"/>
      <c r="WXL103" s="4"/>
      <c r="WXM103" s="4"/>
      <c r="WXN103" s="4"/>
      <c r="WXO103" s="4"/>
      <c r="WXP103" s="4"/>
      <c r="WXQ103" s="4"/>
      <c r="WXR103" s="4"/>
      <c r="WXS103" s="4"/>
      <c r="WXT103" s="4"/>
      <c r="WXU103" s="4"/>
      <c r="WXV103" s="4"/>
      <c r="WXW103" s="4"/>
      <c r="WXX103" s="4"/>
      <c r="WXY103" s="4"/>
      <c r="WXZ103" s="4"/>
      <c r="WYA103" s="4"/>
      <c r="WYB103" s="4"/>
      <c r="WYC103" s="4"/>
      <c r="WYD103" s="4"/>
      <c r="WYE103" s="4"/>
      <c r="WYF103" s="4"/>
      <c r="WYG103" s="4"/>
      <c r="WYH103" s="4"/>
      <c r="WYI103" s="4"/>
      <c r="WYJ103" s="4"/>
      <c r="WYK103" s="4"/>
      <c r="WYL103" s="4"/>
      <c r="WYM103" s="4"/>
      <c r="WYN103" s="4"/>
      <c r="WYO103" s="4"/>
      <c r="WYP103" s="4"/>
      <c r="WYQ103" s="4"/>
      <c r="WYR103" s="4"/>
      <c r="WYS103" s="4"/>
      <c r="WYT103" s="4"/>
      <c r="WYU103" s="4"/>
      <c r="WYV103" s="4"/>
      <c r="WYW103" s="4"/>
      <c r="WYX103" s="4"/>
      <c r="WYY103" s="4"/>
      <c r="WYZ103" s="4"/>
      <c r="WZA103" s="4"/>
      <c r="WZB103" s="4"/>
      <c r="WZC103" s="4"/>
      <c r="WZD103" s="4"/>
      <c r="WZE103" s="4"/>
      <c r="WZF103" s="4"/>
      <c r="WZG103" s="4"/>
      <c r="WZH103" s="4"/>
      <c r="WZI103" s="4"/>
      <c r="WZJ103" s="4"/>
      <c r="WZK103" s="4"/>
      <c r="WZL103" s="4"/>
      <c r="WZM103" s="4"/>
      <c r="WZN103" s="4"/>
      <c r="WZO103" s="4"/>
      <c r="WZP103" s="4"/>
      <c r="WZQ103" s="4"/>
      <c r="WZR103" s="4"/>
      <c r="WZS103" s="4"/>
      <c r="WZT103" s="4"/>
      <c r="WZU103" s="4"/>
      <c r="WZV103" s="4"/>
      <c r="WZW103" s="4"/>
      <c r="WZX103" s="4"/>
      <c r="WZY103" s="4"/>
      <c r="WZZ103" s="4"/>
      <c r="XAA103" s="4"/>
      <c r="XAB103" s="4"/>
      <c r="XAC103" s="4"/>
      <c r="XAD103" s="4"/>
      <c r="XAE103" s="4"/>
      <c r="XAF103" s="4"/>
      <c r="XAG103" s="4"/>
      <c r="XAH103" s="4"/>
      <c r="XAI103" s="4"/>
      <c r="XAJ103" s="4"/>
      <c r="XAK103" s="4"/>
      <c r="XAL103" s="4"/>
      <c r="XAM103" s="4"/>
      <c r="XAN103" s="4"/>
      <c r="XAO103" s="4"/>
      <c r="XAP103" s="4"/>
      <c r="XAQ103" s="4"/>
      <c r="XAR103" s="4"/>
      <c r="XAS103" s="4"/>
      <c r="XAT103" s="4"/>
      <c r="XAU103" s="4"/>
      <c r="XAV103" s="4"/>
      <c r="XAW103" s="4"/>
      <c r="XAX103" s="4"/>
      <c r="XAY103" s="4"/>
      <c r="XAZ103" s="4"/>
      <c r="XBA103" s="4"/>
      <c r="XBB103" s="4"/>
      <c r="XBC103" s="4"/>
      <c r="XBD103" s="4"/>
      <c r="XBE103" s="4"/>
      <c r="XBF103" s="4"/>
      <c r="XBG103" s="4"/>
      <c r="XBH103" s="4"/>
      <c r="XBI103" s="4"/>
      <c r="XBJ103" s="4"/>
      <c r="XBK103" s="4"/>
      <c r="XBL103" s="4"/>
      <c r="XBM103" s="4"/>
      <c r="XBN103" s="4"/>
      <c r="XBO103" s="4"/>
      <c r="XBP103" s="4"/>
      <c r="XBQ103" s="4"/>
      <c r="XBR103" s="4"/>
      <c r="XBS103" s="4"/>
      <c r="XBT103" s="4"/>
      <c r="XBU103" s="4"/>
      <c r="XBV103" s="4"/>
      <c r="XBW103" s="4"/>
      <c r="XBX103" s="4"/>
      <c r="XBY103" s="4"/>
      <c r="XBZ103" s="4"/>
      <c r="XCA103" s="4"/>
      <c r="XCB103" s="4"/>
      <c r="XCC103" s="4"/>
      <c r="XCD103" s="4"/>
      <c r="XCE103" s="4"/>
      <c r="XCF103" s="4"/>
      <c r="XCG103" s="4"/>
      <c r="XCH103" s="4"/>
      <c r="XCI103" s="4"/>
      <c r="XCJ103" s="4"/>
      <c r="XCK103" s="4"/>
      <c r="XCL103" s="4"/>
      <c r="XCM103" s="4"/>
      <c r="XCN103" s="4"/>
      <c r="XCO103" s="4"/>
      <c r="XCP103" s="4"/>
      <c r="XCQ103" s="4"/>
      <c r="XCR103" s="4"/>
      <c r="XCS103" s="4"/>
      <c r="XCT103" s="4"/>
      <c r="XCU103" s="4"/>
      <c r="XCV103" s="4"/>
      <c r="XCW103" s="4"/>
      <c r="XCX103" s="4"/>
      <c r="XCY103" s="4"/>
      <c r="XCZ103" s="4"/>
      <c r="XDA103" s="4"/>
      <c r="XDB103" s="4"/>
      <c r="XDC103" s="4"/>
      <c r="XDD103" s="4"/>
      <c r="XDE103" s="4"/>
      <c r="XDF103" s="4"/>
      <c r="XDG103" s="4"/>
      <c r="XDH103" s="4"/>
      <c r="XDI103" s="4"/>
      <c r="XDJ103" s="4"/>
      <c r="XDK103" s="4"/>
      <c r="XDL103" s="4"/>
      <c r="XDM103" s="4"/>
      <c r="XDN103" s="4"/>
      <c r="XDO103" s="4"/>
      <c r="XDP103" s="4"/>
      <c r="XDQ103" s="4"/>
      <c r="XDR103" s="4"/>
      <c r="XDS103" s="4"/>
      <c r="XDT103" s="4"/>
      <c r="XDU103" s="4"/>
      <c r="XDV103" s="4"/>
      <c r="XDW103" s="4"/>
      <c r="XDX103" s="4"/>
      <c r="XDY103" s="4"/>
      <c r="XDZ103" s="4"/>
      <c r="XEA103" s="4"/>
      <c r="XEB103" s="4"/>
      <c r="XEC103" s="4"/>
      <c r="XED103" s="4"/>
      <c r="XEE103" s="4"/>
      <c r="XEF103" s="4"/>
      <c r="XEG103" s="4"/>
      <c r="XEH103" s="4"/>
      <c r="XEI103" s="4"/>
      <c r="XEJ103" s="4"/>
      <c r="XEK103" s="4"/>
      <c r="XEL103" s="4"/>
      <c r="XEM103" s="4"/>
      <c r="XEN103" s="4"/>
      <c r="XEO103" s="4"/>
      <c r="XEP103" s="4"/>
      <c r="XEQ103" s="4"/>
      <c r="XER103" s="4"/>
      <c r="XES103" s="4"/>
      <c r="XET103" s="4"/>
      <c r="XEU103" s="4"/>
      <c r="XEV103" s="4"/>
      <c r="XEW103" s="4"/>
      <c r="XEX103" s="4"/>
      <c r="XEY103" s="4"/>
      <c r="XEZ103" s="4"/>
      <c r="XFA103" s="4"/>
      <c r="XFB103" s="4"/>
    </row>
    <row r="104" spans="1:16382" ht="18" x14ac:dyDescent="0.25">
      <c r="A104" s="422" t="s">
        <v>2970</v>
      </c>
      <c r="B104" s="422"/>
      <c r="C104" s="30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  <c r="ADQ104" s="4"/>
      <c r="ADR104" s="4"/>
      <c r="ADS104" s="4"/>
      <c r="ADT104" s="4"/>
      <c r="ADU104" s="4"/>
      <c r="ADV104" s="4"/>
      <c r="ADW104" s="4"/>
      <c r="ADX104" s="4"/>
      <c r="ADY104" s="4"/>
      <c r="ADZ104" s="4"/>
      <c r="AEA104" s="4"/>
      <c r="AEB104" s="4"/>
      <c r="AEC104" s="4"/>
      <c r="AED104" s="4"/>
      <c r="AEE104" s="4"/>
      <c r="AEF104" s="4"/>
      <c r="AEG104" s="4"/>
      <c r="AEH104" s="4"/>
      <c r="AEI104" s="4"/>
      <c r="AEJ104" s="4"/>
      <c r="AEK104" s="4"/>
      <c r="AEL104" s="4"/>
      <c r="AEM104" s="4"/>
      <c r="AEN104" s="4"/>
      <c r="AEO104" s="4"/>
      <c r="AEP104" s="4"/>
      <c r="AEQ104" s="4"/>
      <c r="AER104" s="4"/>
      <c r="AES104" s="4"/>
      <c r="AET104" s="4"/>
      <c r="AEU104" s="4"/>
      <c r="AEV104" s="4"/>
      <c r="AEW104" s="4"/>
      <c r="AEX104" s="4"/>
      <c r="AEY104" s="4"/>
      <c r="AEZ104" s="4"/>
      <c r="AFA104" s="4"/>
      <c r="AFB104" s="4"/>
      <c r="AFC104" s="4"/>
      <c r="AFD104" s="4"/>
      <c r="AFE104" s="4"/>
      <c r="AFF104" s="4"/>
      <c r="AFG104" s="4"/>
      <c r="AFH104" s="4"/>
      <c r="AFI104" s="4"/>
      <c r="AFJ104" s="4"/>
      <c r="AFK104" s="4"/>
      <c r="AFL104" s="4"/>
      <c r="AFM104" s="4"/>
      <c r="AFN104" s="4"/>
      <c r="AFO104" s="4"/>
      <c r="AFP104" s="4"/>
      <c r="AFQ104" s="4"/>
      <c r="AFR104" s="4"/>
      <c r="AFS104" s="4"/>
      <c r="AFT104" s="4"/>
      <c r="AFU104" s="4"/>
      <c r="AFV104" s="4"/>
      <c r="AFW104" s="4"/>
      <c r="AFX104" s="4"/>
      <c r="AFY104" s="4"/>
      <c r="AFZ104" s="4"/>
      <c r="AGA104" s="4"/>
      <c r="AGB104" s="4"/>
      <c r="AGC104" s="4"/>
      <c r="AGD104" s="4"/>
      <c r="AGE104" s="4"/>
      <c r="AGF104" s="4"/>
      <c r="AGG104" s="4"/>
      <c r="AGH104" s="4"/>
      <c r="AGI104" s="4"/>
      <c r="AGJ104" s="4"/>
      <c r="AGK104" s="4"/>
      <c r="AGL104" s="4"/>
      <c r="AGM104" s="4"/>
      <c r="AGN104" s="4"/>
      <c r="AGO104" s="4"/>
      <c r="AGP104" s="4"/>
      <c r="AGQ104" s="4"/>
      <c r="AGR104" s="4"/>
      <c r="AGS104" s="4"/>
      <c r="AGT104" s="4"/>
      <c r="AGU104" s="4"/>
      <c r="AGV104" s="4"/>
      <c r="AGW104" s="4"/>
      <c r="AGX104" s="4"/>
      <c r="AGY104" s="4"/>
      <c r="AGZ104" s="4"/>
      <c r="AHA104" s="4"/>
      <c r="AHB104" s="4"/>
      <c r="AHC104" s="4"/>
      <c r="AHD104" s="4"/>
      <c r="AHE104" s="4"/>
      <c r="AHF104" s="4"/>
      <c r="AHG104" s="4"/>
      <c r="AHH104" s="4"/>
      <c r="AHI104" s="4"/>
      <c r="AHJ104" s="4"/>
      <c r="AHK104" s="4"/>
      <c r="AHL104" s="4"/>
      <c r="AHM104" s="4"/>
      <c r="AHN104" s="4"/>
      <c r="AHO104" s="4"/>
      <c r="AHP104" s="4"/>
      <c r="AHQ104" s="4"/>
      <c r="AHR104" s="4"/>
      <c r="AHS104" s="4"/>
      <c r="AHT104" s="4"/>
      <c r="AHU104" s="4"/>
      <c r="AHV104" s="4"/>
      <c r="AHW104" s="4"/>
      <c r="AHX104" s="4"/>
      <c r="AHY104" s="4"/>
      <c r="AHZ104" s="4"/>
      <c r="AIA104" s="4"/>
      <c r="AIB104" s="4"/>
      <c r="AIC104" s="4"/>
      <c r="AID104" s="4"/>
      <c r="AIE104" s="4"/>
      <c r="AIF104" s="4"/>
      <c r="AIG104" s="4"/>
      <c r="AIH104" s="4"/>
      <c r="AII104" s="4"/>
      <c r="AIJ104" s="4"/>
      <c r="AIK104" s="4"/>
      <c r="AIL104" s="4"/>
      <c r="AIM104" s="4"/>
      <c r="AIN104" s="4"/>
      <c r="AIO104" s="4"/>
      <c r="AIP104" s="4"/>
      <c r="AIQ104" s="4"/>
      <c r="AIR104" s="4"/>
      <c r="AIS104" s="4"/>
      <c r="AIT104" s="4"/>
      <c r="AIU104" s="4"/>
      <c r="AIV104" s="4"/>
      <c r="AIW104" s="4"/>
      <c r="AIX104" s="4"/>
      <c r="AIY104" s="4"/>
      <c r="AIZ104" s="4"/>
      <c r="AJA104" s="4"/>
      <c r="AJB104" s="4"/>
      <c r="AJC104" s="4"/>
      <c r="AJD104" s="4"/>
      <c r="AJE104" s="4"/>
      <c r="AJF104" s="4"/>
      <c r="AJG104" s="4"/>
      <c r="AJH104" s="4"/>
      <c r="AJI104" s="4"/>
      <c r="AJJ104" s="4"/>
      <c r="AJK104" s="4"/>
      <c r="AJL104" s="4"/>
      <c r="AJM104" s="4"/>
      <c r="AJN104" s="4"/>
      <c r="AJO104" s="4"/>
      <c r="AJP104" s="4"/>
      <c r="AJQ104" s="4"/>
      <c r="AJR104" s="4"/>
      <c r="AJS104" s="4"/>
      <c r="AJT104" s="4"/>
      <c r="AJU104" s="4"/>
      <c r="AJV104" s="4"/>
      <c r="AJW104" s="4"/>
      <c r="AJX104" s="4"/>
      <c r="AJY104" s="4"/>
      <c r="AJZ104" s="4"/>
      <c r="AKA104" s="4"/>
      <c r="AKB104" s="4"/>
      <c r="AKC104" s="4"/>
      <c r="AKD104" s="4"/>
      <c r="AKE104" s="4"/>
      <c r="AKF104" s="4"/>
      <c r="AKG104" s="4"/>
      <c r="AKH104" s="4"/>
      <c r="AKI104" s="4"/>
      <c r="AKJ104" s="4"/>
      <c r="AKK104" s="4"/>
      <c r="AKL104" s="4"/>
      <c r="AKM104" s="4"/>
      <c r="AKN104" s="4"/>
      <c r="AKO104" s="4"/>
      <c r="AKP104" s="4"/>
      <c r="AKQ104" s="4"/>
      <c r="AKR104" s="4"/>
      <c r="AKS104" s="4"/>
      <c r="AKT104" s="4"/>
      <c r="AKU104" s="4"/>
      <c r="AKV104" s="4"/>
      <c r="AKW104" s="4"/>
      <c r="AKX104" s="4"/>
      <c r="AKY104" s="4"/>
      <c r="AKZ104" s="4"/>
      <c r="ALA104" s="4"/>
      <c r="ALB104" s="4"/>
      <c r="ALC104" s="4"/>
      <c r="ALD104" s="4"/>
      <c r="ALE104" s="4"/>
      <c r="ALF104" s="4"/>
      <c r="ALG104" s="4"/>
      <c r="ALH104" s="4"/>
      <c r="ALI104" s="4"/>
      <c r="ALJ104" s="4"/>
      <c r="ALK104" s="4"/>
      <c r="ALL104" s="4"/>
      <c r="ALM104" s="4"/>
      <c r="ALN104" s="4"/>
      <c r="ALO104" s="4"/>
      <c r="ALP104" s="4"/>
      <c r="ALQ104" s="4"/>
      <c r="ALR104" s="4"/>
      <c r="ALS104" s="4"/>
      <c r="ALT104" s="4"/>
      <c r="ALU104" s="4"/>
      <c r="ALV104" s="4"/>
      <c r="ALW104" s="4"/>
      <c r="ALX104" s="4"/>
      <c r="ALY104" s="4"/>
      <c r="ALZ104" s="4"/>
      <c r="AMA104" s="4"/>
      <c r="AMB104" s="4"/>
      <c r="AMC104" s="4"/>
      <c r="AMD104" s="4"/>
      <c r="AME104" s="4"/>
      <c r="AMF104" s="4"/>
      <c r="AMG104" s="4"/>
      <c r="AMH104" s="4"/>
      <c r="AMI104" s="4"/>
      <c r="AMJ104" s="4"/>
      <c r="AMK104" s="4"/>
      <c r="AML104" s="4"/>
      <c r="AMM104" s="4"/>
      <c r="AMN104" s="4"/>
      <c r="AMO104" s="4"/>
      <c r="AMP104" s="4"/>
      <c r="AMQ104" s="4"/>
      <c r="AMR104" s="4"/>
      <c r="AMS104" s="4"/>
      <c r="AMT104" s="4"/>
      <c r="AMU104" s="4"/>
      <c r="AMV104" s="4"/>
      <c r="AMW104" s="4"/>
      <c r="AMX104" s="4"/>
      <c r="AMY104" s="4"/>
      <c r="AMZ104" s="4"/>
      <c r="ANA104" s="4"/>
      <c r="ANB104" s="4"/>
      <c r="ANC104" s="4"/>
      <c r="AND104" s="4"/>
      <c r="ANE104" s="4"/>
      <c r="ANF104" s="4"/>
      <c r="ANG104" s="4"/>
      <c r="ANH104" s="4"/>
      <c r="ANI104" s="4"/>
      <c r="ANJ104" s="4"/>
      <c r="ANK104" s="4"/>
      <c r="ANL104" s="4"/>
      <c r="ANM104" s="4"/>
      <c r="ANN104" s="4"/>
      <c r="ANO104" s="4"/>
      <c r="ANP104" s="4"/>
      <c r="ANQ104" s="4"/>
      <c r="ANR104" s="4"/>
      <c r="ANS104" s="4"/>
      <c r="ANT104" s="4"/>
      <c r="ANU104" s="4"/>
      <c r="ANV104" s="4"/>
      <c r="ANW104" s="4"/>
      <c r="ANX104" s="4"/>
      <c r="ANY104" s="4"/>
      <c r="ANZ104" s="4"/>
      <c r="AOA104" s="4"/>
      <c r="AOB104" s="4"/>
      <c r="AOC104" s="4"/>
      <c r="AOD104" s="4"/>
      <c r="AOE104" s="4"/>
      <c r="AOF104" s="4"/>
      <c r="AOG104" s="4"/>
      <c r="AOH104" s="4"/>
      <c r="AOI104" s="4"/>
      <c r="AOJ104" s="4"/>
      <c r="AOK104" s="4"/>
      <c r="AOL104" s="4"/>
      <c r="AOM104" s="4"/>
      <c r="AON104" s="4"/>
      <c r="AOO104" s="4"/>
      <c r="AOP104" s="4"/>
      <c r="AOQ104" s="4"/>
      <c r="AOR104" s="4"/>
      <c r="AOS104" s="4"/>
      <c r="AOT104" s="4"/>
      <c r="AOU104" s="4"/>
      <c r="AOV104" s="4"/>
      <c r="AOW104" s="4"/>
      <c r="AOX104" s="4"/>
      <c r="AOY104" s="4"/>
      <c r="AOZ104" s="4"/>
      <c r="APA104" s="4"/>
      <c r="APB104" s="4"/>
      <c r="APC104" s="4"/>
      <c r="APD104" s="4"/>
      <c r="APE104" s="4"/>
      <c r="APF104" s="4"/>
      <c r="APG104" s="4"/>
      <c r="APH104" s="4"/>
      <c r="API104" s="4"/>
      <c r="APJ104" s="4"/>
      <c r="APK104" s="4"/>
      <c r="APL104" s="4"/>
      <c r="APM104" s="4"/>
      <c r="APN104" s="4"/>
      <c r="APO104" s="4"/>
      <c r="APP104" s="4"/>
      <c r="APQ104" s="4"/>
      <c r="APR104" s="4"/>
      <c r="APS104" s="4"/>
      <c r="APT104" s="4"/>
      <c r="APU104" s="4"/>
      <c r="APV104" s="4"/>
      <c r="APW104" s="4"/>
      <c r="APX104" s="4"/>
      <c r="APY104" s="4"/>
      <c r="APZ104" s="4"/>
      <c r="AQA104" s="4"/>
      <c r="AQB104" s="4"/>
      <c r="AQC104" s="4"/>
      <c r="AQD104" s="4"/>
      <c r="AQE104" s="4"/>
      <c r="AQF104" s="4"/>
      <c r="AQG104" s="4"/>
      <c r="AQH104" s="4"/>
      <c r="AQI104" s="4"/>
      <c r="AQJ104" s="4"/>
      <c r="AQK104" s="4"/>
      <c r="AQL104" s="4"/>
      <c r="AQM104" s="4"/>
      <c r="AQN104" s="4"/>
      <c r="AQO104" s="4"/>
      <c r="AQP104" s="4"/>
      <c r="AQQ104" s="4"/>
      <c r="AQR104" s="4"/>
      <c r="AQS104" s="4"/>
      <c r="AQT104" s="4"/>
      <c r="AQU104" s="4"/>
      <c r="AQV104" s="4"/>
      <c r="AQW104" s="4"/>
      <c r="AQX104" s="4"/>
      <c r="AQY104" s="4"/>
      <c r="AQZ104" s="4"/>
      <c r="ARA104" s="4"/>
      <c r="ARB104" s="4"/>
      <c r="ARC104" s="4"/>
      <c r="ARD104" s="4"/>
      <c r="ARE104" s="4"/>
      <c r="ARF104" s="4"/>
      <c r="ARG104" s="4"/>
      <c r="ARH104" s="4"/>
      <c r="ARI104" s="4"/>
      <c r="ARJ104" s="4"/>
      <c r="ARK104" s="4"/>
      <c r="ARL104" s="4"/>
      <c r="ARM104" s="4"/>
      <c r="ARN104" s="4"/>
      <c r="ARO104" s="4"/>
      <c r="ARP104" s="4"/>
      <c r="ARQ104" s="4"/>
      <c r="ARR104" s="4"/>
      <c r="ARS104" s="4"/>
      <c r="ART104" s="4"/>
      <c r="ARU104" s="4"/>
      <c r="ARV104" s="4"/>
      <c r="ARW104" s="4"/>
      <c r="ARX104" s="4"/>
      <c r="ARY104" s="4"/>
      <c r="ARZ104" s="4"/>
      <c r="ASA104" s="4"/>
      <c r="ASB104" s="4"/>
      <c r="ASC104" s="4"/>
      <c r="ASD104" s="4"/>
      <c r="ASE104" s="4"/>
      <c r="ASF104" s="4"/>
      <c r="ASG104" s="4"/>
      <c r="ASH104" s="4"/>
      <c r="ASI104" s="4"/>
      <c r="ASJ104" s="4"/>
      <c r="ASK104" s="4"/>
      <c r="ASL104" s="4"/>
      <c r="ASM104" s="4"/>
      <c r="ASN104" s="4"/>
      <c r="ASO104" s="4"/>
      <c r="ASP104" s="4"/>
      <c r="ASQ104" s="4"/>
      <c r="ASR104" s="4"/>
      <c r="ASS104" s="4"/>
      <c r="AST104" s="4"/>
      <c r="ASU104" s="4"/>
      <c r="ASV104" s="4"/>
      <c r="ASW104" s="4"/>
      <c r="ASX104" s="4"/>
      <c r="ASY104" s="4"/>
      <c r="ASZ104" s="4"/>
      <c r="ATA104" s="4"/>
      <c r="ATB104" s="4"/>
      <c r="ATC104" s="4"/>
      <c r="ATD104" s="4"/>
      <c r="ATE104" s="4"/>
      <c r="ATF104" s="4"/>
      <c r="ATG104" s="4"/>
      <c r="ATH104" s="4"/>
      <c r="ATI104" s="4"/>
      <c r="ATJ104" s="4"/>
      <c r="ATK104" s="4"/>
      <c r="ATL104" s="4"/>
      <c r="ATM104" s="4"/>
      <c r="ATN104" s="4"/>
      <c r="ATO104" s="4"/>
      <c r="ATP104" s="4"/>
      <c r="ATQ104" s="4"/>
      <c r="ATR104" s="4"/>
      <c r="ATS104" s="4"/>
      <c r="ATT104" s="4"/>
      <c r="ATU104" s="4"/>
      <c r="ATV104" s="4"/>
      <c r="ATW104" s="4"/>
      <c r="ATX104" s="4"/>
      <c r="ATY104" s="4"/>
      <c r="ATZ104" s="4"/>
      <c r="AUA104" s="4"/>
      <c r="AUB104" s="4"/>
      <c r="AUC104" s="4"/>
      <c r="AUD104" s="4"/>
      <c r="AUE104" s="4"/>
      <c r="AUF104" s="4"/>
      <c r="AUG104" s="4"/>
      <c r="AUH104" s="4"/>
      <c r="AUI104" s="4"/>
      <c r="AUJ104" s="4"/>
      <c r="AUK104" s="4"/>
      <c r="AUL104" s="4"/>
      <c r="AUM104" s="4"/>
      <c r="AUN104" s="4"/>
      <c r="AUO104" s="4"/>
      <c r="AUP104" s="4"/>
      <c r="AUQ104" s="4"/>
      <c r="AUR104" s="4"/>
      <c r="AUS104" s="4"/>
      <c r="AUT104" s="4"/>
      <c r="AUU104" s="4"/>
      <c r="AUV104" s="4"/>
      <c r="AUW104" s="4"/>
      <c r="AUX104" s="4"/>
      <c r="AUY104" s="4"/>
      <c r="AUZ104" s="4"/>
      <c r="AVA104" s="4"/>
      <c r="AVB104" s="4"/>
      <c r="AVC104" s="4"/>
      <c r="AVD104" s="4"/>
      <c r="AVE104" s="4"/>
      <c r="AVF104" s="4"/>
      <c r="AVG104" s="4"/>
      <c r="AVH104" s="4"/>
      <c r="AVI104" s="4"/>
      <c r="AVJ104" s="4"/>
      <c r="AVK104" s="4"/>
      <c r="AVL104" s="4"/>
      <c r="AVM104" s="4"/>
      <c r="AVN104" s="4"/>
      <c r="AVO104" s="4"/>
      <c r="AVP104" s="4"/>
      <c r="AVQ104" s="4"/>
      <c r="AVR104" s="4"/>
      <c r="AVS104" s="4"/>
      <c r="AVT104" s="4"/>
      <c r="AVU104" s="4"/>
      <c r="AVV104" s="4"/>
      <c r="AVW104" s="4"/>
      <c r="AVX104" s="4"/>
      <c r="AVY104" s="4"/>
      <c r="AVZ104" s="4"/>
      <c r="AWA104" s="4"/>
      <c r="AWB104" s="4"/>
      <c r="AWC104" s="4"/>
      <c r="AWD104" s="4"/>
      <c r="AWE104" s="4"/>
      <c r="AWF104" s="4"/>
      <c r="AWG104" s="4"/>
      <c r="AWH104" s="4"/>
      <c r="AWI104" s="4"/>
      <c r="AWJ104" s="4"/>
      <c r="AWK104" s="4"/>
      <c r="AWL104" s="4"/>
      <c r="AWM104" s="4"/>
      <c r="AWN104" s="4"/>
      <c r="AWO104" s="4"/>
      <c r="AWP104" s="4"/>
      <c r="AWQ104" s="4"/>
      <c r="AWR104" s="4"/>
      <c r="AWS104" s="4"/>
      <c r="AWT104" s="4"/>
      <c r="AWU104" s="4"/>
      <c r="AWV104" s="4"/>
      <c r="AWW104" s="4"/>
      <c r="AWX104" s="4"/>
      <c r="AWY104" s="4"/>
      <c r="AWZ104" s="4"/>
      <c r="AXA104" s="4"/>
      <c r="AXB104" s="4"/>
      <c r="AXC104" s="4"/>
      <c r="AXD104" s="4"/>
      <c r="AXE104" s="4"/>
      <c r="AXF104" s="4"/>
      <c r="AXG104" s="4"/>
      <c r="AXH104" s="4"/>
      <c r="AXI104" s="4"/>
      <c r="AXJ104" s="4"/>
      <c r="AXK104" s="4"/>
      <c r="AXL104" s="4"/>
      <c r="AXM104" s="4"/>
      <c r="AXN104" s="4"/>
      <c r="AXO104" s="4"/>
      <c r="AXP104" s="4"/>
      <c r="AXQ104" s="4"/>
      <c r="AXR104" s="4"/>
      <c r="AXS104" s="4"/>
      <c r="AXT104" s="4"/>
      <c r="AXU104" s="4"/>
      <c r="AXV104" s="4"/>
      <c r="AXW104" s="4"/>
      <c r="AXX104" s="4"/>
      <c r="AXY104" s="4"/>
      <c r="AXZ104" s="4"/>
      <c r="AYA104" s="4"/>
      <c r="AYB104" s="4"/>
      <c r="AYC104" s="4"/>
      <c r="AYD104" s="4"/>
      <c r="AYE104" s="4"/>
      <c r="AYF104" s="4"/>
      <c r="AYG104" s="4"/>
      <c r="AYH104" s="4"/>
      <c r="AYI104" s="4"/>
      <c r="AYJ104" s="4"/>
      <c r="AYK104" s="4"/>
      <c r="AYL104" s="4"/>
      <c r="AYM104" s="4"/>
      <c r="AYN104" s="4"/>
      <c r="AYO104" s="4"/>
      <c r="AYP104" s="4"/>
      <c r="AYQ104" s="4"/>
      <c r="AYR104" s="4"/>
      <c r="AYS104" s="4"/>
      <c r="AYT104" s="4"/>
      <c r="AYU104" s="4"/>
      <c r="AYV104" s="4"/>
      <c r="AYW104" s="4"/>
      <c r="AYX104" s="4"/>
      <c r="AYY104" s="4"/>
      <c r="AYZ104" s="4"/>
      <c r="AZA104" s="4"/>
      <c r="AZB104" s="4"/>
      <c r="AZC104" s="4"/>
      <c r="AZD104" s="4"/>
      <c r="AZE104" s="4"/>
      <c r="AZF104" s="4"/>
      <c r="AZG104" s="4"/>
      <c r="AZH104" s="4"/>
      <c r="AZI104" s="4"/>
      <c r="AZJ104" s="4"/>
      <c r="AZK104" s="4"/>
      <c r="AZL104" s="4"/>
      <c r="AZM104" s="4"/>
      <c r="AZN104" s="4"/>
      <c r="AZO104" s="4"/>
      <c r="AZP104" s="4"/>
      <c r="AZQ104" s="4"/>
      <c r="AZR104" s="4"/>
      <c r="AZS104" s="4"/>
      <c r="AZT104" s="4"/>
      <c r="AZU104" s="4"/>
      <c r="AZV104" s="4"/>
      <c r="AZW104" s="4"/>
      <c r="AZX104" s="4"/>
      <c r="AZY104" s="4"/>
      <c r="AZZ104" s="4"/>
      <c r="BAA104" s="4"/>
      <c r="BAB104" s="4"/>
      <c r="BAC104" s="4"/>
      <c r="BAD104" s="4"/>
      <c r="BAE104" s="4"/>
      <c r="BAF104" s="4"/>
      <c r="BAG104" s="4"/>
      <c r="BAH104" s="4"/>
      <c r="BAI104" s="4"/>
      <c r="BAJ104" s="4"/>
      <c r="BAK104" s="4"/>
      <c r="BAL104" s="4"/>
      <c r="BAM104" s="4"/>
      <c r="BAN104" s="4"/>
      <c r="BAO104" s="4"/>
      <c r="BAP104" s="4"/>
      <c r="BAQ104" s="4"/>
      <c r="BAR104" s="4"/>
      <c r="BAS104" s="4"/>
      <c r="BAT104" s="4"/>
      <c r="BAU104" s="4"/>
      <c r="BAV104" s="4"/>
      <c r="BAW104" s="4"/>
      <c r="BAX104" s="4"/>
      <c r="BAY104" s="4"/>
      <c r="BAZ104" s="4"/>
      <c r="BBA104" s="4"/>
      <c r="BBB104" s="4"/>
      <c r="BBC104" s="4"/>
      <c r="BBD104" s="4"/>
      <c r="BBE104" s="4"/>
      <c r="BBF104" s="4"/>
      <c r="BBG104" s="4"/>
      <c r="BBH104" s="4"/>
      <c r="BBI104" s="4"/>
      <c r="BBJ104" s="4"/>
      <c r="BBK104" s="4"/>
      <c r="BBL104" s="4"/>
      <c r="BBM104" s="4"/>
      <c r="BBN104" s="4"/>
      <c r="BBO104" s="4"/>
      <c r="BBP104" s="4"/>
      <c r="BBQ104" s="4"/>
      <c r="BBR104" s="4"/>
      <c r="BBS104" s="4"/>
      <c r="BBT104" s="4"/>
      <c r="BBU104" s="4"/>
      <c r="BBV104" s="4"/>
      <c r="BBW104" s="4"/>
      <c r="BBX104" s="4"/>
      <c r="BBY104" s="4"/>
      <c r="BBZ104" s="4"/>
      <c r="BCA104" s="4"/>
      <c r="BCB104" s="4"/>
      <c r="BCC104" s="4"/>
      <c r="BCD104" s="4"/>
      <c r="BCE104" s="4"/>
      <c r="BCF104" s="4"/>
      <c r="BCG104" s="4"/>
      <c r="BCH104" s="4"/>
      <c r="BCI104" s="4"/>
      <c r="BCJ104" s="4"/>
      <c r="BCK104" s="4"/>
      <c r="BCL104" s="4"/>
      <c r="BCM104" s="4"/>
      <c r="BCN104" s="4"/>
      <c r="BCO104" s="4"/>
      <c r="BCP104" s="4"/>
      <c r="BCQ104" s="4"/>
      <c r="BCR104" s="4"/>
      <c r="BCS104" s="4"/>
      <c r="BCT104" s="4"/>
      <c r="BCU104" s="4"/>
      <c r="BCV104" s="4"/>
      <c r="BCW104" s="4"/>
      <c r="BCX104" s="4"/>
      <c r="BCY104" s="4"/>
      <c r="BCZ104" s="4"/>
      <c r="BDA104" s="4"/>
      <c r="BDB104" s="4"/>
      <c r="BDC104" s="4"/>
      <c r="BDD104" s="4"/>
      <c r="BDE104" s="4"/>
      <c r="BDF104" s="4"/>
      <c r="BDG104" s="4"/>
      <c r="BDH104" s="4"/>
      <c r="BDI104" s="4"/>
      <c r="BDJ104" s="4"/>
      <c r="BDK104" s="4"/>
      <c r="BDL104" s="4"/>
      <c r="BDM104" s="4"/>
      <c r="BDN104" s="4"/>
      <c r="BDO104" s="4"/>
      <c r="BDP104" s="4"/>
      <c r="BDQ104" s="4"/>
      <c r="BDR104" s="4"/>
      <c r="BDS104" s="4"/>
      <c r="BDT104" s="4"/>
      <c r="BDU104" s="4"/>
      <c r="BDV104" s="4"/>
      <c r="BDW104" s="4"/>
      <c r="BDX104" s="4"/>
      <c r="BDY104" s="4"/>
      <c r="BDZ104" s="4"/>
      <c r="BEA104" s="4"/>
      <c r="BEB104" s="4"/>
      <c r="BEC104" s="4"/>
      <c r="BED104" s="4"/>
      <c r="BEE104" s="4"/>
      <c r="BEF104" s="4"/>
      <c r="BEG104" s="4"/>
      <c r="BEH104" s="4"/>
      <c r="BEI104" s="4"/>
      <c r="BEJ104" s="4"/>
      <c r="BEK104" s="4"/>
      <c r="BEL104" s="4"/>
      <c r="BEM104" s="4"/>
      <c r="BEN104" s="4"/>
      <c r="BEO104" s="4"/>
      <c r="BEP104" s="4"/>
      <c r="BEQ104" s="4"/>
      <c r="BER104" s="4"/>
      <c r="BES104" s="4"/>
      <c r="BET104" s="4"/>
      <c r="BEU104" s="4"/>
      <c r="BEV104" s="4"/>
      <c r="BEW104" s="4"/>
      <c r="BEX104" s="4"/>
      <c r="BEY104" s="4"/>
      <c r="BEZ104" s="4"/>
      <c r="BFA104" s="4"/>
      <c r="BFB104" s="4"/>
      <c r="BFC104" s="4"/>
      <c r="BFD104" s="4"/>
      <c r="BFE104" s="4"/>
      <c r="BFF104" s="4"/>
      <c r="BFG104" s="4"/>
      <c r="BFH104" s="4"/>
      <c r="BFI104" s="4"/>
      <c r="BFJ104" s="4"/>
      <c r="BFK104" s="4"/>
      <c r="BFL104" s="4"/>
      <c r="BFM104" s="4"/>
      <c r="BFN104" s="4"/>
      <c r="BFO104" s="4"/>
      <c r="BFP104" s="4"/>
      <c r="BFQ104" s="4"/>
      <c r="BFR104" s="4"/>
      <c r="BFS104" s="4"/>
      <c r="BFT104" s="4"/>
      <c r="BFU104" s="4"/>
      <c r="BFV104" s="4"/>
      <c r="BFW104" s="4"/>
      <c r="BFX104" s="4"/>
      <c r="BFY104" s="4"/>
      <c r="BFZ104" s="4"/>
      <c r="BGA104" s="4"/>
      <c r="BGB104" s="4"/>
      <c r="BGC104" s="4"/>
      <c r="BGD104" s="4"/>
      <c r="BGE104" s="4"/>
      <c r="BGF104" s="4"/>
      <c r="BGG104" s="4"/>
      <c r="BGH104" s="4"/>
      <c r="BGI104" s="4"/>
      <c r="BGJ104" s="4"/>
      <c r="BGK104" s="4"/>
      <c r="BGL104" s="4"/>
      <c r="BGM104" s="4"/>
      <c r="BGN104" s="4"/>
      <c r="BGO104" s="4"/>
      <c r="BGP104" s="4"/>
      <c r="BGQ104" s="4"/>
      <c r="BGR104" s="4"/>
      <c r="BGS104" s="4"/>
      <c r="BGT104" s="4"/>
      <c r="BGU104" s="4"/>
      <c r="BGV104" s="4"/>
      <c r="BGW104" s="4"/>
      <c r="BGX104" s="4"/>
      <c r="BGY104" s="4"/>
      <c r="BGZ104" s="4"/>
      <c r="BHA104" s="4"/>
      <c r="BHB104" s="4"/>
      <c r="BHC104" s="4"/>
      <c r="BHD104" s="4"/>
      <c r="BHE104" s="4"/>
      <c r="BHF104" s="4"/>
      <c r="BHG104" s="4"/>
      <c r="BHH104" s="4"/>
      <c r="BHI104" s="4"/>
      <c r="BHJ104" s="4"/>
      <c r="BHK104" s="4"/>
      <c r="BHL104" s="4"/>
      <c r="BHM104" s="4"/>
      <c r="BHN104" s="4"/>
      <c r="BHO104" s="4"/>
      <c r="BHP104" s="4"/>
      <c r="BHQ104" s="4"/>
      <c r="BHR104" s="4"/>
      <c r="BHS104" s="4"/>
      <c r="BHT104" s="4"/>
      <c r="BHU104" s="4"/>
      <c r="BHV104" s="4"/>
      <c r="BHW104" s="4"/>
      <c r="BHX104" s="4"/>
      <c r="BHY104" s="4"/>
      <c r="BHZ104" s="4"/>
      <c r="BIA104" s="4"/>
      <c r="BIB104" s="4"/>
      <c r="BIC104" s="4"/>
      <c r="BID104" s="4"/>
      <c r="BIE104" s="4"/>
      <c r="BIF104" s="4"/>
      <c r="BIG104" s="4"/>
      <c r="BIH104" s="4"/>
      <c r="BII104" s="4"/>
      <c r="BIJ104" s="4"/>
      <c r="BIK104" s="4"/>
      <c r="BIL104" s="4"/>
      <c r="BIM104" s="4"/>
      <c r="BIN104" s="4"/>
      <c r="BIO104" s="4"/>
      <c r="BIP104" s="4"/>
      <c r="BIQ104" s="4"/>
      <c r="BIR104" s="4"/>
      <c r="BIS104" s="4"/>
      <c r="BIT104" s="4"/>
      <c r="BIU104" s="4"/>
      <c r="BIV104" s="4"/>
      <c r="BIW104" s="4"/>
      <c r="BIX104" s="4"/>
      <c r="BIY104" s="4"/>
      <c r="BIZ104" s="4"/>
      <c r="BJA104" s="4"/>
      <c r="BJB104" s="4"/>
      <c r="BJC104" s="4"/>
      <c r="BJD104" s="4"/>
      <c r="BJE104" s="4"/>
      <c r="BJF104" s="4"/>
      <c r="BJG104" s="4"/>
      <c r="BJH104" s="4"/>
      <c r="BJI104" s="4"/>
      <c r="BJJ104" s="4"/>
      <c r="BJK104" s="4"/>
      <c r="BJL104" s="4"/>
      <c r="BJM104" s="4"/>
      <c r="BJN104" s="4"/>
      <c r="BJO104" s="4"/>
      <c r="BJP104" s="4"/>
      <c r="BJQ104" s="4"/>
      <c r="BJR104" s="4"/>
      <c r="BJS104" s="4"/>
      <c r="BJT104" s="4"/>
      <c r="BJU104" s="4"/>
      <c r="BJV104" s="4"/>
      <c r="BJW104" s="4"/>
      <c r="BJX104" s="4"/>
      <c r="BJY104" s="4"/>
      <c r="BJZ104" s="4"/>
      <c r="BKA104" s="4"/>
      <c r="BKB104" s="4"/>
      <c r="BKC104" s="4"/>
      <c r="BKD104" s="4"/>
      <c r="BKE104" s="4"/>
      <c r="BKF104" s="4"/>
      <c r="BKG104" s="4"/>
      <c r="BKH104" s="4"/>
      <c r="BKI104" s="4"/>
      <c r="BKJ104" s="4"/>
      <c r="BKK104" s="4"/>
      <c r="BKL104" s="4"/>
      <c r="BKM104" s="4"/>
      <c r="BKN104" s="4"/>
      <c r="BKO104" s="4"/>
      <c r="BKP104" s="4"/>
      <c r="BKQ104" s="4"/>
      <c r="BKR104" s="4"/>
      <c r="BKS104" s="4"/>
      <c r="BKT104" s="4"/>
      <c r="BKU104" s="4"/>
      <c r="BKV104" s="4"/>
      <c r="BKW104" s="4"/>
      <c r="BKX104" s="4"/>
      <c r="BKY104" s="4"/>
      <c r="BKZ104" s="4"/>
      <c r="BLA104" s="4"/>
      <c r="BLB104" s="4"/>
      <c r="BLC104" s="4"/>
      <c r="BLD104" s="4"/>
      <c r="BLE104" s="4"/>
      <c r="BLF104" s="4"/>
      <c r="BLG104" s="4"/>
      <c r="BLH104" s="4"/>
      <c r="BLI104" s="4"/>
      <c r="BLJ104" s="4"/>
      <c r="BLK104" s="4"/>
      <c r="BLL104" s="4"/>
      <c r="BLM104" s="4"/>
      <c r="BLN104" s="4"/>
      <c r="BLO104" s="4"/>
      <c r="BLP104" s="4"/>
      <c r="BLQ104" s="4"/>
      <c r="BLR104" s="4"/>
      <c r="BLS104" s="4"/>
      <c r="BLT104" s="4"/>
      <c r="BLU104" s="4"/>
      <c r="BLV104" s="4"/>
      <c r="BLW104" s="4"/>
      <c r="BLX104" s="4"/>
      <c r="BLY104" s="4"/>
      <c r="BLZ104" s="4"/>
      <c r="BMA104" s="4"/>
      <c r="BMB104" s="4"/>
      <c r="BMC104" s="4"/>
      <c r="BMD104" s="4"/>
      <c r="BME104" s="4"/>
      <c r="BMF104" s="4"/>
      <c r="BMG104" s="4"/>
      <c r="BMH104" s="4"/>
      <c r="BMI104" s="4"/>
      <c r="BMJ104" s="4"/>
      <c r="BMK104" s="4"/>
      <c r="BML104" s="4"/>
      <c r="BMM104" s="4"/>
      <c r="BMN104" s="4"/>
      <c r="BMO104" s="4"/>
      <c r="BMP104" s="4"/>
      <c r="BMQ104" s="4"/>
      <c r="BMR104" s="4"/>
      <c r="BMS104" s="4"/>
      <c r="BMT104" s="4"/>
      <c r="BMU104" s="4"/>
      <c r="BMV104" s="4"/>
      <c r="BMW104" s="4"/>
      <c r="BMX104" s="4"/>
      <c r="BMY104" s="4"/>
      <c r="BMZ104" s="4"/>
      <c r="BNA104" s="4"/>
      <c r="BNB104" s="4"/>
      <c r="BNC104" s="4"/>
      <c r="BND104" s="4"/>
      <c r="BNE104" s="4"/>
      <c r="BNF104" s="4"/>
      <c r="BNG104" s="4"/>
      <c r="BNH104" s="4"/>
      <c r="BNI104" s="4"/>
      <c r="BNJ104" s="4"/>
      <c r="BNK104" s="4"/>
      <c r="BNL104" s="4"/>
      <c r="BNM104" s="4"/>
      <c r="BNN104" s="4"/>
      <c r="BNO104" s="4"/>
      <c r="BNP104" s="4"/>
      <c r="BNQ104" s="4"/>
      <c r="BNR104" s="4"/>
      <c r="BNS104" s="4"/>
      <c r="BNT104" s="4"/>
      <c r="BNU104" s="4"/>
      <c r="BNV104" s="4"/>
      <c r="BNW104" s="4"/>
      <c r="BNX104" s="4"/>
      <c r="BNY104" s="4"/>
      <c r="BNZ104" s="4"/>
      <c r="BOA104" s="4"/>
      <c r="BOB104" s="4"/>
      <c r="BOC104" s="4"/>
      <c r="BOD104" s="4"/>
      <c r="BOE104" s="4"/>
      <c r="BOF104" s="4"/>
      <c r="BOG104" s="4"/>
      <c r="BOH104" s="4"/>
      <c r="BOI104" s="4"/>
      <c r="BOJ104" s="4"/>
      <c r="BOK104" s="4"/>
      <c r="BOL104" s="4"/>
      <c r="BOM104" s="4"/>
      <c r="BON104" s="4"/>
      <c r="BOO104" s="4"/>
      <c r="BOP104" s="4"/>
      <c r="BOQ104" s="4"/>
      <c r="BOR104" s="4"/>
      <c r="BOS104" s="4"/>
      <c r="BOT104" s="4"/>
      <c r="BOU104" s="4"/>
      <c r="BOV104" s="4"/>
      <c r="BOW104" s="4"/>
      <c r="BOX104" s="4"/>
      <c r="BOY104" s="4"/>
      <c r="BOZ104" s="4"/>
      <c r="BPA104" s="4"/>
      <c r="BPB104" s="4"/>
      <c r="BPC104" s="4"/>
      <c r="BPD104" s="4"/>
      <c r="BPE104" s="4"/>
      <c r="BPF104" s="4"/>
      <c r="BPG104" s="4"/>
      <c r="BPH104" s="4"/>
      <c r="BPI104" s="4"/>
      <c r="BPJ104" s="4"/>
      <c r="BPK104" s="4"/>
      <c r="BPL104" s="4"/>
      <c r="BPM104" s="4"/>
      <c r="BPN104" s="4"/>
      <c r="BPO104" s="4"/>
      <c r="BPP104" s="4"/>
      <c r="BPQ104" s="4"/>
      <c r="BPR104" s="4"/>
      <c r="BPS104" s="4"/>
      <c r="BPT104" s="4"/>
      <c r="BPU104" s="4"/>
      <c r="BPV104" s="4"/>
      <c r="BPW104" s="4"/>
      <c r="BPX104" s="4"/>
      <c r="BPY104" s="4"/>
      <c r="BPZ104" s="4"/>
      <c r="BQA104" s="4"/>
      <c r="BQB104" s="4"/>
      <c r="BQC104" s="4"/>
      <c r="BQD104" s="4"/>
      <c r="BQE104" s="4"/>
      <c r="BQF104" s="4"/>
      <c r="BQG104" s="4"/>
      <c r="BQH104" s="4"/>
      <c r="BQI104" s="4"/>
      <c r="BQJ104" s="4"/>
      <c r="BQK104" s="4"/>
      <c r="BQL104" s="4"/>
      <c r="BQM104" s="4"/>
      <c r="BQN104" s="4"/>
      <c r="BQO104" s="4"/>
      <c r="BQP104" s="4"/>
      <c r="BQQ104" s="4"/>
      <c r="BQR104" s="4"/>
      <c r="BQS104" s="4"/>
      <c r="BQT104" s="4"/>
      <c r="BQU104" s="4"/>
      <c r="BQV104" s="4"/>
      <c r="BQW104" s="4"/>
      <c r="BQX104" s="4"/>
      <c r="BQY104" s="4"/>
      <c r="BQZ104" s="4"/>
      <c r="BRA104" s="4"/>
      <c r="BRB104" s="4"/>
      <c r="BRC104" s="4"/>
      <c r="BRD104" s="4"/>
      <c r="BRE104" s="4"/>
      <c r="BRF104" s="4"/>
      <c r="BRG104" s="4"/>
      <c r="BRH104" s="4"/>
      <c r="BRI104" s="4"/>
      <c r="BRJ104" s="4"/>
      <c r="BRK104" s="4"/>
      <c r="BRL104" s="4"/>
      <c r="BRM104" s="4"/>
      <c r="BRN104" s="4"/>
      <c r="BRO104" s="4"/>
      <c r="BRP104" s="4"/>
      <c r="BRQ104" s="4"/>
      <c r="BRR104" s="4"/>
      <c r="BRS104" s="4"/>
      <c r="BRT104" s="4"/>
      <c r="BRU104" s="4"/>
      <c r="BRV104" s="4"/>
      <c r="BRW104" s="4"/>
      <c r="BRX104" s="4"/>
      <c r="BRY104" s="4"/>
      <c r="BRZ104" s="4"/>
      <c r="BSA104" s="4"/>
      <c r="BSB104" s="4"/>
      <c r="BSC104" s="4"/>
      <c r="BSD104" s="4"/>
      <c r="BSE104" s="4"/>
      <c r="BSF104" s="4"/>
      <c r="BSG104" s="4"/>
      <c r="BSH104" s="4"/>
      <c r="BSI104" s="4"/>
      <c r="BSJ104" s="4"/>
      <c r="BSK104" s="4"/>
      <c r="BSL104" s="4"/>
      <c r="BSM104" s="4"/>
      <c r="BSN104" s="4"/>
      <c r="BSO104" s="4"/>
      <c r="BSP104" s="4"/>
      <c r="BSQ104" s="4"/>
      <c r="BSR104" s="4"/>
      <c r="BSS104" s="4"/>
      <c r="BST104" s="4"/>
      <c r="BSU104" s="4"/>
      <c r="BSV104" s="4"/>
      <c r="BSW104" s="4"/>
      <c r="BSX104" s="4"/>
      <c r="BSY104" s="4"/>
      <c r="BSZ104" s="4"/>
      <c r="BTA104" s="4"/>
      <c r="BTB104" s="4"/>
      <c r="BTC104" s="4"/>
      <c r="BTD104" s="4"/>
      <c r="BTE104" s="4"/>
      <c r="BTF104" s="4"/>
      <c r="BTG104" s="4"/>
      <c r="BTH104" s="4"/>
      <c r="BTI104" s="4"/>
      <c r="BTJ104" s="4"/>
      <c r="BTK104" s="4"/>
      <c r="BTL104" s="4"/>
      <c r="BTM104" s="4"/>
      <c r="BTN104" s="4"/>
      <c r="BTO104" s="4"/>
      <c r="BTP104" s="4"/>
      <c r="BTQ104" s="4"/>
      <c r="BTR104" s="4"/>
      <c r="BTS104" s="4"/>
      <c r="BTT104" s="4"/>
      <c r="BTU104" s="4"/>
      <c r="BTV104" s="4"/>
      <c r="BTW104" s="4"/>
      <c r="BTX104" s="4"/>
      <c r="BTY104" s="4"/>
      <c r="BTZ104" s="4"/>
      <c r="BUA104" s="4"/>
      <c r="BUB104" s="4"/>
      <c r="BUC104" s="4"/>
      <c r="BUD104" s="4"/>
      <c r="BUE104" s="4"/>
      <c r="BUF104" s="4"/>
      <c r="BUG104" s="4"/>
      <c r="BUH104" s="4"/>
      <c r="BUI104" s="4"/>
      <c r="BUJ104" s="4"/>
      <c r="BUK104" s="4"/>
      <c r="BUL104" s="4"/>
      <c r="BUM104" s="4"/>
      <c r="BUN104" s="4"/>
      <c r="BUO104" s="4"/>
      <c r="BUP104" s="4"/>
      <c r="BUQ104" s="4"/>
      <c r="BUR104" s="4"/>
      <c r="BUS104" s="4"/>
      <c r="BUT104" s="4"/>
      <c r="BUU104" s="4"/>
      <c r="BUV104" s="4"/>
      <c r="BUW104" s="4"/>
      <c r="BUX104" s="4"/>
      <c r="BUY104" s="4"/>
      <c r="BUZ104" s="4"/>
      <c r="BVA104" s="4"/>
      <c r="BVB104" s="4"/>
      <c r="BVC104" s="4"/>
      <c r="BVD104" s="4"/>
      <c r="BVE104" s="4"/>
      <c r="BVF104" s="4"/>
      <c r="BVG104" s="4"/>
      <c r="BVH104" s="4"/>
      <c r="BVI104" s="4"/>
      <c r="BVJ104" s="4"/>
      <c r="BVK104" s="4"/>
      <c r="BVL104" s="4"/>
      <c r="BVM104" s="4"/>
      <c r="BVN104" s="4"/>
      <c r="BVO104" s="4"/>
      <c r="BVP104" s="4"/>
      <c r="BVQ104" s="4"/>
      <c r="BVR104" s="4"/>
      <c r="BVS104" s="4"/>
      <c r="BVT104" s="4"/>
      <c r="BVU104" s="4"/>
      <c r="BVV104" s="4"/>
      <c r="BVW104" s="4"/>
      <c r="BVX104" s="4"/>
      <c r="BVY104" s="4"/>
      <c r="BVZ104" s="4"/>
      <c r="BWA104" s="4"/>
      <c r="BWB104" s="4"/>
      <c r="BWC104" s="4"/>
      <c r="BWD104" s="4"/>
      <c r="BWE104" s="4"/>
      <c r="BWF104" s="4"/>
      <c r="BWG104" s="4"/>
      <c r="BWH104" s="4"/>
      <c r="BWI104" s="4"/>
      <c r="BWJ104" s="4"/>
      <c r="BWK104" s="4"/>
      <c r="BWL104" s="4"/>
      <c r="BWM104" s="4"/>
      <c r="BWN104" s="4"/>
      <c r="BWO104" s="4"/>
      <c r="BWP104" s="4"/>
      <c r="BWQ104" s="4"/>
      <c r="BWR104" s="4"/>
      <c r="BWS104" s="4"/>
      <c r="BWT104" s="4"/>
      <c r="BWU104" s="4"/>
      <c r="BWV104" s="4"/>
      <c r="BWW104" s="4"/>
      <c r="BWX104" s="4"/>
      <c r="BWY104" s="4"/>
      <c r="BWZ104" s="4"/>
      <c r="BXA104" s="4"/>
      <c r="BXB104" s="4"/>
      <c r="BXC104" s="4"/>
      <c r="BXD104" s="4"/>
      <c r="BXE104" s="4"/>
      <c r="BXF104" s="4"/>
      <c r="BXG104" s="4"/>
      <c r="BXH104" s="4"/>
      <c r="BXI104" s="4"/>
      <c r="BXJ104" s="4"/>
      <c r="BXK104" s="4"/>
      <c r="BXL104" s="4"/>
      <c r="BXM104" s="4"/>
      <c r="BXN104" s="4"/>
      <c r="BXO104" s="4"/>
      <c r="BXP104" s="4"/>
      <c r="BXQ104" s="4"/>
      <c r="BXR104" s="4"/>
      <c r="BXS104" s="4"/>
      <c r="BXT104" s="4"/>
      <c r="BXU104" s="4"/>
      <c r="BXV104" s="4"/>
      <c r="BXW104" s="4"/>
      <c r="BXX104" s="4"/>
      <c r="BXY104" s="4"/>
      <c r="BXZ104" s="4"/>
      <c r="BYA104" s="4"/>
      <c r="BYB104" s="4"/>
      <c r="BYC104" s="4"/>
      <c r="BYD104" s="4"/>
      <c r="BYE104" s="4"/>
      <c r="BYF104" s="4"/>
      <c r="BYG104" s="4"/>
      <c r="BYH104" s="4"/>
      <c r="BYI104" s="4"/>
      <c r="BYJ104" s="4"/>
      <c r="BYK104" s="4"/>
      <c r="BYL104" s="4"/>
      <c r="BYM104" s="4"/>
      <c r="BYN104" s="4"/>
      <c r="BYO104" s="4"/>
      <c r="BYP104" s="4"/>
      <c r="BYQ104" s="4"/>
      <c r="BYR104" s="4"/>
      <c r="BYS104" s="4"/>
      <c r="BYT104" s="4"/>
      <c r="BYU104" s="4"/>
      <c r="BYV104" s="4"/>
      <c r="BYW104" s="4"/>
      <c r="BYX104" s="4"/>
      <c r="BYY104" s="4"/>
      <c r="BYZ104" s="4"/>
      <c r="BZA104" s="4"/>
      <c r="BZB104" s="4"/>
      <c r="BZC104" s="4"/>
      <c r="BZD104" s="4"/>
      <c r="BZE104" s="4"/>
      <c r="BZF104" s="4"/>
      <c r="BZG104" s="4"/>
      <c r="BZH104" s="4"/>
      <c r="BZI104" s="4"/>
      <c r="BZJ104" s="4"/>
      <c r="BZK104" s="4"/>
      <c r="BZL104" s="4"/>
      <c r="BZM104" s="4"/>
      <c r="BZN104" s="4"/>
      <c r="BZO104" s="4"/>
      <c r="BZP104" s="4"/>
      <c r="BZQ104" s="4"/>
      <c r="BZR104" s="4"/>
      <c r="BZS104" s="4"/>
      <c r="BZT104" s="4"/>
      <c r="BZU104" s="4"/>
      <c r="BZV104" s="4"/>
      <c r="BZW104" s="4"/>
      <c r="BZX104" s="4"/>
      <c r="BZY104" s="4"/>
      <c r="BZZ104" s="4"/>
      <c r="CAA104" s="4"/>
      <c r="CAB104" s="4"/>
      <c r="CAC104" s="4"/>
      <c r="CAD104" s="4"/>
      <c r="CAE104" s="4"/>
      <c r="CAF104" s="4"/>
      <c r="CAG104" s="4"/>
      <c r="CAH104" s="4"/>
      <c r="CAI104" s="4"/>
      <c r="CAJ104" s="4"/>
      <c r="CAK104" s="4"/>
      <c r="CAL104" s="4"/>
      <c r="CAM104" s="4"/>
      <c r="CAN104" s="4"/>
      <c r="CAO104" s="4"/>
      <c r="CAP104" s="4"/>
      <c r="CAQ104" s="4"/>
      <c r="CAR104" s="4"/>
      <c r="CAS104" s="4"/>
      <c r="CAT104" s="4"/>
      <c r="CAU104" s="4"/>
      <c r="CAV104" s="4"/>
      <c r="CAW104" s="4"/>
      <c r="CAX104" s="4"/>
      <c r="CAY104" s="4"/>
      <c r="CAZ104" s="4"/>
      <c r="CBA104" s="4"/>
      <c r="CBB104" s="4"/>
      <c r="CBC104" s="4"/>
      <c r="CBD104" s="4"/>
      <c r="CBE104" s="4"/>
      <c r="CBF104" s="4"/>
      <c r="CBG104" s="4"/>
      <c r="CBH104" s="4"/>
      <c r="CBI104" s="4"/>
      <c r="CBJ104" s="4"/>
      <c r="CBK104" s="4"/>
      <c r="CBL104" s="4"/>
      <c r="CBM104" s="4"/>
      <c r="CBN104" s="4"/>
      <c r="CBO104" s="4"/>
      <c r="CBP104" s="4"/>
      <c r="CBQ104" s="4"/>
      <c r="CBR104" s="4"/>
      <c r="CBS104" s="4"/>
      <c r="CBT104" s="4"/>
      <c r="CBU104" s="4"/>
      <c r="CBV104" s="4"/>
      <c r="CBW104" s="4"/>
      <c r="CBX104" s="4"/>
      <c r="CBY104" s="4"/>
      <c r="CBZ104" s="4"/>
      <c r="CCA104" s="4"/>
      <c r="CCB104" s="4"/>
      <c r="CCC104" s="4"/>
      <c r="CCD104" s="4"/>
      <c r="CCE104" s="4"/>
      <c r="CCF104" s="4"/>
      <c r="CCG104" s="4"/>
      <c r="CCH104" s="4"/>
      <c r="CCI104" s="4"/>
      <c r="CCJ104" s="4"/>
      <c r="CCK104" s="4"/>
      <c r="CCL104" s="4"/>
      <c r="CCM104" s="4"/>
      <c r="CCN104" s="4"/>
      <c r="CCO104" s="4"/>
      <c r="CCP104" s="4"/>
      <c r="CCQ104" s="4"/>
      <c r="CCR104" s="4"/>
      <c r="CCS104" s="4"/>
      <c r="CCT104" s="4"/>
      <c r="CCU104" s="4"/>
      <c r="CCV104" s="4"/>
      <c r="CCW104" s="4"/>
      <c r="CCX104" s="4"/>
      <c r="CCY104" s="4"/>
      <c r="CCZ104" s="4"/>
      <c r="CDA104" s="4"/>
      <c r="CDB104" s="4"/>
      <c r="CDC104" s="4"/>
      <c r="CDD104" s="4"/>
      <c r="CDE104" s="4"/>
      <c r="CDF104" s="4"/>
      <c r="CDG104" s="4"/>
      <c r="CDH104" s="4"/>
      <c r="CDI104" s="4"/>
      <c r="CDJ104" s="4"/>
      <c r="CDK104" s="4"/>
      <c r="CDL104" s="4"/>
      <c r="CDM104" s="4"/>
      <c r="CDN104" s="4"/>
      <c r="CDO104" s="4"/>
      <c r="CDP104" s="4"/>
      <c r="CDQ104" s="4"/>
      <c r="CDR104" s="4"/>
      <c r="CDS104" s="4"/>
      <c r="CDT104" s="4"/>
      <c r="CDU104" s="4"/>
      <c r="CDV104" s="4"/>
      <c r="CDW104" s="4"/>
      <c r="CDX104" s="4"/>
      <c r="CDY104" s="4"/>
      <c r="CDZ104" s="4"/>
      <c r="CEA104" s="4"/>
      <c r="CEB104" s="4"/>
      <c r="CEC104" s="4"/>
      <c r="CED104" s="4"/>
      <c r="CEE104" s="4"/>
      <c r="CEF104" s="4"/>
      <c r="CEG104" s="4"/>
      <c r="CEH104" s="4"/>
      <c r="CEI104" s="4"/>
      <c r="CEJ104" s="4"/>
      <c r="CEK104" s="4"/>
      <c r="CEL104" s="4"/>
      <c r="CEM104" s="4"/>
      <c r="CEN104" s="4"/>
      <c r="CEO104" s="4"/>
      <c r="CEP104" s="4"/>
      <c r="CEQ104" s="4"/>
      <c r="CER104" s="4"/>
      <c r="CES104" s="4"/>
      <c r="CET104" s="4"/>
      <c r="CEU104" s="4"/>
      <c r="CEV104" s="4"/>
      <c r="CEW104" s="4"/>
      <c r="CEX104" s="4"/>
      <c r="CEY104" s="4"/>
      <c r="CEZ104" s="4"/>
      <c r="CFA104" s="4"/>
      <c r="CFB104" s="4"/>
      <c r="CFC104" s="4"/>
      <c r="CFD104" s="4"/>
      <c r="CFE104" s="4"/>
      <c r="CFF104" s="4"/>
      <c r="CFG104" s="4"/>
      <c r="CFH104" s="4"/>
      <c r="CFI104" s="4"/>
      <c r="CFJ104" s="4"/>
      <c r="CFK104" s="4"/>
      <c r="CFL104" s="4"/>
      <c r="CFM104" s="4"/>
      <c r="CFN104" s="4"/>
      <c r="CFO104" s="4"/>
      <c r="CFP104" s="4"/>
      <c r="CFQ104" s="4"/>
      <c r="CFR104" s="4"/>
      <c r="CFS104" s="4"/>
      <c r="CFT104" s="4"/>
      <c r="CFU104" s="4"/>
      <c r="CFV104" s="4"/>
      <c r="CFW104" s="4"/>
      <c r="CFX104" s="4"/>
      <c r="CFY104" s="4"/>
      <c r="CFZ104" s="4"/>
      <c r="CGA104" s="4"/>
      <c r="CGB104" s="4"/>
      <c r="CGC104" s="4"/>
      <c r="CGD104" s="4"/>
      <c r="CGE104" s="4"/>
      <c r="CGF104" s="4"/>
      <c r="CGG104" s="4"/>
      <c r="CGH104" s="4"/>
      <c r="CGI104" s="4"/>
      <c r="CGJ104" s="4"/>
      <c r="CGK104" s="4"/>
      <c r="CGL104" s="4"/>
      <c r="CGM104" s="4"/>
      <c r="CGN104" s="4"/>
      <c r="CGO104" s="4"/>
      <c r="CGP104" s="4"/>
      <c r="CGQ104" s="4"/>
      <c r="CGR104" s="4"/>
      <c r="CGS104" s="4"/>
      <c r="CGT104" s="4"/>
      <c r="CGU104" s="4"/>
      <c r="CGV104" s="4"/>
      <c r="CGW104" s="4"/>
      <c r="CGX104" s="4"/>
      <c r="CGY104" s="4"/>
      <c r="CGZ104" s="4"/>
      <c r="CHA104" s="4"/>
      <c r="CHB104" s="4"/>
      <c r="CHC104" s="4"/>
      <c r="CHD104" s="4"/>
      <c r="CHE104" s="4"/>
      <c r="CHF104" s="4"/>
      <c r="CHG104" s="4"/>
      <c r="CHH104" s="4"/>
      <c r="CHI104" s="4"/>
      <c r="CHJ104" s="4"/>
      <c r="CHK104" s="4"/>
      <c r="CHL104" s="4"/>
      <c r="CHM104" s="4"/>
      <c r="CHN104" s="4"/>
      <c r="CHO104" s="4"/>
      <c r="CHP104" s="4"/>
      <c r="CHQ104" s="4"/>
      <c r="CHR104" s="4"/>
      <c r="CHS104" s="4"/>
      <c r="CHT104" s="4"/>
      <c r="CHU104" s="4"/>
      <c r="CHV104" s="4"/>
      <c r="CHW104" s="4"/>
      <c r="CHX104" s="4"/>
      <c r="CHY104" s="4"/>
      <c r="CHZ104" s="4"/>
      <c r="CIA104" s="4"/>
      <c r="CIB104" s="4"/>
      <c r="CIC104" s="4"/>
      <c r="CID104" s="4"/>
      <c r="CIE104" s="4"/>
      <c r="CIF104" s="4"/>
      <c r="CIG104" s="4"/>
      <c r="CIH104" s="4"/>
      <c r="CII104" s="4"/>
      <c r="CIJ104" s="4"/>
      <c r="CIK104" s="4"/>
      <c r="CIL104" s="4"/>
      <c r="CIM104" s="4"/>
      <c r="CIN104" s="4"/>
      <c r="CIO104" s="4"/>
      <c r="CIP104" s="4"/>
      <c r="CIQ104" s="4"/>
      <c r="CIR104" s="4"/>
      <c r="CIS104" s="4"/>
      <c r="CIT104" s="4"/>
      <c r="CIU104" s="4"/>
      <c r="CIV104" s="4"/>
      <c r="CIW104" s="4"/>
      <c r="CIX104" s="4"/>
      <c r="CIY104" s="4"/>
      <c r="CIZ104" s="4"/>
      <c r="CJA104" s="4"/>
      <c r="CJB104" s="4"/>
      <c r="CJC104" s="4"/>
      <c r="CJD104" s="4"/>
      <c r="CJE104" s="4"/>
      <c r="CJF104" s="4"/>
      <c r="CJG104" s="4"/>
      <c r="CJH104" s="4"/>
      <c r="CJI104" s="4"/>
      <c r="CJJ104" s="4"/>
      <c r="CJK104" s="4"/>
      <c r="CJL104" s="4"/>
      <c r="CJM104" s="4"/>
      <c r="CJN104" s="4"/>
      <c r="CJO104" s="4"/>
      <c r="CJP104" s="4"/>
      <c r="CJQ104" s="4"/>
      <c r="CJR104" s="4"/>
      <c r="CJS104" s="4"/>
      <c r="CJT104" s="4"/>
      <c r="CJU104" s="4"/>
      <c r="CJV104" s="4"/>
      <c r="CJW104" s="4"/>
      <c r="CJX104" s="4"/>
      <c r="CJY104" s="4"/>
      <c r="CJZ104" s="4"/>
      <c r="CKA104" s="4"/>
      <c r="CKB104" s="4"/>
      <c r="CKC104" s="4"/>
      <c r="CKD104" s="4"/>
      <c r="CKE104" s="4"/>
      <c r="CKF104" s="4"/>
      <c r="CKG104" s="4"/>
      <c r="CKH104" s="4"/>
      <c r="CKI104" s="4"/>
      <c r="CKJ104" s="4"/>
      <c r="CKK104" s="4"/>
      <c r="CKL104" s="4"/>
      <c r="CKM104" s="4"/>
      <c r="CKN104" s="4"/>
      <c r="CKO104" s="4"/>
      <c r="CKP104" s="4"/>
      <c r="CKQ104" s="4"/>
      <c r="CKR104" s="4"/>
      <c r="CKS104" s="4"/>
      <c r="CKT104" s="4"/>
      <c r="CKU104" s="4"/>
      <c r="CKV104" s="4"/>
      <c r="CKW104" s="4"/>
      <c r="CKX104" s="4"/>
      <c r="CKY104" s="4"/>
      <c r="CKZ104" s="4"/>
      <c r="CLA104" s="4"/>
      <c r="CLB104" s="4"/>
      <c r="CLC104" s="4"/>
      <c r="CLD104" s="4"/>
      <c r="CLE104" s="4"/>
      <c r="CLF104" s="4"/>
      <c r="CLG104" s="4"/>
      <c r="CLH104" s="4"/>
      <c r="CLI104" s="4"/>
      <c r="CLJ104" s="4"/>
      <c r="CLK104" s="4"/>
      <c r="CLL104" s="4"/>
      <c r="CLM104" s="4"/>
      <c r="CLN104" s="4"/>
      <c r="CLO104" s="4"/>
      <c r="CLP104" s="4"/>
      <c r="CLQ104" s="4"/>
      <c r="CLR104" s="4"/>
      <c r="CLS104" s="4"/>
      <c r="CLT104" s="4"/>
      <c r="CLU104" s="4"/>
      <c r="CLV104" s="4"/>
      <c r="CLW104" s="4"/>
      <c r="CLX104" s="4"/>
      <c r="CLY104" s="4"/>
      <c r="CLZ104" s="4"/>
      <c r="CMA104" s="4"/>
      <c r="CMB104" s="4"/>
      <c r="CMC104" s="4"/>
      <c r="CMD104" s="4"/>
      <c r="CME104" s="4"/>
      <c r="CMF104" s="4"/>
      <c r="CMG104" s="4"/>
      <c r="CMH104" s="4"/>
      <c r="CMI104" s="4"/>
      <c r="CMJ104" s="4"/>
      <c r="CMK104" s="4"/>
      <c r="CML104" s="4"/>
      <c r="CMM104" s="4"/>
      <c r="CMN104" s="4"/>
      <c r="CMO104" s="4"/>
      <c r="CMP104" s="4"/>
      <c r="CMQ104" s="4"/>
      <c r="CMR104" s="4"/>
      <c r="CMS104" s="4"/>
      <c r="CMT104" s="4"/>
      <c r="CMU104" s="4"/>
      <c r="CMV104" s="4"/>
      <c r="CMW104" s="4"/>
      <c r="CMX104" s="4"/>
      <c r="CMY104" s="4"/>
      <c r="CMZ104" s="4"/>
      <c r="CNA104" s="4"/>
      <c r="CNB104" s="4"/>
      <c r="CNC104" s="4"/>
      <c r="CND104" s="4"/>
      <c r="CNE104" s="4"/>
      <c r="CNF104" s="4"/>
      <c r="CNG104" s="4"/>
      <c r="CNH104" s="4"/>
      <c r="CNI104" s="4"/>
      <c r="CNJ104" s="4"/>
      <c r="CNK104" s="4"/>
      <c r="CNL104" s="4"/>
      <c r="CNM104" s="4"/>
      <c r="CNN104" s="4"/>
      <c r="CNO104" s="4"/>
      <c r="CNP104" s="4"/>
      <c r="CNQ104" s="4"/>
      <c r="CNR104" s="4"/>
      <c r="CNS104" s="4"/>
      <c r="CNT104" s="4"/>
      <c r="CNU104" s="4"/>
      <c r="CNV104" s="4"/>
      <c r="CNW104" s="4"/>
      <c r="CNX104" s="4"/>
      <c r="CNY104" s="4"/>
      <c r="CNZ104" s="4"/>
      <c r="COA104" s="4"/>
      <c r="COB104" s="4"/>
      <c r="COC104" s="4"/>
      <c r="COD104" s="4"/>
      <c r="COE104" s="4"/>
      <c r="COF104" s="4"/>
      <c r="COG104" s="4"/>
      <c r="COH104" s="4"/>
      <c r="COI104" s="4"/>
      <c r="COJ104" s="4"/>
      <c r="COK104" s="4"/>
      <c r="COL104" s="4"/>
      <c r="COM104" s="4"/>
      <c r="CON104" s="4"/>
      <c r="COO104" s="4"/>
      <c r="COP104" s="4"/>
      <c r="COQ104" s="4"/>
      <c r="COR104" s="4"/>
      <c r="COS104" s="4"/>
      <c r="COT104" s="4"/>
      <c r="COU104" s="4"/>
      <c r="COV104" s="4"/>
      <c r="COW104" s="4"/>
      <c r="COX104" s="4"/>
      <c r="COY104" s="4"/>
      <c r="COZ104" s="4"/>
      <c r="CPA104" s="4"/>
      <c r="CPB104" s="4"/>
      <c r="CPC104" s="4"/>
      <c r="CPD104" s="4"/>
      <c r="CPE104" s="4"/>
      <c r="CPF104" s="4"/>
      <c r="CPG104" s="4"/>
      <c r="CPH104" s="4"/>
      <c r="CPI104" s="4"/>
      <c r="CPJ104" s="4"/>
      <c r="CPK104" s="4"/>
      <c r="CPL104" s="4"/>
      <c r="CPM104" s="4"/>
      <c r="CPN104" s="4"/>
      <c r="CPO104" s="4"/>
      <c r="CPP104" s="4"/>
      <c r="CPQ104" s="4"/>
      <c r="CPR104" s="4"/>
      <c r="CPS104" s="4"/>
      <c r="CPT104" s="4"/>
      <c r="CPU104" s="4"/>
      <c r="CPV104" s="4"/>
      <c r="CPW104" s="4"/>
      <c r="CPX104" s="4"/>
      <c r="CPY104" s="4"/>
      <c r="CPZ104" s="4"/>
      <c r="CQA104" s="4"/>
      <c r="CQB104" s="4"/>
      <c r="CQC104" s="4"/>
      <c r="CQD104" s="4"/>
      <c r="CQE104" s="4"/>
      <c r="CQF104" s="4"/>
      <c r="CQG104" s="4"/>
      <c r="CQH104" s="4"/>
      <c r="CQI104" s="4"/>
      <c r="CQJ104" s="4"/>
      <c r="CQK104" s="4"/>
      <c r="CQL104" s="4"/>
      <c r="CQM104" s="4"/>
      <c r="CQN104" s="4"/>
      <c r="CQO104" s="4"/>
      <c r="CQP104" s="4"/>
      <c r="CQQ104" s="4"/>
      <c r="CQR104" s="4"/>
      <c r="CQS104" s="4"/>
      <c r="CQT104" s="4"/>
      <c r="CQU104" s="4"/>
      <c r="CQV104" s="4"/>
      <c r="CQW104" s="4"/>
      <c r="CQX104" s="4"/>
      <c r="CQY104" s="4"/>
      <c r="CQZ104" s="4"/>
      <c r="CRA104" s="4"/>
      <c r="CRB104" s="4"/>
      <c r="CRC104" s="4"/>
      <c r="CRD104" s="4"/>
      <c r="CRE104" s="4"/>
      <c r="CRF104" s="4"/>
      <c r="CRG104" s="4"/>
      <c r="CRH104" s="4"/>
      <c r="CRI104" s="4"/>
      <c r="CRJ104" s="4"/>
      <c r="CRK104" s="4"/>
      <c r="CRL104" s="4"/>
      <c r="CRM104" s="4"/>
      <c r="CRN104" s="4"/>
      <c r="CRO104" s="4"/>
      <c r="CRP104" s="4"/>
      <c r="CRQ104" s="4"/>
      <c r="CRR104" s="4"/>
      <c r="CRS104" s="4"/>
      <c r="CRT104" s="4"/>
      <c r="CRU104" s="4"/>
      <c r="CRV104" s="4"/>
      <c r="CRW104" s="4"/>
      <c r="CRX104" s="4"/>
      <c r="CRY104" s="4"/>
      <c r="CRZ104" s="4"/>
      <c r="CSA104" s="4"/>
      <c r="CSB104" s="4"/>
      <c r="CSC104" s="4"/>
      <c r="CSD104" s="4"/>
      <c r="CSE104" s="4"/>
      <c r="CSF104" s="4"/>
      <c r="CSG104" s="4"/>
      <c r="CSH104" s="4"/>
      <c r="CSI104" s="4"/>
      <c r="CSJ104" s="4"/>
      <c r="CSK104" s="4"/>
      <c r="CSL104" s="4"/>
      <c r="CSM104" s="4"/>
      <c r="CSN104" s="4"/>
      <c r="CSO104" s="4"/>
      <c r="CSP104" s="4"/>
      <c r="CSQ104" s="4"/>
      <c r="CSR104" s="4"/>
      <c r="CSS104" s="4"/>
      <c r="CST104" s="4"/>
      <c r="CSU104" s="4"/>
      <c r="CSV104" s="4"/>
      <c r="CSW104" s="4"/>
      <c r="CSX104" s="4"/>
      <c r="CSY104" s="4"/>
      <c r="CSZ104" s="4"/>
      <c r="CTA104" s="4"/>
      <c r="CTB104" s="4"/>
      <c r="CTC104" s="4"/>
      <c r="CTD104" s="4"/>
      <c r="CTE104" s="4"/>
      <c r="CTF104" s="4"/>
      <c r="CTG104" s="4"/>
      <c r="CTH104" s="4"/>
      <c r="CTI104" s="4"/>
      <c r="CTJ104" s="4"/>
      <c r="CTK104" s="4"/>
      <c r="CTL104" s="4"/>
      <c r="CTM104" s="4"/>
      <c r="CTN104" s="4"/>
      <c r="CTO104" s="4"/>
      <c r="CTP104" s="4"/>
      <c r="CTQ104" s="4"/>
      <c r="CTR104" s="4"/>
      <c r="CTS104" s="4"/>
      <c r="CTT104" s="4"/>
      <c r="CTU104" s="4"/>
      <c r="CTV104" s="4"/>
      <c r="CTW104" s="4"/>
      <c r="CTX104" s="4"/>
      <c r="CTY104" s="4"/>
      <c r="CTZ104" s="4"/>
      <c r="CUA104" s="4"/>
      <c r="CUB104" s="4"/>
      <c r="CUC104" s="4"/>
      <c r="CUD104" s="4"/>
      <c r="CUE104" s="4"/>
      <c r="CUF104" s="4"/>
      <c r="CUG104" s="4"/>
      <c r="CUH104" s="4"/>
      <c r="CUI104" s="4"/>
      <c r="CUJ104" s="4"/>
      <c r="CUK104" s="4"/>
      <c r="CUL104" s="4"/>
      <c r="CUM104" s="4"/>
      <c r="CUN104" s="4"/>
      <c r="CUO104" s="4"/>
      <c r="CUP104" s="4"/>
      <c r="CUQ104" s="4"/>
      <c r="CUR104" s="4"/>
      <c r="CUS104" s="4"/>
      <c r="CUT104" s="4"/>
      <c r="CUU104" s="4"/>
      <c r="CUV104" s="4"/>
      <c r="CUW104" s="4"/>
      <c r="CUX104" s="4"/>
      <c r="CUY104" s="4"/>
      <c r="CUZ104" s="4"/>
      <c r="CVA104" s="4"/>
      <c r="CVB104" s="4"/>
      <c r="CVC104" s="4"/>
      <c r="CVD104" s="4"/>
      <c r="CVE104" s="4"/>
      <c r="CVF104" s="4"/>
      <c r="CVG104" s="4"/>
      <c r="CVH104" s="4"/>
      <c r="CVI104" s="4"/>
      <c r="CVJ104" s="4"/>
      <c r="CVK104" s="4"/>
      <c r="CVL104" s="4"/>
      <c r="CVM104" s="4"/>
      <c r="CVN104" s="4"/>
      <c r="CVO104" s="4"/>
      <c r="CVP104" s="4"/>
      <c r="CVQ104" s="4"/>
      <c r="CVR104" s="4"/>
      <c r="CVS104" s="4"/>
      <c r="CVT104" s="4"/>
      <c r="CVU104" s="4"/>
      <c r="CVV104" s="4"/>
      <c r="CVW104" s="4"/>
      <c r="CVX104" s="4"/>
      <c r="CVY104" s="4"/>
      <c r="CVZ104" s="4"/>
      <c r="CWA104" s="4"/>
      <c r="CWB104" s="4"/>
      <c r="CWC104" s="4"/>
      <c r="CWD104" s="4"/>
      <c r="CWE104" s="4"/>
      <c r="CWF104" s="4"/>
      <c r="CWG104" s="4"/>
      <c r="CWH104" s="4"/>
      <c r="CWI104" s="4"/>
      <c r="CWJ104" s="4"/>
      <c r="CWK104" s="4"/>
      <c r="CWL104" s="4"/>
      <c r="CWM104" s="4"/>
      <c r="CWN104" s="4"/>
      <c r="CWO104" s="4"/>
      <c r="CWP104" s="4"/>
      <c r="CWQ104" s="4"/>
      <c r="CWR104" s="4"/>
      <c r="CWS104" s="4"/>
      <c r="CWT104" s="4"/>
      <c r="CWU104" s="4"/>
      <c r="CWV104" s="4"/>
      <c r="CWW104" s="4"/>
      <c r="CWX104" s="4"/>
      <c r="CWY104" s="4"/>
      <c r="CWZ104" s="4"/>
      <c r="CXA104" s="4"/>
      <c r="CXB104" s="4"/>
      <c r="CXC104" s="4"/>
      <c r="CXD104" s="4"/>
      <c r="CXE104" s="4"/>
      <c r="CXF104" s="4"/>
      <c r="CXG104" s="4"/>
      <c r="CXH104" s="4"/>
      <c r="CXI104" s="4"/>
      <c r="CXJ104" s="4"/>
      <c r="CXK104" s="4"/>
      <c r="CXL104" s="4"/>
      <c r="CXM104" s="4"/>
      <c r="CXN104" s="4"/>
      <c r="CXO104" s="4"/>
      <c r="CXP104" s="4"/>
      <c r="CXQ104" s="4"/>
      <c r="CXR104" s="4"/>
      <c r="CXS104" s="4"/>
      <c r="CXT104" s="4"/>
      <c r="CXU104" s="4"/>
      <c r="CXV104" s="4"/>
      <c r="CXW104" s="4"/>
      <c r="CXX104" s="4"/>
      <c r="CXY104" s="4"/>
      <c r="CXZ104" s="4"/>
      <c r="CYA104" s="4"/>
      <c r="CYB104" s="4"/>
      <c r="CYC104" s="4"/>
      <c r="CYD104" s="4"/>
      <c r="CYE104" s="4"/>
      <c r="CYF104" s="4"/>
      <c r="CYG104" s="4"/>
      <c r="CYH104" s="4"/>
      <c r="CYI104" s="4"/>
      <c r="CYJ104" s="4"/>
      <c r="CYK104" s="4"/>
      <c r="CYL104" s="4"/>
      <c r="CYM104" s="4"/>
      <c r="CYN104" s="4"/>
      <c r="CYO104" s="4"/>
      <c r="CYP104" s="4"/>
      <c r="CYQ104" s="4"/>
      <c r="CYR104" s="4"/>
      <c r="CYS104" s="4"/>
      <c r="CYT104" s="4"/>
      <c r="CYU104" s="4"/>
      <c r="CYV104" s="4"/>
      <c r="CYW104" s="4"/>
      <c r="CYX104" s="4"/>
      <c r="CYY104" s="4"/>
      <c r="CYZ104" s="4"/>
      <c r="CZA104" s="4"/>
      <c r="CZB104" s="4"/>
      <c r="CZC104" s="4"/>
      <c r="CZD104" s="4"/>
      <c r="CZE104" s="4"/>
      <c r="CZF104" s="4"/>
      <c r="CZG104" s="4"/>
      <c r="CZH104" s="4"/>
      <c r="CZI104" s="4"/>
      <c r="CZJ104" s="4"/>
      <c r="CZK104" s="4"/>
      <c r="CZL104" s="4"/>
      <c r="CZM104" s="4"/>
      <c r="CZN104" s="4"/>
      <c r="CZO104" s="4"/>
      <c r="CZP104" s="4"/>
      <c r="CZQ104" s="4"/>
      <c r="CZR104" s="4"/>
      <c r="CZS104" s="4"/>
      <c r="CZT104" s="4"/>
      <c r="CZU104" s="4"/>
      <c r="CZV104" s="4"/>
      <c r="CZW104" s="4"/>
      <c r="CZX104" s="4"/>
      <c r="CZY104" s="4"/>
      <c r="CZZ104" s="4"/>
      <c r="DAA104" s="4"/>
      <c r="DAB104" s="4"/>
      <c r="DAC104" s="4"/>
      <c r="DAD104" s="4"/>
      <c r="DAE104" s="4"/>
      <c r="DAF104" s="4"/>
      <c r="DAG104" s="4"/>
      <c r="DAH104" s="4"/>
      <c r="DAI104" s="4"/>
      <c r="DAJ104" s="4"/>
      <c r="DAK104" s="4"/>
      <c r="DAL104" s="4"/>
      <c r="DAM104" s="4"/>
      <c r="DAN104" s="4"/>
      <c r="DAO104" s="4"/>
      <c r="DAP104" s="4"/>
      <c r="DAQ104" s="4"/>
      <c r="DAR104" s="4"/>
      <c r="DAS104" s="4"/>
      <c r="DAT104" s="4"/>
      <c r="DAU104" s="4"/>
      <c r="DAV104" s="4"/>
      <c r="DAW104" s="4"/>
      <c r="DAX104" s="4"/>
      <c r="DAY104" s="4"/>
      <c r="DAZ104" s="4"/>
      <c r="DBA104" s="4"/>
      <c r="DBB104" s="4"/>
      <c r="DBC104" s="4"/>
      <c r="DBD104" s="4"/>
      <c r="DBE104" s="4"/>
      <c r="DBF104" s="4"/>
      <c r="DBG104" s="4"/>
      <c r="DBH104" s="4"/>
      <c r="DBI104" s="4"/>
      <c r="DBJ104" s="4"/>
      <c r="DBK104" s="4"/>
      <c r="DBL104" s="4"/>
      <c r="DBM104" s="4"/>
      <c r="DBN104" s="4"/>
      <c r="DBO104" s="4"/>
      <c r="DBP104" s="4"/>
      <c r="DBQ104" s="4"/>
      <c r="DBR104" s="4"/>
      <c r="DBS104" s="4"/>
      <c r="DBT104" s="4"/>
      <c r="DBU104" s="4"/>
      <c r="DBV104" s="4"/>
      <c r="DBW104" s="4"/>
      <c r="DBX104" s="4"/>
      <c r="DBY104" s="4"/>
      <c r="DBZ104" s="4"/>
      <c r="DCA104" s="4"/>
      <c r="DCB104" s="4"/>
      <c r="DCC104" s="4"/>
      <c r="DCD104" s="4"/>
      <c r="DCE104" s="4"/>
      <c r="DCF104" s="4"/>
      <c r="DCG104" s="4"/>
      <c r="DCH104" s="4"/>
      <c r="DCI104" s="4"/>
      <c r="DCJ104" s="4"/>
      <c r="DCK104" s="4"/>
      <c r="DCL104" s="4"/>
      <c r="DCM104" s="4"/>
      <c r="DCN104" s="4"/>
      <c r="DCO104" s="4"/>
      <c r="DCP104" s="4"/>
      <c r="DCQ104" s="4"/>
      <c r="DCR104" s="4"/>
      <c r="DCS104" s="4"/>
      <c r="DCT104" s="4"/>
      <c r="DCU104" s="4"/>
      <c r="DCV104" s="4"/>
      <c r="DCW104" s="4"/>
      <c r="DCX104" s="4"/>
      <c r="DCY104" s="4"/>
      <c r="DCZ104" s="4"/>
      <c r="DDA104" s="4"/>
      <c r="DDB104" s="4"/>
      <c r="DDC104" s="4"/>
      <c r="DDD104" s="4"/>
      <c r="DDE104" s="4"/>
      <c r="DDF104" s="4"/>
      <c r="DDG104" s="4"/>
      <c r="DDH104" s="4"/>
      <c r="DDI104" s="4"/>
      <c r="DDJ104" s="4"/>
      <c r="DDK104" s="4"/>
      <c r="DDL104" s="4"/>
      <c r="DDM104" s="4"/>
      <c r="DDN104" s="4"/>
      <c r="DDO104" s="4"/>
      <c r="DDP104" s="4"/>
      <c r="DDQ104" s="4"/>
      <c r="DDR104" s="4"/>
      <c r="DDS104" s="4"/>
      <c r="DDT104" s="4"/>
      <c r="DDU104" s="4"/>
      <c r="DDV104" s="4"/>
      <c r="DDW104" s="4"/>
      <c r="DDX104" s="4"/>
      <c r="DDY104" s="4"/>
      <c r="DDZ104" s="4"/>
      <c r="DEA104" s="4"/>
      <c r="DEB104" s="4"/>
      <c r="DEC104" s="4"/>
      <c r="DED104" s="4"/>
      <c r="DEE104" s="4"/>
      <c r="DEF104" s="4"/>
      <c r="DEG104" s="4"/>
      <c r="DEH104" s="4"/>
      <c r="DEI104" s="4"/>
      <c r="DEJ104" s="4"/>
      <c r="DEK104" s="4"/>
      <c r="DEL104" s="4"/>
      <c r="DEM104" s="4"/>
      <c r="DEN104" s="4"/>
      <c r="DEO104" s="4"/>
      <c r="DEP104" s="4"/>
      <c r="DEQ104" s="4"/>
      <c r="DER104" s="4"/>
      <c r="DES104" s="4"/>
      <c r="DET104" s="4"/>
      <c r="DEU104" s="4"/>
      <c r="DEV104" s="4"/>
      <c r="DEW104" s="4"/>
      <c r="DEX104" s="4"/>
      <c r="DEY104" s="4"/>
      <c r="DEZ104" s="4"/>
      <c r="DFA104" s="4"/>
      <c r="DFB104" s="4"/>
      <c r="DFC104" s="4"/>
      <c r="DFD104" s="4"/>
      <c r="DFE104" s="4"/>
      <c r="DFF104" s="4"/>
      <c r="DFG104" s="4"/>
      <c r="DFH104" s="4"/>
      <c r="DFI104" s="4"/>
      <c r="DFJ104" s="4"/>
      <c r="DFK104" s="4"/>
      <c r="DFL104" s="4"/>
      <c r="DFM104" s="4"/>
      <c r="DFN104" s="4"/>
      <c r="DFO104" s="4"/>
      <c r="DFP104" s="4"/>
      <c r="DFQ104" s="4"/>
      <c r="DFR104" s="4"/>
      <c r="DFS104" s="4"/>
      <c r="DFT104" s="4"/>
      <c r="DFU104" s="4"/>
      <c r="DFV104" s="4"/>
      <c r="DFW104" s="4"/>
      <c r="DFX104" s="4"/>
      <c r="DFY104" s="4"/>
      <c r="DFZ104" s="4"/>
      <c r="DGA104" s="4"/>
      <c r="DGB104" s="4"/>
      <c r="DGC104" s="4"/>
      <c r="DGD104" s="4"/>
      <c r="DGE104" s="4"/>
      <c r="DGF104" s="4"/>
      <c r="DGG104" s="4"/>
      <c r="DGH104" s="4"/>
      <c r="DGI104" s="4"/>
      <c r="DGJ104" s="4"/>
      <c r="DGK104" s="4"/>
      <c r="DGL104" s="4"/>
      <c r="DGM104" s="4"/>
      <c r="DGN104" s="4"/>
      <c r="DGO104" s="4"/>
      <c r="DGP104" s="4"/>
      <c r="DGQ104" s="4"/>
      <c r="DGR104" s="4"/>
      <c r="DGS104" s="4"/>
      <c r="DGT104" s="4"/>
      <c r="DGU104" s="4"/>
      <c r="DGV104" s="4"/>
      <c r="DGW104" s="4"/>
      <c r="DGX104" s="4"/>
      <c r="DGY104" s="4"/>
      <c r="DGZ104" s="4"/>
      <c r="DHA104" s="4"/>
      <c r="DHB104" s="4"/>
      <c r="DHC104" s="4"/>
      <c r="DHD104" s="4"/>
      <c r="DHE104" s="4"/>
      <c r="DHF104" s="4"/>
      <c r="DHG104" s="4"/>
      <c r="DHH104" s="4"/>
      <c r="DHI104" s="4"/>
      <c r="DHJ104" s="4"/>
      <c r="DHK104" s="4"/>
      <c r="DHL104" s="4"/>
      <c r="DHM104" s="4"/>
      <c r="DHN104" s="4"/>
      <c r="DHO104" s="4"/>
      <c r="DHP104" s="4"/>
      <c r="DHQ104" s="4"/>
      <c r="DHR104" s="4"/>
      <c r="DHS104" s="4"/>
      <c r="DHT104" s="4"/>
      <c r="DHU104" s="4"/>
      <c r="DHV104" s="4"/>
      <c r="DHW104" s="4"/>
      <c r="DHX104" s="4"/>
      <c r="DHY104" s="4"/>
      <c r="DHZ104" s="4"/>
      <c r="DIA104" s="4"/>
      <c r="DIB104" s="4"/>
      <c r="DIC104" s="4"/>
      <c r="DID104" s="4"/>
      <c r="DIE104" s="4"/>
      <c r="DIF104" s="4"/>
      <c r="DIG104" s="4"/>
      <c r="DIH104" s="4"/>
      <c r="DII104" s="4"/>
      <c r="DIJ104" s="4"/>
      <c r="DIK104" s="4"/>
      <c r="DIL104" s="4"/>
      <c r="DIM104" s="4"/>
      <c r="DIN104" s="4"/>
      <c r="DIO104" s="4"/>
      <c r="DIP104" s="4"/>
      <c r="DIQ104" s="4"/>
      <c r="DIR104" s="4"/>
      <c r="DIS104" s="4"/>
      <c r="DIT104" s="4"/>
      <c r="DIU104" s="4"/>
      <c r="DIV104" s="4"/>
      <c r="DIW104" s="4"/>
      <c r="DIX104" s="4"/>
      <c r="DIY104" s="4"/>
      <c r="DIZ104" s="4"/>
      <c r="DJA104" s="4"/>
      <c r="DJB104" s="4"/>
      <c r="DJC104" s="4"/>
      <c r="DJD104" s="4"/>
      <c r="DJE104" s="4"/>
      <c r="DJF104" s="4"/>
      <c r="DJG104" s="4"/>
      <c r="DJH104" s="4"/>
      <c r="DJI104" s="4"/>
      <c r="DJJ104" s="4"/>
      <c r="DJK104" s="4"/>
      <c r="DJL104" s="4"/>
      <c r="DJM104" s="4"/>
      <c r="DJN104" s="4"/>
      <c r="DJO104" s="4"/>
      <c r="DJP104" s="4"/>
      <c r="DJQ104" s="4"/>
      <c r="DJR104" s="4"/>
      <c r="DJS104" s="4"/>
      <c r="DJT104" s="4"/>
      <c r="DJU104" s="4"/>
      <c r="DJV104" s="4"/>
      <c r="DJW104" s="4"/>
      <c r="DJX104" s="4"/>
      <c r="DJY104" s="4"/>
      <c r="DJZ104" s="4"/>
      <c r="DKA104" s="4"/>
      <c r="DKB104" s="4"/>
      <c r="DKC104" s="4"/>
      <c r="DKD104" s="4"/>
      <c r="DKE104" s="4"/>
      <c r="DKF104" s="4"/>
      <c r="DKG104" s="4"/>
      <c r="DKH104" s="4"/>
      <c r="DKI104" s="4"/>
      <c r="DKJ104" s="4"/>
      <c r="DKK104" s="4"/>
      <c r="DKL104" s="4"/>
      <c r="DKM104" s="4"/>
      <c r="DKN104" s="4"/>
      <c r="DKO104" s="4"/>
      <c r="DKP104" s="4"/>
      <c r="DKQ104" s="4"/>
      <c r="DKR104" s="4"/>
      <c r="DKS104" s="4"/>
      <c r="DKT104" s="4"/>
      <c r="DKU104" s="4"/>
      <c r="DKV104" s="4"/>
      <c r="DKW104" s="4"/>
      <c r="DKX104" s="4"/>
      <c r="DKY104" s="4"/>
      <c r="DKZ104" s="4"/>
      <c r="DLA104" s="4"/>
      <c r="DLB104" s="4"/>
      <c r="DLC104" s="4"/>
      <c r="DLD104" s="4"/>
      <c r="DLE104" s="4"/>
      <c r="DLF104" s="4"/>
      <c r="DLG104" s="4"/>
      <c r="DLH104" s="4"/>
      <c r="DLI104" s="4"/>
      <c r="DLJ104" s="4"/>
      <c r="DLK104" s="4"/>
      <c r="DLL104" s="4"/>
      <c r="DLM104" s="4"/>
      <c r="DLN104" s="4"/>
      <c r="DLO104" s="4"/>
      <c r="DLP104" s="4"/>
      <c r="DLQ104" s="4"/>
      <c r="DLR104" s="4"/>
      <c r="DLS104" s="4"/>
      <c r="DLT104" s="4"/>
      <c r="DLU104" s="4"/>
      <c r="DLV104" s="4"/>
      <c r="DLW104" s="4"/>
      <c r="DLX104" s="4"/>
      <c r="DLY104" s="4"/>
      <c r="DLZ104" s="4"/>
      <c r="DMA104" s="4"/>
      <c r="DMB104" s="4"/>
      <c r="DMC104" s="4"/>
      <c r="DMD104" s="4"/>
      <c r="DME104" s="4"/>
      <c r="DMF104" s="4"/>
      <c r="DMG104" s="4"/>
      <c r="DMH104" s="4"/>
      <c r="DMI104" s="4"/>
      <c r="DMJ104" s="4"/>
      <c r="DMK104" s="4"/>
      <c r="DML104" s="4"/>
      <c r="DMM104" s="4"/>
      <c r="DMN104" s="4"/>
      <c r="DMO104" s="4"/>
      <c r="DMP104" s="4"/>
      <c r="DMQ104" s="4"/>
      <c r="DMR104" s="4"/>
      <c r="DMS104" s="4"/>
      <c r="DMT104" s="4"/>
      <c r="DMU104" s="4"/>
      <c r="DMV104" s="4"/>
      <c r="DMW104" s="4"/>
      <c r="DMX104" s="4"/>
      <c r="DMY104" s="4"/>
      <c r="DMZ104" s="4"/>
      <c r="DNA104" s="4"/>
      <c r="DNB104" s="4"/>
      <c r="DNC104" s="4"/>
      <c r="DND104" s="4"/>
      <c r="DNE104" s="4"/>
      <c r="DNF104" s="4"/>
      <c r="DNG104" s="4"/>
      <c r="DNH104" s="4"/>
      <c r="DNI104" s="4"/>
      <c r="DNJ104" s="4"/>
      <c r="DNK104" s="4"/>
      <c r="DNL104" s="4"/>
      <c r="DNM104" s="4"/>
      <c r="DNN104" s="4"/>
      <c r="DNO104" s="4"/>
      <c r="DNP104" s="4"/>
      <c r="DNQ104" s="4"/>
      <c r="DNR104" s="4"/>
      <c r="DNS104" s="4"/>
      <c r="DNT104" s="4"/>
      <c r="DNU104" s="4"/>
      <c r="DNV104" s="4"/>
      <c r="DNW104" s="4"/>
      <c r="DNX104" s="4"/>
      <c r="DNY104" s="4"/>
      <c r="DNZ104" s="4"/>
      <c r="DOA104" s="4"/>
      <c r="DOB104" s="4"/>
      <c r="DOC104" s="4"/>
      <c r="DOD104" s="4"/>
      <c r="DOE104" s="4"/>
      <c r="DOF104" s="4"/>
      <c r="DOG104" s="4"/>
      <c r="DOH104" s="4"/>
      <c r="DOI104" s="4"/>
      <c r="DOJ104" s="4"/>
      <c r="DOK104" s="4"/>
      <c r="DOL104" s="4"/>
      <c r="DOM104" s="4"/>
      <c r="DON104" s="4"/>
      <c r="DOO104" s="4"/>
      <c r="DOP104" s="4"/>
      <c r="DOQ104" s="4"/>
      <c r="DOR104" s="4"/>
      <c r="DOS104" s="4"/>
      <c r="DOT104" s="4"/>
      <c r="DOU104" s="4"/>
      <c r="DOV104" s="4"/>
      <c r="DOW104" s="4"/>
      <c r="DOX104" s="4"/>
      <c r="DOY104" s="4"/>
      <c r="DOZ104" s="4"/>
      <c r="DPA104" s="4"/>
      <c r="DPB104" s="4"/>
      <c r="DPC104" s="4"/>
      <c r="DPD104" s="4"/>
      <c r="DPE104" s="4"/>
      <c r="DPF104" s="4"/>
      <c r="DPG104" s="4"/>
      <c r="DPH104" s="4"/>
      <c r="DPI104" s="4"/>
      <c r="DPJ104" s="4"/>
      <c r="DPK104" s="4"/>
      <c r="DPL104" s="4"/>
      <c r="DPM104" s="4"/>
      <c r="DPN104" s="4"/>
      <c r="DPO104" s="4"/>
      <c r="DPP104" s="4"/>
      <c r="DPQ104" s="4"/>
      <c r="DPR104" s="4"/>
      <c r="DPS104" s="4"/>
      <c r="DPT104" s="4"/>
      <c r="DPU104" s="4"/>
      <c r="DPV104" s="4"/>
      <c r="DPW104" s="4"/>
      <c r="DPX104" s="4"/>
      <c r="DPY104" s="4"/>
      <c r="DPZ104" s="4"/>
      <c r="DQA104" s="4"/>
      <c r="DQB104" s="4"/>
      <c r="DQC104" s="4"/>
      <c r="DQD104" s="4"/>
      <c r="DQE104" s="4"/>
      <c r="DQF104" s="4"/>
      <c r="DQG104" s="4"/>
      <c r="DQH104" s="4"/>
      <c r="DQI104" s="4"/>
      <c r="DQJ104" s="4"/>
      <c r="DQK104" s="4"/>
      <c r="DQL104" s="4"/>
      <c r="DQM104" s="4"/>
      <c r="DQN104" s="4"/>
      <c r="DQO104" s="4"/>
      <c r="DQP104" s="4"/>
      <c r="DQQ104" s="4"/>
      <c r="DQR104" s="4"/>
      <c r="DQS104" s="4"/>
      <c r="DQT104" s="4"/>
      <c r="DQU104" s="4"/>
      <c r="DQV104" s="4"/>
      <c r="DQW104" s="4"/>
      <c r="DQX104" s="4"/>
      <c r="DQY104" s="4"/>
      <c r="DQZ104" s="4"/>
      <c r="DRA104" s="4"/>
      <c r="DRB104" s="4"/>
      <c r="DRC104" s="4"/>
      <c r="DRD104" s="4"/>
      <c r="DRE104" s="4"/>
      <c r="DRF104" s="4"/>
      <c r="DRG104" s="4"/>
      <c r="DRH104" s="4"/>
      <c r="DRI104" s="4"/>
      <c r="DRJ104" s="4"/>
      <c r="DRK104" s="4"/>
      <c r="DRL104" s="4"/>
      <c r="DRM104" s="4"/>
      <c r="DRN104" s="4"/>
      <c r="DRO104" s="4"/>
      <c r="DRP104" s="4"/>
      <c r="DRQ104" s="4"/>
      <c r="DRR104" s="4"/>
      <c r="DRS104" s="4"/>
      <c r="DRT104" s="4"/>
      <c r="DRU104" s="4"/>
      <c r="DRV104" s="4"/>
      <c r="DRW104" s="4"/>
      <c r="DRX104" s="4"/>
      <c r="DRY104" s="4"/>
      <c r="DRZ104" s="4"/>
      <c r="DSA104" s="4"/>
      <c r="DSB104" s="4"/>
      <c r="DSC104" s="4"/>
      <c r="DSD104" s="4"/>
      <c r="DSE104" s="4"/>
      <c r="DSF104" s="4"/>
      <c r="DSG104" s="4"/>
      <c r="DSH104" s="4"/>
      <c r="DSI104" s="4"/>
      <c r="DSJ104" s="4"/>
      <c r="DSK104" s="4"/>
      <c r="DSL104" s="4"/>
      <c r="DSM104" s="4"/>
      <c r="DSN104" s="4"/>
      <c r="DSO104" s="4"/>
      <c r="DSP104" s="4"/>
      <c r="DSQ104" s="4"/>
      <c r="DSR104" s="4"/>
      <c r="DSS104" s="4"/>
      <c r="DST104" s="4"/>
      <c r="DSU104" s="4"/>
      <c r="DSV104" s="4"/>
      <c r="DSW104" s="4"/>
      <c r="DSX104" s="4"/>
      <c r="DSY104" s="4"/>
      <c r="DSZ104" s="4"/>
      <c r="DTA104" s="4"/>
      <c r="DTB104" s="4"/>
      <c r="DTC104" s="4"/>
      <c r="DTD104" s="4"/>
      <c r="DTE104" s="4"/>
      <c r="DTF104" s="4"/>
      <c r="DTG104" s="4"/>
      <c r="DTH104" s="4"/>
      <c r="DTI104" s="4"/>
      <c r="DTJ104" s="4"/>
      <c r="DTK104" s="4"/>
      <c r="DTL104" s="4"/>
      <c r="DTM104" s="4"/>
      <c r="DTN104" s="4"/>
      <c r="DTO104" s="4"/>
      <c r="DTP104" s="4"/>
      <c r="DTQ104" s="4"/>
      <c r="DTR104" s="4"/>
      <c r="DTS104" s="4"/>
      <c r="DTT104" s="4"/>
      <c r="DTU104" s="4"/>
      <c r="DTV104" s="4"/>
      <c r="DTW104" s="4"/>
      <c r="DTX104" s="4"/>
      <c r="DTY104" s="4"/>
      <c r="DTZ104" s="4"/>
      <c r="DUA104" s="4"/>
      <c r="DUB104" s="4"/>
      <c r="DUC104" s="4"/>
      <c r="DUD104" s="4"/>
      <c r="DUE104" s="4"/>
      <c r="DUF104" s="4"/>
      <c r="DUG104" s="4"/>
      <c r="DUH104" s="4"/>
      <c r="DUI104" s="4"/>
      <c r="DUJ104" s="4"/>
      <c r="DUK104" s="4"/>
      <c r="DUL104" s="4"/>
      <c r="DUM104" s="4"/>
      <c r="DUN104" s="4"/>
      <c r="DUO104" s="4"/>
      <c r="DUP104" s="4"/>
      <c r="DUQ104" s="4"/>
      <c r="DUR104" s="4"/>
      <c r="DUS104" s="4"/>
      <c r="DUT104" s="4"/>
      <c r="DUU104" s="4"/>
      <c r="DUV104" s="4"/>
      <c r="DUW104" s="4"/>
      <c r="DUX104" s="4"/>
      <c r="DUY104" s="4"/>
      <c r="DUZ104" s="4"/>
      <c r="DVA104" s="4"/>
      <c r="DVB104" s="4"/>
      <c r="DVC104" s="4"/>
      <c r="DVD104" s="4"/>
      <c r="DVE104" s="4"/>
      <c r="DVF104" s="4"/>
      <c r="DVG104" s="4"/>
      <c r="DVH104" s="4"/>
      <c r="DVI104" s="4"/>
      <c r="DVJ104" s="4"/>
      <c r="DVK104" s="4"/>
      <c r="DVL104" s="4"/>
      <c r="DVM104" s="4"/>
      <c r="DVN104" s="4"/>
      <c r="DVO104" s="4"/>
      <c r="DVP104" s="4"/>
      <c r="DVQ104" s="4"/>
      <c r="DVR104" s="4"/>
      <c r="DVS104" s="4"/>
      <c r="DVT104" s="4"/>
      <c r="DVU104" s="4"/>
      <c r="DVV104" s="4"/>
      <c r="DVW104" s="4"/>
      <c r="DVX104" s="4"/>
      <c r="DVY104" s="4"/>
      <c r="DVZ104" s="4"/>
      <c r="DWA104" s="4"/>
      <c r="DWB104" s="4"/>
      <c r="DWC104" s="4"/>
      <c r="DWD104" s="4"/>
      <c r="DWE104" s="4"/>
      <c r="DWF104" s="4"/>
      <c r="DWG104" s="4"/>
      <c r="DWH104" s="4"/>
      <c r="DWI104" s="4"/>
      <c r="DWJ104" s="4"/>
      <c r="DWK104" s="4"/>
      <c r="DWL104" s="4"/>
      <c r="DWM104" s="4"/>
      <c r="DWN104" s="4"/>
      <c r="DWO104" s="4"/>
      <c r="DWP104" s="4"/>
      <c r="DWQ104" s="4"/>
      <c r="DWR104" s="4"/>
      <c r="DWS104" s="4"/>
      <c r="DWT104" s="4"/>
      <c r="DWU104" s="4"/>
      <c r="DWV104" s="4"/>
      <c r="DWW104" s="4"/>
      <c r="DWX104" s="4"/>
      <c r="DWY104" s="4"/>
      <c r="DWZ104" s="4"/>
      <c r="DXA104" s="4"/>
      <c r="DXB104" s="4"/>
      <c r="DXC104" s="4"/>
      <c r="DXD104" s="4"/>
      <c r="DXE104" s="4"/>
      <c r="DXF104" s="4"/>
      <c r="DXG104" s="4"/>
      <c r="DXH104" s="4"/>
      <c r="DXI104" s="4"/>
      <c r="DXJ104" s="4"/>
      <c r="DXK104" s="4"/>
      <c r="DXL104" s="4"/>
      <c r="DXM104" s="4"/>
      <c r="DXN104" s="4"/>
      <c r="DXO104" s="4"/>
      <c r="DXP104" s="4"/>
      <c r="DXQ104" s="4"/>
      <c r="DXR104" s="4"/>
      <c r="DXS104" s="4"/>
      <c r="DXT104" s="4"/>
      <c r="DXU104" s="4"/>
      <c r="DXV104" s="4"/>
      <c r="DXW104" s="4"/>
      <c r="DXX104" s="4"/>
      <c r="DXY104" s="4"/>
      <c r="DXZ104" s="4"/>
      <c r="DYA104" s="4"/>
      <c r="DYB104" s="4"/>
      <c r="DYC104" s="4"/>
      <c r="DYD104" s="4"/>
      <c r="DYE104" s="4"/>
      <c r="DYF104" s="4"/>
      <c r="DYG104" s="4"/>
      <c r="DYH104" s="4"/>
      <c r="DYI104" s="4"/>
      <c r="DYJ104" s="4"/>
      <c r="DYK104" s="4"/>
      <c r="DYL104" s="4"/>
      <c r="DYM104" s="4"/>
      <c r="DYN104" s="4"/>
      <c r="DYO104" s="4"/>
      <c r="DYP104" s="4"/>
      <c r="DYQ104" s="4"/>
      <c r="DYR104" s="4"/>
      <c r="DYS104" s="4"/>
      <c r="DYT104" s="4"/>
      <c r="DYU104" s="4"/>
      <c r="DYV104" s="4"/>
      <c r="DYW104" s="4"/>
      <c r="DYX104" s="4"/>
      <c r="DYY104" s="4"/>
      <c r="DYZ104" s="4"/>
      <c r="DZA104" s="4"/>
      <c r="DZB104" s="4"/>
      <c r="DZC104" s="4"/>
      <c r="DZD104" s="4"/>
      <c r="DZE104" s="4"/>
      <c r="DZF104" s="4"/>
      <c r="DZG104" s="4"/>
      <c r="DZH104" s="4"/>
      <c r="DZI104" s="4"/>
      <c r="DZJ104" s="4"/>
      <c r="DZK104" s="4"/>
      <c r="DZL104" s="4"/>
      <c r="DZM104" s="4"/>
      <c r="DZN104" s="4"/>
      <c r="DZO104" s="4"/>
      <c r="DZP104" s="4"/>
      <c r="DZQ104" s="4"/>
      <c r="DZR104" s="4"/>
      <c r="DZS104" s="4"/>
      <c r="DZT104" s="4"/>
      <c r="DZU104" s="4"/>
      <c r="DZV104" s="4"/>
      <c r="DZW104" s="4"/>
      <c r="DZX104" s="4"/>
      <c r="DZY104" s="4"/>
      <c r="DZZ104" s="4"/>
      <c r="EAA104" s="4"/>
      <c r="EAB104" s="4"/>
      <c r="EAC104" s="4"/>
      <c r="EAD104" s="4"/>
      <c r="EAE104" s="4"/>
      <c r="EAF104" s="4"/>
      <c r="EAG104" s="4"/>
      <c r="EAH104" s="4"/>
      <c r="EAI104" s="4"/>
      <c r="EAJ104" s="4"/>
      <c r="EAK104" s="4"/>
      <c r="EAL104" s="4"/>
      <c r="EAM104" s="4"/>
      <c r="EAN104" s="4"/>
      <c r="EAO104" s="4"/>
      <c r="EAP104" s="4"/>
      <c r="EAQ104" s="4"/>
      <c r="EAR104" s="4"/>
      <c r="EAS104" s="4"/>
      <c r="EAT104" s="4"/>
      <c r="EAU104" s="4"/>
      <c r="EAV104" s="4"/>
      <c r="EAW104" s="4"/>
      <c r="EAX104" s="4"/>
      <c r="EAY104" s="4"/>
      <c r="EAZ104" s="4"/>
      <c r="EBA104" s="4"/>
      <c r="EBB104" s="4"/>
      <c r="EBC104" s="4"/>
      <c r="EBD104" s="4"/>
      <c r="EBE104" s="4"/>
      <c r="EBF104" s="4"/>
      <c r="EBG104" s="4"/>
      <c r="EBH104" s="4"/>
      <c r="EBI104" s="4"/>
      <c r="EBJ104" s="4"/>
      <c r="EBK104" s="4"/>
      <c r="EBL104" s="4"/>
      <c r="EBM104" s="4"/>
      <c r="EBN104" s="4"/>
      <c r="EBO104" s="4"/>
      <c r="EBP104" s="4"/>
      <c r="EBQ104" s="4"/>
      <c r="EBR104" s="4"/>
      <c r="EBS104" s="4"/>
      <c r="EBT104" s="4"/>
      <c r="EBU104" s="4"/>
      <c r="EBV104" s="4"/>
      <c r="EBW104" s="4"/>
      <c r="EBX104" s="4"/>
      <c r="EBY104" s="4"/>
      <c r="EBZ104" s="4"/>
      <c r="ECA104" s="4"/>
      <c r="ECB104" s="4"/>
      <c r="ECC104" s="4"/>
      <c r="ECD104" s="4"/>
      <c r="ECE104" s="4"/>
      <c r="ECF104" s="4"/>
      <c r="ECG104" s="4"/>
      <c r="ECH104" s="4"/>
      <c r="ECI104" s="4"/>
      <c r="ECJ104" s="4"/>
      <c r="ECK104" s="4"/>
      <c r="ECL104" s="4"/>
      <c r="ECM104" s="4"/>
      <c r="ECN104" s="4"/>
      <c r="ECO104" s="4"/>
      <c r="ECP104" s="4"/>
      <c r="ECQ104" s="4"/>
      <c r="ECR104" s="4"/>
      <c r="ECS104" s="4"/>
      <c r="ECT104" s="4"/>
      <c r="ECU104" s="4"/>
      <c r="ECV104" s="4"/>
      <c r="ECW104" s="4"/>
      <c r="ECX104" s="4"/>
      <c r="ECY104" s="4"/>
      <c r="ECZ104" s="4"/>
      <c r="EDA104" s="4"/>
      <c r="EDB104" s="4"/>
      <c r="EDC104" s="4"/>
      <c r="EDD104" s="4"/>
      <c r="EDE104" s="4"/>
      <c r="EDF104" s="4"/>
      <c r="EDG104" s="4"/>
      <c r="EDH104" s="4"/>
      <c r="EDI104" s="4"/>
      <c r="EDJ104" s="4"/>
      <c r="EDK104" s="4"/>
      <c r="EDL104" s="4"/>
      <c r="EDM104" s="4"/>
      <c r="EDN104" s="4"/>
      <c r="EDO104" s="4"/>
      <c r="EDP104" s="4"/>
      <c r="EDQ104" s="4"/>
      <c r="EDR104" s="4"/>
      <c r="EDS104" s="4"/>
      <c r="EDT104" s="4"/>
      <c r="EDU104" s="4"/>
      <c r="EDV104" s="4"/>
      <c r="EDW104" s="4"/>
      <c r="EDX104" s="4"/>
      <c r="EDY104" s="4"/>
      <c r="EDZ104" s="4"/>
      <c r="EEA104" s="4"/>
      <c r="EEB104" s="4"/>
      <c r="EEC104" s="4"/>
      <c r="EED104" s="4"/>
      <c r="EEE104" s="4"/>
      <c r="EEF104" s="4"/>
      <c r="EEG104" s="4"/>
      <c r="EEH104" s="4"/>
      <c r="EEI104" s="4"/>
      <c r="EEJ104" s="4"/>
      <c r="EEK104" s="4"/>
      <c r="EEL104" s="4"/>
      <c r="EEM104" s="4"/>
      <c r="EEN104" s="4"/>
      <c r="EEO104" s="4"/>
      <c r="EEP104" s="4"/>
      <c r="EEQ104" s="4"/>
      <c r="EER104" s="4"/>
      <c r="EES104" s="4"/>
      <c r="EET104" s="4"/>
      <c r="EEU104" s="4"/>
      <c r="EEV104" s="4"/>
      <c r="EEW104" s="4"/>
      <c r="EEX104" s="4"/>
      <c r="EEY104" s="4"/>
      <c r="EEZ104" s="4"/>
      <c r="EFA104" s="4"/>
      <c r="EFB104" s="4"/>
      <c r="EFC104" s="4"/>
      <c r="EFD104" s="4"/>
      <c r="EFE104" s="4"/>
      <c r="EFF104" s="4"/>
      <c r="EFG104" s="4"/>
      <c r="EFH104" s="4"/>
      <c r="EFI104" s="4"/>
      <c r="EFJ104" s="4"/>
      <c r="EFK104" s="4"/>
      <c r="EFL104" s="4"/>
      <c r="EFM104" s="4"/>
      <c r="EFN104" s="4"/>
      <c r="EFO104" s="4"/>
      <c r="EFP104" s="4"/>
      <c r="EFQ104" s="4"/>
      <c r="EFR104" s="4"/>
      <c r="EFS104" s="4"/>
      <c r="EFT104" s="4"/>
      <c r="EFU104" s="4"/>
      <c r="EFV104" s="4"/>
      <c r="EFW104" s="4"/>
      <c r="EFX104" s="4"/>
      <c r="EFY104" s="4"/>
      <c r="EFZ104" s="4"/>
      <c r="EGA104" s="4"/>
      <c r="EGB104" s="4"/>
      <c r="EGC104" s="4"/>
      <c r="EGD104" s="4"/>
      <c r="EGE104" s="4"/>
      <c r="EGF104" s="4"/>
      <c r="EGG104" s="4"/>
      <c r="EGH104" s="4"/>
      <c r="EGI104" s="4"/>
      <c r="EGJ104" s="4"/>
      <c r="EGK104" s="4"/>
      <c r="EGL104" s="4"/>
      <c r="EGM104" s="4"/>
      <c r="EGN104" s="4"/>
      <c r="EGO104" s="4"/>
      <c r="EGP104" s="4"/>
      <c r="EGQ104" s="4"/>
      <c r="EGR104" s="4"/>
      <c r="EGS104" s="4"/>
      <c r="EGT104" s="4"/>
      <c r="EGU104" s="4"/>
      <c r="EGV104" s="4"/>
      <c r="EGW104" s="4"/>
      <c r="EGX104" s="4"/>
      <c r="EGY104" s="4"/>
      <c r="EGZ104" s="4"/>
      <c r="EHA104" s="4"/>
      <c r="EHB104" s="4"/>
      <c r="EHC104" s="4"/>
      <c r="EHD104" s="4"/>
      <c r="EHE104" s="4"/>
      <c r="EHF104" s="4"/>
      <c r="EHG104" s="4"/>
      <c r="EHH104" s="4"/>
      <c r="EHI104" s="4"/>
      <c r="EHJ104" s="4"/>
      <c r="EHK104" s="4"/>
      <c r="EHL104" s="4"/>
      <c r="EHM104" s="4"/>
      <c r="EHN104" s="4"/>
      <c r="EHO104" s="4"/>
      <c r="EHP104" s="4"/>
      <c r="EHQ104" s="4"/>
      <c r="EHR104" s="4"/>
      <c r="EHS104" s="4"/>
      <c r="EHT104" s="4"/>
      <c r="EHU104" s="4"/>
      <c r="EHV104" s="4"/>
      <c r="EHW104" s="4"/>
      <c r="EHX104" s="4"/>
      <c r="EHY104" s="4"/>
      <c r="EHZ104" s="4"/>
      <c r="EIA104" s="4"/>
      <c r="EIB104" s="4"/>
      <c r="EIC104" s="4"/>
      <c r="EID104" s="4"/>
      <c r="EIE104" s="4"/>
      <c r="EIF104" s="4"/>
      <c r="EIG104" s="4"/>
      <c r="EIH104" s="4"/>
      <c r="EII104" s="4"/>
      <c r="EIJ104" s="4"/>
      <c r="EIK104" s="4"/>
      <c r="EIL104" s="4"/>
      <c r="EIM104" s="4"/>
      <c r="EIN104" s="4"/>
      <c r="EIO104" s="4"/>
      <c r="EIP104" s="4"/>
      <c r="EIQ104" s="4"/>
      <c r="EIR104" s="4"/>
      <c r="EIS104" s="4"/>
      <c r="EIT104" s="4"/>
      <c r="EIU104" s="4"/>
      <c r="EIV104" s="4"/>
      <c r="EIW104" s="4"/>
      <c r="EIX104" s="4"/>
      <c r="EIY104" s="4"/>
      <c r="EIZ104" s="4"/>
      <c r="EJA104" s="4"/>
      <c r="EJB104" s="4"/>
      <c r="EJC104" s="4"/>
      <c r="EJD104" s="4"/>
      <c r="EJE104" s="4"/>
      <c r="EJF104" s="4"/>
      <c r="EJG104" s="4"/>
      <c r="EJH104" s="4"/>
      <c r="EJI104" s="4"/>
      <c r="EJJ104" s="4"/>
      <c r="EJK104" s="4"/>
      <c r="EJL104" s="4"/>
      <c r="EJM104" s="4"/>
      <c r="EJN104" s="4"/>
      <c r="EJO104" s="4"/>
      <c r="EJP104" s="4"/>
      <c r="EJQ104" s="4"/>
      <c r="EJR104" s="4"/>
      <c r="EJS104" s="4"/>
      <c r="EJT104" s="4"/>
      <c r="EJU104" s="4"/>
      <c r="EJV104" s="4"/>
      <c r="EJW104" s="4"/>
      <c r="EJX104" s="4"/>
      <c r="EJY104" s="4"/>
      <c r="EJZ104" s="4"/>
      <c r="EKA104" s="4"/>
      <c r="EKB104" s="4"/>
      <c r="EKC104" s="4"/>
      <c r="EKD104" s="4"/>
      <c r="EKE104" s="4"/>
      <c r="EKF104" s="4"/>
      <c r="EKG104" s="4"/>
      <c r="EKH104" s="4"/>
      <c r="EKI104" s="4"/>
      <c r="EKJ104" s="4"/>
      <c r="EKK104" s="4"/>
      <c r="EKL104" s="4"/>
      <c r="EKM104" s="4"/>
      <c r="EKN104" s="4"/>
      <c r="EKO104" s="4"/>
      <c r="EKP104" s="4"/>
      <c r="EKQ104" s="4"/>
      <c r="EKR104" s="4"/>
      <c r="EKS104" s="4"/>
      <c r="EKT104" s="4"/>
      <c r="EKU104" s="4"/>
      <c r="EKV104" s="4"/>
      <c r="EKW104" s="4"/>
      <c r="EKX104" s="4"/>
      <c r="EKY104" s="4"/>
      <c r="EKZ104" s="4"/>
      <c r="ELA104" s="4"/>
      <c r="ELB104" s="4"/>
      <c r="ELC104" s="4"/>
      <c r="ELD104" s="4"/>
      <c r="ELE104" s="4"/>
      <c r="ELF104" s="4"/>
      <c r="ELG104" s="4"/>
      <c r="ELH104" s="4"/>
      <c r="ELI104" s="4"/>
      <c r="ELJ104" s="4"/>
      <c r="ELK104" s="4"/>
      <c r="ELL104" s="4"/>
      <c r="ELM104" s="4"/>
      <c r="ELN104" s="4"/>
      <c r="ELO104" s="4"/>
      <c r="ELP104" s="4"/>
      <c r="ELQ104" s="4"/>
      <c r="ELR104" s="4"/>
      <c r="ELS104" s="4"/>
      <c r="ELT104" s="4"/>
      <c r="ELU104" s="4"/>
      <c r="ELV104" s="4"/>
      <c r="ELW104" s="4"/>
      <c r="ELX104" s="4"/>
      <c r="ELY104" s="4"/>
      <c r="ELZ104" s="4"/>
      <c r="EMA104" s="4"/>
      <c r="EMB104" s="4"/>
      <c r="EMC104" s="4"/>
      <c r="EMD104" s="4"/>
      <c r="EME104" s="4"/>
      <c r="EMF104" s="4"/>
      <c r="EMG104" s="4"/>
      <c r="EMH104" s="4"/>
      <c r="EMI104" s="4"/>
      <c r="EMJ104" s="4"/>
      <c r="EMK104" s="4"/>
      <c r="EML104" s="4"/>
      <c r="EMM104" s="4"/>
      <c r="EMN104" s="4"/>
      <c r="EMO104" s="4"/>
      <c r="EMP104" s="4"/>
      <c r="EMQ104" s="4"/>
      <c r="EMR104" s="4"/>
      <c r="EMS104" s="4"/>
      <c r="EMT104" s="4"/>
      <c r="EMU104" s="4"/>
      <c r="EMV104" s="4"/>
      <c r="EMW104" s="4"/>
      <c r="EMX104" s="4"/>
      <c r="EMY104" s="4"/>
      <c r="EMZ104" s="4"/>
      <c r="ENA104" s="4"/>
      <c r="ENB104" s="4"/>
      <c r="ENC104" s="4"/>
      <c r="END104" s="4"/>
      <c r="ENE104" s="4"/>
      <c r="ENF104" s="4"/>
      <c r="ENG104" s="4"/>
      <c r="ENH104" s="4"/>
      <c r="ENI104" s="4"/>
      <c r="ENJ104" s="4"/>
      <c r="ENK104" s="4"/>
      <c r="ENL104" s="4"/>
      <c r="ENM104" s="4"/>
      <c r="ENN104" s="4"/>
      <c r="ENO104" s="4"/>
      <c r="ENP104" s="4"/>
      <c r="ENQ104" s="4"/>
      <c r="ENR104" s="4"/>
      <c r="ENS104" s="4"/>
      <c r="ENT104" s="4"/>
      <c r="ENU104" s="4"/>
      <c r="ENV104" s="4"/>
      <c r="ENW104" s="4"/>
      <c r="ENX104" s="4"/>
      <c r="ENY104" s="4"/>
      <c r="ENZ104" s="4"/>
      <c r="EOA104" s="4"/>
      <c r="EOB104" s="4"/>
      <c r="EOC104" s="4"/>
      <c r="EOD104" s="4"/>
      <c r="EOE104" s="4"/>
      <c r="EOF104" s="4"/>
      <c r="EOG104" s="4"/>
      <c r="EOH104" s="4"/>
      <c r="EOI104" s="4"/>
      <c r="EOJ104" s="4"/>
      <c r="EOK104" s="4"/>
      <c r="EOL104" s="4"/>
      <c r="EOM104" s="4"/>
      <c r="EON104" s="4"/>
      <c r="EOO104" s="4"/>
      <c r="EOP104" s="4"/>
      <c r="EOQ104" s="4"/>
      <c r="EOR104" s="4"/>
      <c r="EOS104" s="4"/>
      <c r="EOT104" s="4"/>
      <c r="EOU104" s="4"/>
      <c r="EOV104" s="4"/>
      <c r="EOW104" s="4"/>
      <c r="EOX104" s="4"/>
      <c r="EOY104" s="4"/>
      <c r="EOZ104" s="4"/>
      <c r="EPA104" s="4"/>
      <c r="EPB104" s="4"/>
      <c r="EPC104" s="4"/>
      <c r="EPD104" s="4"/>
      <c r="EPE104" s="4"/>
      <c r="EPF104" s="4"/>
      <c r="EPG104" s="4"/>
      <c r="EPH104" s="4"/>
      <c r="EPI104" s="4"/>
      <c r="EPJ104" s="4"/>
      <c r="EPK104" s="4"/>
      <c r="EPL104" s="4"/>
      <c r="EPM104" s="4"/>
      <c r="EPN104" s="4"/>
      <c r="EPO104" s="4"/>
      <c r="EPP104" s="4"/>
      <c r="EPQ104" s="4"/>
      <c r="EPR104" s="4"/>
      <c r="EPS104" s="4"/>
      <c r="EPT104" s="4"/>
      <c r="EPU104" s="4"/>
      <c r="EPV104" s="4"/>
      <c r="EPW104" s="4"/>
      <c r="EPX104" s="4"/>
      <c r="EPY104" s="4"/>
      <c r="EPZ104" s="4"/>
      <c r="EQA104" s="4"/>
      <c r="EQB104" s="4"/>
      <c r="EQC104" s="4"/>
      <c r="EQD104" s="4"/>
      <c r="EQE104" s="4"/>
      <c r="EQF104" s="4"/>
      <c r="EQG104" s="4"/>
      <c r="EQH104" s="4"/>
      <c r="EQI104" s="4"/>
      <c r="EQJ104" s="4"/>
      <c r="EQK104" s="4"/>
      <c r="EQL104" s="4"/>
      <c r="EQM104" s="4"/>
      <c r="EQN104" s="4"/>
      <c r="EQO104" s="4"/>
      <c r="EQP104" s="4"/>
      <c r="EQQ104" s="4"/>
      <c r="EQR104" s="4"/>
      <c r="EQS104" s="4"/>
      <c r="EQT104" s="4"/>
      <c r="EQU104" s="4"/>
      <c r="EQV104" s="4"/>
      <c r="EQW104" s="4"/>
      <c r="EQX104" s="4"/>
      <c r="EQY104" s="4"/>
      <c r="EQZ104" s="4"/>
      <c r="ERA104" s="4"/>
      <c r="ERB104" s="4"/>
      <c r="ERC104" s="4"/>
      <c r="ERD104" s="4"/>
      <c r="ERE104" s="4"/>
      <c r="ERF104" s="4"/>
      <c r="ERG104" s="4"/>
      <c r="ERH104" s="4"/>
      <c r="ERI104" s="4"/>
      <c r="ERJ104" s="4"/>
      <c r="ERK104" s="4"/>
      <c r="ERL104" s="4"/>
      <c r="ERM104" s="4"/>
      <c r="ERN104" s="4"/>
      <c r="ERO104" s="4"/>
      <c r="ERP104" s="4"/>
      <c r="ERQ104" s="4"/>
      <c r="ERR104" s="4"/>
      <c r="ERS104" s="4"/>
      <c r="ERT104" s="4"/>
      <c r="ERU104" s="4"/>
      <c r="ERV104" s="4"/>
      <c r="ERW104" s="4"/>
      <c r="ERX104" s="4"/>
      <c r="ERY104" s="4"/>
      <c r="ERZ104" s="4"/>
      <c r="ESA104" s="4"/>
      <c r="ESB104" s="4"/>
      <c r="ESC104" s="4"/>
      <c r="ESD104" s="4"/>
      <c r="ESE104" s="4"/>
      <c r="ESF104" s="4"/>
      <c r="ESG104" s="4"/>
      <c r="ESH104" s="4"/>
      <c r="ESI104" s="4"/>
      <c r="ESJ104" s="4"/>
      <c r="ESK104" s="4"/>
      <c r="ESL104" s="4"/>
      <c r="ESM104" s="4"/>
      <c r="ESN104" s="4"/>
      <c r="ESO104" s="4"/>
      <c r="ESP104" s="4"/>
      <c r="ESQ104" s="4"/>
      <c r="ESR104" s="4"/>
      <c r="ESS104" s="4"/>
      <c r="EST104" s="4"/>
      <c r="ESU104" s="4"/>
      <c r="ESV104" s="4"/>
      <c r="ESW104" s="4"/>
      <c r="ESX104" s="4"/>
      <c r="ESY104" s="4"/>
      <c r="ESZ104" s="4"/>
      <c r="ETA104" s="4"/>
      <c r="ETB104" s="4"/>
      <c r="ETC104" s="4"/>
      <c r="ETD104" s="4"/>
      <c r="ETE104" s="4"/>
      <c r="ETF104" s="4"/>
      <c r="ETG104" s="4"/>
      <c r="ETH104" s="4"/>
      <c r="ETI104" s="4"/>
      <c r="ETJ104" s="4"/>
      <c r="ETK104" s="4"/>
      <c r="ETL104" s="4"/>
      <c r="ETM104" s="4"/>
      <c r="ETN104" s="4"/>
      <c r="ETO104" s="4"/>
      <c r="ETP104" s="4"/>
      <c r="ETQ104" s="4"/>
      <c r="ETR104" s="4"/>
      <c r="ETS104" s="4"/>
      <c r="ETT104" s="4"/>
      <c r="ETU104" s="4"/>
      <c r="ETV104" s="4"/>
      <c r="ETW104" s="4"/>
      <c r="ETX104" s="4"/>
      <c r="ETY104" s="4"/>
      <c r="ETZ104" s="4"/>
      <c r="EUA104" s="4"/>
      <c r="EUB104" s="4"/>
      <c r="EUC104" s="4"/>
      <c r="EUD104" s="4"/>
      <c r="EUE104" s="4"/>
      <c r="EUF104" s="4"/>
      <c r="EUG104" s="4"/>
      <c r="EUH104" s="4"/>
      <c r="EUI104" s="4"/>
      <c r="EUJ104" s="4"/>
      <c r="EUK104" s="4"/>
      <c r="EUL104" s="4"/>
      <c r="EUM104" s="4"/>
      <c r="EUN104" s="4"/>
      <c r="EUO104" s="4"/>
      <c r="EUP104" s="4"/>
      <c r="EUQ104" s="4"/>
      <c r="EUR104" s="4"/>
      <c r="EUS104" s="4"/>
      <c r="EUT104" s="4"/>
      <c r="EUU104" s="4"/>
      <c r="EUV104" s="4"/>
      <c r="EUW104" s="4"/>
      <c r="EUX104" s="4"/>
      <c r="EUY104" s="4"/>
      <c r="EUZ104" s="4"/>
      <c r="EVA104" s="4"/>
      <c r="EVB104" s="4"/>
      <c r="EVC104" s="4"/>
      <c r="EVD104" s="4"/>
      <c r="EVE104" s="4"/>
      <c r="EVF104" s="4"/>
      <c r="EVG104" s="4"/>
      <c r="EVH104" s="4"/>
      <c r="EVI104" s="4"/>
      <c r="EVJ104" s="4"/>
      <c r="EVK104" s="4"/>
      <c r="EVL104" s="4"/>
      <c r="EVM104" s="4"/>
      <c r="EVN104" s="4"/>
      <c r="EVO104" s="4"/>
      <c r="EVP104" s="4"/>
      <c r="EVQ104" s="4"/>
      <c r="EVR104" s="4"/>
      <c r="EVS104" s="4"/>
      <c r="EVT104" s="4"/>
      <c r="EVU104" s="4"/>
      <c r="EVV104" s="4"/>
      <c r="EVW104" s="4"/>
      <c r="EVX104" s="4"/>
      <c r="EVY104" s="4"/>
      <c r="EVZ104" s="4"/>
      <c r="EWA104" s="4"/>
      <c r="EWB104" s="4"/>
      <c r="EWC104" s="4"/>
      <c r="EWD104" s="4"/>
      <c r="EWE104" s="4"/>
      <c r="EWF104" s="4"/>
      <c r="EWG104" s="4"/>
      <c r="EWH104" s="4"/>
      <c r="EWI104" s="4"/>
      <c r="EWJ104" s="4"/>
      <c r="EWK104" s="4"/>
      <c r="EWL104" s="4"/>
      <c r="EWM104" s="4"/>
      <c r="EWN104" s="4"/>
      <c r="EWO104" s="4"/>
      <c r="EWP104" s="4"/>
      <c r="EWQ104" s="4"/>
      <c r="EWR104" s="4"/>
      <c r="EWS104" s="4"/>
      <c r="EWT104" s="4"/>
      <c r="EWU104" s="4"/>
      <c r="EWV104" s="4"/>
      <c r="EWW104" s="4"/>
      <c r="EWX104" s="4"/>
      <c r="EWY104" s="4"/>
      <c r="EWZ104" s="4"/>
      <c r="EXA104" s="4"/>
      <c r="EXB104" s="4"/>
      <c r="EXC104" s="4"/>
      <c r="EXD104" s="4"/>
      <c r="EXE104" s="4"/>
      <c r="EXF104" s="4"/>
      <c r="EXG104" s="4"/>
      <c r="EXH104" s="4"/>
      <c r="EXI104" s="4"/>
      <c r="EXJ104" s="4"/>
      <c r="EXK104" s="4"/>
      <c r="EXL104" s="4"/>
      <c r="EXM104" s="4"/>
      <c r="EXN104" s="4"/>
      <c r="EXO104" s="4"/>
      <c r="EXP104" s="4"/>
      <c r="EXQ104" s="4"/>
      <c r="EXR104" s="4"/>
      <c r="EXS104" s="4"/>
      <c r="EXT104" s="4"/>
      <c r="EXU104" s="4"/>
      <c r="EXV104" s="4"/>
      <c r="EXW104" s="4"/>
      <c r="EXX104" s="4"/>
      <c r="EXY104" s="4"/>
      <c r="EXZ104" s="4"/>
      <c r="EYA104" s="4"/>
      <c r="EYB104" s="4"/>
      <c r="EYC104" s="4"/>
      <c r="EYD104" s="4"/>
      <c r="EYE104" s="4"/>
      <c r="EYF104" s="4"/>
      <c r="EYG104" s="4"/>
      <c r="EYH104" s="4"/>
      <c r="EYI104" s="4"/>
      <c r="EYJ104" s="4"/>
      <c r="EYK104" s="4"/>
      <c r="EYL104" s="4"/>
      <c r="EYM104" s="4"/>
      <c r="EYN104" s="4"/>
      <c r="EYO104" s="4"/>
      <c r="EYP104" s="4"/>
      <c r="EYQ104" s="4"/>
      <c r="EYR104" s="4"/>
      <c r="EYS104" s="4"/>
      <c r="EYT104" s="4"/>
      <c r="EYU104" s="4"/>
      <c r="EYV104" s="4"/>
      <c r="EYW104" s="4"/>
      <c r="EYX104" s="4"/>
      <c r="EYY104" s="4"/>
      <c r="EYZ104" s="4"/>
      <c r="EZA104" s="4"/>
      <c r="EZB104" s="4"/>
      <c r="EZC104" s="4"/>
      <c r="EZD104" s="4"/>
      <c r="EZE104" s="4"/>
      <c r="EZF104" s="4"/>
      <c r="EZG104" s="4"/>
      <c r="EZH104" s="4"/>
      <c r="EZI104" s="4"/>
      <c r="EZJ104" s="4"/>
      <c r="EZK104" s="4"/>
      <c r="EZL104" s="4"/>
      <c r="EZM104" s="4"/>
      <c r="EZN104" s="4"/>
      <c r="EZO104" s="4"/>
      <c r="EZP104" s="4"/>
      <c r="EZQ104" s="4"/>
      <c r="EZR104" s="4"/>
      <c r="EZS104" s="4"/>
      <c r="EZT104" s="4"/>
      <c r="EZU104" s="4"/>
      <c r="EZV104" s="4"/>
      <c r="EZW104" s="4"/>
      <c r="EZX104" s="4"/>
      <c r="EZY104" s="4"/>
      <c r="EZZ104" s="4"/>
      <c r="FAA104" s="4"/>
      <c r="FAB104" s="4"/>
      <c r="FAC104" s="4"/>
      <c r="FAD104" s="4"/>
      <c r="FAE104" s="4"/>
      <c r="FAF104" s="4"/>
      <c r="FAG104" s="4"/>
      <c r="FAH104" s="4"/>
      <c r="FAI104" s="4"/>
      <c r="FAJ104" s="4"/>
      <c r="FAK104" s="4"/>
      <c r="FAL104" s="4"/>
      <c r="FAM104" s="4"/>
      <c r="FAN104" s="4"/>
      <c r="FAO104" s="4"/>
      <c r="FAP104" s="4"/>
      <c r="FAQ104" s="4"/>
      <c r="FAR104" s="4"/>
      <c r="FAS104" s="4"/>
      <c r="FAT104" s="4"/>
      <c r="FAU104" s="4"/>
      <c r="FAV104" s="4"/>
      <c r="FAW104" s="4"/>
      <c r="FAX104" s="4"/>
      <c r="FAY104" s="4"/>
      <c r="FAZ104" s="4"/>
      <c r="FBA104" s="4"/>
      <c r="FBB104" s="4"/>
      <c r="FBC104" s="4"/>
      <c r="FBD104" s="4"/>
      <c r="FBE104" s="4"/>
      <c r="FBF104" s="4"/>
      <c r="FBG104" s="4"/>
      <c r="FBH104" s="4"/>
      <c r="FBI104" s="4"/>
      <c r="FBJ104" s="4"/>
      <c r="FBK104" s="4"/>
      <c r="FBL104" s="4"/>
      <c r="FBM104" s="4"/>
      <c r="FBN104" s="4"/>
      <c r="FBO104" s="4"/>
      <c r="FBP104" s="4"/>
      <c r="FBQ104" s="4"/>
      <c r="FBR104" s="4"/>
      <c r="FBS104" s="4"/>
      <c r="FBT104" s="4"/>
      <c r="FBU104" s="4"/>
      <c r="FBV104" s="4"/>
      <c r="FBW104" s="4"/>
      <c r="FBX104" s="4"/>
      <c r="FBY104" s="4"/>
      <c r="FBZ104" s="4"/>
      <c r="FCA104" s="4"/>
      <c r="FCB104" s="4"/>
      <c r="FCC104" s="4"/>
      <c r="FCD104" s="4"/>
      <c r="FCE104" s="4"/>
      <c r="FCF104" s="4"/>
      <c r="FCG104" s="4"/>
      <c r="FCH104" s="4"/>
      <c r="FCI104" s="4"/>
      <c r="FCJ104" s="4"/>
      <c r="FCK104" s="4"/>
      <c r="FCL104" s="4"/>
      <c r="FCM104" s="4"/>
      <c r="FCN104" s="4"/>
      <c r="FCO104" s="4"/>
      <c r="FCP104" s="4"/>
      <c r="FCQ104" s="4"/>
      <c r="FCR104" s="4"/>
      <c r="FCS104" s="4"/>
      <c r="FCT104" s="4"/>
      <c r="FCU104" s="4"/>
      <c r="FCV104" s="4"/>
      <c r="FCW104" s="4"/>
      <c r="FCX104" s="4"/>
      <c r="FCY104" s="4"/>
      <c r="FCZ104" s="4"/>
      <c r="FDA104" s="4"/>
      <c r="FDB104" s="4"/>
      <c r="FDC104" s="4"/>
      <c r="FDD104" s="4"/>
      <c r="FDE104" s="4"/>
      <c r="FDF104" s="4"/>
      <c r="FDG104" s="4"/>
      <c r="FDH104" s="4"/>
      <c r="FDI104" s="4"/>
      <c r="FDJ104" s="4"/>
      <c r="FDK104" s="4"/>
      <c r="FDL104" s="4"/>
      <c r="FDM104" s="4"/>
      <c r="FDN104" s="4"/>
      <c r="FDO104" s="4"/>
      <c r="FDP104" s="4"/>
      <c r="FDQ104" s="4"/>
      <c r="FDR104" s="4"/>
      <c r="FDS104" s="4"/>
      <c r="FDT104" s="4"/>
      <c r="FDU104" s="4"/>
      <c r="FDV104" s="4"/>
      <c r="FDW104" s="4"/>
      <c r="FDX104" s="4"/>
      <c r="FDY104" s="4"/>
      <c r="FDZ104" s="4"/>
      <c r="FEA104" s="4"/>
      <c r="FEB104" s="4"/>
      <c r="FEC104" s="4"/>
      <c r="FED104" s="4"/>
      <c r="FEE104" s="4"/>
      <c r="FEF104" s="4"/>
      <c r="FEG104" s="4"/>
      <c r="FEH104" s="4"/>
      <c r="FEI104" s="4"/>
      <c r="FEJ104" s="4"/>
      <c r="FEK104" s="4"/>
      <c r="FEL104" s="4"/>
      <c r="FEM104" s="4"/>
      <c r="FEN104" s="4"/>
      <c r="FEO104" s="4"/>
      <c r="FEP104" s="4"/>
      <c r="FEQ104" s="4"/>
      <c r="FER104" s="4"/>
      <c r="FES104" s="4"/>
      <c r="FET104" s="4"/>
      <c r="FEU104" s="4"/>
      <c r="FEV104" s="4"/>
      <c r="FEW104" s="4"/>
      <c r="FEX104" s="4"/>
      <c r="FEY104" s="4"/>
      <c r="FEZ104" s="4"/>
      <c r="FFA104" s="4"/>
      <c r="FFB104" s="4"/>
      <c r="FFC104" s="4"/>
      <c r="FFD104" s="4"/>
      <c r="FFE104" s="4"/>
      <c r="FFF104" s="4"/>
      <c r="FFG104" s="4"/>
      <c r="FFH104" s="4"/>
      <c r="FFI104" s="4"/>
      <c r="FFJ104" s="4"/>
      <c r="FFK104" s="4"/>
      <c r="FFL104" s="4"/>
      <c r="FFM104" s="4"/>
      <c r="FFN104" s="4"/>
      <c r="FFO104" s="4"/>
      <c r="FFP104" s="4"/>
      <c r="FFQ104" s="4"/>
      <c r="FFR104" s="4"/>
      <c r="FFS104" s="4"/>
      <c r="FFT104" s="4"/>
      <c r="FFU104" s="4"/>
      <c r="FFV104" s="4"/>
      <c r="FFW104" s="4"/>
      <c r="FFX104" s="4"/>
      <c r="FFY104" s="4"/>
      <c r="FFZ104" s="4"/>
      <c r="FGA104" s="4"/>
      <c r="FGB104" s="4"/>
      <c r="FGC104" s="4"/>
      <c r="FGD104" s="4"/>
      <c r="FGE104" s="4"/>
      <c r="FGF104" s="4"/>
      <c r="FGG104" s="4"/>
      <c r="FGH104" s="4"/>
      <c r="FGI104" s="4"/>
      <c r="FGJ104" s="4"/>
      <c r="FGK104" s="4"/>
      <c r="FGL104" s="4"/>
      <c r="FGM104" s="4"/>
      <c r="FGN104" s="4"/>
      <c r="FGO104" s="4"/>
      <c r="FGP104" s="4"/>
      <c r="FGQ104" s="4"/>
      <c r="FGR104" s="4"/>
      <c r="FGS104" s="4"/>
      <c r="FGT104" s="4"/>
      <c r="FGU104" s="4"/>
      <c r="FGV104" s="4"/>
      <c r="FGW104" s="4"/>
      <c r="FGX104" s="4"/>
      <c r="FGY104" s="4"/>
      <c r="FGZ104" s="4"/>
      <c r="FHA104" s="4"/>
      <c r="FHB104" s="4"/>
      <c r="FHC104" s="4"/>
      <c r="FHD104" s="4"/>
      <c r="FHE104" s="4"/>
      <c r="FHF104" s="4"/>
      <c r="FHG104" s="4"/>
      <c r="FHH104" s="4"/>
      <c r="FHI104" s="4"/>
      <c r="FHJ104" s="4"/>
      <c r="FHK104" s="4"/>
      <c r="FHL104" s="4"/>
      <c r="FHM104" s="4"/>
      <c r="FHN104" s="4"/>
      <c r="FHO104" s="4"/>
      <c r="FHP104" s="4"/>
      <c r="FHQ104" s="4"/>
      <c r="FHR104" s="4"/>
      <c r="FHS104" s="4"/>
      <c r="FHT104" s="4"/>
      <c r="FHU104" s="4"/>
      <c r="FHV104" s="4"/>
      <c r="FHW104" s="4"/>
      <c r="FHX104" s="4"/>
      <c r="FHY104" s="4"/>
      <c r="FHZ104" s="4"/>
      <c r="FIA104" s="4"/>
      <c r="FIB104" s="4"/>
      <c r="FIC104" s="4"/>
      <c r="FID104" s="4"/>
      <c r="FIE104" s="4"/>
      <c r="FIF104" s="4"/>
      <c r="FIG104" s="4"/>
      <c r="FIH104" s="4"/>
      <c r="FII104" s="4"/>
      <c r="FIJ104" s="4"/>
      <c r="FIK104" s="4"/>
      <c r="FIL104" s="4"/>
      <c r="FIM104" s="4"/>
      <c r="FIN104" s="4"/>
      <c r="FIO104" s="4"/>
      <c r="FIP104" s="4"/>
      <c r="FIQ104" s="4"/>
      <c r="FIR104" s="4"/>
      <c r="FIS104" s="4"/>
      <c r="FIT104" s="4"/>
      <c r="FIU104" s="4"/>
      <c r="FIV104" s="4"/>
      <c r="FIW104" s="4"/>
      <c r="FIX104" s="4"/>
      <c r="FIY104" s="4"/>
      <c r="FIZ104" s="4"/>
      <c r="FJA104" s="4"/>
      <c r="FJB104" s="4"/>
      <c r="FJC104" s="4"/>
      <c r="FJD104" s="4"/>
      <c r="FJE104" s="4"/>
      <c r="FJF104" s="4"/>
      <c r="FJG104" s="4"/>
      <c r="FJH104" s="4"/>
      <c r="FJI104" s="4"/>
      <c r="FJJ104" s="4"/>
      <c r="FJK104" s="4"/>
      <c r="FJL104" s="4"/>
      <c r="FJM104" s="4"/>
      <c r="FJN104" s="4"/>
      <c r="FJO104" s="4"/>
      <c r="FJP104" s="4"/>
      <c r="FJQ104" s="4"/>
      <c r="FJR104" s="4"/>
      <c r="FJS104" s="4"/>
      <c r="FJT104" s="4"/>
      <c r="FJU104" s="4"/>
      <c r="FJV104" s="4"/>
      <c r="FJW104" s="4"/>
      <c r="FJX104" s="4"/>
      <c r="FJY104" s="4"/>
      <c r="FJZ104" s="4"/>
      <c r="FKA104" s="4"/>
      <c r="FKB104" s="4"/>
      <c r="FKC104" s="4"/>
      <c r="FKD104" s="4"/>
      <c r="FKE104" s="4"/>
      <c r="FKF104" s="4"/>
      <c r="FKG104" s="4"/>
      <c r="FKH104" s="4"/>
      <c r="FKI104" s="4"/>
      <c r="FKJ104" s="4"/>
      <c r="FKK104" s="4"/>
      <c r="FKL104" s="4"/>
      <c r="FKM104" s="4"/>
      <c r="FKN104" s="4"/>
      <c r="FKO104" s="4"/>
      <c r="FKP104" s="4"/>
      <c r="FKQ104" s="4"/>
      <c r="FKR104" s="4"/>
      <c r="FKS104" s="4"/>
      <c r="FKT104" s="4"/>
      <c r="FKU104" s="4"/>
      <c r="FKV104" s="4"/>
      <c r="FKW104" s="4"/>
      <c r="FKX104" s="4"/>
      <c r="FKY104" s="4"/>
      <c r="FKZ104" s="4"/>
      <c r="FLA104" s="4"/>
      <c r="FLB104" s="4"/>
      <c r="FLC104" s="4"/>
      <c r="FLD104" s="4"/>
      <c r="FLE104" s="4"/>
      <c r="FLF104" s="4"/>
      <c r="FLG104" s="4"/>
      <c r="FLH104" s="4"/>
      <c r="FLI104" s="4"/>
      <c r="FLJ104" s="4"/>
      <c r="FLK104" s="4"/>
      <c r="FLL104" s="4"/>
      <c r="FLM104" s="4"/>
      <c r="FLN104" s="4"/>
      <c r="FLO104" s="4"/>
      <c r="FLP104" s="4"/>
      <c r="FLQ104" s="4"/>
      <c r="FLR104" s="4"/>
      <c r="FLS104" s="4"/>
      <c r="FLT104" s="4"/>
      <c r="FLU104" s="4"/>
      <c r="FLV104" s="4"/>
      <c r="FLW104" s="4"/>
      <c r="FLX104" s="4"/>
      <c r="FLY104" s="4"/>
      <c r="FLZ104" s="4"/>
      <c r="FMA104" s="4"/>
      <c r="FMB104" s="4"/>
      <c r="FMC104" s="4"/>
      <c r="FMD104" s="4"/>
      <c r="FME104" s="4"/>
      <c r="FMF104" s="4"/>
      <c r="FMG104" s="4"/>
      <c r="FMH104" s="4"/>
      <c r="FMI104" s="4"/>
      <c r="FMJ104" s="4"/>
      <c r="FMK104" s="4"/>
      <c r="FML104" s="4"/>
      <c r="FMM104" s="4"/>
      <c r="FMN104" s="4"/>
      <c r="FMO104" s="4"/>
      <c r="FMP104" s="4"/>
      <c r="FMQ104" s="4"/>
      <c r="FMR104" s="4"/>
      <c r="FMS104" s="4"/>
      <c r="FMT104" s="4"/>
      <c r="FMU104" s="4"/>
      <c r="FMV104" s="4"/>
      <c r="FMW104" s="4"/>
      <c r="FMX104" s="4"/>
      <c r="FMY104" s="4"/>
      <c r="FMZ104" s="4"/>
      <c r="FNA104" s="4"/>
      <c r="FNB104" s="4"/>
      <c r="FNC104" s="4"/>
      <c r="FND104" s="4"/>
      <c r="FNE104" s="4"/>
      <c r="FNF104" s="4"/>
      <c r="FNG104" s="4"/>
      <c r="FNH104" s="4"/>
      <c r="FNI104" s="4"/>
      <c r="FNJ104" s="4"/>
      <c r="FNK104" s="4"/>
      <c r="FNL104" s="4"/>
      <c r="FNM104" s="4"/>
      <c r="FNN104" s="4"/>
      <c r="FNO104" s="4"/>
      <c r="FNP104" s="4"/>
      <c r="FNQ104" s="4"/>
      <c r="FNR104" s="4"/>
      <c r="FNS104" s="4"/>
      <c r="FNT104" s="4"/>
      <c r="FNU104" s="4"/>
      <c r="FNV104" s="4"/>
      <c r="FNW104" s="4"/>
      <c r="FNX104" s="4"/>
      <c r="FNY104" s="4"/>
      <c r="FNZ104" s="4"/>
      <c r="FOA104" s="4"/>
      <c r="FOB104" s="4"/>
      <c r="FOC104" s="4"/>
      <c r="FOD104" s="4"/>
      <c r="FOE104" s="4"/>
      <c r="FOF104" s="4"/>
      <c r="FOG104" s="4"/>
      <c r="FOH104" s="4"/>
      <c r="FOI104" s="4"/>
      <c r="FOJ104" s="4"/>
      <c r="FOK104" s="4"/>
      <c r="FOL104" s="4"/>
      <c r="FOM104" s="4"/>
      <c r="FON104" s="4"/>
      <c r="FOO104" s="4"/>
      <c r="FOP104" s="4"/>
      <c r="FOQ104" s="4"/>
      <c r="FOR104" s="4"/>
      <c r="FOS104" s="4"/>
      <c r="FOT104" s="4"/>
      <c r="FOU104" s="4"/>
      <c r="FOV104" s="4"/>
      <c r="FOW104" s="4"/>
      <c r="FOX104" s="4"/>
      <c r="FOY104" s="4"/>
      <c r="FOZ104" s="4"/>
      <c r="FPA104" s="4"/>
      <c r="FPB104" s="4"/>
      <c r="FPC104" s="4"/>
      <c r="FPD104" s="4"/>
      <c r="FPE104" s="4"/>
      <c r="FPF104" s="4"/>
      <c r="FPG104" s="4"/>
      <c r="FPH104" s="4"/>
      <c r="FPI104" s="4"/>
      <c r="FPJ104" s="4"/>
      <c r="FPK104" s="4"/>
      <c r="FPL104" s="4"/>
      <c r="FPM104" s="4"/>
      <c r="FPN104" s="4"/>
      <c r="FPO104" s="4"/>
      <c r="FPP104" s="4"/>
      <c r="FPQ104" s="4"/>
      <c r="FPR104" s="4"/>
      <c r="FPS104" s="4"/>
      <c r="FPT104" s="4"/>
      <c r="FPU104" s="4"/>
      <c r="FPV104" s="4"/>
      <c r="FPW104" s="4"/>
      <c r="FPX104" s="4"/>
      <c r="FPY104" s="4"/>
      <c r="FPZ104" s="4"/>
      <c r="FQA104" s="4"/>
      <c r="FQB104" s="4"/>
      <c r="FQC104" s="4"/>
      <c r="FQD104" s="4"/>
      <c r="FQE104" s="4"/>
      <c r="FQF104" s="4"/>
      <c r="FQG104" s="4"/>
      <c r="FQH104" s="4"/>
      <c r="FQI104" s="4"/>
      <c r="FQJ104" s="4"/>
      <c r="FQK104" s="4"/>
      <c r="FQL104" s="4"/>
      <c r="FQM104" s="4"/>
      <c r="FQN104" s="4"/>
      <c r="FQO104" s="4"/>
      <c r="FQP104" s="4"/>
      <c r="FQQ104" s="4"/>
      <c r="FQR104" s="4"/>
      <c r="FQS104" s="4"/>
      <c r="FQT104" s="4"/>
      <c r="FQU104" s="4"/>
      <c r="FQV104" s="4"/>
      <c r="FQW104" s="4"/>
      <c r="FQX104" s="4"/>
      <c r="FQY104" s="4"/>
      <c r="FQZ104" s="4"/>
      <c r="FRA104" s="4"/>
      <c r="FRB104" s="4"/>
      <c r="FRC104" s="4"/>
      <c r="FRD104" s="4"/>
      <c r="FRE104" s="4"/>
      <c r="FRF104" s="4"/>
      <c r="FRG104" s="4"/>
      <c r="FRH104" s="4"/>
      <c r="FRI104" s="4"/>
      <c r="FRJ104" s="4"/>
      <c r="FRK104" s="4"/>
      <c r="FRL104" s="4"/>
      <c r="FRM104" s="4"/>
      <c r="FRN104" s="4"/>
      <c r="FRO104" s="4"/>
      <c r="FRP104" s="4"/>
      <c r="FRQ104" s="4"/>
      <c r="FRR104" s="4"/>
      <c r="FRS104" s="4"/>
      <c r="FRT104" s="4"/>
      <c r="FRU104" s="4"/>
      <c r="FRV104" s="4"/>
      <c r="FRW104" s="4"/>
      <c r="FRX104" s="4"/>
      <c r="FRY104" s="4"/>
      <c r="FRZ104" s="4"/>
      <c r="FSA104" s="4"/>
      <c r="FSB104" s="4"/>
      <c r="FSC104" s="4"/>
      <c r="FSD104" s="4"/>
      <c r="FSE104" s="4"/>
      <c r="FSF104" s="4"/>
      <c r="FSG104" s="4"/>
      <c r="FSH104" s="4"/>
      <c r="FSI104" s="4"/>
      <c r="FSJ104" s="4"/>
      <c r="FSK104" s="4"/>
      <c r="FSL104" s="4"/>
      <c r="FSM104" s="4"/>
      <c r="FSN104" s="4"/>
      <c r="FSO104" s="4"/>
      <c r="FSP104" s="4"/>
      <c r="FSQ104" s="4"/>
      <c r="FSR104" s="4"/>
      <c r="FSS104" s="4"/>
      <c r="FST104" s="4"/>
      <c r="FSU104" s="4"/>
      <c r="FSV104" s="4"/>
      <c r="FSW104" s="4"/>
      <c r="FSX104" s="4"/>
      <c r="FSY104" s="4"/>
      <c r="FSZ104" s="4"/>
      <c r="FTA104" s="4"/>
      <c r="FTB104" s="4"/>
      <c r="FTC104" s="4"/>
      <c r="FTD104" s="4"/>
      <c r="FTE104" s="4"/>
      <c r="FTF104" s="4"/>
      <c r="FTG104" s="4"/>
      <c r="FTH104" s="4"/>
      <c r="FTI104" s="4"/>
      <c r="FTJ104" s="4"/>
      <c r="FTK104" s="4"/>
      <c r="FTL104" s="4"/>
      <c r="FTM104" s="4"/>
      <c r="FTN104" s="4"/>
      <c r="FTO104" s="4"/>
      <c r="FTP104" s="4"/>
      <c r="FTQ104" s="4"/>
      <c r="FTR104" s="4"/>
      <c r="FTS104" s="4"/>
      <c r="FTT104" s="4"/>
      <c r="FTU104" s="4"/>
      <c r="FTV104" s="4"/>
      <c r="FTW104" s="4"/>
      <c r="FTX104" s="4"/>
      <c r="FTY104" s="4"/>
      <c r="FTZ104" s="4"/>
      <c r="FUA104" s="4"/>
      <c r="FUB104" s="4"/>
      <c r="FUC104" s="4"/>
      <c r="FUD104" s="4"/>
      <c r="FUE104" s="4"/>
      <c r="FUF104" s="4"/>
      <c r="FUG104" s="4"/>
      <c r="FUH104" s="4"/>
      <c r="FUI104" s="4"/>
      <c r="FUJ104" s="4"/>
      <c r="FUK104" s="4"/>
      <c r="FUL104" s="4"/>
      <c r="FUM104" s="4"/>
      <c r="FUN104" s="4"/>
      <c r="FUO104" s="4"/>
      <c r="FUP104" s="4"/>
      <c r="FUQ104" s="4"/>
      <c r="FUR104" s="4"/>
      <c r="FUS104" s="4"/>
      <c r="FUT104" s="4"/>
      <c r="FUU104" s="4"/>
      <c r="FUV104" s="4"/>
      <c r="FUW104" s="4"/>
      <c r="FUX104" s="4"/>
      <c r="FUY104" s="4"/>
      <c r="FUZ104" s="4"/>
      <c r="FVA104" s="4"/>
      <c r="FVB104" s="4"/>
      <c r="FVC104" s="4"/>
      <c r="FVD104" s="4"/>
      <c r="FVE104" s="4"/>
      <c r="FVF104" s="4"/>
      <c r="FVG104" s="4"/>
      <c r="FVH104" s="4"/>
      <c r="FVI104" s="4"/>
      <c r="FVJ104" s="4"/>
      <c r="FVK104" s="4"/>
      <c r="FVL104" s="4"/>
      <c r="FVM104" s="4"/>
      <c r="FVN104" s="4"/>
      <c r="FVO104" s="4"/>
      <c r="FVP104" s="4"/>
      <c r="FVQ104" s="4"/>
      <c r="FVR104" s="4"/>
      <c r="FVS104" s="4"/>
      <c r="FVT104" s="4"/>
      <c r="FVU104" s="4"/>
      <c r="FVV104" s="4"/>
      <c r="FVW104" s="4"/>
      <c r="FVX104" s="4"/>
      <c r="FVY104" s="4"/>
      <c r="FVZ104" s="4"/>
      <c r="FWA104" s="4"/>
      <c r="FWB104" s="4"/>
      <c r="FWC104" s="4"/>
      <c r="FWD104" s="4"/>
      <c r="FWE104" s="4"/>
      <c r="FWF104" s="4"/>
      <c r="FWG104" s="4"/>
      <c r="FWH104" s="4"/>
      <c r="FWI104" s="4"/>
      <c r="FWJ104" s="4"/>
      <c r="FWK104" s="4"/>
      <c r="FWL104" s="4"/>
      <c r="FWM104" s="4"/>
      <c r="FWN104" s="4"/>
      <c r="FWO104" s="4"/>
      <c r="FWP104" s="4"/>
      <c r="FWQ104" s="4"/>
      <c r="FWR104" s="4"/>
      <c r="FWS104" s="4"/>
      <c r="FWT104" s="4"/>
      <c r="FWU104" s="4"/>
      <c r="FWV104" s="4"/>
      <c r="FWW104" s="4"/>
      <c r="FWX104" s="4"/>
      <c r="FWY104" s="4"/>
      <c r="FWZ104" s="4"/>
      <c r="FXA104" s="4"/>
      <c r="FXB104" s="4"/>
      <c r="FXC104" s="4"/>
      <c r="FXD104" s="4"/>
      <c r="FXE104" s="4"/>
      <c r="FXF104" s="4"/>
      <c r="FXG104" s="4"/>
      <c r="FXH104" s="4"/>
      <c r="FXI104" s="4"/>
      <c r="FXJ104" s="4"/>
      <c r="FXK104" s="4"/>
      <c r="FXL104" s="4"/>
      <c r="FXM104" s="4"/>
      <c r="FXN104" s="4"/>
      <c r="FXO104" s="4"/>
      <c r="FXP104" s="4"/>
      <c r="FXQ104" s="4"/>
      <c r="FXR104" s="4"/>
      <c r="FXS104" s="4"/>
      <c r="FXT104" s="4"/>
      <c r="FXU104" s="4"/>
      <c r="FXV104" s="4"/>
      <c r="FXW104" s="4"/>
      <c r="FXX104" s="4"/>
      <c r="FXY104" s="4"/>
      <c r="FXZ104" s="4"/>
      <c r="FYA104" s="4"/>
      <c r="FYB104" s="4"/>
      <c r="FYC104" s="4"/>
      <c r="FYD104" s="4"/>
      <c r="FYE104" s="4"/>
      <c r="FYF104" s="4"/>
      <c r="FYG104" s="4"/>
      <c r="FYH104" s="4"/>
      <c r="FYI104" s="4"/>
      <c r="FYJ104" s="4"/>
      <c r="FYK104" s="4"/>
      <c r="FYL104" s="4"/>
      <c r="FYM104" s="4"/>
      <c r="FYN104" s="4"/>
      <c r="FYO104" s="4"/>
      <c r="FYP104" s="4"/>
      <c r="FYQ104" s="4"/>
      <c r="FYR104" s="4"/>
      <c r="FYS104" s="4"/>
      <c r="FYT104" s="4"/>
      <c r="FYU104" s="4"/>
      <c r="FYV104" s="4"/>
      <c r="FYW104" s="4"/>
      <c r="FYX104" s="4"/>
      <c r="FYY104" s="4"/>
      <c r="FYZ104" s="4"/>
      <c r="FZA104" s="4"/>
      <c r="FZB104" s="4"/>
      <c r="FZC104" s="4"/>
      <c r="FZD104" s="4"/>
      <c r="FZE104" s="4"/>
      <c r="FZF104" s="4"/>
      <c r="FZG104" s="4"/>
      <c r="FZH104" s="4"/>
      <c r="FZI104" s="4"/>
      <c r="FZJ104" s="4"/>
      <c r="FZK104" s="4"/>
      <c r="FZL104" s="4"/>
      <c r="FZM104" s="4"/>
      <c r="FZN104" s="4"/>
      <c r="FZO104" s="4"/>
      <c r="FZP104" s="4"/>
      <c r="FZQ104" s="4"/>
      <c r="FZR104" s="4"/>
      <c r="FZS104" s="4"/>
      <c r="FZT104" s="4"/>
      <c r="FZU104" s="4"/>
      <c r="FZV104" s="4"/>
      <c r="FZW104" s="4"/>
      <c r="FZX104" s="4"/>
      <c r="FZY104" s="4"/>
      <c r="FZZ104" s="4"/>
      <c r="GAA104" s="4"/>
      <c r="GAB104" s="4"/>
      <c r="GAC104" s="4"/>
      <c r="GAD104" s="4"/>
      <c r="GAE104" s="4"/>
      <c r="GAF104" s="4"/>
      <c r="GAG104" s="4"/>
      <c r="GAH104" s="4"/>
      <c r="GAI104" s="4"/>
      <c r="GAJ104" s="4"/>
      <c r="GAK104" s="4"/>
      <c r="GAL104" s="4"/>
      <c r="GAM104" s="4"/>
      <c r="GAN104" s="4"/>
      <c r="GAO104" s="4"/>
      <c r="GAP104" s="4"/>
      <c r="GAQ104" s="4"/>
      <c r="GAR104" s="4"/>
      <c r="GAS104" s="4"/>
      <c r="GAT104" s="4"/>
      <c r="GAU104" s="4"/>
      <c r="GAV104" s="4"/>
      <c r="GAW104" s="4"/>
      <c r="GAX104" s="4"/>
      <c r="GAY104" s="4"/>
      <c r="GAZ104" s="4"/>
      <c r="GBA104" s="4"/>
      <c r="GBB104" s="4"/>
      <c r="GBC104" s="4"/>
      <c r="GBD104" s="4"/>
      <c r="GBE104" s="4"/>
      <c r="GBF104" s="4"/>
      <c r="GBG104" s="4"/>
      <c r="GBH104" s="4"/>
      <c r="GBI104" s="4"/>
      <c r="GBJ104" s="4"/>
      <c r="GBK104" s="4"/>
      <c r="GBL104" s="4"/>
      <c r="GBM104" s="4"/>
      <c r="GBN104" s="4"/>
      <c r="GBO104" s="4"/>
      <c r="GBP104" s="4"/>
      <c r="GBQ104" s="4"/>
      <c r="GBR104" s="4"/>
      <c r="GBS104" s="4"/>
      <c r="GBT104" s="4"/>
      <c r="GBU104" s="4"/>
      <c r="GBV104" s="4"/>
      <c r="GBW104" s="4"/>
      <c r="GBX104" s="4"/>
      <c r="GBY104" s="4"/>
      <c r="GBZ104" s="4"/>
      <c r="GCA104" s="4"/>
      <c r="GCB104" s="4"/>
      <c r="GCC104" s="4"/>
      <c r="GCD104" s="4"/>
      <c r="GCE104" s="4"/>
      <c r="GCF104" s="4"/>
      <c r="GCG104" s="4"/>
      <c r="GCH104" s="4"/>
      <c r="GCI104" s="4"/>
      <c r="GCJ104" s="4"/>
      <c r="GCK104" s="4"/>
      <c r="GCL104" s="4"/>
      <c r="GCM104" s="4"/>
      <c r="GCN104" s="4"/>
      <c r="GCO104" s="4"/>
      <c r="GCP104" s="4"/>
      <c r="GCQ104" s="4"/>
      <c r="GCR104" s="4"/>
      <c r="GCS104" s="4"/>
      <c r="GCT104" s="4"/>
      <c r="GCU104" s="4"/>
      <c r="GCV104" s="4"/>
      <c r="GCW104" s="4"/>
      <c r="GCX104" s="4"/>
      <c r="GCY104" s="4"/>
      <c r="GCZ104" s="4"/>
      <c r="GDA104" s="4"/>
      <c r="GDB104" s="4"/>
      <c r="GDC104" s="4"/>
      <c r="GDD104" s="4"/>
      <c r="GDE104" s="4"/>
      <c r="GDF104" s="4"/>
      <c r="GDG104" s="4"/>
      <c r="GDH104" s="4"/>
      <c r="GDI104" s="4"/>
      <c r="GDJ104" s="4"/>
      <c r="GDK104" s="4"/>
      <c r="GDL104" s="4"/>
      <c r="GDM104" s="4"/>
      <c r="GDN104" s="4"/>
      <c r="GDO104" s="4"/>
      <c r="GDP104" s="4"/>
      <c r="GDQ104" s="4"/>
      <c r="GDR104" s="4"/>
      <c r="GDS104" s="4"/>
      <c r="GDT104" s="4"/>
      <c r="GDU104" s="4"/>
      <c r="GDV104" s="4"/>
      <c r="GDW104" s="4"/>
      <c r="GDX104" s="4"/>
      <c r="GDY104" s="4"/>
      <c r="GDZ104" s="4"/>
      <c r="GEA104" s="4"/>
      <c r="GEB104" s="4"/>
      <c r="GEC104" s="4"/>
      <c r="GED104" s="4"/>
      <c r="GEE104" s="4"/>
      <c r="GEF104" s="4"/>
      <c r="GEG104" s="4"/>
      <c r="GEH104" s="4"/>
      <c r="GEI104" s="4"/>
      <c r="GEJ104" s="4"/>
      <c r="GEK104" s="4"/>
      <c r="GEL104" s="4"/>
      <c r="GEM104" s="4"/>
      <c r="GEN104" s="4"/>
      <c r="GEO104" s="4"/>
      <c r="GEP104" s="4"/>
      <c r="GEQ104" s="4"/>
      <c r="GER104" s="4"/>
      <c r="GES104" s="4"/>
      <c r="GET104" s="4"/>
      <c r="GEU104" s="4"/>
      <c r="GEV104" s="4"/>
      <c r="GEW104" s="4"/>
      <c r="GEX104" s="4"/>
      <c r="GEY104" s="4"/>
      <c r="GEZ104" s="4"/>
      <c r="GFA104" s="4"/>
      <c r="GFB104" s="4"/>
      <c r="GFC104" s="4"/>
      <c r="GFD104" s="4"/>
      <c r="GFE104" s="4"/>
      <c r="GFF104" s="4"/>
      <c r="GFG104" s="4"/>
      <c r="GFH104" s="4"/>
      <c r="GFI104" s="4"/>
      <c r="GFJ104" s="4"/>
      <c r="GFK104" s="4"/>
      <c r="GFL104" s="4"/>
      <c r="GFM104" s="4"/>
      <c r="GFN104" s="4"/>
      <c r="GFO104" s="4"/>
      <c r="GFP104" s="4"/>
      <c r="GFQ104" s="4"/>
      <c r="GFR104" s="4"/>
      <c r="GFS104" s="4"/>
      <c r="GFT104" s="4"/>
      <c r="GFU104" s="4"/>
      <c r="GFV104" s="4"/>
      <c r="GFW104" s="4"/>
      <c r="GFX104" s="4"/>
      <c r="GFY104" s="4"/>
      <c r="GFZ104" s="4"/>
      <c r="GGA104" s="4"/>
      <c r="GGB104" s="4"/>
      <c r="GGC104" s="4"/>
      <c r="GGD104" s="4"/>
      <c r="GGE104" s="4"/>
      <c r="GGF104" s="4"/>
      <c r="GGG104" s="4"/>
      <c r="GGH104" s="4"/>
      <c r="GGI104" s="4"/>
      <c r="GGJ104" s="4"/>
      <c r="GGK104" s="4"/>
      <c r="GGL104" s="4"/>
      <c r="GGM104" s="4"/>
      <c r="GGN104" s="4"/>
      <c r="GGO104" s="4"/>
      <c r="GGP104" s="4"/>
      <c r="GGQ104" s="4"/>
      <c r="GGR104" s="4"/>
      <c r="GGS104" s="4"/>
      <c r="GGT104" s="4"/>
      <c r="GGU104" s="4"/>
      <c r="GGV104" s="4"/>
      <c r="GGW104" s="4"/>
      <c r="GGX104" s="4"/>
      <c r="GGY104" s="4"/>
      <c r="GGZ104" s="4"/>
      <c r="GHA104" s="4"/>
      <c r="GHB104" s="4"/>
      <c r="GHC104" s="4"/>
      <c r="GHD104" s="4"/>
      <c r="GHE104" s="4"/>
      <c r="GHF104" s="4"/>
      <c r="GHG104" s="4"/>
      <c r="GHH104" s="4"/>
      <c r="GHI104" s="4"/>
      <c r="GHJ104" s="4"/>
      <c r="GHK104" s="4"/>
      <c r="GHL104" s="4"/>
      <c r="GHM104" s="4"/>
      <c r="GHN104" s="4"/>
      <c r="GHO104" s="4"/>
      <c r="GHP104" s="4"/>
      <c r="GHQ104" s="4"/>
      <c r="GHR104" s="4"/>
      <c r="GHS104" s="4"/>
      <c r="GHT104" s="4"/>
      <c r="GHU104" s="4"/>
      <c r="GHV104" s="4"/>
      <c r="GHW104" s="4"/>
      <c r="GHX104" s="4"/>
      <c r="GHY104" s="4"/>
      <c r="GHZ104" s="4"/>
      <c r="GIA104" s="4"/>
      <c r="GIB104" s="4"/>
      <c r="GIC104" s="4"/>
      <c r="GID104" s="4"/>
      <c r="GIE104" s="4"/>
      <c r="GIF104" s="4"/>
      <c r="GIG104" s="4"/>
      <c r="GIH104" s="4"/>
      <c r="GII104" s="4"/>
      <c r="GIJ104" s="4"/>
      <c r="GIK104" s="4"/>
      <c r="GIL104" s="4"/>
      <c r="GIM104" s="4"/>
      <c r="GIN104" s="4"/>
      <c r="GIO104" s="4"/>
      <c r="GIP104" s="4"/>
      <c r="GIQ104" s="4"/>
      <c r="GIR104" s="4"/>
      <c r="GIS104" s="4"/>
      <c r="GIT104" s="4"/>
      <c r="GIU104" s="4"/>
      <c r="GIV104" s="4"/>
      <c r="GIW104" s="4"/>
      <c r="GIX104" s="4"/>
      <c r="GIY104" s="4"/>
      <c r="GIZ104" s="4"/>
      <c r="GJA104" s="4"/>
      <c r="GJB104" s="4"/>
      <c r="GJC104" s="4"/>
      <c r="GJD104" s="4"/>
      <c r="GJE104" s="4"/>
      <c r="GJF104" s="4"/>
      <c r="GJG104" s="4"/>
      <c r="GJH104" s="4"/>
      <c r="GJI104" s="4"/>
      <c r="GJJ104" s="4"/>
      <c r="GJK104" s="4"/>
      <c r="GJL104" s="4"/>
      <c r="GJM104" s="4"/>
      <c r="GJN104" s="4"/>
      <c r="GJO104" s="4"/>
      <c r="GJP104" s="4"/>
      <c r="GJQ104" s="4"/>
      <c r="GJR104" s="4"/>
      <c r="GJS104" s="4"/>
      <c r="GJT104" s="4"/>
      <c r="GJU104" s="4"/>
      <c r="GJV104" s="4"/>
      <c r="GJW104" s="4"/>
      <c r="GJX104" s="4"/>
      <c r="GJY104" s="4"/>
      <c r="GJZ104" s="4"/>
      <c r="GKA104" s="4"/>
      <c r="GKB104" s="4"/>
      <c r="GKC104" s="4"/>
      <c r="GKD104" s="4"/>
      <c r="GKE104" s="4"/>
      <c r="GKF104" s="4"/>
      <c r="GKG104" s="4"/>
      <c r="GKH104" s="4"/>
      <c r="GKI104" s="4"/>
      <c r="GKJ104" s="4"/>
      <c r="GKK104" s="4"/>
      <c r="GKL104" s="4"/>
      <c r="GKM104" s="4"/>
      <c r="GKN104" s="4"/>
      <c r="GKO104" s="4"/>
      <c r="GKP104" s="4"/>
      <c r="GKQ104" s="4"/>
      <c r="GKR104" s="4"/>
      <c r="GKS104" s="4"/>
      <c r="GKT104" s="4"/>
      <c r="GKU104" s="4"/>
      <c r="GKV104" s="4"/>
      <c r="GKW104" s="4"/>
      <c r="GKX104" s="4"/>
      <c r="GKY104" s="4"/>
      <c r="GKZ104" s="4"/>
      <c r="GLA104" s="4"/>
      <c r="GLB104" s="4"/>
      <c r="GLC104" s="4"/>
      <c r="GLD104" s="4"/>
      <c r="GLE104" s="4"/>
      <c r="GLF104" s="4"/>
      <c r="GLG104" s="4"/>
      <c r="GLH104" s="4"/>
      <c r="GLI104" s="4"/>
      <c r="GLJ104" s="4"/>
      <c r="GLK104" s="4"/>
      <c r="GLL104" s="4"/>
      <c r="GLM104" s="4"/>
      <c r="GLN104" s="4"/>
      <c r="GLO104" s="4"/>
      <c r="GLP104" s="4"/>
      <c r="GLQ104" s="4"/>
      <c r="GLR104" s="4"/>
      <c r="GLS104" s="4"/>
      <c r="GLT104" s="4"/>
      <c r="GLU104" s="4"/>
      <c r="GLV104" s="4"/>
      <c r="GLW104" s="4"/>
      <c r="GLX104" s="4"/>
      <c r="GLY104" s="4"/>
      <c r="GLZ104" s="4"/>
      <c r="GMA104" s="4"/>
      <c r="GMB104" s="4"/>
      <c r="GMC104" s="4"/>
      <c r="GMD104" s="4"/>
      <c r="GME104" s="4"/>
      <c r="GMF104" s="4"/>
      <c r="GMG104" s="4"/>
      <c r="GMH104" s="4"/>
      <c r="GMI104" s="4"/>
      <c r="GMJ104" s="4"/>
      <c r="GMK104" s="4"/>
      <c r="GML104" s="4"/>
      <c r="GMM104" s="4"/>
      <c r="GMN104" s="4"/>
      <c r="GMO104" s="4"/>
      <c r="GMP104" s="4"/>
      <c r="GMQ104" s="4"/>
      <c r="GMR104" s="4"/>
      <c r="GMS104" s="4"/>
      <c r="GMT104" s="4"/>
      <c r="GMU104" s="4"/>
      <c r="GMV104" s="4"/>
      <c r="GMW104" s="4"/>
      <c r="GMX104" s="4"/>
      <c r="GMY104" s="4"/>
      <c r="GMZ104" s="4"/>
      <c r="GNA104" s="4"/>
      <c r="GNB104" s="4"/>
      <c r="GNC104" s="4"/>
      <c r="GND104" s="4"/>
      <c r="GNE104" s="4"/>
      <c r="GNF104" s="4"/>
      <c r="GNG104" s="4"/>
      <c r="GNH104" s="4"/>
      <c r="GNI104" s="4"/>
      <c r="GNJ104" s="4"/>
      <c r="GNK104" s="4"/>
      <c r="GNL104" s="4"/>
      <c r="GNM104" s="4"/>
      <c r="GNN104" s="4"/>
      <c r="GNO104" s="4"/>
      <c r="GNP104" s="4"/>
      <c r="GNQ104" s="4"/>
      <c r="GNR104" s="4"/>
      <c r="GNS104" s="4"/>
      <c r="GNT104" s="4"/>
      <c r="GNU104" s="4"/>
      <c r="GNV104" s="4"/>
      <c r="GNW104" s="4"/>
      <c r="GNX104" s="4"/>
      <c r="GNY104" s="4"/>
      <c r="GNZ104" s="4"/>
      <c r="GOA104" s="4"/>
      <c r="GOB104" s="4"/>
      <c r="GOC104" s="4"/>
      <c r="GOD104" s="4"/>
      <c r="GOE104" s="4"/>
      <c r="GOF104" s="4"/>
      <c r="GOG104" s="4"/>
      <c r="GOH104" s="4"/>
      <c r="GOI104" s="4"/>
      <c r="GOJ104" s="4"/>
      <c r="GOK104" s="4"/>
      <c r="GOL104" s="4"/>
      <c r="GOM104" s="4"/>
      <c r="GON104" s="4"/>
      <c r="GOO104" s="4"/>
      <c r="GOP104" s="4"/>
      <c r="GOQ104" s="4"/>
      <c r="GOR104" s="4"/>
      <c r="GOS104" s="4"/>
      <c r="GOT104" s="4"/>
      <c r="GOU104" s="4"/>
      <c r="GOV104" s="4"/>
      <c r="GOW104" s="4"/>
      <c r="GOX104" s="4"/>
      <c r="GOY104" s="4"/>
      <c r="GOZ104" s="4"/>
      <c r="GPA104" s="4"/>
      <c r="GPB104" s="4"/>
      <c r="GPC104" s="4"/>
      <c r="GPD104" s="4"/>
      <c r="GPE104" s="4"/>
      <c r="GPF104" s="4"/>
      <c r="GPG104" s="4"/>
      <c r="GPH104" s="4"/>
      <c r="GPI104" s="4"/>
      <c r="GPJ104" s="4"/>
      <c r="GPK104" s="4"/>
      <c r="GPL104" s="4"/>
      <c r="GPM104" s="4"/>
      <c r="GPN104" s="4"/>
      <c r="GPO104" s="4"/>
      <c r="GPP104" s="4"/>
      <c r="GPQ104" s="4"/>
      <c r="GPR104" s="4"/>
      <c r="GPS104" s="4"/>
      <c r="GPT104" s="4"/>
      <c r="GPU104" s="4"/>
      <c r="GPV104" s="4"/>
      <c r="GPW104" s="4"/>
      <c r="GPX104" s="4"/>
      <c r="GPY104" s="4"/>
      <c r="GPZ104" s="4"/>
      <c r="GQA104" s="4"/>
      <c r="GQB104" s="4"/>
      <c r="GQC104" s="4"/>
      <c r="GQD104" s="4"/>
      <c r="GQE104" s="4"/>
      <c r="GQF104" s="4"/>
      <c r="GQG104" s="4"/>
      <c r="GQH104" s="4"/>
      <c r="GQI104" s="4"/>
      <c r="GQJ104" s="4"/>
      <c r="GQK104" s="4"/>
      <c r="GQL104" s="4"/>
      <c r="GQM104" s="4"/>
      <c r="GQN104" s="4"/>
      <c r="GQO104" s="4"/>
      <c r="GQP104" s="4"/>
      <c r="GQQ104" s="4"/>
      <c r="GQR104" s="4"/>
      <c r="GQS104" s="4"/>
      <c r="GQT104" s="4"/>
      <c r="GQU104" s="4"/>
      <c r="GQV104" s="4"/>
      <c r="GQW104" s="4"/>
      <c r="GQX104" s="4"/>
      <c r="GQY104" s="4"/>
      <c r="GQZ104" s="4"/>
      <c r="GRA104" s="4"/>
      <c r="GRB104" s="4"/>
      <c r="GRC104" s="4"/>
      <c r="GRD104" s="4"/>
      <c r="GRE104" s="4"/>
      <c r="GRF104" s="4"/>
      <c r="GRG104" s="4"/>
      <c r="GRH104" s="4"/>
      <c r="GRI104" s="4"/>
      <c r="GRJ104" s="4"/>
      <c r="GRK104" s="4"/>
      <c r="GRL104" s="4"/>
      <c r="GRM104" s="4"/>
      <c r="GRN104" s="4"/>
      <c r="GRO104" s="4"/>
      <c r="GRP104" s="4"/>
      <c r="GRQ104" s="4"/>
      <c r="GRR104" s="4"/>
      <c r="GRS104" s="4"/>
      <c r="GRT104" s="4"/>
      <c r="GRU104" s="4"/>
      <c r="GRV104" s="4"/>
      <c r="GRW104" s="4"/>
      <c r="GRX104" s="4"/>
      <c r="GRY104" s="4"/>
      <c r="GRZ104" s="4"/>
      <c r="GSA104" s="4"/>
      <c r="GSB104" s="4"/>
      <c r="GSC104" s="4"/>
      <c r="GSD104" s="4"/>
      <c r="GSE104" s="4"/>
      <c r="GSF104" s="4"/>
      <c r="GSG104" s="4"/>
      <c r="GSH104" s="4"/>
      <c r="GSI104" s="4"/>
      <c r="GSJ104" s="4"/>
      <c r="GSK104" s="4"/>
      <c r="GSL104" s="4"/>
      <c r="GSM104" s="4"/>
      <c r="GSN104" s="4"/>
      <c r="GSO104" s="4"/>
      <c r="GSP104" s="4"/>
      <c r="GSQ104" s="4"/>
      <c r="GSR104" s="4"/>
      <c r="GSS104" s="4"/>
      <c r="GST104" s="4"/>
      <c r="GSU104" s="4"/>
      <c r="GSV104" s="4"/>
      <c r="GSW104" s="4"/>
      <c r="GSX104" s="4"/>
      <c r="GSY104" s="4"/>
      <c r="GSZ104" s="4"/>
      <c r="GTA104" s="4"/>
      <c r="GTB104" s="4"/>
      <c r="GTC104" s="4"/>
      <c r="GTD104" s="4"/>
      <c r="GTE104" s="4"/>
      <c r="GTF104" s="4"/>
      <c r="GTG104" s="4"/>
      <c r="GTH104" s="4"/>
      <c r="GTI104" s="4"/>
      <c r="GTJ104" s="4"/>
      <c r="GTK104" s="4"/>
      <c r="GTL104" s="4"/>
      <c r="GTM104" s="4"/>
      <c r="GTN104" s="4"/>
      <c r="GTO104" s="4"/>
      <c r="GTP104" s="4"/>
      <c r="GTQ104" s="4"/>
      <c r="GTR104" s="4"/>
      <c r="GTS104" s="4"/>
      <c r="GTT104" s="4"/>
      <c r="GTU104" s="4"/>
      <c r="GTV104" s="4"/>
      <c r="GTW104" s="4"/>
      <c r="GTX104" s="4"/>
      <c r="GTY104" s="4"/>
      <c r="GTZ104" s="4"/>
      <c r="GUA104" s="4"/>
      <c r="GUB104" s="4"/>
      <c r="GUC104" s="4"/>
      <c r="GUD104" s="4"/>
      <c r="GUE104" s="4"/>
      <c r="GUF104" s="4"/>
      <c r="GUG104" s="4"/>
      <c r="GUH104" s="4"/>
      <c r="GUI104" s="4"/>
      <c r="GUJ104" s="4"/>
      <c r="GUK104" s="4"/>
      <c r="GUL104" s="4"/>
      <c r="GUM104" s="4"/>
      <c r="GUN104" s="4"/>
      <c r="GUO104" s="4"/>
      <c r="GUP104" s="4"/>
      <c r="GUQ104" s="4"/>
      <c r="GUR104" s="4"/>
      <c r="GUS104" s="4"/>
      <c r="GUT104" s="4"/>
      <c r="GUU104" s="4"/>
      <c r="GUV104" s="4"/>
      <c r="GUW104" s="4"/>
      <c r="GUX104" s="4"/>
      <c r="GUY104" s="4"/>
      <c r="GUZ104" s="4"/>
      <c r="GVA104" s="4"/>
      <c r="GVB104" s="4"/>
      <c r="GVC104" s="4"/>
      <c r="GVD104" s="4"/>
      <c r="GVE104" s="4"/>
      <c r="GVF104" s="4"/>
      <c r="GVG104" s="4"/>
      <c r="GVH104" s="4"/>
      <c r="GVI104" s="4"/>
      <c r="GVJ104" s="4"/>
      <c r="GVK104" s="4"/>
      <c r="GVL104" s="4"/>
      <c r="GVM104" s="4"/>
      <c r="GVN104" s="4"/>
      <c r="GVO104" s="4"/>
      <c r="GVP104" s="4"/>
      <c r="GVQ104" s="4"/>
      <c r="GVR104" s="4"/>
      <c r="GVS104" s="4"/>
      <c r="GVT104" s="4"/>
      <c r="GVU104" s="4"/>
      <c r="GVV104" s="4"/>
      <c r="GVW104" s="4"/>
      <c r="GVX104" s="4"/>
      <c r="GVY104" s="4"/>
      <c r="GVZ104" s="4"/>
      <c r="GWA104" s="4"/>
      <c r="GWB104" s="4"/>
      <c r="GWC104" s="4"/>
      <c r="GWD104" s="4"/>
      <c r="GWE104" s="4"/>
      <c r="GWF104" s="4"/>
      <c r="GWG104" s="4"/>
      <c r="GWH104" s="4"/>
      <c r="GWI104" s="4"/>
      <c r="GWJ104" s="4"/>
      <c r="GWK104" s="4"/>
      <c r="GWL104" s="4"/>
      <c r="GWM104" s="4"/>
      <c r="GWN104" s="4"/>
      <c r="GWO104" s="4"/>
      <c r="GWP104" s="4"/>
      <c r="GWQ104" s="4"/>
      <c r="GWR104" s="4"/>
      <c r="GWS104" s="4"/>
      <c r="GWT104" s="4"/>
      <c r="GWU104" s="4"/>
      <c r="GWV104" s="4"/>
      <c r="GWW104" s="4"/>
      <c r="GWX104" s="4"/>
      <c r="GWY104" s="4"/>
      <c r="GWZ104" s="4"/>
      <c r="GXA104" s="4"/>
      <c r="GXB104" s="4"/>
      <c r="GXC104" s="4"/>
      <c r="GXD104" s="4"/>
      <c r="GXE104" s="4"/>
      <c r="GXF104" s="4"/>
      <c r="GXG104" s="4"/>
      <c r="GXH104" s="4"/>
      <c r="GXI104" s="4"/>
      <c r="GXJ104" s="4"/>
      <c r="GXK104" s="4"/>
      <c r="GXL104" s="4"/>
      <c r="GXM104" s="4"/>
      <c r="GXN104" s="4"/>
      <c r="GXO104" s="4"/>
      <c r="GXP104" s="4"/>
      <c r="GXQ104" s="4"/>
      <c r="GXR104" s="4"/>
      <c r="GXS104" s="4"/>
      <c r="GXT104" s="4"/>
      <c r="GXU104" s="4"/>
      <c r="GXV104" s="4"/>
      <c r="GXW104" s="4"/>
      <c r="GXX104" s="4"/>
      <c r="GXY104" s="4"/>
      <c r="GXZ104" s="4"/>
      <c r="GYA104" s="4"/>
      <c r="GYB104" s="4"/>
      <c r="GYC104" s="4"/>
      <c r="GYD104" s="4"/>
      <c r="GYE104" s="4"/>
      <c r="GYF104" s="4"/>
      <c r="GYG104" s="4"/>
      <c r="GYH104" s="4"/>
      <c r="GYI104" s="4"/>
      <c r="GYJ104" s="4"/>
      <c r="GYK104" s="4"/>
      <c r="GYL104" s="4"/>
      <c r="GYM104" s="4"/>
      <c r="GYN104" s="4"/>
      <c r="GYO104" s="4"/>
      <c r="GYP104" s="4"/>
      <c r="GYQ104" s="4"/>
      <c r="GYR104" s="4"/>
      <c r="GYS104" s="4"/>
      <c r="GYT104" s="4"/>
      <c r="GYU104" s="4"/>
      <c r="GYV104" s="4"/>
      <c r="GYW104" s="4"/>
      <c r="GYX104" s="4"/>
      <c r="GYY104" s="4"/>
      <c r="GYZ104" s="4"/>
      <c r="GZA104" s="4"/>
      <c r="GZB104" s="4"/>
      <c r="GZC104" s="4"/>
      <c r="GZD104" s="4"/>
      <c r="GZE104" s="4"/>
      <c r="GZF104" s="4"/>
      <c r="GZG104" s="4"/>
      <c r="GZH104" s="4"/>
      <c r="GZI104" s="4"/>
      <c r="GZJ104" s="4"/>
      <c r="GZK104" s="4"/>
      <c r="GZL104" s="4"/>
      <c r="GZM104" s="4"/>
      <c r="GZN104" s="4"/>
      <c r="GZO104" s="4"/>
      <c r="GZP104" s="4"/>
      <c r="GZQ104" s="4"/>
      <c r="GZR104" s="4"/>
      <c r="GZS104" s="4"/>
      <c r="GZT104" s="4"/>
      <c r="GZU104" s="4"/>
      <c r="GZV104" s="4"/>
      <c r="GZW104" s="4"/>
      <c r="GZX104" s="4"/>
      <c r="GZY104" s="4"/>
      <c r="GZZ104" s="4"/>
      <c r="HAA104" s="4"/>
      <c r="HAB104" s="4"/>
      <c r="HAC104" s="4"/>
      <c r="HAD104" s="4"/>
      <c r="HAE104" s="4"/>
      <c r="HAF104" s="4"/>
      <c r="HAG104" s="4"/>
      <c r="HAH104" s="4"/>
      <c r="HAI104" s="4"/>
      <c r="HAJ104" s="4"/>
      <c r="HAK104" s="4"/>
      <c r="HAL104" s="4"/>
      <c r="HAM104" s="4"/>
      <c r="HAN104" s="4"/>
      <c r="HAO104" s="4"/>
      <c r="HAP104" s="4"/>
      <c r="HAQ104" s="4"/>
      <c r="HAR104" s="4"/>
      <c r="HAS104" s="4"/>
      <c r="HAT104" s="4"/>
      <c r="HAU104" s="4"/>
      <c r="HAV104" s="4"/>
      <c r="HAW104" s="4"/>
      <c r="HAX104" s="4"/>
      <c r="HAY104" s="4"/>
      <c r="HAZ104" s="4"/>
      <c r="HBA104" s="4"/>
      <c r="HBB104" s="4"/>
      <c r="HBC104" s="4"/>
      <c r="HBD104" s="4"/>
      <c r="HBE104" s="4"/>
      <c r="HBF104" s="4"/>
      <c r="HBG104" s="4"/>
      <c r="HBH104" s="4"/>
      <c r="HBI104" s="4"/>
      <c r="HBJ104" s="4"/>
      <c r="HBK104" s="4"/>
      <c r="HBL104" s="4"/>
      <c r="HBM104" s="4"/>
      <c r="HBN104" s="4"/>
      <c r="HBO104" s="4"/>
      <c r="HBP104" s="4"/>
      <c r="HBQ104" s="4"/>
      <c r="HBR104" s="4"/>
      <c r="HBS104" s="4"/>
      <c r="HBT104" s="4"/>
      <c r="HBU104" s="4"/>
      <c r="HBV104" s="4"/>
      <c r="HBW104" s="4"/>
      <c r="HBX104" s="4"/>
      <c r="HBY104" s="4"/>
      <c r="HBZ104" s="4"/>
      <c r="HCA104" s="4"/>
      <c r="HCB104" s="4"/>
      <c r="HCC104" s="4"/>
      <c r="HCD104" s="4"/>
      <c r="HCE104" s="4"/>
      <c r="HCF104" s="4"/>
      <c r="HCG104" s="4"/>
      <c r="HCH104" s="4"/>
      <c r="HCI104" s="4"/>
      <c r="HCJ104" s="4"/>
      <c r="HCK104" s="4"/>
      <c r="HCL104" s="4"/>
      <c r="HCM104" s="4"/>
      <c r="HCN104" s="4"/>
      <c r="HCO104" s="4"/>
      <c r="HCP104" s="4"/>
      <c r="HCQ104" s="4"/>
      <c r="HCR104" s="4"/>
      <c r="HCS104" s="4"/>
      <c r="HCT104" s="4"/>
      <c r="HCU104" s="4"/>
      <c r="HCV104" s="4"/>
      <c r="HCW104" s="4"/>
      <c r="HCX104" s="4"/>
      <c r="HCY104" s="4"/>
      <c r="HCZ104" s="4"/>
      <c r="HDA104" s="4"/>
      <c r="HDB104" s="4"/>
      <c r="HDC104" s="4"/>
      <c r="HDD104" s="4"/>
      <c r="HDE104" s="4"/>
      <c r="HDF104" s="4"/>
      <c r="HDG104" s="4"/>
      <c r="HDH104" s="4"/>
      <c r="HDI104" s="4"/>
      <c r="HDJ104" s="4"/>
      <c r="HDK104" s="4"/>
      <c r="HDL104" s="4"/>
      <c r="HDM104" s="4"/>
      <c r="HDN104" s="4"/>
      <c r="HDO104" s="4"/>
      <c r="HDP104" s="4"/>
      <c r="HDQ104" s="4"/>
      <c r="HDR104" s="4"/>
      <c r="HDS104" s="4"/>
      <c r="HDT104" s="4"/>
      <c r="HDU104" s="4"/>
      <c r="HDV104" s="4"/>
      <c r="HDW104" s="4"/>
      <c r="HDX104" s="4"/>
      <c r="HDY104" s="4"/>
      <c r="HDZ104" s="4"/>
      <c r="HEA104" s="4"/>
      <c r="HEB104" s="4"/>
      <c r="HEC104" s="4"/>
      <c r="HED104" s="4"/>
      <c r="HEE104" s="4"/>
      <c r="HEF104" s="4"/>
      <c r="HEG104" s="4"/>
      <c r="HEH104" s="4"/>
      <c r="HEI104" s="4"/>
      <c r="HEJ104" s="4"/>
      <c r="HEK104" s="4"/>
      <c r="HEL104" s="4"/>
      <c r="HEM104" s="4"/>
      <c r="HEN104" s="4"/>
      <c r="HEO104" s="4"/>
      <c r="HEP104" s="4"/>
      <c r="HEQ104" s="4"/>
      <c r="HER104" s="4"/>
      <c r="HES104" s="4"/>
      <c r="HET104" s="4"/>
      <c r="HEU104" s="4"/>
      <c r="HEV104" s="4"/>
      <c r="HEW104" s="4"/>
      <c r="HEX104" s="4"/>
      <c r="HEY104" s="4"/>
      <c r="HEZ104" s="4"/>
      <c r="HFA104" s="4"/>
      <c r="HFB104" s="4"/>
      <c r="HFC104" s="4"/>
      <c r="HFD104" s="4"/>
      <c r="HFE104" s="4"/>
      <c r="HFF104" s="4"/>
      <c r="HFG104" s="4"/>
      <c r="HFH104" s="4"/>
      <c r="HFI104" s="4"/>
      <c r="HFJ104" s="4"/>
      <c r="HFK104" s="4"/>
      <c r="HFL104" s="4"/>
      <c r="HFM104" s="4"/>
      <c r="HFN104" s="4"/>
      <c r="HFO104" s="4"/>
      <c r="HFP104" s="4"/>
      <c r="HFQ104" s="4"/>
      <c r="HFR104" s="4"/>
      <c r="HFS104" s="4"/>
      <c r="HFT104" s="4"/>
      <c r="HFU104" s="4"/>
      <c r="HFV104" s="4"/>
      <c r="HFW104" s="4"/>
      <c r="HFX104" s="4"/>
      <c r="HFY104" s="4"/>
      <c r="HFZ104" s="4"/>
      <c r="HGA104" s="4"/>
      <c r="HGB104" s="4"/>
      <c r="HGC104" s="4"/>
      <c r="HGD104" s="4"/>
      <c r="HGE104" s="4"/>
      <c r="HGF104" s="4"/>
      <c r="HGG104" s="4"/>
      <c r="HGH104" s="4"/>
      <c r="HGI104" s="4"/>
      <c r="HGJ104" s="4"/>
      <c r="HGK104" s="4"/>
      <c r="HGL104" s="4"/>
      <c r="HGM104" s="4"/>
      <c r="HGN104" s="4"/>
      <c r="HGO104" s="4"/>
      <c r="HGP104" s="4"/>
      <c r="HGQ104" s="4"/>
      <c r="HGR104" s="4"/>
      <c r="HGS104" s="4"/>
      <c r="HGT104" s="4"/>
      <c r="HGU104" s="4"/>
      <c r="HGV104" s="4"/>
      <c r="HGW104" s="4"/>
      <c r="HGX104" s="4"/>
      <c r="HGY104" s="4"/>
      <c r="HGZ104" s="4"/>
      <c r="HHA104" s="4"/>
      <c r="HHB104" s="4"/>
      <c r="HHC104" s="4"/>
      <c r="HHD104" s="4"/>
      <c r="HHE104" s="4"/>
      <c r="HHF104" s="4"/>
      <c r="HHG104" s="4"/>
      <c r="HHH104" s="4"/>
      <c r="HHI104" s="4"/>
      <c r="HHJ104" s="4"/>
      <c r="HHK104" s="4"/>
      <c r="HHL104" s="4"/>
      <c r="HHM104" s="4"/>
      <c r="HHN104" s="4"/>
      <c r="HHO104" s="4"/>
      <c r="HHP104" s="4"/>
      <c r="HHQ104" s="4"/>
      <c r="HHR104" s="4"/>
      <c r="HHS104" s="4"/>
      <c r="HHT104" s="4"/>
      <c r="HHU104" s="4"/>
      <c r="HHV104" s="4"/>
      <c r="HHW104" s="4"/>
      <c r="HHX104" s="4"/>
      <c r="HHY104" s="4"/>
      <c r="HHZ104" s="4"/>
      <c r="HIA104" s="4"/>
      <c r="HIB104" s="4"/>
      <c r="HIC104" s="4"/>
      <c r="HID104" s="4"/>
      <c r="HIE104" s="4"/>
      <c r="HIF104" s="4"/>
      <c r="HIG104" s="4"/>
      <c r="HIH104" s="4"/>
      <c r="HII104" s="4"/>
      <c r="HIJ104" s="4"/>
      <c r="HIK104" s="4"/>
      <c r="HIL104" s="4"/>
      <c r="HIM104" s="4"/>
      <c r="HIN104" s="4"/>
      <c r="HIO104" s="4"/>
      <c r="HIP104" s="4"/>
      <c r="HIQ104" s="4"/>
      <c r="HIR104" s="4"/>
      <c r="HIS104" s="4"/>
      <c r="HIT104" s="4"/>
      <c r="HIU104" s="4"/>
      <c r="HIV104" s="4"/>
      <c r="HIW104" s="4"/>
      <c r="HIX104" s="4"/>
      <c r="HIY104" s="4"/>
      <c r="HIZ104" s="4"/>
      <c r="HJA104" s="4"/>
      <c r="HJB104" s="4"/>
      <c r="HJC104" s="4"/>
      <c r="HJD104" s="4"/>
      <c r="HJE104" s="4"/>
      <c r="HJF104" s="4"/>
      <c r="HJG104" s="4"/>
      <c r="HJH104" s="4"/>
      <c r="HJI104" s="4"/>
      <c r="HJJ104" s="4"/>
      <c r="HJK104" s="4"/>
      <c r="HJL104" s="4"/>
      <c r="HJM104" s="4"/>
      <c r="HJN104" s="4"/>
      <c r="HJO104" s="4"/>
      <c r="HJP104" s="4"/>
      <c r="HJQ104" s="4"/>
      <c r="HJR104" s="4"/>
      <c r="HJS104" s="4"/>
      <c r="HJT104" s="4"/>
      <c r="HJU104" s="4"/>
      <c r="HJV104" s="4"/>
      <c r="HJW104" s="4"/>
      <c r="HJX104" s="4"/>
      <c r="HJY104" s="4"/>
      <c r="HJZ104" s="4"/>
      <c r="HKA104" s="4"/>
      <c r="HKB104" s="4"/>
      <c r="HKC104" s="4"/>
      <c r="HKD104" s="4"/>
      <c r="HKE104" s="4"/>
      <c r="HKF104" s="4"/>
      <c r="HKG104" s="4"/>
      <c r="HKH104" s="4"/>
      <c r="HKI104" s="4"/>
      <c r="HKJ104" s="4"/>
      <c r="HKK104" s="4"/>
      <c r="HKL104" s="4"/>
      <c r="HKM104" s="4"/>
      <c r="HKN104" s="4"/>
      <c r="HKO104" s="4"/>
      <c r="HKP104" s="4"/>
      <c r="HKQ104" s="4"/>
      <c r="HKR104" s="4"/>
      <c r="HKS104" s="4"/>
      <c r="HKT104" s="4"/>
      <c r="HKU104" s="4"/>
      <c r="HKV104" s="4"/>
      <c r="HKW104" s="4"/>
      <c r="HKX104" s="4"/>
      <c r="HKY104" s="4"/>
      <c r="HKZ104" s="4"/>
      <c r="HLA104" s="4"/>
      <c r="HLB104" s="4"/>
      <c r="HLC104" s="4"/>
      <c r="HLD104" s="4"/>
      <c r="HLE104" s="4"/>
      <c r="HLF104" s="4"/>
      <c r="HLG104" s="4"/>
      <c r="HLH104" s="4"/>
      <c r="HLI104" s="4"/>
      <c r="HLJ104" s="4"/>
      <c r="HLK104" s="4"/>
      <c r="HLL104" s="4"/>
      <c r="HLM104" s="4"/>
      <c r="HLN104" s="4"/>
      <c r="HLO104" s="4"/>
      <c r="HLP104" s="4"/>
      <c r="HLQ104" s="4"/>
      <c r="HLR104" s="4"/>
      <c r="HLS104" s="4"/>
      <c r="HLT104" s="4"/>
      <c r="HLU104" s="4"/>
      <c r="HLV104" s="4"/>
      <c r="HLW104" s="4"/>
      <c r="HLX104" s="4"/>
      <c r="HLY104" s="4"/>
      <c r="HLZ104" s="4"/>
      <c r="HMA104" s="4"/>
      <c r="HMB104" s="4"/>
      <c r="HMC104" s="4"/>
      <c r="HMD104" s="4"/>
      <c r="HME104" s="4"/>
      <c r="HMF104" s="4"/>
      <c r="HMG104" s="4"/>
      <c r="HMH104" s="4"/>
      <c r="HMI104" s="4"/>
      <c r="HMJ104" s="4"/>
      <c r="HMK104" s="4"/>
      <c r="HML104" s="4"/>
      <c r="HMM104" s="4"/>
      <c r="HMN104" s="4"/>
      <c r="HMO104" s="4"/>
      <c r="HMP104" s="4"/>
      <c r="HMQ104" s="4"/>
      <c r="HMR104" s="4"/>
      <c r="HMS104" s="4"/>
      <c r="HMT104" s="4"/>
      <c r="HMU104" s="4"/>
      <c r="HMV104" s="4"/>
      <c r="HMW104" s="4"/>
      <c r="HMX104" s="4"/>
      <c r="HMY104" s="4"/>
      <c r="HMZ104" s="4"/>
      <c r="HNA104" s="4"/>
      <c r="HNB104" s="4"/>
      <c r="HNC104" s="4"/>
      <c r="HND104" s="4"/>
      <c r="HNE104" s="4"/>
      <c r="HNF104" s="4"/>
      <c r="HNG104" s="4"/>
      <c r="HNH104" s="4"/>
      <c r="HNI104" s="4"/>
      <c r="HNJ104" s="4"/>
      <c r="HNK104" s="4"/>
      <c r="HNL104" s="4"/>
      <c r="HNM104" s="4"/>
      <c r="HNN104" s="4"/>
      <c r="HNO104" s="4"/>
      <c r="HNP104" s="4"/>
      <c r="HNQ104" s="4"/>
      <c r="HNR104" s="4"/>
      <c r="HNS104" s="4"/>
      <c r="HNT104" s="4"/>
      <c r="HNU104" s="4"/>
      <c r="HNV104" s="4"/>
      <c r="HNW104" s="4"/>
      <c r="HNX104" s="4"/>
      <c r="HNY104" s="4"/>
      <c r="HNZ104" s="4"/>
      <c r="HOA104" s="4"/>
      <c r="HOB104" s="4"/>
      <c r="HOC104" s="4"/>
      <c r="HOD104" s="4"/>
      <c r="HOE104" s="4"/>
      <c r="HOF104" s="4"/>
      <c r="HOG104" s="4"/>
      <c r="HOH104" s="4"/>
      <c r="HOI104" s="4"/>
      <c r="HOJ104" s="4"/>
      <c r="HOK104" s="4"/>
      <c r="HOL104" s="4"/>
      <c r="HOM104" s="4"/>
      <c r="HON104" s="4"/>
      <c r="HOO104" s="4"/>
      <c r="HOP104" s="4"/>
      <c r="HOQ104" s="4"/>
      <c r="HOR104" s="4"/>
      <c r="HOS104" s="4"/>
      <c r="HOT104" s="4"/>
      <c r="HOU104" s="4"/>
      <c r="HOV104" s="4"/>
      <c r="HOW104" s="4"/>
      <c r="HOX104" s="4"/>
      <c r="HOY104" s="4"/>
      <c r="HOZ104" s="4"/>
      <c r="HPA104" s="4"/>
      <c r="HPB104" s="4"/>
      <c r="HPC104" s="4"/>
      <c r="HPD104" s="4"/>
      <c r="HPE104" s="4"/>
      <c r="HPF104" s="4"/>
      <c r="HPG104" s="4"/>
      <c r="HPH104" s="4"/>
      <c r="HPI104" s="4"/>
      <c r="HPJ104" s="4"/>
      <c r="HPK104" s="4"/>
      <c r="HPL104" s="4"/>
      <c r="HPM104" s="4"/>
      <c r="HPN104" s="4"/>
      <c r="HPO104" s="4"/>
      <c r="HPP104" s="4"/>
      <c r="HPQ104" s="4"/>
      <c r="HPR104" s="4"/>
      <c r="HPS104" s="4"/>
      <c r="HPT104" s="4"/>
      <c r="HPU104" s="4"/>
      <c r="HPV104" s="4"/>
      <c r="HPW104" s="4"/>
      <c r="HPX104" s="4"/>
      <c r="HPY104" s="4"/>
      <c r="HPZ104" s="4"/>
      <c r="HQA104" s="4"/>
      <c r="HQB104" s="4"/>
      <c r="HQC104" s="4"/>
      <c r="HQD104" s="4"/>
      <c r="HQE104" s="4"/>
      <c r="HQF104" s="4"/>
      <c r="HQG104" s="4"/>
      <c r="HQH104" s="4"/>
      <c r="HQI104" s="4"/>
      <c r="HQJ104" s="4"/>
      <c r="HQK104" s="4"/>
      <c r="HQL104" s="4"/>
      <c r="HQM104" s="4"/>
      <c r="HQN104" s="4"/>
      <c r="HQO104" s="4"/>
      <c r="HQP104" s="4"/>
      <c r="HQQ104" s="4"/>
      <c r="HQR104" s="4"/>
      <c r="HQS104" s="4"/>
      <c r="HQT104" s="4"/>
      <c r="HQU104" s="4"/>
      <c r="HQV104" s="4"/>
      <c r="HQW104" s="4"/>
      <c r="HQX104" s="4"/>
      <c r="HQY104" s="4"/>
      <c r="HQZ104" s="4"/>
      <c r="HRA104" s="4"/>
      <c r="HRB104" s="4"/>
      <c r="HRC104" s="4"/>
      <c r="HRD104" s="4"/>
      <c r="HRE104" s="4"/>
      <c r="HRF104" s="4"/>
      <c r="HRG104" s="4"/>
      <c r="HRH104" s="4"/>
      <c r="HRI104" s="4"/>
      <c r="HRJ104" s="4"/>
      <c r="HRK104" s="4"/>
      <c r="HRL104" s="4"/>
      <c r="HRM104" s="4"/>
      <c r="HRN104" s="4"/>
      <c r="HRO104" s="4"/>
      <c r="HRP104" s="4"/>
      <c r="HRQ104" s="4"/>
      <c r="HRR104" s="4"/>
      <c r="HRS104" s="4"/>
      <c r="HRT104" s="4"/>
      <c r="HRU104" s="4"/>
      <c r="HRV104" s="4"/>
      <c r="HRW104" s="4"/>
      <c r="HRX104" s="4"/>
      <c r="HRY104" s="4"/>
      <c r="HRZ104" s="4"/>
      <c r="HSA104" s="4"/>
      <c r="HSB104" s="4"/>
      <c r="HSC104" s="4"/>
      <c r="HSD104" s="4"/>
      <c r="HSE104" s="4"/>
      <c r="HSF104" s="4"/>
      <c r="HSG104" s="4"/>
      <c r="HSH104" s="4"/>
      <c r="HSI104" s="4"/>
      <c r="HSJ104" s="4"/>
      <c r="HSK104" s="4"/>
      <c r="HSL104" s="4"/>
      <c r="HSM104" s="4"/>
      <c r="HSN104" s="4"/>
      <c r="HSO104" s="4"/>
      <c r="HSP104" s="4"/>
      <c r="HSQ104" s="4"/>
      <c r="HSR104" s="4"/>
      <c r="HSS104" s="4"/>
      <c r="HST104" s="4"/>
      <c r="HSU104" s="4"/>
      <c r="HSV104" s="4"/>
      <c r="HSW104" s="4"/>
      <c r="HSX104" s="4"/>
      <c r="HSY104" s="4"/>
      <c r="HSZ104" s="4"/>
      <c r="HTA104" s="4"/>
      <c r="HTB104" s="4"/>
      <c r="HTC104" s="4"/>
      <c r="HTD104" s="4"/>
      <c r="HTE104" s="4"/>
      <c r="HTF104" s="4"/>
      <c r="HTG104" s="4"/>
      <c r="HTH104" s="4"/>
      <c r="HTI104" s="4"/>
      <c r="HTJ104" s="4"/>
      <c r="HTK104" s="4"/>
      <c r="HTL104" s="4"/>
      <c r="HTM104" s="4"/>
      <c r="HTN104" s="4"/>
      <c r="HTO104" s="4"/>
      <c r="HTP104" s="4"/>
      <c r="HTQ104" s="4"/>
      <c r="HTR104" s="4"/>
      <c r="HTS104" s="4"/>
      <c r="HTT104" s="4"/>
      <c r="HTU104" s="4"/>
      <c r="HTV104" s="4"/>
      <c r="HTW104" s="4"/>
      <c r="HTX104" s="4"/>
      <c r="HTY104" s="4"/>
      <c r="HTZ104" s="4"/>
      <c r="HUA104" s="4"/>
      <c r="HUB104" s="4"/>
      <c r="HUC104" s="4"/>
      <c r="HUD104" s="4"/>
      <c r="HUE104" s="4"/>
      <c r="HUF104" s="4"/>
      <c r="HUG104" s="4"/>
      <c r="HUH104" s="4"/>
      <c r="HUI104" s="4"/>
      <c r="HUJ104" s="4"/>
      <c r="HUK104" s="4"/>
      <c r="HUL104" s="4"/>
      <c r="HUM104" s="4"/>
      <c r="HUN104" s="4"/>
      <c r="HUO104" s="4"/>
      <c r="HUP104" s="4"/>
      <c r="HUQ104" s="4"/>
      <c r="HUR104" s="4"/>
      <c r="HUS104" s="4"/>
      <c r="HUT104" s="4"/>
      <c r="HUU104" s="4"/>
      <c r="HUV104" s="4"/>
      <c r="HUW104" s="4"/>
      <c r="HUX104" s="4"/>
      <c r="HUY104" s="4"/>
      <c r="HUZ104" s="4"/>
      <c r="HVA104" s="4"/>
      <c r="HVB104" s="4"/>
      <c r="HVC104" s="4"/>
      <c r="HVD104" s="4"/>
      <c r="HVE104" s="4"/>
      <c r="HVF104" s="4"/>
      <c r="HVG104" s="4"/>
      <c r="HVH104" s="4"/>
      <c r="HVI104" s="4"/>
      <c r="HVJ104" s="4"/>
      <c r="HVK104" s="4"/>
      <c r="HVL104" s="4"/>
      <c r="HVM104" s="4"/>
      <c r="HVN104" s="4"/>
      <c r="HVO104" s="4"/>
      <c r="HVP104" s="4"/>
      <c r="HVQ104" s="4"/>
      <c r="HVR104" s="4"/>
      <c r="HVS104" s="4"/>
      <c r="HVT104" s="4"/>
      <c r="HVU104" s="4"/>
      <c r="HVV104" s="4"/>
      <c r="HVW104" s="4"/>
      <c r="HVX104" s="4"/>
      <c r="HVY104" s="4"/>
      <c r="HVZ104" s="4"/>
      <c r="HWA104" s="4"/>
      <c r="HWB104" s="4"/>
      <c r="HWC104" s="4"/>
      <c r="HWD104" s="4"/>
      <c r="HWE104" s="4"/>
      <c r="HWF104" s="4"/>
      <c r="HWG104" s="4"/>
      <c r="HWH104" s="4"/>
      <c r="HWI104" s="4"/>
      <c r="HWJ104" s="4"/>
      <c r="HWK104" s="4"/>
      <c r="HWL104" s="4"/>
      <c r="HWM104" s="4"/>
      <c r="HWN104" s="4"/>
      <c r="HWO104" s="4"/>
      <c r="HWP104" s="4"/>
      <c r="HWQ104" s="4"/>
      <c r="HWR104" s="4"/>
      <c r="HWS104" s="4"/>
      <c r="HWT104" s="4"/>
      <c r="HWU104" s="4"/>
      <c r="HWV104" s="4"/>
      <c r="HWW104" s="4"/>
      <c r="HWX104" s="4"/>
      <c r="HWY104" s="4"/>
      <c r="HWZ104" s="4"/>
      <c r="HXA104" s="4"/>
      <c r="HXB104" s="4"/>
      <c r="HXC104" s="4"/>
      <c r="HXD104" s="4"/>
      <c r="HXE104" s="4"/>
      <c r="HXF104" s="4"/>
      <c r="HXG104" s="4"/>
      <c r="HXH104" s="4"/>
      <c r="HXI104" s="4"/>
      <c r="HXJ104" s="4"/>
      <c r="HXK104" s="4"/>
      <c r="HXL104" s="4"/>
      <c r="HXM104" s="4"/>
      <c r="HXN104" s="4"/>
      <c r="HXO104" s="4"/>
      <c r="HXP104" s="4"/>
      <c r="HXQ104" s="4"/>
      <c r="HXR104" s="4"/>
      <c r="HXS104" s="4"/>
      <c r="HXT104" s="4"/>
      <c r="HXU104" s="4"/>
      <c r="HXV104" s="4"/>
      <c r="HXW104" s="4"/>
      <c r="HXX104" s="4"/>
      <c r="HXY104" s="4"/>
      <c r="HXZ104" s="4"/>
      <c r="HYA104" s="4"/>
      <c r="HYB104" s="4"/>
      <c r="HYC104" s="4"/>
      <c r="HYD104" s="4"/>
      <c r="HYE104" s="4"/>
      <c r="HYF104" s="4"/>
      <c r="HYG104" s="4"/>
      <c r="HYH104" s="4"/>
      <c r="HYI104" s="4"/>
      <c r="HYJ104" s="4"/>
      <c r="HYK104" s="4"/>
      <c r="HYL104" s="4"/>
      <c r="HYM104" s="4"/>
      <c r="HYN104" s="4"/>
      <c r="HYO104" s="4"/>
      <c r="HYP104" s="4"/>
      <c r="HYQ104" s="4"/>
      <c r="HYR104" s="4"/>
      <c r="HYS104" s="4"/>
      <c r="HYT104" s="4"/>
      <c r="HYU104" s="4"/>
      <c r="HYV104" s="4"/>
      <c r="HYW104" s="4"/>
      <c r="HYX104" s="4"/>
      <c r="HYY104" s="4"/>
      <c r="HYZ104" s="4"/>
      <c r="HZA104" s="4"/>
      <c r="HZB104" s="4"/>
      <c r="HZC104" s="4"/>
      <c r="HZD104" s="4"/>
      <c r="HZE104" s="4"/>
      <c r="HZF104" s="4"/>
      <c r="HZG104" s="4"/>
      <c r="HZH104" s="4"/>
      <c r="HZI104" s="4"/>
      <c r="HZJ104" s="4"/>
      <c r="HZK104" s="4"/>
      <c r="HZL104" s="4"/>
      <c r="HZM104" s="4"/>
      <c r="HZN104" s="4"/>
      <c r="HZO104" s="4"/>
      <c r="HZP104" s="4"/>
      <c r="HZQ104" s="4"/>
      <c r="HZR104" s="4"/>
      <c r="HZS104" s="4"/>
      <c r="HZT104" s="4"/>
      <c r="HZU104" s="4"/>
      <c r="HZV104" s="4"/>
      <c r="HZW104" s="4"/>
      <c r="HZX104" s="4"/>
      <c r="HZY104" s="4"/>
      <c r="HZZ104" s="4"/>
      <c r="IAA104" s="4"/>
      <c r="IAB104" s="4"/>
      <c r="IAC104" s="4"/>
      <c r="IAD104" s="4"/>
      <c r="IAE104" s="4"/>
      <c r="IAF104" s="4"/>
      <c r="IAG104" s="4"/>
      <c r="IAH104" s="4"/>
      <c r="IAI104" s="4"/>
      <c r="IAJ104" s="4"/>
      <c r="IAK104" s="4"/>
      <c r="IAL104" s="4"/>
      <c r="IAM104" s="4"/>
      <c r="IAN104" s="4"/>
      <c r="IAO104" s="4"/>
      <c r="IAP104" s="4"/>
      <c r="IAQ104" s="4"/>
      <c r="IAR104" s="4"/>
      <c r="IAS104" s="4"/>
      <c r="IAT104" s="4"/>
      <c r="IAU104" s="4"/>
      <c r="IAV104" s="4"/>
      <c r="IAW104" s="4"/>
      <c r="IAX104" s="4"/>
      <c r="IAY104" s="4"/>
      <c r="IAZ104" s="4"/>
      <c r="IBA104" s="4"/>
      <c r="IBB104" s="4"/>
      <c r="IBC104" s="4"/>
      <c r="IBD104" s="4"/>
      <c r="IBE104" s="4"/>
      <c r="IBF104" s="4"/>
      <c r="IBG104" s="4"/>
      <c r="IBH104" s="4"/>
      <c r="IBI104" s="4"/>
      <c r="IBJ104" s="4"/>
      <c r="IBK104" s="4"/>
      <c r="IBL104" s="4"/>
      <c r="IBM104" s="4"/>
      <c r="IBN104" s="4"/>
      <c r="IBO104" s="4"/>
      <c r="IBP104" s="4"/>
      <c r="IBQ104" s="4"/>
      <c r="IBR104" s="4"/>
      <c r="IBS104" s="4"/>
      <c r="IBT104" s="4"/>
      <c r="IBU104" s="4"/>
      <c r="IBV104" s="4"/>
      <c r="IBW104" s="4"/>
      <c r="IBX104" s="4"/>
      <c r="IBY104" s="4"/>
      <c r="IBZ104" s="4"/>
      <c r="ICA104" s="4"/>
      <c r="ICB104" s="4"/>
      <c r="ICC104" s="4"/>
      <c r="ICD104" s="4"/>
      <c r="ICE104" s="4"/>
      <c r="ICF104" s="4"/>
      <c r="ICG104" s="4"/>
      <c r="ICH104" s="4"/>
      <c r="ICI104" s="4"/>
      <c r="ICJ104" s="4"/>
      <c r="ICK104" s="4"/>
      <c r="ICL104" s="4"/>
      <c r="ICM104" s="4"/>
      <c r="ICN104" s="4"/>
      <c r="ICO104" s="4"/>
      <c r="ICP104" s="4"/>
      <c r="ICQ104" s="4"/>
      <c r="ICR104" s="4"/>
      <c r="ICS104" s="4"/>
      <c r="ICT104" s="4"/>
      <c r="ICU104" s="4"/>
      <c r="ICV104" s="4"/>
      <c r="ICW104" s="4"/>
      <c r="ICX104" s="4"/>
      <c r="ICY104" s="4"/>
      <c r="ICZ104" s="4"/>
      <c r="IDA104" s="4"/>
      <c r="IDB104" s="4"/>
      <c r="IDC104" s="4"/>
      <c r="IDD104" s="4"/>
      <c r="IDE104" s="4"/>
      <c r="IDF104" s="4"/>
      <c r="IDG104" s="4"/>
      <c r="IDH104" s="4"/>
      <c r="IDI104" s="4"/>
      <c r="IDJ104" s="4"/>
      <c r="IDK104" s="4"/>
      <c r="IDL104" s="4"/>
      <c r="IDM104" s="4"/>
      <c r="IDN104" s="4"/>
      <c r="IDO104" s="4"/>
      <c r="IDP104" s="4"/>
      <c r="IDQ104" s="4"/>
      <c r="IDR104" s="4"/>
      <c r="IDS104" s="4"/>
      <c r="IDT104" s="4"/>
      <c r="IDU104" s="4"/>
      <c r="IDV104" s="4"/>
      <c r="IDW104" s="4"/>
      <c r="IDX104" s="4"/>
      <c r="IDY104" s="4"/>
      <c r="IDZ104" s="4"/>
      <c r="IEA104" s="4"/>
      <c r="IEB104" s="4"/>
      <c r="IEC104" s="4"/>
      <c r="IED104" s="4"/>
      <c r="IEE104" s="4"/>
      <c r="IEF104" s="4"/>
      <c r="IEG104" s="4"/>
      <c r="IEH104" s="4"/>
      <c r="IEI104" s="4"/>
      <c r="IEJ104" s="4"/>
      <c r="IEK104" s="4"/>
      <c r="IEL104" s="4"/>
      <c r="IEM104" s="4"/>
      <c r="IEN104" s="4"/>
      <c r="IEO104" s="4"/>
      <c r="IEP104" s="4"/>
      <c r="IEQ104" s="4"/>
      <c r="IER104" s="4"/>
      <c r="IES104" s="4"/>
      <c r="IET104" s="4"/>
      <c r="IEU104" s="4"/>
      <c r="IEV104" s="4"/>
      <c r="IEW104" s="4"/>
      <c r="IEX104" s="4"/>
      <c r="IEY104" s="4"/>
      <c r="IEZ104" s="4"/>
      <c r="IFA104" s="4"/>
      <c r="IFB104" s="4"/>
      <c r="IFC104" s="4"/>
      <c r="IFD104" s="4"/>
      <c r="IFE104" s="4"/>
      <c r="IFF104" s="4"/>
      <c r="IFG104" s="4"/>
      <c r="IFH104" s="4"/>
      <c r="IFI104" s="4"/>
      <c r="IFJ104" s="4"/>
      <c r="IFK104" s="4"/>
      <c r="IFL104" s="4"/>
      <c r="IFM104" s="4"/>
      <c r="IFN104" s="4"/>
      <c r="IFO104" s="4"/>
      <c r="IFP104" s="4"/>
      <c r="IFQ104" s="4"/>
      <c r="IFR104" s="4"/>
      <c r="IFS104" s="4"/>
      <c r="IFT104" s="4"/>
      <c r="IFU104" s="4"/>
      <c r="IFV104" s="4"/>
      <c r="IFW104" s="4"/>
      <c r="IFX104" s="4"/>
      <c r="IFY104" s="4"/>
      <c r="IFZ104" s="4"/>
      <c r="IGA104" s="4"/>
      <c r="IGB104" s="4"/>
      <c r="IGC104" s="4"/>
      <c r="IGD104" s="4"/>
      <c r="IGE104" s="4"/>
      <c r="IGF104" s="4"/>
      <c r="IGG104" s="4"/>
      <c r="IGH104" s="4"/>
      <c r="IGI104" s="4"/>
      <c r="IGJ104" s="4"/>
      <c r="IGK104" s="4"/>
      <c r="IGL104" s="4"/>
      <c r="IGM104" s="4"/>
      <c r="IGN104" s="4"/>
      <c r="IGO104" s="4"/>
      <c r="IGP104" s="4"/>
      <c r="IGQ104" s="4"/>
      <c r="IGR104" s="4"/>
      <c r="IGS104" s="4"/>
      <c r="IGT104" s="4"/>
      <c r="IGU104" s="4"/>
      <c r="IGV104" s="4"/>
      <c r="IGW104" s="4"/>
      <c r="IGX104" s="4"/>
      <c r="IGY104" s="4"/>
      <c r="IGZ104" s="4"/>
      <c r="IHA104" s="4"/>
      <c r="IHB104" s="4"/>
      <c r="IHC104" s="4"/>
      <c r="IHD104" s="4"/>
      <c r="IHE104" s="4"/>
      <c r="IHF104" s="4"/>
      <c r="IHG104" s="4"/>
      <c r="IHH104" s="4"/>
      <c r="IHI104" s="4"/>
      <c r="IHJ104" s="4"/>
      <c r="IHK104" s="4"/>
      <c r="IHL104" s="4"/>
      <c r="IHM104" s="4"/>
      <c r="IHN104" s="4"/>
      <c r="IHO104" s="4"/>
      <c r="IHP104" s="4"/>
      <c r="IHQ104" s="4"/>
      <c r="IHR104" s="4"/>
      <c r="IHS104" s="4"/>
      <c r="IHT104" s="4"/>
      <c r="IHU104" s="4"/>
      <c r="IHV104" s="4"/>
      <c r="IHW104" s="4"/>
      <c r="IHX104" s="4"/>
      <c r="IHY104" s="4"/>
      <c r="IHZ104" s="4"/>
      <c r="IIA104" s="4"/>
      <c r="IIB104" s="4"/>
      <c r="IIC104" s="4"/>
      <c r="IID104" s="4"/>
      <c r="IIE104" s="4"/>
      <c r="IIF104" s="4"/>
      <c r="IIG104" s="4"/>
      <c r="IIH104" s="4"/>
      <c r="III104" s="4"/>
      <c r="IIJ104" s="4"/>
      <c r="IIK104" s="4"/>
      <c r="IIL104" s="4"/>
      <c r="IIM104" s="4"/>
      <c r="IIN104" s="4"/>
      <c r="IIO104" s="4"/>
      <c r="IIP104" s="4"/>
      <c r="IIQ104" s="4"/>
      <c r="IIR104" s="4"/>
      <c r="IIS104" s="4"/>
      <c r="IIT104" s="4"/>
      <c r="IIU104" s="4"/>
      <c r="IIV104" s="4"/>
      <c r="IIW104" s="4"/>
      <c r="IIX104" s="4"/>
      <c r="IIY104" s="4"/>
      <c r="IIZ104" s="4"/>
      <c r="IJA104" s="4"/>
      <c r="IJB104" s="4"/>
      <c r="IJC104" s="4"/>
      <c r="IJD104" s="4"/>
      <c r="IJE104" s="4"/>
      <c r="IJF104" s="4"/>
      <c r="IJG104" s="4"/>
      <c r="IJH104" s="4"/>
      <c r="IJI104" s="4"/>
      <c r="IJJ104" s="4"/>
      <c r="IJK104" s="4"/>
      <c r="IJL104" s="4"/>
      <c r="IJM104" s="4"/>
      <c r="IJN104" s="4"/>
      <c r="IJO104" s="4"/>
      <c r="IJP104" s="4"/>
      <c r="IJQ104" s="4"/>
      <c r="IJR104" s="4"/>
      <c r="IJS104" s="4"/>
      <c r="IJT104" s="4"/>
      <c r="IJU104" s="4"/>
      <c r="IJV104" s="4"/>
      <c r="IJW104" s="4"/>
      <c r="IJX104" s="4"/>
      <c r="IJY104" s="4"/>
      <c r="IJZ104" s="4"/>
      <c r="IKA104" s="4"/>
      <c r="IKB104" s="4"/>
      <c r="IKC104" s="4"/>
      <c r="IKD104" s="4"/>
      <c r="IKE104" s="4"/>
      <c r="IKF104" s="4"/>
      <c r="IKG104" s="4"/>
      <c r="IKH104" s="4"/>
      <c r="IKI104" s="4"/>
      <c r="IKJ104" s="4"/>
      <c r="IKK104" s="4"/>
      <c r="IKL104" s="4"/>
      <c r="IKM104" s="4"/>
      <c r="IKN104" s="4"/>
      <c r="IKO104" s="4"/>
      <c r="IKP104" s="4"/>
      <c r="IKQ104" s="4"/>
      <c r="IKR104" s="4"/>
      <c r="IKS104" s="4"/>
      <c r="IKT104" s="4"/>
      <c r="IKU104" s="4"/>
      <c r="IKV104" s="4"/>
      <c r="IKW104" s="4"/>
      <c r="IKX104" s="4"/>
      <c r="IKY104" s="4"/>
      <c r="IKZ104" s="4"/>
      <c r="ILA104" s="4"/>
      <c r="ILB104" s="4"/>
      <c r="ILC104" s="4"/>
      <c r="ILD104" s="4"/>
      <c r="ILE104" s="4"/>
      <c r="ILF104" s="4"/>
      <c r="ILG104" s="4"/>
      <c r="ILH104" s="4"/>
      <c r="ILI104" s="4"/>
      <c r="ILJ104" s="4"/>
      <c r="ILK104" s="4"/>
      <c r="ILL104" s="4"/>
      <c r="ILM104" s="4"/>
      <c r="ILN104" s="4"/>
      <c r="ILO104" s="4"/>
      <c r="ILP104" s="4"/>
      <c r="ILQ104" s="4"/>
      <c r="ILR104" s="4"/>
      <c r="ILS104" s="4"/>
      <c r="ILT104" s="4"/>
      <c r="ILU104" s="4"/>
      <c r="ILV104" s="4"/>
      <c r="ILW104" s="4"/>
      <c r="ILX104" s="4"/>
      <c r="ILY104" s="4"/>
      <c r="ILZ104" s="4"/>
      <c r="IMA104" s="4"/>
      <c r="IMB104" s="4"/>
      <c r="IMC104" s="4"/>
      <c r="IMD104" s="4"/>
      <c r="IME104" s="4"/>
      <c r="IMF104" s="4"/>
      <c r="IMG104" s="4"/>
      <c r="IMH104" s="4"/>
      <c r="IMI104" s="4"/>
      <c r="IMJ104" s="4"/>
      <c r="IMK104" s="4"/>
      <c r="IML104" s="4"/>
      <c r="IMM104" s="4"/>
      <c r="IMN104" s="4"/>
      <c r="IMO104" s="4"/>
      <c r="IMP104" s="4"/>
      <c r="IMQ104" s="4"/>
      <c r="IMR104" s="4"/>
      <c r="IMS104" s="4"/>
      <c r="IMT104" s="4"/>
      <c r="IMU104" s="4"/>
      <c r="IMV104" s="4"/>
      <c r="IMW104" s="4"/>
      <c r="IMX104" s="4"/>
      <c r="IMY104" s="4"/>
      <c r="IMZ104" s="4"/>
      <c r="INA104" s="4"/>
      <c r="INB104" s="4"/>
      <c r="INC104" s="4"/>
      <c r="IND104" s="4"/>
      <c r="INE104" s="4"/>
      <c r="INF104" s="4"/>
      <c r="ING104" s="4"/>
      <c r="INH104" s="4"/>
      <c r="INI104" s="4"/>
      <c r="INJ104" s="4"/>
      <c r="INK104" s="4"/>
      <c r="INL104" s="4"/>
      <c r="INM104" s="4"/>
      <c r="INN104" s="4"/>
      <c r="INO104" s="4"/>
      <c r="INP104" s="4"/>
      <c r="INQ104" s="4"/>
      <c r="INR104" s="4"/>
      <c r="INS104" s="4"/>
      <c r="INT104" s="4"/>
      <c r="INU104" s="4"/>
      <c r="INV104" s="4"/>
      <c r="INW104" s="4"/>
      <c r="INX104" s="4"/>
      <c r="INY104" s="4"/>
      <c r="INZ104" s="4"/>
      <c r="IOA104" s="4"/>
      <c r="IOB104" s="4"/>
      <c r="IOC104" s="4"/>
      <c r="IOD104" s="4"/>
      <c r="IOE104" s="4"/>
      <c r="IOF104" s="4"/>
      <c r="IOG104" s="4"/>
      <c r="IOH104" s="4"/>
      <c r="IOI104" s="4"/>
      <c r="IOJ104" s="4"/>
      <c r="IOK104" s="4"/>
      <c r="IOL104" s="4"/>
      <c r="IOM104" s="4"/>
      <c r="ION104" s="4"/>
      <c r="IOO104" s="4"/>
      <c r="IOP104" s="4"/>
      <c r="IOQ104" s="4"/>
      <c r="IOR104" s="4"/>
      <c r="IOS104" s="4"/>
      <c r="IOT104" s="4"/>
      <c r="IOU104" s="4"/>
      <c r="IOV104" s="4"/>
      <c r="IOW104" s="4"/>
      <c r="IOX104" s="4"/>
      <c r="IOY104" s="4"/>
      <c r="IOZ104" s="4"/>
      <c r="IPA104" s="4"/>
      <c r="IPB104" s="4"/>
      <c r="IPC104" s="4"/>
      <c r="IPD104" s="4"/>
      <c r="IPE104" s="4"/>
      <c r="IPF104" s="4"/>
      <c r="IPG104" s="4"/>
      <c r="IPH104" s="4"/>
      <c r="IPI104" s="4"/>
      <c r="IPJ104" s="4"/>
      <c r="IPK104" s="4"/>
      <c r="IPL104" s="4"/>
      <c r="IPM104" s="4"/>
      <c r="IPN104" s="4"/>
      <c r="IPO104" s="4"/>
      <c r="IPP104" s="4"/>
      <c r="IPQ104" s="4"/>
      <c r="IPR104" s="4"/>
      <c r="IPS104" s="4"/>
      <c r="IPT104" s="4"/>
      <c r="IPU104" s="4"/>
      <c r="IPV104" s="4"/>
      <c r="IPW104" s="4"/>
      <c r="IPX104" s="4"/>
      <c r="IPY104" s="4"/>
      <c r="IPZ104" s="4"/>
      <c r="IQA104" s="4"/>
      <c r="IQB104" s="4"/>
      <c r="IQC104" s="4"/>
      <c r="IQD104" s="4"/>
      <c r="IQE104" s="4"/>
      <c r="IQF104" s="4"/>
      <c r="IQG104" s="4"/>
      <c r="IQH104" s="4"/>
      <c r="IQI104" s="4"/>
      <c r="IQJ104" s="4"/>
      <c r="IQK104" s="4"/>
      <c r="IQL104" s="4"/>
      <c r="IQM104" s="4"/>
      <c r="IQN104" s="4"/>
      <c r="IQO104" s="4"/>
      <c r="IQP104" s="4"/>
      <c r="IQQ104" s="4"/>
      <c r="IQR104" s="4"/>
      <c r="IQS104" s="4"/>
      <c r="IQT104" s="4"/>
      <c r="IQU104" s="4"/>
      <c r="IQV104" s="4"/>
      <c r="IQW104" s="4"/>
      <c r="IQX104" s="4"/>
      <c r="IQY104" s="4"/>
      <c r="IQZ104" s="4"/>
      <c r="IRA104" s="4"/>
      <c r="IRB104" s="4"/>
      <c r="IRC104" s="4"/>
      <c r="IRD104" s="4"/>
      <c r="IRE104" s="4"/>
      <c r="IRF104" s="4"/>
      <c r="IRG104" s="4"/>
      <c r="IRH104" s="4"/>
      <c r="IRI104" s="4"/>
      <c r="IRJ104" s="4"/>
      <c r="IRK104" s="4"/>
      <c r="IRL104" s="4"/>
      <c r="IRM104" s="4"/>
      <c r="IRN104" s="4"/>
      <c r="IRO104" s="4"/>
      <c r="IRP104" s="4"/>
      <c r="IRQ104" s="4"/>
      <c r="IRR104" s="4"/>
      <c r="IRS104" s="4"/>
      <c r="IRT104" s="4"/>
      <c r="IRU104" s="4"/>
      <c r="IRV104" s="4"/>
      <c r="IRW104" s="4"/>
      <c r="IRX104" s="4"/>
      <c r="IRY104" s="4"/>
      <c r="IRZ104" s="4"/>
      <c r="ISA104" s="4"/>
      <c r="ISB104" s="4"/>
      <c r="ISC104" s="4"/>
      <c r="ISD104" s="4"/>
      <c r="ISE104" s="4"/>
      <c r="ISF104" s="4"/>
      <c r="ISG104" s="4"/>
      <c r="ISH104" s="4"/>
      <c r="ISI104" s="4"/>
      <c r="ISJ104" s="4"/>
      <c r="ISK104" s="4"/>
      <c r="ISL104" s="4"/>
      <c r="ISM104" s="4"/>
      <c r="ISN104" s="4"/>
      <c r="ISO104" s="4"/>
      <c r="ISP104" s="4"/>
      <c r="ISQ104" s="4"/>
      <c r="ISR104" s="4"/>
      <c r="ISS104" s="4"/>
      <c r="IST104" s="4"/>
      <c r="ISU104" s="4"/>
      <c r="ISV104" s="4"/>
      <c r="ISW104" s="4"/>
      <c r="ISX104" s="4"/>
      <c r="ISY104" s="4"/>
      <c r="ISZ104" s="4"/>
      <c r="ITA104" s="4"/>
      <c r="ITB104" s="4"/>
      <c r="ITC104" s="4"/>
      <c r="ITD104" s="4"/>
      <c r="ITE104" s="4"/>
      <c r="ITF104" s="4"/>
      <c r="ITG104" s="4"/>
      <c r="ITH104" s="4"/>
      <c r="ITI104" s="4"/>
      <c r="ITJ104" s="4"/>
      <c r="ITK104" s="4"/>
      <c r="ITL104" s="4"/>
      <c r="ITM104" s="4"/>
      <c r="ITN104" s="4"/>
      <c r="ITO104" s="4"/>
      <c r="ITP104" s="4"/>
      <c r="ITQ104" s="4"/>
      <c r="ITR104" s="4"/>
      <c r="ITS104" s="4"/>
      <c r="ITT104" s="4"/>
      <c r="ITU104" s="4"/>
      <c r="ITV104" s="4"/>
      <c r="ITW104" s="4"/>
      <c r="ITX104" s="4"/>
      <c r="ITY104" s="4"/>
      <c r="ITZ104" s="4"/>
      <c r="IUA104" s="4"/>
      <c r="IUB104" s="4"/>
      <c r="IUC104" s="4"/>
      <c r="IUD104" s="4"/>
      <c r="IUE104" s="4"/>
      <c r="IUF104" s="4"/>
      <c r="IUG104" s="4"/>
      <c r="IUH104" s="4"/>
      <c r="IUI104" s="4"/>
      <c r="IUJ104" s="4"/>
      <c r="IUK104" s="4"/>
      <c r="IUL104" s="4"/>
      <c r="IUM104" s="4"/>
      <c r="IUN104" s="4"/>
      <c r="IUO104" s="4"/>
      <c r="IUP104" s="4"/>
      <c r="IUQ104" s="4"/>
      <c r="IUR104" s="4"/>
      <c r="IUS104" s="4"/>
      <c r="IUT104" s="4"/>
      <c r="IUU104" s="4"/>
      <c r="IUV104" s="4"/>
      <c r="IUW104" s="4"/>
      <c r="IUX104" s="4"/>
      <c r="IUY104" s="4"/>
      <c r="IUZ104" s="4"/>
      <c r="IVA104" s="4"/>
      <c r="IVB104" s="4"/>
      <c r="IVC104" s="4"/>
      <c r="IVD104" s="4"/>
      <c r="IVE104" s="4"/>
      <c r="IVF104" s="4"/>
      <c r="IVG104" s="4"/>
      <c r="IVH104" s="4"/>
      <c r="IVI104" s="4"/>
      <c r="IVJ104" s="4"/>
      <c r="IVK104" s="4"/>
      <c r="IVL104" s="4"/>
      <c r="IVM104" s="4"/>
      <c r="IVN104" s="4"/>
      <c r="IVO104" s="4"/>
      <c r="IVP104" s="4"/>
      <c r="IVQ104" s="4"/>
      <c r="IVR104" s="4"/>
      <c r="IVS104" s="4"/>
      <c r="IVT104" s="4"/>
      <c r="IVU104" s="4"/>
      <c r="IVV104" s="4"/>
      <c r="IVW104" s="4"/>
      <c r="IVX104" s="4"/>
      <c r="IVY104" s="4"/>
      <c r="IVZ104" s="4"/>
      <c r="IWA104" s="4"/>
      <c r="IWB104" s="4"/>
      <c r="IWC104" s="4"/>
      <c r="IWD104" s="4"/>
      <c r="IWE104" s="4"/>
      <c r="IWF104" s="4"/>
      <c r="IWG104" s="4"/>
      <c r="IWH104" s="4"/>
      <c r="IWI104" s="4"/>
      <c r="IWJ104" s="4"/>
      <c r="IWK104" s="4"/>
      <c r="IWL104" s="4"/>
      <c r="IWM104" s="4"/>
      <c r="IWN104" s="4"/>
      <c r="IWO104" s="4"/>
      <c r="IWP104" s="4"/>
      <c r="IWQ104" s="4"/>
      <c r="IWR104" s="4"/>
      <c r="IWS104" s="4"/>
      <c r="IWT104" s="4"/>
      <c r="IWU104" s="4"/>
      <c r="IWV104" s="4"/>
      <c r="IWW104" s="4"/>
      <c r="IWX104" s="4"/>
      <c r="IWY104" s="4"/>
      <c r="IWZ104" s="4"/>
      <c r="IXA104" s="4"/>
      <c r="IXB104" s="4"/>
      <c r="IXC104" s="4"/>
      <c r="IXD104" s="4"/>
      <c r="IXE104" s="4"/>
      <c r="IXF104" s="4"/>
      <c r="IXG104" s="4"/>
      <c r="IXH104" s="4"/>
      <c r="IXI104" s="4"/>
      <c r="IXJ104" s="4"/>
      <c r="IXK104" s="4"/>
      <c r="IXL104" s="4"/>
      <c r="IXM104" s="4"/>
      <c r="IXN104" s="4"/>
      <c r="IXO104" s="4"/>
      <c r="IXP104" s="4"/>
      <c r="IXQ104" s="4"/>
      <c r="IXR104" s="4"/>
      <c r="IXS104" s="4"/>
      <c r="IXT104" s="4"/>
      <c r="IXU104" s="4"/>
      <c r="IXV104" s="4"/>
      <c r="IXW104" s="4"/>
      <c r="IXX104" s="4"/>
      <c r="IXY104" s="4"/>
      <c r="IXZ104" s="4"/>
      <c r="IYA104" s="4"/>
      <c r="IYB104" s="4"/>
      <c r="IYC104" s="4"/>
      <c r="IYD104" s="4"/>
      <c r="IYE104" s="4"/>
      <c r="IYF104" s="4"/>
      <c r="IYG104" s="4"/>
      <c r="IYH104" s="4"/>
      <c r="IYI104" s="4"/>
      <c r="IYJ104" s="4"/>
      <c r="IYK104" s="4"/>
      <c r="IYL104" s="4"/>
      <c r="IYM104" s="4"/>
      <c r="IYN104" s="4"/>
      <c r="IYO104" s="4"/>
      <c r="IYP104" s="4"/>
      <c r="IYQ104" s="4"/>
      <c r="IYR104" s="4"/>
      <c r="IYS104" s="4"/>
      <c r="IYT104" s="4"/>
      <c r="IYU104" s="4"/>
      <c r="IYV104" s="4"/>
      <c r="IYW104" s="4"/>
      <c r="IYX104" s="4"/>
      <c r="IYY104" s="4"/>
      <c r="IYZ104" s="4"/>
      <c r="IZA104" s="4"/>
      <c r="IZB104" s="4"/>
      <c r="IZC104" s="4"/>
      <c r="IZD104" s="4"/>
      <c r="IZE104" s="4"/>
      <c r="IZF104" s="4"/>
      <c r="IZG104" s="4"/>
      <c r="IZH104" s="4"/>
      <c r="IZI104" s="4"/>
      <c r="IZJ104" s="4"/>
      <c r="IZK104" s="4"/>
      <c r="IZL104" s="4"/>
      <c r="IZM104" s="4"/>
      <c r="IZN104" s="4"/>
      <c r="IZO104" s="4"/>
      <c r="IZP104" s="4"/>
      <c r="IZQ104" s="4"/>
      <c r="IZR104" s="4"/>
      <c r="IZS104" s="4"/>
      <c r="IZT104" s="4"/>
      <c r="IZU104" s="4"/>
      <c r="IZV104" s="4"/>
      <c r="IZW104" s="4"/>
      <c r="IZX104" s="4"/>
      <c r="IZY104" s="4"/>
      <c r="IZZ104" s="4"/>
      <c r="JAA104" s="4"/>
      <c r="JAB104" s="4"/>
      <c r="JAC104" s="4"/>
      <c r="JAD104" s="4"/>
      <c r="JAE104" s="4"/>
      <c r="JAF104" s="4"/>
      <c r="JAG104" s="4"/>
      <c r="JAH104" s="4"/>
      <c r="JAI104" s="4"/>
      <c r="JAJ104" s="4"/>
      <c r="JAK104" s="4"/>
      <c r="JAL104" s="4"/>
      <c r="JAM104" s="4"/>
      <c r="JAN104" s="4"/>
      <c r="JAO104" s="4"/>
      <c r="JAP104" s="4"/>
      <c r="JAQ104" s="4"/>
      <c r="JAR104" s="4"/>
      <c r="JAS104" s="4"/>
      <c r="JAT104" s="4"/>
      <c r="JAU104" s="4"/>
      <c r="JAV104" s="4"/>
      <c r="JAW104" s="4"/>
      <c r="JAX104" s="4"/>
      <c r="JAY104" s="4"/>
      <c r="JAZ104" s="4"/>
      <c r="JBA104" s="4"/>
      <c r="JBB104" s="4"/>
      <c r="JBC104" s="4"/>
      <c r="JBD104" s="4"/>
      <c r="JBE104" s="4"/>
      <c r="JBF104" s="4"/>
      <c r="JBG104" s="4"/>
      <c r="JBH104" s="4"/>
      <c r="JBI104" s="4"/>
      <c r="JBJ104" s="4"/>
      <c r="JBK104" s="4"/>
      <c r="JBL104" s="4"/>
      <c r="JBM104" s="4"/>
      <c r="JBN104" s="4"/>
      <c r="JBO104" s="4"/>
      <c r="JBP104" s="4"/>
      <c r="JBQ104" s="4"/>
      <c r="JBR104" s="4"/>
      <c r="JBS104" s="4"/>
      <c r="JBT104" s="4"/>
      <c r="JBU104" s="4"/>
      <c r="JBV104" s="4"/>
      <c r="JBW104" s="4"/>
      <c r="JBX104" s="4"/>
      <c r="JBY104" s="4"/>
      <c r="JBZ104" s="4"/>
      <c r="JCA104" s="4"/>
      <c r="JCB104" s="4"/>
      <c r="JCC104" s="4"/>
      <c r="JCD104" s="4"/>
      <c r="JCE104" s="4"/>
      <c r="JCF104" s="4"/>
      <c r="JCG104" s="4"/>
      <c r="JCH104" s="4"/>
      <c r="JCI104" s="4"/>
      <c r="JCJ104" s="4"/>
      <c r="JCK104" s="4"/>
      <c r="JCL104" s="4"/>
      <c r="JCM104" s="4"/>
      <c r="JCN104" s="4"/>
      <c r="JCO104" s="4"/>
      <c r="JCP104" s="4"/>
      <c r="JCQ104" s="4"/>
      <c r="JCR104" s="4"/>
      <c r="JCS104" s="4"/>
      <c r="JCT104" s="4"/>
      <c r="JCU104" s="4"/>
      <c r="JCV104" s="4"/>
      <c r="JCW104" s="4"/>
      <c r="JCX104" s="4"/>
      <c r="JCY104" s="4"/>
      <c r="JCZ104" s="4"/>
      <c r="JDA104" s="4"/>
      <c r="JDB104" s="4"/>
      <c r="JDC104" s="4"/>
      <c r="JDD104" s="4"/>
      <c r="JDE104" s="4"/>
      <c r="JDF104" s="4"/>
      <c r="JDG104" s="4"/>
      <c r="JDH104" s="4"/>
      <c r="JDI104" s="4"/>
      <c r="JDJ104" s="4"/>
      <c r="JDK104" s="4"/>
      <c r="JDL104" s="4"/>
      <c r="JDM104" s="4"/>
      <c r="JDN104" s="4"/>
      <c r="JDO104" s="4"/>
      <c r="JDP104" s="4"/>
      <c r="JDQ104" s="4"/>
      <c r="JDR104" s="4"/>
      <c r="JDS104" s="4"/>
      <c r="JDT104" s="4"/>
      <c r="JDU104" s="4"/>
      <c r="JDV104" s="4"/>
      <c r="JDW104" s="4"/>
      <c r="JDX104" s="4"/>
      <c r="JDY104" s="4"/>
      <c r="JDZ104" s="4"/>
      <c r="JEA104" s="4"/>
      <c r="JEB104" s="4"/>
      <c r="JEC104" s="4"/>
      <c r="JED104" s="4"/>
      <c r="JEE104" s="4"/>
      <c r="JEF104" s="4"/>
      <c r="JEG104" s="4"/>
      <c r="JEH104" s="4"/>
      <c r="JEI104" s="4"/>
      <c r="JEJ104" s="4"/>
      <c r="JEK104" s="4"/>
      <c r="JEL104" s="4"/>
      <c r="JEM104" s="4"/>
      <c r="JEN104" s="4"/>
      <c r="JEO104" s="4"/>
      <c r="JEP104" s="4"/>
      <c r="JEQ104" s="4"/>
      <c r="JER104" s="4"/>
      <c r="JES104" s="4"/>
      <c r="JET104" s="4"/>
      <c r="JEU104" s="4"/>
      <c r="JEV104" s="4"/>
      <c r="JEW104" s="4"/>
      <c r="JEX104" s="4"/>
      <c r="JEY104" s="4"/>
      <c r="JEZ104" s="4"/>
      <c r="JFA104" s="4"/>
      <c r="JFB104" s="4"/>
      <c r="JFC104" s="4"/>
      <c r="JFD104" s="4"/>
      <c r="JFE104" s="4"/>
      <c r="JFF104" s="4"/>
      <c r="JFG104" s="4"/>
      <c r="JFH104" s="4"/>
      <c r="JFI104" s="4"/>
      <c r="JFJ104" s="4"/>
      <c r="JFK104" s="4"/>
      <c r="JFL104" s="4"/>
      <c r="JFM104" s="4"/>
      <c r="JFN104" s="4"/>
      <c r="JFO104" s="4"/>
      <c r="JFP104" s="4"/>
      <c r="JFQ104" s="4"/>
      <c r="JFR104" s="4"/>
      <c r="JFS104" s="4"/>
      <c r="JFT104" s="4"/>
      <c r="JFU104" s="4"/>
      <c r="JFV104" s="4"/>
      <c r="JFW104" s="4"/>
      <c r="JFX104" s="4"/>
      <c r="JFY104" s="4"/>
      <c r="JFZ104" s="4"/>
      <c r="JGA104" s="4"/>
      <c r="JGB104" s="4"/>
      <c r="JGC104" s="4"/>
      <c r="JGD104" s="4"/>
      <c r="JGE104" s="4"/>
      <c r="JGF104" s="4"/>
      <c r="JGG104" s="4"/>
      <c r="JGH104" s="4"/>
      <c r="JGI104" s="4"/>
      <c r="JGJ104" s="4"/>
      <c r="JGK104" s="4"/>
      <c r="JGL104" s="4"/>
      <c r="JGM104" s="4"/>
      <c r="JGN104" s="4"/>
      <c r="JGO104" s="4"/>
      <c r="JGP104" s="4"/>
      <c r="JGQ104" s="4"/>
      <c r="JGR104" s="4"/>
      <c r="JGS104" s="4"/>
      <c r="JGT104" s="4"/>
      <c r="JGU104" s="4"/>
      <c r="JGV104" s="4"/>
      <c r="JGW104" s="4"/>
      <c r="JGX104" s="4"/>
      <c r="JGY104" s="4"/>
      <c r="JGZ104" s="4"/>
      <c r="JHA104" s="4"/>
      <c r="JHB104" s="4"/>
      <c r="JHC104" s="4"/>
      <c r="JHD104" s="4"/>
      <c r="JHE104" s="4"/>
      <c r="JHF104" s="4"/>
      <c r="JHG104" s="4"/>
      <c r="JHH104" s="4"/>
      <c r="JHI104" s="4"/>
      <c r="JHJ104" s="4"/>
      <c r="JHK104" s="4"/>
      <c r="JHL104" s="4"/>
      <c r="JHM104" s="4"/>
      <c r="JHN104" s="4"/>
      <c r="JHO104" s="4"/>
      <c r="JHP104" s="4"/>
      <c r="JHQ104" s="4"/>
      <c r="JHR104" s="4"/>
      <c r="JHS104" s="4"/>
      <c r="JHT104" s="4"/>
      <c r="JHU104" s="4"/>
      <c r="JHV104" s="4"/>
      <c r="JHW104" s="4"/>
      <c r="JHX104" s="4"/>
      <c r="JHY104" s="4"/>
      <c r="JHZ104" s="4"/>
      <c r="JIA104" s="4"/>
      <c r="JIB104" s="4"/>
      <c r="JIC104" s="4"/>
      <c r="JID104" s="4"/>
      <c r="JIE104" s="4"/>
      <c r="JIF104" s="4"/>
      <c r="JIG104" s="4"/>
      <c r="JIH104" s="4"/>
      <c r="JII104" s="4"/>
      <c r="JIJ104" s="4"/>
      <c r="JIK104" s="4"/>
      <c r="JIL104" s="4"/>
      <c r="JIM104" s="4"/>
      <c r="JIN104" s="4"/>
      <c r="JIO104" s="4"/>
      <c r="JIP104" s="4"/>
      <c r="JIQ104" s="4"/>
      <c r="JIR104" s="4"/>
      <c r="JIS104" s="4"/>
      <c r="JIT104" s="4"/>
      <c r="JIU104" s="4"/>
      <c r="JIV104" s="4"/>
      <c r="JIW104" s="4"/>
      <c r="JIX104" s="4"/>
      <c r="JIY104" s="4"/>
      <c r="JIZ104" s="4"/>
      <c r="JJA104" s="4"/>
      <c r="JJB104" s="4"/>
      <c r="JJC104" s="4"/>
      <c r="JJD104" s="4"/>
      <c r="JJE104" s="4"/>
      <c r="JJF104" s="4"/>
      <c r="JJG104" s="4"/>
      <c r="JJH104" s="4"/>
      <c r="JJI104" s="4"/>
      <c r="JJJ104" s="4"/>
      <c r="JJK104" s="4"/>
      <c r="JJL104" s="4"/>
      <c r="JJM104" s="4"/>
      <c r="JJN104" s="4"/>
      <c r="JJO104" s="4"/>
      <c r="JJP104" s="4"/>
      <c r="JJQ104" s="4"/>
      <c r="JJR104" s="4"/>
      <c r="JJS104" s="4"/>
      <c r="JJT104" s="4"/>
      <c r="JJU104" s="4"/>
      <c r="JJV104" s="4"/>
      <c r="JJW104" s="4"/>
      <c r="JJX104" s="4"/>
      <c r="JJY104" s="4"/>
      <c r="JJZ104" s="4"/>
      <c r="JKA104" s="4"/>
      <c r="JKB104" s="4"/>
      <c r="JKC104" s="4"/>
      <c r="JKD104" s="4"/>
      <c r="JKE104" s="4"/>
      <c r="JKF104" s="4"/>
      <c r="JKG104" s="4"/>
      <c r="JKH104" s="4"/>
      <c r="JKI104" s="4"/>
      <c r="JKJ104" s="4"/>
      <c r="JKK104" s="4"/>
      <c r="JKL104" s="4"/>
      <c r="JKM104" s="4"/>
      <c r="JKN104" s="4"/>
      <c r="JKO104" s="4"/>
      <c r="JKP104" s="4"/>
      <c r="JKQ104" s="4"/>
      <c r="JKR104" s="4"/>
      <c r="JKS104" s="4"/>
      <c r="JKT104" s="4"/>
      <c r="JKU104" s="4"/>
      <c r="JKV104" s="4"/>
      <c r="JKW104" s="4"/>
      <c r="JKX104" s="4"/>
      <c r="JKY104" s="4"/>
      <c r="JKZ104" s="4"/>
      <c r="JLA104" s="4"/>
      <c r="JLB104" s="4"/>
      <c r="JLC104" s="4"/>
      <c r="JLD104" s="4"/>
      <c r="JLE104" s="4"/>
      <c r="JLF104" s="4"/>
      <c r="JLG104" s="4"/>
      <c r="JLH104" s="4"/>
      <c r="JLI104" s="4"/>
      <c r="JLJ104" s="4"/>
      <c r="JLK104" s="4"/>
      <c r="JLL104" s="4"/>
      <c r="JLM104" s="4"/>
      <c r="JLN104" s="4"/>
      <c r="JLO104" s="4"/>
      <c r="JLP104" s="4"/>
      <c r="JLQ104" s="4"/>
      <c r="JLR104" s="4"/>
      <c r="JLS104" s="4"/>
      <c r="JLT104" s="4"/>
      <c r="JLU104" s="4"/>
      <c r="JLV104" s="4"/>
      <c r="JLW104" s="4"/>
      <c r="JLX104" s="4"/>
      <c r="JLY104" s="4"/>
      <c r="JLZ104" s="4"/>
      <c r="JMA104" s="4"/>
      <c r="JMB104" s="4"/>
      <c r="JMC104" s="4"/>
      <c r="JMD104" s="4"/>
      <c r="JME104" s="4"/>
      <c r="JMF104" s="4"/>
      <c r="JMG104" s="4"/>
      <c r="JMH104" s="4"/>
      <c r="JMI104" s="4"/>
      <c r="JMJ104" s="4"/>
      <c r="JMK104" s="4"/>
      <c r="JML104" s="4"/>
      <c r="JMM104" s="4"/>
      <c r="JMN104" s="4"/>
      <c r="JMO104" s="4"/>
      <c r="JMP104" s="4"/>
      <c r="JMQ104" s="4"/>
      <c r="JMR104" s="4"/>
      <c r="JMS104" s="4"/>
      <c r="JMT104" s="4"/>
      <c r="JMU104" s="4"/>
      <c r="JMV104" s="4"/>
      <c r="JMW104" s="4"/>
      <c r="JMX104" s="4"/>
      <c r="JMY104" s="4"/>
      <c r="JMZ104" s="4"/>
      <c r="JNA104" s="4"/>
      <c r="JNB104" s="4"/>
      <c r="JNC104" s="4"/>
      <c r="JND104" s="4"/>
      <c r="JNE104" s="4"/>
      <c r="JNF104" s="4"/>
      <c r="JNG104" s="4"/>
      <c r="JNH104" s="4"/>
      <c r="JNI104" s="4"/>
      <c r="JNJ104" s="4"/>
      <c r="JNK104" s="4"/>
      <c r="JNL104" s="4"/>
      <c r="JNM104" s="4"/>
      <c r="JNN104" s="4"/>
      <c r="JNO104" s="4"/>
      <c r="JNP104" s="4"/>
      <c r="JNQ104" s="4"/>
      <c r="JNR104" s="4"/>
      <c r="JNS104" s="4"/>
      <c r="JNT104" s="4"/>
      <c r="JNU104" s="4"/>
      <c r="JNV104" s="4"/>
      <c r="JNW104" s="4"/>
      <c r="JNX104" s="4"/>
      <c r="JNY104" s="4"/>
      <c r="JNZ104" s="4"/>
      <c r="JOA104" s="4"/>
      <c r="JOB104" s="4"/>
      <c r="JOC104" s="4"/>
      <c r="JOD104" s="4"/>
      <c r="JOE104" s="4"/>
      <c r="JOF104" s="4"/>
      <c r="JOG104" s="4"/>
      <c r="JOH104" s="4"/>
      <c r="JOI104" s="4"/>
      <c r="JOJ104" s="4"/>
      <c r="JOK104" s="4"/>
      <c r="JOL104" s="4"/>
      <c r="JOM104" s="4"/>
      <c r="JON104" s="4"/>
      <c r="JOO104" s="4"/>
      <c r="JOP104" s="4"/>
      <c r="JOQ104" s="4"/>
      <c r="JOR104" s="4"/>
      <c r="JOS104" s="4"/>
      <c r="JOT104" s="4"/>
      <c r="JOU104" s="4"/>
      <c r="JOV104" s="4"/>
      <c r="JOW104" s="4"/>
      <c r="JOX104" s="4"/>
      <c r="JOY104" s="4"/>
      <c r="JOZ104" s="4"/>
      <c r="JPA104" s="4"/>
      <c r="JPB104" s="4"/>
      <c r="JPC104" s="4"/>
      <c r="JPD104" s="4"/>
      <c r="JPE104" s="4"/>
      <c r="JPF104" s="4"/>
      <c r="JPG104" s="4"/>
      <c r="JPH104" s="4"/>
      <c r="JPI104" s="4"/>
      <c r="JPJ104" s="4"/>
      <c r="JPK104" s="4"/>
      <c r="JPL104" s="4"/>
      <c r="JPM104" s="4"/>
      <c r="JPN104" s="4"/>
      <c r="JPO104" s="4"/>
      <c r="JPP104" s="4"/>
      <c r="JPQ104" s="4"/>
      <c r="JPR104" s="4"/>
      <c r="JPS104" s="4"/>
      <c r="JPT104" s="4"/>
      <c r="JPU104" s="4"/>
      <c r="JPV104" s="4"/>
      <c r="JPW104" s="4"/>
      <c r="JPX104" s="4"/>
      <c r="JPY104" s="4"/>
      <c r="JPZ104" s="4"/>
      <c r="JQA104" s="4"/>
      <c r="JQB104" s="4"/>
      <c r="JQC104" s="4"/>
      <c r="JQD104" s="4"/>
      <c r="JQE104" s="4"/>
      <c r="JQF104" s="4"/>
      <c r="JQG104" s="4"/>
      <c r="JQH104" s="4"/>
      <c r="JQI104" s="4"/>
      <c r="JQJ104" s="4"/>
      <c r="JQK104" s="4"/>
      <c r="JQL104" s="4"/>
      <c r="JQM104" s="4"/>
      <c r="JQN104" s="4"/>
      <c r="JQO104" s="4"/>
      <c r="JQP104" s="4"/>
      <c r="JQQ104" s="4"/>
      <c r="JQR104" s="4"/>
      <c r="JQS104" s="4"/>
      <c r="JQT104" s="4"/>
      <c r="JQU104" s="4"/>
      <c r="JQV104" s="4"/>
      <c r="JQW104" s="4"/>
      <c r="JQX104" s="4"/>
      <c r="JQY104" s="4"/>
      <c r="JQZ104" s="4"/>
      <c r="JRA104" s="4"/>
      <c r="JRB104" s="4"/>
      <c r="JRC104" s="4"/>
      <c r="JRD104" s="4"/>
      <c r="JRE104" s="4"/>
      <c r="JRF104" s="4"/>
      <c r="JRG104" s="4"/>
      <c r="JRH104" s="4"/>
      <c r="JRI104" s="4"/>
      <c r="JRJ104" s="4"/>
      <c r="JRK104" s="4"/>
      <c r="JRL104" s="4"/>
      <c r="JRM104" s="4"/>
      <c r="JRN104" s="4"/>
      <c r="JRO104" s="4"/>
      <c r="JRP104" s="4"/>
      <c r="JRQ104" s="4"/>
      <c r="JRR104" s="4"/>
      <c r="JRS104" s="4"/>
      <c r="JRT104" s="4"/>
      <c r="JRU104" s="4"/>
      <c r="JRV104" s="4"/>
      <c r="JRW104" s="4"/>
      <c r="JRX104" s="4"/>
      <c r="JRY104" s="4"/>
      <c r="JRZ104" s="4"/>
      <c r="JSA104" s="4"/>
      <c r="JSB104" s="4"/>
      <c r="JSC104" s="4"/>
      <c r="JSD104" s="4"/>
      <c r="JSE104" s="4"/>
      <c r="JSF104" s="4"/>
      <c r="JSG104" s="4"/>
      <c r="JSH104" s="4"/>
      <c r="JSI104" s="4"/>
      <c r="JSJ104" s="4"/>
      <c r="JSK104" s="4"/>
      <c r="JSL104" s="4"/>
      <c r="JSM104" s="4"/>
      <c r="JSN104" s="4"/>
      <c r="JSO104" s="4"/>
      <c r="JSP104" s="4"/>
      <c r="JSQ104" s="4"/>
      <c r="JSR104" s="4"/>
      <c r="JSS104" s="4"/>
      <c r="JST104" s="4"/>
      <c r="JSU104" s="4"/>
      <c r="JSV104" s="4"/>
      <c r="JSW104" s="4"/>
      <c r="JSX104" s="4"/>
      <c r="JSY104" s="4"/>
      <c r="JSZ104" s="4"/>
      <c r="JTA104" s="4"/>
      <c r="JTB104" s="4"/>
      <c r="JTC104" s="4"/>
      <c r="JTD104" s="4"/>
      <c r="JTE104" s="4"/>
      <c r="JTF104" s="4"/>
      <c r="JTG104" s="4"/>
      <c r="JTH104" s="4"/>
      <c r="JTI104" s="4"/>
      <c r="JTJ104" s="4"/>
      <c r="JTK104" s="4"/>
      <c r="JTL104" s="4"/>
      <c r="JTM104" s="4"/>
      <c r="JTN104" s="4"/>
      <c r="JTO104" s="4"/>
      <c r="JTP104" s="4"/>
      <c r="JTQ104" s="4"/>
      <c r="JTR104" s="4"/>
      <c r="JTS104" s="4"/>
      <c r="JTT104" s="4"/>
      <c r="JTU104" s="4"/>
      <c r="JTV104" s="4"/>
      <c r="JTW104" s="4"/>
      <c r="JTX104" s="4"/>
      <c r="JTY104" s="4"/>
      <c r="JTZ104" s="4"/>
      <c r="JUA104" s="4"/>
      <c r="JUB104" s="4"/>
      <c r="JUC104" s="4"/>
      <c r="JUD104" s="4"/>
      <c r="JUE104" s="4"/>
      <c r="JUF104" s="4"/>
      <c r="JUG104" s="4"/>
      <c r="JUH104" s="4"/>
      <c r="JUI104" s="4"/>
      <c r="JUJ104" s="4"/>
      <c r="JUK104" s="4"/>
      <c r="JUL104" s="4"/>
      <c r="JUM104" s="4"/>
      <c r="JUN104" s="4"/>
      <c r="JUO104" s="4"/>
      <c r="JUP104" s="4"/>
      <c r="JUQ104" s="4"/>
      <c r="JUR104" s="4"/>
      <c r="JUS104" s="4"/>
      <c r="JUT104" s="4"/>
      <c r="JUU104" s="4"/>
      <c r="JUV104" s="4"/>
      <c r="JUW104" s="4"/>
      <c r="JUX104" s="4"/>
      <c r="JUY104" s="4"/>
      <c r="JUZ104" s="4"/>
      <c r="JVA104" s="4"/>
      <c r="JVB104" s="4"/>
      <c r="JVC104" s="4"/>
      <c r="JVD104" s="4"/>
      <c r="JVE104" s="4"/>
      <c r="JVF104" s="4"/>
      <c r="JVG104" s="4"/>
      <c r="JVH104" s="4"/>
      <c r="JVI104" s="4"/>
      <c r="JVJ104" s="4"/>
      <c r="JVK104" s="4"/>
      <c r="JVL104" s="4"/>
      <c r="JVM104" s="4"/>
      <c r="JVN104" s="4"/>
      <c r="JVO104" s="4"/>
      <c r="JVP104" s="4"/>
      <c r="JVQ104" s="4"/>
      <c r="JVR104" s="4"/>
      <c r="JVS104" s="4"/>
      <c r="JVT104" s="4"/>
      <c r="JVU104" s="4"/>
      <c r="JVV104" s="4"/>
      <c r="JVW104" s="4"/>
      <c r="JVX104" s="4"/>
      <c r="JVY104" s="4"/>
      <c r="JVZ104" s="4"/>
      <c r="JWA104" s="4"/>
      <c r="JWB104" s="4"/>
      <c r="JWC104" s="4"/>
      <c r="JWD104" s="4"/>
      <c r="JWE104" s="4"/>
      <c r="JWF104" s="4"/>
      <c r="JWG104" s="4"/>
      <c r="JWH104" s="4"/>
      <c r="JWI104" s="4"/>
      <c r="JWJ104" s="4"/>
      <c r="JWK104" s="4"/>
      <c r="JWL104" s="4"/>
      <c r="JWM104" s="4"/>
      <c r="JWN104" s="4"/>
      <c r="JWO104" s="4"/>
      <c r="JWP104" s="4"/>
      <c r="JWQ104" s="4"/>
      <c r="JWR104" s="4"/>
      <c r="JWS104" s="4"/>
      <c r="JWT104" s="4"/>
      <c r="JWU104" s="4"/>
      <c r="JWV104" s="4"/>
      <c r="JWW104" s="4"/>
      <c r="JWX104" s="4"/>
      <c r="JWY104" s="4"/>
      <c r="JWZ104" s="4"/>
      <c r="JXA104" s="4"/>
      <c r="JXB104" s="4"/>
      <c r="JXC104" s="4"/>
      <c r="JXD104" s="4"/>
      <c r="JXE104" s="4"/>
      <c r="JXF104" s="4"/>
      <c r="JXG104" s="4"/>
      <c r="JXH104" s="4"/>
      <c r="JXI104" s="4"/>
      <c r="JXJ104" s="4"/>
      <c r="JXK104" s="4"/>
      <c r="JXL104" s="4"/>
      <c r="JXM104" s="4"/>
      <c r="JXN104" s="4"/>
      <c r="JXO104" s="4"/>
      <c r="JXP104" s="4"/>
      <c r="JXQ104" s="4"/>
      <c r="JXR104" s="4"/>
      <c r="JXS104" s="4"/>
      <c r="JXT104" s="4"/>
      <c r="JXU104" s="4"/>
      <c r="JXV104" s="4"/>
      <c r="JXW104" s="4"/>
      <c r="JXX104" s="4"/>
      <c r="JXY104" s="4"/>
      <c r="JXZ104" s="4"/>
      <c r="JYA104" s="4"/>
      <c r="JYB104" s="4"/>
      <c r="JYC104" s="4"/>
      <c r="JYD104" s="4"/>
      <c r="JYE104" s="4"/>
      <c r="JYF104" s="4"/>
      <c r="JYG104" s="4"/>
      <c r="JYH104" s="4"/>
      <c r="JYI104" s="4"/>
      <c r="JYJ104" s="4"/>
      <c r="JYK104" s="4"/>
      <c r="JYL104" s="4"/>
      <c r="JYM104" s="4"/>
      <c r="JYN104" s="4"/>
      <c r="JYO104" s="4"/>
      <c r="JYP104" s="4"/>
      <c r="JYQ104" s="4"/>
      <c r="JYR104" s="4"/>
      <c r="JYS104" s="4"/>
      <c r="JYT104" s="4"/>
      <c r="JYU104" s="4"/>
      <c r="JYV104" s="4"/>
      <c r="JYW104" s="4"/>
      <c r="JYX104" s="4"/>
      <c r="JYY104" s="4"/>
      <c r="JYZ104" s="4"/>
      <c r="JZA104" s="4"/>
      <c r="JZB104" s="4"/>
      <c r="JZC104" s="4"/>
      <c r="JZD104" s="4"/>
      <c r="JZE104" s="4"/>
      <c r="JZF104" s="4"/>
      <c r="JZG104" s="4"/>
      <c r="JZH104" s="4"/>
      <c r="JZI104" s="4"/>
      <c r="JZJ104" s="4"/>
      <c r="JZK104" s="4"/>
      <c r="JZL104" s="4"/>
      <c r="JZM104" s="4"/>
      <c r="JZN104" s="4"/>
      <c r="JZO104" s="4"/>
      <c r="JZP104" s="4"/>
      <c r="JZQ104" s="4"/>
      <c r="JZR104" s="4"/>
      <c r="JZS104" s="4"/>
      <c r="JZT104" s="4"/>
      <c r="JZU104" s="4"/>
      <c r="JZV104" s="4"/>
      <c r="JZW104" s="4"/>
      <c r="JZX104" s="4"/>
      <c r="JZY104" s="4"/>
      <c r="JZZ104" s="4"/>
      <c r="KAA104" s="4"/>
      <c r="KAB104" s="4"/>
      <c r="KAC104" s="4"/>
      <c r="KAD104" s="4"/>
      <c r="KAE104" s="4"/>
      <c r="KAF104" s="4"/>
      <c r="KAG104" s="4"/>
      <c r="KAH104" s="4"/>
      <c r="KAI104" s="4"/>
      <c r="KAJ104" s="4"/>
      <c r="KAK104" s="4"/>
      <c r="KAL104" s="4"/>
      <c r="KAM104" s="4"/>
      <c r="KAN104" s="4"/>
      <c r="KAO104" s="4"/>
      <c r="KAP104" s="4"/>
      <c r="KAQ104" s="4"/>
      <c r="KAR104" s="4"/>
      <c r="KAS104" s="4"/>
      <c r="KAT104" s="4"/>
      <c r="KAU104" s="4"/>
      <c r="KAV104" s="4"/>
      <c r="KAW104" s="4"/>
      <c r="KAX104" s="4"/>
      <c r="KAY104" s="4"/>
      <c r="KAZ104" s="4"/>
      <c r="KBA104" s="4"/>
      <c r="KBB104" s="4"/>
      <c r="KBC104" s="4"/>
      <c r="KBD104" s="4"/>
      <c r="KBE104" s="4"/>
      <c r="KBF104" s="4"/>
      <c r="KBG104" s="4"/>
      <c r="KBH104" s="4"/>
      <c r="KBI104" s="4"/>
      <c r="KBJ104" s="4"/>
      <c r="KBK104" s="4"/>
      <c r="KBL104" s="4"/>
      <c r="KBM104" s="4"/>
      <c r="KBN104" s="4"/>
      <c r="KBO104" s="4"/>
      <c r="KBP104" s="4"/>
      <c r="KBQ104" s="4"/>
      <c r="KBR104" s="4"/>
      <c r="KBS104" s="4"/>
      <c r="KBT104" s="4"/>
      <c r="KBU104" s="4"/>
      <c r="KBV104" s="4"/>
      <c r="KBW104" s="4"/>
      <c r="KBX104" s="4"/>
      <c r="KBY104" s="4"/>
      <c r="KBZ104" s="4"/>
      <c r="KCA104" s="4"/>
      <c r="KCB104" s="4"/>
      <c r="KCC104" s="4"/>
      <c r="KCD104" s="4"/>
      <c r="KCE104" s="4"/>
      <c r="KCF104" s="4"/>
      <c r="KCG104" s="4"/>
      <c r="KCH104" s="4"/>
      <c r="KCI104" s="4"/>
      <c r="KCJ104" s="4"/>
      <c r="KCK104" s="4"/>
      <c r="KCL104" s="4"/>
      <c r="KCM104" s="4"/>
      <c r="KCN104" s="4"/>
      <c r="KCO104" s="4"/>
      <c r="KCP104" s="4"/>
      <c r="KCQ104" s="4"/>
      <c r="KCR104" s="4"/>
      <c r="KCS104" s="4"/>
      <c r="KCT104" s="4"/>
      <c r="KCU104" s="4"/>
      <c r="KCV104" s="4"/>
      <c r="KCW104" s="4"/>
      <c r="KCX104" s="4"/>
      <c r="KCY104" s="4"/>
      <c r="KCZ104" s="4"/>
      <c r="KDA104" s="4"/>
      <c r="KDB104" s="4"/>
      <c r="KDC104" s="4"/>
      <c r="KDD104" s="4"/>
      <c r="KDE104" s="4"/>
      <c r="KDF104" s="4"/>
      <c r="KDG104" s="4"/>
      <c r="KDH104" s="4"/>
      <c r="KDI104" s="4"/>
      <c r="KDJ104" s="4"/>
      <c r="KDK104" s="4"/>
      <c r="KDL104" s="4"/>
      <c r="KDM104" s="4"/>
      <c r="KDN104" s="4"/>
      <c r="KDO104" s="4"/>
      <c r="KDP104" s="4"/>
      <c r="KDQ104" s="4"/>
      <c r="KDR104" s="4"/>
      <c r="KDS104" s="4"/>
      <c r="KDT104" s="4"/>
      <c r="KDU104" s="4"/>
      <c r="KDV104" s="4"/>
      <c r="KDW104" s="4"/>
      <c r="KDX104" s="4"/>
      <c r="KDY104" s="4"/>
      <c r="KDZ104" s="4"/>
      <c r="KEA104" s="4"/>
      <c r="KEB104" s="4"/>
      <c r="KEC104" s="4"/>
      <c r="KED104" s="4"/>
      <c r="KEE104" s="4"/>
      <c r="KEF104" s="4"/>
      <c r="KEG104" s="4"/>
      <c r="KEH104" s="4"/>
      <c r="KEI104" s="4"/>
      <c r="KEJ104" s="4"/>
      <c r="KEK104" s="4"/>
      <c r="KEL104" s="4"/>
      <c r="KEM104" s="4"/>
      <c r="KEN104" s="4"/>
      <c r="KEO104" s="4"/>
      <c r="KEP104" s="4"/>
      <c r="KEQ104" s="4"/>
      <c r="KER104" s="4"/>
      <c r="KES104" s="4"/>
      <c r="KET104" s="4"/>
      <c r="KEU104" s="4"/>
      <c r="KEV104" s="4"/>
      <c r="KEW104" s="4"/>
      <c r="KEX104" s="4"/>
      <c r="KEY104" s="4"/>
      <c r="KEZ104" s="4"/>
      <c r="KFA104" s="4"/>
      <c r="KFB104" s="4"/>
      <c r="KFC104" s="4"/>
      <c r="KFD104" s="4"/>
      <c r="KFE104" s="4"/>
      <c r="KFF104" s="4"/>
      <c r="KFG104" s="4"/>
      <c r="KFH104" s="4"/>
      <c r="KFI104" s="4"/>
      <c r="KFJ104" s="4"/>
      <c r="KFK104" s="4"/>
      <c r="KFL104" s="4"/>
      <c r="KFM104" s="4"/>
      <c r="KFN104" s="4"/>
      <c r="KFO104" s="4"/>
      <c r="KFP104" s="4"/>
      <c r="KFQ104" s="4"/>
      <c r="KFR104" s="4"/>
      <c r="KFS104" s="4"/>
      <c r="KFT104" s="4"/>
      <c r="KFU104" s="4"/>
      <c r="KFV104" s="4"/>
      <c r="KFW104" s="4"/>
      <c r="KFX104" s="4"/>
      <c r="KFY104" s="4"/>
      <c r="KFZ104" s="4"/>
      <c r="KGA104" s="4"/>
      <c r="KGB104" s="4"/>
      <c r="KGC104" s="4"/>
      <c r="KGD104" s="4"/>
      <c r="KGE104" s="4"/>
      <c r="KGF104" s="4"/>
      <c r="KGG104" s="4"/>
      <c r="KGH104" s="4"/>
      <c r="KGI104" s="4"/>
      <c r="KGJ104" s="4"/>
      <c r="KGK104" s="4"/>
      <c r="KGL104" s="4"/>
      <c r="KGM104" s="4"/>
      <c r="KGN104" s="4"/>
      <c r="KGO104" s="4"/>
      <c r="KGP104" s="4"/>
      <c r="KGQ104" s="4"/>
      <c r="KGR104" s="4"/>
      <c r="KGS104" s="4"/>
      <c r="KGT104" s="4"/>
      <c r="KGU104" s="4"/>
      <c r="KGV104" s="4"/>
      <c r="KGW104" s="4"/>
      <c r="KGX104" s="4"/>
      <c r="KGY104" s="4"/>
      <c r="KGZ104" s="4"/>
      <c r="KHA104" s="4"/>
      <c r="KHB104" s="4"/>
      <c r="KHC104" s="4"/>
      <c r="KHD104" s="4"/>
      <c r="KHE104" s="4"/>
      <c r="KHF104" s="4"/>
      <c r="KHG104" s="4"/>
      <c r="KHH104" s="4"/>
      <c r="KHI104" s="4"/>
      <c r="KHJ104" s="4"/>
      <c r="KHK104" s="4"/>
      <c r="KHL104" s="4"/>
      <c r="KHM104" s="4"/>
      <c r="KHN104" s="4"/>
      <c r="KHO104" s="4"/>
      <c r="KHP104" s="4"/>
      <c r="KHQ104" s="4"/>
      <c r="KHR104" s="4"/>
      <c r="KHS104" s="4"/>
      <c r="KHT104" s="4"/>
      <c r="KHU104" s="4"/>
      <c r="KHV104" s="4"/>
      <c r="KHW104" s="4"/>
      <c r="KHX104" s="4"/>
      <c r="KHY104" s="4"/>
      <c r="KHZ104" s="4"/>
      <c r="KIA104" s="4"/>
      <c r="KIB104" s="4"/>
      <c r="KIC104" s="4"/>
      <c r="KID104" s="4"/>
      <c r="KIE104" s="4"/>
      <c r="KIF104" s="4"/>
      <c r="KIG104" s="4"/>
      <c r="KIH104" s="4"/>
      <c r="KII104" s="4"/>
      <c r="KIJ104" s="4"/>
      <c r="KIK104" s="4"/>
      <c r="KIL104" s="4"/>
      <c r="KIM104" s="4"/>
      <c r="KIN104" s="4"/>
      <c r="KIO104" s="4"/>
      <c r="KIP104" s="4"/>
      <c r="KIQ104" s="4"/>
      <c r="KIR104" s="4"/>
      <c r="KIS104" s="4"/>
      <c r="KIT104" s="4"/>
      <c r="KIU104" s="4"/>
      <c r="KIV104" s="4"/>
      <c r="KIW104" s="4"/>
      <c r="KIX104" s="4"/>
      <c r="KIY104" s="4"/>
      <c r="KIZ104" s="4"/>
      <c r="KJA104" s="4"/>
      <c r="KJB104" s="4"/>
      <c r="KJC104" s="4"/>
      <c r="KJD104" s="4"/>
      <c r="KJE104" s="4"/>
      <c r="KJF104" s="4"/>
      <c r="KJG104" s="4"/>
      <c r="KJH104" s="4"/>
      <c r="KJI104" s="4"/>
      <c r="KJJ104" s="4"/>
      <c r="KJK104" s="4"/>
      <c r="KJL104" s="4"/>
      <c r="KJM104" s="4"/>
      <c r="KJN104" s="4"/>
      <c r="KJO104" s="4"/>
      <c r="KJP104" s="4"/>
      <c r="KJQ104" s="4"/>
      <c r="KJR104" s="4"/>
      <c r="KJS104" s="4"/>
      <c r="KJT104" s="4"/>
      <c r="KJU104" s="4"/>
      <c r="KJV104" s="4"/>
      <c r="KJW104" s="4"/>
      <c r="KJX104" s="4"/>
      <c r="KJY104" s="4"/>
      <c r="KJZ104" s="4"/>
      <c r="KKA104" s="4"/>
      <c r="KKB104" s="4"/>
      <c r="KKC104" s="4"/>
      <c r="KKD104" s="4"/>
      <c r="KKE104" s="4"/>
      <c r="KKF104" s="4"/>
      <c r="KKG104" s="4"/>
      <c r="KKH104" s="4"/>
      <c r="KKI104" s="4"/>
      <c r="KKJ104" s="4"/>
      <c r="KKK104" s="4"/>
      <c r="KKL104" s="4"/>
      <c r="KKM104" s="4"/>
      <c r="KKN104" s="4"/>
      <c r="KKO104" s="4"/>
      <c r="KKP104" s="4"/>
      <c r="KKQ104" s="4"/>
      <c r="KKR104" s="4"/>
      <c r="KKS104" s="4"/>
      <c r="KKT104" s="4"/>
      <c r="KKU104" s="4"/>
      <c r="KKV104" s="4"/>
      <c r="KKW104" s="4"/>
      <c r="KKX104" s="4"/>
      <c r="KKY104" s="4"/>
      <c r="KKZ104" s="4"/>
      <c r="KLA104" s="4"/>
      <c r="KLB104" s="4"/>
      <c r="KLC104" s="4"/>
      <c r="KLD104" s="4"/>
      <c r="KLE104" s="4"/>
      <c r="KLF104" s="4"/>
      <c r="KLG104" s="4"/>
      <c r="KLH104" s="4"/>
      <c r="KLI104" s="4"/>
      <c r="KLJ104" s="4"/>
      <c r="KLK104" s="4"/>
      <c r="KLL104" s="4"/>
      <c r="KLM104" s="4"/>
      <c r="KLN104" s="4"/>
      <c r="KLO104" s="4"/>
      <c r="KLP104" s="4"/>
      <c r="KLQ104" s="4"/>
      <c r="KLR104" s="4"/>
      <c r="KLS104" s="4"/>
      <c r="KLT104" s="4"/>
      <c r="KLU104" s="4"/>
      <c r="KLV104" s="4"/>
      <c r="KLW104" s="4"/>
      <c r="KLX104" s="4"/>
      <c r="KLY104" s="4"/>
      <c r="KLZ104" s="4"/>
      <c r="KMA104" s="4"/>
      <c r="KMB104" s="4"/>
      <c r="KMC104" s="4"/>
      <c r="KMD104" s="4"/>
      <c r="KME104" s="4"/>
      <c r="KMF104" s="4"/>
      <c r="KMG104" s="4"/>
      <c r="KMH104" s="4"/>
      <c r="KMI104" s="4"/>
      <c r="KMJ104" s="4"/>
      <c r="KMK104" s="4"/>
      <c r="KML104" s="4"/>
      <c r="KMM104" s="4"/>
      <c r="KMN104" s="4"/>
      <c r="KMO104" s="4"/>
      <c r="KMP104" s="4"/>
      <c r="KMQ104" s="4"/>
      <c r="KMR104" s="4"/>
      <c r="KMS104" s="4"/>
      <c r="KMT104" s="4"/>
      <c r="KMU104" s="4"/>
      <c r="KMV104" s="4"/>
      <c r="KMW104" s="4"/>
      <c r="KMX104" s="4"/>
      <c r="KMY104" s="4"/>
      <c r="KMZ104" s="4"/>
      <c r="KNA104" s="4"/>
      <c r="KNB104" s="4"/>
      <c r="KNC104" s="4"/>
      <c r="KND104" s="4"/>
      <c r="KNE104" s="4"/>
      <c r="KNF104" s="4"/>
      <c r="KNG104" s="4"/>
      <c r="KNH104" s="4"/>
      <c r="KNI104" s="4"/>
      <c r="KNJ104" s="4"/>
      <c r="KNK104" s="4"/>
      <c r="KNL104" s="4"/>
      <c r="KNM104" s="4"/>
      <c r="KNN104" s="4"/>
      <c r="KNO104" s="4"/>
      <c r="KNP104" s="4"/>
      <c r="KNQ104" s="4"/>
      <c r="KNR104" s="4"/>
      <c r="KNS104" s="4"/>
      <c r="KNT104" s="4"/>
      <c r="KNU104" s="4"/>
      <c r="KNV104" s="4"/>
      <c r="KNW104" s="4"/>
      <c r="KNX104" s="4"/>
      <c r="KNY104" s="4"/>
      <c r="KNZ104" s="4"/>
      <c r="KOA104" s="4"/>
      <c r="KOB104" s="4"/>
      <c r="KOC104" s="4"/>
      <c r="KOD104" s="4"/>
      <c r="KOE104" s="4"/>
      <c r="KOF104" s="4"/>
      <c r="KOG104" s="4"/>
      <c r="KOH104" s="4"/>
      <c r="KOI104" s="4"/>
      <c r="KOJ104" s="4"/>
      <c r="KOK104" s="4"/>
      <c r="KOL104" s="4"/>
      <c r="KOM104" s="4"/>
      <c r="KON104" s="4"/>
      <c r="KOO104" s="4"/>
      <c r="KOP104" s="4"/>
      <c r="KOQ104" s="4"/>
      <c r="KOR104" s="4"/>
      <c r="KOS104" s="4"/>
      <c r="KOT104" s="4"/>
      <c r="KOU104" s="4"/>
      <c r="KOV104" s="4"/>
      <c r="KOW104" s="4"/>
      <c r="KOX104" s="4"/>
      <c r="KOY104" s="4"/>
      <c r="KOZ104" s="4"/>
      <c r="KPA104" s="4"/>
      <c r="KPB104" s="4"/>
      <c r="KPC104" s="4"/>
      <c r="KPD104" s="4"/>
      <c r="KPE104" s="4"/>
      <c r="KPF104" s="4"/>
      <c r="KPG104" s="4"/>
      <c r="KPH104" s="4"/>
      <c r="KPI104" s="4"/>
      <c r="KPJ104" s="4"/>
      <c r="KPK104" s="4"/>
      <c r="KPL104" s="4"/>
      <c r="KPM104" s="4"/>
      <c r="KPN104" s="4"/>
      <c r="KPO104" s="4"/>
      <c r="KPP104" s="4"/>
      <c r="KPQ104" s="4"/>
      <c r="KPR104" s="4"/>
      <c r="KPS104" s="4"/>
      <c r="KPT104" s="4"/>
      <c r="KPU104" s="4"/>
      <c r="KPV104" s="4"/>
      <c r="KPW104" s="4"/>
      <c r="KPX104" s="4"/>
      <c r="KPY104" s="4"/>
      <c r="KPZ104" s="4"/>
      <c r="KQA104" s="4"/>
      <c r="KQB104" s="4"/>
      <c r="KQC104" s="4"/>
      <c r="KQD104" s="4"/>
      <c r="KQE104" s="4"/>
      <c r="KQF104" s="4"/>
      <c r="KQG104" s="4"/>
      <c r="KQH104" s="4"/>
      <c r="KQI104" s="4"/>
      <c r="KQJ104" s="4"/>
      <c r="KQK104" s="4"/>
      <c r="KQL104" s="4"/>
      <c r="KQM104" s="4"/>
      <c r="KQN104" s="4"/>
      <c r="KQO104" s="4"/>
      <c r="KQP104" s="4"/>
      <c r="KQQ104" s="4"/>
      <c r="KQR104" s="4"/>
      <c r="KQS104" s="4"/>
      <c r="KQT104" s="4"/>
      <c r="KQU104" s="4"/>
      <c r="KQV104" s="4"/>
      <c r="KQW104" s="4"/>
      <c r="KQX104" s="4"/>
      <c r="KQY104" s="4"/>
      <c r="KQZ104" s="4"/>
      <c r="KRA104" s="4"/>
      <c r="KRB104" s="4"/>
      <c r="KRC104" s="4"/>
      <c r="KRD104" s="4"/>
      <c r="KRE104" s="4"/>
      <c r="KRF104" s="4"/>
      <c r="KRG104" s="4"/>
      <c r="KRH104" s="4"/>
      <c r="KRI104" s="4"/>
      <c r="KRJ104" s="4"/>
      <c r="KRK104" s="4"/>
      <c r="KRL104" s="4"/>
      <c r="KRM104" s="4"/>
      <c r="KRN104" s="4"/>
      <c r="KRO104" s="4"/>
      <c r="KRP104" s="4"/>
      <c r="KRQ104" s="4"/>
      <c r="KRR104" s="4"/>
      <c r="KRS104" s="4"/>
      <c r="KRT104" s="4"/>
      <c r="KRU104" s="4"/>
      <c r="KRV104" s="4"/>
      <c r="KRW104" s="4"/>
      <c r="KRX104" s="4"/>
      <c r="KRY104" s="4"/>
      <c r="KRZ104" s="4"/>
      <c r="KSA104" s="4"/>
      <c r="KSB104" s="4"/>
      <c r="KSC104" s="4"/>
      <c r="KSD104" s="4"/>
      <c r="KSE104" s="4"/>
      <c r="KSF104" s="4"/>
      <c r="KSG104" s="4"/>
      <c r="KSH104" s="4"/>
      <c r="KSI104" s="4"/>
      <c r="KSJ104" s="4"/>
      <c r="KSK104" s="4"/>
      <c r="KSL104" s="4"/>
      <c r="KSM104" s="4"/>
      <c r="KSN104" s="4"/>
      <c r="KSO104" s="4"/>
      <c r="KSP104" s="4"/>
      <c r="KSQ104" s="4"/>
      <c r="KSR104" s="4"/>
      <c r="KSS104" s="4"/>
      <c r="KST104" s="4"/>
      <c r="KSU104" s="4"/>
      <c r="KSV104" s="4"/>
      <c r="KSW104" s="4"/>
      <c r="KSX104" s="4"/>
      <c r="KSY104" s="4"/>
      <c r="KSZ104" s="4"/>
      <c r="KTA104" s="4"/>
      <c r="KTB104" s="4"/>
      <c r="KTC104" s="4"/>
      <c r="KTD104" s="4"/>
      <c r="KTE104" s="4"/>
      <c r="KTF104" s="4"/>
      <c r="KTG104" s="4"/>
      <c r="KTH104" s="4"/>
      <c r="KTI104" s="4"/>
      <c r="KTJ104" s="4"/>
      <c r="KTK104" s="4"/>
      <c r="KTL104" s="4"/>
      <c r="KTM104" s="4"/>
      <c r="KTN104" s="4"/>
      <c r="KTO104" s="4"/>
      <c r="KTP104" s="4"/>
      <c r="KTQ104" s="4"/>
      <c r="KTR104" s="4"/>
      <c r="KTS104" s="4"/>
      <c r="KTT104" s="4"/>
      <c r="KTU104" s="4"/>
      <c r="KTV104" s="4"/>
      <c r="KTW104" s="4"/>
      <c r="KTX104" s="4"/>
      <c r="KTY104" s="4"/>
      <c r="KTZ104" s="4"/>
      <c r="KUA104" s="4"/>
      <c r="KUB104" s="4"/>
      <c r="KUC104" s="4"/>
      <c r="KUD104" s="4"/>
      <c r="KUE104" s="4"/>
      <c r="KUF104" s="4"/>
      <c r="KUG104" s="4"/>
      <c r="KUH104" s="4"/>
      <c r="KUI104" s="4"/>
      <c r="KUJ104" s="4"/>
      <c r="KUK104" s="4"/>
      <c r="KUL104" s="4"/>
      <c r="KUM104" s="4"/>
      <c r="KUN104" s="4"/>
      <c r="KUO104" s="4"/>
      <c r="KUP104" s="4"/>
      <c r="KUQ104" s="4"/>
      <c r="KUR104" s="4"/>
      <c r="KUS104" s="4"/>
      <c r="KUT104" s="4"/>
      <c r="KUU104" s="4"/>
      <c r="KUV104" s="4"/>
      <c r="KUW104" s="4"/>
      <c r="KUX104" s="4"/>
      <c r="KUY104" s="4"/>
      <c r="KUZ104" s="4"/>
      <c r="KVA104" s="4"/>
      <c r="KVB104" s="4"/>
      <c r="KVC104" s="4"/>
      <c r="KVD104" s="4"/>
      <c r="KVE104" s="4"/>
      <c r="KVF104" s="4"/>
      <c r="KVG104" s="4"/>
      <c r="KVH104" s="4"/>
      <c r="KVI104" s="4"/>
      <c r="KVJ104" s="4"/>
      <c r="KVK104" s="4"/>
      <c r="KVL104" s="4"/>
      <c r="KVM104" s="4"/>
      <c r="KVN104" s="4"/>
      <c r="KVO104" s="4"/>
      <c r="KVP104" s="4"/>
      <c r="KVQ104" s="4"/>
      <c r="KVR104" s="4"/>
      <c r="KVS104" s="4"/>
      <c r="KVT104" s="4"/>
      <c r="KVU104" s="4"/>
      <c r="KVV104" s="4"/>
      <c r="KVW104" s="4"/>
      <c r="KVX104" s="4"/>
      <c r="KVY104" s="4"/>
      <c r="KVZ104" s="4"/>
      <c r="KWA104" s="4"/>
      <c r="KWB104" s="4"/>
      <c r="KWC104" s="4"/>
      <c r="KWD104" s="4"/>
      <c r="KWE104" s="4"/>
      <c r="KWF104" s="4"/>
      <c r="KWG104" s="4"/>
      <c r="KWH104" s="4"/>
      <c r="KWI104" s="4"/>
      <c r="KWJ104" s="4"/>
      <c r="KWK104" s="4"/>
      <c r="KWL104" s="4"/>
      <c r="KWM104" s="4"/>
      <c r="KWN104" s="4"/>
      <c r="KWO104" s="4"/>
      <c r="KWP104" s="4"/>
      <c r="KWQ104" s="4"/>
      <c r="KWR104" s="4"/>
      <c r="KWS104" s="4"/>
      <c r="KWT104" s="4"/>
      <c r="KWU104" s="4"/>
      <c r="KWV104" s="4"/>
      <c r="KWW104" s="4"/>
      <c r="KWX104" s="4"/>
      <c r="KWY104" s="4"/>
      <c r="KWZ104" s="4"/>
      <c r="KXA104" s="4"/>
      <c r="KXB104" s="4"/>
      <c r="KXC104" s="4"/>
      <c r="KXD104" s="4"/>
      <c r="KXE104" s="4"/>
      <c r="KXF104" s="4"/>
      <c r="KXG104" s="4"/>
      <c r="KXH104" s="4"/>
      <c r="KXI104" s="4"/>
      <c r="KXJ104" s="4"/>
      <c r="KXK104" s="4"/>
      <c r="KXL104" s="4"/>
      <c r="KXM104" s="4"/>
      <c r="KXN104" s="4"/>
      <c r="KXO104" s="4"/>
      <c r="KXP104" s="4"/>
      <c r="KXQ104" s="4"/>
      <c r="KXR104" s="4"/>
      <c r="KXS104" s="4"/>
      <c r="KXT104" s="4"/>
      <c r="KXU104" s="4"/>
      <c r="KXV104" s="4"/>
      <c r="KXW104" s="4"/>
      <c r="KXX104" s="4"/>
      <c r="KXY104" s="4"/>
      <c r="KXZ104" s="4"/>
      <c r="KYA104" s="4"/>
      <c r="KYB104" s="4"/>
      <c r="KYC104" s="4"/>
      <c r="KYD104" s="4"/>
      <c r="KYE104" s="4"/>
      <c r="KYF104" s="4"/>
      <c r="KYG104" s="4"/>
      <c r="KYH104" s="4"/>
      <c r="KYI104" s="4"/>
      <c r="KYJ104" s="4"/>
      <c r="KYK104" s="4"/>
      <c r="KYL104" s="4"/>
      <c r="KYM104" s="4"/>
      <c r="KYN104" s="4"/>
      <c r="KYO104" s="4"/>
      <c r="KYP104" s="4"/>
      <c r="KYQ104" s="4"/>
      <c r="KYR104" s="4"/>
      <c r="KYS104" s="4"/>
      <c r="KYT104" s="4"/>
      <c r="KYU104" s="4"/>
      <c r="KYV104" s="4"/>
      <c r="KYW104" s="4"/>
      <c r="KYX104" s="4"/>
      <c r="KYY104" s="4"/>
      <c r="KYZ104" s="4"/>
      <c r="KZA104" s="4"/>
      <c r="KZB104" s="4"/>
      <c r="KZC104" s="4"/>
      <c r="KZD104" s="4"/>
      <c r="KZE104" s="4"/>
      <c r="KZF104" s="4"/>
      <c r="KZG104" s="4"/>
      <c r="KZH104" s="4"/>
      <c r="KZI104" s="4"/>
      <c r="KZJ104" s="4"/>
      <c r="KZK104" s="4"/>
      <c r="KZL104" s="4"/>
      <c r="KZM104" s="4"/>
      <c r="KZN104" s="4"/>
      <c r="KZO104" s="4"/>
      <c r="KZP104" s="4"/>
      <c r="KZQ104" s="4"/>
      <c r="KZR104" s="4"/>
      <c r="KZS104" s="4"/>
      <c r="KZT104" s="4"/>
      <c r="KZU104" s="4"/>
      <c r="KZV104" s="4"/>
      <c r="KZW104" s="4"/>
      <c r="KZX104" s="4"/>
      <c r="KZY104" s="4"/>
      <c r="KZZ104" s="4"/>
      <c r="LAA104" s="4"/>
      <c r="LAB104" s="4"/>
      <c r="LAC104" s="4"/>
      <c r="LAD104" s="4"/>
      <c r="LAE104" s="4"/>
      <c r="LAF104" s="4"/>
      <c r="LAG104" s="4"/>
      <c r="LAH104" s="4"/>
      <c r="LAI104" s="4"/>
      <c r="LAJ104" s="4"/>
      <c r="LAK104" s="4"/>
      <c r="LAL104" s="4"/>
      <c r="LAM104" s="4"/>
      <c r="LAN104" s="4"/>
      <c r="LAO104" s="4"/>
      <c r="LAP104" s="4"/>
      <c r="LAQ104" s="4"/>
      <c r="LAR104" s="4"/>
      <c r="LAS104" s="4"/>
      <c r="LAT104" s="4"/>
      <c r="LAU104" s="4"/>
      <c r="LAV104" s="4"/>
      <c r="LAW104" s="4"/>
      <c r="LAX104" s="4"/>
      <c r="LAY104" s="4"/>
      <c r="LAZ104" s="4"/>
      <c r="LBA104" s="4"/>
      <c r="LBB104" s="4"/>
      <c r="LBC104" s="4"/>
      <c r="LBD104" s="4"/>
      <c r="LBE104" s="4"/>
      <c r="LBF104" s="4"/>
      <c r="LBG104" s="4"/>
      <c r="LBH104" s="4"/>
      <c r="LBI104" s="4"/>
      <c r="LBJ104" s="4"/>
      <c r="LBK104" s="4"/>
      <c r="LBL104" s="4"/>
      <c r="LBM104" s="4"/>
      <c r="LBN104" s="4"/>
      <c r="LBO104" s="4"/>
      <c r="LBP104" s="4"/>
      <c r="LBQ104" s="4"/>
      <c r="LBR104" s="4"/>
      <c r="LBS104" s="4"/>
      <c r="LBT104" s="4"/>
      <c r="LBU104" s="4"/>
      <c r="LBV104" s="4"/>
      <c r="LBW104" s="4"/>
      <c r="LBX104" s="4"/>
      <c r="LBY104" s="4"/>
      <c r="LBZ104" s="4"/>
      <c r="LCA104" s="4"/>
      <c r="LCB104" s="4"/>
      <c r="LCC104" s="4"/>
      <c r="LCD104" s="4"/>
      <c r="LCE104" s="4"/>
      <c r="LCF104" s="4"/>
      <c r="LCG104" s="4"/>
      <c r="LCH104" s="4"/>
      <c r="LCI104" s="4"/>
      <c r="LCJ104" s="4"/>
      <c r="LCK104" s="4"/>
      <c r="LCL104" s="4"/>
      <c r="LCM104" s="4"/>
      <c r="LCN104" s="4"/>
      <c r="LCO104" s="4"/>
      <c r="LCP104" s="4"/>
      <c r="LCQ104" s="4"/>
      <c r="LCR104" s="4"/>
      <c r="LCS104" s="4"/>
      <c r="LCT104" s="4"/>
      <c r="LCU104" s="4"/>
      <c r="LCV104" s="4"/>
      <c r="LCW104" s="4"/>
      <c r="LCX104" s="4"/>
      <c r="LCY104" s="4"/>
      <c r="LCZ104" s="4"/>
      <c r="LDA104" s="4"/>
      <c r="LDB104" s="4"/>
      <c r="LDC104" s="4"/>
      <c r="LDD104" s="4"/>
      <c r="LDE104" s="4"/>
      <c r="LDF104" s="4"/>
      <c r="LDG104" s="4"/>
      <c r="LDH104" s="4"/>
      <c r="LDI104" s="4"/>
      <c r="LDJ104" s="4"/>
      <c r="LDK104" s="4"/>
      <c r="LDL104" s="4"/>
      <c r="LDM104" s="4"/>
      <c r="LDN104" s="4"/>
      <c r="LDO104" s="4"/>
      <c r="LDP104" s="4"/>
      <c r="LDQ104" s="4"/>
      <c r="LDR104" s="4"/>
      <c r="LDS104" s="4"/>
      <c r="LDT104" s="4"/>
      <c r="LDU104" s="4"/>
      <c r="LDV104" s="4"/>
      <c r="LDW104" s="4"/>
      <c r="LDX104" s="4"/>
      <c r="LDY104" s="4"/>
      <c r="LDZ104" s="4"/>
      <c r="LEA104" s="4"/>
      <c r="LEB104" s="4"/>
      <c r="LEC104" s="4"/>
      <c r="LED104" s="4"/>
      <c r="LEE104" s="4"/>
      <c r="LEF104" s="4"/>
      <c r="LEG104" s="4"/>
      <c r="LEH104" s="4"/>
      <c r="LEI104" s="4"/>
      <c r="LEJ104" s="4"/>
      <c r="LEK104" s="4"/>
      <c r="LEL104" s="4"/>
      <c r="LEM104" s="4"/>
      <c r="LEN104" s="4"/>
      <c r="LEO104" s="4"/>
      <c r="LEP104" s="4"/>
      <c r="LEQ104" s="4"/>
      <c r="LER104" s="4"/>
      <c r="LES104" s="4"/>
      <c r="LET104" s="4"/>
      <c r="LEU104" s="4"/>
      <c r="LEV104" s="4"/>
      <c r="LEW104" s="4"/>
      <c r="LEX104" s="4"/>
      <c r="LEY104" s="4"/>
      <c r="LEZ104" s="4"/>
      <c r="LFA104" s="4"/>
      <c r="LFB104" s="4"/>
      <c r="LFC104" s="4"/>
      <c r="LFD104" s="4"/>
      <c r="LFE104" s="4"/>
      <c r="LFF104" s="4"/>
      <c r="LFG104" s="4"/>
      <c r="LFH104" s="4"/>
      <c r="LFI104" s="4"/>
      <c r="LFJ104" s="4"/>
      <c r="LFK104" s="4"/>
      <c r="LFL104" s="4"/>
      <c r="LFM104" s="4"/>
      <c r="LFN104" s="4"/>
      <c r="LFO104" s="4"/>
      <c r="LFP104" s="4"/>
      <c r="LFQ104" s="4"/>
      <c r="LFR104" s="4"/>
      <c r="LFS104" s="4"/>
      <c r="LFT104" s="4"/>
      <c r="LFU104" s="4"/>
      <c r="LFV104" s="4"/>
      <c r="LFW104" s="4"/>
      <c r="LFX104" s="4"/>
      <c r="LFY104" s="4"/>
      <c r="LFZ104" s="4"/>
      <c r="LGA104" s="4"/>
      <c r="LGB104" s="4"/>
      <c r="LGC104" s="4"/>
      <c r="LGD104" s="4"/>
      <c r="LGE104" s="4"/>
      <c r="LGF104" s="4"/>
      <c r="LGG104" s="4"/>
      <c r="LGH104" s="4"/>
      <c r="LGI104" s="4"/>
      <c r="LGJ104" s="4"/>
      <c r="LGK104" s="4"/>
      <c r="LGL104" s="4"/>
      <c r="LGM104" s="4"/>
      <c r="LGN104" s="4"/>
      <c r="LGO104" s="4"/>
      <c r="LGP104" s="4"/>
      <c r="LGQ104" s="4"/>
      <c r="LGR104" s="4"/>
      <c r="LGS104" s="4"/>
      <c r="LGT104" s="4"/>
      <c r="LGU104" s="4"/>
      <c r="LGV104" s="4"/>
      <c r="LGW104" s="4"/>
      <c r="LGX104" s="4"/>
      <c r="LGY104" s="4"/>
      <c r="LGZ104" s="4"/>
      <c r="LHA104" s="4"/>
      <c r="LHB104" s="4"/>
      <c r="LHC104" s="4"/>
      <c r="LHD104" s="4"/>
      <c r="LHE104" s="4"/>
      <c r="LHF104" s="4"/>
      <c r="LHG104" s="4"/>
      <c r="LHH104" s="4"/>
      <c r="LHI104" s="4"/>
      <c r="LHJ104" s="4"/>
      <c r="LHK104" s="4"/>
      <c r="LHL104" s="4"/>
      <c r="LHM104" s="4"/>
      <c r="LHN104" s="4"/>
      <c r="LHO104" s="4"/>
      <c r="LHP104" s="4"/>
      <c r="LHQ104" s="4"/>
      <c r="LHR104" s="4"/>
      <c r="LHS104" s="4"/>
      <c r="LHT104" s="4"/>
      <c r="LHU104" s="4"/>
      <c r="LHV104" s="4"/>
      <c r="LHW104" s="4"/>
      <c r="LHX104" s="4"/>
      <c r="LHY104" s="4"/>
      <c r="LHZ104" s="4"/>
      <c r="LIA104" s="4"/>
      <c r="LIB104" s="4"/>
      <c r="LIC104" s="4"/>
      <c r="LID104" s="4"/>
      <c r="LIE104" s="4"/>
      <c r="LIF104" s="4"/>
      <c r="LIG104" s="4"/>
      <c r="LIH104" s="4"/>
      <c r="LII104" s="4"/>
      <c r="LIJ104" s="4"/>
      <c r="LIK104" s="4"/>
      <c r="LIL104" s="4"/>
      <c r="LIM104" s="4"/>
      <c r="LIN104" s="4"/>
      <c r="LIO104" s="4"/>
      <c r="LIP104" s="4"/>
      <c r="LIQ104" s="4"/>
      <c r="LIR104" s="4"/>
      <c r="LIS104" s="4"/>
      <c r="LIT104" s="4"/>
      <c r="LIU104" s="4"/>
      <c r="LIV104" s="4"/>
      <c r="LIW104" s="4"/>
      <c r="LIX104" s="4"/>
      <c r="LIY104" s="4"/>
      <c r="LIZ104" s="4"/>
      <c r="LJA104" s="4"/>
      <c r="LJB104" s="4"/>
      <c r="LJC104" s="4"/>
      <c r="LJD104" s="4"/>
      <c r="LJE104" s="4"/>
      <c r="LJF104" s="4"/>
      <c r="LJG104" s="4"/>
      <c r="LJH104" s="4"/>
      <c r="LJI104" s="4"/>
      <c r="LJJ104" s="4"/>
      <c r="LJK104" s="4"/>
      <c r="LJL104" s="4"/>
      <c r="LJM104" s="4"/>
      <c r="LJN104" s="4"/>
      <c r="LJO104" s="4"/>
      <c r="LJP104" s="4"/>
      <c r="LJQ104" s="4"/>
      <c r="LJR104" s="4"/>
      <c r="LJS104" s="4"/>
      <c r="LJT104" s="4"/>
      <c r="LJU104" s="4"/>
      <c r="LJV104" s="4"/>
      <c r="LJW104" s="4"/>
      <c r="LJX104" s="4"/>
      <c r="LJY104" s="4"/>
      <c r="LJZ104" s="4"/>
      <c r="LKA104" s="4"/>
      <c r="LKB104" s="4"/>
      <c r="LKC104" s="4"/>
      <c r="LKD104" s="4"/>
      <c r="LKE104" s="4"/>
      <c r="LKF104" s="4"/>
      <c r="LKG104" s="4"/>
      <c r="LKH104" s="4"/>
      <c r="LKI104" s="4"/>
      <c r="LKJ104" s="4"/>
      <c r="LKK104" s="4"/>
      <c r="LKL104" s="4"/>
      <c r="LKM104" s="4"/>
      <c r="LKN104" s="4"/>
      <c r="LKO104" s="4"/>
      <c r="LKP104" s="4"/>
      <c r="LKQ104" s="4"/>
      <c r="LKR104" s="4"/>
      <c r="LKS104" s="4"/>
      <c r="LKT104" s="4"/>
      <c r="LKU104" s="4"/>
      <c r="LKV104" s="4"/>
      <c r="LKW104" s="4"/>
      <c r="LKX104" s="4"/>
      <c r="LKY104" s="4"/>
      <c r="LKZ104" s="4"/>
      <c r="LLA104" s="4"/>
      <c r="LLB104" s="4"/>
      <c r="LLC104" s="4"/>
      <c r="LLD104" s="4"/>
      <c r="LLE104" s="4"/>
      <c r="LLF104" s="4"/>
      <c r="LLG104" s="4"/>
      <c r="LLH104" s="4"/>
      <c r="LLI104" s="4"/>
      <c r="LLJ104" s="4"/>
      <c r="LLK104" s="4"/>
      <c r="LLL104" s="4"/>
      <c r="LLM104" s="4"/>
      <c r="LLN104" s="4"/>
      <c r="LLO104" s="4"/>
      <c r="LLP104" s="4"/>
      <c r="LLQ104" s="4"/>
      <c r="LLR104" s="4"/>
      <c r="LLS104" s="4"/>
      <c r="LLT104" s="4"/>
      <c r="LLU104" s="4"/>
      <c r="LLV104" s="4"/>
      <c r="LLW104" s="4"/>
      <c r="LLX104" s="4"/>
      <c r="LLY104" s="4"/>
      <c r="LLZ104" s="4"/>
      <c r="LMA104" s="4"/>
      <c r="LMB104" s="4"/>
      <c r="LMC104" s="4"/>
      <c r="LMD104" s="4"/>
      <c r="LME104" s="4"/>
      <c r="LMF104" s="4"/>
      <c r="LMG104" s="4"/>
      <c r="LMH104" s="4"/>
      <c r="LMI104" s="4"/>
      <c r="LMJ104" s="4"/>
      <c r="LMK104" s="4"/>
      <c r="LML104" s="4"/>
      <c r="LMM104" s="4"/>
      <c r="LMN104" s="4"/>
      <c r="LMO104" s="4"/>
      <c r="LMP104" s="4"/>
      <c r="LMQ104" s="4"/>
      <c r="LMR104" s="4"/>
      <c r="LMS104" s="4"/>
      <c r="LMT104" s="4"/>
      <c r="LMU104" s="4"/>
      <c r="LMV104" s="4"/>
      <c r="LMW104" s="4"/>
      <c r="LMX104" s="4"/>
      <c r="LMY104" s="4"/>
      <c r="LMZ104" s="4"/>
      <c r="LNA104" s="4"/>
      <c r="LNB104" s="4"/>
      <c r="LNC104" s="4"/>
      <c r="LND104" s="4"/>
      <c r="LNE104" s="4"/>
      <c r="LNF104" s="4"/>
      <c r="LNG104" s="4"/>
      <c r="LNH104" s="4"/>
      <c r="LNI104" s="4"/>
      <c r="LNJ104" s="4"/>
      <c r="LNK104" s="4"/>
      <c r="LNL104" s="4"/>
      <c r="LNM104" s="4"/>
      <c r="LNN104" s="4"/>
      <c r="LNO104" s="4"/>
      <c r="LNP104" s="4"/>
      <c r="LNQ104" s="4"/>
      <c r="LNR104" s="4"/>
      <c r="LNS104" s="4"/>
      <c r="LNT104" s="4"/>
      <c r="LNU104" s="4"/>
      <c r="LNV104" s="4"/>
      <c r="LNW104" s="4"/>
      <c r="LNX104" s="4"/>
      <c r="LNY104" s="4"/>
      <c r="LNZ104" s="4"/>
      <c r="LOA104" s="4"/>
      <c r="LOB104" s="4"/>
      <c r="LOC104" s="4"/>
      <c r="LOD104" s="4"/>
      <c r="LOE104" s="4"/>
      <c r="LOF104" s="4"/>
      <c r="LOG104" s="4"/>
      <c r="LOH104" s="4"/>
      <c r="LOI104" s="4"/>
      <c r="LOJ104" s="4"/>
      <c r="LOK104" s="4"/>
      <c r="LOL104" s="4"/>
      <c r="LOM104" s="4"/>
      <c r="LON104" s="4"/>
      <c r="LOO104" s="4"/>
      <c r="LOP104" s="4"/>
      <c r="LOQ104" s="4"/>
      <c r="LOR104" s="4"/>
      <c r="LOS104" s="4"/>
      <c r="LOT104" s="4"/>
      <c r="LOU104" s="4"/>
      <c r="LOV104" s="4"/>
      <c r="LOW104" s="4"/>
      <c r="LOX104" s="4"/>
      <c r="LOY104" s="4"/>
      <c r="LOZ104" s="4"/>
      <c r="LPA104" s="4"/>
      <c r="LPB104" s="4"/>
      <c r="LPC104" s="4"/>
      <c r="LPD104" s="4"/>
      <c r="LPE104" s="4"/>
      <c r="LPF104" s="4"/>
      <c r="LPG104" s="4"/>
      <c r="LPH104" s="4"/>
      <c r="LPI104" s="4"/>
      <c r="LPJ104" s="4"/>
      <c r="LPK104" s="4"/>
      <c r="LPL104" s="4"/>
      <c r="LPM104" s="4"/>
      <c r="LPN104" s="4"/>
      <c r="LPO104" s="4"/>
      <c r="LPP104" s="4"/>
      <c r="LPQ104" s="4"/>
      <c r="LPR104" s="4"/>
      <c r="LPS104" s="4"/>
      <c r="LPT104" s="4"/>
      <c r="LPU104" s="4"/>
      <c r="LPV104" s="4"/>
      <c r="LPW104" s="4"/>
      <c r="LPX104" s="4"/>
      <c r="LPY104" s="4"/>
      <c r="LPZ104" s="4"/>
      <c r="LQA104" s="4"/>
      <c r="LQB104" s="4"/>
      <c r="LQC104" s="4"/>
      <c r="LQD104" s="4"/>
      <c r="LQE104" s="4"/>
      <c r="LQF104" s="4"/>
      <c r="LQG104" s="4"/>
      <c r="LQH104" s="4"/>
      <c r="LQI104" s="4"/>
      <c r="LQJ104" s="4"/>
      <c r="LQK104" s="4"/>
      <c r="LQL104" s="4"/>
      <c r="LQM104" s="4"/>
      <c r="LQN104" s="4"/>
      <c r="LQO104" s="4"/>
      <c r="LQP104" s="4"/>
      <c r="LQQ104" s="4"/>
      <c r="LQR104" s="4"/>
      <c r="LQS104" s="4"/>
      <c r="LQT104" s="4"/>
      <c r="LQU104" s="4"/>
      <c r="LQV104" s="4"/>
      <c r="LQW104" s="4"/>
      <c r="LQX104" s="4"/>
      <c r="LQY104" s="4"/>
      <c r="LQZ104" s="4"/>
      <c r="LRA104" s="4"/>
      <c r="LRB104" s="4"/>
      <c r="LRC104" s="4"/>
      <c r="LRD104" s="4"/>
      <c r="LRE104" s="4"/>
      <c r="LRF104" s="4"/>
      <c r="LRG104" s="4"/>
      <c r="LRH104" s="4"/>
      <c r="LRI104" s="4"/>
      <c r="LRJ104" s="4"/>
      <c r="LRK104" s="4"/>
      <c r="LRL104" s="4"/>
      <c r="LRM104" s="4"/>
      <c r="LRN104" s="4"/>
      <c r="LRO104" s="4"/>
      <c r="LRP104" s="4"/>
      <c r="LRQ104" s="4"/>
      <c r="LRR104" s="4"/>
      <c r="LRS104" s="4"/>
      <c r="LRT104" s="4"/>
      <c r="LRU104" s="4"/>
      <c r="LRV104" s="4"/>
      <c r="LRW104" s="4"/>
      <c r="LRX104" s="4"/>
      <c r="LRY104" s="4"/>
      <c r="LRZ104" s="4"/>
      <c r="LSA104" s="4"/>
      <c r="LSB104" s="4"/>
      <c r="LSC104" s="4"/>
      <c r="LSD104" s="4"/>
      <c r="LSE104" s="4"/>
      <c r="LSF104" s="4"/>
      <c r="LSG104" s="4"/>
      <c r="LSH104" s="4"/>
      <c r="LSI104" s="4"/>
      <c r="LSJ104" s="4"/>
      <c r="LSK104" s="4"/>
      <c r="LSL104" s="4"/>
      <c r="LSM104" s="4"/>
      <c r="LSN104" s="4"/>
      <c r="LSO104" s="4"/>
      <c r="LSP104" s="4"/>
      <c r="LSQ104" s="4"/>
      <c r="LSR104" s="4"/>
      <c r="LSS104" s="4"/>
      <c r="LST104" s="4"/>
      <c r="LSU104" s="4"/>
      <c r="LSV104" s="4"/>
      <c r="LSW104" s="4"/>
      <c r="LSX104" s="4"/>
      <c r="LSY104" s="4"/>
      <c r="LSZ104" s="4"/>
      <c r="LTA104" s="4"/>
      <c r="LTB104" s="4"/>
      <c r="LTC104" s="4"/>
      <c r="LTD104" s="4"/>
      <c r="LTE104" s="4"/>
      <c r="LTF104" s="4"/>
      <c r="LTG104" s="4"/>
      <c r="LTH104" s="4"/>
      <c r="LTI104" s="4"/>
      <c r="LTJ104" s="4"/>
      <c r="LTK104" s="4"/>
      <c r="LTL104" s="4"/>
      <c r="LTM104" s="4"/>
      <c r="LTN104" s="4"/>
      <c r="LTO104" s="4"/>
      <c r="LTP104" s="4"/>
      <c r="LTQ104" s="4"/>
      <c r="LTR104" s="4"/>
      <c r="LTS104" s="4"/>
      <c r="LTT104" s="4"/>
      <c r="LTU104" s="4"/>
      <c r="LTV104" s="4"/>
      <c r="LTW104" s="4"/>
      <c r="LTX104" s="4"/>
      <c r="LTY104" s="4"/>
      <c r="LTZ104" s="4"/>
      <c r="LUA104" s="4"/>
      <c r="LUB104" s="4"/>
      <c r="LUC104" s="4"/>
      <c r="LUD104" s="4"/>
      <c r="LUE104" s="4"/>
      <c r="LUF104" s="4"/>
      <c r="LUG104" s="4"/>
      <c r="LUH104" s="4"/>
      <c r="LUI104" s="4"/>
      <c r="LUJ104" s="4"/>
      <c r="LUK104" s="4"/>
      <c r="LUL104" s="4"/>
      <c r="LUM104" s="4"/>
      <c r="LUN104" s="4"/>
      <c r="LUO104" s="4"/>
      <c r="LUP104" s="4"/>
      <c r="LUQ104" s="4"/>
      <c r="LUR104" s="4"/>
      <c r="LUS104" s="4"/>
      <c r="LUT104" s="4"/>
      <c r="LUU104" s="4"/>
      <c r="LUV104" s="4"/>
      <c r="LUW104" s="4"/>
      <c r="LUX104" s="4"/>
      <c r="LUY104" s="4"/>
      <c r="LUZ104" s="4"/>
      <c r="LVA104" s="4"/>
      <c r="LVB104" s="4"/>
      <c r="LVC104" s="4"/>
      <c r="LVD104" s="4"/>
      <c r="LVE104" s="4"/>
      <c r="LVF104" s="4"/>
      <c r="LVG104" s="4"/>
      <c r="LVH104" s="4"/>
      <c r="LVI104" s="4"/>
      <c r="LVJ104" s="4"/>
      <c r="LVK104" s="4"/>
      <c r="LVL104" s="4"/>
      <c r="LVM104" s="4"/>
      <c r="LVN104" s="4"/>
      <c r="LVO104" s="4"/>
      <c r="LVP104" s="4"/>
      <c r="LVQ104" s="4"/>
      <c r="LVR104" s="4"/>
      <c r="LVS104" s="4"/>
      <c r="LVT104" s="4"/>
      <c r="LVU104" s="4"/>
      <c r="LVV104" s="4"/>
      <c r="LVW104" s="4"/>
      <c r="LVX104" s="4"/>
      <c r="LVY104" s="4"/>
      <c r="LVZ104" s="4"/>
      <c r="LWA104" s="4"/>
      <c r="LWB104" s="4"/>
      <c r="LWC104" s="4"/>
      <c r="LWD104" s="4"/>
      <c r="LWE104" s="4"/>
      <c r="LWF104" s="4"/>
      <c r="LWG104" s="4"/>
      <c r="LWH104" s="4"/>
      <c r="LWI104" s="4"/>
      <c r="LWJ104" s="4"/>
      <c r="LWK104" s="4"/>
      <c r="LWL104" s="4"/>
      <c r="LWM104" s="4"/>
      <c r="LWN104" s="4"/>
      <c r="LWO104" s="4"/>
      <c r="LWP104" s="4"/>
      <c r="LWQ104" s="4"/>
      <c r="LWR104" s="4"/>
      <c r="LWS104" s="4"/>
      <c r="LWT104" s="4"/>
      <c r="LWU104" s="4"/>
      <c r="LWV104" s="4"/>
      <c r="LWW104" s="4"/>
      <c r="LWX104" s="4"/>
      <c r="LWY104" s="4"/>
      <c r="LWZ104" s="4"/>
      <c r="LXA104" s="4"/>
      <c r="LXB104" s="4"/>
      <c r="LXC104" s="4"/>
      <c r="LXD104" s="4"/>
      <c r="LXE104" s="4"/>
      <c r="LXF104" s="4"/>
      <c r="LXG104" s="4"/>
      <c r="LXH104" s="4"/>
      <c r="LXI104" s="4"/>
      <c r="LXJ104" s="4"/>
      <c r="LXK104" s="4"/>
      <c r="LXL104" s="4"/>
      <c r="LXM104" s="4"/>
      <c r="LXN104" s="4"/>
      <c r="LXO104" s="4"/>
      <c r="LXP104" s="4"/>
      <c r="LXQ104" s="4"/>
      <c r="LXR104" s="4"/>
      <c r="LXS104" s="4"/>
      <c r="LXT104" s="4"/>
      <c r="LXU104" s="4"/>
      <c r="LXV104" s="4"/>
      <c r="LXW104" s="4"/>
      <c r="LXX104" s="4"/>
      <c r="LXY104" s="4"/>
      <c r="LXZ104" s="4"/>
      <c r="LYA104" s="4"/>
      <c r="LYB104" s="4"/>
      <c r="LYC104" s="4"/>
      <c r="LYD104" s="4"/>
      <c r="LYE104" s="4"/>
      <c r="LYF104" s="4"/>
      <c r="LYG104" s="4"/>
      <c r="LYH104" s="4"/>
      <c r="LYI104" s="4"/>
      <c r="LYJ104" s="4"/>
      <c r="LYK104" s="4"/>
      <c r="LYL104" s="4"/>
      <c r="LYM104" s="4"/>
      <c r="LYN104" s="4"/>
      <c r="LYO104" s="4"/>
      <c r="LYP104" s="4"/>
      <c r="LYQ104" s="4"/>
      <c r="LYR104" s="4"/>
      <c r="LYS104" s="4"/>
      <c r="LYT104" s="4"/>
      <c r="LYU104" s="4"/>
      <c r="LYV104" s="4"/>
      <c r="LYW104" s="4"/>
      <c r="LYX104" s="4"/>
      <c r="LYY104" s="4"/>
      <c r="LYZ104" s="4"/>
      <c r="LZA104" s="4"/>
      <c r="LZB104" s="4"/>
      <c r="LZC104" s="4"/>
      <c r="LZD104" s="4"/>
      <c r="LZE104" s="4"/>
      <c r="LZF104" s="4"/>
      <c r="LZG104" s="4"/>
      <c r="LZH104" s="4"/>
      <c r="LZI104" s="4"/>
      <c r="LZJ104" s="4"/>
      <c r="LZK104" s="4"/>
      <c r="LZL104" s="4"/>
      <c r="LZM104" s="4"/>
      <c r="LZN104" s="4"/>
      <c r="LZO104" s="4"/>
      <c r="LZP104" s="4"/>
      <c r="LZQ104" s="4"/>
      <c r="LZR104" s="4"/>
      <c r="LZS104" s="4"/>
      <c r="LZT104" s="4"/>
      <c r="LZU104" s="4"/>
      <c r="LZV104" s="4"/>
      <c r="LZW104" s="4"/>
      <c r="LZX104" s="4"/>
      <c r="LZY104" s="4"/>
      <c r="LZZ104" s="4"/>
      <c r="MAA104" s="4"/>
      <c r="MAB104" s="4"/>
      <c r="MAC104" s="4"/>
      <c r="MAD104" s="4"/>
      <c r="MAE104" s="4"/>
      <c r="MAF104" s="4"/>
      <c r="MAG104" s="4"/>
      <c r="MAH104" s="4"/>
      <c r="MAI104" s="4"/>
      <c r="MAJ104" s="4"/>
      <c r="MAK104" s="4"/>
      <c r="MAL104" s="4"/>
      <c r="MAM104" s="4"/>
      <c r="MAN104" s="4"/>
      <c r="MAO104" s="4"/>
      <c r="MAP104" s="4"/>
      <c r="MAQ104" s="4"/>
      <c r="MAR104" s="4"/>
      <c r="MAS104" s="4"/>
      <c r="MAT104" s="4"/>
      <c r="MAU104" s="4"/>
      <c r="MAV104" s="4"/>
      <c r="MAW104" s="4"/>
      <c r="MAX104" s="4"/>
      <c r="MAY104" s="4"/>
      <c r="MAZ104" s="4"/>
      <c r="MBA104" s="4"/>
      <c r="MBB104" s="4"/>
      <c r="MBC104" s="4"/>
      <c r="MBD104" s="4"/>
      <c r="MBE104" s="4"/>
      <c r="MBF104" s="4"/>
      <c r="MBG104" s="4"/>
      <c r="MBH104" s="4"/>
      <c r="MBI104" s="4"/>
      <c r="MBJ104" s="4"/>
      <c r="MBK104" s="4"/>
      <c r="MBL104" s="4"/>
      <c r="MBM104" s="4"/>
      <c r="MBN104" s="4"/>
      <c r="MBO104" s="4"/>
      <c r="MBP104" s="4"/>
      <c r="MBQ104" s="4"/>
      <c r="MBR104" s="4"/>
      <c r="MBS104" s="4"/>
      <c r="MBT104" s="4"/>
      <c r="MBU104" s="4"/>
      <c r="MBV104" s="4"/>
      <c r="MBW104" s="4"/>
      <c r="MBX104" s="4"/>
      <c r="MBY104" s="4"/>
      <c r="MBZ104" s="4"/>
      <c r="MCA104" s="4"/>
      <c r="MCB104" s="4"/>
      <c r="MCC104" s="4"/>
      <c r="MCD104" s="4"/>
      <c r="MCE104" s="4"/>
      <c r="MCF104" s="4"/>
      <c r="MCG104" s="4"/>
      <c r="MCH104" s="4"/>
      <c r="MCI104" s="4"/>
      <c r="MCJ104" s="4"/>
      <c r="MCK104" s="4"/>
      <c r="MCL104" s="4"/>
      <c r="MCM104" s="4"/>
      <c r="MCN104" s="4"/>
      <c r="MCO104" s="4"/>
      <c r="MCP104" s="4"/>
      <c r="MCQ104" s="4"/>
      <c r="MCR104" s="4"/>
      <c r="MCS104" s="4"/>
      <c r="MCT104" s="4"/>
      <c r="MCU104" s="4"/>
      <c r="MCV104" s="4"/>
      <c r="MCW104" s="4"/>
      <c r="MCX104" s="4"/>
      <c r="MCY104" s="4"/>
      <c r="MCZ104" s="4"/>
      <c r="MDA104" s="4"/>
      <c r="MDB104" s="4"/>
      <c r="MDC104" s="4"/>
      <c r="MDD104" s="4"/>
      <c r="MDE104" s="4"/>
      <c r="MDF104" s="4"/>
      <c r="MDG104" s="4"/>
      <c r="MDH104" s="4"/>
      <c r="MDI104" s="4"/>
      <c r="MDJ104" s="4"/>
      <c r="MDK104" s="4"/>
      <c r="MDL104" s="4"/>
      <c r="MDM104" s="4"/>
      <c r="MDN104" s="4"/>
      <c r="MDO104" s="4"/>
      <c r="MDP104" s="4"/>
      <c r="MDQ104" s="4"/>
      <c r="MDR104" s="4"/>
      <c r="MDS104" s="4"/>
      <c r="MDT104" s="4"/>
      <c r="MDU104" s="4"/>
      <c r="MDV104" s="4"/>
      <c r="MDW104" s="4"/>
      <c r="MDX104" s="4"/>
      <c r="MDY104" s="4"/>
      <c r="MDZ104" s="4"/>
      <c r="MEA104" s="4"/>
      <c r="MEB104" s="4"/>
      <c r="MEC104" s="4"/>
      <c r="MED104" s="4"/>
      <c r="MEE104" s="4"/>
      <c r="MEF104" s="4"/>
      <c r="MEG104" s="4"/>
      <c r="MEH104" s="4"/>
      <c r="MEI104" s="4"/>
      <c r="MEJ104" s="4"/>
      <c r="MEK104" s="4"/>
      <c r="MEL104" s="4"/>
      <c r="MEM104" s="4"/>
      <c r="MEN104" s="4"/>
      <c r="MEO104" s="4"/>
      <c r="MEP104" s="4"/>
      <c r="MEQ104" s="4"/>
      <c r="MER104" s="4"/>
      <c r="MES104" s="4"/>
      <c r="MET104" s="4"/>
      <c r="MEU104" s="4"/>
      <c r="MEV104" s="4"/>
      <c r="MEW104" s="4"/>
      <c r="MEX104" s="4"/>
      <c r="MEY104" s="4"/>
      <c r="MEZ104" s="4"/>
      <c r="MFA104" s="4"/>
      <c r="MFB104" s="4"/>
      <c r="MFC104" s="4"/>
      <c r="MFD104" s="4"/>
      <c r="MFE104" s="4"/>
      <c r="MFF104" s="4"/>
      <c r="MFG104" s="4"/>
      <c r="MFH104" s="4"/>
      <c r="MFI104" s="4"/>
      <c r="MFJ104" s="4"/>
      <c r="MFK104" s="4"/>
      <c r="MFL104" s="4"/>
      <c r="MFM104" s="4"/>
      <c r="MFN104" s="4"/>
      <c r="MFO104" s="4"/>
      <c r="MFP104" s="4"/>
      <c r="MFQ104" s="4"/>
      <c r="MFR104" s="4"/>
      <c r="MFS104" s="4"/>
      <c r="MFT104" s="4"/>
      <c r="MFU104" s="4"/>
      <c r="MFV104" s="4"/>
      <c r="MFW104" s="4"/>
      <c r="MFX104" s="4"/>
      <c r="MFY104" s="4"/>
      <c r="MFZ104" s="4"/>
      <c r="MGA104" s="4"/>
      <c r="MGB104" s="4"/>
      <c r="MGC104" s="4"/>
      <c r="MGD104" s="4"/>
      <c r="MGE104" s="4"/>
      <c r="MGF104" s="4"/>
      <c r="MGG104" s="4"/>
      <c r="MGH104" s="4"/>
      <c r="MGI104" s="4"/>
      <c r="MGJ104" s="4"/>
      <c r="MGK104" s="4"/>
      <c r="MGL104" s="4"/>
      <c r="MGM104" s="4"/>
      <c r="MGN104" s="4"/>
      <c r="MGO104" s="4"/>
      <c r="MGP104" s="4"/>
      <c r="MGQ104" s="4"/>
      <c r="MGR104" s="4"/>
      <c r="MGS104" s="4"/>
      <c r="MGT104" s="4"/>
      <c r="MGU104" s="4"/>
      <c r="MGV104" s="4"/>
      <c r="MGW104" s="4"/>
      <c r="MGX104" s="4"/>
      <c r="MGY104" s="4"/>
      <c r="MGZ104" s="4"/>
      <c r="MHA104" s="4"/>
      <c r="MHB104" s="4"/>
      <c r="MHC104" s="4"/>
      <c r="MHD104" s="4"/>
      <c r="MHE104" s="4"/>
      <c r="MHF104" s="4"/>
      <c r="MHG104" s="4"/>
      <c r="MHH104" s="4"/>
      <c r="MHI104" s="4"/>
      <c r="MHJ104" s="4"/>
      <c r="MHK104" s="4"/>
      <c r="MHL104" s="4"/>
      <c r="MHM104" s="4"/>
      <c r="MHN104" s="4"/>
      <c r="MHO104" s="4"/>
      <c r="MHP104" s="4"/>
      <c r="MHQ104" s="4"/>
      <c r="MHR104" s="4"/>
      <c r="MHS104" s="4"/>
      <c r="MHT104" s="4"/>
      <c r="MHU104" s="4"/>
      <c r="MHV104" s="4"/>
      <c r="MHW104" s="4"/>
      <c r="MHX104" s="4"/>
      <c r="MHY104" s="4"/>
      <c r="MHZ104" s="4"/>
      <c r="MIA104" s="4"/>
      <c r="MIB104" s="4"/>
      <c r="MIC104" s="4"/>
      <c r="MID104" s="4"/>
      <c r="MIE104" s="4"/>
      <c r="MIF104" s="4"/>
      <c r="MIG104" s="4"/>
      <c r="MIH104" s="4"/>
      <c r="MII104" s="4"/>
      <c r="MIJ104" s="4"/>
      <c r="MIK104" s="4"/>
      <c r="MIL104" s="4"/>
      <c r="MIM104" s="4"/>
      <c r="MIN104" s="4"/>
      <c r="MIO104" s="4"/>
      <c r="MIP104" s="4"/>
      <c r="MIQ104" s="4"/>
      <c r="MIR104" s="4"/>
      <c r="MIS104" s="4"/>
      <c r="MIT104" s="4"/>
      <c r="MIU104" s="4"/>
      <c r="MIV104" s="4"/>
      <c r="MIW104" s="4"/>
      <c r="MIX104" s="4"/>
      <c r="MIY104" s="4"/>
      <c r="MIZ104" s="4"/>
      <c r="MJA104" s="4"/>
      <c r="MJB104" s="4"/>
      <c r="MJC104" s="4"/>
      <c r="MJD104" s="4"/>
      <c r="MJE104" s="4"/>
      <c r="MJF104" s="4"/>
      <c r="MJG104" s="4"/>
      <c r="MJH104" s="4"/>
      <c r="MJI104" s="4"/>
      <c r="MJJ104" s="4"/>
      <c r="MJK104" s="4"/>
      <c r="MJL104" s="4"/>
      <c r="MJM104" s="4"/>
      <c r="MJN104" s="4"/>
      <c r="MJO104" s="4"/>
      <c r="MJP104" s="4"/>
      <c r="MJQ104" s="4"/>
      <c r="MJR104" s="4"/>
      <c r="MJS104" s="4"/>
      <c r="MJT104" s="4"/>
      <c r="MJU104" s="4"/>
      <c r="MJV104" s="4"/>
      <c r="MJW104" s="4"/>
      <c r="MJX104" s="4"/>
      <c r="MJY104" s="4"/>
      <c r="MJZ104" s="4"/>
      <c r="MKA104" s="4"/>
      <c r="MKB104" s="4"/>
      <c r="MKC104" s="4"/>
      <c r="MKD104" s="4"/>
      <c r="MKE104" s="4"/>
      <c r="MKF104" s="4"/>
      <c r="MKG104" s="4"/>
      <c r="MKH104" s="4"/>
      <c r="MKI104" s="4"/>
      <c r="MKJ104" s="4"/>
      <c r="MKK104" s="4"/>
      <c r="MKL104" s="4"/>
      <c r="MKM104" s="4"/>
      <c r="MKN104" s="4"/>
      <c r="MKO104" s="4"/>
      <c r="MKP104" s="4"/>
      <c r="MKQ104" s="4"/>
      <c r="MKR104" s="4"/>
      <c r="MKS104" s="4"/>
      <c r="MKT104" s="4"/>
      <c r="MKU104" s="4"/>
      <c r="MKV104" s="4"/>
      <c r="MKW104" s="4"/>
      <c r="MKX104" s="4"/>
      <c r="MKY104" s="4"/>
      <c r="MKZ104" s="4"/>
      <c r="MLA104" s="4"/>
      <c r="MLB104" s="4"/>
      <c r="MLC104" s="4"/>
      <c r="MLD104" s="4"/>
      <c r="MLE104" s="4"/>
      <c r="MLF104" s="4"/>
      <c r="MLG104" s="4"/>
      <c r="MLH104" s="4"/>
      <c r="MLI104" s="4"/>
      <c r="MLJ104" s="4"/>
      <c r="MLK104" s="4"/>
      <c r="MLL104" s="4"/>
      <c r="MLM104" s="4"/>
      <c r="MLN104" s="4"/>
      <c r="MLO104" s="4"/>
      <c r="MLP104" s="4"/>
      <c r="MLQ104" s="4"/>
      <c r="MLR104" s="4"/>
      <c r="MLS104" s="4"/>
      <c r="MLT104" s="4"/>
      <c r="MLU104" s="4"/>
      <c r="MLV104" s="4"/>
      <c r="MLW104" s="4"/>
      <c r="MLX104" s="4"/>
      <c r="MLY104" s="4"/>
      <c r="MLZ104" s="4"/>
      <c r="MMA104" s="4"/>
      <c r="MMB104" s="4"/>
      <c r="MMC104" s="4"/>
      <c r="MMD104" s="4"/>
      <c r="MME104" s="4"/>
      <c r="MMF104" s="4"/>
      <c r="MMG104" s="4"/>
      <c r="MMH104" s="4"/>
      <c r="MMI104" s="4"/>
      <c r="MMJ104" s="4"/>
      <c r="MMK104" s="4"/>
      <c r="MML104" s="4"/>
      <c r="MMM104" s="4"/>
      <c r="MMN104" s="4"/>
      <c r="MMO104" s="4"/>
      <c r="MMP104" s="4"/>
      <c r="MMQ104" s="4"/>
      <c r="MMR104" s="4"/>
      <c r="MMS104" s="4"/>
      <c r="MMT104" s="4"/>
      <c r="MMU104" s="4"/>
      <c r="MMV104" s="4"/>
      <c r="MMW104" s="4"/>
      <c r="MMX104" s="4"/>
      <c r="MMY104" s="4"/>
      <c r="MMZ104" s="4"/>
      <c r="MNA104" s="4"/>
      <c r="MNB104" s="4"/>
      <c r="MNC104" s="4"/>
      <c r="MND104" s="4"/>
      <c r="MNE104" s="4"/>
      <c r="MNF104" s="4"/>
      <c r="MNG104" s="4"/>
      <c r="MNH104" s="4"/>
      <c r="MNI104" s="4"/>
      <c r="MNJ104" s="4"/>
      <c r="MNK104" s="4"/>
      <c r="MNL104" s="4"/>
      <c r="MNM104" s="4"/>
      <c r="MNN104" s="4"/>
      <c r="MNO104" s="4"/>
      <c r="MNP104" s="4"/>
      <c r="MNQ104" s="4"/>
      <c r="MNR104" s="4"/>
      <c r="MNS104" s="4"/>
      <c r="MNT104" s="4"/>
      <c r="MNU104" s="4"/>
      <c r="MNV104" s="4"/>
      <c r="MNW104" s="4"/>
      <c r="MNX104" s="4"/>
      <c r="MNY104" s="4"/>
      <c r="MNZ104" s="4"/>
      <c r="MOA104" s="4"/>
      <c r="MOB104" s="4"/>
      <c r="MOC104" s="4"/>
      <c r="MOD104" s="4"/>
      <c r="MOE104" s="4"/>
      <c r="MOF104" s="4"/>
      <c r="MOG104" s="4"/>
      <c r="MOH104" s="4"/>
      <c r="MOI104" s="4"/>
      <c r="MOJ104" s="4"/>
      <c r="MOK104" s="4"/>
      <c r="MOL104" s="4"/>
      <c r="MOM104" s="4"/>
      <c r="MON104" s="4"/>
      <c r="MOO104" s="4"/>
      <c r="MOP104" s="4"/>
      <c r="MOQ104" s="4"/>
      <c r="MOR104" s="4"/>
      <c r="MOS104" s="4"/>
      <c r="MOT104" s="4"/>
      <c r="MOU104" s="4"/>
      <c r="MOV104" s="4"/>
      <c r="MOW104" s="4"/>
      <c r="MOX104" s="4"/>
      <c r="MOY104" s="4"/>
      <c r="MOZ104" s="4"/>
      <c r="MPA104" s="4"/>
      <c r="MPB104" s="4"/>
      <c r="MPC104" s="4"/>
      <c r="MPD104" s="4"/>
      <c r="MPE104" s="4"/>
      <c r="MPF104" s="4"/>
      <c r="MPG104" s="4"/>
      <c r="MPH104" s="4"/>
      <c r="MPI104" s="4"/>
      <c r="MPJ104" s="4"/>
      <c r="MPK104" s="4"/>
      <c r="MPL104" s="4"/>
      <c r="MPM104" s="4"/>
      <c r="MPN104" s="4"/>
      <c r="MPO104" s="4"/>
      <c r="MPP104" s="4"/>
      <c r="MPQ104" s="4"/>
      <c r="MPR104" s="4"/>
      <c r="MPS104" s="4"/>
      <c r="MPT104" s="4"/>
      <c r="MPU104" s="4"/>
      <c r="MPV104" s="4"/>
      <c r="MPW104" s="4"/>
      <c r="MPX104" s="4"/>
      <c r="MPY104" s="4"/>
      <c r="MPZ104" s="4"/>
      <c r="MQA104" s="4"/>
      <c r="MQB104" s="4"/>
      <c r="MQC104" s="4"/>
      <c r="MQD104" s="4"/>
      <c r="MQE104" s="4"/>
      <c r="MQF104" s="4"/>
      <c r="MQG104" s="4"/>
      <c r="MQH104" s="4"/>
      <c r="MQI104" s="4"/>
      <c r="MQJ104" s="4"/>
      <c r="MQK104" s="4"/>
      <c r="MQL104" s="4"/>
      <c r="MQM104" s="4"/>
      <c r="MQN104" s="4"/>
      <c r="MQO104" s="4"/>
      <c r="MQP104" s="4"/>
      <c r="MQQ104" s="4"/>
      <c r="MQR104" s="4"/>
      <c r="MQS104" s="4"/>
      <c r="MQT104" s="4"/>
      <c r="MQU104" s="4"/>
      <c r="MQV104" s="4"/>
      <c r="MQW104" s="4"/>
      <c r="MQX104" s="4"/>
      <c r="MQY104" s="4"/>
      <c r="MQZ104" s="4"/>
      <c r="MRA104" s="4"/>
      <c r="MRB104" s="4"/>
      <c r="MRC104" s="4"/>
      <c r="MRD104" s="4"/>
      <c r="MRE104" s="4"/>
      <c r="MRF104" s="4"/>
      <c r="MRG104" s="4"/>
      <c r="MRH104" s="4"/>
      <c r="MRI104" s="4"/>
      <c r="MRJ104" s="4"/>
      <c r="MRK104" s="4"/>
      <c r="MRL104" s="4"/>
      <c r="MRM104" s="4"/>
      <c r="MRN104" s="4"/>
      <c r="MRO104" s="4"/>
      <c r="MRP104" s="4"/>
      <c r="MRQ104" s="4"/>
      <c r="MRR104" s="4"/>
      <c r="MRS104" s="4"/>
      <c r="MRT104" s="4"/>
      <c r="MRU104" s="4"/>
      <c r="MRV104" s="4"/>
      <c r="MRW104" s="4"/>
      <c r="MRX104" s="4"/>
      <c r="MRY104" s="4"/>
      <c r="MRZ104" s="4"/>
      <c r="MSA104" s="4"/>
      <c r="MSB104" s="4"/>
      <c r="MSC104" s="4"/>
      <c r="MSD104" s="4"/>
      <c r="MSE104" s="4"/>
      <c r="MSF104" s="4"/>
      <c r="MSG104" s="4"/>
      <c r="MSH104" s="4"/>
      <c r="MSI104" s="4"/>
      <c r="MSJ104" s="4"/>
      <c r="MSK104" s="4"/>
      <c r="MSL104" s="4"/>
      <c r="MSM104" s="4"/>
      <c r="MSN104" s="4"/>
      <c r="MSO104" s="4"/>
      <c r="MSP104" s="4"/>
      <c r="MSQ104" s="4"/>
      <c r="MSR104" s="4"/>
      <c r="MSS104" s="4"/>
      <c r="MST104" s="4"/>
      <c r="MSU104" s="4"/>
      <c r="MSV104" s="4"/>
      <c r="MSW104" s="4"/>
      <c r="MSX104" s="4"/>
      <c r="MSY104" s="4"/>
      <c r="MSZ104" s="4"/>
      <c r="MTA104" s="4"/>
      <c r="MTB104" s="4"/>
      <c r="MTC104" s="4"/>
      <c r="MTD104" s="4"/>
      <c r="MTE104" s="4"/>
      <c r="MTF104" s="4"/>
      <c r="MTG104" s="4"/>
      <c r="MTH104" s="4"/>
      <c r="MTI104" s="4"/>
      <c r="MTJ104" s="4"/>
      <c r="MTK104" s="4"/>
      <c r="MTL104" s="4"/>
      <c r="MTM104" s="4"/>
      <c r="MTN104" s="4"/>
      <c r="MTO104" s="4"/>
      <c r="MTP104" s="4"/>
      <c r="MTQ104" s="4"/>
      <c r="MTR104" s="4"/>
      <c r="MTS104" s="4"/>
      <c r="MTT104" s="4"/>
      <c r="MTU104" s="4"/>
      <c r="MTV104" s="4"/>
      <c r="MTW104" s="4"/>
      <c r="MTX104" s="4"/>
      <c r="MTY104" s="4"/>
      <c r="MTZ104" s="4"/>
      <c r="MUA104" s="4"/>
      <c r="MUB104" s="4"/>
      <c r="MUC104" s="4"/>
      <c r="MUD104" s="4"/>
      <c r="MUE104" s="4"/>
      <c r="MUF104" s="4"/>
      <c r="MUG104" s="4"/>
      <c r="MUH104" s="4"/>
      <c r="MUI104" s="4"/>
      <c r="MUJ104" s="4"/>
      <c r="MUK104" s="4"/>
      <c r="MUL104" s="4"/>
      <c r="MUM104" s="4"/>
      <c r="MUN104" s="4"/>
      <c r="MUO104" s="4"/>
      <c r="MUP104" s="4"/>
      <c r="MUQ104" s="4"/>
      <c r="MUR104" s="4"/>
      <c r="MUS104" s="4"/>
      <c r="MUT104" s="4"/>
      <c r="MUU104" s="4"/>
      <c r="MUV104" s="4"/>
      <c r="MUW104" s="4"/>
      <c r="MUX104" s="4"/>
      <c r="MUY104" s="4"/>
      <c r="MUZ104" s="4"/>
      <c r="MVA104" s="4"/>
      <c r="MVB104" s="4"/>
      <c r="MVC104" s="4"/>
      <c r="MVD104" s="4"/>
      <c r="MVE104" s="4"/>
      <c r="MVF104" s="4"/>
      <c r="MVG104" s="4"/>
      <c r="MVH104" s="4"/>
      <c r="MVI104" s="4"/>
      <c r="MVJ104" s="4"/>
      <c r="MVK104" s="4"/>
      <c r="MVL104" s="4"/>
      <c r="MVM104" s="4"/>
      <c r="MVN104" s="4"/>
      <c r="MVO104" s="4"/>
      <c r="MVP104" s="4"/>
      <c r="MVQ104" s="4"/>
      <c r="MVR104" s="4"/>
      <c r="MVS104" s="4"/>
      <c r="MVT104" s="4"/>
      <c r="MVU104" s="4"/>
      <c r="MVV104" s="4"/>
      <c r="MVW104" s="4"/>
      <c r="MVX104" s="4"/>
      <c r="MVY104" s="4"/>
      <c r="MVZ104" s="4"/>
      <c r="MWA104" s="4"/>
      <c r="MWB104" s="4"/>
      <c r="MWC104" s="4"/>
      <c r="MWD104" s="4"/>
      <c r="MWE104" s="4"/>
      <c r="MWF104" s="4"/>
      <c r="MWG104" s="4"/>
      <c r="MWH104" s="4"/>
      <c r="MWI104" s="4"/>
      <c r="MWJ104" s="4"/>
      <c r="MWK104" s="4"/>
      <c r="MWL104" s="4"/>
      <c r="MWM104" s="4"/>
      <c r="MWN104" s="4"/>
      <c r="MWO104" s="4"/>
      <c r="MWP104" s="4"/>
      <c r="MWQ104" s="4"/>
      <c r="MWR104" s="4"/>
      <c r="MWS104" s="4"/>
      <c r="MWT104" s="4"/>
      <c r="MWU104" s="4"/>
      <c r="MWV104" s="4"/>
      <c r="MWW104" s="4"/>
      <c r="MWX104" s="4"/>
      <c r="MWY104" s="4"/>
      <c r="MWZ104" s="4"/>
      <c r="MXA104" s="4"/>
      <c r="MXB104" s="4"/>
      <c r="MXC104" s="4"/>
      <c r="MXD104" s="4"/>
      <c r="MXE104" s="4"/>
      <c r="MXF104" s="4"/>
      <c r="MXG104" s="4"/>
      <c r="MXH104" s="4"/>
      <c r="MXI104" s="4"/>
      <c r="MXJ104" s="4"/>
      <c r="MXK104" s="4"/>
      <c r="MXL104" s="4"/>
      <c r="MXM104" s="4"/>
      <c r="MXN104" s="4"/>
      <c r="MXO104" s="4"/>
      <c r="MXP104" s="4"/>
      <c r="MXQ104" s="4"/>
      <c r="MXR104" s="4"/>
      <c r="MXS104" s="4"/>
      <c r="MXT104" s="4"/>
      <c r="MXU104" s="4"/>
      <c r="MXV104" s="4"/>
      <c r="MXW104" s="4"/>
      <c r="MXX104" s="4"/>
      <c r="MXY104" s="4"/>
      <c r="MXZ104" s="4"/>
      <c r="MYA104" s="4"/>
      <c r="MYB104" s="4"/>
      <c r="MYC104" s="4"/>
      <c r="MYD104" s="4"/>
      <c r="MYE104" s="4"/>
      <c r="MYF104" s="4"/>
      <c r="MYG104" s="4"/>
      <c r="MYH104" s="4"/>
      <c r="MYI104" s="4"/>
      <c r="MYJ104" s="4"/>
      <c r="MYK104" s="4"/>
      <c r="MYL104" s="4"/>
      <c r="MYM104" s="4"/>
      <c r="MYN104" s="4"/>
      <c r="MYO104" s="4"/>
      <c r="MYP104" s="4"/>
      <c r="MYQ104" s="4"/>
      <c r="MYR104" s="4"/>
      <c r="MYS104" s="4"/>
      <c r="MYT104" s="4"/>
      <c r="MYU104" s="4"/>
      <c r="MYV104" s="4"/>
      <c r="MYW104" s="4"/>
      <c r="MYX104" s="4"/>
      <c r="MYY104" s="4"/>
      <c r="MYZ104" s="4"/>
      <c r="MZA104" s="4"/>
      <c r="MZB104" s="4"/>
      <c r="MZC104" s="4"/>
      <c r="MZD104" s="4"/>
      <c r="MZE104" s="4"/>
      <c r="MZF104" s="4"/>
      <c r="MZG104" s="4"/>
      <c r="MZH104" s="4"/>
      <c r="MZI104" s="4"/>
      <c r="MZJ104" s="4"/>
      <c r="MZK104" s="4"/>
      <c r="MZL104" s="4"/>
      <c r="MZM104" s="4"/>
      <c r="MZN104" s="4"/>
      <c r="MZO104" s="4"/>
      <c r="MZP104" s="4"/>
      <c r="MZQ104" s="4"/>
      <c r="MZR104" s="4"/>
      <c r="MZS104" s="4"/>
      <c r="MZT104" s="4"/>
      <c r="MZU104" s="4"/>
      <c r="MZV104" s="4"/>
      <c r="MZW104" s="4"/>
      <c r="MZX104" s="4"/>
      <c r="MZY104" s="4"/>
      <c r="MZZ104" s="4"/>
      <c r="NAA104" s="4"/>
      <c r="NAB104" s="4"/>
      <c r="NAC104" s="4"/>
      <c r="NAD104" s="4"/>
      <c r="NAE104" s="4"/>
      <c r="NAF104" s="4"/>
      <c r="NAG104" s="4"/>
      <c r="NAH104" s="4"/>
      <c r="NAI104" s="4"/>
      <c r="NAJ104" s="4"/>
      <c r="NAK104" s="4"/>
      <c r="NAL104" s="4"/>
      <c r="NAM104" s="4"/>
      <c r="NAN104" s="4"/>
      <c r="NAO104" s="4"/>
      <c r="NAP104" s="4"/>
      <c r="NAQ104" s="4"/>
      <c r="NAR104" s="4"/>
      <c r="NAS104" s="4"/>
      <c r="NAT104" s="4"/>
      <c r="NAU104" s="4"/>
      <c r="NAV104" s="4"/>
      <c r="NAW104" s="4"/>
      <c r="NAX104" s="4"/>
      <c r="NAY104" s="4"/>
      <c r="NAZ104" s="4"/>
      <c r="NBA104" s="4"/>
      <c r="NBB104" s="4"/>
      <c r="NBC104" s="4"/>
      <c r="NBD104" s="4"/>
      <c r="NBE104" s="4"/>
      <c r="NBF104" s="4"/>
      <c r="NBG104" s="4"/>
      <c r="NBH104" s="4"/>
      <c r="NBI104" s="4"/>
      <c r="NBJ104" s="4"/>
      <c r="NBK104" s="4"/>
      <c r="NBL104" s="4"/>
      <c r="NBM104" s="4"/>
      <c r="NBN104" s="4"/>
      <c r="NBO104" s="4"/>
      <c r="NBP104" s="4"/>
      <c r="NBQ104" s="4"/>
      <c r="NBR104" s="4"/>
      <c r="NBS104" s="4"/>
      <c r="NBT104" s="4"/>
      <c r="NBU104" s="4"/>
      <c r="NBV104" s="4"/>
      <c r="NBW104" s="4"/>
      <c r="NBX104" s="4"/>
      <c r="NBY104" s="4"/>
      <c r="NBZ104" s="4"/>
      <c r="NCA104" s="4"/>
      <c r="NCB104" s="4"/>
      <c r="NCC104" s="4"/>
      <c r="NCD104" s="4"/>
      <c r="NCE104" s="4"/>
      <c r="NCF104" s="4"/>
      <c r="NCG104" s="4"/>
      <c r="NCH104" s="4"/>
      <c r="NCI104" s="4"/>
      <c r="NCJ104" s="4"/>
      <c r="NCK104" s="4"/>
      <c r="NCL104" s="4"/>
      <c r="NCM104" s="4"/>
      <c r="NCN104" s="4"/>
      <c r="NCO104" s="4"/>
      <c r="NCP104" s="4"/>
      <c r="NCQ104" s="4"/>
      <c r="NCR104" s="4"/>
      <c r="NCS104" s="4"/>
      <c r="NCT104" s="4"/>
      <c r="NCU104" s="4"/>
      <c r="NCV104" s="4"/>
      <c r="NCW104" s="4"/>
      <c r="NCX104" s="4"/>
      <c r="NCY104" s="4"/>
      <c r="NCZ104" s="4"/>
      <c r="NDA104" s="4"/>
      <c r="NDB104" s="4"/>
      <c r="NDC104" s="4"/>
      <c r="NDD104" s="4"/>
      <c r="NDE104" s="4"/>
      <c r="NDF104" s="4"/>
      <c r="NDG104" s="4"/>
      <c r="NDH104" s="4"/>
      <c r="NDI104" s="4"/>
      <c r="NDJ104" s="4"/>
      <c r="NDK104" s="4"/>
      <c r="NDL104" s="4"/>
      <c r="NDM104" s="4"/>
      <c r="NDN104" s="4"/>
      <c r="NDO104" s="4"/>
      <c r="NDP104" s="4"/>
      <c r="NDQ104" s="4"/>
      <c r="NDR104" s="4"/>
      <c r="NDS104" s="4"/>
      <c r="NDT104" s="4"/>
      <c r="NDU104" s="4"/>
      <c r="NDV104" s="4"/>
      <c r="NDW104" s="4"/>
      <c r="NDX104" s="4"/>
      <c r="NDY104" s="4"/>
      <c r="NDZ104" s="4"/>
      <c r="NEA104" s="4"/>
      <c r="NEB104" s="4"/>
      <c r="NEC104" s="4"/>
      <c r="NED104" s="4"/>
      <c r="NEE104" s="4"/>
      <c r="NEF104" s="4"/>
      <c r="NEG104" s="4"/>
      <c r="NEH104" s="4"/>
      <c r="NEI104" s="4"/>
      <c r="NEJ104" s="4"/>
      <c r="NEK104" s="4"/>
      <c r="NEL104" s="4"/>
      <c r="NEM104" s="4"/>
      <c r="NEN104" s="4"/>
      <c r="NEO104" s="4"/>
      <c r="NEP104" s="4"/>
      <c r="NEQ104" s="4"/>
      <c r="NER104" s="4"/>
      <c r="NES104" s="4"/>
      <c r="NET104" s="4"/>
      <c r="NEU104" s="4"/>
      <c r="NEV104" s="4"/>
      <c r="NEW104" s="4"/>
      <c r="NEX104" s="4"/>
      <c r="NEY104" s="4"/>
      <c r="NEZ104" s="4"/>
      <c r="NFA104" s="4"/>
      <c r="NFB104" s="4"/>
      <c r="NFC104" s="4"/>
      <c r="NFD104" s="4"/>
      <c r="NFE104" s="4"/>
      <c r="NFF104" s="4"/>
      <c r="NFG104" s="4"/>
      <c r="NFH104" s="4"/>
      <c r="NFI104" s="4"/>
      <c r="NFJ104" s="4"/>
      <c r="NFK104" s="4"/>
      <c r="NFL104" s="4"/>
      <c r="NFM104" s="4"/>
      <c r="NFN104" s="4"/>
      <c r="NFO104" s="4"/>
      <c r="NFP104" s="4"/>
      <c r="NFQ104" s="4"/>
      <c r="NFR104" s="4"/>
      <c r="NFS104" s="4"/>
      <c r="NFT104" s="4"/>
      <c r="NFU104" s="4"/>
      <c r="NFV104" s="4"/>
      <c r="NFW104" s="4"/>
      <c r="NFX104" s="4"/>
      <c r="NFY104" s="4"/>
      <c r="NFZ104" s="4"/>
      <c r="NGA104" s="4"/>
      <c r="NGB104" s="4"/>
      <c r="NGC104" s="4"/>
      <c r="NGD104" s="4"/>
      <c r="NGE104" s="4"/>
      <c r="NGF104" s="4"/>
      <c r="NGG104" s="4"/>
      <c r="NGH104" s="4"/>
      <c r="NGI104" s="4"/>
      <c r="NGJ104" s="4"/>
      <c r="NGK104" s="4"/>
      <c r="NGL104" s="4"/>
      <c r="NGM104" s="4"/>
      <c r="NGN104" s="4"/>
      <c r="NGO104" s="4"/>
      <c r="NGP104" s="4"/>
      <c r="NGQ104" s="4"/>
      <c r="NGR104" s="4"/>
      <c r="NGS104" s="4"/>
      <c r="NGT104" s="4"/>
      <c r="NGU104" s="4"/>
      <c r="NGV104" s="4"/>
      <c r="NGW104" s="4"/>
      <c r="NGX104" s="4"/>
      <c r="NGY104" s="4"/>
      <c r="NGZ104" s="4"/>
      <c r="NHA104" s="4"/>
      <c r="NHB104" s="4"/>
      <c r="NHC104" s="4"/>
      <c r="NHD104" s="4"/>
      <c r="NHE104" s="4"/>
      <c r="NHF104" s="4"/>
      <c r="NHG104" s="4"/>
      <c r="NHH104" s="4"/>
      <c r="NHI104" s="4"/>
      <c r="NHJ104" s="4"/>
      <c r="NHK104" s="4"/>
      <c r="NHL104" s="4"/>
      <c r="NHM104" s="4"/>
      <c r="NHN104" s="4"/>
      <c r="NHO104" s="4"/>
      <c r="NHP104" s="4"/>
      <c r="NHQ104" s="4"/>
      <c r="NHR104" s="4"/>
      <c r="NHS104" s="4"/>
      <c r="NHT104" s="4"/>
      <c r="NHU104" s="4"/>
      <c r="NHV104" s="4"/>
      <c r="NHW104" s="4"/>
      <c r="NHX104" s="4"/>
      <c r="NHY104" s="4"/>
      <c r="NHZ104" s="4"/>
      <c r="NIA104" s="4"/>
      <c r="NIB104" s="4"/>
      <c r="NIC104" s="4"/>
      <c r="NID104" s="4"/>
      <c r="NIE104" s="4"/>
      <c r="NIF104" s="4"/>
      <c r="NIG104" s="4"/>
      <c r="NIH104" s="4"/>
      <c r="NII104" s="4"/>
      <c r="NIJ104" s="4"/>
      <c r="NIK104" s="4"/>
      <c r="NIL104" s="4"/>
      <c r="NIM104" s="4"/>
      <c r="NIN104" s="4"/>
      <c r="NIO104" s="4"/>
      <c r="NIP104" s="4"/>
      <c r="NIQ104" s="4"/>
      <c r="NIR104" s="4"/>
      <c r="NIS104" s="4"/>
      <c r="NIT104" s="4"/>
      <c r="NIU104" s="4"/>
      <c r="NIV104" s="4"/>
      <c r="NIW104" s="4"/>
      <c r="NIX104" s="4"/>
      <c r="NIY104" s="4"/>
      <c r="NIZ104" s="4"/>
      <c r="NJA104" s="4"/>
      <c r="NJB104" s="4"/>
      <c r="NJC104" s="4"/>
      <c r="NJD104" s="4"/>
      <c r="NJE104" s="4"/>
      <c r="NJF104" s="4"/>
      <c r="NJG104" s="4"/>
      <c r="NJH104" s="4"/>
      <c r="NJI104" s="4"/>
      <c r="NJJ104" s="4"/>
      <c r="NJK104" s="4"/>
      <c r="NJL104" s="4"/>
      <c r="NJM104" s="4"/>
      <c r="NJN104" s="4"/>
      <c r="NJO104" s="4"/>
      <c r="NJP104" s="4"/>
      <c r="NJQ104" s="4"/>
      <c r="NJR104" s="4"/>
      <c r="NJS104" s="4"/>
      <c r="NJT104" s="4"/>
      <c r="NJU104" s="4"/>
      <c r="NJV104" s="4"/>
      <c r="NJW104" s="4"/>
      <c r="NJX104" s="4"/>
      <c r="NJY104" s="4"/>
      <c r="NJZ104" s="4"/>
      <c r="NKA104" s="4"/>
      <c r="NKB104" s="4"/>
      <c r="NKC104" s="4"/>
      <c r="NKD104" s="4"/>
      <c r="NKE104" s="4"/>
      <c r="NKF104" s="4"/>
      <c r="NKG104" s="4"/>
      <c r="NKH104" s="4"/>
      <c r="NKI104" s="4"/>
      <c r="NKJ104" s="4"/>
      <c r="NKK104" s="4"/>
      <c r="NKL104" s="4"/>
      <c r="NKM104" s="4"/>
      <c r="NKN104" s="4"/>
      <c r="NKO104" s="4"/>
      <c r="NKP104" s="4"/>
      <c r="NKQ104" s="4"/>
      <c r="NKR104" s="4"/>
      <c r="NKS104" s="4"/>
      <c r="NKT104" s="4"/>
      <c r="NKU104" s="4"/>
      <c r="NKV104" s="4"/>
      <c r="NKW104" s="4"/>
      <c r="NKX104" s="4"/>
      <c r="NKY104" s="4"/>
      <c r="NKZ104" s="4"/>
      <c r="NLA104" s="4"/>
      <c r="NLB104" s="4"/>
      <c r="NLC104" s="4"/>
      <c r="NLD104" s="4"/>
      <c r="NLE104" s="4"/>
      <c r="NLF104" s="4"/>
      <c r="NLG104" s="4"/>
      <c r="NLH104" s="4"/>
      <c r="NLI104" s="4"/>
      <c r="NLJ104" s="4"/>
      <c r="NLK104" s="4"/>
      <c r="NLL104" s="4"/>
      <c r="NLM104" s="4"/>
      <c r="NLN104" s="4"/>
      <c r="NLO104" s="4"/>
      <c r="NLP104" s="4"/>
      <c r="NLQ104" s="4"/>
      <c r="NLR104" s="4"/>
      <c r="NLS104" s="4"/>
      <c r="NLT104" s="4"/>
      <c r="NLU104" s="4"/>
      <c r="NLV104" s="4"/>
      <c r="NLW104" s="4"/>
      <c r="NLX104" s="4"/>
      <c r="NLY104" s="4"/>
      <c r="NLZ104" s="4"/>
      <c r="NMA104" s="4"/>
      <c r="NMB104" s="4"/>
      <c r="NMC104" s="4"/>
      <c r="NMD104" s="4"/>
      <c r="NME104" s="4"/>
      <c r="NMF104" s="4"/>
      <c r="NMG104" s="4"/>
      <c r="NMH104" s="4"/>
      <c r="NMI104" s="4"/>
      <c r="NMJ104" s="4"/>
      <c r="NMK104" s="4"/>
      <c r="NML104" s="4"/>
      <c r="NMM104" s="4"/>
      <c r="NMN104" s="4"/>
      <c r="NMO104" s="4"/>
      <c r="NMP104" s="4"/>
      <c r="NMQ104" s="4"/>
      <c r="NMR104" s="4"/>
      <c r="NMS104" s="4"/>
      <c r="NMT104" s="4"/>
      <c r="NMU104" s="4"/>
      <c r="NMV104" s="4"/>
      <c r="NMW104" s="4"/>
      <c r="NMX104" s="4"/>
      <c r="NMY104" s="4"/>
      <c r="NMZ104" s="4"/>
      <c r="NNA104" s="4"/>
      <c r="NNB104" s="4"/>
      <c r="NNC104" s="4"/>
      <c r="NND104" s="4"/>
      <c r="NNE104" s="4"/>
      <c r="NNF104" s="4"/>
      <c r="NNG104" s="4"/>
      <c r="NNH104" s="4"/>
      <c r="NNI104" s="4"/>
      <c r="NNJ104" s="4"/>
      <c r="NNK104" s="4"/>
      <c r="NNL104" s="4"/>
      <c r="NNM104" s="4"/>
      <c r="NNN104" s="4"/>
      <c r="NNO104" s="4"/>
      <c r="NNP104" s="4"/>
      <c r="NNQ104" s="4"/>
      <c r="NNR104" s="4"/>
      <c r="NNS104" s="4"/>
      <c r="NNT104" s="4"/>
      <c r="NNU104" s="4"/>
      <c r="NNV104" s="4"/>
      <c r="NNW104" s="4"/>
      <c r="NNX104" s="4"/>
      <c r="NNY104" s="4"/>
      <c r="NNZ104" s="4"/>
      <c r="NOA104" s="4"/>
      <c r="NOB104" s="4"/>
      <c r="NOC104" s="4"/>
      <c r="NOD104" s="4"/>
      <c r="NOE104" s="4"/>
      <c r="NOF104" s="4"/>
      <c r="NOG104" s="4"/>
      <c r="NOH104" s="4"/>
      <c r="NOI104" s="4"/>
      <c r="NOJ104" s="4"/>
      <c r="NOK104" s="4"/>
      <c r="NOL104" s="4"/>
      <c r="NOM104" s="4"/>
      <c r="NON104" s="4"/>
      <c r="NOO104" s="4"/>
      <c r="NOP104" s="4"/>
      <c r="NOQ104" s="4"/>
      <c r="NOR104" s="4"/>
      <c r="NOS104" s="4"/>
      <c r="NOT104" s="4"/>
      <c r="NOU104" s="4"/>
      <c r="NOV104" s="4"/>
      <c r="NOW104" s="4"/>
      <c r="NOX104" s="4"/>
      <c r="NOY104" s="4"/>
      <c r="NOZ104" s="4"/>
      <c r="NPA104" s="4"/>
      <c r="NPB104" s="4"/>
      <c r="NPC104" s="4"/>
      <c r="NPD104" s="4"/>
      <c r="NPE104" s="4"/>
      <c r="NPF104" s="4"/>
      <c r="NPG104" s="4"/>
      <c r="NPH104" s="4"/>
      <c r="NPI104" s="4"/>
      <c r="NPJ104" s="4"/>
      <c r="NPK104" s="4"/>
      <c r="NPL104" s="4"/>
      <c r="NPM104" s="4"/>
      <c r="NPN104" s="4"/>
      <c r="NPO104" s="4"/>
      <c r="NPP104" s="4"/>
      <c r="NPQ104" s="4"/>
      <c r="NPR104" s="4"/>
      <c r="NPS104" s="4"/>
      <c r="NPT104" s="4"/>
      <c r="NPU104" s="4"/>
      <c r="NPV104" s="4"/>
      <c r="NPW104" s="4"/>
      <c r="NPX104" s="4"/>
      <c r="NPY104" s="4"/>
      <c r="NPZ104" s="4"/>
      <c r="NQA104" s="4"/>
      <c r="NQB104" s="4"/>
      <c r="NQC104" s="4"/>
      <c r="NQD104" s="4"/>
      <c r="NQE104" s="4"/>
      <c r="NQF104" s="4"/>
      <c r="NQG104" s="4"/>
      <c r="NQH104" s="4"/>
      <c r="NQI104" s="4"/>
      <c r="NQJ104" s="4"/>
      <c r="NQK104" s="4"/>
      <c r="NQL104" s="4"/>
      <c r="NQM104" s="4"/>
      <c r="NQN104" s="4"/>
      <c r="NQO104" s="4"/>
      <c r="NQP104" s="4"/>
      <c r="NQQ104" s="4"/>
      <c r="NQR104" s="4"/>
      <c r="NQS104" s="4"/>
      <c r="NQT104" s="4"/>
      <c r="NQU104" s="4"/>
      <c r="NQV104" s="4"/>
      <c r="NQW104" s="4"/>
      <c r="NQX104" s="4"/>
      <c r="NQY104" s="4"/>
      <c r="NQZ104" s="4"/>
      <c r="NRA104" s="4"/>
      <c r="NRB104" s="4"/>
      <c r="NRC104" s="4"/>
      <c r="NRD104" s="4"/>
      <c r="NRE104" s="4"/>
      <c r="NRF104" s="4"/>
      <c r="NRG104" s="4"/>
      <c r="NRH104" s="4"/>
      <c r="NRI104" s="4"/>
      <c r="NRJ104" s="4"/>
      <c r="NRK104" s="4"/>
      <c r="NRL104" s="4"/>
      <c r="NRM104" s="4"/>
      <c r="NRN104" s="4"/>
      <c r="NRO104" s="4"/>
      <c r="NRP104" s="4"/>
      <c r="NRQ104" s="4"/>
      <c r="NRR104" s="4"/>
      <c r="NRS104" s="4"/>
      <c r="NRT104" s="4"/>
      <c r="NRU104" s="4"/>
      <c r="NRV104" s="4"/>
      <c r="NRW104" s="4"/>
      <c r="NRX104" s="4"/>
      <c r="NRY104" s="4"/>
      <c r="NRZ104" s="4"/>
      <c r="NSA104" s="4"/>
      <c r="NSB104" s="4"/>
      <c r="NSC104" s="4"/>
      <c r="NSD104" s="4"/>
      <c r="NSE104" s="4"/>
      <c r="NSF104" s="4"/>
      <c r="NSG104" s="4"/>
      <c r="NSH104" s="4"/>
      <c r="NSI104" s="4"/>
      <c r="NSJ104" s="4"/>
      <c r="NSK104" s="4"/>
      <c r="NSL104" s="4"/>
      <c r="NSM104" s="4"/>
      <c r="NSN104" s="4"/>
      <c r="NSO104" s="4"/>
      <c r="NSP104" s="4"/>
      <c r="NSQ104" s="4"/>
      <c r="NSR104" s="4"/>
      <c r="NSS104" s="4"/>
      <c r="NST104" s="4"/>
      <c r="NSU104" s="4"/>
      <c r="NSV104" s="4"/>
      <c r="NSW104" s="4"/>
      <c r="NSX104" s="4"/>
      <c r="NSY104" s="4"/>
      <c r="NSZ104" s="4"/>
      <c r="NTA104" s="4"/>
      <c r="NTB104" s="4"/>
      <c r="NTC104" s="4"/>
      <c r="NTD104" s="4"/>
      <c r="NTE104" s="4"/>
      <c r="NTF104" s="4"/>
      <c r="NTG104" s="4"/>
      <c r="NTH104" s="4"/>
      <c r="NTI104" s="4"/>
      <c r="NTJ104" s="4"/>
      <c r="NTK104" s="4"/>
      <c r="NTL104" s="4"/>
      <c r="NTM104" s="4"/>
      <c r="NTN104" s="4"/>
      <c r="NTO104" s="4"/>
      <c r="NTP104" s="4"/>
      <c r="NTQ104" s="4"/>
      <c r="NTR104" s="4"/>
      <c r="NTS104" s="4"/>
      <c r="NTT104" s="4"/>
      <c r="NTU104" s="4"/>
      <c r="NTV104" s="4"/>
      <c r="NTW104" s="4"/>
      <c r="NTX104" s="4"/>
      <c r="NTY104" s="4"/>
      <c r="NTZ104" s="4"/>
      <c r="NUA104" s="4"/>
      <c r="NUB104" s="4"/>
      <c r="NUC104" s="4"/>
      <c r="NUD104" s="4"/>
      <c r="NUE104" s="4"/>
      <c r="NUF104" s="4"/>
      <c r="NUG104" s="4"/>
      <c r="NUH104" s="4"/>
      <c r="NUI104" s="4"/>
      <c r="NUJ104" s="4"/>
      <c r="NUK104" s="4"/>
      <c r="NUL104" s="4"/>
      <c r="NUM104" s="4"/>
      <c r="NUN104" s="4"/>
      <c r="NUO104" s="4"/>
      <c r="NUP104" s="4"/>
      <c r="NUQ104" s="4"/>
      <c r="NUR104" s="4"/>
      <c r="NUS104" s="4"/>
      <c r="NUT104" s="4"/>
      <c r="NUU104" s="4"/>
      <c r="NUV104" s="4"/>
      <c r="NUW104" s="4"/>
      <c r="NUX104" s="4"/>
      <c r="NUY104" s="4"/>
      <c r="NUZ104" s="4"/>
      <c r="NVA104" s="4"/>
      <c r="NVB104" s="4"/>
      <c r="NVC104" s="4"/>
      <c r="NVD104" s="4"/>
      <c r="NVE104" s="4"/>
      <c r="NVF104" s="4"/>
      <c r="NVG104" s="4"/>
      <c r="NVH104" s="4"/>
      <c r="NVI104" s="4"/>
      <c r="NVJ104" s="4"/>
      <c r="NVK104" s="4"/>
      <c r="NVL104" s="4"/>
      <c r="NVM104" s="4"/>
      <c r="NVN104" s="4"/>
      <c r="NVO104" s="4"/>
      <c r="NVP104" s="4"/>
      <c r="NVQ104" s="4"/>
      <c r="NVR104" s="4"/>
      <c r="NVS104" s="4"/>
      <c r="NVT104" s="4"/>
      <c r="NVU104" s="4"/>
      <c r="NVV104" s="4"/>
      <c r="NVW104" s="4"/>
      <c r="NVX104" s="4"/>
      <c r="NVY104" s="4"/>
      <c r="NVZ104" s="4"/>
      <c r="NWA104" s="4"/>
      <c r="NWB104" s="4"/>
      <c r="NWC104" s="4"/>
      <c r="NWD104" s="4"/>
      <c r="NWE104" s="4"/>
      <c r="NWF104" s="4"/>
      <c r="NWG104" s="4"/>
      <c r="NWH104" s="4"/>
      <c r="NWI104" s="4"/>
      <c r="NWJ104" s="4"/>
      <c r="NWK104" s="4"/>
      <c r="NWL104" s="4"/>
      <c r="NWM104" s="4"/>
      <c r="NWN104" s="4"/>
      <c r="NWO104" s="4"/>
      <c r="NWP104" s="4"/>
      <c r="NWQ104" s="4"/>
      <c r="NWR104" s="4"/>
      <c r="NWS104" s="4"/>
      <c r="NWT104" s="4"/>
      <c r="NWU104" s="4"/>
      <c r="NWV104" s="4"/>
      <c r="NWW104" s="4"/>
      <c r="NWX104" s="4"/>
      <c r="NWY104" s="4"/>
      <c r="NWZ104" s="4"/>
      <c r="NXA104" s="4"/>
      <c r="NXB104" s="4"/>
      <c r="NXC104" s="4"/>
      <c r="NXD104" s="4"/>
      <c r="NXE104" s="4"/>
      <c r="NXF104" s="4"/>
      <c r="NXG104" s="4"/>
      <c r="NXH104" s="4"/>
      <c r="NXI104" s="4"/>
      <c r="NXJ104" s="4"/>
      <c r="NXK104" s="4"/>
      <c r="NXL104" s="4"/>
      <c r="NXM104" s="4"/>
      <c r="NXN104" s="4"/>
      <c r="NXO104" s="4"/>
      <c r="NXP104" s="4"/>
      <c r="NXQ104" s="4"/>
      <c r="NXR104" s="4"/>
      <c r="NXS104" s="4"/>
      <c r="NXT104" s="4"/>
      <c r="NXU104" s="4"/>
      <c r="NXV104" s="4"/>
      <c r="NXW104" s="4"/>
      <c r="NXX104" s="4"/>
      <c r="NXY104" s="4"/>
      <c r="NXZ104" s="4"/>
      <c r="NYA104" s="4"/>
      <c r="NYB104" s="4"/>
      <c r="NYC104" s="4"/>
      <c r="NYD104" s="4"/>
      <c r="NYE104" s="4"/>
      <c r="NYF104" s="4"/>
      <c r="NYG104" s="4"/>
      <c r="NYH104" s="4"/>
      <c r="NYI104" s="4"/>
      <c r="NYJ104" s="4"/>
      <c r="NYK104" s="4"/>
      <c r="NYL104" s="4"/>
      <c r="NYM104" s="4"/>
      <c r="NYN104" s="4"/>
      <c r="NYO104" s="4"/>
      <c r="NYP104" s="4"/>
      <c r="NYQ104" s="4"/>
      <c r="NYR104" s="4"/>
      <c r="NYS104" s="4"/>
      <c r="NYT104" s="4"/>
      <c r="NYU104" s="4"/>
      <c r="NYV104" s="4"/>
      <c r="NYW104" s="4"/>
      <c r="NYX104" s="4"/>
      <c r="NYY104" s="4"/>
      <c r="NYZ104" s="4"/>
      <c r="NZA104" s="4"/>
      <c r="NZB104" s="4"/>
      <c r="NZC104" s="4"/>
      <c r="NZD104" s="4"/>
      <c r="NZE104" s="4"/>
      <c r="NZF104" s="4"/>
      <c r="NZG104" s="4"/>
      <c r="NZH104" s="4"/>
      <c r="NZI104" s="4"/>
      <c r="NZJ104" s="4"/>
      <c r="NZK104" s="4"/>
      <c r="NZL104" s="4"/>
      <c r="NZM104" s="4"/>
      <c r="NZN104" s="4"/>
      <c r="NZO104" s="4"/>
      <c r="NZP104" s="4"/>
      <c r="NZQ104" s="4"/>
      <c r="NZR104" s="4"/>
      <c r="NZS104" s="4"/>
      <c r="NZT104" s="4"/>
      <c r="NZU104" s="4"/>
      <c r="NZV104" s="4"/>
      <c r="NZW104" s="4"/>
      <c r="NZX104" s="4"/>
      <c r="NZY104" s="4"/>
      <c r="NZZ104" s="4"/>
      <c r="OAA104" s="4"/>
      <c r="OAB104" s="4"/>
      <c r="OAC104" s="4"/>
      <c r="OAD104" s="4"/>
      <c r="OAE104" s="4"/>
      <c r="OAF104" s="4"/>
      <c r="OAG104" s="4"/>
      <c r="OAH104" s="4"/>
      <c r="OAI104" s="4"/>
      <c r="OAJ104" s="4"/>
      <c r="OAK104" s="4"/>
      <c r="OAL104" s="4"/>
      <c r="OAM104" s="4"/>
      <c r="OAN104" s="4"/>
      <c r="OAO104" s="4"/>
      <c r="OAP104" s="4"/>
      <c r="OAQ104" s="4"/>
      <c r="OAR104" s="4"/>
      <c r="OAS104" s="4"/>
      <c r="OAT104" s="4"/>
      <c r="OAU104" s="4"/>
      <c r="OAV104" s="4"/>
      <c r="OAW104" s="4"/>
      <c r="OAX104" s="4"/>
      <c r="OAY104" s="4"/>
      <c r="OAZ104" s="4"/>
      <c r="OBA104" s="4"/>
      <c r="OBB104" s="4"/>
      <c r="OBC104" s="4"/>
      <c r="OBD104" s="4"/>
      <c r="OBE104" s="4"/>
      <c r="OBF104" s="4"/>
      <c r="OBG104" s="4"/>
      <c r="OBH104" s="4"/>
      <c r="OBI104" s="4"/>
      <c r="OBJ104" s="4"/>
      <c r="OBK104" s="4"/>
      <c r="OBL104" s="4"/>
      <c r="OBM104" s="4"/>
      <c r="OBN104" s="4"/>
      <c r="OBO104" s="4"/>
      <c r="OBP104" s="4"/>
      <c r="OBQ104" s="4"/>
      <c r="OBR104" s="4"/>
      <c r="OBS104" s="4"/>
      <c r="OBT104" s="4"/>
      <c r="OBU104" s="4"/>
      <c r="OBV104" s="4"/>
      <c r="OBW104" s="4"/>
      <c r="OBX104" s="4"/>
      <c r="OBY104" s="4"/>
      <c r="OBZ104" s="4"/>
      <c r="OCA104" s="4"/>
      <c r="OCB104" s="4"/>
      <c r="OCC104" s="4"/>
      <c r="OCD104" s="4"/>
      <c r="OCE104" s="4"/>
      <c r="OCF104" s="4"/>
      <c r="OCG104" s="4"/>
      <c r="OCH104" s="4"/>
      <c r="OCI104" s="4"/>
      <c r="OCJ104" s="4"/>
      <c r="OCK104" s="4"/>
      <c r="OCL104" s="4"/>
      <c r="OCM104" s="4"/>
      <c r="OCN104" s="4"/>
      <c r="OCO104" s="4"/>
      <c r="OCP104" s="4"/>
      <c r="OCQ104" s="4"/>
      <c r="OCR104" s="4"/>
      <c r="OCS104" s="4"/>
      <c r="OCT104" s="4"/>
      <c r="OCU104" s="4"/>
      <c r="OCV104" s="4"/>
      <c r="OCW104" s="4"/>
      <c r="OCX104" s="4"/>
      <c r="OCY104" s="4"/>
      <c r="OCZ104" s="4"/>
      <c r="ODA104" s="4"/>
      <c r="ODB104" s="4"/>
      <c r="ODC104" s="4"/>
      <c r="ODD104" s="4"/>
      <c r="ODE104" s="4"/>
      <c r="ODF104" s="4"/>
      <c r="ODG104" s="4"/>
      <c r="ODH104" s="4"/>
      <c r="ODI104" s="4"/>
      <c r="ODJ104" s="4"/>
      <c r="ODK104" s="4"/>
      <c r="ODL104" s="4"/>
      <c r="ODM104" s="4"/>
      <c r="ODN104" s="4"/>
      <c r="ODO104" s="4"/>
      <c r="ODP104" s="4"/>
      <c r="ODQ104" s="4"/>
      <c r="ODR104" s="4"/>
      <c r="ODS104" s="4"/>
      <c r="ODT104" s="4"/>
      <c r="ODU104" s="4"/>
      <c r="ODV104" s="4"/>
      <c r="ODW104" s="4"/>
      <c r="ODX104" s="4"/>
      <c r="ODY104" s="4"/>
      <c r="ODZ104" s="4"/>
      <c r="OEA104" s="4"/>
      <c r="OEB104" s="4"/>
      <c r="OEC104" s="4"/>
      <c r="OED104" s="4"/>
      <c r="OEE104" s="4"/>
      <c r="OEF104" s="4"/>
      <c r="OEG104" s="4"/>
      <c r="OEH104" s="4"/>
      <c r="OEI104" s="4"/>
      <c r="OEJ104" s="4"/>
      <c r="OEK104" s="4"/>
      <c r="OEL104" s="4"/>
      <c r="OEM104" s="4"/>
      <c r="OEN104" s="4"/>
      <c r="OEO104" s="4"/>
      <c r="OEP104" s="4"/>
      <c r="OEQ104" s="4"/>
      <c r="OER104" s="4"/>
      <c r="OES104" s="4"/>
      <c r="OET104" s="4"/>
      <c r="OEU104" s="4"/>
      <c r="OEV104" s="4"/>
      <c r="OEW104" s="4"/>
      <c r="OEX104" s="4"/>
      <c r="OEY104" s="4"/>
      <c r="OEZ104" s="4"/>
      <c r="OFA104" s="4"/>
      <c r="OFB104" s="4"/>
      <c r="OFC104" s="4"/>
      <c r="OFD104" s="4"/>
      <c r="OFE104" s="4"/>
      <c r="OFF104" s="4"/>
      <c r="OFG104" s="4"/>
      <c r="OFH104" s="4"/>
      <c r="OFI104" s="4"/>
      <c r="OFJ104" s="4"/>
      <c r="OFK104" s="4"/>
      <c r="OFL104" s="4"/>
      <c r="OFM104" s="4"/>
      <c r="OFN104" s="4"/>
      <c r="OFO104" s="4"/>
      <c r="OFP104" s="4"/>
      <c r="OFQ104" s="4"/>
      <c r="OFR104" s="4"/>
      <c r="OFS104" s="4"/>
      <c r="OFT104" s="4"/>
      <c r="OFU104" s="4"/>
      <c r="OFV104" s="4"/>
      <c r="OFW104" s="4"/>
      <c r="OFX104" s="4"/>
      <c r="OFY104" s="4"/>
      <c r="OFZ104" s="4"/>
      <c r="OGA104" s="4"/>
      <c r="OGB104" s="4"/>
      <c r="OGC104" s="4"/>
      <c r="OGD104" s="4"/>
      <c r="OGE104" s="4"/>
      <c r="OGF104" s="4"/>
      <c r="OGG104" s="4"/>
      <c r="OGH104" s="4"/>
      <c r="OGI104" s="4"/>
      <c r="OGJ104" s="4"/>
      <c r="OGK104" s="4"/>
      <c r="OGL104" s="4"/>
      <c r="OGM104" s="4"/>
      <c r="OGN104" s="4"/>
      <c r="OGO104" s="4"/>
      <c r="OGP104" s="4"/>
      <c r="OGQ104" s="4"/>
      <c r="OGR104" s="4"/>
      <c r="OGS104" s="4"/>
      <c r="OGT104" s="4"/>
      <c r="OGU104" s="4"/>
      <c r="OGV104" s="4"/>
      <c r="OGW104" s="4"/>
      <c r="OGX104" s="4"/>
      <c r="OGY104" s="4"/>
      <c r="OGZ104" s="4"/>
      <c r="OHA104" s="4"/>
      <c r="OHB104" s="4"/>
      <c r="OHC104" s="4"/>
      <c r="OHD104" s="4"/>
      <c r="OHE104" s="4"/>
      <c r="OHF104" s="4"/>
      <c r="OHG104" s="4"/>
      <c r="OHH104" s="4"/>
      <c r="OHI104" s="4"/>
      <c r="OHJ104" s="4"/>
      <c r="OHK104" s="4"/>
      <c r="OHL104" s="4"/>
      <c r="OHM104" s="4"/>
      <c r="OHN104" s="4"/>
      <c r="OHO104" s="4"/>
      <c r="OHP104" s="4"/>
      <c r="OHQ104" s="4"/>
      <c r="OHR104" s="4"/>
      <c r="OHS104" s="4"/>
      <c r="OHT104" s="4"/>
      <c r="OHU104" s="4"/>
      <c r="OHV104" s="4"/>
      <c r="OHW104" s="4"/>
      <c r="OHX104" s="4"/>
      <c r="OHY104" s="4"/>
      <c r="OHZ104" s="4"/>
      <c r="OIA104" s="4"/>
      <c r="OIB104" s="4"/>
      <c r="OIC104" s="4"/>
      <c r="OID104" s="4"/>
      <c r="OIE104" s="4"/>
      <c r="OIF104" s="4"/>
      <c r="OIG104" s="4"/>
      <c r="OIH104" s="4"/>
      <c r="OII104" s="4"/>
      <c r="OIJ104" s="4"/>
      <c r="OIK104" s="4"/>
      <c r="OIL104" s="4"/>
      <c r="OIM104" s="4"/>
      <c r="OIN104" s="4"/>
      <c r="OIO104" s="4"/>
      <c r="OIP104" s="4"/>
      <c r="OIQ104" s="4"/>
      <c r="OIR104" s="4"/>
      <c r="OIS104" s="4"/>
      <c r="OIT104" s="4"/>
      <c r="OIU104" s="4"/>
      <c r="OIV104" s="4"/>
      <c r="OIW104" s="4"/>
      <c r="OIX104" s="4"/>
      <c r="OIY104" s="4"/>
      <c r="OIZ104" s="4"/>
      <c r="OJA104" s="4"/>
      <c r="OJB104" s="4"/>
      <c r="OJC104" s="4"/>
      <c r="OJD104" s="4"/>
      <c r="OJE104" s="4"/>
      <c r="OJF104" s="4"/>
      <c r="OJG104" s="4"/>
      <c r="OJH104" s="4"/>
      <c r="OJI104" s="4"/>
      <c r="OJJ104" s="4"/>
      <c r="OJK104" s="4"/>
      <c r="OJL104" s="4"/>
      <c r="OJM104" s="4"/>
      <c r="OJN104" s="4"/>
      <c r="OJO104" s="4"/>
      <c r="OJP104" s="4"/>
      <c r="OJQ104" s="4"/>
      <c r="OJR104" s="4"/>
      <c r="OJS104" s="4"/>
      <c r="OJT104" s="4"/>
      <c r="OJU104" s="4"/>
      <c r="OJV104" s="4"/>
      <c r="OJW104" s="4"/>
      <c r="OJX104" s="4"/>
      <c r="OJY104" s="4"/>
      <c r="OJZ104" s="4"/>
      <c r="OKA104" s="4"/>
      <c r="OKB104" s="4"/>
      <c r="OKC104" s="4"/>
      <c r="OKD104" s="4"/>
      <c r="OKE104" s="4"/>
      <c r="OKF104" s="4"/>
      <c r="OKG104" s="4"/>
      <c r="OKH104" s="4"/>
      <c r="OKI104" s="4"/>
      <c r="OKJ104" s="4"/>
      <c r="OKK104" s="4"/>
      <c r="OKL104" s="4"/>
      <c r="OKM104" s="4"/>
      <c r="OKN104" s="4"/>
      <c r="OKO104" s="4"/>
      <c r="OKP104" s="4"/>
      <c r="OKQ104" s="4"/>
      <c r="OKR104" s="4"/>
      <c r="OKS104" s="4"/>
      <c r="OKT104" s="4"/>
      <c r="OKU104" s="4"/>
      <c r="OKV104" s="4"/>
      <c r="OKW104" s="4"/>
      <c r="OKX104" s="4"/>
      <c r="OKY104" s="4"/>
      <c r="OKZ104" s="4"/>
      <c r="OLA104" s="4"/>
      <c r="OLB104" s="4"/>
      <c r="OLC104" s="4"/>
      <c r="OLD104" s="4"/>
      <c r="OLE104" s="4"/>
      <c r="OLF104" s="4"/>
      <c r="OLG104" s="4"/>
      <c r="OLH104" s="4"/>
      <c r="OLI104" s="4"/>
      <c r="OLJ104" s="4"/>
      <c r="OLK104" s="4"/>
      <c r="OLL104" s="4"/>
      <c r="OLM104" s="4"/>
      <c r="OLN104" s="4"/>
      <c r="OLO104" s="4"/>
      <c r="OLP104" s="4"/>
      <c r="OLQ104" s="4"/>
      <c r="OLR104" s="4"/>
      <c r="OLS104" s="4"/>
      <c r="OLT104" s="4"/>
      <c r="OLU104" s="4"/>
      <c r="OLV104" s="4"/>
      <c r="OLW104" s="4"/>
      <c r="OLX104" s="4"/>
      <c r="OLY104" s="4"/>
      <c r="OLZ104" s="4"/>
      <c r="OMA104" s="4"/>
      <c r="OMB104" s="4"/>
      <c r="OMC104" s="4"/>
      <c r="OMD104" s="4"/>
      <c r="OME104" s="4"/>
      <c r="OMF104" s="4"/>
      <c r="OMG104" s="4"/>
      <c r="OMH104" s="4"/>
      <c r="OMI104" s="4"/>
      <c r="OMJ104" s="4"/>
      <c r="OMK104" s="4"/>
      <c r="OML104" s="4"/>
      <c r="OMM104" s="4"/>
      <c r="OMN104" s="4"/>
      <c r="OMO104" s="4"/>
      <c r="OMP104" s="4"/>
      <c r="OMQ104" s="4"/>
      <c r="OMR104" s="4"/>
      <c r="OMS104" s="4"/>
      <c r="OMT104" s="4"/>
      <c r="OMU104" s="4"/>
      <c r="OMV104" s="4"/>
      <c r="OMW104" s="4"/>
      <c r="OMX104" s="4"/>
      <c r="OMY104" s="4"/>
      <c r="OMZ104" s="4"/>
      <c r="ONA104" s="4"/>
      <c r="ONB104" s="4"/>
      <c r="ONC104" s="4"/>
      <c r="OND104" s="4"/>
      <c r="ONE104" s="4"/>
      <c r="ONF104" s="4"/>
      <c r="ONG104" s="4"/>
      <c r="ONH104" s="4"/>
      <c r="ONI104" s="4"/>
      <c r="ONJ104" s="4"/>
      <c r="ONK104" s="4"/>
      <c r="ONL104" s="4"/>
      <c r="ONM104" s="4"/>
      <c r="ONN104" s="4"/>
      <c r="ONO104" s="4"/>
      <c r="ONP104" s="4"/>
      <c r="ONQ104" s="4"/>
      <c r="ONR104" s="4"/>
      <c r="ONS104" s="4"/>
      <c r="ONT104" s="4"/>
      <c r="ONU104" s="4"/>
      <c r="ONV104" s="4"/>
      <c r="ONW104" s="4"/>
      <c r="ONX104" s="4"/>
      <c r="ONY104" s="4"/>
      <c r="ONZ104" s="4"/>
      <c r="OOA104" s="4"/>
      <c r="OOB104" s="4"/>
      <c r="OOC104" s="4"/>
      <c r="OOD104" s="4"/>
      <c r="OOE104" s="4"/>
      <c r="OOF104" s="4"/>
      <c r="OOG104" s="4"/>
      <c r="OOH104" s="4"/>
      <c r="OOI104" s="4"/>
      <c r="OOJ104" s="4"/>
      <c r="OOK104" s="4"/>
      <c r="OOL104" s="4"/>
      <c r="OOM104" s="4"/>
      <c r="OON104" s="4"/>
      <c r="OOO104" s="4"/>
      <c r="OOP104" s="4"/>
      <c r="OOQ104" s="4"/>
      <c r="OOR104" s="4"/>
      <c r="OOS104" s="4"/>
      <c r="OOT104" s="4"/>
      <c r="OOU104" s="4"/>
      <c r="OOV104" s="4"/>
      <c r="OOW104" s="4"/>
      <c r="OOX104" s="4"/>
      <c r="OOY104" s="4"/>
      <c r="OOZ104" s="4"/>
      <c r="OPA104" s="4"/>
      <c r="OPB104" s="4"/>
      <c r="OPC104" s="4"/>
      <c r="OPD104" s="4"/>
      <c r="OPE104" s="4"/>
      <c r="OPF104" s="4"/>
      <c r="OPG104" s="4"/>
      <c r="OPH104" s="4"/>
      <c r="OPI104" s="4"/>
      <c r="OPJ104" s="4"/>
      <c r="OPK104" s="4"/>
      <c r="OPL104" s="4"/>
      <c r="OPM104" s="4"/>
      <c r="OPN104" s="4"/>
      <c r="OPO104" s="4"/>
      <c r="OPP104" s="4"/>
      <c r="OPQ104" s="4"/>
      <c r="OPR104" s="4"/>
      <c r="OPS104" s="4"/>
      <c r="OPT104" s="4"/>
      <c r="OPU104" s="4"/>
      <c r="OPV104" s="4"/>
      <c r="OPW104" s="4"/>
      <c r="OPX104" s="4"/>
      <c r="OPY104" s="4"/>
      <c r="OPZ104" s="4"/>
      <c r="OQA104" s="4"/>
      <c r="OQB104" s="4"/>
      <c r="OQC104" s="4"/>
      <c r="OQD104" s="4"/>
      <c r="OQE104" s="4"/>
      <c r="OQF104" s="4"/>
      <c r="OQG104" s="4"/>
      <c r="OQH104" s="4"/>
      <c r="OQI104" s="4"/>
      <c r="OQJ104" s="4"/>
      <c r="OQK104" s="4"/>
      <c r="OQL104" s="4"/>
      <c r="OQM104" s="4"/>
      <c r="OQN104" s="4"/>
      <c r="OQO104" s="4"/>
      <c r="OQP104" s="4"/>
      <c r="OQQ104" s="4"/>
      <c r="OQR104" s="4"/>
      <c r="OQS104" s="4"/>
      <c r="OQT104" s="4"/>
      <c r="OQU104" s="4"/>
      <c r="OQV104" s="4"/>
      <c r="OQW104" s="4"/>
      <c r="OQX104" s="4"/>
      <c r="OQY104" s="4"/>
      <c r="OQZ104" s="4"/>
      <c r="ORA104" s="4"/>
      <c r="ORB104" s="4"/>
      <c r="ORC104" s="4"/>
      <c r="ORD104" s="4"/>
      <c r="ORE104" s="4"/>
      <c r="ORF104" s="4"/>
      <c r="ORG104" s="4"/>
      <c r="ORH104" s="4"/>
      <c r="ORI104" s="4"/>
      <c r="ORJ104" s="4"/>
      <c r="ORK104" s="4"/>
      <c r="ORL104" s="4"/>
      <c r="ORM104" s="4"/>
      <c r="ORN104" s="4"/>
      <c r="ORO104" s="4"/>
      <c r="ORP104" s="4"/>
      <c r="ORQ104" s="4"/>
      <c r="ORR104" s="4"/>
      <c r="ORS104" s="4"/>
      <c r="ORT104" s="4"/>
      <c r="ORU104" s="4"/>
      <c r="ORV104" s="4"/>
      <c r="ORW104" s="4"/>
      <c r="ORX104" s="4"/>
      <c r="ORY104" s="4"/>
      <c r="ORZ104" s="4"/>
      <c r="OSA104" s="4"/>
      <c r="OSB104" s="4"/>
      <c r="OSC104" s="4"/>
      <c r="OSD104" s="4"/>
      <c r="OSE104" s="4"/>
      <c r="OSF104" s="4"/>
      <c r="OSG104" s="4"/>
      <c r="OSH104" s="4"/>
      <c r="OSI104" s="4"/>
      <c r="OSJ104" s="4"/>
      <c r="OSK104" s="4"/>
      <c r="OSL104" s="4"/>
      <c r="OSM104" s="4"/>
      <c r="OSN104" s="4"/>
      <c r="OSO104" s="4"/>
      <c r="OSP104" s="4"/>
      <c r="OSQ104" s="4"/>
      <c r="OSR104" s="4"/>
      <c r="OSS104" s="4"/>
      <c r="OST104" s="4"/>
      <c r="OSU104" s="4"/>
      <c r="OSV104" s="4"/>
      <c r="OSW104" s="4"/>
      <c r="OSX104" s="4"/>
      <c r="OSY104" s="4"/>
      <c r="OSZ104" s="4"/>
      <c r="OTA104" s="4"/>
      <c r="OTB104" s="4"/>
      <c r="OTC104" s="4"/>
      <c r="OTD104" s="4"/>
      <c r="OTE104" s="4"/>
      <c r="OTF104" s="4"/>
      <c r="OTG104" s="4"/>
      <c r="OTH104" s="4"/>
      <c r="OTI104" s="4"/>
      <c r="OTJ104" s="4"/>
      <c r="OTK104" s="4"/>
      <c r="OTL104" s="4"/>
      <c r="OTM104" s="4"/>
      <c r="OTN104" s="4"/>
      <c r="OTO104" s="4"/>
      <c r="OTP104" s="4"/>
      <c r="OTQ104" s="4"/>
      <c r="OTR104" s="4"/>
      <c r="OTS104" s="4"/>
      <c r="OTT104" s="4"/>
      <c r="OTU104" s="4"/>
      <c r="OTV104" s="4"/>
      <c r="OTW104" s="4"/>
      <c r="OTX104" s="4"/>
      <c r="OTY104" s="4"/>
      <c r="OTZ104" s="4"/>
      <c r="OUA104" s="4"/>
      <c r="OUB104" s="4"/>
      <c r="OUC104" s="4"/>
      <c r="OUD104" s="4"/>
      <c r="OUE104" s="4"/>
      <c r="OUF104" s="4"/>
      <c r="OUG104" s="4"/>
      <c r="OUH104" s="4"/>
      <c r="OUI104" s="4"/>
      <c r="OUJ104" s="4"/>
      <c r="OUK104" s="4"/>
      <c r="OUL104" s="4"/>
      <c r="OUM104" s="4"/>
      <c r="OUN104" s="4"/>
      <c r="OUO104" s="4"/>
      <c r="OUP104" s="4"/>
      <c r="OUQ104" s="4"/>
      <c r="OUR104" s="4"/>
      <c r="OUS104" s="4"/>
      <c r="OUT104" s="4"/>
      <c r="OUU104" s="4"/>
      <c r="OUV104" s="4"/>
      <c r="OUW104" s="4"/>
      <c r="OUX104" s="4"/>
      <c r="OUY104" s="4"/>
      <c r="OUZ104" s="4"/>
      <c r="OVA104" s="4"/>
      <c r="OVB104" s="4"/>
      <c r="OVC104" s="4"/>
      <c r="OVD104" s="4"/>
      <c r="OVE104" s="4"/>
      <c r="OVF104" s="4"/>
      <c r="OVG104" s="4"/>
      <c r="OVH104" s="4"/>
      <c r="OVI104" s="4"/>
      <c r="OVJ104" s="4"/>
      <c r="OVK104" s="4"/>
      <c r="OVL104" s="4"/>
      <c r="OVM104" s="4"/>
      <c r="OVN104" s="4"/>
      <c r="OVO104" s="4"/>
      <c r="OVP104" s="4"/>
      <c r="OVQ104" s="4"/>
      <c r="OVR104" s="4"/>
      <c r="OVS104" s="4"/>
      <c r="OVT104" s="4"/>
      <c r="OVU104" s="4"/>
      <c r="OVV104" s="4"/>
      <c r="OVW104" s="4"/>
      <c r="OVX104" s="4"/>
      <c r="OVY104" s="4"/>
      <c r="OVZ104" s="4"/>
      <c r="OWA104" s="4"/>
      <c r="OWB104" s="4"/>
      <c r="OWC104" s="4"/>
      <c r="OWD104" s="4"/>
      <c r="OWE104" s="4"/>
      <c r="OWF104" s="4"/>
      <c r="OWG104" s="4"/>
      <c r="OWH104" s="4"/>
      <c r="OWI104" s="4"/>
      <c r="OWJ104" s="4"/>
      <c r="OWK104" s="4"/>
      <c r="OWL104" s="4"/>
      <c r="OWM104" s="4"/>
      <c r="OWN104" s="4"/>
      <c r="OWO104" s="4"/>
      <c r="OWP104" s="4"/>
      <c r="OWQ104" s="4"/>
      <c r="OWR104" s="4"/>
      <c r="OWS104" s="4"/>
      <c r="OWT104" s="4"/>
      <c r="OWU104" s="4"/>
      <c r="OWV104" s="4"/>
      <c r="OWW104" s="4"/>
      <c r="OWX104" s="4"/>
      <c r="OWY104" s="4"/>
      <c r="OWZ104" s="4"/>
      <c r="OXA104" s="4"/>
      <c r="OXB104" s="4"/>
      <c r="OXC104" s="4"/>
      <c r="OXD104" s="4"/>
      <c r="OXE104" s="4"/>
      <c r="OXF104" s="4"/>
      <c r="OXG104" s="4"/>
      <c r="OXH104" s="4"/>
      <c r="OXI104" s="4"/>
      <c r="OXJ104" s="4"/>
      <c r="OXK104" s="4"/>
      <c r="OXL104" s="4"/>
      <c r="OXM104" s="4"/>
      <c r="OXN104" s="4"/>
      <c r="OXO104" s="4"/>
      <c r="OXP104" s="4"/>
      <c r="OXQ104" s="4"/>
      <c r="OXR104" s="4"/>
      <c r="OXS104" s="4"/>
      <c r="OXT104" s="4"/>
      <c r="OXU104" s="4"/>
      <c r="OXV104" s="4"/>
      <c r="OXW104" s="4"/>
      <c r="OXX104" s="4"/>
      <c r="OXY104" s="4"/>
      <c r="OXZ104" s="4"/>
      <c r="OYA104" s="4"/>
      <c r="OYB104" s="4"/>
      <c r="OYC104" s="4"/>
      <c r="OYD104" s="4"/>
      <c r="OYE104" s="4"/>
      <c r="OYF104" s="4"/>
      <c r="OYG104" s="4"/>
      <c r="OYH104" s="4"/>
      <c r="OYI104" s="4"/>
      <c r="OYJ104" s="4"/>
      <c r="OYK104" s="4"/>
      <c r="OYL104" s="4"/>
      <c r="OYM104" s="4"/>
      <c r="OYN104" s="4"/>
      <c r="OYO104" s="4"/>
      <c r="OYP104" s="4"/>
      <c r="OYQ104" s="4"/>
      <c r="OYR104" s="4"/>
      <c r="OYS104" s="4"/>
      <c r="OYT104" s="4"/>
      <c r="OYU104" s="4"/>
      <c r="OYV104" s="4"/>
      <c r="OYW104" s="4"/>
      <c r="OYX104" s="4"/>
      <c r="OYY104" s="4"/>
      <c r="OYZ104" s="4"/>
      <c r="OZA104" s="4"/>
      <c r="OZB104" s="4"/>
      <c r="OZC104" s="4"/>
      <c r="OZD104" s="4"/>
      <c r="OZE104" s="4"/>
      <c r="OZF104" s="4"/>
      <c r="OZG104" s="4"/>
      <c r="OZH104" s="4"/>
      <c r="OZI104" s="4"/>
      <c r="OZJ104" s="4"/>
      <c r="OZK104" s="4"/>
      <c r="OZL104" s="4"/>
      <c r="OZM104" s="4"/>
      <c r="OZN104" s="4"/>
      <c r="OZO104" s="4"/>
      <c r="OZP104" s="4"/>
      <c r="OZQ104" s="4"/>
      <c r="OZR104" s="4"/>
      <c r="OZS104" s="4"/>
      <c r="OZT104" s="4"/>
      <c r="OZU104" s="4"/>
      <c r="OZV104" s="4"/>
      <c r="OZW104" s="4"/>
      <c r="OZX104" s="4"/>
      <c r="OZY104" s="4"/>
      <c r="OZZ104" s="4"/>
      <c r="PAA104" s="4"/>
      <c r="PAB104" s="4"/>
      <c r="PAC104" s="4"/>
      <c r="PAD104" s="4"/>
      <c r="PAE104" s="4"/>
      <c r="PAF104" s="4"/>
      <c r="PAG104" s="4"/>
      <c r="PAH104" s="4"/>
      <c r="PAI104" s="4"/>
      <c r="PAJ104" s="4"/>
      <c r="PAK104" s="4"/>
      <c r="PAL104" s="4"/>
      <c r="PAM104" s="4"/>
      <c r="PAN104" s="4"/>
      <c r="PAO104" s="4"/>
      <c r="PAP104" s="4"/>
      <c r="PAQ104" s="4"/>
      <c r="PAR104" s="4"/>
      <c r="PAS104" s="4"/>
      <c r="PAT104" s="4"/>
      <c r="PAU104" s="4"/>
      <c r="PAV104" s="4"/>
      <c r="PAW104" s="4"/>
      <c r="PAX104" s="4"/>
      <c r="PAY104" s="4"/>
      <c r="PAZ104" s="4"/>
      <c r="PBA104" s="4"/>
      <c r="PBB104" s="4"/>
      <c r="PBC104" s="4"/>
      <c r="PBD104" s="4"/>
      <c r="PBE104" s="4"/>
      <c r="PBF104" s="4"/>
      <c r="PBG104" s="4"/>
      <c r="PBH104" s="4"/>
      <c r="PBI104" s="4"/>
      <c r="PBJ104" s="4"/>
      <c r="PBK104" s="4"/>
      <c r="PBL104" s="4"/>
      <c r="PBM104" s="4"/>
      <c r="PBN104" s="4"/>
      <c r="PBO104" s="4"/>
      <c r="PBP104" s="4"/>
      <c r="PBQ104" s="4"/>
      <c r="PBR104" s="4"/>
      <c r="PBS104" s="4"/>
      <c r="PBT104" s="4"/>
      <c r="PBU104" s="4"/>
      <c r="PBV104" s="4"/>
      <c r="PBW104" s="4"/>
      <c r="PBX104" s="4"/>
      <c r="PBY104" s="4"/>
      <c r="PBZ104" s="4"/>
      <c r="PCA104" s="4"/>
      <c r="PCB104" s="4"/>
      <c r="PCC104" s="4"/>
      <c r="PCD104" s="4"/>
      <c r="PCE104" s="4"/>
      <c r="PCF104" s="4"/>
      <c r="PCG104" s="4"/>
      <c r="PCH104" s="4"/>
      <c r="PCI104" s="4"/>
      <c r="PCJ104" s="4"/>
      <c r="PCK104" s="4"/>
      <c r="PCL104" s="4"/>
      <c r="PCM104" s="4"/>
      <c r="PCN104" s="4"/>
      <c r="PCO104" s="4"/>
      <c r="PCP104" s="4"/>
      <c r="PCQ104" s="4"/>
      <c r="PCR104" s="4"/>
      <c r="PCS104" s="4"/>
      <c r="PCT104" s="4"/>
      <c r="PCU104" s="4"/>
      <c r="PCV104" s="4"/>
      <c r="PCW104" s="4"/>
      <c r="PCX104" s="4"/>
      <c r="PCY104" s="4"/>
      <c r="PCZ104" s="4"/>
      <c r="PDA104" s="4"/>
      <c r="PDB104" s="4"/>
      <c r="PDC104" s="4"/>
      <c r="PDD104" s="4"/>
      <c r="PDE104" s="4"/>
      <c r="PDF104" s="4"/>
      <c r="PDG104" s="4"/>
      <c r="PDH104" s="4"/>
      <c r="PDI104" s="4"/>
      <c r="PDJ104" s="4"/>
      <c r="PDK104" s="4"/>
      <c r="PDL104" s="4"/>
      <c r="PDM104" s="4"/>
      <c r="PDN104" s="4"/>
      <c r="PDO104" s="4"/>
      <c r="PDP104" s="4"/>
      <c r="PDQ104" s="4"/>
      <c r="PDR104" s="4"/>
      <c r="PDS104" s="4"/>
      <c r="PDT104" s="4"/>
      <c r="PDU104" s="4"/>
      <c r="PDV104" s="4"/>
      <c r="PDW104" s="4"/>
      <c r="PDX104" s="4"/>
      <c r="PDY104" s="4"/>
      <c r="PDZ104" s="4"/>
      <c r="PEA104" s="4"/>
      <c r="PEB104" s="4"/>
      <c r="PEC104" s="4"/>
      <c r="PED104" s="4"/>
      <c r="PEE104" s="4"/>
      <c r="PEF104" s="4"/>
      <c r="PEG104" s="4"/>
      <c r="PEH104" s="4"/>
      <c r="PEI104" s="4"/>
      <c r="PEJ104" s="4"/>
      <c r="PEK104" s="4"/>
      <c r="PEL104" s="4"/>
      <c r="PEM104" s="4"/>
      <c r="PEN104" s="4"/>
      <c r="PEO104" s="4"/>
      <c r="PEP104" s="4"/>
      <c r="PEQ104" s="4"/>
      <c r="PER104" s="4"/>
      <c r="PES104" s="4"/>
      <c r="PET104" s="4"/>
      <c r="PEU104" s="4"/>
      <c r="PEV104" s="4"/>
      <c r="PEW104" s="4"/>
      <c r="PEX104" s="4"/>
      <c r="PEY104" s="4"/>
      <c r="PEZ104" s="4"/>
      <c r="PFA104" s="4"/>
      <c r="PFB104" s="4"/>
      <c r="PFC104" s="4"/>
      <c r="PFD104" s="4"/>
      <c r="PFE104" s="4"/>
      <c r="PFF104" s="4"/>
      <c r="PFG104" s="4"/>
      <c r="PFH104" s="4"/>
      <c r="PFI104" s="4"/>
      <c r="PFJ104" s="4"/>
      <c r="PFK104" s="4"/>
      <c r="PFL104" s="4"/>
      <c r="PFM104" s="4"/>
      <c r="PFN104" s="4"/>
      <c r="PFO104" s="4"/>
      <c r="PFP104" s="4"/>
      <c r="PFQ104" s="4"/>
      <c r="PFR104" s="4"/>
      <c r="PFS104" s="4"/>
      <c r="PFT104" s="4"/>
      <c r="PFU104" s="4"/>
      <c r="PFV104" s="4"/>
      <c r="PFW104" s="4"/>
      <c r="PFX104" s="4"/>
      <c r="PFY104" s="4"/>
      <c r="PFZ104" s="4"/>
      <c r="PGA104" s="4"/>
      <c r="PGB104" s="4"/>
      <c r="PGC104" s="4"/>
      <c r="PGD104" s="4"/>
      <c r="PGE104" s="4"/>
      <c r="PGF104" s="4"/>
      <c r="PGG104" s="4"/>
      <c r="PGH104" s="4"/>
      <c r="PGI104" s="4"/>
      <c r="PGJ104" s="4"/>
      <c r="PGK104" s="4"/>
      <c r="PGL104" s="4"/>
      <c r="PGM104" s="4"/>
      <c r="PGN104" s="4"/>
      <c r="PGO104" s="4"/>
      <c r="PGP104" s="4"/>
      <c r="PGQ104" s="4"/>
      <c r="PGR104" s="4"/>
      <c r="PGS104" s="4"/>
      <c r="PGT104" s="4"/>
      <c r="PGU104" s="4"/>
      <c r="PGV104" s="4"/>
      <c r="PGW104" s="4"/>
      <c r="PGX104" s="4"/>
      <c r="PGY104" s="4"/>
      <c r="PGZ104" s="4"/>
      <c r="PHA104" s="4"/>
      <c r="PHB104" s="4"/>
      <c r="PHC104" s="4"/>
      <c r="PHD104" s="4"/>
      <c r="PHE104" s="4"/>
      <c r="PHF104" s="4"/>
      <c r="PHG104" s="4"/>
      <c r="PHH104" s="4"/>
      <c r="PHI104" s="4"/>
      <c r="PHJ104" s="4"/>
      <c r="PHK104" s="4"/>
      <c r="PHL104" s="4"/>
      <c r="PHM104" s="4"/>
      <c r="PHN104" s="4"/>
      <c r="PHO104" s="4"/>
      <c r="PHP104" s="4"/>
      <c r="PHQ104" s="4"/>
      <c r="PHR104" s="4"/>
      <c r="PHS104" s="4"/>
      <c r="PHT104" s="4"/>
      <c r="PHU104" s="4"/>
      <c r="PHV104" s="4"/>
      <c r="PHW104" s="4"/>
      <c r="PHX104" s="4"/>
      <c r="PHY104" s="4"/>
      <c r="PHZ104" s="4"/>
      <c r="PIA104" s="4"/>
      <c r="PIB104" s="4"/>
      <c r="PIC104" s="4"/>
      <c r="PID104" s="4"/>
      <c r="PIE104" s="4"/>
      <c r="PIF104" s="4"/>
      <c r="PIG104" s="4"/>
      <c r="PIH104" s="4"/>
      <c r="PII104" s="4"/>
      <c r="PIJ104" s="4"/>
      <c r="PIK104" s="4"/>
      <c r="PIL104" s="4"/>
      <c r="PIM104" s="4"/>
      <c r="PIN104" s="4"/>
      <c r="PIO104" s="4"/>
      <c r="PIP104" s="4"/>
      <c r="PIQ104" s="4"/>
      <c r="PIR104" s="4"/>
      <c r="PIS104" s="4"/>
      <c r="PIT104" s="4"/>
      <c r="PIU104" s="4"/>
      <c r="PIV104" s="4"/>
      <c r="PIW104" s="4"/>
      <c r="PIX104" s="4"/>
      <c r="PIY104" s="4"/>
      <c r="PIZ104" s="4"/>
      <c r="PJA104" s="4"/>
      <c r="PJB104" s="4"/>
      <c r="PJC104" s="4"/>
      <c r="PJD104" s="4"/>
      <c r="PJE104" s="4"/>
      <c r="PJF104" s="4"/>
      <c r="PJG104" s="4"/>
      <c r="PJH104" s="4"/>
      <c r="PJI104" s="4"/>
      <c r="PJJ104" s="4"/>
      <c r="PJK104" s="4"/>
      <c r="PJL104" s="4"/>
      <c r="PJM104" s="4"/>
      <c r="PJN104" s="4"/>
      <c r="PJO104" s="4"/>
      <c r="PJP104" s="4"/>
      <c r="PJQ104" s="4"/>
      <c r="PJR104" s="4"/>
      <c r="PJS104" s="4"/>
      <c r="PJT104" s="4"/>
      <c r="PJU104" s="4"/>
      <c r="PJV104" s="4"/>
      <c r="PJW104" s="4"/>
      <c r="PJX104" s="4"/>
      <c r="PJY104" s="4"/>
      <c r="PJZ104" s="4"/>
      <c r="PKA104" s="4"/>
      <c r="PKB104" s="4"/>
      <c r="PKC104" s="4"/>
      <c r="PKD104" s="4"/>
      <c r="PKE104" s="4"/>
      <c r="PKF104" s="4"/>
      <c r="PKG104" s="4"/>
      <c r="PKH104" s="4"/>
      <c r="PKI104" s="4"/>
      <c r="PKJ104" s="4"/>
      <c r="PKK104" s="4"/>
      <c r="PKL104" s="4"/>
      <c r="PKM104" s="4"/>
      <c r="PKN104" s="4"/>
      <c r="PKO104" s="4"/>
      <c r="PKP104" s="4"/>
      <c r="PKQ104" s="4"/>
      <c r="PKR104" s="4"/>
      <c r="PKS104" s="4"/>
      <c r="PKT104" s="4"/>
      <c r="PKU104" s="4"/>
      <c r="PKV104" s="4"/>
      <c r="PKW104" s="4"/>
      <c r="PKX104" s="4"/>
      <c r="PKY104" s="4"/>
      <c r="PKZ104" s="4"/>
      <c r="PLA104" s="4"/>
      <c r="PLB104" s="4"/>
      <c r="PLC104" s="4"/>
      <c r="PLD104" s="4"/>
      <c r="PLE104" s="4"/>
      <c r="PLF104" s="4"/>
      <c r="PLG104" s="4"/>
      <c r="PLH104" s="4"/>
      <c r="PLI104" s="4"/>
      <c r="PLJ104" s="4"/>
      <c r="PLK104" s="4"/>
      <c r="PLL104" s="4"/>
      <c r="PLM104" s="4"/>
      <c r="PLN104" s="4"/>
      <c r="PLO104" s="4"/>
      <c r="PLP104" s="4"/>
      <c r="PLQ104" s="4"/>
      <c r="PLR104" s="4"/>
      <c r="PLS104" s="4"/>
      <c r="PLT104" s="4"/>
      <c r="PLU104" s="4"/>
      <c r="PLV104" s="4"/>
      <c r="PLW104" s="4"/>
      <c r="PLX104" s="4"/>
      <c r="PLY104" s="4"/>
      <c r="PLZ104" s="4"/>
      <c r="PMA104" s="4"/>
      <c r="PMB104" s="4"/>
      <c r="PMC104" s="4"/>
      <c r="PMD104" s="4"/>
      <c r="PME104" s="4"/>
      <c r="PMF104" s="4"/>
      <c r="PMG104" s="4"/>
      <c r="PMH104" s="4"/>
      <c r="PMI104" s="4"/>
      <c r="PMJ104" s="4"/>
      <c r="PMK104" s="4"/>
      <c r="PML104" s="4"/>
      <c r="PMM104" s="4"/>
      <c r="PMN104" s="4"/>
      <c r="PMO104" s="4"/>
      <c r="PMP104" s="4"/>
      <c r="PMQ104" s="4"/>
      <c r="PMR104" s="4"/>
      <c r="PMS104" s="4"/>
      <c r="PMT104" s="4"/>
      <c r="PMU104" s="4"/>
      <c r="PMV104" s="4"/>
      <c r="PMW104" s="4"/>
      <c r="PMX104" s="4"/>
      <c r="PMY104" s="4"/>
      <c r="PMZ104" s="4"/>
      <c r="PNA104" s="4"/>
      <c r="PNB104" s="4"/>
      <c r="PNC104" s="4"/>
      <c r="PND104" s="4"/>
      <c r="PNE104" s="4"/>
      <c r="PNF104" s="4"/>
      <c r="PNG104" s="4"/>
      <c r="PNH104" s="4"/>
      <c r="PNI104" s="4"/>
      <c r="PNJ104" s="4"/>
      <c r="PNK104" s="4"/>
      <c r="PNL104" s="4"/>
      <c r="PNM104" s="4"/>
      <c r="PNN104" s="4"/>
      <c r="PNO104" s="4"/>
      <c r="PNP104" s="4"/>
      <c r="PNQ104" s="4"/>
      <c r="PNR104" s="4"/>
      <c r="PNS104" s="4"/>
      <c r="PNT104" s="4"/>
      <c r="PNU104" s="4"/>
      <c r="PNV104" s="4"/>
      <c r="PNW104" s="4"/>
      <c r="PNX104" s="4"/>
      <c r="PNY104" s="4"/>
      <c r="PNZ104" s="4"/>
      <c r="POA104" s="4"/>
      <c r="POB104" s="4"/>
      <c r="POC104" s="4"/>
      <c r="POD104" s="4"/>
      <c r="POE104" s="4"/>
      <c r="POF104" s="4"/>
      <c r="POG104" s="4"/>
      <c r="POH104" s="4"/>
      <c r="POI104" s="4"/>
      <c r="POJ104" s="4"/>
      <c r="POK104" s="4"/>
      <c r="POL104" s="4"/>
      <c r="POM104" s="4"/>
      <c r="PON104" s="4"/>
      <c r="POO104" s="4"/>
      <c r="POP104" s="4"/>
      <c r="POQ104" s="4"/>
      <c r="POR104" s="4"/>
      <c r="POS104" s="4"/>
      <c r="POT104" s="4"/>
      <c r="POU104" s="4"/>
      <c r="POV104" s="4"/>
      <c r="POW104" s="4"/>
      <c r="POX104" s="4"/>
      <c r="POY104" s="4"/>
      <c r="POZ104" s="4"/>
      <c r="PPA104" s="4"/>
      <c r="PPB104" s="4"/>
      <c r="PPC104" s="4"/>
      <c r="PPD104" s="4"/>
      <c r="PPE104" s="4"/>
      <c r="PPF104" s="4"/>
      <c r="PPG104" s="4"/>
      <c r="PPH104" s="4"/>
      <c r="PPI104" s="4"/>
      <c r="PPJ104" s="4"/>
      <c r="PPK104" s="4"/>
      <c r="PPL104" s="4"/>
      <c r="PPM104" s="4"/>
      <c r="PPN104" s="4"/>
      <c r="PPO104" s="4"/>
      <c r="PPP104" s="4"/>
      <c r="PPQ104" s="4"/>
      <c r="PPR104" s="4"/>
      <c r="PPS104" s="4"/>
      <c r="PPT104" s="4"/>
      <c r="PPU104" s="4"/>
      <c r="PPV104" s="4"/>
      <c r="PPW104" s="4"/>
      <c r="PPX104" s="4"/>
      <c r="PPY104" s="4"/>
      <c r="PPZ104" s="4"/>
      <c r="PQA104" s="4"/>
      <c r="PQB104" s="4"/>
      <c r="PQC104" s="4"/>
      <c r="PQD104" s="4"/>
      <c r="PQE104" s="4"/>
      <c r="PQF104" s="4"/>
      <c r="PQG104" s="4"/>
      <c r="PQH104" s="4"/>
      <c r="PQI104" s="4"/>
      <c r="PQJ104" s="4"/>
      <c r="PQK104" s="4"/>
      <c r="PQL104" s="4"/>
      <c r="PQM104" s="4"/>
      <c r="PQN104" s="4"/>
      <c r="PQO104" s="4"/>
      <c r="PQP104" s="4"/>
      <c r="PQQ104" s="4"/>
      <c r="PQR104" s="4"/>
      <c r="PQS104" s="4"/>
      <c r="PQT104" s="4"/>
      <c r="PQU104" s="4"/>
      <c r="PQV104" s="4"/>
      <c r="PQW104" s="4"/>
      <c r="PQX104" s="4"/>
      <c r="PQY104" s="4"/>
      <c r="PQZ104" s="4"/>
      <c r="PRA104" s="4"/>
      <c r="PRB104" s="4"/>
      <c r="PRC104" s="4"/>
      <c r="PRD104" s="4"/>
      <c r="PRE104" s="4"/>
      <c r="PRF104" s="4"/>
      <c r="PRG104" s="4"/>
      <c r="PRH104" s="4"/>
      <c r="PRI104" s="4"/>
      <c r="PRJ104" s="4"/>
      <c r="PRK104" s="4"/>
      <c r="PRL104" s="4"/>
      <c r="PRM104" s="4"/>
      <c r="PRN104" s="4"/>
      <c r="PRO104" s="4"/>
      <c r="PRP104" s="4"/>
      <c r="PRQ104" s="4"/>
      <c r="PRR104" s="4"/>
      <c r="PRS104" s="4"/>
      <c r="PRT104" s="4"/>
      <c r="PRU104" s="4"/>
      <c r="PRV104" s="4"/>
      <c r="PRW104" s="4"/>
      <c r="PRX104" s="4"/>
      <c r="PRY104" s="4"/>
      <c r="PRZ104" s="4"/>
      <c r="PSA104" s="4"/>
      <c r="PSB104" s="4"/>
      <c r="PSC104" s="4"/>
      <c r="PSD104" s="4"/>
      <c r="PSE104" s="4"/>
      <c r="PSF104" s="4"/>
      <c r="PSG104" s="4"/>
      <c r="PSH104" s="4"/>
      <c r="PSI104" s="4"/>
      <c r="PSJ104" s="4"/>
      <c r="PSK104" s="4"/>
      <c r="PSL104" s="4"/>
      <c r="PSM104" s="4"/>
      <c r="PSN104" s="4"/>
      <c r="PSO104" s="4"/>
      <c r="PSP104" s="4"/>
      <c r="PSQ104" s="4"/>
      <c r="PSR104" s="4"/>
      <c r="PSS104" s="4"/>
      <c r="PST104" s="4"/>
      <c r="PSU104" s="4"/>
      <c r="PSV104" s="4"/>
      <c r="PSW104" s="4"/>
      <c r="PSX104" s="4"/>
      <c r="PSY104" s="4"/>
      <c r="PSZ104" s="4"/>
      <c r="PTA104" s="4"/>
      <c r="PTB104" s="4"/>
      <c r="PTC104" s="4"/>
      <c r="PTD104" s="4"/>
      <c r="PTE104" s="4"/>
      <c r="PTF104" s="4"/>
      <c r="PTG104" s="4"/>
      <c r="PTH104" s="4"/>
      <c r="PTI104" s="4"/>
      <c r="PTJ104" s="4"/>
      <c r="PTK104" s="4"/>
      <c r="PTL104" s="4"/>
      <c r="PTM104" s="4"/>
      <c r="PTN104" s="4"/>
      <c r="PTO104" s="4"/>
      <c r="PTP104" s="4"/>
      <c r="PTQ104" s="4"/>
      <c r="PTR104" s="4"/>
      <c r="PTS104" s="4"/>
      <c r="PTT104" s="4"/>
      <c r="PTU104" s="4"/>
      <c r="PTV104" s="4"/>
      <c r="PTW104" s="4"/>
      <c r="PTX104" s="4"/>
      <c r="PTY104" s="4"/>
      <c r="PTZ104" s="4"/>
      <c r="PUA104" s="4"/>
      <c r="PUB104" s="4"/>
      <c r="PUC104" s="4"/>
      <c r="PUD104" s="4"/>
      <c r="PUE104" s="4"/>
      <c r="PUF104" s="4"/>
      <c r="PUG104" s="4"/>
      <c r="PUH104" s="4"/>
      <c r="PUI104" s="4"/>
      <c r="PUJ104" s="4"/>
      <c r="PUK104" s="4"/>
      <c r="PUL104" s="4"/>
      <c r="PUM104" s="4"/>
      <c r="PUN104" s="4"/>
      <c r="PUO104" s="4"/>
      <c r="PUP104" s="4"/>
      <c r="PUQ104" s="4"/>
      <c r="PUR104" s="4"/>
      <c r="PUS104" s="4"/>
      <c r="PUT104" s="4"/>
      <c r="PUU104" s="4"/>
      <c r="PUV104" s="4"/>
      <c r="PUW104" s="4"/>
      <c r="PUX104" s="4"/>
      <c r="PUY104" s="4"/>
      <c r="PUZ104" s="4"/>
      <c r="PVA104" s="4"/>
      <c r="PVB104" s="4"/>
      <c r="PVC104" s="4"/>
      <c r="PVD104" s="4"/>
      <c r="PVE104" s="4"/>
      <c r="PVF104" s="4"/>
      <c r="PVG104" s="4"/>
      <c r="PVH104" s="4"/>
      <c r="PVI104" s="4"/>
      <c r="PVJ104" s="4"/>
      <c r="PVK104" s="4"/>
      <c r="PVL104" s="4"/>
      <c r="PVM104" s="4"/>
      <c r="PVN104" s="4"/>
      <c r="PVO104" s="4"/>
      <c r="PVP104" s="4"/>
      <c r="PVQ104" s="4"/>
      <c r="PVR104" s="4"/>
      <c r="PVS104" s="4"/>
      <c r="PVT104" s="4"/>
      <c r="PVU104" s="4"/>
      <c r="PVV104" s="4"/>
      <c r="PVW104" s="4"/>
      <c r="PVX104" s="4"/>
      <c r="PVY104" s="4"/>
      <c r="PVZ104" s="4"/>
      <c r="PWA104" s="4"/>
      <c r="PWB104" s="4"/>
      <c r="PWC104" s="4"/>
      <c r="PWD104" s="4"/>
      <c r="PWE104" s="4"/>
      <c r="PWF104" s="4"/>
      <c r="PWG104" s="4"/>
      <c r="PWH104" s="4"/>
      <c r="PWI104" s="4"/>
      <c r="PWJ104" s="4"/>
      <c r="PWK104" s="4"/>
      <c r="PWL104" s="4"/>
      <c r="PWM104" s="4"/>
      <c r="PWN104" s="4"/>
      <c r="PWO104" s="4"/>
      <c r="PWP104" s="4"/>
      <c r="PWQ104" s="4"/>
      <c r="PWR104" s="4"/>
      <c r="PWS104" s="4"/>
      <c r="PWT104" s="4"/>
      <c r="PWU104" s="4"/>
      <c r="PWV104" s="4"/>
      <c r="PWW104" s="4"/>
      <c r="PWX104" s="4"/>
      <c r="PWY104" s="4"/>
      <c r="PWZ104" s="4"/>
      <c r="PXA104" s="4"/>
      <c r="PXB104" s="4"/>
      <c r="PXC104" s="4"/>
      <c r="PXD104" s="4"/>
      <c r="PXE104" s="4"/>
      <c r="PXF104" s="4"/>
      <c r="PXG104" s="4"/>
      <c r="PXH104" s="4"/>
      <c r="PXI104" s="4"/>
      <c r="PXJ104" s="4"/>
      <c r="PXK104" s="4"/>
      <c r="PXL104" s="4"/>
      <c r="PXM104" s="4"/>
      <c r="PXN104" s="4"/>
      <c r="PXO104" s="4"/>
      <c r="PXP104" s="4"/>
      <c r="PXQ104" s="4"/>
      <c r="PXR104" s="4"/>
      <c r="PXS104" s="4"/>
      <c r="PXT104" s="4"/>
      <c r="PXU104" s="4"/>
      <c r="PXV104" s="4"/>
      <c r="PXW104" s="4"/>
      <c r="PXX104" s="4"/>
      <c r="PXY104" s="4"/>
      <c r="PXZ104" s="4"/>
      <c r="PYA104" s="4"/>
      <c r="PYB104" s="4"/>
      <c r="PYC104" s="4"/>
      <c r="PYD104" s="4"/>
      <c r="PYE104" s="4"/>
      <c r="PYF104" s="4"/>
      <c r="PYG104" s="4"/>
      <c r="PYH104" s="4"/>
      <c r="PYI104" s="4"/>
      <c r="PYJ104" s="4"/>
      <c r="PYK104" s="4"/>
      <c r="PYL104" s="4"/>
      <c r="PYM104" s="4"/>
      <c r="PYN104" s="4"/>
      <c r="PYO104" s="4"/>
      <c r="PYP104" s="4"/>
      <c r="PYQ104" s="4"/>
      <c r="PYR104" s="4"/>
      <c r="PYS104" s="4"/>
      <c r="PYT104" s="4"/>
      <c r="PYU104" s="4"/>
      <c r="PYV104" s="4"/>
      <c r="PYW104" s="4"/>
      <c r="PYX104" s="4"/>
      <c r="PYY104" s="4"/>
      <c r="PYZ104" s="4"/>
      <c r="PZA104" s="4"/>
      <c r="PZB104" s="4"/>
      <c r="PZC104" s="4"/>
      <c r="PZD104" s="4"/>
      <c r="PZE104" s="4"/>
      <c r="PZF104" s="4"/>
      <c r="PZG104" s="4"/>
      <c r="PZH104" s="4"/>
      <c r="PZI104" s="4"/>
      <c r="PZJ104" s="4"/>
      <c r="PZK104" s="4"/>
      <c r="PZL104" s="4"/>
      <c r="PZM104" s="4"/>
      <c r="PZN104" s="4"/>
      <c r="PZO104" s="4"/>
      <c r="PZP104" s="4"/>
      <c r="PZQ104" s="4"/>
      <c r="PZR104" s="4"/>
      <c r="PZS104" s="4"/>
      <c r="PZT104" s="4"/>
      <c r="PZU104" s="4"/>
      <c r="PZV104" s="4"/>
      <c r="PZW104" s="4"/>
      <c r="PZX104" s="4"/>
      <c r="PZY104" s="4"/>
      <c r="PZZ104" s="4"/>
      <c r="QAA104" s="4"/>
      <c r="QAB104" s="4"/>
      <c r="QAC104" s="4"/>
      <c r="QAD104" s="4"/>
      <c r="QAE104" s="4"/>
      <c r="QAF104" s="4"/>
      <c r="QAG104" s="4"/>
      <c r="QAH104" s="4"/>
      <c r="QAI104" s="4"/>
      <c r="QAJ104" s="4"/>
      <c r="QAK104" s="4"/>
      <c r="QAL104" s="4"/>
      <c r="QAM104" s="4"/>
      <c r="QAN104" s="4"/>
      <c r="QAO104" s="4"/>
      <c r="QAP104" s="4"/>
      <c r="QAQ104" s="4"/>
      <c r="QAR104" s="4"/>
      <c r="QAS104" s="4"/>
      <c r="QAT104" s="4"/>
      <c r="QAU104" s="4"/>
      <c r="QAV104" s="4"/>
      <c r="QAW104" s="4"/>
      <c r="QAX104" s="4"/>
      <c r="QAY104" s="4"/>
      <c r="QAZ104" s="4"/>
      <c r="QBA104" s="4"/>
      <c r="QBB104" s="4"/>
      <c r="QBC104" s="4"/>
      <c r="QBD104" s="4"/>
      <c r="QBE104" s="4"/>
      <c r="QBF104" s="4"/>
      <c r="QBG104" s="4"/>
      <c r="QBH104" s="4"/>
      <c r="QBI104" s="4"/>
      <c r="QBJ104" s="4"/>
      <c r="QBK104" s="4"/>
      <c r="QBL104" s="4"/>
      <c r="QBM104" s="4"/>
      <c r="QBN104" s="4"/>
      <c r="QBO104" s="4"/>
      <c r="QBP104" s="4"/>
      <c r="QBQ104" s="4"/>
      <c r="QBR104" s="4"/>
      <c r="QBS104" s="4"/>
      <c r="QBT104" s="4"/>
      <c r="QBU104" s="4"/>
      <c r="QBV104" s="4"/>
      <c r="QBW104" s="4"/>
      <c r="QBX104" s="4"/>
      <c r="QBY104" s="4"/>
      <c r="QBZ104" s="4"/>
      <c r="QCA104" s="4"/>
      <c r="QCB104" s="4"/>
      <c r="QCC104" s="4"/>
      <c r="QCD104" s="4"/>
      <c r="QCE104" s="4"/>
      <c r="QCF104" s="4"/>
      <c r="QCG104" s="4"/>
      <c r="QCH104" s="4"/>
      <c r="QCI104" s="4"/>
      <c r="QCJ104" s="4"/>
      <c r="QCK104" s="4"/>
      <c r="QCL104" s="4"/>
      <c r="QCM104" s="4"/>
      <c r="QCN104" s="4"/>
      <c r="QCO104" s="4"/>
      <c r="QCP104" s="4"/>
      <c r="QCQ104" s="4"/>
      <c r="QCR104" s="4"/>
      <c r="QCS104" s="4"/>
      <c r="QCT104" s="4"/>
      <c r="QCU104" s="4"/>
      <c r="QCV104" s="4"/>
      <c r="QCW104" s="4"/>
      <c r="QCX104" s="4"/>
      <c r="QCY104" s="4"/>
      <c r="QCZ104" s="4"/>
      <c r="QDA104" s="4"/>
      <c r="QDB104" s="4"/>
      <c r="QDC104" s="4"/>
      <c r="QDD104" s="4"/>
      <c r="QDE104" s="4"/>
      <c r="QDF104" s="4"/>
      <c r="QDG104" s="4"/>
      <c r="QDH104" s="4"/>
      <c r="QDI104" s="4"/>
      <c r="QDJ104" s="4"/>
      <c r="QDK104" s="4"/>
      <c r="QDL104" s="4"/>
      <c r="QDM104" s="4"/>
      <c r="QDN104" s="4"/>
      <c r="QDO104" s="4"/>
      <c r="QDP104" s="4"/>
      <c r="QDQ104" s="4"/>
      <c r="QDR104" s="4"/>
      <c r="QDS104" s="4"/>
      <c r="QDT104" s="4"/>
      <c r="QDU104" s="4"/>
      <c r="QDV104" s="4"/>
      <c r="QDW104" s="4"/>
      <c r="QDX104" s="4"/>
      <c r="QDY104" s="4"/>
      <c r="QDZ104" s="4"/>
      <c r="QEA104" s="4"/>
      <c r="QEB104" s="4"/>
      <c r="QEC104" s="4"/>
      <c r="QED104" s="4"/>
      <c r="QEE104" s="4"/>
      <c r="QEF104" s="4"/>
      <c r="QEG104" s="4"/>
      <c r="QEH104" s="4"/>
      <c r="QEI104" s="4"/>
      <c r="QEJ104" s="4"/>
      <c r="QEK104" s="4"/>
      <c r="QEL104" s="4"/>
      <c r="QEM104" s="4"/>
      <c r="QEN104" s="4"/>
      <c r="QEO104" s="4"/>
      <c r="QEP104" s="4"/>
      <c r="QEQ104" s="4"/>
      <c r="QER104" s="4"/>
      <c r="QES104" s="4"/>
      <c r="QET104" s="4"/>
      <c r="QEU104" s="4"/>
      <c r="QEV104" s="4"/>
      <c r="QEW104" s="4"/>
      <c r="QEX104" s="4"/>
      <c r="QEY104" s="4"/>
      <c r="QEZ104" s="4"/>
      <c r="QFA104" s="4"/>
      <c r="QFB104" s="4"/>
      <c r="QFC104" s="4"/>
      <c r="QFD104" s="4"/>
      <c r="QFE104" s="4"/>
      <c r="QFF104" s="4"/>
      <c r="QFG104" s="4"/>
      <c r="QFH104" s="4"/>
      <c r="QFI104" s="4"/>
      <c r="QFJ104" s="4"/>
      <c r="QFK104" s="4"/>
      <c r="QFL104" s="4"/>
      <c r="QFM104" s="4"/>
      <c r="QFN104" s="4"/>
      <c r="QFO104" s="4"/>
      <c r="QFP104" s="4"/>
      <c r="QFQ104" s="4"/>
      <c r="QFR104" s="4"/>
      <c r="QFS104" s="4"/>
      <c r="QFT104" s="4"/>
      <c r="QFU104" s="4"/>
      <c r="QFV104" s="4"/>
      <c r="QFW104" s="4"/>
      <c r="QFX104" s="4"/>
      <c r="QFY104" s="4"/>
      <c r="QFZ104" s="4"/>
      <c r="QGA104" s="4"/>
      <c r="QGB104" s="4"/>
      <c r="QGC104" s="4"/>
      <c r="QGD104" s="4"/>
      <c r="QGE104" s="4"/>
      <c r="QGF104" s="4"/>
      <c r="QGG104" s="4"/>
      <c r="QGH104" s="4"/>
      <c r="QGI104" s="4"/>
      <c r="QGJ104" s="4"/>
      <c r="QGK104" s="4"/>
      <c r="QGL104" s="4"/>
      <c r="QGM104" s="4"/>
      <c r="QGN104" s="4"/>
      <c r="QGO104" s="4"/>
      <c r="QGP104" s="4"/>
      <c r="QGQ104" s="4"/>
      <c r="QGR104" s="4"/>
      <c r="QGS104" s="4"/>
      <c r="QGT104" s="4"/>
      <c r="QGU104" s="4"/>
      <c r="QGV104" s="4"/>
      <c r="QGW104" s="4"/>
      <c r="QGX104" s="4"/>
      <c r="QGY104" s="4"/>
      <c r="QGZ104" s="4"/>
      <c r="QHA104" s="4"/>
      <c r="QHB104" s="4"/>
      <c r="QHC104" s="4"/>
      <c r="QHD104" s="4"/>
      <c r="QHE104" s="4"/>
      <c r="QHF104" s="4"/>
      <c r="QHG104" s="4"/>
      <c r="QHH104" s="4"/>
      <c r="QHI104" s="4"/>
      <c r="QHJ104" s="4"/>
      <c r="QHK104" s="4"/>
      <c r="QHL104" s="4"/>
      <c r="QHM104" s="4"/>
      <c r="QHN104" s="4"/>
      <c r="QHO104" s="4"/>
      <c r="QHP104" s="4"/>
      <c r="QHQ104" s="4"/>
      <c r="QHR104" s="4"/>
      <c r="QHS104" s="4"/>
      <c r="QHT104" s="4"/>
      <c r="QHU104" s="4"/>
      <c r="QHV104" s="4"/>
      <c r="QHW104" s="4"/>
      <c r="QHX104" s="4"/>
      <c r="QHY104" s="4"/>
      <c r="QHZ104" s="4"/>
      <c r="QIA104" s="4"/>
      <c r="QIB104" s="4"/>
      <c r="QIC104" s="4"/>
      <c r="QID104" s="4"/>
      <c r="QIE104" s="4"/>
      <c r="QIF104" s="4"/>
      <c r="QIG104" s="4"/>
      <c r="QIH104" s="4"/>
      <c r="QII104" s="4"/>
      <c r="QIJ104" s="4"/>
      <c r="QIK104" s="4"/>
      <c r="QIL104" s="4"/>
      <c r="QIM104" s="4"/>
      <c r="QIN104" s="4"/>
      <c r="QIO104" s="4"/>
      <c r="QIP104" s="4"/>
      <c r="QIQ104" s="4"/>
      <c r="QIR104" s="4"/>
      <c r="QIS104" s="4"/>
      <c r="QIT104" s="4"/>
      <c r="QIU104" s="4"/>
      <c r="QIV104" s="4"/>
      <c r="QIW104" s="4"/>
      <c r="QIX104" s="4"/>
      <c r="QIY104" s="4"/>
      <c r="QIZ104" s="4"/>
      <c r="QJA104" s="4"/>
      <c r="QJB104" s="4"/>
      <c r="QJC104" s="4"/>
      <c r="QJD104" s="4"/>
      <c r="QJE104" s="4"/>
      <c r="QJF104" s="4"/>
      <c r="QJG104" s="4"/>
      <c r="QJH104" s="4"/>
      <c r="QJI104" s="4"/>
      <c r="QJJ104" s="4"/>
      <c r="QJK104" s="4"/>
      <c r="QJL104" s="4"/>
      <c r="QJM104" s="4"/>
      <c r="QJN104" s="4"/>
      <c r="QJO104" s="4"/>
      <c r="QJP104" s="4"/>
      <c r="QJQ104" s="4"/>
      <c r="QJR104" s="4"/>
      <c r="QJS104" s="4"/>
      <c r="QJT104" s="4"/>
      <c r="QJU104" s="4"/>
      <c r="QJV104" s="4"/>
      <c r="QJW104" s="4"/>
      <c r="QJX104" s="4"/>
      <c r="QJY104" s="4"/>
      <c r="QJZ104" s="4"/>
      <c r="QKA104" s="4"/>
      <c r="QKB104" s="4"/>
      <c r="QKC104" s="4"/>
      <c r="QKD104" s="4"/>
      <c r="QKE104" s="4"/>
      <c r="QKF104" s="4"/>
      <c r="QKG104" s="4"/>
      <c r="QKH104" s="4"/>
      <c r="QKI104" s="4"/>
      <c r="QKJ104" s="4"/>
      <c r="QKK104" s="4"/>
      <c r="QKL104" s="4"/>
      <c r="QKM104" s="4"/>
      <c r="QKN104" s="4"/>
      <c r="QKO104" s="4"/>
      <c r="QKP104" s="4"/>
      <c r="QKQ104" s="4"/>
      <c r="QKR104" s="4"/>
      <c r="QKS104" s="4"/>
      <c r="QKT104" s="4"/>
      <c r="QKU104" s="4"/>
      <c r="QKV104" s="4"/>
      <c r="QKW104" s="4"/>
      <c r="QKX104" s="4"/>
      <c r="QKY104" s="4"/>
      <c r="QKZ104" s="4"/>
      <c r="QLA104" s="4"/>
      <c r="QLB104" s="4"/>
      <c r="QLC104" s="4"/>
      <c r="QLD104" s="4"/>
      <c r="QLE104" s="4"/>
      <c r="QLF104" s="4"/>
      <c r="QLG104" s="4"/>
      <c r="QLH104" s="4"/>
      <c r="QLI104" s="4"/>
      <c r="QLJ104" s="4"/>
      <c r="QLK104" s="4"/>
      <c r="QLL104" s="4"/>
      <c r="QLM104" s="4"/>
      <c r="QLN104" s="4"/>
      <c r="QLO104" s="4"/>
      <c r="QLP104" s="4"/>
      <c r="QLQ104" s="4"/>
      <c r="QLR104" s="4"/>
      <c r="QLS104" s="4"/>
      <c r="QLT104" s="4"/>
      <c r="QLU104" s="4"/>
      <c r="QLV104" s="4"/>
      <c r="QLW104" s="4"/>
      <c r="QLX104" s="4"/>
      <c r="QLY104" s="4"/>
      <c r="QLZ104" s="4"/>
      <c r="QMA104" s="4"/>
      <c r="QMB104" s="4"/>
      <c r="QMC104" s="4"/>
      <c r="QMD104" s="4"/>
      <c r="QME104" s="4"/>
      <c r="QMF104" s="4"/>
      <c r="QMG104" s="4"/>
      <c r="QMH104" s="4"/>
      <c r="QMI104" s="4"/>
      <c r="QMJ104" s="4"/>
      <c r="QMK104" s="4"/>
      <c r="QML104" s="4"/>
      <c r="QMM104" s="4"/>
      <c r="QMN104" s="4"/>
      <c r="QMO104" s="4"/>
      <c r="QMP104" s="4"/>
      <c r="QMQ104" s="4"/>
      <c r="QMR104" s="4"/>
      <c r="QMS104" s="4"/>
      <c r="QMT104" s="4"/>
      <c r="QMU104" s="4"/>
      <c r="QMV104" s="4"/>
      <c r="QMW104" s="4"/>
      <c r="QMX104" s="4"/>
      <c r="QMY104" s="4"/>
      <c r="QMZ104" s="4"/>
      <c r="QNA104" s="4"/>
      <c r="QNB104" s="4"/>
      <c r="QNC104" s="4"/>
      <c r="QND104" s="4"/>
      <c r="QNE104" s="4"/>
      <c r="QNF104" s="4"/>
      <c r="QNG104" s="4"/>
      <c r="QNH104" s="4"/>
      <c r="QNI104" s="4"/>
      <c r="QNJ104" s="4"/>
      <c r="QNK104" s="4"/>
      <c r="QNL104" s="4"/>
      <c r="QNM104" s="4"/>
      <c r="QNN104" s="4"/>
      <c r="QNO104" s="4"/>
      <c r="QNP104" s="4"/>
      <c r="QNQ104" s="4"/>
      <c r="QNR104" s="4"/>
      <c r="QNS104" s="4"/>
      <c r="QNT104" s="4"/>
      <c r="QNU104" s="4"/>
      <c r="QNV104" s="4"/>
      <c r="QNW104" s="4"/>
      <c r="QNX104" s="4"/>
      <c r="QNY104" s="4"/>
      <c r="QNZ104" s="4"/>
      <c r="QOA104" s="4"/>
      <c r="QOB104" s="4"/>
      <c r="QOC104" s="4"/>
      <c r="QOD104" s="4"/>
      <c r="QOE104" s="4"/>
      <c r="QOF104" s="4"/>
      <c r="QOG104" s="4"/>
      <c r="QOH104" s="4"/>
      <c r="QOI104" s="4"/>
      <c r="QOJ104" s="4"/>
      <c r="QOK104" s="4"/>
      <c r="QOL104" s="4"/>
      <c r="QOM104" s="4"/>
      <c r="QON104" s="4"/>
      <c r="QOO104" s="4"/>
      <c r="QOP104" s="4"/>
      <c r="QOQ104" s="4"/>
      <c r="QOR104" s="4"/>
      <c r="QOS104" s="4"/>
      <c r="QOT104" s="4"/>
      <c r="QOU104" s="4"/>
      <c r="QOV104" s="4"/>
      <c r="QOW104" s="4"/>
      <c r="QOX104" s="4"/>
      <c r="QOY104" s="4"/>
      <c r="QOZ104" s="4"/>
      <c r="QPA104" s="4"/>
      <c r="QPB104" s="4"/>
      <c r="QPC104" s="4"/>
      <c r="QPD104" s="4"/>
      <c r="QPE104" s="4"/>
      <c r="QPF104" s="4"/>
      <c r="QPG104" s="4"/>
      <c r="QPH104" s="4"/>
      <c r="QPI104" s="4"/>
      <c r="QPJ104" s="4"/>
      <c r="QPK104" s="4"/>
      <c r="QPL104" s="4"/>
      <c r="QPM104" s="4"/>
      <c r="QPN104" s="4"/>
      <c r="QPO104" s="4"/>
      <c r="QPP104" s="4"/>
      <c r="QPQ104" s="4"/>
      <c r="QPR104" s="4"/>
      <c r="QPS104" s="4"/>
      <c r="QPT104" s="4"/>
      <c r="QPU104" s="4"/>
      <c r="QPV104" s="4"/>
      <c r="QPW104" s="4"/>
      <c r="QPX104" s="4"/>
      <c r="QPY104" s="4"/>
      <c r="QPZ104" s="4"/>
      <c r="QQA104" s="4"/>
      <c r="QQB104" s="4"/>
      <c r="QQC104" s="4"/>
      <c r="QQD104" s="4"/>
      <c r="QQE104" s="4"/>
      <c r="QQF104" s="4"/>
      <c r="QQG104" s="4"/>
      <c r="QQH104" s="4"/>
      <c r="QQI104" s="4"/>
      <c r="QQJ104" s="4"/>
      <c r="QQK104" s="4"/>
      <c r="QQL104" s="4"/>
      <c r="QQM104" s="4"/>
      <c r="QQN104" s="4"/>
      <c r="QQO104" s="4"/>
      <c r="QQP104" s="4"/>
      <c r="QQQ104" s="4"/>
      <c r="QQR104" s="4"/>
      <c r="QQS104" s="4"/>
      <c r="QQT104" s="4"/>
      <c r="QQU104" s="4"/>
      <c r="QQV104" s="4"/>
      <c r="QQW104" s="4"/>
      <c r="QQX104" s="4"/>
      <c r="QQY104" s="4"/>
      <c r="QQZ104" s="4"/>
      <c r="QRA104" s="4"/>
      <c r="QRB104" s="4"/>
      <c r="QRC104" s="4"/>
      <c r="QRD104" s="4"/>
      <c r="QRE104" s="4"/>
      <c r="QRF104" s="4"/>
      <c r="QRG104" s="4"/>
      <c r="QRH104" s="4"/>
      <c r="QRI104" s="4"/>
      <c r="QRJ104" s="4"/>
      <c r="QRK104" s="4"/>
      <c r="QRL104" s="4"/>
      <c r="QRM104" s="4"/>
      <c r="QRN104" s="4"/>
      <c r="QRO104" s="4"/>
      <c r="QRP104" s="4"/>
      <c r="QRQ104" s="4"/>
      <c r="QRR104" s="4"/>
      <c r="QRS104" s="4"/>
      <c r="QRT104" s="4"/>
      <c r="QRU104" s="4"/>
      <c r="QRV104" s="4"/>
      <c r="QRW104" s="4"/>
      <c r="QRX104" s="4"/>
      <c r="QRY104" s="4"/>
      <c r="QRZ104" s="4"/>
      <c r="QSA104" s="4"/>
      <c r="QSB104" s="4"/>
      <c r="QSC104" s="4"/>
      <c r="QSD104" s="4"/>
      <c r="QSE104" s="4"/>
      <c r="QSF104" s="4"/>
      <c r="QSG104" s="4"/>
      <c r="QSH104" s="4"/>
      <c r="QSI104" s="4"/>
      <c r="QSJ104" s="4"/>
      <c r="QSK104" s="4"/>
      <c r="QSL104" s="4"/>
      <c r="QSM104" s="4"/>
      <c r="QSN104" s="4"/>
      <c r="QSO104" s="4"/>
      <c r="QSP104" s="4"/>
      <c r="QSQ104" s="4"/>
      <c r="QSR104" s="4"/>
      <c r="QSS104" s="4"/>
      <c r="QST104" s="4"/>
      <c r="QSU104" s="4"/>
      <c r="QSV104" s="4"/>
      <c r="QSW104" s="4"/>
      <c r="QSX104" s="4"/>
      <c r="QSY104" s="4"/>
      <c r="QSZ104" s="4"/>
      <c r="QTA104" s="4"/>
      <c r="QTB104" s="4"/>
      <c r="QTC104" s="4"/>
      <c r="QTD104" s="4"/>
      <c r="QTE104" s="4"/>
      <c r="QTF104" s="4"/>
      <c r="QTG104" s="4"/>
      <c r="QTH104" s="4"/>
      <c r="QTI104" s="4"/>
      <c r="QTJ104" s="4"/>
      <c r="QTK104" s="4"/>
      <c r="QTL104" s="4"/>
      <c r="QTM104" s="4"/>
      <c r="QTN104" s="4"/>
      <c r="QTO104" s="4"/>
      <c r="QTP104" s="4"/>
      <c r="QTQ104" s="4"/>
      <c r="QTR104" s="4"/>
      <c r="QTS104" s="4"/>
      <c r="QTT104" s="4"/>
      <c r="QTU104" s="4"/>
      <c r="QTV104" s="4"/>
      <c r="QTW104" s="4"/>
      <c r="QTX104" s="4"/>
      <c r="QTY104" s="4"/>
      <c r="QTZ104" s="4"/>
      <c r="QUA104" s="4"/>
      <c r="QUB104" s="4"/>
      <c r="QUC104" s="4"/>
      <c r="QUD104" s="4"/>
      <c r="QUE104" s="4"/>
      <c r="QUF104" s="4"/>
      <c r="QUG104" s="4"/>
      <c r="QUH104" s="4"/>
      <c r="QUI104" s="4"/>
      <c r="QUJ104" s="4"/>
      <c r="QUK104" s="4"/>
      <c r="QUL104" s="4"/>
      <c r="QUM104" s="4"/>
      <c r="QUN104" s="4"/>
      <c r="QUO104" s="4"/>
      <c r="QUP104" s="4"/>
      <c r="QUQ104" s="4"/>
      <c r="QUR104" s="4"/>
      <c r="QUS104" s="4"/>
      <c r="QUT104" s="4"/>
      <c r="QUU104" s="4"/>
      <c r="QUV104" s="4"/>
      <c r="QUW104" s="4"/>
      <c r="QUX104" s="4"/>
      <c r="QUY104" s="4"/>
      <c r="QUZ104" s="4"/>
      <c r="QVA104" s="4"/>
      <c r="QVB104" s="4"/>
      <c r="QVC104" s="4"/>
      <c r="QVD104" s="4"/>
      <c r="QVE104" s="4"/>
      <c r="QVF104" s="4"/>
      <c r="QVG104" s="4"/>
      <c r="QVH104" s="4"/>
      <c r="QVI104" s="4"/>
      <c r="QVJ104" s="4"/>
      <c r="QVK104" s="4"/>
      <c r="QVL104" s="4"/>
      <c r="QVM104" s="4"/>
      <c r="QVN104" s="4"/>
      <c r="QVO104" s="4"/>
      <c r="QVP104" s="4"/>
      <c r="QVQ104" s="4"/>
      <c r="QVR104" s="4"/>
      <c r="QVS104" s="4"/>
      <c r="QVT104" s="4"/>
      <c r="QVU104" s="4"/>
      <c r="QVV104" s="4"/>
      <c r="QVW104" s="4"/>
      <c r="QVX104" s="4"/>
      <c r="QVY104" s="4"/>
      <c r="QVZ104" s="4"/>
      <c r="QWA104" s="4"/>
      <c r="QWB104" s="4"/>
      <c r="QWC104" s="4"/>
      <c r="QWD104" s="4"/>
      <c r="QWE104" s="4"/>
      <c r="QWF104" s="4"/>
      <c r="QWG104" s="4"/>
      <c r="QWH104" s="4"/>
      <c r="QWI104" s="4"/>
      <c r="QWJ104" s="4"/>
      <c r="QWK104" s="4"/>
      <c r="QWL104" s="4"/>
      <c r="QWM104" s="4"/>
      <c r="QWN104" s="4"/>
      <c r="QWO104" s="4"/>
      <c r="QWP104" s="4"/>
      <c r="QWQ104" s="4"/>
      <c r="QWR104" s="4"/>
      <c r="QWS104" s="4"/>
      <c r="QWT104" s="4"/>
      <c r="QWU104" s="4"/>
      <c r="QWV104" s="4"/>
      <c r="QWW104" s="4"/>
      <c r="QWX104" s="4"/>
      <c r="QWY104" s="4"/>
      <c r="QWZ104" s="4"/>
      <c r="QXA104" s="4"/>
      <c r="QXB104" s="4"/>
      <c r="QXC104" s="4"/>
      <c r="QXD104" s="4"/>
      <c r="QXE104" s="4"/>
      <c r="QXF104" s="4"/>
      <c r="QXG104" s="4"/>
      <c r="QXH104" s="4"/>
      <c r="QXI104" s="4"/>
      <c r="QXJ104" s="4"/>
      <c r="QXK104" s="4"/>
      <c r="QXL104" s="4"/>
      <c r="QXM104" s="4"/>
      <c r="QXN104" s="4"/>
      <c r="QXO104" s="4"/>
      <c r="QXP104" s="4"/>
      <c r="QXQ104" s="4"/>
      <c r="QXR104" s="4"/>
      <c r="QXS104" s="4"/>
      <c r="QXT104" s="4"/>
      <c r="QXU104" s="4"/>
      <c r="QXV104" s="4"/>
      <c r="QXW104" s="4"/>
      <c r="QXX104" s="4"/>
      <c r="QXY104" s="4"/>
      <c r="QXZ104" s="4"/>
      <c r="QYA104" s="4"/>
      <c r="QYB104" s="4"/>
      <c r="QYC104" s="4"/>
      <c r="QYD104" s="4"/>
      <c r="QYE104" s="4"/>
      <c r="QYF104" s="4"/>
      <c r="QYG104" s="4"/>
      <c r="QYH104" s="4"/>
      <c r="QYI104" s="4"/>
      <c r="QYJ104" s="4"/>
      <c r="QYK104" s="4"/>
      <c r="QYL104" s="4"/>
      <c r="QYM104" s="4"/>
      <c r="QYN104" s="4"/>
      <c r="QYO104" s="4"/>
      <c r="QYP104" s="4"/>
      <c r="QYQ104" s="4"/>
      <c r="QYR104" s="4"/>
      <c r="QYS104" s="4"/>
      <c r="QYT104" s="4"/>
      <c r="QYU104" s="4"/>
      <c r="QYV104" s="4"/>
      <c r="QYW104" s="4"/>
      <c r="QYX104" s="4"/>
      <c r="QYY104" s="4"/>
      <c r="QYZ104" s="4"/>
      <c r="QZA104" s="4"/>
      <c r="QZB104" s="4"/>
      <c r="QZC104" s="4"/>
      <c r="QZD104" s="4"/>
      <c r="QZE104" s="4"/>
      <c r="QZF104" s="4"/>
      <c r="QZG104" s="4"/>
      <c r="QZH104" s="4"/>
      <c r="QZI104" s="4"/>
      <c r="QZJ104" s="4"/>
      <c r="QZK104" s="4"/>
      <c r="QZL104" s="4"/>
      <c r="QZM104" s="4"/>
      <c r="QZN104" s="4"/>
      <c r="QZO104" s="4"/>
      <c r="QZP104" s="4"/>
      <c r="QZQ104" s="4"/>
      <c r="QZR104" s="4"/>
      <c r="QZS104" s="4"/>
      <c r="QZT104" s="4"/>
      <c r="QZU104" s="4"/>
      <c r="QZV104" s="4"/>
      <c r="QZW104" s="4"/>
      <c r="QZX104" s="4"/>
      <c r="QZY104" s="4"/>
      <c r="QZZ104" s="4"/>
      <c r="RAA104" s="4"/>
      <c r="RAB104" s="4"/>
      <c r="RAC104" s="4"/>
      <c r="RAD104" s="4"/>
      <c r="RAE104" s="4"/>
      <c r="RAF104" s="4"/>
      <c r="RAG104" s="4"/>
      <c r="RAH104" s="4"/>
      <c r="RAI104" s="4"/>
      <c r="RAJ104" s="4"/>
      <c r="RAK104" s="4"/>
      <c r="RAL104" s="4"/>
      <c r="RAM104" s="4"/>
      <c r="RAN104" s="4"/>
      <c r="RAO104" s="4"/>
      <c r="RAP104" s="4"/>
      <c r="RAQ104" s="4"/>
      <c r="RAR104" s="4"/>
      <c r="RAS104" s="4"/>
      <c r="RAT104" s="4"/>
      <c r="RAU104" s="4"/>
      <c r="RAV104" s="4"/>
      <c r="RAW104" s="4"/>
      <c r="RAX104" s="4"/>
      <c r="RAY104" s="4"/>
      <c r="RAZ104" s="4"/>
      <c r="RBA104" s="4"/>
      <c r="RBB104" s="4"/>
      <c r="RBC104" s="4"/>
      <c r="RBD104" s="4"/>
      <c r="RBE104" s="4"/>
      <c r="RBF104" s="4"/>
      <c r="RBG104" s="4"/>
      <c r="RBH104" s="4"/>
      <c r="RBI104" s="4"/>
      <c r="RBJ104" s="4"/>
      <c r="RBK104" s="4"/>
      <c r="RBL104" s="4"/>
      <c r="RBM104" s="4"/>
      <c r="RBN104" s="4"/>
      <c r="RBO104" s="4"/>
      <c r="RBP104" s="4"/>
      <c r="RBQ104" s="4"/>
      <c r="RBR104" s="4"/>
      <c r="RBS104" s="4"/>
      <c r="RBT104" s="4"/>
      <c r="RBU104" s="4"/>
      <c r="RBV104" s="4"/>
      <c r="RBW104" s="4"/>
      <c r="RBX104" s="4"/>
      <c r="RBY104" s="4"/>
      <c r="RBZ104" s="4"/>
      <c r="RCA104" s="4"/>
      <c r="RCB104" s="4"/>
      <c r="RCC104" s="4"/>
      <c r="RCD104" s="4"/>
      <c r="RCE104" s="4"/>
      <c r="RCF104" s="4"/>
      <c r="RCG104" s="4"/>
      <c r="RCH104" s="4"/>
      <c r="RCI104" s="4"/>
      <c r="RCJ104" s="4"/>
      <c r="RCK104" s="4"/>
      <c r="RCL104" s="4"/>
      <c r="RCM104" s="4"/>
      <c r="RCN104" s="4"/>
      <c r="RCO104" s="4"/>
      <c r="RCP104" s="4"/>
      <c r="RCQ104" s="4"/>
      <c r="RCR104" s="4"/>
      <c r="RCS104" s="4"/>
      <c r="RCT104" s="4"/>
      <c r="RCU104" s="4"/>
      <c r="RCV104" s="4"/>
      <c r="RCW104" s="4"/>
      <c r="RCX104" s="4"/>
      <c r="RCY104" s="4"/>
      <c r="RCZ104" s="4"/>
      <c r="RDA104" s="4"/>
      <c r="RDB104" s="4"/>
      <c r="RDC104" s="4"/>
      <c r="RDD104" s="4"/>
      <c r="RDE104" s="4"/>
      <c r="RDF104" s="4"/>
      <c r="RDG104" s="4"/>
      <c r="RDH104" s="4"/>
      <c r="RDI104" s="4"/>
      <c r="RDJ104" s="4"/>
      <c r="RDK104" s="4"/>
      <c r="RDL104" s="4"/>
      <c r="RDM104" s="4"/>
      <c r="RDN104" s="4"/>
      <c r="RDO104" s="4"/>
      <c r="RDP104" s="4"/>
      <c r="RDQ104" s="4"/>
      <c r="RDR104" s="4"/>
      <c r="RDS104" s="4"/>
      <c r="RDT104" s="4"/>
      <c r="RDU104" s="4"/>
      <c r="RDV104" s="4"/>
      <c r="RDW104" s="4"/>
      <c r="RDX104" s="4"/>
      <c r="RDY104" s="4"/>
      <c r="RDZ104" s="4"/>
      <c r="REA104" s="4"/>
      <c r="REB104" s="4"/>
      <c r="REC104" s="4"/>
      <c r="RED104" s="4"/>
      <c r="REE104" s="4"/>
      <c r="REF104" s="4"/>
      <c r="REG104" s="4"/>
      <c r="REH104" s="4"/>
      <c r="REI104" s="4"/>
      <c r="REJ104" s="4"/>
      <c r="REK104" s="4"/>
      <c r="REL104" s="4"/>
      <c r="REM104" s="4"/>
      <c r="REN104" s="4"/>
      <c r="REO104" s="4"/>
      <c r="REP104" s="4"/>
      <c r="REQ104" s="4"/>
      <c r="RER104" s="4"/>
      <c r="RES104" s="4"/>
      <c r="RET104" s="4"/>
      <c r="REU104" s="4"/>
      <c r="REV104" s="4"/>
      <c r="REW104" s="4"/>
      <c r="REX104" s="4"/>
      <c r="REY104" s="4"/>
      <c r="REZ104" s="4"/>
      <c r="RFA104" s="4"/>
      <c r="RFB104" s="4"/>
      <c r="RFC104" s="4"/>
      <c r="RFD104" s="4"/>
      <c r="RFE104" s="4"/>
      <c r="RFF104" s="4"/>
      <c r="RFG104" s="4"/>
      <c r="RFH104" s="4"/>
      <c r="RFI104" s="4"/>
      <c r="RFJ104" s="4"/>
      <c r="RFK104" s="4"/>
      <c r="RFL104" s="4"/>
      <c r="RFM104" s="4"/>
      <c r="RFN104" s="4"/>
      <c r="RFO104" s="4"/>
      <c r="RFP104" s="4"/>
      <c r="RFQ104" s="4"/>
      <c r="RFR104" s="4"/>
      <c r="RFS104" s="4"/>
      <c r="RFT104" s="4"/>
      <c r="RFU104" s="4"/>
      <c r="RFV104" s="4"/>
      <c r="RFW104" s="4"/>
      <c r="RFX104" s="4"/>
      <c r="RFY104" s="4"/>
      <c r="RFZ104" s="4"/>
      <c r="RGA104" s="4"/>
      <c r="RGB104" s="4"/>
      <c r="RGC104" s="4"/>
      <c r="RGD104" s="4"/>
      <c r="RGE104" s="4"/>
      <c r="RGF104" s="4"/>
      <c r="RGG104" s="4"/>
      <c r="RGH104" s="4"/>
      <c r="RGI104" s="4"/>
      <c r="RGJ104" s="4"/>
      <c r="RGK104" s="4"/>
      <c r="RGL104" s="4"/>
      <c r="RGM104" s="4"/>
      <c r="RGN104" s="4"/>
      <c r="RGO104" s="4"/>
      <c r="RGP104" s="4"/>
      <c r="RGQ104" s="4"/>
      <c r="RGR104" s="4"/>
      <c r="RGS104" s="4"/>
      <c r="RGT104" s="4"/>
      <c r="RGU104" s="4"/>
      <c r="RGV104" s="4"/>
      <c r="RGW104" s="4"/>
      <c r="RGX104" s="4"/>
      <c r="RGY104" s="4"/>
      <c r="RGZ104" s="4"/>
      <c r="RHA104" s="4"/>
      <c r="RHB104" s="4"/>
      <c r="RHC104" s="4"/>
      <c r="RHD104" s="4"/>
      <c r="RHE104" s="4"/>
      <c r="RHF104" s="4"/>
      <c r="RHG104" s="4"/>
      <c r="RHH104" s="4"/>
      <c r="RHI104" s="4"/>
      <c r="RHJ104" s="4"/>
      <c r="RHK104" s="4"/>
      <c r="RHL104" s="4"/>
      <c r="RHM104" s="4"/>
      <c r="RHN104" s="4"/>
      <c r="RHO104" s="4"/>
      <c r="RHP104" s="4"/>
      <c r="RHQ104" s="4"/>
      <c r="RHR104" s="4"/>
      <c r="RHS104" s="4"/>
      <c r="RHT104" s="4"/>
      <c r="RHU104" s="4"/>
      <c r="RHV104" s="4"/>
      <c r="RHW104" s="4"/>
      <c r="RHX104" s="4"/>
      <c r="RHY104" s="4"/>
      <c r="RHZ104" s="4"/>
      <c r="RIA104" s="4"/>
      <c r="RIB104" s="4"/>
      <c r="RIC104" s="4"/>
      <c r="RID104" s="4"/>
      <c r="RIE104" s="4"/>
      <c r="RIF104" s="4"/>
      <c r="RIG104" s="4"/>
      <c r="RIH104" s="4"/>
      <c r="RII104" s="4"/>
      <c r="RIJ104" s="4"/>
      <c r="RIK104" s="4"/>
      <c r="RIL104" s="4"/>
      <c r="RIM104" s="4"/>
      <c r="RIN104" s="4"/>
      <c r="RIO104" s="4"/>
      <c r="RIP104" s="4"/>
      <c r="RIQ104" s="4"/>
      <c r="RIR104" s="4"/>
      <c r="RIS104" s="4"/>
      <c r="RIT104" s="4"/>
      <c r="RIU104" s="4"/>
      <c r="RIV104" s="4"/>
      <c r="RIW104" s="4"/>
      <c r="RIX104" s="4"/>
      <c r="RIY104" s="4"/>
      <c r="RIZ104" s="4"/>
      <c r="RJA104" s="4"/>
      <c r="RJB104" s="4"/>
      <c r="RJC104" s="4"/>
      <c r="RJD104" s="4"/>
      <c r="RJE104" s="4"/>
      <c r="RJF104" s="4"/>
      <c r="RJG104" s="4"/>
      <c r="RJH104" s="4"/>
      <c r="RJI104" s="4"/>
      <c r="RJJ104" s="4"/>
      <c r="RJK104" s="4"/>
      <c r="RJL104" s="4"/>
      <c r="RJM104" s="4"/>
      <c r="RJN104" s="4"/>
      <c r="RJO104" s="4"/>
      <c r="RJP104" s="4"/>
      <c r="RJQ104" s="4"/>
      <c r="RJR104" s="4"/>
      <c r="RJS104" s="4"/>
      <c r="RJT104" s="4"/>
      <c r="RJU104" s="4"/>
      <c r="RJV104" s="4"/>
      <c r="RJW104" s="4"/>
      <c r="RJX104" s="4"/>
      <c r="RJY104" s="4"/>
      <c r="RJZ104" s="4"/>
      <c r="RKA104" s="4"/>
      <c r="RKB104" s="4"/>
      <c r="RKC104" s="4"/>
      <c r="RKD104" s="4"/>
      <c r="RKE104" s="4"/>
      <c r="RKF104" s="4"/>
      <c r="RKG104" s="4"/>
      <c r="RKH104" s="4"/>
      <c r="RKI104" s="4"/>
      <c r="RKJ104" s="4"/>
      <c r="RKK104" s="4"/>
      <c r="RKL104" s="4"/>
      <c r="RKM104" s="4"/>
      <c r="RKN104" s="4"/>
      <c r="RKO104" s="4"/>
      <c r="RKP104" s="4"/>
      <c r="RKQ104" s="4"/>
      <c r="RKR104" s="4"/>
      <c r="RKS104" s="4"/>
      <c r="RKT104" s="4"/>
      <c r="RKU104" s="4"/>
      <c r="RKV104" s="4"/>
      <c r="RKW104" s="4"/>
      <c r="RKX104" s="4"/>
      <c r="RKY104" s="4"/>
      <c r="RKZ104" s="4"/>
      <c r="RLA104" s="4"/>
      <c r="RLB104" s="4"/>
      <c r="RLC104" s="4"/>
      <c r="RLD104" s="4"/>
      <c r="RLE104" s="4"/>
      <c r="RLF104" s="4"/>
      <c r="RLG104" s="4"/>
      <c r="RLH104" s="4"/>
      <c r="RLI104" s="4"/>
      <c r="RLJ104" s="4"/>
      <c r="RLK104" s="4"/>
      <c r="RLL104" s="4"/>
      <c r="RLM104" s="4"/>
      <c r="RLN104" s="4"/>
      <c r="RLO104" s="4"/>
      <c r="RLP104" s="4"/>
      <c r="RLQ104" s="4"/>
      <c r="RLR104" s="4"/>
      <c r="RLS104" s="4"/>
      <c r="RLT104" s="4"/>
      <c r="RLU104" s="4"/>
      <c r="RLV104" s="4"/>
      <c r="RLW104" s="4"/>
      <c r="RLX104" s="4"/>
      <c r="RLY104" s="4"/>
      <c r="RLZ104" s="4"/>
      <c r="RMA104" s="4"/>
      <c r="RMB104" s="4"/>
      <c r="RMC104" s="4"/>
      <c r="RMD104" s="4"/>
      <c r="RME104" s="4"/>
      <c r="RMF104" s="4"/>
      <c r="RMG104" s="4"/>
      <c r="RMH104" s="4"/>
      <c r="RMI104" s="4"/>
      <c r="RMJ104" s="4"/>
      <c r="RMK104" s="4"/>
      <c r="RML104" s="4"/>
      <c r="RMM104" s="4"/>
      <c r="RMN104" s="4"/>
      <c r="RMO104" s="4"/>
      <c r="RMP104" s="4"/>
      <c r="RMQ104" s="4"/>
      <c r="RMR104" s="4"/>
      <c r="RMS104" s="4"/>
      <c r="RMT104" s="4"/>
      <c r="RMU104" s="4"/>
      <c r="RMV104" s="4"/>
      <c r="RMW104" s="4"/>
      <c r="RMX104" s="4"/>
      <c r="RMY104" s="4"/>
      <c r="RMZ104" s="4"/>
      <c r="RNA104" s="4"/>
      <c r="RNB104" s="4"/>
      <c r="RNC104" s="4"/>
      <c r="RND104" s="4"/>
      <c r="RNE104" s="4"/>
      <c r="RNF104" s="4"/>
      <c r="RNG104" s="4"/>
      <c r="RNH104" s="4"/>
      <c r="RNI104" s="4"/>
      <c r="RNJ104" s="4"/>
      <c r="RNK104" s="4"/>
      <c r="RNL104" s="4"/>
      <c r="RNM104" s="4"/>
      <c r="RNN104" s="4"/>
      <c r="RNO104" s="4"/>
      <c r="RNP104" s="4"/>
      <c r="RNQ104" s="4"/>
      <c r="RNR104" s="4"/>
      <c r="RNS104" s="4"/>
      <c r="RNT104" s="4"/>
      <c r="RNU104" s="4"/>
      <c r="RNV104" s="4"/>
      <c r="RNW104" s="4"/>
      <c r="RNX104" s="4"/>
      <c r="RNY104" s="4"/>
      <c r="RNZ104" s="4"/>
      <c r="ROA104" s="4"/>
      <c r="ROB104" s="4"/>
      <c r="ROC104" s="4"/>
      <c r="ROD104" s="4"/>
      <c r="ROE104" s="4"/>
      <c r="ROF104" s="4"/>
      <c r="ROG104" s="4"/>
      <c r="ROH104" s="4"/>
      <c r="ROI104" s="4"/>
      <c r="ROJ104" s="4"/>
      <c r="ROK104" s="4"/>
      <c r="ROL104" s="4"/>
      <c r="ROM104" s="4"/>
      <c r="RON104" s="4"/>
      <c r="ROO104" s="4"/>
      <c r="ROP104" s="4"/>
      <c r="ROQ104" s="4"/>
      <c r="ROR104" s="4"/>
      <c r="ROS104" s="4"/>
      <c r="ROT104" s="4"/>
      <c r="ROU104" s="4"/>
      <c r="ROV104" s="4"/>
      <c r="ROW104" s="4"/>
      <c r="ROX104" s="4"/>
      <c r="ROY104" s="4"/>
      <c r="ROZ104" s="4"/>
      <c r="RPA104" s="4"/>
      <c r="RPB104" s="4"/>
      <c r="RPC104" s="4"/>
      <c r="RPD104" s="4"/>
      <c r="RPE104" s="4"/>
      <c r="RPF104" s="4"/>
      <c r="RPG104" s="4"/>
      <c r="RPH104" s="4"/>
      <c r="RPI104" s="4"/>
      <c r="RPJ104" s="4"/>
      <c r="RPK104" s="4"/>
      <c r="RPL104" s="4"/>
      <c r="RPM104" s="4"/>
      <c r="RPN104" s="4"/>
      <c r="RPO104" s="4"/>
      <c r="RPP104" s="4"/>
      <c r="RPQ104" s="4"/>
      <c r="RPR104" s="4"/>
      <c r="RPS104" s="4"/>
      <c r="RPT104" s="4"/>
      <c r="RPU104" s="4"/>
      <c r="RPV104" s="4"/>
      <c r="RPW104" s="4"/>
      <c r="RPX104" s="4"/>
      <c r="RPY104" s="4"/>
      <c r="RPZ104" s="4"/>
      <c r="RQA104" s="4"/>
      <c r="RQB104" s="4"/>
      <c r="RQC104" s="4"/>
      <c r="RQD104" s="4"/>
      <c r="RQE104" s="4"/>
      <c r="RQF104" s="4"/>
      <c r="RQG104" s="4"/>
      <c r="RQH104" s="4"/>
      <c r="RQI104" s="4"/>
      <c r="RQJ104" s="4"/>
      <c r="RQK104" s="4"/>
      <c r="RQL104" s="4"/>
      <c r="RQM104" s="4"/>
      <c r="RQN104" s="4"/>
      <c r="RQO104" s="4"/>
      <c r="RQP104" s="4"/>
      <c r="RQQ104" s="4"/>
      <c r="RQR104" s="4"/>
      <c r="RQS104" s="4"/>
      <c r="RQT104" s="4"/>
      <c r="RQU104" s="4"/>
      <c r="RQV104" s="4"/>
      <c r="RQW104" s="4"/>
      <c r="RQX104" s="4"/>
      <c r="RQY104" s="4"/>
      <c r="RQZ104" s="4"/>
      <c r="RRA104" s="4"/>
      <c r="RRB104" s="4"/>
      <c r="RRC104" s="4"/>
      <c r="RRD104" s="4"/>
      <c r="RRE104" s="4"/>
      <c r="RRF104" s="4"/>
      <c r="RRG104" s="4"/>
      <c r="RRH104" s="4"/>
      <c r="RRI104" s="4"/>
      <c r="RRJ104" s="4"/>
      <c r="RRK104" s="4"/>
      <c r="RRL104" s="4"/>
      <c r="RRM104" s="4"/>
      <c r="RRN104" s="4"/>
      <c r="RRO104" s="4"/>
      <c r="RRP104" s="4"/>
      <c r="RRQ104" s="4"/>
      <c r="RRR104" s="4"/>
      <c r="RRS104" s="4"/>
      <c r="RRT104" s="4"/>
      <c r="RRU104" s="4"/>
      <c r="RRV104" s="4"/>
      <c r="RRW104" s="4"/>
      <c r="RRX104" s="4"/>
      <c r="RRY104" s="4"/>
      <c r="RRZ104" s="4"/>
      <c r="RSA104" s="4"/>
      <c r="RSB104" s="4"/>
      <c r="RSC104" s="4"/>
      <c r="RSD104" s="4"/>
      <c r="RSE104" s="4"/>
      <c r="RSF104" s="4"/>
      <c r="RSG104" s="4"/>
      <c r="RSH104" s="4"/>
      <c r="RSI104" s="4"/>
      <c r="RSJ104" s="4"/>
      <c r="RSK104" s="4"/>
      <c r="RSL104" s="4"/>
      <c r="RSM104" s="4"/>
      <c r="RSN104" s="4"/>
      <c r="RSO104" s="4"/>
      <c r="RSP104" s="4"/>
      <c r="RSQ104" s="4"/>
      <c r="RSR104" s="4"/>
      <c r="RSS104" s="4"/>
      <c r="RST104" s="4"/>
      <c r="RSU104" s="4"/>
      <c r="RSV104" s="4"/>
      <c r="RSW104" s="4"/>
      <c r="RSX104" s="4"/>
      <c r="RSY104" s="4"/>
      <c r="RSZ104" s="4"/>
      <c r="RTA104" s="4"/>
      <c r="RTB104" s="4"/>
      <c r="RTC104" s="4"/>
      <c r="RTD104" s="4"/>
      <c r="RTE104" s="4"/>
      <c r="RTF104" s="4"/>
      <c r="RTG104" s="4"/>
      <c r="RTH104" s="4"/>
      <c r="RTI104" s="4"/>
      <c r="RTJ104" s="4"/>
      <c r="RTK104" s="4"/>
      <c r="RTL104" s="4"/>
      <c r="RTM104" s="4"/>
      <c r="RTN104" s="4"/>
      <c r="RTO104" s="4"/>
      <c r="RTP104" s="4"/>
      <c r="RTQ104" s="4"/>
      <c r="RTR104" s="4"/>
      <c r="RTS104" s="4"/>
      <c r="RTT104" s="4"/>
      <c r="RTU104" s="4"/>
      <c r="RTV104" s="4"/>
      <c r="RTW104" s="4"/>
      <c r="RTX104" s="4"/>
      <c r="RTY104" s="4"/>
      <c r="RTZ104" s="4"/>
      <c r="RUA104" s="4"/>
      <c r="RUB104" s="4"/>
      <c r="RUC104" s="4"/>
      <c r="RUD104" s="4"/>
      <c r="RUE104" s="4"/>
      <c r="RUF104" s="4"/>
      <c r="RUG104" s="4"/>
      <c r="RUH104" s="4"/>
      <c r="RUI104" s="4"/>
      <c r="RUJ104" s="4"/>
      <c r="RUK104" s="4"/>
      <c r="RUL104" s="4"/>
      <c r="RUM104" s="4"/>
      <c r="RUN104" s="4"/>
      <c r="RUO104" s="4"/>
      <c r="RUP104" s="4"/>
      <c r="RUQ104" s="4"/>
      <c r="RUR104" s="4"/>
      <c r="RUS104" s="4"/>
      <c r="RUT104" s="4"/>
      <c r="RUU104" s="4"/>
      <c r="RUV104" s="4"/>
      <c r="RUW104" s="4"/>
      <c r="RUX104" s="4"/>
      <c r="RUY104" s="4"/>
      <c r="RUZ104" s="4"/>
      <c r="RVA104" s="4"/>
      <c r="RVB104" s="4"/>
      <c r="RVC104" s="4"/>
      <c r="RVD104" s="4"/>
      <c r="RVE104" s="4"/>
      <c r="RVF104" s="4"/>
      <c r="RVG104" s="4"/>
      <c r="RVH104" s="4"/>
      <c r="RVI104" s="4"/>
      <c r="RVJ104" s="4"/>
      <c r="RVK104" s="4"/>
      <c r="RVL104" s="4"/>
      <c r="RVM104" s="4"/>
      <c r="RVN104" s="4"/>
      <c r="RVO104" s="4"/>
      <c r="RVP104" s="4"/>
      <c r="RVQ104" s="4"/>
      <c r="RVR104" s="4"/>
      <c r="RVS104" s="4"/>
      <c r="RVT104" s="4"/>
      <c r="RVU104" s="4"/>
      <c r="RVV104" s="4"/>
      <c r="RVW104" s="4"/>
      <c r="RVX104" s="4"/>
      <c r="RVY104" s="4"/>
      <c r="RVZ104" s="4"/>
      <c r="RWA104" s="4"/>
      <c r="RWB104" s="4"/>
      <c r="RWC104" s="4"/>
      <c r="RWD104" s="4"/>
      <c r="RWE104" s="4"/>
      <c r="RWF104" s="4"/>
      <c r="RWG104" s="4"/>
      <c r="RWH104" s="4"/>
      <c r="RWI104" s="4"/>
      <c r="RWJ104" s="4"/>
      <c r="RWK104" s="4"/>
      <c r="RWL104" s="4"/>
      <c r="RWM104" s="4"/>
      <c r="RWN104" s="4"/>
      <c r="RWO104" s="4"/>
      <c r="RWP104" s="4"/>
      <c r="RWQ104" s="4"/>
      <c r="RWR104" s="4"/>
      <c r="RWS104" s="4"/>
      <c r="RWT104" s="4"/>
      <c r="RWU104" s="4"/>
      <c r="RWV104" s="4"/>
      <c r="RWW104" s="4"/>
      <c r="RWX104" s="4"/>
      <c r="RWY104" s="4"/>
      <c r="RWZ104" s="4"/>
      <c r="RXA104" s="4"/>
      <c r="RXB104" s="4"/>
      <c r="RXC104" s="4"/>
      <c r="RXD104" s="4"/>
      <c r="RXE104" s="4"/>
      <c r="RXF104" s="4"/>
      <c r="RXG104" s="4"/>
      <c r="RXH104" s="4"/>
      <c r="RXI104" s="4"/>
      <c r="RXJ104" s="4"/>
      <c r="RXK104" s="4"/>
      <c r="RXL104" s="4"/>
      <c r="RXM104" s="4"/>
      <c r="RXN104" s="4"/>
      <c r="RXO104" s="4"/>
      <c r="RXP104" s="4"/>
      <c r="RXQ104" s="4"/>
      <c r="RXR104" s="4"/>
      <c r="RXS104" s="4"/>
      <c r="RXT104" s="4"/>
      <c r="RXU104" s="4"/>
      <c r="RXV104" s="4"/>
      <c r="RXW104" s="4"/>
      <c r="RXX104" s="4"/>
      <c r="RXY104" s="4"/>
      <c r="RXZ104" s="4"/>
      <c r="RYA104" s="4"/>
      <c r="RYB104" s="4"/>
      <c r="RYC104" s="4"/>
      <c r="RYD104" s="4"/>
      <c r="RYE104" s="4"/>
      <c r="RYF104" s="4"/>
      <c r="RYG104" s="4"/>
      <c r="RYH104" s="4"/>
      <c r="RYI104" s="4"/>
      <c r="RYJ104" s="4"/>
      <c r="RYK104" s="4"/>
      <c r="RYL104" s="4"/>
      <c r="RYM104" s="4"/>
      <c r="RYN104" s="4"/>
      <c r="RYO104" s="4"/>
      <c r="RYP104" s="4"/>
      <c r="RYQ104" s="4"/>
      <c r="RYR104" s="4"/>
      <c r="RYS104" s="4"/>
      <c r="RYT104" s="4"/>
      <c r="RYU104" s="4"/>
      <c r="RYV104" s="4"/>
      <c r="RYW104" s="4"/>
      <c r="RYX104" s="4"/>
      <c r="RYY104" s="4"/>
      <c r="RYZ104" s="4"/>
      <c r="RZA104" s="4"/>
      <c r="RZB104" s="4"/>
      <c r="RZC104" s="4"/>
      <c r="RZD104" s="4"/>
      <c r="RZE104" s="4"/>
      <c r="RZF104" s="4"/>
      <c r="RZG104" s="4"/>
      <c r="RZH104" s="4"/>
      <c r="RZI104" s="4"/>
      <c r="RZJ104" s="4"/>
      <c r="RZK104" s="4"/>
      <c r="RZL104" s="4"/>
      <c r="RZM104" s="4"/>
      <c r="RZN104" s="4"/>
      <c r="RZO104" s="4"/>
      <c r="RZP104" s="4"/>
      <c r="RZQ104" s="4"/>
      <c r="RZR104" s="4"/>
      <c r="RZS104" s="4"/>
      <c r="RZT104" s="4"/>
      <c r="RZU104" s="4"/>
      <c r="RZV104" s="4"/>
      <c r="RZW104" s="4"/>
      <c r="RZX104" s="4"/>
      <c r="RZY104" s="4"/>
      <c r="RZZ104" s="4"/>
      <c r="SAA104" s="4"/>
      <c r="SAB104" s="4"/>
      <c r="SAC104" s="4"/>
      <c r="SAD104" s="4"/>
      <c r="SAE104" s="4"/>
      <c r="SAF104" s="4"/>
      <c r="SAG104" s="4"/>
      <c r="SAH104" s="4"/>
      <c r="SAI104" s="4"/>
      <c r="SAJ104" s="4"/>
      <c r="SAK104" s="4"/>
      <c r="SAL104" s="4"/>
      <c r="SAM104" s="4"/>
      <c r="SAN104" s="4"/>
      <c r="SAO104" s="4"/>
      <c r="SAP104" s="4"/>
      <c r="SAQ104" s="4"/>
      <c r="SAR104" s="4"/>
      <c r="SAS104" s="4"/>
      <c r="SAT104" s="4"/>
      <c r="SAU104" s="4"/>
      <c r="SAV104" s="4"/>
      <c r="SAW104" s="4"/>
      <c r="SAX104" s="4"/>
      <c r="SAY104" s="4"/>
      <c r="SAZ104" s="4"/>
      <c r="SBA104" s="4"/>
      <c r="SBB104" s="4"/>
      <c r="SBC104" s="4"/>
      <c r="SBD104" s="4"/>
      <c r="SBE104" s="4"/>
      <c r="SBF104" s="4"/>
      <c r="SBG104" s="4"/>
      <c r="SBH104" s="4"/>
      <c r="SBI104" s="4"/>
      <c r="SBJ104" s="4"/>
      <c r="SBK104" s="4"/>
      <c r="SBL104" s="4"/>
      <c r="SBM104" s="4"/>
      <c r="SBN104" s="4"/>
      <c r="SBO104" s="4"/>
      <c r="SBP104" s="4"/>
      <c r="SBQ104" s="4"/>
      <c r="SBR104" s="4"/>
      <c r="SBS104" s="4"/>
      <c r="SBT104" s="4"/>
      <c r="SBU104" s="4"/>
      <c r="SBV104" s="4"/>
      <c r="SBW104" s="4"/>
      <c r="SBX104" s="4"/>
      <c r="SBY104" s="4"/>
      <c r="SBZ104" s="4"/>
      <c r="SCA104" s="4"/>
      <c r="SCB104" s="4"/>
      <c r="SCC104" s="4"/>
      <c r="SCD104" s="4"/>
      <c r="SCE104" s="4"/>
      <c r="SCF104" s="4"/>
      <c r="SCG104" s="4"/>
      <c r="SCH104" s="4"/>
      <c r="SCI104" s="4"/>
      <c r="SCJ104" s="4"/>
      <c r="SCK104" s="4"/>
      <c r="SCL104" s="4"/>
      <c r="SCM104" s="4"/>
      <c r="SCN104" s="4"/>
      <c r="SCO104" s="4"/>
      <c r="SCP104" s="4"/>
      <c r="SCQ104" s="4"/>
      <c r="SCR104" s="4"/>
      <c r="SCS104" s="4"/>
      <c r="SCT104" s="4"/>
      <c r="SCU104" s="4"/>
      <c r="SCV104" s="4"/>
      <c r="SCW104" s="4"/>
      <c r="SCX104" s="4"/>
      <c r="SCY104" s="4"/>
      <c r="SCZ104" s="4"/>
      <c r="SDA104" s="4"/>
      <c r="SDB104" s="4"/>
      <c r="SDC104" s="4"/>
      <c r="SDD104" s="4"/>
      <c r="SDE104" s="4"/>
      <c r="SDF104" s="4"/>
      <c r="SDG104" s="4"/>
      <c r="SDH104" s="4"/>
      <c r="SDI104" s="4"/>
      <c r="SDJ104" s="4"/>
      <c r="SDK104" s="4"/>
      <c r="SDL104" s="4"/>
      <c r="SDM104" s="4"/>
      <c r="SDN104" s="4"/>
      <c r="SDO104" s="4"/>
      <c r="SDP104" s="4"/>
      <c r="SDQ104" s="4"/>
      <c r="SDR104" s="4"/>
      <c r="SDS104" s="4"/>
      <c r="SDT104" s="4"/>
      <c r="SDU104" s="4"/>
      <c r="SDV104" s="4"/>
      <c r="SDW104" s="4"/>
      <c r="SDX104" s="4"/>
      <c r="SDY104" s="4"/>
      <c r="SDZ104" s="4"/>
      <c r="SEA104" s="4"/>
      <c r="SEB104" s="4"/>
      <c r="SEC104" s="4"/>
      <c r="SED104" s="4"/>
      <c r="SEE104" s="4"/>
      <c r="SEF104" s="4"/>
      <c r="SEG104" s="4"/>
      <c r="SEH104" s="4"/>
      <c r="SEI104" s="4"/>
      <c r="SEJ104" s="4"/>
      <c r="SEK104" s="4"/>
      <c r="SEL104" s="4"/>
      <c r="SEM104" s="4"/>
      <c r="SEN104" s="4"/>
      <c r="SEO104" s="4"/>
      <c r="SEP104" s="4"/>
      <c r="SEQ104" s="4"/>
      <c r="SER104" s="4"/>
      <c r="SES104" s="4"/>
      <c r="SET104" s="4"/>
      <c r="SEU104" s="4"/>
      <c r="SEV104" s="4"/>
      <c r="SEW104" s="4"/>
      <c r="SEX104" s="4"/>
      <c r="SEY104" s="4"/>
      <c r="SEZ104" s="4"/>
      <c r="SFA104" s="4"/>
      <c r="SFB104" s="4"/>
      <c r="SFC104" s="4"/>
      <c r="SFD104" s="4"/>
      <c r="SFE104" s="4"/>
      <c r="SFF104" s="4"/>
      <c r="SFG104" s="4"/>
      <c r="SFH104" s="4"/>
      <c r="SFI104" s="4"/>
      <c r="SFJ104" s="4"/>
      <c r="SFK104" s="4"/>
      <c r="SFL104" s="4"/>
      <c r="SFM104" s="4"/>
      <c r="SFN104" s="4"/>
      <c r="SFO104" s="4"/>
      <c r="SFP104" s="4"/>
      <c r="SFQ104" s="4"/>
      <c r="SFR104" s="4"/>
      <c r="SFS104" s="4"/>
      <c r="SFT104" s="4"/>
      <c r="SFU104" s="4"/>
      <c r="SFV104" s="4"/>
      <c r="SFW104" s="4"/>
      <c r="SFX104" s="4"/>
      <c r="SFY104" s="4"/>
      <c r="SFZ104" s="4"/>
      <c r="SGA104" s="4"/>
      <c r="SGB104" s="4"/>
      <c r="SGC104" s="4"/>
      <c r="SGD104" s="4"/>
      <c r="SGE104" s="4"/>
      <c r="SGF104" s="4"/>
      <c r="SGG104" s="4"/>
      <c r="SGH104" s="4"/>
      <c r="SGI104" s="4"/>
      <c r="SGJ104" s="4"/>
      <c r="SGK104" s="4"/>
      <c r="SGL104" s="4"/>
      <c r="SGM104" s="4"/>
      <c r="SGN104" s="4"/>
      <c r="SGO104" s="4"/>
      <c r="SGP104" s="4"/>
      <c r="SGQ104" s="4"/>
      <c r="SGR104" s="4"/>
      <c r="SGS104" s="4"/>
      <c r="SGT104" s="4"/>
      <c r="SGU104" s="4"/>
      <c r="SGV104" s="4"/>
      <c r="SGW104" s="4"/>
      <c r="SGX104" s="4"/>
      <c r="SGY104" s="4"/>
      <c r="SGZ104" s="4"/>
      <c r="SHA104" s="4"/>
      <c r="SHB104" s="4"/>
      <c r="SHC104" s="4"/>
      <c r="SHD104" s="4"/>
      <c r="SHE104" s="4"/>
      <c r="SHF104" s="4"/>
      <c r="SHG104" s="4"/>
      <c r="SHH104" s="4"/>
      <c r="SHI104" s="4"/>
      <c r="SHJ104" s="4"/>
      <c r="SHK104" s="4"/>
      <c r="SHL104" s="4"/>
      <c r="SHM104" s="4"/>
      <c r="SHN104" s="4"/>
      <c r="SHO104" s="4"/>
      <c r="SHP104" s="4"/>
      <c r="SHQ104" s="4"/>
      <c r="SHR104" s="4"/>
      <c r="SHS104" s="4"/>
      <c r="SHT104" s="4"/>
      <c r="SHU104" s="4"/>
      <c r="SHV104" s="4"/>
      <c r="SHW104" s="4"/>
      <c r="SHX104" s="4"/>
      <c r="SHY104" s="4"/>
      <c r="SHZ104" s="4"/>
      <c r="SIA104" s="4"/>
      <c r="SIB104" s="4"/>
      <c r="SIC104" s="4"/>
      <c r="SID104" s="4"/>
      <c r="SIE104" s="4"/>
      <c r="SIF104" s="4"/>
      <c r="SIG104" s="4"/>
      <c r="SIH104" s="4"/>
      <c r="SII104" s="4"/>
      <c r="SIJ104" s="4"/>
      <c r="SIK104" s="4"/>
      <c r="SIL104" s="4"/>
      <c r="SIM104" s="4"/>
      <c r="SIN104" s="4"/>
      <c r="SIO104" s="4"/>
      <c r="SIP104" s="4"/>
      <c r="SIQ104" s="4"/>
      <c r="SIR104" s="4"/>
      <c r="SIS104" s="4"/>
      <c r="SIT104" s="4"/>
      <c r="SIU104" s="4"/>
      <c r="SIV104" s="4"/>
      <c r="SIW104" s="4"/>
      <c r="SIX104" s="4"/>
      <c r="SIY104" s="4"/>
      <c r="SIZ104" s="4"/>
      <c r="SJA104" s="4"/>
      <c r="SJB104" s="4"/>
      <c r="SJC104" s="4"/>
      <c r="SJD104" s="4"/>
      <c r="SJE104" s="4"/>
      <c r="SJF104" s="4"/>
      <c r="SJG104" s="4"/>
      <c r="SJH104" s="4"/>
      <c r="SJI104" s="4"/>
      <c r="SJJ104" s="4"/>
      <c r="SJK104" s="4"/>
      <c r="SJL104" s="4"/>
      <c r="SJM104" s="4"/>
      <c r="SJN104" s="4"/>
      <c r="SJO104" s="4"/>
      <c r="SJP104" s="4"/>
      <c r="SJQ104" s="4"/>
      <c r="SJR104" s="4"/>
      <c r="SJS104" s="4"/>
      <c r="SJT104" s="4"/>
      <c r="SJU104" s="4"/>
      <c r="SJV104" s="4"/>
      <c r="SJW104" s="4"/>
      <c r="SJX104" s="4"/>
      <c r="SJY104" s="4"/>
      <c r="SJZ104" s="4"/>
      <c r="SKA104" s="4"/>
      <c r="SKB104" s="4"/>
      <c r="SKC104" s="4"/>
      <c r="SKD104" s="4"/>
      <c r="SKE104" s="4"/>
      <c r="SKF104" s="4"/>
      <c r="SKG104" s="4"/>
      <c r="SKH104" s="4"/>
      <c r="SKI104" s="4"/>
      <c r="SKJ104" s="4"/>
      <c r="SKK104" s="4"/>
      <c r="SKL104" s="4"/>
      <c r="SKM104" s="4"/>
      <c r="SKN104" s="4"/>
      <c r="SKO104" s="4"/>
      <c r="SKP104" s="4"/>
      <c r="SKQ104" s="4"/>
      <c r="SKR104" s="4"/>
      <c r="SKS104" s="4"/>
      <c r="SKT104" s="4"/>
      <c r="SKU104" s="4"/>
      <c r="SKV104" s="4"/>
      <c r="SKW104" s="4"/>
      <c r="SKX104" s="4"/>
      <c r="SKY104" s="4"/>
      <c r="SKZ104" s="4"/>
      <c r="SLA104" s="4"/>
      <c r="SLB104" s="4"/>
      <c r="SLC104" s="4"/>
      <c r="SLD104" s="4"/>
      <c r="SLE104" s="4"/>
      <c r="SLF104" s="4"/>
      <c r="SLG104" s="4"/>
      <c r="SLH104" s="4"/>
      <c r="SLI104" s="4"/>
      <c r="SLJ104" s="4"/>
      <c r="SLK104" s="4"/>
      <c r="SLL104" s="4"/>
      <c r="SLM104" s="4"/>
      <c r="SLN104" s="4"/>
      <c r="SLO104" s="4"/>
      <c r="SLP104" s="4"/>
      <c r="SLQ104" s="4"/>
      <c r="SLR104" s="4"/>
      <c r="SLS104" s="4"/>
      <c r="SLT104" s="4"/>
      <c r="SLU104" s="4"/>
      <c r="SLV104" s="4"/>
      <c r="SLW104" s="4"/>
      <c r="SLX104" s="4"/>
      <c r="SLY104" s="4"/>
      <c r="SLZ104" s="4"/>
      <c r="SMA104" s="4"/>
      <c r="SMB104" s="4"/>
      <c r="SMC104" s="4"/>
      <c r="SMD104" s="4"/>
      <c r="SME104" s="4"/>
      <c r="SMF104" s="4"/>
      <c r="SMG104" s="4"/>
      <c r="SMH104" s="4"/>
      <c r="SMI104" s="4"/>
      <c r="SMJ104" s="4"/>
      <c r="SMK104" s="4"/>
      <c r="SML104" s="4"/>
      <c r="SMM104" s="4"/>
      <c r="SMN104" s="4"/>
      <c r="SMO104" s="4"/>
      <c r="SMP104" s="4"/>
      <c r="SMQ104" s="4"/>
      <c r="SMR104" s="4"/>
      <c r="SMS104" s="4"/>
      <c r="SMT104" s="4"/>
      <c r="SMU104" s="4"/>
      <c r="SMV104" s="4"/>
      <c r="SMW104" s="4"/>
      <c r="SMX104" s="4"/>
      <c r="SMY104" s="4"/>
      <c r="SMZ104" s="4"/>
      <c r="SNA104" s="4"/>
      <c r="SNB104" s="4"/>
      <c r="SNC104" s="4"/>
      <c r="SND104" s="4"/>
      <c r="SNE104" s="4"/>
      <c r="SNF104" s="4"/>
      <c r="SNG104" s="4"/>
      <c r="SNH104" s="4"/>
      <c r="SNI104" s="4"/>
      <c r="SNJ104" s="4"/>
      <c r="SNK104" s="4"/>
      <c r="SNL104" s="4"/>
      <c r="SNM104" s="4"/>
      <c r="SNN104" s="4"/>
      <c r="SNO104" s="4"/>
      <c r="SNP104" s="4"/>
      <c r="SNQ104" s="4"/>
      <c r="SNR104" s="4"/>
      <c r="SNS104" s="4"/>
      <c r="SNT104" s="4"/>
      <c r="SNU104" s="4"/>
      <c r="SNV104" s="4"/>
      <c r="SNW104" s="4"/>
      <c r="SNX104" s="4"/>
      <c r="SNY104" s="4"/>
      <c r="SNZ104" s="4"/>
      <c r="SOA104" s="4"/>
      <c r="SOB104" s="4"/>
      <c r="SOC104" s="4"/>
      <c r="SOD104" s="4"/>
      <c r="SOE104" s="4"/>
      <c r="SOF104" s="4"/>
      <c r="SOG104" s="4"/>
      <c r="SOH104" s="4"/>
      <c r="SOI104" s="4"/>
      <c r="SOJ104" s="4"/>
      <c r="SOK104" s="4"/>
      <c r="SOL104" s="4"/>
      <c r="SOM104" s="4"/>
      <c r="SON104" s="4"/>
      <c r="SOO104" s="4"/>
      <c r="SOP104" s="4"/>
      <c r="SOQ104" s="4"/>
      <c r="SOR104" s="4"/>
      <c r="SOS104" s="4"/>
      <c r="SOT104" s="4"/>
      <c r="SOU104" s="4"/>
      <c r="SOV104" s="4"/>
      <c r="SOW104" s="4"/>
      <c r="SOX104" s="4"/>
      <c r="SOY104" s="4"/>
      <c r="SOZ104" s="4"/>
      <c r="SPA104" s="4"/>
      <c r="SPB104" s="4"/>
      <c r="SPC104" s="4"/>
      <c r="SPD104" s="4"/>
      <c r="SPE104" s="4"/>
      <c r="SPF104" s="4"/>
      <c r="SPG104" s="4"/>
      <c r="SPH104" s="4"/>
      <c r="SPI104" s="4"/>
      <c r="SPJ104" s="4"/>
      <c r="SPK104" s="4"/>
      <c r="SPL104" s="4"/>
      <c r="SPM104" s="4"/>
      <c r="SPN104" s="4"/>
      <c r="SPO104" s="4"/>
      <c r="SPP104" s="4"/>
      <c r="SPQ104" s="4"/>
      <c r="SPR104" s="4"/>
      <c r="SPS104" s="4"/>
      <c r="SPT104" s="4"/>
      <c r="SPU104" s="4"/>
      <c r="SPV104" s="4"/>
      <c r="SPW104" s="4"/>
      <c r="SPX104" s="4"/>
      <c r="SPY104" s="4"/>
      <c r="SPZ104" s="4"/>
      <c r="SQA104" s="4"/>
      <c r="SQB104" s="4"/>
      <c r="SQC104" s="4"/>
      <c r="SQD104" s="4"/>
      <c r="SQE104" s="4"/>
      <c r="SQF104" s="4"/>
      <c r="SQG104" s="4"/>
      <c r="SQH104" s="4"/>
      <c r="SQI104" s="4"/>
      <c r="SQJ104" s="4"/>
      <c r="SQK104" s="4"/>
      <c r="SQL104" s="4"/>
      <c r="SQM104" s="4"/>
      <c r="SQN104" s="4"/>
      <c r="SQO104" s="4"/>
      <c r="SQP104" s="4"/>
      <c r="SQQ104" s="4"/>
      <c r="SQR104" s="4"/>
      <c r="SQS104" s="4"/>
      <c r="SQT104" s="4"/>
      <c r="SQU104" s="4"/>
      <c r="SQV104" s="4"/>
      <c r="SQW104" s="4"/>
      <c r="SQX104" s="4"/>
      <c r="SQY104" s="4"/>
      <c r="SQZ104" s="4"/>
      <c r="SRA104" s="4"/>
      <c r="SRB104" s="4"/>
      <c r="SRC104" s="4"/>
      <c r="SRD104" s="4"/>
      <c r="SRE104" s="4"/>
      <c r="SRF104" s="4"/>
      <c r="SRG104" s="4"/>
      <c r="SRH104" s="4"/>
      <c r="SRI104" s="4"/>
      <c r="SRJ104" s="4"/>
      <c r="SRK104" s="4"/>
      <c r="SRL104" s="4"/>
      <c r="SRM104" s="4"/>
      <c r="SRN104" s="4"/>
      <c r="SRO104" s="4"/>
      <c r="SRP104" s="4"/>
      <c r="SRQ104" s="4"/>
      <c r="SRR104" s="4"/>
      <c r="SRS104" s="4"/>
      <c r="SRT104" s="4"/>
      <c r="SRU104" s="4"/>
      <c r="SRV104" s="4"/>
      <c r="SRW104" s="4"/>
      <c r="SRX104" s="4"/>
      <c r="SRY104" s="4"/>
      <c r="SRZ104" s="4"/>
      <c r="SSA104" s="4"/>
      <c r="SSB104" s="4"/>
      <c r="SSC104" s="4"/>
      <c r="SSD104" s="4"/>
      <c r="SSE104" s="4"/>
      <c r="SSF104" s="4"/>
      <c r="SSG104" s="4"/>
      <c r="SSH104" s="4"/>
      <c r="SSI104" s="4"/>
      <c r="SSJ104" s="4"/>
      <c r="SSK104" s="4"/>
      <c r="SSL104" s="4"/>
      <c r="SSM104" s="4"/>
      <c r="SSN104" s="4"/>
      <c r="SSO104" s="4"/>
      <c r="SSP104" s="4"/>
      <c r="SSQ104" s="4"/>
      <c r="SSR104" s="4"/>
      <c r="SSS104" s="4"/>
      <c r="SST104" s="4"/>
      <c r="SSU104" s="4"/>
      <c r="SSV104" s="4"/>
      <c r="SSW104" s="4"/>
      <c r="SSX104" s="4"/>
      <c r="SSY104" s="4"/>
      <c r="SSZ104" s="4"/>
      <c r="STA104" s="4"/>
      <c r="STB104" s="4"/>
      <c r="STC104" s="4"/>
      <c r="STD104" s="4"/>
      <c r="STE104" s="4"/>
      <c r="STF104" s="4"/>
      <c r="STG104" s="4"/>
      <c r="STH104" s="4"/>
      <c r="STI104" s="4"/>
      <c r="STJ104" s="4"/>
      <c r="STK104" s="4"/>
      <c r="STL104" s="4"/>
      <c r="STM104" s="4"/>
      <c r="STN104" s="4"/>
      <c r="STO104" s="4"/>
      <c r="STP104" s="4"/>
      <c r="STQ104" s="4"/>
      <c r="STR104" s="4"/>
      <c r="STS104" s="4"/>
      <c r="STT104" s="4"/>
      <c r="STU104" s="4"/>
      <c r="STV104" s="4"/>
      <c r="STW104" s="4"/>
      <c r="STX104" s="4"/>
      <c r="STY104" s="4"/>
      <c r="STZ104" s="4"/>
      <c r="SUA104" s="4"/>
      <c r="SUB104" s="4"/>
      <c r="SUC104" s="4"/>
      <c r="SUD104" s="4"/>
      <c r="SUE104" s="4"/>
      <c r="SUF104" s="4"/>
      <c r="SUG104" s="4"/>
      <c r="SUH104" s="4"/>
      <c r="SUI104" s="4"/>
      <c r="SUJ104" s="4"/>
      <c r="SUK104" s="4"/>
      <c r="SUL104" s="4"/>
      <c r="SUM104" s="4"/>
      <c r="SUN104" s="4"/>
      <c r="SUO104" s="4"/>
      <c r="SUP104" s="4"/>
      <c r="SUQ104" s="4"/>
      <c r="SUR104" s="4"/>
      <c r="SUS104" s="4"/>
      <c r="SUT104" s="4"/>
      <c r="SUU104" s="4"/>
      <c r="SUV104" s="4"/>
      <c r="SUW104" s="4"/>
      <c r="SUX104" s="4"/>
      <c r="SUY104" s="4"/>
      <c r="SUZ104" s="4"/>
      <c r="SVA104" s="4"/>
      <c r="SVB104" s="4"/>
      <c r="SVC104" s="4"/>
      <c r="SVD104" s="4"/>
      <c r="SVE104" s="4"/>
      <c r="SVF104" s="4"/>
      <c r="SVG104" s="4"/>
      <c r="SVH104" s="4"/>
      <c r="SVI104" s="4"/>
      <c r="SVJ104" s="4"/>
      <c r="SVK104" s="4"/>
      <c r="SVL104" s="4"/>
      <c r="SVM104" s="4"/>
      <c r="SVN104" s="4"/>
      <c r="SVO104" s="4"/>
      <c r="SVP104" s="4"/>
      <c r="SVQ104" s="4"/>
      <c r="SVR104" s="4"/>
      <c r="SVS104" s="4"/>
      <c r="SVT104" s="4"/>
      <c r="SVU104" s="4"/>
      <c r="SVV104" s="4"/>
      <c r="SVW104" s="4"/>
      <c r="SVX104" s="4"/>
      <c r="SVY104" s="4"/>
      <c r="SVZ104" s="4"/>
      <c r="SWA104" s="4"/>
      <c r="SWB104" s="4"/>
      <c r="SWC104" s="4"/>
      <c r="SWD104" s="4"/>
      <c r="SWE104" s="4"/>
      <c r="SWF104" s="4"/>
      <c r="SWG104" s="4"/>
      <c r="SWH104" s="4"/>
      <c r="SWI104" s="4"/>
      <c r="SWJ104" s="4"/>
      <c r="SWK104" s="4"/>
      <c r="SWL104" s="4"/>
      <c r="SWM104" s="4"/>
      <c r="SWN104" s="4"/>
      <c r="SWO104" s="4"/>
      <c r="SWP104" s="4"/>
      <c r="SWQ104" s="4"/>
      <c r="SWR104" s="4"/>
      <c r="SWS104" s="4"/>
      <c r="SWT104" s="4"/>
      <c r="SWU104" s="4"/>
      <c r="SWV104" s="4"/>
      <c r="SWW104" s="4"/>
      <c r="SWX104" s="4"/>
      <c r="SWY104" s="4"/>
      <c r="SWZ104" s="4"/>
      <c r="SXA104" s="4"/>
      <c r="SXB104" s="4"/>
      <c r="SXC104" s="4"/>
      <c r="SXD104" s="4"/>
      <c r="SXE104" s="4"/>
      <c r="SXF104" s="4"/>
      <c r="SXG104" s="4"/>
      <c r="SXH104" s="4"/>
      <c r="SXI104" s="4"/>
      <c r="SXJ104" s="4"/>
      <c r="SXK104" s="4"/>
      <c r="SXL104" s="4"/>
      <c r="SXM104" s="4"/>
      <c r="SXN104" s="4"/>
      <c r="SXO104" s="4"/>
      <c r="SXP104" s="4"/>
      <c r="SXQ104" s="4"/>
      <c r="SXR104" s="4"/>
      <c r="SXS104" s="4"/>
      <c r="SXT104" s="4"/>
      <c r="SXU104" s="4"/>
      <c r="SXV104" s="4"/>
      <c r="SXW104" s="4"/>
      <c r="SXX104" s="4"/>
      <c r="SXY104" s="4"/>
      <c r="SXZ104" s="4"/>
      <c r="SYA104" s="4"/>
      <c r="SYB104" s="4"/>
      <c r="SYC104" s="4"/>
      <c r="SYD104" s="4"/>
      <c r="SYE104" s="4"/>
      <c r="SYF104" s="4"/>
      <c r="SYG104" s="4"/>
      <c r="SYH104" s="4"/>
      <c r="SYI104" s="4"/>
      <c r="SYJ104" s="4"/>
      <c r="SYK104" s="4"/>
      <c r="SYL104" s="4"/>
      <c r="SYM104" s="4"/>
      <c r="SYN104" s="4"/>
      <c r="SYO104" s="4"/>
      <c r="SYP104" s="4"/>
      <c r="SYQ104" s="4"/>
      <c r="SYR104" s="4"/>
      <c r="SYS104" s="4"/>
      <c r="SYT104" s="4"/>
      <c r="SYU104" s="4"/>
      <c r="SYV104" s="4"/>
      <c r="SYW104" s="4"/>
      <c r="SYX104" s="4"/>
      <c r="SYY104" s="4"/>
      <c r="SYZ104" s="4"/>
      <c r="SZA104" s="4"/>
      <c r="SZB104" s="4"/>
      <c r="SZC104" s="4"/>
      <c r="SZD104" s="4"/>
      <c r="SZE104" s="4"/>
      <c r="SZF104" s="4"/>
      <c r="SZG104" s="4"/>
      <c r="SZH104" s="4"/>
      <c r="SZI104" s="4"/>
      <c r="SZJ104" s="4"/>
      <c r="SZK104" s="4"/>
      <c r="SZL104" s="4"/>
      <c r="SZM104" s="4"/>
      <c r="SZN104" s="4"/>
      <c r="SZO104" s="4"/>
      <c r="SZP104" s="4"/>
      <c r="SZQ104" s="4"/>
      <c r="SZR104" s="4"/>
      <c r="SZS104" s="4"/>
      <c r="SZT104" s="4"/>
      <c r="SZU104" s="4"/>
      <c r="SZV104" s="4"/>
      <c r="SZW104" s="4"/>
      <c r="SZX104" s="4"/>
      <c r="SZY104" s="4"/>
      <c r="SZZ104" s="4"/>
      <c r="TAA104" s="4"/>
      <c r="TAB104" s="4"/>
      <c r="TAC104" s="4"/>
      <c r="TAD104" s="4"/>
      <c r="TAE104" s="4"/>
      <c r="TAF104" s="4"/>
      <c r="TAG104" s="4"/>
      <c r="TAH104" s="4"/>
      <c r="TAI104" s="4"/>
      <c r="TAJ104" s="4"/>
      <c r="TAK104" s="4"/>
      <c r="TAL104" s="4"/>
      <c r="TAM104" s="4"/>
      <c r="TAN104" s="4"/>
      <c r="TAO104" s="4"/>
      <c r="TAP104" s="4"/>
      <c r="TAQ104" s="4"/>
      <c r="TAR104" s="4"/>
      <c r="TAS104" s="4"/>
      <c r="TAT104" s="4"/>
      <c r="TAU104" s="4"/>
      <c r="TAV104" s="4"/>
      <c r="TAW104" s="4"/>
      <c r="TAX104" s="4"/>
      <c r="TAY104" s="4"/>
      <c r="TAZ104" s="4"/>
      <c r="TBA104" s="4"/>
      <c r="TBB104" s="4"/>
      <c r="TBC104" s="4"/>
      <c r="TBD104" s="4"/>
      <c r="TBE104" s="4"/>
      <c r="TBF104" s="4"/>
      <c r="TBG104" s="4"/>
      <c r="TBH104" s="4"/>
      <c r="TBI104" s="4"/>
      <c r="TBJ104" s="4"/>
      <c r="TBK104" s="4"/>
      <c r="TBL104" s="4"/>
      <c r="TBM104" s="4"/>
      <c r="TBN104" s="4"/>
      <c r="TBO104" s="4"/>
      <c r="TBP104" s="4"/>
      <c r="TBQ104" s="4"/>
      <c r="TBR104" s="4"/>
      <c r="TBS104" s="4"/>
      <c r="TBT104" s="4"/>
      <c r="TBU104" s="4"/>
      <c r="TBV104" s="4"/>
      <c r="TBW104" s="4"/>
      <c r="TBX104" s="4"/>
      <c r="TBY104" s="4"/>
      <c r="TBZ104" s="4"/>
      <c r="TCA104" s="4"/>
      <c r="TCB104" s="4"/>
      <c r="TCC104" s="4"/>
      <c r="TCD104" s="4"/>
      <c r="TCE104" s="4"/>
      <c r="TCF104" s="4"/>
      <c r="TCG104" s="4"/>
      <c r="TCH104" s="4"/>
      <c r="TCI104" s="4"/>
      <c r="TCJ104" s="4"/>
      <c r="TCK104" s="4"/>
      <c r="TCL104" s="4"/>
      <c r="TCM104" s="4"/>
      <c r="TCN104" s="4"/>
      <c r="TCO104" s="4"/>
      <c r="TCP104" s="4"/>
      <c r="TCQ104" s="4"/>
      <c r="TCR104" s="4"/>
      <c r="TCS104" s="4"/>
      <c r="TCT104" s="4"/>
      <c r="TCU104" s="4"/>
      <c r="TCV104" s="4"/>
      <c r="TCW104" s="4"/>
      <c r="TCX104" s="4"/>
      <c r="TCY104" s="4"/>
      <c r="TCZ104" s="4"/>
      <c r="TDA104" s="4"/>
      <c r="TDB104" s="4"/>
      <c r="TDC104" s="4"/>
      <c r="TDD104" s="4"/>
      <c r="TDE104" s="4"/>
      <c r="TDF104" s="4"/>
      <c r="TDG104" s="4"/>
      <c r="TDH104" s="4"/>
      <c r="TDI104" s="4"/>
      <c r="TDJ104" s="4"/>
      <c r="TDK104" s="4"/>
      <c r="TDL104" s="4"/>
      <c r="TDM104" s="4"/>
      <c r="TDN104" s="4"/>
      <c r="TDO104" s="4"/>
      <c r="TDP104" s="4"/>
      <c r="TDQ104" s="4"/>
      <c r="TDR104" s="4"/>
      <c r="TDS104" s="4"/>
      <c r="TDT104" s="4"/>
      <c r="TDU104" s="4"/>
      <c r="TDV104" s="4"/>
      <c r="TDW104" s="4"/>
      <c r="TDX104" s="4"/>
      <c r="TDY104" s="4"/>
      <c r="TDZ104" s="4"/>
      <c r="TEA104" s="4"/>
      <c r="TEB104" s="4"/>
      <c r="TEC104" s="4"/>
      <c r="TED104" s="4"/>
      <c r="TEE104" s="4"/>
      <c r="TEF104" s="4"/>
      <c r="TEG104" s="4"/>
      <c r="TEH104" s="4"/>
      <c r="TEI104" s="4"/>
      <c r="TEJ104" s="4"/>
      <c r="TEK104" s="4"/>
      <c r="TEL104" s="4"/>
      <c r="TEM104" s="4"/>
      <c r="TEN104" s="4"/>
      <c r="TEO104" s="4"/>
      <c r="TEP104" s="4"/>
      <c r="TEQ104" s="4"/>
      <c r="TER104" s="4"/>
      <c r="TES104" s="4"/>
      <c r="TET104" s="4"/>
      <c r="TEU104" s="4"/>
      <c r="TEV104" s="4"/>
      <c r="TEW104" s="4"/>
      <c r="TEX104" s="4"/>
      <c r="TEY104" s="4"/>
      <c r="TEZ104" s="4"/>
      <c r="TFA104" s="4"/>
      <c r="TFB104" s="4"/>
      <c r="TFC104" s="4"/>
      <c r="TFD104" s="4"/>
      <c r="TFE104" s="4"/>
      <c r="TFF104" s="4"/>
      <c r="TFG104" s="4"/>
      <c r="TFH104" s="4"/>
      <c r="TFI104" s="4"/>
      <c r="TFJ104" s="4"/>
      <c r="TFK104" s="4"/>
      <c r="TFL104" s="4"/>
      <c r="TFM104" s="4"/>
      <c r="TFN104" s="4"/>
      <c r="TFO104" s="4"/>
      <c r="TFP104" s="4"/>
      <c r="TFQ104" s="4"/>
      <c r="TFR104" s="4"/>
      <c r="TFS104" s="4"/>
      <c r="TFT104" s="4"/>
      <c r="TFU104" s="4"/>
      <c r="TFV104" s="4"/>
      <c r="TFW104" s="4"/>
      <c r="TFX104" s="4"/>
      <c r="TFY104" s="4"/>
      <c r="TFZ104" s="4"/>
      <c r="TGA104" s="4"/>
      <c r="TGB104" s="4"/>
      <c r="TGC104" s="4"/>
      <c r="TGD104" s="4"/>
      <c r="TGE104" s="4"/>
      <c r="TGF104" s="4"/>
      <c r="TGG104" s="4"/>
      <c r="TGH104" s="4"/>
      <c r="TGI104" s="4"/>
      <c r="TGJ104" s="4"/>
      <c r="TGK104" s="4"/>
      <c r="TGL104" s="4"/>
      <c r="TGM104" s="4"/>
      <c r="TGN104" s="4"/>
      <c r="TGO104" s="4"/>
      <c r="TGP104" s="4"/>
      <c r="TGQ104" s="4"/>
      <c r="TGR104" s="4"/>
      <c r="TGS104" s="4"/>
      <c r="TGT104" s="4"/>
      <c r="TGU104" s="4"/>
      <c r="TGV104" s="4"/>
      <c r="TGW104" s="4"/>
      <c r="TGX104" s="4"/>
      <c r="TGY104" s="4"/>
      <c r="TGZ104" s="4"/>
      <c r="THA104" s="4"/>
      <c r="THB104" s="4"/>
      <c r="THC104" s="4"/>
      <c r="THD104" s="4"/>
      <c r="THE104" s="4"/>
      <c r="THF104" s="4"/>
      <c r="THG104" s="4"/>
      <c r="THH104" s="4"/>
      <c r="THI104" s="4"/>
      <c r="THJ104" s="4"/>
      <c r="THK104" s="4"/>
      <c r="THL104" s="4"/>
      <c r="THM104" s="4"/>
      <c r="THN104" s="4"/>
      <c r="THO104" s="4"/>
      <c r="THP104" s="4"/>
      <c r="THQ104" s="4"/>
      <c r="THR104" s="4"/>
      <c r="THS104" s="4"/>
      <c r="THT104" s="4"/>
      <c r="THU104" s="4"/>
      <c r="THV104" s="4"/>
      <c r="THW104" s="4"/>
      <c r="THX104" s="4"/>
      <c r="THY104" s="4"/>
      <c r="THZ104" s="4"/>
      <c r="TIA104" s="4"/>
      <c r="TIB104" s="4"/>
      <c r="TIC104" s="4"/>
      <c r="TID104" s="4"/>
      <c r="TIE104" s="4"/>
      <c r="TIF104" s="4"/>
      <c r="TIG104" s="4"/>
      <c r="TIH104" s="4"/>
      <c r="TII104" s="4"/>
      <c r="TIJ104" s="4"/>
      <c r="TIK104" s="4"/>
      <c r="TIL104" s="4"/>
      <c r="TIM104" s="4"/>
      <c r="TIN104" s="4"/>
      <c r="TIO104" s="4"/>
      <c r="TIP104" s="4"/>
      <c r="TIQ104" s="4"/>
      <c r="TIR104" s="4"/>
      <c r="TIS104" s="4"/>
      <c r="TIT104" s="4"/>
      <c r="TIU104" s="4"/>
      <c r="TIV104" s="4"/>
      <c r="TIW104" s="4"/>
      <c r="TIX104" s="4"/>
      <c r="TIY104" s="4"/>
      <c r="TIZ104" s="4"/>
      <c r="TJA104" s="4"/>
      <c r="TJB104" s="4"/>
      <c r="TJC104" s="4"/>
      <c r="TJD104" s="4"/>
      <c r="TJE104" s="4"/>
      <c r="TJF104" s="4"/>
      <c r="TJG104" s="4"/>
      <c r="TJH104" s="4"/>
      <c r="TJI104" s="4"/>
      <c r="TJJ104" s="4"/>
      <c r="TJK104" s="4"/>
      <c r="TJL104" s="4"/>
      <c r="TJM104" s="4"/>
      <c r="TJN104" s="4"/>
      <c r="TJO104" s="4"/>
      <c r="TJP104" s="4"/>
      <c r="TJQ104" s="4"/>
      <c r="TJR104" s="4"/>
      <c r="TJS104" s="4"/>
      <c r="TJT104" s="4"/>
      <c r="TJU104" s="4"/>
      <c r="TJV104" s="4"/>
      <c r="TJW104" s="4"/>
      <c r="TJX104" s="4"/>
      <c r="TJY104" s="4"/>
      <c r="TJZ104" s="4"/>
      <c r="TKA104" s="4"/>
      <c r="TKB104" s="4"/>
      <c r="TKC104" s="4"/>
      <c r="TKD104" s="4"/>
      <c r="TKE104" s="4"/>
      <c r="TKF104" s="4"/>
      <c r="TKG104" s="4"/>
      <c r="TKH104" s="4"/>
      <c r="TKI104" s="4"/>
      <c r="TKJ104" s="4"/>
      <c r="TKK104" s="4"/>
      <c r="TKL104" s="4"/>
      <c r="TKM104" s="4"/>
      <c r="TKN104" s="4"/>
      <c r="TKO104" s="4"/>
      <c r="TKP104" s="4"/>
      <c r="TKQ104" s="4"/>
      <c r="TKR104" s="4"/>
      <c r="TKS104" s="4"/>
      <c r="TKT104" s="4"/>
      <c r="TKU104" s="4"/>
      <c r="TKV104" s="4"/>
      <c r="TKW104" s="4"/>
      <c r="TKX104" s="4"/>
      <c r="TKY104" s="4"/>
      <c r="TKZ104" s="4"/>
      <c r="TLA104" s="4"/>
      <c r="TLB104" s="4"/>
      <c r="TLC104" s="4"/>
      <c r="TLD104" s="4"/>
      <c r="TLE104" s="4"/>
      <c r="TLF104" s="4"/>
      <c r="TLG104" s="4"/>
      <c r="TLH104" s="4"/>
      <c r="TLI104" s="4"/>
      <c r="TLJ104" s="4"/>
      <c r="TLK104" s="4"/>
      <c r="TLL104" s="4"/>
      <c r="TLM104" s="4"/>
      <c r="TLN104" s="4"/>
      <c r="TLO104" s="4"/>
      <c r="TLP104" s="4"/>
      <c r="TLQ104" s="4"/>
      <c r="TLR104" s="4"/>
      <c r="TLS104" s="4"/>
      <c r="TLT104" s="4"/>
      <c r="TLU104" s="4"/>
      <c r="TLV104" s="4"/>
      <c r="TLW104" s="4"/>
      <c r="TLX104" s="4"/>
      <c r="TLY104" s="4"/>
      <c r="TLZ104" s="4"/>
      <c r="TMA104" s="4"/>
      <c r="TMB104" s="4"/>
      <c r="TMC104" s="4"/>
      <c r="TMD104" s="4"/>
      <c r="TME104" s="4"/>
      <c r="TMF104" s="4"/>
      <c r="TMG104" s="4"/>
      <c r="TMH104" s="4"/>
      <c r="TMI104" s="4"/>
      <c r="TMJ104" s="4"/>
      <c r="TMK104" s="4"/>
      <c r="TML104" s="4"/>
      <c r="TMM104" s="4"/>
      <c r="TMN104" s="4"/>
      <c r="TMO104" s="4"/>
      <c r="TMP104" s="4"/>
      <c r="TMQ104" s="4"/>
      <c r="TMR104" s="4"/>
      <c r="TMS104" s="4"/>
      <c r="TMT104" s="4"/>
      <c r="TMU104" s="4"/>
      <c r="TMV104" s="4"/>
      <c r="TMW104" s="4"/>
      <c r="TMX104" s="4"/>
      <c r="TMY104" s="4"/>
      <c r="TMZ104" s="4"/>
      <c r="TNA104" s="4"/>
      <c r="TNB104" s="4"/>
      <c r="TNC104" s="4"/>
      <c r="TND104" s="4"/>
      <c r="TNE104" s="4"/>
      <c r="TNF104" s="4"/>
      <c r="TNG104" s="4"/>
      <c r="TNH104" s="4"/>
      <c r="TNI104" s="4"/>
      <c r="TNJ104" s="4"/>
      <c r="TNK104" s="4"/>
      <c r="TNL104" s="4"/>
      <c r="TNM104" s="4"/>
      <c r="TNN104" s="4"/>
      <c r="TNO104" s="4"/>
      <c r="TNP104" s="4"/>
      <c r="TNQ104" s="4"/>
      <c r="TNR104" s="4"/>
      <c r="TNS104" s="4"/>
      <c r="TNT104" s="4"/>
      <c r="TNU104" s="4"/>
      <c r="TNV104" s="4"/>
      <c r="TNW104" s="4"/>
      <c r="TNX104" s="4"/>
      <c r="TNY104" s="4"/>
      <c r="TNZ104" s="4"/>
      <c r="TOA104" s="4"/>
      <c r="TOB104" s="4"/>
      <c r="TOC104" s="4"/>
      <c r="TOD104" s="4"/>
      <c r="TOE104" s="4"/>
      <c r="TOF104" s="4"/>
      <c r="TOG104" s="4"/>
      <c r="TOH104" s="4"/>
      <c r="TOI104" s="4"/>
      <c r="TOJ104" s="4"/>
      <c r="TOK104" s="4"/>
      <c r="TOL104" s="4"/>
      <c r="TOM104" s="4"/>
      <c r="TON104" s="4"/>
      <c r="TOO104" s="4"/>
      <c r="TOP104" s="4"/>
      <c r="TOQ104" s="4"/>
      <c r="TOR104" s="4"/>
      <c r="TOS104" s="4"/>
      <c r="TOT104" s="4"/>
      <c r="TOU104" s="4"/>
      <c r="TOV104" s="4"/>
      <c r="TOW104" s="4"/>
      <c r="TOX104" s="4"/>
      <c r="TOY104" s="4"/>
      <c r="TOZ104" s="4"/>
      <c r="TPA104" s="4"/>
      <c r="TPB104" s="4"/>
      <c r="TPC104" s="4"/>
      <c r="TPD104" s="4"/>
      <c r="TPE104" s="4"/>
      <c r="TPF104" s="4"/>
      <c r="TPG104" s="4"/>
      <c r="TPH104" s="4"/>
      <c r="TPI104" s="4"/>
      <c r="TPJ104" s="4"/>
      <c r="TPK104" s="4"/>
      <c r="TPL104" s="4"/>
      <c r="TPM104" s="4"/>
      <c r="TPN104" s="4"/>
      <c r="TPO104" s="4"/>
      <c r="TPP104" s="4"/>
      <c r="TPQ104" s="4"/>
      <c r="TPR104" s="4"/>
      <c r="TPS104" s="4"/>
      <c r="TPT104" s="4"/>
      <c r="TPU104" s="4"/>
      <c r="TPV104" s="4"/>
      <c r="TPW104" s="4"/>
      <c r="TPX104" s="4"/>
      <c r="TPY104" s="4"/>
      <c r="TPZ104" s="4"/>
      <c r="TQA104" s="4"/>
      <c r="TQB104" s="4"/>
      <c r="TQC104" s="4"/>
      <c r="TQD104" s="4"/>
      <c r="TQE104" s="4"/>
      <c r="TQF104" s="4"/>
      <c r="TQG104" s="4"/>
      <c r="TQH104" s="4"/>
      <c r="TQI104" s="4"/>
      <c r="TQJ104" s="4"/>
      <c r="TQK104" s="4"/>
      <c r="TQL104" s="4"/>
      <c r="TQM104" s="4"/>
      <c r="TQN104" s="4"/>
      <c r="TQO104" s="4"/>
      <c r="TQP104" s="4"/>
      <c r="TQQ104" s="4"/>
      <c r="TQR104" s="4"/>
      <c r="TQS104" s="4"/>
      <c r="TQT104" s="4"/>
      <c r="TQU104" s="4"/>
      <c r="TQV104" s="4"/>
      <c r="TQW104" s="4"/>
      <c r="TQX104" s="4"/>
      <c r="TQY104" s="4"/>
      <c r="TQZ104" s="4"/>
      <c r="TRA104" s="4"/>
      <c r="TRB104" s="4"/>
      <c r="TRC104" s="4"/>
      <c r="TRD104" s="4"/>
      <c r="TRE104" s="4"/>
      <c r="TRF104" s="4"/>
      <c r="TRG104" s="4"/>
      <c r="TRH104" s="4"/>
      <c r="TRI104" s="4"/>
      <c r="TRJ104" s="4"/>
      <c r="TRK104" s="4"/>
      <c r="TRL104" s="4"/>
      <c r="TRM104" s="4"/>
      <c r="TRN104" s="4"/>
      <c r="TRO104" s="4"/>
      <c r="TRP104" s="4"/>
      <c r="TRQ104" s="4"/>
      <c r="TRR104" s="4"/>
      <c r="TRS104" s="4"/>
      <c r="TRT104" s="4"/>
      <c r="TRU104" s="4"/>
      <c r="TRV104" s="4"/>
      <c r="TRW104" s="4"/>
      <c r="TRX104" s="4"/>
      <c r="TRY104" s="4"/>
      <c r="TRZ104" s="4"/>
      <c r="TSA104" s="4"/>
      <c r="TSB104" s="4"/>
      <c r="TSC104" s="4"/>
      <c r="TSD104" s="4"/>
      <c r="TSE104" s="4"/>
      <c r="TSF104" s="4"/>
      <c r="TSG104" s="4"/>
      <c r="TSH104" s="4"/>
      <c r="TSI104" s="4"/>
      <c r="TSJ104" s="4"/>
      <c r="TSK104" s="4"/>
      <c r="TSL104" s="4"/>
      <c r="TSM104" s="4"/>
      <c r="TSN104" s="4"/>
      <c r="TSO104" s="4"/>
      <c r="TSP104" s="4"/>
      <c r="TSQ104" s="4"/>
      <c r="TSR104" s="4"/>
      <c r="TSS104" s="4"/>
      <c r="TST104" s="4"/>
      <c r="TSU104" s="4"/>
      <c r="TSV104" s="4"/>
      <c r="TSW104" s="4"/>
      <c r="TSX104" s="4"/>
      <c r="TSY104" s="4"/>
      <c r="TSZ104" s="4"/>
      <c r="TTA104" s="4"/>
      <c r="TTB104" s="4"/>
      <c r="TTC104" s="4"/>
      <c r="TTD104" s="4"/>
      <c r="TTE104" s="4"/>
      <c r="TTF104" s="4"/>
      <c r="TTG104" s="4"/>
      <c r="TTH104" s="4"/>
      <c r="TTI104" s="4"/>
      <c r="TTJ104" s="4"/>
      <c r="TTK104" s="4"/>
      <c r="TTL104" s="4"/>
      <c r="TTM104" s="4"/>
      <c r="TTN104" s="4"/>
      <c r="TTO104" s="4"/>
      <c r="TTP104" s="4"/>
      <c r="TTQ104" s="4"/>
      <c r="TTR104" s="4"/>
      <c r="TTS104" s="4"/>
      <c r="TTT104" s="4"/>
      <c r="TTU104" s="4"/>
      <c r="TTV104" s="4"/>
      <c r="TTW104" s="4"/>
      <c r="TTX104" s="4"/>
      <c r="TTY104" s="4"/>
      <c r="TTZ104" s="4"/>
      <c r="TUA104" s="4"/>
      <c r="TUB104" s="4"/>
      <c r="TUC104" s="4"/>
      <c r="TUD104" s="4"/>
      <c r="TUE104" s="4"/>
      <c r="TUF104" s="4"/>
      <c r="TUG104" s="4"/>
      <c r="TUH104" s="4"/>
      <c r="TUI104" s="4"/>
      <c r="TUJ104" s="4"/>
      <c r="TUK104" s="4"/>
      <c r="TUL104" s="4"/>
      <c r="TUM104" s="4"/>
      <c r="TUN104" s="4"/>
      <c r="TUO104" s="4"/>
      <c r="TUP104" s="4"/>
      <c r="TUQ104" s="4"/>
      <c r="TUR104" s="4"/>
      <c r="TUS104" s="4"/>
      <c r="TUT104" s="4"/>
      <c r="TUU104" s="4"/>
      <c r="TUV104" s="4"/>
      <c r="TUW104" s="4"/>
      <c r="TUX104" s="4"/>
      <c r="TUY104" s="4"/>
      <c r="TUZ104" s="4"/>
      <c r="TVA104" s="4"/>
      <c r="TVB104" s="4"/>
      <c r="TVC104" s="4"/>
      <c r="TVD104" s="4"/>
      <c r="TVE104" s="4"/>
      <c r="TVF104" s="4"/>
      <c r="TVG104" s="4"/>
      <c r="TVH104" s="4"/>
      <c r="TVI104" s="4"/>
      <c r="TVJ104" s="4"/>
      <c r="TVK104" s="4"/>
      <c r="TVL104" s="4"/>
      <c r="TVM104" s="4"/>
      <c r="TVN104" s="4"/>
      <c r="TVO104" s="4"/>
      <c r="TVP104" s="4"/>
      <c r="TVQ104" s="4"/>
      <c r="TVR104" s="4"/>
      <c r="TVS104" s="4"/>
      <c r="TVT104" s="4"/>
      <c r="TVU104" s="4"/>
      <c r="TVV104" s="4"/>
      <c r="TVW104" s="4"/>
      <c r="TVX104" s="4"/>
      <c r="TVY104" s="4"/>
      <c r="TVZ104" s="4"/>
      <c r="TWA104" s="4"/>
      <c r="TWB104" s="4"/>
      <c r="TWC104" s="4"/>
      <c r="TWD104" s="4"/>
      <c r="TWE104" s="4"/>
      <c r="TWF104" s="4"/>
      <c r="TWG104" s="4"/>
      <c r="TWH104" s="4"/>
      <c r="TWI104" s="4"/>
      <c r="TWJ104" s="4"/>
      <c r="TWK104" s="4"/>
      <c r="TWL104" s="4"/>
      <c r="TWM104" s="4"/>
      <c r="TWN104" s="4"/>
      <c r="TWO104" s="4"/>
      <c r="TWP104" s="4"/>
      <c r="TWQ104" s="4"/>
      <c r="TWR104" s="4"/>
      <c r="TWS104" s="4"/>
      <c r="TWT104" s="4"/>
      <c r="TWU104" s="4"/>
      <c r="TWV104" s="4"/>
      <c r="TWW104" s="4"/>
      <c r="TWX104" s="4"/>
      <c r="TWY104" s="4"/>
      <c r="TWZ104" s="4"/>
      <c r="TXA104" s="4"/>
      <c r="TXB104" s="4"/>
      <c r="TXC104" s="4"/>
      <c r="TXD104" s="4"/>
      <c r="TXE104" s="4"/>
      <c r="TXF104" s="4"/>
      <c r="TXG104" s="4"/>
      <c r="TXH104" s="4"/>
      <c r="TXI104" s="4"/>
      <c r="TXJ104" s="4"/>
      <c r="TXK104" s="4"/>
      <c r="TXL104" s="4"/>
      <c r="TXM104" s="4"/>
      <c r="TXN104" s="4"/>
      <c r="TXO104" s="4"/>
      <c r="TXP104" s="4"/>
      <c r="TXQ104" s="4"/>
      <c r="TXR104" s="4"/>
      <c r="TXS104" s="4"/>
      <c r="TXT104" s="4"/>
      <c r="TXU104" s="4"/>
      <c r="TXV104" s="4"/>
      <c r="TXW104" s="4"/>
      <c r="TXX104" s="4"/>
      <c r="TXY104" s="4"/>
      <c r="TXZ104" s="4"/>
      <c r="TYA104" s="4"/>
      <c r="TYB104" s="4"/>
      <c r="TYC104" s="4"/>
      <c r="TYD104" s="4"/>
      <c r="TYE104" s="4"/>
      <c r="TYF104" s="4"/>
      <c r="TYG104" s="4"/>
      <c r="TYH104" s="4"/>
      <c r="TYI104" s="4"/>
      <c r="TYJ104" s="4"/>
      <c r="TYK104" s="4"/>
      <c r="TYL104" s="4"/>
      <c r="TYM104" s="4"/>
      <c r="TYN104" s="4"/>
      <c r="TYO104" s="4"/>
      <c r="TYP104" s="4"/>
      <c r="TYQ104" s="4"/>
      <c r="TYR104" s="4"/>
      <c r="TYS104" s="4"/>
      <c r="TYT104" s="4"/>
      <c r="TYU104" s="4"/>
      <c r="TYV104" s="4"/>
      <c r="TYW104" s="4"/>
      <c r="TYX104" s="4"/>
      <c r="TYY104" s="4"/>
      <c r="TYZ104" s="4"/>
      <c r="TZA104" s="4"/>
      <c r="TZB104" s="4"/>
      <c r="TZC104" s="4"/>
      <c r="TZD104" s="4"/>
      <c r="TZE104" s="4"/>
      <c r="TZF104" s="4"/>
      <c r="TZG104" s="4"/>
      <c r="TZH104" s="4"/>
      <c r="TZI104" s="4"/>
      <c r="TZJ104" s="4"/>
      <c r="TZK104" s="4"/>
      <c r="TZL104" s="4"/>
      <c r="TZM104" s="4"/>
      <c r="TZN104" s="4"/>
      <c r="TZO104" s="4"/>
      <c r="TZP104" s="4"/>
      <c r="TZQ104" s="4"/>
      <c r="TZR104" s="4"/>
      <c r="TZS104" s="4"/>
      <c r="TZT104" s="4"/>
      <c r="TZU104" s="4"/>
      <c r="TZV104" s="4"/>
      <c r="TZW104" s="4"/>
      <c r="TZX104" s="4"/>
      <c r="TZY104" s="4"/>
      <c r="TZZ104" s="4"/>
      <c r="UAA104" s="4"/>
      <c r="UAB104" s="4"/>
      <c r="UAC104" s="4"/>
      <c r="UAD104" s="4"/>
      <c r="UAE104" s="4"/>
      <c r="UAF104" s="4"/>
      <c r="UAG104" s="4"/>
      <c r="UAH104" s="4"/>
      <c r="UAI104" s="4"/>
      <c r="UAJ104" s="4"/>
      <c r="UAK104" s="4"/>
      <c r="UAL104" s="4"/>
      <c r="UAM104" s="4"/>
      <c r="UAN104" s="4"/>
      <c r="UAO104" s="4"/>
      <c r="UAP104" s="4"/>
      <c r="UAQ104" s="4"/>
      <c r="UAR104" s="4"/>
      <c r="UAS104" s="4"/>
      <c r="UAT104" s="4"/>
      <c r="UAU104" s="4"/>
      <c r="UAV104" s="4"/>
      <c r="UAW104" s="4"/>
      <c r="UAX104" s="4"/>
      <c r="UAY104" s="4"/>
      <c r="UAZ104" s="4"/>
      <c r="UBA104" s="4"/>
      <c r="UBB104" s="4"/>
      <c r="UBC104" s="4"/>
      <c r="UBD104" s="4"/>
      <c r="UBE104" s="4"/>
      <c r="UBF104" s="4"/>
      <c r="UBG104" s="4"/>
      <c r="UBH104" s="4"/>
      <c r="UBI104" s="4"/>
      <c r="UBJ104" s="4"/>
      <c r="UBK104" s="4"/>
      <c r="UBL104" s="4"/>
      <c r="UBM104" s="4"/>
      <c r="UBN104" s="4"/>
      <c r="UBO104" s="4"/>
      <c r="UBP104" s="4"/>
      <c r="UBQ104" s="4"/>
      <c r="UBR104" s="4"/>
      <c r="UBS104" s="4"/>
      <c r="UBT104" s="4"/>
      <c r="UBU104" s="4"/>
      <c r="UBV104" s="4"/>
      <c r="UBW104" s="4"/>
      <c r="UBX104" s="4"/>
      <c r="UBY104" s="4"/>
      <c r="UBZ104" s="4"/>
      <c r="UCA104" s="4"/>
      <c r="UCB104" s="4"/>
      <c r="UCC104" s="4"/>
      <c r="UCD104" s="4"/>
      <c r="UCE104" s="4"/>
      <c r="UCF104" s="4"/>
      <c r="UCG104" s="4"/>
      <c r="UCH104" s="4"/>
      <c r="UCI104" s="4"/>
      <c r="UCJ104" s="4"/>
      <c r="UCK104" s="4"/>
      <c r="UCL104" s="4"/>
      <c r="UCM104" s="4"/>
      <c r="UCN104" s="4"/>
      <c r="UCO104" s="4"/>
      <c r="UCP104" s="4"/>
      <c r="UCQ104" s="4"/>
      <c r="UCR104" s="4"/>
      <c r="UCS104" s="4"/>
      <c r="UCT104" s="4"/>
      <c r="UCU104" s="4"/>
      <c r="UCV104" s="4"/>
      <c r="UCW104" s="4"/>
      <c r="UCX104" s="4"/>
      <c r="UCY104" s="4"/>
      <c r="UCZ104" s="4"/>
      <c r="UDA104" s="4"/>
      <c r="UDB104" s="4"/>
      <c r="UDC104" s="4"/>
      <c r="UDD104" s="4"/>
      <c r="UDE104" s="4"/>
      <c r="UDF104" s="4"/>
      <c r="UDG104" s="4"/>
      <c r="UDH104" s="4"/>
      <c r="UDI104" s="4"/>
      <c r="UDJ104" s="4"/>
      <c r="UDK104" s="4"/>
      <c r="UDL104" s="4"/>
      <c r="UDM104" s="4"/>
      <c r="UDN104" s="4"/>
      <c r="UDO104" s="4"/>
      <c r="UDP104" s="4"/>
      <c r="UDQ104" s="4"/>
      <c r="UDR104" s="4"/>
      <c r="UDS104" s="4"/>
      <c r="UDT104" s="4"/>
      <c r="UDU104" s="4"/>
      <c r="UDV104" s="4"/>
      <c r="UDW104" s="4"/>
      <c r="UDX104" s="4"/>
      <c r="UDY104" s="4"/>
      <c r="UDZ104" s="4"/>
      <c r="UEA104" s="4"/>
      <c r="UEB104" s="4"/>
      <c r="UEC104" s="4"/>
      <c r="UED104" s="4"/>
      <c r="UEE104" s="4"/>
      <c r="UEF104" s="4"/>
      <c r="UEG104" s="4"/>
      <c r="UEH104" s="4"/>
      <c r="UEI104" s="4"/>
      <c r="UEJ104" s="4"/>
      <c r="UEK104" s="4"/>
      <c r="UEL104" s="4"/>
      <c r="UEM104" s="4"/>
      <c r="UEN104" s="4"/>
      <c r="UEO104" s="4"/>
      <c r="UEP104" s="4"/>
      <c r="UEQ104" s="4"/>
      <c r="UER104" s="4"/>
      <c r="UES104" s="4"/>
      <c r="UET104" s="4"/>
      <c r="UEU104" s="4"/>
      <c r="UEV104" s="4"/>
      <c r="UEW104" s="4"/>
      <c r="UEX104" s="4"/>
      <c r="UEY104" s="4"/>
      <c r="UEZ104" s="4"/>
      <c r="UFA104" s="4"/>
      <c r="UFB104" s="4"/>
      <c r="UFC104" s="4"/>
      <c r="UFD104" s="4"/>
      <c r="UFE104" s="4"/>
      <c r="UFF104" s="4"/>
      <c r="UFG104" s="4"/>
      <c r="UFH104" s="4"/>
      <c r="UFI104" s="4"/>
      <c r="UFJ104" s="4"/>
      <c r="UFK104" s="4"/>
      <c r="UFL104" s="4"/>
      <c r="UFM104" s="4"/>
      <c r="UFN104" s="4"/>
      <c r="UFO104" s="4"/>
      <c r="UFP104" s="4"/>
      <c r="UFQ104" s="4"/>
      <c r="UFR104" s="4"/>
      <c r="UFS104" s="4"/>
      <c r="UFT104" s="4"/>
      <c r="UFU104" s="4"/>
      <c r="UFV104" s="4"/>
      <c r="UFW104" s="4"/>
      <c r="UFX104" s="4"/>
      <c r="UFY104" s="4"/>
      <c r="UFZ104" s="4"/>
      <c r="UGA104" s="4"/>
      <c r="UGB104" s="4"/>
      <c r="UGC104" s="4"/>
      <c r="UGD104" s="4"/>
      <c r="UGE104" s="4"/>
      <c r="UGF104" s="4"/>
      <c r="UGG104" s="4"/>
      <c r="UGH104" s="4"/>
      <c r="UGI104" s="4"/>
      <c r="UGJ104" s="4"/>
      <c r="UGK104" s="4"/>
      <c r="UGL104" s="4"/>
      <c r="UGM104" s="4"/>
      <c r="UGN104" s="4"/>
      <c r="UGO104" s="4"/>
      <c r="UGP104" s="4"/>
      <c r="UGQ104" s="4"/>
      <c r="UGR104" s="4"/>
      <c r="UGS104" s="4"/>
      <c r="UGT104" s="4"/>
      <c r="UGU104" s="4"/>
      <c r="UGV104" s="4"/>
      <c r="UGW104" s="4"/>
      <c r="UGX104" s="4"/>
      <c r="UGY104" s="4"/>
      <c r="UGZ104" s="4"/>
      <c r="UHA104" s="4"/>
      <c r="UHB104" s="4"/>
      <c r="UHC104" s="4"/>
      <c r="UHD104" s="4"/>
      <c r="UHE104" s="4"/>
      <c r="UHF104" s="4"/>
      <c r="UHG104" s="4"/>
      <c r="UHH104" s="4"/>
      <c r="UHI104" s="4"/>
      <c r="UHJ104" s="4"/>
      <c r="UHK104" s="4"/>
      <c r="UHL104" s="4"/>
      <c r="UHM104" s="4"/>
      <c r="UHN104" s="4"/>
      <c r="UHO104" s="4"/>
      <c r="UHP104" s="4"/>
      <c r="UHQ104" s="4"/>
      <c r="UHR104" s="4"/>
      <c r="UHS104" s="4"/>
      <c r="UHT104" s="4"/>
      <c r="UHU104" s="4"/>
      <c r="UHV104" s="4"/>
      <c r="UHW104" s="4"/>
      <c r="UHX104" s="4"/>
      <c r="UHY104" s="4"/>
      <c r="UHZ104" s="4"/>
      <c r="UIA104" s="4"/>
      <c r="UIB104" s="4"/>
      <c r="UIC104" s="4"/>
      <c r="UID104" s="4"/>
      <c r="UIE104" s="4"/>
      <c r="UIF104" s="4"/>
      <c r="UIG104" s="4"/>
      <c r="UIH104" s="4"/>
      <c r="UII104" s="4"/>
      <c r="UIJ104" s="4"/>
      <c r="UIK104" s="4"/>
      <c r="UIL104" s="4"/>
      <c r="UIM104" s="4"/>
      <c r="UIN104" s="4"/>
      <c r="UIO104" s="4"/>
      <c r="UIP104" s="4"/>
      <c r="UIQ104" s="4"/>
      <c r="UIR104" s="4"/>
      <c r="UIS104" s="4"/>
      <c r="UIT104" s="4"/>
      <c r="UIU104" s="4"/>
      <c r="UIV104" s="4"/>
      <c r="UIW104" s="4"/>
      <c r="UIX104" s="4"/>
      <c r="UIY104" s="4"/>
      <c r="UIZ104" s="4"/>
      <c r="UJA104" s="4"/>
      <c r="UJB104" s="4"/>
      <c r="UJC104" s="4"/>
      <c r="UJD104" s="4"/>
      <c r="UJE104" s="4"/>
      <c r="UJF104" s="4"/>
      <c r="UJG104" s="4"/>
      <c r="UJH104" s="4"/>
      <c r="UJI104" s="4"/>
      <c r="UJJ104" s="4"/>
      <c r="UJK104" s="4"/>
      <c r="UJL104" s="4"/>
      <c r="UJM104" s="4"/>
      <c r="UJN104" s="4"/>
      <c r="UJO104" s="4"/>
      <c r="UJP104" s="4"/>
      <c r="UJQ104" s="4"/>
      <c r="UJR104" s="4"/>
      <c r="UJS104" s="4"/>
      <c r="UJT104" s="4"/>
      <c r="UJU104" s="4"/>
      <c r="UJV104" s="4"/>
      <c r="UJW104" s="4"/>
      <c r="UJX104" s="4"/>
      <c r="UJY104" s="4"/>
      <c r="UJZ104" s="4"/>
      <c r="UKA104" s="4"/>
      <c r="UKB104" s="4"/>
      <c r="UKC104" s="4"/>
      <c r="UKD104" s="4"/>
      <c r="UKE104" s="4"/>
      <c r="UKF104" s="4"/>
      <c r="UKG104" s="4"/>
      <c r="UKH104" s="4"/>
      <c r="UKI104" s="4"/>
      <c r="UKJ104" s="4"/>
      <c r="UKK104" s="4"/>
      <c r="UKL104" s="4"/>
      <c r="UKM104" s="4"/>
      <c r="UKN104" s="4"/>
      <c r="UKO104" s="4"/>
      <c r="UKP104" s="4"/>
      <c r="UKQ104" s="4"/>
      <c r="UKR104" s="4"/>
      <c r="UKS104" s="4"/>
      <c r="UKT104" s="4"/>
      <c r="UKU104" s="4"/>
      <c r="UKV104" s="4"/>
      <c r="UKW104" s="4"/>
      <c r="UKX104" s="4"/>
      <c r="UKY104" s="4"/>
      <c r="UKZ104" s="4"/>
      <c r="ULA104" s="4"/>
      <c r="ULB104" s="4"/>
      <c r="ULC104" s="4"/>
      <c r="ULD104" s="4"/>
      <c r="ULE104" s="4"/>
      <c r="ULF104" s="4"/>
      <c r="ULG104" s="4"/>
      <c r="ULH104" s="4"/>
      <c r="ULI104" s="4"/>
      <c r="ULJ104" s="4"/>
      <c r="ULK104" s="4"/>
      <c r="ULL104" s="4"/>
      <c r="ULM104" s="4"/>
      <c r="ULN104" s="4"/>
      <c r="ULO104" s="4"/>
      <c r="ULP104" s="4"/>
      <c r="ULQ104" s="4"/>
      <c r="ULR104" s="4"/>
      <c r="ULS104" s="4"/>
      <c r="ULT104" s="4"/>
      <c r="ULU104" s="4"/>
      <c r="ULV104" s="4"/>
      <c r="ULW104" s="4"/>
      <c r="ULX104" s="4"/>
      <c r="ULY104" s="4"/>
      <c r="ULZ104" s="4"/>
      <c r="UMA104" s="4"/>
      <c r="UMB104" s="4"/>
      <c r="UMC104" s="4"/>
      <c r="UMD104" s="4"/>
      <c r="UME104" s="4"/>
      <c r="UMF104" s="4"/>
      <c r="UMG104" s="4"/>
      <c r="UMH104" s="4"/>
      <c r="UMI104" s="4"/>
      <c r="UMJ104" s="4"/>
      <c r="UMK104" s="4"/>
      <c r="UML104" s="4"/>
      <c r="UMM104" s="4"/>
      <c r="UMN104" s="4"/>
      <c r="UMO104" s="4"/>
      <c r="UMP104" s="4"/>
      <c r="UMQ104" s="4"/>
      <c r="UMR104" s="4"/>
      <c r="UMS104" s="4"/>
      <c r="UMT104" s="4"/>
      <c r="UMU104" s="4"/>
      <c r="UMV104" s="4"/>
      <c r="UMW104" s="4"/>
      <c r="UMX104" s="4"/>
      <c r="UMY104" s="4"/>
      <c r="UMZ104" s="4"/>
      <c r="UNA104" s="4"/>
      <c r="UNB104" s="4"/>
      <c r="UNC104" s="4"/>
      <c r="UND104" s="4"/>
      <c r="UNE104" s="4"/>
      <c r="UNF104" s="4"/>
      <c r="UNG104" s="4"/>
      <c r="UNH104" s="4"/>
      <c r="UNI104" s="4"/>
      <c r="UNJ104" s="4"/>
      <c r="UNK104" s="4"/>
      <c r="UNL104" s="4"/>
      <c r="UNM104" s="4"/>
      <c r="UNN104" s="4"/>
      <c r="UNO104" s="4"/>
      <c r="UNP104" s="4"/>
      <c r="UNQ104" s="4"/>
      <c r="UNR104" s="4"/>
      <c r="UNS104" s="4"/>
      <c r="UNT104" s="4"/>
      <c r="UNU104" s="4"/>
      <c r="UNV104" s="4"/>
      <c r="UNW104" s="4"/>
      <c r="UNX104" s="4"/>
      <c r="UNY104" s="4"/>
      <c r="UNZ104" s="4"/>
      <c r="UOA104" s="4"/>
      <c r="UOB104" s="4"/>
      <c r="UOC104" s="4"/>
      <c r="UOD104" s="4"/>
      <c r="UOE104" s="4"/>
      <c r="UOF104" s="4"/>
      <c r="UOG104" s="4"/>
      <c r="UOH104" s="4"/>
      <c r="UOI104" s="4"/>
      <c r="UOJ104" s="4"/>
      <c r="UOK104" s="4"/>
      <c r="UOL104" s="4"/>
      <c r="UOM104" s="4"/>
      <c r="UON104" s="4"/>
      <c r="UOO104" s="4"/>
      <c r="UOP104" s="4"/>
      <c r="UOQ104" s="4"/>
      <c r="UOR104" s="4"/>
      <c r="UOS104" s="4"/>
      <c r="UOT104" s="4"/>
      <c r="UOU104" s="4"/>
      <c r="UOV104" s="4"/>
      <c r="UOW104" s="4"/>
      <c r="UOX104" s="4"/>
      <c r="UOY104" s="4"/>
      <c r="UOZ104" s="4"/>
      <c r="UPA104" s="4"/>
      <c r="UPB104" s="4"/>
      <c r="UPC104" s="4"/>
      <c r="UPD104" s="4"/>
      <c r="UPE104" s="4"/>
      <c r="UPF104" s="4"/>
      <c r="UPG104" s="4"/>
      <c r="UPH104" s="4"/>
      <c r="UPI104" s="4"/>
      <c r="UPJ104" s="4"/>
      <c r="UPK104" s="4"/>
      <c r="UPL104" s="4"/>
      <c r="UPM104" s="4"/>
      <c r="UPN104" s="4"/>
      <c r="UPO104" s="4"/>
      <c r="UPP104" s="4"/>
      <c r="UPQ104" s="4"/>
      <c r="UPR104" s="4"/>
      <c r="UPS104" s="4"/>
      <c r="UPT104" s="4"/>
      <c r="UPU104" s="4"/>
      <c r="UPV104" s="4"/>
      <c r="UPW104" s="4"/>
      <c r="UPX104" s="4"/>
      <c r="UPY104" s="4"/>
      <c r="UPZ104" s="4"/>
      <c r="UQA104" s="4"/>
      <c r="UQB104" s="4"/>
      <c r="UQC104" s="4"/>
      <c r="UQD104" s="4"/>
      <c r="UQE104" s="4"/>
      <c r="UQF104" s="4"/>
      <c r="UQG104" s="4"/>
      <c r="UQH104" s="4"/>
      <c r="UQI104" s="4"/>
      <c r="UQJ104" s="4"/>
      <c r="UQK104" s="4"/>
      <c r="UQL104" s="4"/>
      <c r="UQM104" s="4"/>
      <c r="UQN104" s="4"/>
      <c r="UQO104" s="4"/>
      <c r="UQP104" s="4"/>
      <c r="UQQ104" s="4"/>
      <c r="UQR104" s="4"/>
      <c r="UQS104" s="4"/>
      <c r="UQT104" s="4"/>
      <c r="UQU104" s="4"/>
      <c r="UQV104" s="4"/>
      <c r="UQW104" s="4"/>
      <c r="UQX104" s="4"/>
      <c r="UQY104" s="4"/>
      <c r="UQZ104" s="4"/>
      <c r="URA104" s="4"/>
      <c r="URB104" s="4"/>
      <c r="URC104" s="4"/>
      <c r="URD104" s="4"/>
      <c r="URE104" s="4"/>
      <c r="URF104" s="4"/>
      <c r="URG104" s="4"/>
      <c r="URH104" s="4"/>
      <c r="URI104" s="4"/>
      <c r="URJ104" s="4"/>
      <c r="URK104" s="4"/>
      <c r="URL104" s="4"/>
      <c r="URM104" s="4"/>
      <c r="URN104" s="4"/>
      <c r="URO104" s="4"/>
      <c r="URP104" s="4"/>
      <c r="URQ104" s="4"/>
      <c r="URR104" s="4"/>
      <c r="URS104" s="4"/>
      <c r="URT104" s="4"/>
      <c r="URU104" s="4"/>
      <c r="URV104" s="4"/>
      <c r="URW104" s="4"/>
      <c r="URX104" s="4"/>
      <c r="URY104" s="4"/>
      <c r="URZ104" s="4"/>
      <c r="USA104" s="4"/>
      <c r="USB104" s="4"/>
      <c r="USC104" s="4"/>
      <c r="USD104" s="4"/>
      <c r="USE104" s="4"/>
      <c r="USF104" s="4"/>
      <c r="USG104" s="4"/>
      <c r="USH104" s="4"/>
      <c r="USI104" s="4"/>
      <c r="USJ104" s="4"/>
      <c r="USK104" s="4"/>
      <c r="USL104" s="4"/>
      <c r="USM104" s="4"/>
      <c r="USN104" s="4"/>
      <c r="USO104" s="4"/>
      <c r="USP104" s="4"/>
      <c r="USQ104" s="4"/>
      <c r="USR104" s="4"/>
      <c r="USS104" s="4"/>
      <c r="UST104" s="4"/>
      <c r="USU104" s="4"/>
      <c r="USV104" s="4"/>
      <c r="USW104" s="4"/>
      <c r="USX104" s="4"/>
      <c r="USY104" s="4"/>
      <c r="USZ104" s="4"/>
      <c r="UTA104" s="4"/>
      <c r="UTB104" s="4"/>
      <c r="UTC104" s="4"/>
      <c r="UTD104" s="4"/>
      <c r="UTE104" s="4"/>
      <c r="UTF104" s="4"/>
      <c r="UTG104" s="4"/>
      <c r="UTH104" s="4"/>
      <c r="UTI104" s="4"/>
      <c r="UTJ104" s="4"/>
      <c r="UTK104" s="4"/>
      <c r="UTL104" s="4"/>
      <c r="UTM104" s="4"/>
      <c r="UTN104" s="4"/>
      <c r="UTO104" s="4"/>
      <c r="UTP104" s="4"/>
      <c r="UTQ104" s="4"/>
      <c r="UTR104" s="4"/>
      <c r="UTS104" s="4"/>
      <c r="UTT104" s="4"/>
      <c r="UTU104" s="4"/>
      <c r="UTV104" s="4"/>
      <c r="UTW104" s="4"/>
      <c r="UTX104" s="4"/>
      <c r="UTY104" s="4"/>
      <c r="UTZ104" s="4"/>
      <c r="UUA104" s="4"/>
      <c r="UUB104" s="4"/>
      <c r="UUC104" s="4"/>
      <c r="UUD104" s="4"/>
      <c r="UUE104" s="4"/>
      <c r="UUF104" s="4"/>
      <c r="UUG104" s="4"/>
      <c r="UUH104" s="4"/>
      <c r="UUI104" s="4"/>
      <c r="UUJ104" s="4"/>
      <c r="UUK104" s="4"/>
      <c r="UUL104" s="4"/>
      <c r="UUM104" s="4"/>
      <c r="UUN104" s="4"/>
      <c r="UUO104" s="4"/>
      <c r="UUP104" s="4"/>
      <c r="UUQ104" s="4"/>
      <c r="UUR104" s="4"/>
      <c r="UUS104" s="4"/>
      <c r="UUT104" s="4"/>
      <c r="UUU104" s="4"/>
      <c r="UUV104" s="4"/>
      <c r="UUW104" s="4"/>
      <c r="UUX104" s="4"/>
      <c r="UUY104" s="4"/>
      <c r="UUZ104" s="4"/>
      <c r="UVA104" s="4"/>
      <c r="UVB104" s="4"/>
      <c r="UVC104" s="4"/>
      <c r="UVD104" s="4"/>
      <c r="UVE104" s="4"/>
      <c r="UVF104" s="4"/>
      <c r="UVG104" s="4"/>
      <c r="UVH104" s="4"/>
      <c r="UVI104" s="4"/>
      <c r="UVJ104" s="4"/>
      <c r="UVK104" s="4"/>
      <c r="UVL104" s="4"/>
      <c r="UVM104" s="4"/>
      <c r="UVN104" s="4"/>
      <c r="UVO104" s="4"/>
      <c r="UVP104" s="4"/>
      <c r="UVQ104" s="4"/>
      <c r="UVR104" s="4"/>
      <c r="UVS104" s="4"/>
      <c r="UVT104" s="4"/>
      <c r="UVU104" s="4"/>
      <c r="UVV104" s="4"/>
      <c r="UVW104" s="4"/>
      <c r="UVX104" s="4"/>
      <c r="UVY104" s="4"/>
      <c r="UVZ104" s="4"/>
      <c r="UWA104" s="4"/>
      <c r="UWB104" s="4"/>
      <c r="UWC104" s="4"/>
      <c r="UWD104" s="4"/>
      <c r="UWE104" s="4"/>
      <c r="UWF104" s="4"/>
      <c r="UWG104" s="4"/>
      <c r="UWH104" s="4"/>
      <c r="UWI104" s="4"/>
      <c r="UWJ104" s="4"/>
      <c r="UWK104" s="4"/>
      <c r="UWL104" s="4"/>
      <c r="UWM104" s="4"/>
      <c r="UWN104" s="4"/>
      <c r="UWO104" s="4"/>
      <c r="UWP104" s="4"/>
      <c r="UWQ104" s="4"/>
      <c r="UWR104" s="4"/>
      <c r="UWS104" s="4"/>
      <c r="UWT104" s="4"/>
      <c r="UWU104" s="4"/>
      <c r="UWV104" s="4"/>
      <c r="UWW104" s="4"/>
      <c r="UWX104" s="4"/>
      <c r="UWY104" s="4"/>
      <c r="UWZ104" s="4"/>
      <c r="UXA104" s="4"/>
      <c r="UXB104" s="4"/>
      <c r="UXC104" s="4"/>
      <c r="UXD104" s="4"/>
      <c r="UXE104" s="4"/>
      <c r="UXF104" s="4"/>
      <c r="UXG104" s="4"/>
      <c r="UXH104" s="4"/>
      <c r="UXI104" s="4"/>
      <c r="UXJ104" s="4"/>
      <c r="UXK104" s="4"/>
      <c r="UXL104" s="4"/>
      <c r="UXM104" s="4"/>
      <c r="UXN104" s="4"/>
      <c r="UXO104" s="4"/>
      <c r="UXP104" s="4"/>
      <c r="UXQ104" s="4"/>
      <c r="UXR104" s="4"/>
      <c r="UXS104" s="4"/>
      <c r="UXT104" s="4"/>
      <c r="UXU104" s="4"/>
      <c r="UXV104" s="4"/>
      <c r="UXW104" s="4"/>
      <c r="UXX104" s="4"/>
      <c r="UXY104" s="4"/>
      <c r="UXZ104" s="4"/>
      <c r="UYA104" s="4"/>
      <c r="UYB104" s="4"/>
      <c r="UYC104" s="4"/>
      <c r="UYD104" s="4"/>
      <c r="UYE104" s="4"/>
      <c r="UYF104" s="4"/>
      <c r="UYG104" s="4"/>
      <c r="UYH104" s="4"/>
      <c r="UYI104" s="4"/>
      <c r="UYJ104" s="4"/>
      <c r="UYK104" s="4"/>
      <c r="UYL104" s="4"/>
      <c r="UYM104" s="4"/>
      <c r="UYN104" s="4"/>
      <c r="UYO104" s="4"/>
      <c r="UYP104" s="4"/>
      <c r="UYQ104" s="4"/>
      <c r="UYR104" s="4"/>
      <c r="UYS104" s="4"/>
      <c r="UYT104" s="4"/>
      <c r="UYU104" s="4"/>
      <c r="UYV104" s="4"/>
      <c r="UYW104" s="4"/>
      <c r="UYX104" s="4"/>
      <c r="UYY104" s="4"/>
      <c r="UYZ104" s="4"/>
      <c r="UZA104" s="4"/>
      <c r="UZB104" s="4"/>
      <c r="UZC104" s="4"/>
      <c r="UZD104" s="4"/>
      <c r="UZE104" s="4"/>
      <c r="UZF104" s="4"/>
      <c r="UZG104" s="4"/>
      <c r="UZH104" s="4"/>
      <c r="UZI104" s="4"/>
      <c r="UZJ104" s="4"/>
      <c r="UZK104" s="4"/>
      <c r="UZL104" s="4"/>
      <c r="UZM104" s="4"/>
      <c r="UZN104" s="4"/>
      <c r="UZO104" s="4"/>
      <c r="UZP104" s="4"/>
      <c r="UZQ104" s="4"/>
      <c r="UZR104" s="4"/>
      <c r="UZS104" s="4"/>
      <c r="UZT104" s="4"/>
      <c r="UZU104" s="4"/>
      <c r="UZV104" s="4"/>
      <c r="UZW104" s="4"/>
      <c r="UZX104" s="4"/>
      <c r="UZY104" s="4"/>
      <c r="UZZ104" s="4"/>
      <c r="VAA104" s="4"/>
      <c r="VAB104" s="4"/>
      <c r="VAC104" s="4"/>
      <c r="VAD104" s="4"/>
      <c r="VAE104" s="4"/>
      <c r="VAF104" s="4"/>
      <c r="VAG104" s="4"/>
      <c r="VAH104" s="4"/>
      <c r="VAI104" s="4"/>
      <c r="VAJ104" s="4"/>
      <c r="VAK104" s="4"/>
      <c r="VAL104" s="4"/>
      <c r="VAM104" s="4"/>
      <c r="VAN104" s="4"/>
      <c r="VAO104" s="4"/>
      <c r="VAP104" s="4"/>
      <c r="VAQ104" s="4"/>
      <c r="VAR104" s="4"/>
      <c r="VAS104" s="4"/>
      <c r="VAT104" s="4"/>
      <c r="VAU104" s="4"/>
      <c r="VAV104" s="4"/>
      <c r="VAW104" s="4"/>
      <c r="VAX104" s="4"/>
      <c r="VAY104" s="4"/>
      <c r="VAZ104" s="4"/>
      <c r="VBA104" s="4"/>
      <c r="VBB104" s="4"/>
      <c r="VBC104" s="4"/>
      <c r="VBD104" s="4"/>
      <c r="VBE104" s="4"/>
      <c r="VBF104" s="4"/>
      <c r="VBG104" s="4"/>
      <c r="VBH104" s="4"/>
      <c r="VBI104" s="4"/>
      <c r="VBJ104" s="4"/>
      <c r="VBK104" s="4"/>
      <c r="VBL104" s="4"/>
      <c r="VBM104" s="4"/>
      <c r="VBN104" s="4"/>
      <c r="VBO104" s="4"/>
      <c r="VBP104" s="4"/>
      <c r="VBQ104" s="4"/>
      <c r="VBR104" s="4"/>
      <c r="VBS104" s="4"/>
      <c r="VBT104" s="4"/>
      <c r="VBU104" s="4"/>
      <c r="VBV104" s="4"/>
      <c r="VBW104" s="4"/>
      <c r="VBX104" s="4"/>
      <c r="VBY104" s="4"/>
      <c r="VBZ104" s="4"/>
      <c r="VCA104" s="4"/>
      <c r="VCB104" s="4"/>
      <c r="VCC104" s="4"/>
      <c r="VCD104" s="4"/>
      <c r="VCE104" s="4"/>
      <c r="VCF104" s="4"/>
      <c r="VCG104" s="4"/>
      <c r="VCH104" s="4"/>
      <c r="VCI104" s="4"/>
      <c r="VCJ104" s="4"/>
      <c r="VCK104" s="4"/>
      <c r="VCL104" s="4"/>
      <c r="VCM104" s="4"/>
      <c r="VCN104" s="4"/>
      <c r="VCO104" s="4"/>
      <c r="VCP104" s="4"/>
      <c r="VCQ104" s="4"/>
      <c r="VCR104" s="4"/>
      <c r="VCS104" s="4"/>
      <c r="VCT104" s="4"/>
      <c r="VCU104" s="4"/>
      <c r="VCV104" s="4"/>
      <c r="VCW104" s="4"/>
      <c r="VCX104" s="4"/>
      <c r="VCY104" s="4"/>
      <c r="VCZ104" s="4"/>
      <c r="VDA104" s="4"/>
      <c r="VDB104" s="4"/>
      <c r="VDC104" s="4"/>
      <c r="VDD104" s="4"/>
      <c r="VDE104" s="4"/>
      <c r="VDF104" s="4"/>
      <c r="VDG104" s="4"/>
      <c r="VDH104" s="4"/>
      <c r="VDI104" s="4"/>
      <c r="VDJ104" s="4"/>
      <c r="VDK104" s="4"/>
      <c r="VDL104" s="4"/>
      <c r="VDM104" s="4"/>
      <c r="VDN104" s="4"/>
      <c r="VDO104" s="4"/>
      <c r="VDP104" s="4"/>
      <c r="VDQ104" s="4"/>
      <c r="VDR104" s="4"/>
      <c r="VDS104" s="4"/>
      <c r="VDT104" s="4"/>
      <c r="VDU104" s="4"/>
      <c r="VDV104" s="4"/>
      <c r="VDW104" s="4"/>
      <c r="VDX104" s="4"/>
      <c r="VDY104" s="4"/>
      <c r="VDZ104" s="4"/>
      <c r="VEA104" s="4"/>
      <c r="VEB104" s="4"/>
      <c r="VEC104" s="4"/>
      <c r="VED104" s="4"/>
      <c r="VEE104" s="4"/>
      <c r="VEF104" s="4"/>
      <c r="VEG104" s="4"/>
      <c r="VEH104" s="4"/>
      <c r="VEI104" s="4"/>
      <c r="VEJ104" s="4"/>
      <c r="VEK104" s="4"/>
      <c r="VEL104" s="4"/>
      <c r="VEM104" s="4"/>
      <c r="VEN104" s="4"/>
      <c r="VEO104" s="4"/>
      <c r="VEP104" s="4"/>
      <c r="VEQ104" s="4"/>
      <c r="VER104" s="4"/>
      <c r="VES104" s="4"/>
      <c r="VET104" s="4"/>
      <c r="VEU104" s="4"/>
      <c r="VEV104" s="4"/>
      <c r="VEW104" s="4"/>
      <c r="VEX104" s="4"/>
      <c r="VEY104" s="4"/>
      <c r="VEZ104" s="4"/>
      <c r="VFA104" s="4"/>
      <c r="VFB104" s="4"/>
      <c r="VFC104" s="4"/>
      <c r="VFD104" s="4"/>
      <c r="VFE104" s="4"/>
      <c r="VFF104" s="4"/>
      <c r="VFG104" s="4"/>
      <c r="VFH104" s="4"/>
      <c r="VFI104" s="4"/>
      <c r="VFJ104" s="4"/>
      <c r="VFK104" s="4"/>
      <c r="VFL104" s="4"/>
      <c r="VFM104" s="4"/>
      <c r="VFN104" s="4"/>
      <c r="VFO104" s="4"/>
      <c r="VFP104" s="4"/>
      <c r="VFQ104" s="4"/>
      <c r="VFR104" s="4"/>
      <c r="VFS104" s="4"/>
      <c r="VFT104" s="4"/>
      <c r="VFU104" s="4"/>
      <c r="VFV104" s="4"/>
      <c r="VFW104" s="4"/>
      <c r="VFX104" s="4"/>
      <c r="VFY104" s="4"/>
      <c r="VFZ104" s="4"/>
      <c r="VGA104" s="4"/>
      <c r="VGB104" s="4"/>
      <c r="VGC104" s="4"/>
      <c r="VGD104" s="4"/>
      <c r="VGE104" s="4"/>
      <c r="VGF104" s="4"/>
      <c r="VGG104" s="4"/>
      <c r="VGH104" s="4"/>
      <c r="VGI104" s="4"/>
      <c r="VGJ104" s="4"/>
      <c r="VGK104" s="4"/>
      <c r="VGL104" s="4"/>
      <c r="VGM104" s="4"/>
      <c r="VGN104" s="4"/>
      <c r="VGO104" s="4"/>
      <c r="VGP104" s="4"/>
      <c r="VGQ104" s="4"/>
      <c r="VGR104" s="4"/>
      <c r="VGS104" s="4"/>
      <c r="VGT104" s="4"/>
      <c r="VGU104" s="4"/>
      <c r="VGV104" s="4"/>
      <c r="VGW104" s="4"/>
      <c r="VGX104" s="4"/>
      <c r="VGY104" s="4"/>
      <c r="VGZ104" s="4"/>
      <c r="VHA104" s="4"/>
      <c r="VHB104" s="4"/>
      <c r="VHC104" s="4"/>
      <c r="VHD104" s="4"/>
      <c r="VHE104" s="4"/>
      <c r="VHF104" s="4"/>
      <c r="VHG104" s="4"/>
      <c r="VHH104" s="4"/>
      <c r="VHI104" s="4"/>
      <c r="VHJ104" s="4"/>
      <c r="VHK104" s="4"/>
      <c r="VHL104" s="4"/>
      <c r="VHM104" s="4"/>
      <c r="VHN104" s="4"/>
      <c r="VHO104" s="4"/>
      <c r="VHP104" s="4"/>
      <c r="VHQ104" s="4"/>
      <c r="VHR104" s="4"/>
      <c r="VHS104" s="4"/>
      <c r="VHT104" s="4"/>
      <c r="VHU104" s="4"/>
      <c r="VHV104" s="4"/>
      <c r="VHW104" s="4"/>
      <c r="VHX104" s="4"/>
      <c r="VHY104" s="4"/>
      <c r="VHZ104" s="4"/>
      <c r="VIA104" s="4"/>
      <c r="VIB104" s="4"/>
      <c r="VIC104" s="4"/>
      <c r="VID104" s="4"/>
      <c r="VIE104" s="4"/>
      <c r="VIF104" s="4"/>
      <c r="VIG104" s="4"/>
      <c r="VIH104" s="4"/>
      <c r="VII104" s="4"/>
      <c r="VIJ104" s="4"/>
      <c r="VIK104" s="4"/>
      <c r="VIL104" s="4"/>
      <c r="VIM104" s="4"/>
      <c r="VIN104" s="4"/>
      <c r="VIO104" s="4"/>
      <c r="VIP104" s="4"/>
      <c r="VIQ104" s="4"/>
      <c r="VIR104" s="4"/>
      <c r="VIS104" s="4"/>
      <c r="VIT104" s="4"/>
      <c r="VIU104" s="4"/>
      <c r="VIV104" s="4"/>
      <c r="VIW104" s="4"/>
      <c r="VIX104" s="4"/>
      <c r="VIY104" s="4"/>
      <c r="VIZ104" s="4"/>
      <c r="VJA104" s="4"/>
      <c r="VJB104" s="4"/>
      <c r="VJC104" s="4"/>
      <c r="VJD104" s="4"/>
      <c r="VJE104" s="4"/>
      <c r="VJF104" s="4"/>
      <c r="VJG104" s="4"/>
      <c r="VJH104" s="4"/>
      <c r="VJI104" s="4"/>
      <c r="VJJ104" s="4"/>
      <c r="VJK104" s="4"/>
      <c r="VJL104" s="4"/>
      <c r="VJM104" s="4"/>
      <c r="VJN104" s="4"/>
      <c r="VJO104" s="4"/>
      <c r="VJP104" s="4"/>
      <c r="VJQ104" s="4"/>
      <c r="VJR104" s="4"/>
      <c r="VJS104" s="4"/>
      <c r="VJT104" s="4"/>
      <c r="VJU104" s="4"/>
      <c r="VJV104" s="4"/>
      <c r="VJW104" s="4"/>
      <c r="VJX104" s="4"/>
      <c r="VJY104" s="4"/>
      <c r="VJZ104" s="4"/>
      <c r="VKA104" s="4"/>
      <c r="VKB104" s="4"/>
      <c r="VKC104" s="4"/>
      <c r="VKD104" s="4"/>
      <c r="VKE104" s="4"/>
      <c r="VKF104" s="4"/>
      <c r="VKG104" s="4"/>
      <c r="VKH104" s="4"/>
      <c r="VKI104" s="4"/>
      <c r="VKJ104" s="4"/>
      <c r="VKK104" s="4"/>
      <c r="VKL104" s="4"/>
      <c r="VKM104" s="4"/>
      <c r="VKN104" s="4"/>
      <c r="VKO104" s="4"/>
      <c r="VKP104" s="4"/>
      <c r="VKQ104" s="4"/>
      <c r="VKR104" s="4"/>
      <c r="VKS104" s="4"/>
      <c r="VKT104" s="4"/>
      <c r="VKU104" s="4"/>
      <c r="VKV104" s="4"/>
      <c r="VKW104" s="4"/>
      <c r="VKX104" s="4"/>
      <c r="VKY104" s="4"/>
      <c r="VKZ104" s="4"/>
      <c r="VLA104" s="4"/>
      <c r="VLB104" s="4"/>
      <c r="VLC104" s="4"/>
      <c r="VLD104" s="4"/>
      <c r="VLE104" s="4"/>
      <c r="VLF104" s="4"/>
      <c r="VLG104" s="4"/>
      <c r="VLH104" s="4"/>
      <c r="VLI104" s="4"/>
      <c r="VLJ104" s="4"/>
      <c r="VLK104" s="4"/>
      <c r="VLL104" s="4"/>
      <c r="VLM104" s="4"/>
      <c r="VLN104" s="4"/>
      <c r="VLO104" s="4"/>
      <c r="VLP104" s="4"/>
      <c r="VLQ104" s="4"/>
      <c r="VLR104" s="4"/>
      <c r="VLS104" s="4"/>
      <c r="VLT104" s="4"/>
      <c r="VLU104" s="4"/>
      <c r="VLV104" s="4"/>
      <c r="VLW104" s="4"/>
      <c r="VLX104" s="4"/>
      <c r="VLY104" s="4"/>
      <c r="VLZ104" s="4"/>
      <c r="VMA104" s="4"/>
      <c r="VMB104" s="4"/>
      <c r="VMC104" s="4"/>
      <c r="VMD104" s="4"/>
      <c r="VME104" s="4"/>
      <c r="VMF104" s="4"/>
      <c r="VMG104" s="4"/>
      <c r="VMH104" s="4"/>
      <c r="VMI104" s="4"/>
      <c r="VMJ104" s="4"/>
      <c r="VMK104" s="4"/>
      <c r="VML104" s="4"/>
      <c r="VMM104" s="4"/>
      <c r="VMN104" s="4"/>
      <c r="VMO104" s="4"/>
      <c r="VMP104" s="4"/>
      <c r="VMQ104" s="4"/>
      <c r="VMR104" s="4"/>
      <c r="VMS104" s="4"/>
      <c r="VMT104" s="4"/>
      <c r="VMU104" s="4"/>
      <c r="VMV104" s="4"/>
      <c r="VMW104" s="4"/>
      <c r="VMX104" s="4"/>
      <c r="VMY104" s="4"/>
      <c r="VMZ104" s="4"/>
      <c r="VNA104" s="4"/>
      <c r="VNB104" s="4"/>
      <c r="VNC104" s="4"/>
      <c r="VND104" s="4"/>
      <c r="VNE104" s="4"/>
      <c r="VNF104" s="4"/>
      <c r="VNG104" s="4"/>
      <c r="VNH104" s="4"/>
      <c r="VNI104" s="4"/>
      <c r="VNJ104" s="4"/>
      <c r="VNK104" s="4"/>
      <c r="VNL104" s="4"/>
      <c r="VNM104" s="4"/>
      <c r="VNN104" s="4"/>
      <c r="VNO104" s="4"/>
      <c r="VNP104" s="4"/>
      <c r="VNQ104" s="4"/>
      <c r="VNR104" s="4"/>
      <c r="VNS104" s="4"/>
      <c r="VNT104" s="4"/>
      <c r="VNU104" s="4"/>
      <c r="VNV104" s="4"/>
      <c r="VNW104" s="4"/>
      <c r="VNX104" s="4"/>
      <c r="VNY104" s="4"/>
      <c r="VNZ104" s="4"/>
      <c r="VOA104" s="4"/>
      <c r="VOB104" s="4"/>
      <c r="VOC104" s="4"/>
      <c r="VOD104" s="4"/>
      <c r="VOE104" s="4"/>
      <c r="VOF104" s="4"/>
      <c r="VOG104" s="4"/>
      <c r="VOH104" s="4"/>
      <c r="VOI104" s="4"/>
      <c r="VOJ104" s="4"/>
      <c r="VOK104" s="4"/>
      <c r="VOL104" s="4"/>
      <c r="VOM104" s="4"/>
      <c r="VON104" s="4"/>
      <c r="VOO104" s="4"/>
      <c r="VOP104" s="4"/>
      <c r="VOQ104" s="4"/>
      <c r="VOR104" s="4"/>
      <c r="VOS104" s="4"/>
      <c r="VOT104" s="4"/>
      <c r="VOU104" s="4"/>
      <c r="VOV104" s="4"/>
      <c r="VOW104" s="4"/>
      <c r="VOX104" s="4"/>
      <c r="VOY104" s="4"/>
      <c r="VOZ104" s="4"/>
      <c r="VPA104" s="4"/>
      <c r="VPB104" s="4"/>
      <c r="VPC104" s="4"/>
      <c r="VPD104" s="4"/>
      <c r="VPE104" s="4"/>
      <c r="VPF104" s="4"/>
      <c r="VPG104" s="4"/>
      <c r="VPH104" s="4"/>
      <c r="VPI104" s="4"/>
      <c r="VPJ104" s="4"/>
      <c r="VPK104" s="4"/>
      <c r="VPL104" s="4"/>
      <c r="VPM104" s="4"/>
      <c r="VPN104" s="4"/>
      <c r="VPO104" s="4"/>
      <c r="VPP104" s="4"/>
      <c r="VPQ104" s="4"/>
      <c r="VPR104" s="4"/>
      <c r="VPS104" s="4"/>
      <c r="VPT104" s="4"/>
      <c r="VPU104" s="4"/>
      <c r="VPV104" s="4"/>
      <c r="VPW104" s="4"/>
      <c r="VPX104" s="4"/>
      <c r="VPY104" s="4"/>
      <c r="VPZ104" s="4"/>
      <c r="VQA104" s="4"/>
      <c r="VQB104" s="4"/>
      <c r="VQC104" s="4"/>
      <c r="VQD104" s="4"/>
      <c r="VQE104" s="4"/>
      <c r="VQF104" s="4"/>
      <c r="VQG104" s="4"/>
      <c r="VQH104" s="4"/>
      <c r="VQI104" s="4"/>
      <c r="VQJ104" s="4"/>
      <c r="VQK104" s="4"/>
      <c r="VQL104" s="4"/>
      <c r="VQM104" s="4"/>
      <c r="VQN104" s="4"/>
      <c r="VQO104" s="4"/>
      <c r="VQP104" s="4"/>
      <c r="VQQ104" s="4"/>
      <c r="VQR104" s="4"/>
      <c r="VQS104" s="4"/>
      <c r="VQT104" s="4"/>
      <c r="VQU104" s="4"/>
      <c r="VQV104" s="4"/>
      <c r="VQW104" s="4"/>
      <c r="VQX104" s="4"/>
      <c r="VQY104" s="4"/>
      <c r="VQZ104" s="4"/>
      <c r="VRA104" s="4"/>
      <c r="VRB104" s="4"/>
      <c r="VRC104" s="4"/>
      <c r="VRD104" s="4"/>
      <c r="VRE104" s="4"/>
      <c r="VRF104" s="4"/>
      <c r="VRG104" s="4"/>
      <c r="VRH104" s="4"/>
      <c r="VRI104" s="4"/>
      <c r="VRJ104" s="4"/>
      <c r="VRK104" s="4"/>
      <c r="VRL104" s="4"/>
      <c r="VRM104" s="4"/>
      <c r="VRN104" s="4"/>
      <c r="VRO104" s="4"/>
      <c r="VRP104" s="4"/>
      <c r="VRQ104" s="4"/>
      <c r="VRR104" s="4"/>
      <c r="VRS104" s="4"/>
      <c r="VRT104" s="4"/>
      <c r="VRU104" s="4"/>
      <c r="VRV104" s="4"/>
      <c r="VRW104" s="4"/>
      <c r="VRX104" s="4"/>
      <c r="VRY104" s="4"/>
      <c r="VRZ104" s="4"/>
      <c r="VSA104" s="4"/>
      <c r="VSB104" s="4"/>
      <c r="VSC104" s="4"/>
      <c r="VSD104" s="4"/>
      <c r="VSE104" s="4"/>
      <c r="VSF104" s="4"/>
      <c r="VSG104" s="4"/>
      <c r="VSH104" s="4"/>
      <c r="VSI104" s="4"/>
      <c r="VSJ104" s="4"/>
      <c r="VSK104" s="4"/>
      <c r="VSL104" s="4"/>
      <c r="VSM104" s="4"/>
      <c r="VSN104" s="4"/>
      <c r="VSO104" s="4"/>
      <c r="VSP104" s="4"/>
      <c r="VSQ104" s="4"/>
      <c r="VSR104" s="4"/>
      <c r="VSS104" s="4"/>
      <c r="VST104" s="4"/>
      <c r="VSU104" s="4"/>
      <c r="VSV104" s="4"/>
      <c r="VSW104" s="4"/>
      <c r="VSX104" s="4"/>
      <c r="VSY104" s="4"/>
      <c r="VSZ104" s="4"/>
      <c r="VTA104" s="4"/>
      <c r="VTB104" s="4"/>
      <c r="VTC104" s="4"/>
      <c r="VTD104" s="4"/>
      <c r="VTE104" s="4"/>
      <c r="VTF104" s="4"/>
      <c r="VTG104" s="4"/>
      <c r="VTH104" s="4"/>
      <c r="VTI104" s="4"/>
      <c r="VTJ104" s="4"/>
      <c r="VTK104" s="4"/>
      <c r="VTL104" s="4"/>
      <c r="VTM104" s="4"/>
      <c r="VTN104" s="4"/>
      <c r="VTO104" s="4"/>
      <c r="VTP104" s="4"/>
      <c r="VTQ104" s="4"/>
      <c r="VTR104" s="4"/>
      <c r="VTS104" s="4"/>
      <c r="VTT104" s="4"/>
      <c r="VTU104" s="4"/>
      <c r="VTV104" s="4"/>
      <c r="VTW104" s="4"/>
      <c r="VTX104" s="4"/>
      <c r="VTY104" s="4"/>
      <c r="VTZ104" s="4"/>
      <c r="VUA104" s="4"/>
      <c r="VUB104" s="4"/>
      <c r="VUC104" s="4"/>
      <c r="VUD104" s="4"/>
      <c r="VUE104" s="4"/>
      <c r="VUF104" s="4"/>
      <c r="VUG104" s="4"/>
      <c r="VUH104" s="4"/>
      <c r="VUI104" s="4"/>
      <c r="VUJ104" s="4"/>
      <c r="VUK104" s="4"/>
      <c r="VUL104" s="4"/>
      <c r="VUM104" s="4"/>
      <c r="VUN104" s="4"/>
      <c r="VUO104" s="4"/>
      <c r="VUP104" s="4"/>
      <c r="VUQ104" s="4"/>
      <c r="VUR104" s="4"/>
      <c r="VUS104" s="4"/>
      <c r="VUT104" s="4"/>
      <c r="VUU104" s="4"/>
      <c r="VUV104" s="4"/>
      <c r="VUW104" s="4"/>
      <c r="VUX104" s="4"/>
      <c r="VUY104" s="4"/>
      <c r="VUZ104" s="4"/>
      <c r="VVA104" s="4"/>
      <c r="VVB104" s="4"/>
      <c r="VVC104" s="4"/>
      <c r="VVD104" s="4"/>
      <c r="VVE104" s="4"/>
      <c r="VVF104" s="4"/>
      <c r="VVG104" s="4"/>
      <c r="VVH104" s="4"/>
      <c r="VVI104" s="4"/>
      <c r="VVJ104" s="4"/>
      <c r="VVK104" s="4"/>
      <c r="VVL104" s="4"/>
      <c r="VVM104" s="4"/>
      <c r="VVN104" s="4"/>
      <c r="VVO104" s="4"/>
      <c r="VVP104" s="4"/>
      <c r="VVQ104" s="4"/>
      <c r="VVR104" s="4"/>
      <c r="VVS104" s="4"/>
      <c r="VVT104" s="4"/>
      <c r="VVU104" s="4"/>
      <c r="VVV104" s="4"/>
      <c r="VVW104" s="4"/>
      <c r="VVX104" s="4"/>
      <c r="VVY104" s="4"/>
      <c r="VVZ104" s="4"/>
      <c r="VWA104" s="4"/>
      <c r="VWB104" s="4"/>
      <c r="VWC104" s="4"/>
      <c r="VWD104" s="4"/>
      <c r="VWE104" s="4"/>
      <c r="VWF104" s="4"/>
      <c r="VWG104" s="4"/>
      <c r="VWH104" s="4"/>
      <c r="VWI104" s="4"/>
      <c r="VWJ104" s="4"/>
      <c r="VWK104" s="4"/>
      <c r="VWL104" s="4"/>
      <c r="VWM104" s="4"/>
      <c r="VWN104" s="4"/>
      <c r="VWO104" s="4"/>
      <c r="VWP104" s="4"/>
      <c r="VWQ104" s="4"/>
      <c r="VWR104" s="4"/>
      <c r="VWS104" s="4"/>
      <c r="VWT104" s="4"/>
      <c r="VWU104" s="4"/>
      <c r="VWV104" s="4"/>
      <c r="VWW104" s="4"/>
      <c r="VWX104" s="4"/>
      <c r="VWY104" s="4"/>
      <c r="VWZ104" s="4"/>
      <c r="VXA104" s="4"/>
      <c r="VXB104" s="4"/>
      <c r="VXC104" s="4"/>
      <c r="VXD104" s="4"/>
      <c r="VXE104" s="4"/>
      <c r="VXF104" s="4"/>
      <c r="VXG104" s="4"/>
      <c r="VXH104" s="4"/>
      <c r="VXI104" s="4"/>
      <c r="VXJ104" s="4"/>
      <c r="VXK104" s="4"/>
      <c r="VXL104" s="4"/>
      <c r="VXM104" s="4"/>
      <c r="VXN104" s="4"/>
      <c r="VXO104" s="4"/>
      <c r="VXP104" s="4"/>
      <c r="VXQ104" s="4"/>
      <c r="VXR104" s="4"/>
      <c r="VXS104" s="4"/>
      <c r="VXT104" s="4"/>
      <c r="VXU104" s="4"/>
      <c r="VXV104" s="4"/>
      <c r="VXW104" s="4"/>
      <c r="VXX104" s="4"/>
      <c r="VXY104" s="4"/>
      <c r="VXZ104" s="4"/>
      <c r="VYA104" s="4"/>
      <c r="VYB104" s="4"/>
      <c r="VYC104" s="4"/>
      <c r="VYD104" s="4"/>
      <c r="VYE104" s="4"/>
      <c r="VYF104" s="4"/>
      <c r="VYG104" s="4"/>
      <c r="VYH104" s="4"/>
      <c r="VYI104" s="4"/>
      <c r="VYJ104" s="4"/>
      <c r="VYK104" s="4"/>
      <c r="VYL104" s="4"/>
      <c r="VYM104" s="4"/>
      <c r="VYN104" s="4"/>
      <c r="VYO104" s="4"/>
      <c r="VYP104" s="4"/>
      <c r="VYQ104" s="4"/>
      <c r="VYR104" s="4"/>
      <c r="VYS104" s="4"/>
      <c r="VYT104" s="4"/>
      <c r="VYU104" s="4"/>
      <c r="VYV104" s="4"/>
      <c r="VYW104" s="4"/>
      <c r="VYX104" s="4"/>
      <c r="VYY104" s="4"/>
      <c r="VYZ104" s="4"/>
      <c r="VZA104" s="4"/>
      <c r="VZB104" s="4"/>
      <c r="VZC104" s="4"/>
      <c r="VZD104" s="4"/>
      <c r="VZE104" s="4"/>
      <c r="VZF104" s="4"/>
      <c r="VZG104" s="4"/>
      <c r="VZH104" s="4"/>
      <c r="VZI104" s="4"/>
      <c r="VZJ104" s="4"/>
      <c r="VZK104" s="4"/>
      <c r="VZL104" s="4"/>
      <c r="VZM104" s="4"/>
      <c r="VZN104" s="4"/>
      <c r="VZO104" s="4"/>
      <c r="VZP104" s="4"/>
      <c r="VZQ104" s="4"/>
      <c r="VZR104" s="4"/>
      <c r="VZS104" s="4"/>
      <c r="VZT104" s="4"/>
      <c r="VZU104" s="4"/>
      <c r="VZV104" s="4"/>
      <c r="VZW104" s="4"/>
      <c r="VZX104" s="4"/>
      <c r="VZY104" s="4"/>
      <c r="VZZ104" s="4"/>
      <c r="WAA104" s="4"/>
      <c r="WAB104" s="4"/>
      <c r="WAC104" s="4"/>
      <c r="WAD104" s="4"/>
      <c r="WAE104" s="4"/>
      <c r="WAF104" s="4"/>
      <c r="WAG104" s="4"/>
      <c r="WAH104" s="4"/>
      <c r="WAI104" s="4"/>
      <c r="WAJ104" s="4"/>
      <c r="WAK104" s="4"/>
      <c r="WAL104" s="4"/>
      <c r="WAM104" s="4"/>
      <c r="WAN104" s="4"/>
      <c r="WAO104" s="4"/>
      <c r="WAP104" s="4"/>
      <c r="WAQ104" s="4"/>
      <c r="WAR104" s="4"/>
      <c r="WAS104" s="4"/>
      <c r="WAT104" s="4"/>
      <c r="WAU104" s="4"/>
      <c r="WAV104" s="4"/>
      <c r="WAW104" s="4"/>
      <c r="WAX104" s="4"/>
      <c r="WAY104" s="4"/>
      <c r="WAZ104" s="4"/>
      <c r="WBA104" s="4"/>
      <c r="WBB104" s="4"/>
      <c r="WBC104" s="4"/>
      <c r="WBD104" s="4"/>
      <c r="WBE104" s="4"/>
      <c r="WBF104" s="4"/>
      <c r="WBG104" s="4"/>
      <c r="WBH104" s="4"/>
      <c r="WBI104" s="4"/>
      <c r="WBJ104" s="4"/>
      <c r="WBK104" s="4"/>
      <c r="WBL104" s="4"/>
      <c r="WBM104" s="4"/>
      <c r="WBN104" s="4"/>
      <c r="WBO104" s="4"/>
      <c r="WBP104" s="4"/>
      <c r="WBQ104" s="4"/>
      <c r="WBR104" s="4"/>
      <c r="WBS104" s="4"/>
      <c r="WBT104" s="4"/>
      <c r="WBU104" s="4"/>
      <c r="WBV104" s="4"/>
      <c r="WBW104" s="4"/>
      <c r="WBX104" s="4"/>
      <c r="WBY104" s="4"/>
      <c r="WBZ104" s="4"/>
      <c r="WCA104" s="4"/>
      <c r="WCB104" s="4"/>
      <c r="WCC104" s="4"/>
      <c r="WCD104" s="4"/>
      <c r="WCE104" s="4"/>
      <c r="WCF104" s="4"/>
      <c r="WCG104" s="4"/>
      <c r="WCH104" s="4"/>
      <c r="WCI104" s="4"/>
      <c r="WCJ104" s="4"/>
      <c r="WCK104" s="4"/>
      <c r="WCL104" s="4"/>
      <c r="WCM104" s="4"/>
      <c r="WCN104" s="4"/>
      <c r="WCO104" s="4"/>
      <c r="WCP104" s="4"/>
      <c r="WCQ104" s="4"/>
      <c r="WCR104" s="4"/>
      <c r="WCS104" s="4"/>
      <c r="WCT104" s="4"/>
      <c r="WCU104" s="4"/>
      <c r="WCV104" s="4"/>
      <c r="WCW104" s="4"/>
      <c r="WCX104" s="4"/>
      <c r="WCY104" s="4"/>
      <c r="WCZ104" s="4"/>
      <c r="WDA104" s="4"/>
      <c r="WDB104" s="4"/>
      <c r="WDC104" s="4"/>
      <c r="WDD104" s="4"/>
      <c r="WDE104" s="4"/>
      <c r="WDF104" s="4"/>
      <c r="WDG104" s="4"/>
      <c r="WDH104" s="4"/>
      <c r="WDI104" s="4"/>
      <c r="WDJ104" s="4"/>
      <c r="WDK104" s="4"/>
      <c r="WDL104" s="4"/>
      <c r="WDM104" s="4"/>
      <c r="WDN104" s="4"/>
      <c r="WDO104" s="4"/>
      <c r="WDP104" s="4"/>
      <c r="WDQ104" s="4"/>
      <c r="WDR104" s="4"/>
      <c r="WDS104" s="4"/>
      <c r="WDT104" s="4"/>
      <c r="WDU104" s="4"/>
      <c r="WDV104" s="4"/>
      <c r="WDW104" s="4"/>
      <c r="WDX104" s="4"/>
      <c r="WDY104" s="4"/>
      <c r="WDZ104" s="4"/>
      <c r="WEA104" s="4"/>
      <c r="WEB104" s="4"/>
      <c r="WEC104" s="4"/>
      <c r="WED104" s="4"/>
      <c r="WEE104" s="4"/>
      <c r="WEF104" s="4"/>
      <c r="WEG104" s="4"/>
      <c r="WEH104" s="4"/>
      <c r="WEI104" s="4"/>
      <c r="WEJ104" s="4"/>
      <c r="WEK104" s="4"/>
      <c r="WEL104" s="4"/>
      <c r="WEM104" s="4"/>
      <c r="WEN104" s="4"/>
      <c r="WEO104" s="4"/>
      <c r="WEP104" s="4"/>
      <c r="WEQ104" s="4"/>
      <c r="WER104" s="4"/>
      <c r="WES104" s="4"/>
      <c r="WET104" s="4"/>
      <c r="WEU104" s="4"/>
      <c r="WEV104" s="4"/>
      <c r="WEW104" s="4"/>
      <c r="WEX104" s="4"/>
      <c r="WEY104" s="4"/>
      <c r="WEZ104" s="4"/>
      <c r="WFA104" s="4"/>
      <c r="WFB104" s="4"/>
      <c r="WFC104" s="4"/>
      <c r="WFD104" s="4"/>
      <c r="WFE104" s="4"/>
      <c r="WFF104" s="4"/>
      <c r="WFG104" s="4"/>
      <c r="WFH104" s="4"/>
      <c r="WFI104" s="4"/>
      <c r="WFJ104" s="4"/>
      <c r="WFK104" s="4"/>
      <c r="WFL104" s="4"/>
      <c r="WFM104" s="4"/>
      <c r="WFN104" s="4"/>
      <c r="WFO104" s="4"/>
      <c r="WFP104" s="4"/>
      <c r="WFQ104" s="4"/>
      <c r="WFR104" s="4"/>
      <c r="WFS104" s="4"/>
      <c r="WFT104" s="4"/>
      <c r="WFU104" s="4"/>
      <c r="WFV104" s="4"/>
      <c r="WFW104" s="4"/>
      <c r="WFX104" s="4"/>
      <c r="WFY104" s="4"/>
      <c r="WFZ104" s="4"/>
      <c r="WGA104" s="4"/>
      <c r="WGB104" s="4"/>
      <c r="WGC104" s="4"/>
      <c r="WGD104" s="4"/>
      <c r="WGE104" s="4"/>
      <c r="WGF104" s="4"/>
      <c r="WGG104" s="4"/>
      <c r="WGH104" s="4"/>
      <c r="WGI104" s="4"/>
      <c r="WGJ104" s="4"/>
      <c r="WGK104" s="4"/>
      <c r="WGL104" s="4"/>
      <c r="WGM104" s="4"/>
      <c r="WGN104" s="4"/>
      <c r="WGO104" s="4"/>
      <c r="WGP104" s="4"/>
      <c r="WGQ104" s="4"/>
      <c r="WGR104" s="4"/>
      <c r="WGS104" s="4"/>
      <c r="WGT104" s="4"/>
      <c r="WGU104" s="4"/>
      <c r="WGV104" s="4"/>
      <c r="WGW104" s="4"/>
      <c r="WGX104" s="4"/>
      <c r="WGY104" s="4"/>
      <c r="WGZ104" s="4"/>
      <c r="WHA104" s="4"/>
      <c r="WHB104" s="4"/>
      <c r="WHC104" s="4"/>
      <c r="WHD104" s="4"/>
      <c r="WHE104" s="4"/>
      <c r="WHF104" s="4"/>
      <c r="WHG104" s="4"/>
      <c r="WHH104" s="4"/>
      <c r="WHI104" s="4"/>
      <c r="WHJ104" s="4"/>
      <c r="WHK104" s="4"/>
      <c r="WHL104" s="4"/>
      <c r="WHM104" s="4"/>
      <c r="WHN104" s="4"/>
      <c r="WHO104" s="4"/>
      <c r="WHP104" s="4"/>
      <c r="WHQ104" s="4"/>
      <c r="WHR104" s="4"/>
      <c r="WHS104" s="4"/>
      <c r="WHT104" s="4"/>
      <c r="WHU104" s="4"/>
      <c r="WHV104" s="4"/>
      <c r="WHW104" s="4"/>
      <c r="WHX104" s="4"/>
      <c r="WHY104" s="4"/>
      <c r="WHZ104" s="4"/>
      <c r="WIA104" s="4"/>
      <c r="WIB104" s="4"/>
      <c r="WIC104" s="4"/>
      <c r="WID104" s="4"/>
      <c r="WIE104" s="4"/>
      <c r="WIF104" s="4"/>
      <c r="WIG104" s="4"/>
      <c r="WIH104" s="4"/>
      <c r="WII104" s="4"/>
      <c r="WIJ104" s="4"/>
      <c r="WIK104" s="4"/>
      <c r="WIL104" s="4"/>
      <c r="WIM104" s="4"/>
      <c r="WIN104" s="4"/>
      <c r="WIO104" s="4"/>
      <c r="WIP104" s="4"/>
      <c r="WIQ104" s="4"/>
      <c r="WIR104" s="4"/>
      <c r="WIS104" s="4"/>
      <c r="WIT104" s="4"/>
      <c r="WIU104" s="4"/>
      <c r="WIV104" s="4"/>
      <c r="WIW104" s="4"/>
      <c r="WIX104" s="4"/>
      <c r="WIY104" s="4"/>
      <c r="WIZ104" s="4"/>
      <c r="WJA104" s="4"/>
      <c r="WJB104" s="4"/>
      <c r="WJC104" s="4"/>
      <c r="WJD104" s="4"/>
      <c r="WJE104" s="4"/>
      <c r="WJF104" s="4"/>
      <c r="WJG104" s="4"/>
      <c r="WJH104" s="4"/>
      <c r="WJI104" s="4"/>
      <c r="WJJ104" s="4"/>
      <c r="WJK104" s="4"/>
      <c r="WJL104" s="4"/>
      <c r="WJM104" s="4"/>
      <c r="WJN104" s="4"/>
      <c r="WJO104" s="4"/>
      <c r="WJP104" s="4"/>
      <c r="WJQ104" s="4"/>
      <c r="WJR104" s="4"/>
      <c r="WJS104" s="4"/>
      <c r="WJT104" s="4"/>
      <c r="WJU104" s="4"/>
      <c r="WJV104" s="4"/>
      <c r="WJW104" s="4"/>
      <c r="WJX104" s="4"/>
      <c r="WJY104" s="4"/>
      <c r="WJZ104" s="4"/>
      <c r="WKA104" s="4"/>
      <c r="WKB104" s="4"/>
      <c r="WKC104" s="4"/>
      <c r="WKD104" s="4"/>
      <c r="WKE104" s="4"/>
      <c r="WKF104" s="4"/>
      <c r="WKG104" s="4"/>
      <c r="WKH104" s="4"/>
      <c r="WKI104" s="4"/>
      <c r="WKJ104" s="4"/>
      <c r="WKK104" s="4"/>
      <c r="WKL104" s="4"/>
      <c r="WKM104" s="4"/>
      <c r="WKN104" s="4"/>
      <c r="WKO104" s="4"/>
      <c r="WKP104" s="4"/>
      <c r="WKQ104" s="4"/>
      <c r="WKR104" s="4"/>
      <c r="WKS104" s="4"/>
      <c r="WKT104" s="4"/>
      <c r="WKU104" s="4"/>
      <c r="WKV104" s="4"/>
      <c r="WKW104" s="4"/>
      <c r="WKX104" s="4"/>
      <c r="WKY104" s="4"/>
      <c r="WKZ104" s="4"/>
      <c r="WLA104" s="4"/>
      <c r="WLB104" s="4"/>
      <c r="WLC104" s="4"/>
      <c r="WLD104" s="4"/>
      <c r="WLE104" s="4"/>
      <c r="WLF104" s="4"/>
      <c r="WLG104" s="4"/>
      <c r="WLH104" s="4"/>
      <c r="WLI104" s="4"/>
      <c r="WLJ104" s="4"/>
      <c r="WLK104" s="4"/>
      <c r="WLL104" s="4"/>
      <c r="WLM104" s="4"/>
      <c r="WLN104" s="4"/>
      <c r="WLO104" s="4"/>
      <c r="WLP104" s="4"/>
      <c r="WLQ104" s="4"/>
      <c r="WLR104" s="4"/>
      <c r="WLS104" s="4"/>
      <c r="WLT104" s="4"/>
      <c r="WLU104" s="4"/>
      <c r="WLV104" s="4"/>
      <c r="WLW104" s="4"/>
      <c r="WLX104" s="4"/>
      <c r="WLY104" s="4"/>
      <c r="WLZ104" s="4"/>
      <c r="WMA104" s="4"/>
      <c r="WMB104" s="4"/>
      <c r="WMC104" s="4"/>
      <c r="WMD104" s="4"/>
      <c r="WME104" s="4"/>
      <c r="WMF104" s="4"/>
      <c r="WMG104" s="4"/>
      <c r="WMH104" s="4"/>
      <c r="WMI104" s="4"/>
      <c r="WMJ104" s="4"/>
      <c r="WMK104" s="4"/>
      <c r="WML104" s="4"/>
      <c r="WMM104" s="4"/>
      <c r="WMN104" s="4"/>
      <c r="WMO104" s="4"/>
      <c r="WMP104" s="4"/>
      <c r="WMQ104" s="4"/>
      <c r="WMR104" s="4"/>
      <c r="WMS104" s="4"/>
      <c r="WMT104" s="4"/>
      <c r="WMU104" s="4"/>
      <c r="WMV104" s="4"/>
      <c r="WMW104" s="4"/>
      <c r="WMX104" s="4"/>
      <c r="WMY104" s="4"/>
      <c r="WMZ104" s="4"/>
      <c r="WNA104" s="4"/>
      <c r="WNB104" s="4"/>
      <c r="WNC104" s="4"/>
      <c r="WND104" s="4"/>
      <c r="WNE104" s="4"/>
      <c r="WNF104" s="4"/>
      <c r="WNG104" s="4"/>
      <c r="WNH104" s="4"/>
      <c r="WNI104" s="4"/>
      <c r="WNJ104" s="4"/>
      <c r="WNK104" s="4"/>
      <c r="WNL104" s="4"/>
      <c r="WNM104" s="4"/>
      <c r="WNN104" s="4"/>
      <c r="WNO104" s="4"/>
      <c r="WNP104" s="4"/>
      <c r="WNQ104" s="4"/>
      <c r="WNR104" s="4"/>
      <c r="WNS104" s="4"/>
      <c r="WNT104" s="4"/>
      <c r="WNU104" s="4"/>
      <c r="WNV104" s="4"/>
      <c r="WNW104" s="4"/>
      <c r="WNX104" s="4"/>
      <c r="WNY104" s="4"/>
      <c r="WNZ104" s="4"/>
      <c r="WOA104" s="4"/>
      <c r="WOB104" s="4"/>
      <c r="WOC104" s="4"/>
      <c r="WOD104" s="4"/>
      <c r="WOE104" s="4"/>
      <c r="WOF104" s="4"/>
      <c r="WOG104" s="4"/>
      <c r="WOH104" s="4"/>
      <c r="WOI104" s="4"/>
      <c r="WOJ104" s="4"/>
      <c r="WOK104" s="4"/>
      <c r="WOL104" s="4"/>
      <c r="WOM104" s="4"/>
      <c r="WON104" s="4"/>
      <c r="WOO104" s="4"/>
      <c r="WOP104" s="4"/>
      <c r="WOQ104" s="4"/>
      <c r="WOR104" s="4"/>
      <c r="WOS104" s="4"/>
      <c r="WOT104" s="4"/>
      <c r="WOU104" s="4"/>
      <c r="WOV104" s="4"/>
      <c r="WOW104" s="4"/>
      <c r="WOX104" s="4"/>
      <c r="WOY104" s="4"/>
      <c r="WOZ104" s="4"/>
      <c r="WPA104" s="4"/>
      <c r="WPB104" s="4"/>
      <c r="WPC104" s="4"/>
      <c r="WPD104" s="4"/>
      <c r="WPE104" s="4"/>
      <c r="WPF104" s="4"/>
      <c r="WPG104" s="4"/>
      <c r="WPH104" s="4"/>
      <c r="WPI104" s="4"/>
      <c r="WPJ104" s="4"/>
      <c r="WPK104" s="4"/>
      <c r="WPL104" s="4"/>
      <c r="WPM104" s="4"/>
      <c r="WPN104" s="4"/>
      <c r="WPO104" s="4"/>
      <c r="WPP104" s="4"/>
      <c r="WPQ104" s="4"/>
      <c r="WPR104" s="4"/>
      <c r="WPS104" s="4"/>
      <c r="WPT104" s="4"/>
      <c r="WPU104" s="4"/>
      <c r="WPV104" s="4"/>
      <c r="WPW104" s="4"/>
      <c r="WPX104" s="4"/>
      <c r="WPY104" s="4"/>
      <c r="WPZ104" s="4"/>
      <c r="WQA104" s="4"/>
      <c r="WQB104" s="4"/>
      <c r="WQC104" s="4"/>
      <c r="WQD104" s="4"/>
      <c r="WQE104" s="4"/>
      <c r="WQF104" s="4"/>
      <c r="WQG104" s="4"/>
      <c r="WQH104" s="4"/>
      <c r="WQI104" s="4"/>
      <c r="WQJ104" s="4"/>
      <c r="WQK104" s="4"/>
      <c r="WQL104" s="4"/>
      <c r="WQM104" s="4"/>
      <c r="WQN104" s="4"/>
      <c r="WQO104" s="4"/>
      <c r="WQP104" s="4"/>
      <c r="WQQ104" s="4"/>
      <c r="WQR104" s="4"/>
      <c r="WQS104" s="4"/>
      <c r="WQT104" s="4"/>
      <c r="WQU104" s="4"/>
      <c r="WQV104" s="4"/>
      <c r="WQW104" s="4"/>
      <c r="WQX104" s="4"/>
      <c r="WQY104" s="4"/>
      <c r="WQZ104" s="4"/>
      <c r="WRA104" s="4"/>
      <c r="WRB104" s="4"/>
      <c r="WRC104" s="4"/>
      <c r="WRD104" s="4"/>
      <c r="WRE104" s="4"/>
      <c r="WRF104" s="4"/>
      <c r="WRG104" s="4"/>
      <c r="WRH104" s="4"/>
      <c r="WRI104" s="4"/>
      <c r="WRJ104" s="4"/>
      <c r="WRK104" s="4"/>
      <c r="WRL104" s="4"/>
      <c r="WRM104" s="4"/>
      <c r="WRN104" s="4"/>
      <c r="WRO104" s="4"/>
      <c r="WRP104" s="4"/>
      <c r="WRQ104" s="4"/>
      <c r="WRR104" s="4"/>
      <c r="WRS104" s="4"/>
      <c r="WRT104" s="4"/>
      <c r="WRU104" s="4"/>
      <c r="WRV104" s="4"/>
      <c r="WRW104" s="4"/>
      <c r="WRX104" s="4"/>
      <c r="WRY104" s="4"/>
      <c r="WRZ104" s="4"/>
      <c r="WSA104" s="4"/>
      <c r="WSB104" s="4"/>
      <c r="WSC104" s="4"/>
      <c r="WSD104" s="4"/>
      <c r="WSE104" s="4"/>
      <c r="WSF104" s="4"/>
      <c r="WSG104" s="4"/>
      <c r="WSH104" s="4"/>
      <c r="WSI104" s="4"/>
      <c r="WSJ104" s="4"/>
      <c r="WSK104" s="4"/>
      <c r="WSL104" s="4"/>
      <c r="WSM104" s="4"/>
      <c r="WSN104" s="4"/>
      <c r="WSO104" s="4"/>
      <c r="WSP104" s="4"/>
      <c r="WSQ104" s="4"/>
      <c r="WSR104" s="4"/>
      <c r="WSS104" s="4"/>
      <c r="WST104" s="4"/>
      <c r="WSU104" s="4"/>
      <c r="WSV104" s="4"/>
      <c r="WSW104" s="4"/>
      <c r="WSX104" s="4"/>
      <c r="WSY104" s="4"/>
      <c r="WSZ104" s="4"/>
      <c r="WTA104" s="4"/>
      <c r="WTB104" s="4"/>
      <c r="WTC104" s="4"/>
      <c r="WTD104" s="4"/>
      <c r="WTE104" s="4"/>
      <c r="WTF104" s="4"/>
      <c r="WTG104" s="4"/>
      <c r="WTH104" s="4"/>
      <c r="WTI104" s="4"/>
      <c r="WTJ104" s="4"/>
      <c r="WTK104" s="4"/>
      <c r="WTL104" s="4"/>
      <c r="WTM104" s="4"/>
      <c r="WTN104" s="4"/>
      <c r="WTO104" s="4"/>
      <c r="WTP104" s="4"/>
      <c r="WTQ104" s="4"/>
      <c r="WTR104" s="4"/>
      <c r="WTS104" s="4"/>
      <c r="WTT104" s="4"/>
      <c r="WTU104" s="4"/>
      <c r="WTV104" s="4"/>
      <c r="WTW104" s="4"/>
      <c r="WTX104" s="4"/>
      <c r="WTY104" s="4"/>
      <c r="WTZ104" s="4"/>
      <c r="WUA104" s="4"/>
      <c r="WUB104" s="4"/>
      <c r="WUC104" s="4"/>
      <c r="WUD104" s="4"/>
      <c r="WUE104" s="4"/>
      <c r="WUF104" s="4"/>
      <c r="WUG104" s="4"/>
      <c r="WUH104" s="4"/>
      <c r="WUI104" s="4"/>
      <c r="WUJ104" s="4"/>
      <c r="WUK104" s="4"/>
      <c r="WUL104" s="4"/>
      <c r="WUM104" s="4"/>
      <c r="WUN104" s="4"/>
      <c r="WUO104" s="4"/>
      <c r="WUP104" s="4"/>
      <c r="WUQ104" s="4"/>
      <c r="WUR104" s="4"/>
      <c r="WUS104" s="4"/>
      <c r="WUT104" s="4"/>
      <c r="WUU104" s="4"/>
      <c r="WUV104" s="4"/>
      <c r="WUW104" s="4"/>
      <c r="WUX104" s="4"/>
      <c r="WUY104" s="4"/>
      <c r="WUZ104" s="4"/>
      <c r="WVA104" s="4"/>
      <c r="WVB104" s="4"/>
      <c r="WVC104" s="4"/>
      <c r="WVD104" s="4"/>
      <c r="WVE104" s="4"/>
      <c r="WVF104" s="4"/>
      <c r="WVG104" s="4"/>
      <c r="WVH104" s="4"/>
      <c r="WVI104" s="4"/>
      <c r="WVJ104" s="4"/>
      <c r="WVK104" s="4"/>
      <c r="WVL104" s="4"/>
      <c r="WVM104" s="4"/>
      <c r="WVN104" s="4"/>
      <c r="WVO104" s="4"/>
      <c r="WVP104" s="4"/>
      <c r="WVQ104" s="4"/>
      <c r="WVR104" s="4"/>
      <c r="WVS104" s="4"/>
      <c r="WVT104" s="4"/>
      <c r="WVU104" s="4"/>
      <c r="WVV104" s="4"/>
      <c r="WVW104" s="4"/>
      <c r="WVX104" s="4"/>
      <c r="WVY104" s="4"/>
      <c r="WVZ104" s="4"/>
      <c r="WWA104" s="4"/>
      <c r="WWB104" s="4"/>
      <c r="WWC104" s="4"/>
      <c r="WWD104" s="4"/>
      <c r="WWE104" s="4"/>
      <c r="WWF104" s="4"/>
      <c r="WWG104" s="4"/>
      <c r="WWH104" s="4"/>
      <c r="WWI104" s="4"/>
      <c r="WWJ104" s="4"/>
      <c r="WWK104" s="4"/>
      <c r="WWL104" s="4"/>
      <c r="WWM104" s="4"/>
      <c r="WWN104" s="4"/>
      <c r="WWO104" s="4"/>
      <c r="WWP104" s="4"/>
      <c r="WWQ104" s="4"/>
      <c r="WWR104" s="4"/>
      <c r="WWS104" s="4"/>
      <c r="WWT104" s="4"/>
      <c r="WWU104" s="4"/>
      <c r="WWV104" s="4"/>
      <c r="WWW104" s="4"/>
      <c r="WWX104" s="4"/>
      <c r="WWY104" s="4"/>
      <c r="WWZ104" s="4"/>
      <c r="WXA104" s="4"/>
      <c r="WXB104" s="4"/>
      <c r="WXC104" s="4"/>
      <c r="WXD104" s="4"/>
      <c r="WXE104" s="4"/>
      <c r="WXF104" s="4"/>
      <c r="WXG104" s="4"/>
      <c r="WXH104" s="4"/>
      <c r="WXI104" s="4"/>
      <c r="WXJ104" s="4"/>
      <c r="WXK104" s="4"/>
      <c r="WXL104" s="4"/>
      <c r="WXM104" s="4"/>
      <c r="WXN104" s="4"/>
      <c r="WXO104" s="4"/>
      <c r="WXP104" s="4"/>
      <c r="WXQ104" s="4"/>
      <c r="WXR104" s="4"/>
      <c r="WXS104" s="4"/>
      <c r="WXT104" s="4"/>
      <c r="WXU104" s="4"/>
      <c r="WXV104" s="4"/>
      <c r="WXW104" s="4"/>
      <c r="WXX104" s="4"/>
      <c r="WXY104" s="4"/>
      <c r="WXZ104" s="4"/>
      <c r="WYA104" s="4"/>
      <c r="WYB104" s="4"/>
      <c r="WYC104" s="4"/>
      <c r="WYD104" s="4"/>
      <c r="WYE104" s="4"/>
      <c r="WYF104" s="4"/>
      <c r="WYG104" s="4"/>
      <c r="WYH104" s="4"/>
      <c r="WYI104" s="4"/>
      <c r="WYJ104" s="4"/>
      <c r="WYK104" s="4"/>
      <c r="WYL104" s="4"/>
      <c r="WYM104" s="4"/>
      <c r="WYN104" s="4"/>
      <c r="WYO104" s="4"/>
      <c r="WYP104" s="4"/>
      <c r="WYQ104" s="4"/>
      <c r="WYR104" s="4"/>
      <c r="WYS104" s="4"/>
      <c r="WYT104" s="4"/>
      <c r="WYU104" s="4"/>
      <c r="WYV104" s="4"/>
      <c r="WYW104" s="4"/>
      <c r="WYX104" s="4"/>
      <c r="WYY104" s="4"/>
      <c r="WYZ104" s="4"/>
      <c r="WZA104" s="4"/>
      <c r="WZB104" s="4"/>
      <c r="WZC104" s="4"/>
      <c r="WZD104" s="4"/>
      <c r="WZE104" s="4"/>
      <c r="WZF104" s="4"/>
      <c r="WZG104" s="4"/>
      <c r="WZH104" s="4"/>
      <c r="WZI104" s="4"/>
      <c r="WZJ104" s="4"/>
      <c r="WZK104" s="4"/>
      <c r="WZL104" s="4"/>
      <c r="WZM104" s="4"/>
      <c r="WZN104" s="4"/>
      <c r="WZO104" s="4"/>
      <c r="WZP104" s="4"/>
      <c r="WZQ104" s="4"/>
      <c r="WZR104" s="4"/>
      <c r="WZS104" s="4"/>
      <c r="WZT104" s="4"/>
      <c r="WZU104" s="4"/>
      <c r="WZV104" s="4"/>
      <c r="WZW104" s="4"/>
      <c r="WZX104" s="4"/>
      <c r="WZY104" s="4"/>
      <c r="WZZ104" s="4"/>
      <c r="XAA104" s="4"/>
      <c r="XAB104" s="4"/>
      <c r="XAC104" s="4"/>
      <c r="XAD104" s="4"/>
      <c r="XAE104" s="4"/>
      <c r="XAF104" s="4"/>
      <c r="XAG104" s="4"/>
      <c r="XAH104" s="4"/>
      <c r="XAI104" s="4"/>
      <c r="XAJ104" s="4"/>
      <c r="XAK104" s="4"/>
      <c r="XAL104" s="4"/>
      <c r="XAM104" s="4"/>
      <c r="XAN104" s="4"/>
      <c r="XAO104" s="4"/>
      <c r="XAP104" s="4"/>
      <c r="XAQ104" s="4"/>
      <c r="XAR104" s="4"/>
      <c r="XAS104" s="4"/>
      <c r="XAT104" s="4"/>
      <c r="XAU104" s="4"/>
      <c r="XAV104" s="4"/>
      <c r="XAW104" s="4"/>
      <c r="XAX104" s="4"/>
      <c r="XAY104" s="4"/>
      <c r="XAZ104" s="4"/>
      <c r="XBA104" s="4"/>
      <c r="XBB104" s="4"/>
      <c r="XBC104" s="4"/>
      <c r="XBD104" s="4"/>
      <c r="XBE104" s="4"/>
      <c r="XBF104" s="4"/>
      <c r="XBG104" s="4"/>
      <c r="XBH104" s="4"/>
      <c r="XBI104" s="4"/>
      <c r="XBJ104" s="4"/>
      <c r="XBK104" s="4"/>
      <c r="XBL104" s="4"/>
      <c r="XBM104" s="4"/>
      <c r="XBN104" s="4"/>
      <c r="XBO104" s="4"/>
      <c r="XBP104" s="4"/>
      <c r="XBQ104" s="4"/>
      <c r="XBR104" s="4"/>
      <c r="XBS104" s="4"/>
      <c r="XBT104" s="4"/>
      <c r="XBU104" s="4"/>
      <c r="XBV104" s="4"/>
      <c r="XBW104" s="4"/>
      <c r="XBX104" s="4"/>
      <c r="XBY104" s="4"/>
      <c r="XBZ104" s="4"/>
      <c r="XCA104" s="4"/>
      <c r="XCB104" s="4"/>
      <c r="XCC104" s="4"/>
      <c r="XCD104" s="4"/>
      <c r="XCE104" s="4"/>
      <c r="XCF104" s="4"/>
      <c r="XCG104" s="4"/>
      <c r="XCH104" s="4"/>
      <c r="XCI104" s="4"/>
      <c r="XCJ104" s="4"/>
      <c r="XCK104" s="4"/>
      <c r="XCL104" s="4"/>
      <c r="XCM104" s="4"/>
      <c r="XCN104" s="4"/>
      <c r="XCO104" s="4"/>
      <c r="XCP104" s="4"/>
      <c r="XCQ104" s="4"/>
      <c r="XCR104" s="4"/>
      <c r="XCS104" s="4"/>
      <c r="XCT104" s="4"/>
      <c r="XCU104" s="4"/>
      <c r="XCV104" s="4"/>
      <c r="XCW104" s="4"/>
      <c r="XCX104" s="4"/>
      <c r="XCY104" s="4"/>
      <c r="XCZ104" s="4"/>
      <c r="XDA104" s="4"/>
      <c r="XDB104" s="4"/>
      <c r="XDC104" s="4"/>
      <c r="XDD104" s="4"/>
      <c r="XDE104" s="4"/>
      <c r="XDF104" s="4"/>
      <c r="XDG104" s="4"/>
      <c r="XDH104" s="4"/>
      <c r="XDI104" s="4"/>
      <c r="XDJ104" s="4"/>
      <c r="XDK104" s="4"/>
      <c r="XDL104" s="4"/>
      <c r="XDM104" s="4"/>
      <c r="XDN104" s="4"/>
      <c r="XDO104" s="4"/>
      <c r="XDP104" s="4"/>
      <c r="XDQ104" s="4"/>
      <c r="XDR104" s="4"/>
      <c r="XDS104" s="4"/>
      <c r="XDT104" s="4"/>
      <c r="XDU104" s="4"/>
      <c r="XDV104" s="4"/>
      <c r="XDW104" s="4"/>
      <c r="XDX104" s="4"/>
      <c r="XDY104" s="4"/>
      <c r="XDZ104" s="4"/>
      <c r="XEA104" s="4"/>
      <c r="XEB104" s="4"/>
      <c r="XEC104" s="4"/>
      <c r="XED104" s="4"/>
      <c r="XEE104" s="4"/>
      <c r="XEF104" s="4"/>
      <c r="XEG104" s="4"/>
      <c r="XEH104" s="4"/>
      <c r="XEI104" s="4"/>
      <c r="XEJ104" s="4"/>
      <c r="XEK104" s="4"/>
      <c r="XEL104" s="4"/>
      <c r="XEM104" s="4"/>
      <c r="XEN104" s="4"/>
      <c r="XEO104" s="4"/>
      <c r="XEP104" s="4"/>
      <c r="XEQ104" s="4"/>
      <c r="XER104" s="4"/>
      <c r="XES104" s="4"/>
      <c r="XET104" s="4"/>
      <c r="XEU104" s="4"/>
      <c r="XEV104" s="4"/>
      <c r="XEW104" s="4"/>
      <c r="XEX104" s="4"/>
      <c r="XEY104" s="4"/>
      <c r="XEZ104" s="4"/>
      <c r="XFA104" s="4"/>
      <c r="XFB104" s="4"/>
    </row>
    <row r="105" spans="1:16382" ht="18" x14ac:dyDescent="0.25">
      <c r="A105" s="423" t="s">
        <v>3295</v>
      </c>
      <c r="B105" s="26"/>
    </row>
    <row r="106" spans="1:16382" ht="18" x14ac:dyDescent="0.25">
      <c r="A106" s="434" t="s">
        <v>3367</v>
      </c>
      <c r="B106" s="420"/>
    </row>
  </sheetData>
  <sortState xmlns:xlrd2="http://schemas.microsoft.com/office/spreadsheetml/2017/richdata2" ref="A3:G97">
    <sortCondition ref="B3:B97"/>
  </sortState>
  <printOptions gridLines="1"/>
  <pageMargins left="0.5" right="0.5" top="0.5" bottom="0.5" header="0.3" footer="0.3"/>
  <pageSetup scale="65" orientation="landscape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22"/>
  <sheetViews>
    <sheetView workbookViewId="0">
      <pane ySplit="1" topLeftCell="A2" activePane="bottomLeft" state="frozen"/>
      <selection activeCell="C26" sqref="C26"/>
      <selection pane="bottomLeft" activeCell="F2" sqref="F2:F16"/>
    </sheetView>
  </sheetViews>
  <sheetFormatPr defaultColWidth="9.140625" defaultRowHeight="12.75" x14ac:dyDescent="0.2"/>
  <cols>
    <col min="1" max="1" width="65.5703125" style="34" bestFit="1" customWidth="1"/>
    <col min="2" max="2" width="15.85546875" style="36" bestFit="1" customWidth="1"/>
    <col min="3" max="3" width="20.42578125" style="36" bestFit="1" customWidth="1"/>
    <col min="4" max="4" width="20.140625" style="36" bestFit="1" customWidth="1"/>
    <col min="5" max="5" width="12.42578125" style="36" bestFit="1" customWidth="1"/>
    <col min="6" max="6" width="10" style="36" bestFit="1" customWidth="1"/>
    <col min="7" max="7" width="11.42578125" style="35" bestFit="1" customWidth="1"/>
    <col min="8" max="8" width="16.85546875" style="35" bestFit="1" customWidth="1"/>
    <col min="9" max="16384" width="9.140625" style="35"/>
  </cols>
  <sheetData>
    <row r="1" spans="1:8" ht="31.5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13" t="s">
        <v>412</v>
      </c>
      <c r="G1" s="441" t="s">
        <v>3368</v>
      </c>
      <c r="H1" s="418" t="s">
        <v>3369</v>
      </c>
    </row>
    <row r="2" spans="1:8" s="34" customFormat="1" ht="15" x14ac:dyDescent="0.2">
      <c r="A2" s="27" t="s">
        <v>17</v>
      </c>
      <c r="B2" s="111" t="s">
        <v>407</v>
      </c>
      <c r="C2" s="430"/>
      <c r="D2" s="111"/>
      <c r="E2" s="111" t="s">
        <v>1920</v>
      </c>
      <c r="F2" s="28">
        <v>1</v>
      </c>
      <c r="G2" s="452"/>
      <c r="H2" s="465"/>
    </row>
    <row r="3" spans="1:8" s="34" customFormat="1" ht="15" x14ac:dyDescent="0.2">
      <c r="A3" s="27" t="s">
        <v>16</v>
      </c>
      <c r="B3" s="111" t="s">
        <v>476</v>
      </c>
      <c r="C3" s="430"/>
      <c r="D3" s="111"/>
      <c r="E3" s="111" t="s">
        <v>1920</v>
      </c>
      <c r="F3" s="28">
        <v>1</v>
      </c>
      <c r="G3" s="452"/>
      <c r="H3" s="465"/>
    </row>
    <row r="4" spans="1:8" s="34" customFormat="1" ht="15" x14ac:dyDescent="0.2">
      <c r="A4" s="27" t="s">
        <v>12</v>
      </c>
      <c r="B4" s="111" t="s">
        <v>171</v>
      </c>
      <c r="C4" s="430"/>
      <c r="D4" s="111"/>
      <c r="E4" s="111" t="s">
        <v>1920</v>
      </c>
      <c r="F4" s="28">
        <v>1</v>
      </c>
      <c r="G4" s="452"/>
      <c r="H4" s="465"/>
    </row>
    <row r="5" spans="1:8" s="34" customFormat="1" ht="15" x14ac:dyDescent="0.2">
      <c r="A5" s="27" t="s">
        <v>6</v>
      </c>
      <c r="B5" s="111" t="s">
        <v>91</v>
      </c>
      <c r="C5" s="430"/>
      <c r="D5" s="111"/>
      <c r="E5" s="111" t="s">
        <v>1920</v>
      </c>
      <c r="F5" s="28">
        <v>1</v>
      </c>
      <c r="G5" s="452"/>
      <c r="H5" s="465"/>
    </row>
    <row r="6" spans="1:8" s="34" customFormat="1" ht="15" x14ac:dyDescent="0.2">
      <c r="A6" s="27" t="s">
        <v>3198</v>
      </c>
      <c r="B6" s="111" t="s">
        <v>255</v>
      </c>
      <c r="C6" s="430"/>
      <c r="D6" s="111"/>
      <c r="E6" s="111" t="s">
        <v>1920</v>
      </c>
      <c r="F6" s="28">
        <v>1</v>
      </c>
      <c r="G6" s="452"/>
      <c r="H6" s="465"/>
    </row>
    <row r="7" spans="1:8" s="34" customFormat="1" ht="15" x14ac:dyDescent="0.2">
      <c r="A7" s="27" t="s">
        <v>1125</v>
      </c>
      <c r="B7" s="111">
        <v>8130020</v>
      </c>
      <c r="C7" s="430"/>
      <c r="D7" s="111"/>
      <c r="E7" s="111" t="s">
        <v>1975</v>
      </c>
      <c r="F7" s="28">
        <v>1</v>
      </c>
      <c r="G7" s="452"/>
      <c r="H7" s="465"/>
    </row>
    <row r="8" spans="1:8" s="34" customFormat="1" ht="15" x14ac:dyDescent="0.2">
      <c r="A8" s="27" t="s">
        <v>1127</v>
      </c>
      <c r="B8" s="111">
        <v>8130030</v>
      </c>
      <c r="C8" s="430"/>
      <c r="D8" s="111"/>
      <c r="E8" s="111" t="s">
        <v>1975</v>
      </c>
      <c r="F8" s="28">
        <v>1</v>
      </c>
      <c r="G8" s="452"/>
      <c r="H8" s="465"/>
    </row>
    <row r="9" spans="1:8" ht="15" x14ac:dyDescent="0.2">
      <c r="A9" s="27" t="s">
        <v>1275</v>
      </c>
      <c r="B9" s="111" t="s">
        <v>478</v>
      </c>
      <c r="C9" s="430"/>
      <c r="D9" s="111"/>
      <c r="E9" s="111" t="s">
        <v>1920</v>
      </c>
      <c r="F9" s="28">
        <v>1</v>
      </c>
      <c r="G9" s="452"/>
      <c r="H9" s="465"/>
    </row>
    <row r="10" spans="1:8" ht="15" x14ac:dyDescent="0.2">
      <c r="A10" s="27" t="s">
        <v>2134</v>
      </c>
      <c r="B10" s="111" t="s">
        <v>2909</v>
      </c>
      <c r="C10" s="430"/>
      <c r="D10" s="111"/>
      <c r="E10" s="111">
        <v>56654</v>
      </c>
      <c r="F10" s="28">
        <v>1</v>
      </c>
      <c r="G10" s="452"/>
      <c r="H10" s="465"/>
    </row>
    <row r="11" spans="1:8" ht="15" x14ac:dyDescent="0.2">
      <c r="A11" s="27" t="s">
        <v>105</v>
      </c>
      <c r="B11" s="111" t="s">
        <v>2118</v>
      </c>
      <c r="C11" s="430"/>
      <c r="D11" s="111" t="s">
        <v>1729</v>
      </c>
      <c r="E11" s="111" t="s">
        <v>1975</v>
      </c>
      <c r="F11" s="28">
        <v>1</v>
      </c>
      <c r="G11" s="452"/>
      <c r="H11" s="465"/>
    </row>
    <row r="12" spans="1:8" ht="15" x14ac:dyDescent="0.2">
      <c r="A12" s="27" t="s">
        <v>1156</v>
      </c>
      <c r="B12" s="111" t="s">
        <v>2117</v>
      </c>
      <c r="C12" s="430"/>
      <c r="D12" s="111" t="s">
        <v>2217</v>
      </c>
      <c r="E12" s="111" t="s">
        <v>1975</v>
      </c>
      <c r="F12" s="28">
        <v>1</v>
      </c>
      <c r="G12" s="452"/>
      <c r="H12" s="465"/>
    </row>
    <row r="13" spans="1:8" ht="15" x14ac:dyDescent="0.2">
      <c r="A13" s="27" t="s">
        <v>1085</v>
      </c>
      <c r="B13" s="111" t="s">
        <v>92</v>
      </c>
      <c r="C13" s="430"/>
      <c r="D13" s="111"/>
      <c r="E13" s="111" t="s">
        <v>1920</v>
      </c>
      <c r="F13" s="28">
        <v>1</v>
      </c>
      <c r="G13" s="452"/>
      <c r="H13" s="465"/>
    </row>
    <row r="14" spans="1:8" ht="15" x14ac:dyDescent="0.2">
      <c r="A14" s="27" t="s">
        <v>1236</v>
      </c>
      <c r="B14" s="111" t="s">
        <v>77</v>
      </c>
      <c r="C14" s="430"/>
      <c r="D14" s="111"/>
      <c r="E14" s="111" t="s">
        <v>1920</v>
      </c>
      <c r="F14" s="28">
        <v>1</v>
      </c>
      <c r="G14" s="452"/>
      <c r="H14" s="465"/>
    </row>
    <row r="15" spans="1:8" ht="15" x14ac:dyDescent="0.2">
      <c r="A15" s="27" t="s">
        <v>10</v>
      </c>
      <c r="B15" s="111" t="s">
        <v>469</v>
      </c>
      <c r="C15" s="430"/>
      <c r="D15" s="111"/>
      <c r="E15" s="111" t="s">
        <v>1920</v>
      </c>
      <c r="F15" s="28">
        <v>1</v>
      </c>
      <c r="G15" s="452"/>
      <c r="H15" s="465"/>
    </row>
    <row r="16" spans="1:8" ht="15" x14ac:dyDescent="0.2">
      <c r="A16" s="27" t="s">
        <v>101</v>
      </c>
      <c r="B16" s="111" t="s">
        <v>509</v>
      </c>
      <c r="C16" s="430"/>
      <c r="D16" s="111"/>
      <c r="E16" s="111" t="s">
        <v>1920</v>
      </c>
      <c r="F16" s="28">
        <v>1</v>
      </c>
      <c r="G16" s="452"/>
      <c r="H16" s="465"/>
    </row>
    <row r="19" spans="1:7" s="4" customFormat="1" ht="18" x14ac:dyDescent="0.25">
      <c r="A19" s="422" t="s">
        <v>2258</v>
      </c>
      <c r="B19" s="425"/>
      <c r="C19" s="309"/>
      <c r="D19" s="3"/>
      <c r="E19" s="3"/>
      <c r="F19" s="3"/>
      <c r="G19" s="39"/>
    </row>
    <row r="20" spans="1:7" s="4" customFormat="1" ht="18" x14ac:dyDescent="0.25">
      <c r="A20" s="422" t="s">
        <v>3100</v>
      </c>
      <c r="B20" s="425"/>
      <c r="C20" s="309"/>
      <c r="D20" s="3"/>
      <c r="E20" s="3"/>
      <c r="F20" s="3"/>
      <c r="G20" s="39"/>
    </row>
    <row r="21" spans="1:7" ht="18" x14ac:dyDescent="0.25">
      <c r="A21" s="423" t="s">
        <v>3294</v>
      </c>
      <c r="B21" s="466"/>
    </row>
    <row r="22" spans="1:7" ht="18" x14ac:dyDescent="0.25">
      <c r="A22" s="434" t="s">
        <v>3367</v>
      </c>
      <c r="B22" s="420"/>
    </row>
  </sheetData>
  <sortState xmlns:xlrd2="http://schemas.microsoft.com/office/spreadsheetml/2017/richdata2" ref="A2:H16">
    <sortCondition ref="B2:B16"/>
  </sortState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4"/>
  <sheetViews>
    <sheetView workbookViewId="0">
      <pane ySplit="1" topLeftCell="A2" activePane="bottomLeft" state="frozen"/>
      <selection activeCell="C26" sqref="C26"/>
      <selection pane="bottomLeft" activeCell="F2" sqref="F2:F8"/>
    </sheetView>
  </sheetViews>
  <sheetFormatPr defaultColWidth="9.140625" defaultRowHeight="12.75" x14ac:dyDescent="0.2"/>
  <cols>
    <col min="1" max="1" width="63.85546875" style="34" bestFit="1" customWidth="1"/>
    <col min="2" max="2" width="14.42578125" style="36" bestFit="1" customWidth="1"/>
    <col min="3" max="3" width="20.42578125" style="36" bestFit="1" customWidth="1"/>
    <col min="4" max="4" width="20.140625" style="36" bestFit="1" customWidth="1"/>
    <col min="5" max="5" width="12.42578125" style="36" bestFit="1" customWidth="1"/>
    <col min="6" max="6" width="10" style="36" bestFit="1" customWidth="1"/>
    <col min="7" max="7" width="11.42578125" style="34" bestFit="1" customWidth="1"/>
    <col min="8" max="8" width="16.85546875" style="34" bestFit="1" customWidth="1"/>
    <col min="9" max="16384" width="9.140625" style="34"/>
  </cols>
  <sheetData>
    <row r="1" spans="1:8" ht="24.95" customHeight="1" x14ac:dyDescent="0.25">
      <c r="A1" s="13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13" t="s">
        <v>412</v>
      </c>
      <c r="G1" s="441" t="s">
        <v>3368</v>
      </c>
      <c r="H1" s="418" t="s">
        <v>3369</v>
      </c>
    </row>
    <row r="2" spans="1:8" ht="15" x14ac:dyDescent="0.2">
      <c r="A2" s="113" t="s">
        <v>17</v>
      </c>
      <c r="B2" s="267" t="s">
        <v>407</v>
      </c>
      <c r="C2" s="430"/>
      <c r="D2" s="267">
        <v>55719</v>
      </c>
      <c r="E2" s="267"/>
      <c r="F2" s="267">
        <v>1</v>
      </c>
      <c r="G2" s="464"/>
      <c r="H2" s="465"/>
    </row>
    <row r="3" spans="1:8" ht="15" x14ac:dyDescent="0.2">
      <c r="A3" s="113" t="s">
        <v>2261</v>
      </c>
      <c r="B3" s="267" t="s">
        <v>2263</v>
      </c>
      <c r="C3" s="430"/>
      <c r="D3" s="267">
        <v>55719</v>
      </c>
      <c r="E3" s="267"/>
      <c r="F3" s="267">
        <v>1</v>
      </c>
      <c r="G3" s="464"/>
      <c r="H3" s="465"/>
    </row>
    <row r="4" spans="1:8" ht="15" x14ac:dyDescent="0.2">
      <c r="A4" s="113" t="s">
        <v>3257</v>
      </c>
      <c r="B4" s="267" t="s">
        <v>888</v>
      </c>
      <c r="C4" s="430"/>
      <c r="D4" s="267"/>
      <c r="E4" s="267"/>
      <c r="F4" s="267">
        <v>1</v>
      </c>
      <c r="G4" s="464"/>
      <c r="H4" s="465"/>
    </row>
    <row r="5" spans="1:8" ht="15" x14ac:dyDescent="0.2">
      <c r="A5" s="113" t="s">
        <v>66</v>
      </c>
      <c r="B5" s="267" t="s">
        <v>1836</v>
      </c>
      <c r="C5" s="430"/>
      <c r="D5" s="267">
        <v>55719</v>
      </c>
      <c r="E5" s="267"/>
      <c r="F5" s="267">
        <v>1</v>
      </c>
      <c r="G5" s="464"/>
      <c r="H5" s="465"/>
    </row>
    <row r="6" spans="1:8" ht="15" x14ac:dyDescent="0.2">
      <c r="A6" s="113" t="s">
        <v>2133</v>
      </c>
      <c r="B6" s="267" t="s">
        <v>2909</v>
      </c>
      <c r="C6" s="430"/>
      <c r="D6" s="267">
        <v>56654</v>
      </c>
      <c r="E6" s="267">
        <v>56654</v>
      </c>
      <c r="F6" s="267">
        <v>2</v>
      </c>
      <c r="G6" s="464"/>
      <c r="H6" s="465"/>
    </row>
    <row r="7" spans="1:8" ht="15" x14ac:dyDescent="0.2">
      <c r="A7" s="113" t="s">
        <v>1159</v>
      </c>
      <c r="B7" s="267" t="s">
        <v>282</v>
      </c>
      <c r="C7" s="430"/>
      <c r="D7" s="267">
        <v>55719</v>
      </c>
      <c r="E7" s="267"/>
      <c r="F7" s="267">
        <v>1</v>
      </c>
      <c r="G7" s="464"/>
      <c r="H7" s="465"/>
    </row>
    <row r="8" spans="1:8" ht="15" x14ac:dyDescent="0.2">
      <c r="A8" s="113" t="s">
        <v>13</v>
      </c>
      <c r="B8" s="267" t="s">
        <v>471</v>
      </c>
      <c r="C8" s="430"/>
      <c r="D8" s="267">
        <v>55719</v>
      </c>
      <c r="E8" s="267"/>
      <c r="F8" s="267">
        <v>1</v>
      </c>
      <c r="G8" s="464"/>
      <c r="H8" s="465"/>
    </row>
    <row r="11" spans="1:8" s="308" customFormat="1" ht="18" x14ac:dyDescent="0.25">
      <c r="A11" s="422" t="s">
        <v>2259</v>
      </c>
      <c r="B11" s="425"/>
      <c r="C11" s="309"/>
      <c r="D11" s="309"/>
      <c r="E11" s="309"/>
      <c r="F11" s="309"/>
      <c r="G11" s="310"/>
    </row>
    <row r="12" spans="1:8" s="308" customFormat="1" ht="18" x14ac:dyDescent="0.25">
      <c r="A12" s="422" t="s">
        <v>2998</v>
      </c>
      <c r="B12" s="425"/>
      <c r="C12" s="309"/>
      <c r="D12" s="309"/>
      <c r="E12" s="309"/>
      <c r="F12" s="309"/>
      <c r="G12" s="310"/>
    </row>
    <row r="13" spans="1:8" ht="18" x14ac:dyDescent="0.25">
      <c r="A13" s="449" t="s">
        <v>3293</v>
      </c>
      <c r="B13" s="466"/>
    </row>
    <row r="14" spans="1:8" ht="18" x14ac:dyDescent="0.25">
      <c r="A14" s="434" t="s">
        <v>3367</v>
      </c>
      <c r="B14" s="420"/>
    </row>
  </sheetData>
  <sortState xmlns:xlrd2="http://schemas.microsoft.com/office/spreadsheetml/2017/richdata2" ref="A2:H9">
    <sortCondition ref="B2:B9"/>
  </sortState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21"/>
  <sheetViews>
    <sheetView workbookViewId="0">
      <pane ySplit="1" topLeftCell="A2" activePane="bottomLeft" state="frozen"/>
      <selection activeCell="C26" sqref="C26"/>
      <selection pane="bottomLeft" activeCell="E2" sqref="E2:E12"/>
    </sheetView>
  </sheetViews>
  <sheetFormatPr defaultColWidth="9.140625" defaultRowHeight="12.75" x14ac:dyDescent="0.2"/>
  <cols>
    <col min="1" max="1" width="75.42578125" style="167" bestFit="1" customWidth="1"/>
    <col min="2" max="2" width="15" style="171" bestFit="1" customWidth="1"/>
    <col min="3" max="3" width="20.42578125" style="172" bestFit="1" customWidth="1"/>
    <col min="4" max="4" width="12.42578125" style="172" bestFit="1" customWidth="1"/>
    <col min="5" max="5" width="10" style="172" bestFit="1" customWidth="1"/>
    <col min="6" max="6" width="24.85546875" style="167" bestFit="1" customWidth="1"/>
    <col min="7" max="7" width="16.85546875" style="167" bestFit="1" customWidth="1"/>
    <col min="8" max="16384" width="9.140625" style="167"/>
  </cols>
  <sheetData>
    <row r="1" spans="1:7" ht="31.5" x14ac:dyDescent="0.25">
      <c r="A1" s="13" t="s">
        <v>0</v>
      </c>
      <c r="B1" s="22" t="s">
        <v>1</v>
      </c>
      <c r="C1" s="367" t="s">
        <v>3373</v>
      </c>
      <c r="D1" s="22" t="s">
        <v>1873</v>
      </c>
      <c r="E1" s="13" t="s">
        <v>412</v>
      </c>
      <c r="F1" s="441" t="s">
        <v>3368</v>
      </c>
      <c r="G1" s="418" t="s">
        <v>3369</v>
      </c>
    </row>
    <row r="2" spans="1:7" ht="15" x14ac:dyDescent="0.2">
      <c r="A2" s="116" t="s">
        <v>2271</v>
      </c>
      <c r="B2" s="15" t="s">
        <v>2272</v>
      </c>
      <c r="C2" s="430"/>
      <c r="D2" s="15"/>
      <c r="E2" s="15">
        <v>10</v>
      </c>
      <c r="F2" s="440"/>
      <c r="G2" s="463"/>
    </row>
    <row r="3" spans="1:7" ht="15" x14ac:dyDescent="0.2">
      <c r="A3" s="116" t="s">
        <v>2729</v>
      </c>
      <c r="B3" s="15" t="s">
        <v>2727</v>
      </c>
      <c r="C3" s="430"/>
      <c r="D3" s="15" t="s">
        <v>2728</v>
      </c>
      <c r="E3" s="15">
        <v>2</v>
      </c>
      <c r="F3" s="464"/>
      <c r="G3" s="463"/>
    </row>
    <row r="4" spans="1:7" ht="15" x14ac:dyDescent="0.2">
      <c r="A4" s="116" t="s">
        <v>2729</v>
      </c>
      <c r="B4" s="15" t="s">
        <v>2727</v>
      </c>
      <c r="C4" s="430"/>
      <c r="D4" s="15" t="s">
        <v>2728</v>
      </c>
      <c r="E4" s="15">
        <v>2</v>
      </c>
      <c r="F4" s="464"/>
      <c r="G4" s="463"/>
    </row>
    <row r="5" spans="1:7" ht="15" x14ac:dyDescent="0.2">
      <c r="A5" s="116" t="s">
        <v>2729</v>
      </c>
      <c r="B5" s="15" t="s">
        <v>2727</v>
      </c>
      <c r="C5" s="430"/>
      <c r="D5" s="15" t="s">
        <v>2728</v>
      </c>
      <c r="E5" s="15">
        <v>2</v>
      </c>
      <c r="F5" s="464"/>
      <c r="G5" s="463"/>
    </row>
    <row r="6" spans="1:7" ht="15" x14ac:dyDescent="0.2">
      <c r="A6" s="116" t="s">
        <v>2729</v>
      </c>
      <c r="B6" s="15" t="s">
        <v>2727</v>
      </c>
      <c r="C6" s="430"/>
      <c r="D6" s="15" t="s">
        <v>2728</v>
      </c>
      <c r="E6" s="15">
        <v>2</v>
      </c>
      <c r="F6" s="464"/>
      <c r="G6" s="463"/>
    </row>
    <row r="7" spans="1:7" ht="15" x14ac:dyDescent="0.2">
      <c r="A7" s="116" t="s">
        <v>2729</v>
      </c>
      <c r="B7" s="15" t="s">
        <v>2727</v>
      </c>
      <c r="C7" s="430"/>
      <c r="D7" s="15" t="s">
        <v>2728</v>
      </c>
      <c r="E7" s="15">
        <v>2</v>
      </c>
      <c r="F7" s="464"/>
      <c r="G7" s="463"/>
    </row>
    <row r="8" spans="1:7" ht="15" x14ac:dyDescent="0.2">
      <c r="A8" s="116" t="s">
        <v>2729</v>
      </c>
      <c r="B8" s="15" t="s">
        <v>2727</v>
      </c>
      <c r="C8" s="430"/>
      <c r="D8" s="15" t="s">
        <v>2728</v>
      </c>
      <c r="E8" s="15">
        <v>2</v>
      </c>
      <c r="F8" s="464"/>
      <c r="G8" s="463"/>
    </row>
    <row r="9" spans="1:7" ht="15" x14ac:dyDescent="0.2">
      <c r="A9" s="116" t="s">
        <v>2729</v>
      </c>
      <c r="B9" s="15" t="s">
        <v>2727</v>
      </c>
      <c r="C9" s="430"/>
      <c r="D9" s="15" t="s">
        <v>2728</v>
      </c>
      <c r="E9" s="15">
        <v>2</v>
      </c>
      <c r="F9" s="464"/>
      <c r="G9" s="463"/>
    </row>
    <row r="10" spans="1:7" ht="15" x14ac:dyDescent="0.2">
      <c r="A10" s="116" t="s">
        <v>2729</v>
      </c>
      <c r="B10" s="15" t="s">
        <v>2727</v>
      </c>
      <c r="C10" s="430"/>
      <c r="D10" s="15" t="s">
        <v>2728</v>
      </c>
      <c r="E10" s="15">
        <v>2</v>
      </c>
      <c r="F10" s="464"/>
      <c r="G10" s="463"/>
    </row>
    <row r="11" spans="1:7" ht="15" x14ac:dyDescent="0.2">
      <c r="A11" s="116" t="s">
        <v>2729</v>
      </c>
      <c r="B11" s="15" t="s">
        <v>2727</v>
      </c>
      <c r="C11" s="430"/>
      <c r="D11" s="15" t="s">
        <v>2728</v>
      </c>
      <c r="E11" s="15">
        <v>2</v>
      </c>
      <c r="F11" s="464"/>
      <c r="G11" s="463"/>
    </row>
    <row r="12" spans="1:7" ht="15" x14ac:dyDescent="0.2">
      <c r="A12" s="116" t="s">
        <v>2729</v>
      </c>
      <c r="B12" s="15" t="s">
        <v>2727</v>
      </c>
      <c r="C12" s="430"/>
      <c r="D12" s="15" t="s">
        <v>2728</v>
      </c>
      <c r="E12" s="15">
        <v>2</v>
      </c>
      <c r="F12" s="464"/>
      <c r="G12" s="463"/>
    </row>
    <row r="13" spans="1:7" ht="15" x14ac:dyDescent="0.2">
      <c r="A13" s="169"/>
      <c r="B13" s="170"/>
      <c r="C13" s="165"/>
      <c r="D13" s="165"/>
      <c r="E13" s="169"/>
      <c r="F13" s="169"/>
    </row>
    <row r="14" spans="1:7" ht="15" x14ac:dyDescent="0.2">
      <c r="A14" s="42" t="s">
        <v>2273</v>
      </c>
      <c r="B14" s="42"/>
      <c r="C14" s="42"/>
      <c r="D14" s="42"/>
      <c r="E14" s="42"/>
      <c r="F14" s="341"/>
    </row>
    <row r="18" spans="1:7" s="4" customFormat="1" ht="18" x14ac:dyDescent="0.25">
      <c r="A18" s="422" t="s">
        <v>2279</v>
      </c>
      <c r="B18" s="425"/>
      <c r="C18" s="309"/>
      <c r="D18" s="3"/>
      <c r="E18" s="3"/>
      <c r="F18" s="3"/>
      <c r="G18" s="39"/>
    </row>
    <row r="19" spans="1:7" s="4" customFormat="1" ht="18" x14ac:dyDescent="0.25">
      <c r="A19" s="422" t="s">
        <v>2995</v>
      </c>
      <c r="B19" s="425"/>
      <c r="C19" s="309"/>
      <c r="D19" s="3"/>
      <c r="E19" s="3"/>
      <c r="F19" s="3"/>
      <c r="G19" s="39"/>
    </row>
    <row r="20" spans="1:7" ht="18" x14ac:dyDescent="0.25">
      <c r="A20" s="423" t="s">
        <v>3292</v>
      </c>
      <c r="B20" s="462"/>
    </row>
    <row r="21" spans="1:7" ht="18" x14ac:dyDescent="0.25">
      <c r="A21" s="434" t="s">
        <v>3367</v>
      </c>
      <c r="B21" s="420"/>
    </row>
  </sheetData>
  <pageMargins left="0.7" right="0.7" top="0.75" bottom="0.75" header="0.3" footer="0.3"/>
  <pageSetup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H13"/>
  <sheetViews>
    <sheetView workbookViewId="0">
      <pane ySplit="1" topLeftCell="A2" activePane="bottomLeft" state="frozen"/>
      <selection activeCell="C26" sqref="C26"/>
      <selection pane="bottomLeft" activeCell="F2" sqref="F2:F7"/>
    </sheetView>
  </sheetViews>
  <sheetFormatPr defaultColWidth="9.140625" defaultRowHeight="18" customHeight="1" x14ac:dyDescent="0.2"/>
  <cols>
    <col min="1" max="1" width="60.5703125" style="254" bestFit="1" customWidth="1"/>
    <col min="2" max="2" width="16" style="164" bestFit="1" customWidth="1"/>
    <col min="3" max="3" width="20.42578125" style="164" bestFit="1" customWidth="1"/>
    <col min="4" max="4" width="20.85546875" style="164" bestFit="1" customWidth="1"/>
    <col min="5" max="5" width="13.5703125" style="164" bestFit="1" customWidth="1"/>
    <col min="6" max="6" width="10.42578125" style="254" bestFit="1" customWidth="1"/>
    <col min="7" max="7" width="13.140625" style="254" bestFit="1" customWidth="1"/>
    <col min="8" max="16384" width="9.140625" style="254"/>
  </cols>
  <sheetData>
    <row r="1" spans="1:8" ht="18" customHeight="1" x14ac:dyDescent="0.25">
      <c r="A1" s="91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161" t="s">
        <v>412</v>
      </c>
      <c r="G1" s="441" t="s">
        <v>3368</v>
      </c>
      <c r="H1" s="418" t="s">
        <v>3369</v>
      </c>
    </row>
    <row r="2" spans="1:8" ht="18" customHeight="1" x14ac:dyDescent="0.2">
      <c r="A2" s="305" t="s">
        <v>17</v>
      </c>
      <c r="B2" s="252" t="s">
        <v>407</v>
      </c>
      <c r="C2" s="430"/>
      <c r="D2" s="252"/>
      <c r="E2" s="252" t="s">
        <v>1920</v>
      </c>
      <c r="F2" s="243">
        <v>1</v>
      </c>
      <c r="G2" s="452"/>
      <c r="H2" s="440"/>
    </row>
    <row r="3" spans="1:8" ht="18" customHeight="1" x14ac:dyDescent="0.2">
      <c r="A3" s="305" t="s">
        <v>1186</v>
      </c>
      <c r="B3" s="252" t="s">
        <v>328</v>
      </c>
      <c r="C3" s="430"/>
      <c r="D3" s="252"/>
      <c r="E3" s="252" t="s">
        <v>1920</v>
      </c>
      <c r="F3" s="243">
        <v>1</v>
      </c>
      <c r="G3" s="452"/>
      <c r="H3" s="440"/>
    </row>
    <row r="4" spans="1:8" ht="18" customHeight="1" x14ac:dyDescent="0.2">
      <c r="A4" s="305" t="s">
        <v>1187</v>
      </c>
      <c r="B4" s="252" t="s">
        <v>360</v>
      </c>
      <c r="C4" s="430"/>
      <c r="D4" s="252"/>
      <c r="E4" s="252" t="s">
        <v>1920</v>
      </c>
      <c r="F4" s="243">
        <v>1</v>
      </c>
      <c r="G4" s="452"/>
      <c r="H4" s="440"/>
    </row>
    <row r="5" spans="1:8" ht="18" customHeight="1" x14ac:dyDescent="0.2">
      <c r="A5" s="305" t="s">
        <v>1185</v>
      </c>
      <c r="B5" s="252" t="s">
        <v>330</v>
      </c>
      <c r="C5" s="430"/>
      <c r="D5" s="252"/>
      <c r="E5" s="252" t="s">
        <v>1920</v>
      </c>
      <c r="F5" s="243">
        <v>1</v>
      </c>
      <c r="G5" s="452"/>
      <c r="H5" s="440"/>
    </row>
    <row r="6" spans="1:8" ht="18" customHeight="1" x14ac:dyDescent="0.2">
      <c r="A6" s="305" t="s">
        <v>1054</v>
      </c>
      <c r="B6" s="252" t="s">
        <v>326</v>
      </c>
      <c r="C6" s="430"/>
      <c r="D6" s="252"/>
      <c r="E6" s="252" t="s">
        <v>1920</v>
      </c>
      <c r="F6" s="243">
        <v>1</v>
      </c>
      <c r="G6" s="452"/>
      <c r="H6" s="440"/>
    </row>
    <row r="7" spans="1:8" ht="18" customHeight="1" x14ac:dyDescent="0.2">
      <c r="A7" s="305" t="s">
        <v>2133</v>
      </c>
      <c r="B7" s="252" t="s">
        <v>2909</v>
      </c>
      <c r="C7" s="430"/>
      <c r="D7" s="252"/>
      <c r="E7" s="252">
        <v>56654</v>
      </c>
      <c r="F7" s="243">
        <v>1</v>
      </c>
      <c r="G7" s="452"/>
      <c r="H7" s="440"/>
    </row>
    <row r="10" spans="1:8" s="308" customFormat="1" x14ac:dyDescent="0.25">
      <c r="A10" s="422" t="s">
        <v>2723</v>
      </c>
      <c r="B10" s="425"/>
      <c r="C10" s="309"/>
      <c r="D10" s="309"/>
      <c r="E10" s="309"/>
      <c r="F10" s="309"/>
      <c r="G10" s="310"/>
    </row>
    <row r="11" spans="1:8" s="308" customFormat="1" x14ac:dyDescent="0.25">
      <c r="A11" s="422" t="s">
        <v>2982</v>
      </c>
      <c r="B11" s="425"/>
      <c r="C11" s="309"/>
      <c r="D11" s="309"/>
      <c r="E11" s="309"/>
      <c r="F11" s="309"/>
      <c r="G11" s="310"/>
    </row>
    <row r="12" spans="1:8" ht="18" customHeight="1" x14ac:dyDescent="0.25">
      <c r="A12" s="449" t="s">
        <v>3291</v>
      </c>
      <c r="B12" s="163"/>
    </row>
    <row r="13" spans="1:8" ht="18" customHeight="1" x14ac:dyDescent="0.25">
      <c r="A13" s="434" t="s">
        <v>3367</v>
      </c>
      <c r="B13" s="420"/>
    </row>
  </sheetData>
  <sortState xmlns:xlrd2="http://schemas.microsoft.com/office/spreadsheetml/2017/richdata2" ref="A2:H7">
    <sortCondition ref="B2:B7"/>
  </sortState>
  <pageMargins left="0.7" right="0.7" top="0.75" bottom="0.75" header="0.3" footer="0.3"/>
  <pageSetup scale="67" fitToHeight="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H54"/>
  <sheetViews>
    <sheetView workbookViewId="0">
      <pane ySplit="1" topLeftCell="A15" activePane="bottomLeft" state="frozen"/>
      <selection activeCell="C26" sqref="C26"/>
      <selection pane="bottomLeft" activeCell="F2" sqref="F2:F46"/>
    </sheetView>
  </sheetViews>
  <sheetFormatPr defaultColWidth="9.140625" defaultRowHeight="15" x14ac:dyDescent="0.2"/>
  <cols>
    <col min="1" max="1" width="56.42578125" style="162" bestFit="1" customWidth="1"/>
    <col min="2" max="2" width="15" style="164" bestFit="1" customWidth="1"/>
    <col min="3" max="3" width="20.42578125" style="164" bestFit="1" customWidth="1"/>
    <col min="4" max="4" width="20.140625" style="164" bestFit="1" customWidth="1"/>
    <col min="5" max="5" width="12.42578125" style="164" bestFit="1" customWidth="1"/>
    <col min="6" max="6" width="10" style="162" bestFit="1" customWidth="1"/>
    <col min="7" max="7" width="11.42578125" style="162" bestFit="1" customWidth="1"/>
    <col min="8" max="8" width="16.85546875" style="162" bestFit="1" customWidth="1"/>
    <col min="9" max="9" width="17.85546875" style="162" bestFit="1" customWidth="1"/>
    <col min="10" max="16384" width="9.140625" style="162"/>
  </cols>
  <sheetData>
    <row r="1" spans="1:8" ht="15.75" x14ac:dyDescent="0.25">
      <c r="A1" s="225" t="s">
        <v>0</v>
      </c>
      <c r="B1" s="256" t="s">
        <v>1</v>
      </c>
      <c r="C1" s="367" t="s">
        <v>3373</v>
      </c>
      <c r="D1" s="256" t="s">
        <v>1872</v>
      </c>
      <c r="E1" s="256" t="s">
        <v>1873</v>
      </c>
      <c r="F1" s="235" t="s">
        <v>412</v>
      </c>
      <c r="G1" s="441" t="s">
        <v>3368</v>
      </c>
      <c r="H1" s="418" t="s">
        <v>3369</v>
      </c>
    </row>
    <row r="2" spans="1:8" x14ac:dyDescent="0.2">
      <c r="A2" s="255" t="s">
        <v>1573</v>
      </c>
      <c r="B2" s="111">
        <v>3791</v>
      </c>
      <c r="C2" s="457"/>
      <c r="D2" s="252"/>
      <c r="E2" s="252"/>
      <c r="F2" s="243">
        <v>1</v>
      </c>
      <c r="G2" s="452"/>
      <c r="H2" s="459"/>
    </row>
    <row r="3" spans="1:8" x14ac:dyDescent="0.2">
      <c r="A3" s="255" t="s">
        <v>770</v>
      </c>
      <c r="B3" s="314" t="s">
        <v>771</v>
      </c>
      <c r="C3" s="457"/>
      <c r="D3" s="314"/>
      <c r="E3" s="314" t="s">
        <v>1923</v>
      </c>
      <c r="F3" s="243">
        <v>1</v>
      </c>
      <c r="G3" s="452"/>
      <c r="H3" s="459"/>
    </row>
    <row r="4" spans="1:8" x14ac:dyDescent="0.2">
      <c r="A4" s="213" t="s">
        <v>191</v>
      </c>
      <c r="B4" s="111" t="s">
        <v>597</v>
      </c>
      <c r="C4" s="457"/>
      <c r="D4" s="129"/>
      <c r="E4" s="129"/>
      <c r="F4" s="28">
        <v>1</v>
      </c>
      <c r="G4" s="452"/>
      <c r="H4" s="459"/>
    </row>
    <row r="5" spans="1:8" x14ac:dyDescent="0.2">
      <c r="A5" s="255" t="s">
        <v>17</v>
      </c>
      <c r="B5" s="111" t="s">
        <v>407</v>
      </c>
      <c r="C5" s="457"/>
      <c r="D5" s="252"/>
      <c r="E5" s="252"/>
      <c r="F5" s="243">
        <v>1</v>
      </c>
      <c r="G5" s="452"/>
      <c r="H5" s="459"/>
    </row>
    <row r="6" spans="1:8" x14ac:dyDescent="0.2">
      <c r="A6" s="255" t="s">
        <v>1513</v>
      </c>
      <c r="B6" s="111" t="s">
        <v>763</v>
      </c>
      <c r="C6" s="457"/>
      <c r="D6" s="252"/>
      <c r="E6" s="252"/>
      <c r="F6" s="243">
        <v>1</v>
      </c>
      <c r="G6" s="452"/>
      <c r="H6" s="459"/>
    </row>
    <row r="7" spans="1:8" x14ac:dyDescent="0.2">
      <c r="A7" s="213" t="s">
        <v>16</v>
      </c>
      <c r="B7" s="111" t="s">
        <v>476</v>
      </c>
      <c r="C7" s="457"/>
      <c r="D7" s="252"/>
      <c r="E7" s="252"/>
      <c r="F7" s="28">
        <v>1</v>
      </c>
      <c r="G7" s="452"/>
      <c r="H7" s="459"/>
    </row>
    <row r="8" spans="1:8" x14ac:dyDescent="0.2">
      <c r="A8" s="213" t="s">
        <v>1152</v>
      </c>
      <c r="B8" s="111" t="s">
        <v>281</v>
      </c>
      <c r="C8" s="457"/>
      <c r="D8" s="252"/>
      <c r="E8" s="252"/>
      <c r="F8" s="28">
        <v>1</v>
      </c>
      <c r="G8" s="452"/>
      <c r="H8" s="459"/>
    </row>
    <row r="9" spans="1:8" x14ac:dyDescent="0.2">
      <c r="A9" s="213" t="s">
        <v>6</v>
      </c>
      <c r="B9" s="111" t="s">
        <v>91</v>
      </c>
      <c r="C9" s="457"/>
      <c r="D9" s="252"/>
      <c r="E9" s="252"/>
      <c r="F9" s="28">
        <v>1</v>
      </c>
      <c r="G9" s="452"/>
      <c r="H9" s="459"/>
    </row>
    <row r="10" spans="1:8" x14ac:dyDescent="0.2">
      <c r="A10" s="274" t="s">
        <v>3120</v>
      </c>
      <c r="B10" s="275" t="s">
        <v>3119</v>
      </c>
      <c r="C10" s="457"/>
      <c r="D10" s="275"/>
      <c r="E10" s="275" t="s">
        <v>1928</v>
      </c>
      <c r="F10" s="276">
        <v>2</v>
      </c>
      <c r="G10" s="460"/>
      <c r="H10" s="459"/>
    </row>
    <row r="11" spans="1:8" x14ac:dyDescent="0.2">
      <c r="A11" s="213" t="s">
        <v>161</v>
      </c>
      <c r="B11" s="111" t="s">
        <v>774</v>
      </c>
      <c r="C11" s="457"/>
      <c r="D11" s="252"/>
      <c r="E11" s="252"/>
      <c r="F11" s="28">
        <v>1</v>
      </c>
      <c r="G11" s="452"/>
      <c r="H11" s="459"/>
    </row>
    <row r="12" spans="1:8" x14ac:dyDescent="0.2">
      <c r="A12" s="213" t="s">
        <v>192</v>
      </c>
      <c r="B12" s="111" t="s">
        <v>601</v>
      </c>
      <c r="C12" s="457"/>
      <c r="D12" s="252"/>
      <c r="E12" s="252"/>
      <c r="F12" s="28">
        <v>1</v>
      </c>
      <c r="G12" s="452"/>
      <c r="H12" s="459"/>
    </row>
    <row r="13" spans="1:8" x14ac:dyDescent="0.2">
      <c r="A13" s="305" t="s">
        <v>3260</v>
      </c>
      <c r="B13" s="111" t="s">
        <v>480</v>
      </c>
      <c r="C13" s="457"/>
      <c r="D13" s="252"/>
      <c r="E13" s="252"/>
      <c r="F13" s="243">
        <v>1</v>
      </c>
      <c r="G13" s="452"/>
      <c r="H13" s="459"/>
    </row>
    <row r="14" spans="1:8" x14ac:dyDescent="0.2">
      <c r="A14" s="305" t="s">
        <v>3262</v>
      </c>
      <c r="B14" s="111" t="s">
        <v>635</v>
      </c>
      <c r="C14" s="457"/>
      <c r="D14" s="129"/>
      <c r="E14" s="129"/>
      <c r="F14" s="28">
        <v>1</v>
      </c>
      <c r="G14" s="452"/>
      <c r="H14" s="459"/>
    </row>
    <row r="15" spans="1:8" x14ac:dyDescent="0.2">
      <c r="A15" s="305" t="s">
        <v>3257</v>
      </c>
      <c r="B15" s="111" t="s">
        <v>888</v>
      </c>
      <c r="C15" s="457"/>
      <c r="D15" s="129"/>
      <c r="E15" s="129"/>
      <c r="F15" s="28">
        <v>1</v>
      </c>
      <c r="G15" s="452"/>
      <c r="H15" s="459"/>
    </row>
    <row r="16" spans="1:8" x14ac:dyDescent="0.2">
      <c r="A16" s="255" t="s">
        <v>1484</v>
      </c>
      <c r="B16" s="111" t="s">
        <v>778</v>
      </c>
      <c r="C16" s="457"/>
      <c r="D16" s="252"/>
      <c r="E16" s="252"/>
      <c r="F16" s="243">
        <v>2</v>
      </c>
      <c r="G16" s="452"/>
      <c r="H16" s="459"/>
    </row>
    <row r="17" spans="1:8" x14ac:dyDescent="0.2">
      <c r="A17" s="255" t="s">
        <v>1511</v>
      </c>
      <c r="B17" s="111" t="s">
        <v>2000</v>
      </c>
      <c r="C17" s="457"/>
      <c r="D17" s="129"/>
      <c r="E17" s="129"/>
      <c r="F17" s="28">
        <v>2</v>
      </c>
      <c r="G17" s="452"/>
      <c r="H17" s="459"/>
    </row>
    <row r="18" spans="1:8" x14ac:dyDescent="0.2">
      <c r="A18" s="255" t="s">
        <v>1512</v>
      </c>
      <c r="B18" s="111" t="s">
        <v>1999</v>
      </c>
      <c r="C18" s="457"/>
      <c r="D18" s="129"/>
      <c r="E18" s="129"/>
      <c r="F18" s="28">
        <v>1</v>
      </c>
      <c r="G18" s="452"/>
      <c r="H18" s="459"/>
    </row>
    <row r="19" spans="1:8" x14ac:dyDescent="0.2">
      <c r="A19" s="255" t="s">
        <v>1508</v>
      </c>
      <c r="B19" s="111" t="s">
        <v>600</v>
      </c>
      <c r="C19" s="457"/>
      <c r="D19" s="129"/>
      <c r="E19" s="129"/>
      <c r="F19" s="28">
        <v>1</v>
      </c>
      <c r="G19" s="452"/>
      <c r="H19" s="459"/>
    </row>
    <row r="20" spans="1:8" x14ac:dyDescent="0.2">
      <c r="A20" s="255" t="s">
        <v>158</v>
      </c>
      <c r="B20" s="111" t="s">
        <v>603</v>
      </c>
      <c r="C20" s="457"/>
      <c r="D20" s="129"/>
      <c r="E20" s="129"/>
      <c r="F20" s="28">
        <v>1</v>
      </c>
      <c r="G20" s="452"/>
      <c r="H20" s="459"/>
    </row>
    <row r="21" spans="1:8" x14ac:dyDescent="0.2">
      <c r="A21" s="255" t="s">
        <v>765</v>
      </c>
      <c r="B21" s="111" t="s">
        <v>766</v>
      </c>
      <c r="C21" s="457"/>
      <c r="D21" s="129"/>
      <c r="E21" s="129"/>
      <c r="F21" s="28">
        <v>1</v>
      </c>
      <c r="G21" s="452"/>
      <c r="H21" s="459"/>
    </row>
    <row r="22" spans="1:8" x14ac:dyDescent="0.2">
      <c r="A22" s="213" t="s">
        <v>160</v>
      </c>
      <c r="B22" s="111" t="s">
        <v>605</v>
      </c>
      <c r="C22" s="457"/>
      <c r="D22" s="129"/>
      <c r="E22" s="129"/>
      <c r="F22" s="28">
        <v>2</v>
      </c>
      <c r="G22" s="452"/>
      <c r="H22" s="459"/>
    </row>
    <row r="23" spans="1:8" x14ac:dyDescent="0.2">
      <c r="A23" s="213" t="s">
        <v>155</v>
      </c>
      <c r="B23" s="111" t="s">
        <v>595</v>
      </c>
      <c r="C23" s="457"/>
      <c r="D23" s="129"/>
      <c r="E23" s="129"/>
      <c r="F23" s="28">
        <v>2</v>
      </c>
      <c r="G23" s="452"/>
      <c r="H23" s="459"/>
    </row>
    <row r="24" spans="1:8" x14ac:dyDescent="0.2">
      <c r="A24" s="213" t="s">
        <v>156</v>
      </c>
      <c r="B24" s="111" t="s">
        <v>596</v>
      </c>
      <c r="C24" s="457"/>
      <c r="D24" s="129"/>
      <c r="E24" s="129"/>
      <c r="F24" s="28">
        <v>1</v>
      </c>
      <c r="G24" s="452"/>
      <c r="H24" s="459"/>
    </row>
    <row r="25" spans="1:8" x14ac:dyDescent="0.2">
      <c r="A25" s="213" t="s">
        <v>159</v>
      </c>
      <c r="B25" s="111" t="s">
        <v>1107</v>
      </c>
      <c r="C25" s="457"/>
      <c r="D25" s="129"/>
      <c r="E25" s="129"/>
      <c r="F25" s="28">
        <v>2</v>
      </c>
      <c r="G25" s="452"/>
      <c r="H25" s="459"/>
    </row>
    <row r="26" spans="1:8" x14ac:dyDescent="0.2">
      <c r="A26" s="213" t="s">
        <v>1415</v>
      </c>
      <c r="B26" s="111" t="s">
        <v>604</v>
      </c>
      <c r="C26" s="457"/>
      <c r="D26" s="129"/>
      <c r="E26" s="129"/>
      <c r="F26" s="28">
        <v>1</v>
      </c>
      <c r="G26" s="452"/>
      <c r="H26" s="459"/>
    </row>
    <row r="27" spans="1:8" x14ac:dyDescent="0.2">
      <c r="A27" s="213" t="s">
        <v>3115</v>
      </c>
      <c r="B27" s="111" t="s">
        <v>2226</v>
      </c>
      <c r="C27" s="457"/>
      <c r="D27" s="129" t="s">
        <v>1729</v>
      </c>
      <c r="E27" s="129"/>
      <c r="F27" s="28">
        <v>2</v>
      </c>
      <c r="G27" s="452"/>
      <c r="H27" s="459"/>
    </row>
    <row r="28" spans="1:8" x14ac:dyDescent="0.2">
      <c r="A28" s="213" t="s">
        <v>3116</v>
      </c>
      <c r="B28" s="111" t="s">
        <v>872</v>
      </c>
      <c r="C28" s="457"/>
      <c r="D28" s="129" t="s">
        <v>1729</v>
      </c>
      <c r="E28" s="129"/>
      <c r="F28" s="28">
        <v>2</v>
      </c>
      <c r="G28" s="452"/>
      <c r="H28" s="459"/>
    </row>
    <row r="29" spans="1:8" x14ac:dyDescent="0.2">
      <c r="A29" s="213" t="s">
        <v>2133</v>
      </c>
      <c r="B29" s="111" t="s">
        <v>2909</v>
      </c>
      <c r="C29" s="457"/>
      <c r="D29" s="129"/>
      <c r="E29" s="129"/>
      <c r="F29" s="28">
        <v>1</v>
      </c>
      <c r="G29" s="452"/>
      <c r="H29" s="459"/>
    </row>
    <row r="30" spans="1:8" x14ac:dyDescent="0.2">
      <c r="A30" s="255" t="s">
        <v>1123</v>
      </c>
      <c r="B30" s="111">
        <v>8130010</v>
      </c>
      <c r="C30" s="457"/>
      <c r="D30" s="129"/>
      <c r="E30" s="129" t="s">
        <v>1975</v>
      </c>
      <c r="F30" s="28">
        <v>2</v>
      </c>
      <c r="G30" s="452"/>
      <c r="H30" s="459"/>
    </row>
    <row r="31" spans="1:8" x14ac:dyDescent="0.2">
      <c r="A31" s="255" t="s">
        <v>1124</v>
      </c>
      <c r="B31" s="111">
        <v>8130015</v>
      </c>
      <c r="C31" s="457"/>
      <c r="D31" s="129"/>
      <c r="E31" s="129" t="s">
        <v>1975</v>
      </c>
      <c r="F31" s="28">
        <v>2</v>
      </c>
      <c r="G31" s="452"/>
      <c r="H31" s="459"/>
    </row>
    <row r="32" spans="1:8" x14ac:dyDescent="0.2">
      <c r="A32" s="255" t="s">
        <v>1125</v>
      </c>
      <c r="B32" s="111">
        <v>8130020</v>
      </c>
      <c r="C32" s="457"/>
      <c r="D32" s="129"/>
      <c r="E32" s="129" t="s">
        <v>1975</v>
      </c>
      <c r="F32" s="28">
        <v>2</v>
      </c>
      <c r="G32" s="452"/>
      <c r="H32" s="459"/>
    </row>
    <row r="33" spans="1:8" x14ac:dyDescent="0.2">
      <c r="A33" s="213" t="s">
        <v>1127</v>
      </c>
      <c r="B33" s="111">
        <v>8130030</v>
      </c>
      <c r="C33" s="457"/>
      <c r="D33" s="129"/>
      <c r="E33" s="129" t="s">
        <v>1975</v>
      </c>
      <c r="F33" s="28">
        <v>2</v>
      </c>
      <c r="G33" s="452"/>
      <c r="H33" s="459"/>
    </row>
    <row r="34" spans="1:8" x14ac:dyDescent="0.2">
      <c r="A34" s="213" t="s">
        <v>1128</v>
      </c>
      <c r="B34" s="111">
        <v>8130040</v>
      </c>
      <c r="C34" s="457"/>
      <c r="D34" s="129"/>
      <c r="E34" s="129" t="s">
        <v>1975</v>
      </c>
      <c r="F34" s="28">
        <v>2</v>
      </c>
      <c r="G34" s="452"/>
      <c r="H34" s="459"/>
    </row>
    <row r="35" spans="1:8" x14ac:dyDescent="0.2">
      <c r="A35" s="255" t="s">
        <v>105</v>
      </c>
      <c r="B35" s="111" t="s">
        <v>2118</v>
      </c>
      <c r="C35" s="457"/>
      <c r="D35" s="252"/>
      <c r="E35" s="252" t="s">
        <v>1975</v>
      </c>
      <c r="F35" s="243">
        <v>2</v>
      </c>
      <c r="G35" s="452"/>
      <c r="H35" s="459"/>
    </row>
    <row r="36" spans="1:8" x14ac:dyDescent="0.2">
      <c r="A36" s="213" t="s">
        <v>1156</v>
      </c>
      <c r="B36" s="111" t="s">
        <v>2117</v>
      </c>
      <c r="C36" s="457"/>
      <c r="D36" s="129"/>
      <c r="E36" s="129" t="s">
        <v>1975</v>
      </c>
      <c r="F36" s="28">
        <v>1</v>
      </c>
      <c r="G36" s="452"/>
      <c r="H36" s="459"/>
    </row>
    <row r="37" spans="1:8" x14ac:dyDescent="0.2">
      <c r="A37" s="213" t="s">
        <v>1085</v>
      </c>
      <c r="B37" s="111" t="s">
        <v>92</v>
      </c>
      <c r="C37" s="457"/>
      <c r="D37" s="129"/>
      <c r="E37" s="129"/>
      <c r="F37" s="28">
        <v>1</v>
      </c>
      <c r="G37" s="452"/>
      <c r="H37" s="459"/>
    </row>
    <row r="38" spans="1:8" x14ac:dyDescent="0.2">
      <c r="A38" s="255" t="s">
        <v>3132</v>
      </c>
      <c r="B38" s="111" t="s">
        <v>2732</v>
      </c>
      <c r="C38" s="457"/>
      <c r="D38" s="252"/>
      <c r="E38" s="252"/>
      <c r="F38" s="243">
        <v>2</v>
      </c>
      <c r="G38" s="452"/>
      <c r="H38" s="459"/>
    </row>
    <row r="39" spans="1:8" x14ac:dyDescent="0.2">
      <c r="A39" s="213" t="s">
        <v>3048</v>
      </c>
      <c r="B39" s="314" t="s">
        <v>3049</v>
      </c>
      <c r="C39" s="457"/>
      <c r="D39" s="314"/>
      <c r="E39" s="314" t="s">
        <v>3022</v>
      </c>
      <c r="F39" s="28">
        <v>1</v>
      </c>
      <c r="G39" s="452"/>
      <c r="H39" s="459"/>
    </row>
    <row r="40" spans="1:8" x14ac:dyDescent="0.2">
      <c r="A40" s="213" t="s">
        <v>3054</v>
      </c>
      <c r="B40" s="314" t="s">
        <v>3056</v>
      </c>
      <c r="C40" s="457"/>
      <c r="D40" s="314"/>
      <c r="E40" s="314" t="s">
        <v>3022</v>
      </c>
      <c r="F40" s="28">
        <v>1</v>
      </c>
      <c r="G40" s="452"/>
      <c r="H40" s="459"/>
    </row>
    <row r="41" spans="1:8" x14ac:dyDescent="0.2">
      <c r="A41" s="213" t="s">
        <v>3026</v>
      </c>
      <c r="B41" s="314" t="s">
        <v>3012</v>
      </c>
      <c r="C41" s="457"/>
      <c r="D41" s="314"/>
      <c r="E41" s="314" t="s">
        <v>3022</v>
      </c>
      <c r="F41" s="28">
        <v>1</v>
      </c>
      <c r="G41" s="452"/>
      <c r="H41" s="459"/>
    </row>
    <row r="42" spans="1:8" x14ac:dyDescent="0.2">
      <c r="A42" s="213" t="s">
        <v>3025</v>
      </c>
      <c r="B42" s="314" t="s">
        <v>3013</v>
      </c>
      <c r="C42" s="457"/>
      <c r="D42" s="314"/>
      <c r="E42" s="314" t="s">
        <v>3022</v>
      </c>
      <c r="F42" s="28">
        <v>1</v>
      </c>
      <c r="G42" s="452"/>
      <c r="H42" s="459"/>
    </row>
    <row r="43" spans="1:8" x14ac:dyDescent="0.2">
      <c r="A43" s="213" t="s">
        <v>1090</v>
      </c>
      <c r="B43" s="111">
        <v>56707</v>
      </c>
      <c r="C43" s="457"/>
      <c r="D43" s="252"/>
      <c r="E43" s="252">
        <v>25795</v>
      </c>
      <c r="F43" s="28">
        <v>1</v>
      </c>
      <c r="G43" s="452" t="s">
        <v>2217</v>
      </c>
      <c r="H43" s="459"/>
    </row>
    <row r="44" spans="1:8" s="254" customFormat="1" x14ac:dyDescent="0.2">
      <c r="A44" s="222" t="s">
        <v>20</v>
      </c>
      <c r="B44" s="223" t="s">
        <v>287</v>
      </c>
      <c r="C44" s="457"/>
      <c r="D44" s="284"/>
      <c r="E44" s="284"/>
      <c r="F44" s="224">
        <v>1</v>
      </c>
      <c r="G44" s="458"/>
      <c r="H44" s="459"/>
    </row>
    <row r="45" spans="1:8" x14ac:dyDescent="0.2">
      <c r="A45" s="277" t="s">
        <v>4</v>
      </c>
      <c r="B45" s="278" t="s">
        <v>90</v>
      </c>
      <c r="C45" s="457"/>
      <c r="D45" s="279"/>
      <c r="E45" s="279"/>
      <c r="F45" s="280">
        <v>1</v>
      </c>
      <c r="G45" s="461"/>
      <c r="H45" s="459"/>
    </row>
    <row r="46" spans="1:8" x14ac:dyDescent="0.2">
      <c r="A46" s="255" t="s">
        <v>3021</v>
      </c>
      <c r="B46" s="111" t="s">
        <v>3061</v>
      </c>
      <c r="C46" s="457"/>
      <c r="D46" s="252"/>
      <c r="E46" s="252" t="s">
        <v>3022</v>
      </c>
      <c r="F46" s="243">
        <v>1</v>
      </c>
      <c r="G46" s="452"/>
      <c r="H46" s="459"/>
    </row>
    <row r="48" spans="1:8" ht="15.75" x14ac:dyDescent="0.25">
      <c r="F48" s="360"/>
    </row>
    <row r="51" spans="1:7" s="4" customFormat="1" ht="18" x14ac:dyDescent="0.25">
      <c r="A51" s="422" t="s">
        <v>2142</v>
      </c>
      <c r="B51" s="425"/>
      <c r="C51" s="309"/>
      <c r="D51" s="3"/>
      <c r="E51" s="3"/>
      <c r="F51" s="3"/>
      <c r="G51" s="39"/>
    </row>
    <row r="52" spans="1:7" s="4" customFormat="1" ht="18" x14ac:dyDescent="0.25">
      <c r="A52" s="422" t="s">
        <v>2981</v>
      </c>
      <c r="B52" s="425"/>
      <c r="C52" s="309"/>
      <c r="D52" s="3"/>
      <c r="E52" s="3"/>
      <c r="F52" s="3"/>
      <c r="G52" s="39"/>
    </row>
    <row r="53" spans="1:7" ht="18" x14ac:dyDescent="0.25">
      <c r="A53" s="423" t="s">
        <v>3290</v>
      </c>
      <c r="B53" s="163"/>
    </row>
    <row r="54" spans="1:7" ht="18" x14ac:dyDescent="0.25">
      <c r="A54" s="434" t="s">
        <v>3367</v>
      </c>
      <c r="B54" s="420"/>
    </row>
  </sheetData>
  <sheetProtection selectLockedCells="1" selectUnlockedCells="1"/>
  <sortState xmlns:xlrd2="http://schemas.microsoft.com/office/spreadsheetml/2017/richdata2" ref="A3:H48">
    <sortCondition ref="B3:B48"/>
  </sortState>
  <conditionalFormatting sqref="B40">
    <cfRule type="duplicateValues" dxfId="2" priority="5"/>
    <cfRule type="duplicateValues" dxfId="1" priority="6"/>
    <cfRule type="duplicateValues" dxfId="0" priority="395"/>
  </conditionalFormatting>
  <pageMargins left="0.7" right="0.7" top="0.75" bottom="0.75" header="0.3" footer="0.3"/>
  <pageSetup scale="67" fitToHeight="0" orientation="landscape"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H26"/>
  <sheetViews>
    <sheetView workbookViewId="0">
      <pane ySplit="1" topLeftCell="A2" activePane="bottomLeft" state="frozen"/>
      <selection activeCell="C26" sqref="C26"/>
      <selection pane="bottomLeft"/>
    </sheetView>
  </sheetViews>
  <sheetFormatPr defaultColWidth="9.140625" defaultRowHeight="15" x14ac:dyDescent="0.2"/>
  <cols>
    <col min="1" max="1" width="51.5703125" style="162" bestFit="1" customWidth="1"/>
    <col min="2" max="2" width="14.42578125" style="164" bestFit="1" customWidth="1"/>
    <col min="3" max="3" width="20.42578125" style="164" bestFit="1" customWidth="1"/>
    <col min="4" max="4" width="20.140625" style="164" bestFit="1" customWidth="1"/>
    <col min="5" max="5" width="12.42578125" style="164" bestFit="1" customWidth="1"/>
    <col min="6" max="6" width="10" style="162" bestFit="1" customWidth="1"/>
    <col min="7" max="7" width="11.42578125" style="162" bestFit="1" customWidth="1"/>
    <col min="8" max="8" width="16.85546875" style="162" bestFit="1" customWidth="1"/>
    <col min="9" max="16384" width="9.140625" style="162"/>
  </cols>
  <sheetData>
    <row r="1" spans="1:8" ht="15.75" x14ac:dyDescent="0.25">
      <c r="A1" s="115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161" t="s">
        <v>412</v>
      </c>
      <c r="G1" s="441" t="s">
        <v>3368</v>
      </c>
      <c r="H1" s="418" t="s">
        <v>3369</v>
      </c>
    </row>
    <row r="2" spans="1:8" x14ac:dyDescent="0.2">
      <c r="A2" s="213" t="s">
        <v>16</v>
      </c>
      <c r="B2" s="111" t="s">
        <v>476</v>
      </c>
      <c r="C2" s="430"/>
      <c r="D2" s="129"/>
      <c r="E2" s="129" t="s">
        <v>1920</v>
      </c>
      <c r="F2" s="28">
        <v>2</v>
      </c>
      <c r="G2" s="452"/>
      <c r="H2" s="440"/>
    </row>
    <row r="3" spans="1:8" x14ac:dyDescent="0.2">
      <c r="A3" s="213" t="s">
        <v>1360</v>
      </c>
      <c r="B3" s="111" t="s">
        <v>103</v>
      </c>
      <c r="C3" s="430"/>
      <c r="D3" s="129"/>
      <c r="E3" s="129" t="s">
        <v>1920</v>
      </c>
      <c r="F3" s="28">
        <v>1</v>
      </c>
      <c r="G3" s="452"/>
      <c r="H3" s="440"/>
    </row>
    <row r="4" spans="1:8" x14ac:dyDescent="0.2">
      <c r="A4" s="213" t="s">
        <v>209</v>
      </c>
      <c r="B4" s="111" t="s">
        <v>210</v>
      </c>
      <c r="C4" s="430"/>
      <c r="D4" s="129"/>
      <c r="E4" s="129" t="s">
        <v>1920</v>
      </c>
      <c r="F4" s="28">
        <v>1</v>
      </c>
      <c r="G4" s="452"/>
      <c r="H4" s="440"/>
    </row>
    <row r="5" spans="1:8" x14ac:dyDescent="0.2">
      <c r="A5" s="213" t="s">
        <v>6</v>
      </c>
      <c r="B5" s="111" t="s">
        <v>91</v>
      </c>
      <c r="C5" s="430"/>
      <c r="D5" s="129"/>
      <c r="E5" s="129" t="s">
        <v>1920</v>
      </c>
      <c r="F5" s="28">
        <v>2</v>
      </c>
      <c r="G5" s="452" t="s">
        <v>2217</v>
      </c>
      <c r="H5" s="440"/>
    </row>
    <row r="6" spans="1:8" x14ac:dyDescent="0.2">
      <c r="A6" s="213" t="s">
        <v>205</v>
      </c>
      <c r="B6" s="111" t="s">
        <v>682</v>
      </c>
      <c r="C6" s="430"/>
      <c r="D6" s="129"/>
      <c r="E6" s="129" t="s">
        <v>1920</v>
      </c>
      <c r="F6" s="28">
        <v>2</v>
      </c>
      <c r="G6" s="452"/>
      <c r="H6" s="440"/>
    </row>
    <row r="7" spans="1:8" x14ac:dyDescent="0.2">
      <c r="A7" s="213" t="s">
        <v>14</v>
      </c>
      <c r="B7" s="111" t="s">
        <v>472</v>
      </c>
      <c r="C7" s="430"/>
      <c r="D7" s="129"/>
      <c r="E7" s="129" t="s">
        <v>1971</v>
      </c>
      <c r="F7" s="28">
        <v>2</v>
      </c>
      <c r="G7" s="452"/>
      <c r="H7" s="440"/>
    </row>
    <row r="8" spans="1:8" x14ac:dyDescent="0.2">
      <c r="A8" s="213" t="s">
        <v>1696</v>
      </c>
      <c r="B8" s="111" t="s">
        <v>535</v>
      </c>
      <c r="C8" s="430"/>
      <c r="D8" s="129"/>
      <c r="E8" s="129" t="s">
        <v>1920</v>
      </c>
      <c r="F8" s="28">
        <v>2</v>
      </c>
      <c r="G8" s="452"/>
      <c r="H8" s="440"/>
    </row>
    <row r="9" spans="1:8" x14ac:dyDescent="0.2">
      <c r="A9" s="213" t="s">
        <v>1124</v>
      </c>
      <c r="B9" s="111">
        <v>8130015</v>
      </c>
      <c r="C9" s="430"/>
      <c r="D9" s="129"/>
      <c r="E9" s="129" t="s">
        <v>1975</v>
      </c>
      <c r="F9" s="28">
        <v>2</v>
      </c>
      <c r="G9" s="452"/>
      <c r="H9" s="440"/>
    </row>
    <row r="10" spans="1:8" x14ac:dyDescent="0.2">
      <c r="A10" s="213" t="s">
        <v>1125</v>
      </c>
      <c r="B10" s="111">
        <v>8130020</v>
      </c>
      <c r="C10" s="430"/>
      <c r="D10" s="129"/>
      <c r="E10" s="129" t="s">
        <v>1975</v>
      </c>
      <c r="F10" s="28">
        <v>4</v>
      </c>
      <c r="G10" s="452"/>
      <c r="H10" s="440"/>
    </row>
    <row r="11" spans="1:8" x14ac:dyDescent="0.2">
      <c r="A11" s="213" t="s">
        <v>1127</v>
      </c>
      <c r="B11" s="111">
        <v>8130030</v>
      </c>
      <c r="C11" s="430"/>
      <c r="D11" s="129"/>
      <c r="E11" s="129" t="s">
        <v>1975</v>
      </c>
      <c r="F11" s="28">
        <v>2</v>
      </c>
      <c r="G11" s="452"/>
      <c r="H11" s="440"/>
    </row>
    <row r="12" spans="1:8" x14ac:dyDescent="0.2">
      <c r="A12" s="213" t="s">
        <v>105</v>
      </c>
      <c r="B12" s="111" t="s">
        <v>2118</v>
      </c>
      <c r="C12" s="430"/>
      <c r="D12" s="129"/>
      <c r="E12" s="129" t="s">
        <v>1975</v>
      </c>
      <c r="F12" s="28">
        <v>4</v>
      </c>
      <c r="G12" s="452"/>
      <c r="H12" s="440"/>
    </row>
    <row r="13" spans="1:8" x14ac:dyDescent="0.2">
      <c r="A13" s="213" t="s">
        <v>1156</v>
      </c>
      <c r="B13" s="111" t="s">
        <v>2117</v>
      </c>
      <c r="C13" s="430"/>
      <c r="D13" s="129"/>
      <c r="E13" s="129" t="s">
        <v>1975</v>
      </c>
      <c r="F13" s="28">
        <v>2</v>
      </c>
      <c r="G13" s="452"/>
      <c r="H13" s="440"/>
    </row>
    <row r="14" spans="1:8" x14ac:dyDescent="0.2">
      <c r="A14" s="213" t="s">
        <v>1085</v>
      </c>
      <c r="B14" s="111" t="s">
        <v>92</v>
      </c>
      <c r="C14" s="430"/>
      <c r="D14" s="129"/>
      <c r="E14" s="129" t="s">
        <v>1920</v>
      </c>
      <c r="F14" s="28">
        <v>2</v>
      </c>
      <c r="G14" s="452"/>
      <c r="H14" s="440"/>
    </row>
    <row r="15" spans="1:8" x14ac:dyDescent="0.2">
      <c r="A15" s="213" t="s">
        <v>1236</v>
      </c>
      <c r="B15" s="111" t="s">
        <v>77</v>
      </c>
      <c r="C15" s="430"/>
      <c r="D15" s="129"/>
      <c r="E15" s="129" t="s">
        <v>1920</v>
      </c>
      <c r="F15" s="28">
        <v>2</v>
      </c>
      <c r="G15" s="452"/>
      <c r="H15" s="440"/>
    </row>
    <row r="16" spans="1:8" x14ac:dyDescent="0.2">
      <c r="A16" s="213" t="s">
        <v>15</v>
      </c>
      <c r="B16" s="111" t="s">
        <v>380</v>
      </c>
      <c r="C16" s="430"/>
      <c r="D16" s="129"/>
      <c r="E16" s="129" t="s">
        <v>1920</v>
      </c>
      <c r="F16" s="28">
        <v>2</v>
      </c>
      <c r="G16" s="452"/>
      <c r="H16" s="440"/>
    </row>
    <row r="17" spans="1:8" x14ac:dyDescent="0.2">
      <c r="A17" s="213" t="s">
        <v>108</v>
      </c>
      <c r="B17" s="111" t="s">
        <v>559</v>
      </c>
      <c r="C17" s="430"/>
      <c r="D17" s="129"/>
      <c r="E17" s="129" t="s">
        <v>1920</v>
      </c>
      <c r="F17" s="28">
        <v>1</v>
      </c>
      <c r="G17" s="452"/>
      <c r="H17" s="440"/>
    </row>
    <row r="18" spans="1:8" x14ac:dyDescent="0.2">
      <c r="A18" s="213" t="s">
        <v>101</v>
      </c>
      <c r="B18" s="111" t="s">
        <v>509</v>
      </c>
      <c r="C18" s="430"/>
      <c r="D18" s="129"/>
      <c r="E18" s="129" t="s">
        <v>1920</v>
      </c>
      <c r="F18" s="28">
        <v>2</v>
      </c>
      <c r="G18" s="452"/>
      <c r="H18" s="440"/>
    </row>
    <row r="20" spans="1:8" x14ac:dyDescent="0.2">
      <c r="F20" s="162">
        <f>SUM(F2:F18)</f>
        <v>35</v>
      </c>
    </row>
    <row r="23" spans="1:8" s="4" customFormat="1" ht="18" x14ac:dyDescent="0.25">
      <c r="A23" s="422" t="s">
        <v>2283</v>
      </c>
      <c r="B23" s="425"/>
      <c r="C23" s="309"/>
      <c r="D23" s="3"/>
      <c r="E23" s="3"/>
      <c r="F23" s="3"/>
      <c r="G23" s="39"/>
    </row>
    <row r="24" spans="1:8" s="4" customFormat="1" ht="18" x14ac:dyDescent="0.25">
      <c r="A24" s="422" t="s">
        <v>2980</v>
      </c>
      <c r="B24" s="425"/>
      <c r="C24" s="309"/>
      <c r="D24" s="3"/>
      <c r="E24" s="3"/>
      <c r="F24" s="3"/>
      <c r="G24" s="39"/>
    </row>
    <row r="25" spans="1:8" ht="18" x14ac:dyDescent="0.25">
      <c r="A25" s="423" t="s">
        <v>3289</v>
      </c>
      <c r="B25" s="163"/>
    </row>
    <row r="26" spans="1:8" ht="18" x14ac:dyDescent="0.25">
      <c r="A26" s="434" t="s">
        <v>3367</v>
      </c>
      <c r="B26" s="420"/>
    </row>
  </sheetData>
  <sortState xmlns:xlrd2="http://schemas.microsoft.com/office/spreadsheetml/2017/richdata2" ref="A2:H18">
    <sortCondition ref="B2:B18"/>
  </sortState>
  <pageMargins left="0.7" right="0.7" top="0.75" bottom="0.75" header="0.3" footer="0.3"/>
  <pageSetup scale="67" fitToHeight="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310"/>
  <sheetViews>
    <sheetView workbookViewId="0">
      <pane ySplit="1" topLeftCell="A61" activePane="bottomLeft" state="frozen"/>
      <selection activeCell="C26" sqref="C26"/>
      <selection pane="bottomLeft" activeCell="F2" sqref="F2:F92"/>
    </sheetView>
  </sheetViews>
  <sheetFormatPr defaultColWidth="9.140625" defaultRowHeight="15" x14ac:dyDescent="0.25"/>
  <cols>
    <col min="1" max="1" width="63.85546875" style="146" bestFit="1" customWidth="1"/>
    <col min="2" max="2" width="15.85546875" style="146" bestFit="1" customWidth="1"/>
    <col min="3" max="3" width="20.42578125" style="146" bestFit="1" customWidth="1"/>
    <col min="4" max="4" width="20.140625" style="146" bestFit="1" customWidth="1"/>
    <col min="5" max="5" width="12.42578125" style="146" bestFit="1" customWidth="1"/>
    <col min="6" max="6" width="10" style="146" bestFit="1" customWidth="1"/>
    <col min="7" max="7" width="11.42578125" style="146" bestFit="1" customWidth="1"/>
    <col min="8" max="8" width="16.85546875" style="146" bestFit="1" customWidth="1"/>
    <col min="9" max="16384" width="9.140625" style="146"/>
  </cols>
  <sheetData>
    <row r="1" spans="1:8" ht="15.75" x14ac:dyDescent="0.25">
      <c r="A1" s="281" t="s">
        <v>0</v>
      </c>
      <c r="B1" s="286" t="s">
        <v>1</v>
      </c>
      <c r="C1" s="367" t="s">
        <v>3373</v>
      </c>
      <c r="D1" s="323" t="s">
        <v>1872</v>
      </c>
      <c r="E1" s="323" t="s">
        <v>1873</v>
      </c>
      <c r="F1" s="281" t="s">
        <v>412</v>
      </c>
      <c r="G1" s="441" t="s">
        <v>3368</v>
      </c>
      <c r="H1" s="418" t="s">
        <v>3369</v>
      </c>
    </row>
    <row r="2" spans="1:8" ht="15.75" x14ac:dyDescent="0.25">
      <c r="A2" s="305" t="s">
        <v>1124</v>
      </c>
      <c r="B2" s="252">
        <v>8130015</v>
      </c>
      <c r="C2" s="430"/>
      <c r="D2" s="252"/>
      <c r="E2" s="252" t="s">
        <v>1975</v>
      </c>
      <c r="F2" s="243">
        <v>4</v>
      </c>
      <c r="G2" s="452"/>
      <c r="H2" s="445"/>
    </row>
    <row r="3" spans="1:8" ht="15.75" x14ac:dyDescent="0.25">
      <c r="A3" s="305" t="s">
        <v>1125</v>
      </c>
      <c r="B3" s="252">
        <v>8130020</v>
      </c>
      <c r="C3" s="430"/>
      <c r="D3" s="252"/>
      <c r="E3" s="252" t="s">
        <v>1975</v>
      </c>
      <c r="F3" s="243">
        <v>1</v>
      </c>
      <c r="G3" s="452"/>
      <c r="H3" s="445"/>
    </row>
    <row r="4" spans="1:8" ht="15.75" x14ac:dyDescent="0.25">
      <c r="A4" s="305" t="s">
        <v>1127</v>
      </c>
      <c r="B4" s="252">
        <v>8130030</v>
      </c>
      <c r="C4" s="430"/>
      <c r="D4" s="252"/>
      <c r="E4" s="252" t="s">
        <v>1975</v>
      </c>
      <c r="F4" s="243">
        <v>2</v>
      </c>
      <c r="G4" s="452"/>
      <c r="H4" s="445"/>
    </row>
    <row r="5" spans="1:8" ht="15.75" x14ac:dyDescent="0.25">
      <c r="A5" s="305" t="s">
        <v>1128</v>
      </c>
      <c r="B5" s="252">
        <v>8130040</v>
      </c>
      <c r="C5" s="430"/>
      <c r="D5" s="252"/>
      <c r="E5" s="252" t="s">
        <v>1975</v>
      </c>
      <c r="F5" s="243">
        <v>2</v>
      </c>
      <c r="G5" s="452"/>
      <c r="H5" s="445"/>
    </row>
    <row r="6" spans="1:8" ht="15.75" x14ac:dyDescent="0.25">
      <c r="A6" s="305" t="s">
        <v>1266</v>
      </c>
      <c r="B6" s="252" t="s">
        <v>1987</v>
      </c>
      <c r="C6" s="430"/>
      <c r="D6" s="252"/>
      <c r="E6" s="252" t="s">
        <v>1920</v>
      </c>
      <c r="F6" s="243">
        <v>1</v>
      </c>
      <c r="G6" s="452"/>
      <c r="H6" s="445"/>
    </row>
    <row r="7" spans="1:8" ht="15.75" x14ac:dyDescent="0.25">
      <c r="A7" s="305" t="s">
        <v>1625</v>
      </c>
      <c r="B7" s="252" t="s">
        <v>1849</v>
      </c>
      <c r="C7" s="430"/>
      <c r="D7" s="252"/>
      <c r="E7" s="252" t="s">
        <v>1920</v>
      </c>
      <c r="F7" s="243">
        <v>1</v>
      </c>
      <c r="G7" s="452"/>
      <c r="H7" s="445"/>
    </row>
    <row r="8" spans="1:8" ht="15.75" x14ac:dyDescent="0.25">
      <c r="A8" s="305" t="s">
        <v>1211</v>
      </c>
      <c r="B8" s="252" t="s">
        <v>1990</v>
      </c>
      <c r="C8" s="430"/>
      <c r="D8" s="252"/>
      <c r="E8" s="252" t="s">
        <v>1920</v>
      </c>
      <c r="F8" s="243">
        <v>1</v>
      </c>
      <c r="G8" s="452"/>
      <c r="H8" s="445"/>
    </row>
    <row r="9" spans="1:8" ht="15.75" x14ac:dyDescent="0.25">
      <c r="A9" s="305" t="s">
        <v>5</v>
      </c>
      <c r="B9" s="252" t="s">
        <v>466</v>
      </c>
      <c r="C9" s="430"/>
      <c r="D9" s="252"/>
      <c r="E9" s="252" t="s">
        <v>1920</v>
      </c>
      <c r="F9" s="243">
        <v>1</v>
      </c>
      <c r="G9" s="452"/>
      <c r="H9" s="445"/>
    </row>
    <row r="10" spans="1:8" ht="15.75" x14ac:dyDescent="0.25">
      <c r="A10" s="305" t="s">
        <v>197</v>
      </c>
      <c r="B10" s="252" t="s">
        <v>645</v>
      </c>
      <c r="C10" s="430"/>
      <c r="D10" s="252"/>
      <c r="E10" s="252" t="s">
        <v>1920</v>
      </c>
      <c r="F10" s="243">
        <v>1</v>
      </c>
      <c r="G10" s="452"/>
      <c r="H10" s="445"/>
    </row>
    <row r="11" spans="1:8" ht="15.75" x14ac:dyDescent="0.25">
      <c r="A11" s="305" t="s">
        <v>1640</v>
      </c>
      <c r="B11" s="252" t="s">
        <v>683</v>
      </c>
      <c r="C11" s="430"/>
      <c r="D11" s="252"/>
      <c r="E11" s="252" t="s">
        <v>1920</v>
      </c>
      <c r="F11" s="243">
        <v>1</v>
      </c>
      <c r="G11" s="452"/>
      <c r="H11" s="445"/>
    </row>
    <row r="12" spans="1:8" ht="15.75" x14ac:dyDescent="0.25">
      <c r="A12" s="305" t="s">
        <v>2865</v>
      </c>
      <c r="B12" s="252" t="s">
        <v>2870</v>
      </c>
      <c r="C12" s="430"/>
      <c r="D12" s="252"/>
      <c r="E12" s="252">
        <v>99532</v>
      </c>
      <c r="F12" s="243">
        <v>1</v>
      </c>
      <c r="G12" s="452" t="s">
        <v>2217</v>
      </c>
      <c r="H12" s="445"/>
    </row>
    <row r="13" spans="1:8" ht="15.75" x14ac:dyDescent="0.25">
      <c r="A13" s="305" t="s">
        <v>2868</v>
      </c>
      <c r="B13" s="252" t="s">
        <v>2873</v>
      </c>
      <c r="C13" s="430"/>
      <c r="D13" s="252"/>
      <c r="E13" s="252">
        <v>99532</v>
      </c>
      <c r="F13" s="243">
        <v>1</v>
      </c>
      <c r="G13" s="452"/>
      <c r="H13" s="445"/>
    </row>
    <row r="14" spans="1:8" ht="15.75" x14ac:dyDescent="0.25">
      <c r="A14" s="305" t="s">
        <v>2869</v>
      </c>
      <c r="B14" s="252" t="s">
        <v>2874</v>
      </c>
      <c r="C14" s="430"/>
      <c r="D14" s="252"/>
      <c r="E14" s="252">
        <v>99532</v>
      </c>
      <c r="F14" s="243">
        <v>1</v>
      </c>
      <c r="G14" s="452"/>
      <c r="H14" s="445"/>
    </row>
    <row r="15" spans="1:8" ht="15.75" x14ac:dyDescent="0.25">
      <c r="A15" s="305" t="s">
        <v>2866</v>
      </c>
      <c r="B15" s="252" t="s">
        <v>2871</v>
      </c>
      <c r="C15" s="430"/>
      <c r="D15" s="252"/>
      <c r="E15" s="252">
        <v>99532</v>
      </c>
      <c r="F15" s="243">
        <v>1</v>
      </c>
      <c r="G15" s="452" t="s">
        <v>2217</v>
      </c>
      <c r="H15" s="445"/>
    </row>
    <row r="16" spans="1:8" ht="15.75" x14ac:dyDescent="0.25">
      <c r="A16" s="305" t="s">
        <v>2867</v>
      </c>
      <c r="B16" s="252" t="s">
        <v>2872</v>
      </c>
      <c r="C16" s="430"/>
      <c r="D16" s="252"/>
      <c r="E16" s="252">
        <v>99532</v>
      </c>
      <c r="F16" s="243">
        <v>1</v>
      </c>
      <c r="G16" s="452"/>
      <c r="H16" s="445"/>
    </row>
    <row r="17" spans="1:8" ht="15.75" x14ac:dyDescent="0.25">
      <c r="A17" s="305" t="s">
        <v>1049</v>
      </c>
      <c r="B17" s="252" t="s">
        <v>493</v>
      </c>
      <c r="C17" s="430"/>
      <c r="D17" s="252"/>
      <c r="E17" s="252" t="s">
        <v>1920</v>
      </c>
      <c r="F17" s="243">
        <v>1</v>
      </c>
      <c r="G17" s="452"/>
      <c r="H17" s="445"/>
    </row>
    <row r="18" spans="1:8" ht="15.75" x14ac:dyDescent="0.25">
      <c r="A18" s="305" t="s">
        <v>2530</v>
      </c>
      <c r="B18" s="252" t="s">
        <v>170</v>
      </c>
      <c r="C18" s="430"/>
      <c r="D18" s="252"/>
      <c r="E18" s="252" t="s">
        <v>1920</v>
      </c>
      <c r="F18" s="243">
        <v>1</v>
      </c>
      <c r="G18" s="452"/>
      <c r="H18" s="445"/>
    </row>
    <row r="19" spans="1:8" ht="15.75" x14ac:dyDescent="0.25">
      <c r="A19" s="305" t="s">
        <v>1050</v>
      </c>
      <c r="B19" s="252" t="s">
        <v>404</v>
      </c>
      <c r="C19" s="430"/>
      <c r="D19" s="252"/>
      <c r="E19" s="252" t="s">
        <v>1920</v>
      </c>
      <c r="F19" s="243">
        <v>1</v>
      </c>
      <c r="G19" s="452"/>
      <c r="H19" s="445"/>
    </row>
    <row r="20" spans="1:8" ht="15.75" x14ac:dyDescent="0.25">
      <c r="A20" s="305" t="s">
        <v>1193</v>
      </c>
      <c r="B20" s="252" t="s">
        <v>316</v>
      </c>
      <c r="C20" s="430"/>
      <c r="D20" s="252"/>
      <c r="E20" s="252" t="s">
        <v>1920</v>
      </c>
      <c r="F20" s="243">
        <v>1</v>
      </c>
      <c r="G20" s="452"/>
      <c r="H20" s="445"/>
    </row>
    <row r="21" spans="1:8" ht="15.75" x14ac:dyDescent="0.25">
      <c r="A21" s="305" t="s">
        <v>1194</v>
      </c>
      <c r="B21" s="252" t="s">
        <v>314</v>
      </c>
      <c r="C21" s="430"/>
      <c r="D21" s="252"/>
      <c r="E21" s="252" t="s">
        <v>1920</v>
      </c>
      <c r="F21" s="243">
        <v>1</v>
      </c>
      <c r="G21" s="452"/>
      <c r="H21" s="445"/>
    </row>
    <row r="22" spans="1:8" ht="15.75" x14ac:dyDescent="0.25">
      <c r="A22" s="305" t="s">
        <v>3243</v>
      </c>
      <c r="B22" s="252" t="s">
        <v>82</v>
      </c>
      <c r="C22" s="430"/>
      <c r="D22" s="252"/>
      <c r="E22" s="252" t="s">
        <v>1920</v>
      </c>
      <c r="F22" s="243">
        <v>1</v>
      </c>
      <c r="G22" s="452"/>
      <c r="H22" s="445"/>
    </row>
    <row r="23" spans="1:8" ht="15.75" x14ac:dyDescent="0.25">
      <c r="A23" s="305" t="s">
        <v>16</v>
      </c>
      <c r="B23" s="252" t="s">
        <v>476</v>
      </c>
      <c r="C23" s="430"/>
      <c r="D23" s="252"/>
      <c r="E23" s="252" t="s">
        <v>1920</v>
      </c>
      <c r="F23" s="243">
        <v>2</v>
      </c>
      <c r="G23" s="452"/>
      <c r="H23" s="445"/>
    </row>
    <row r="24" spans="1:8" ht="15.75" x14ac:dyDescent="0.25">
      <c r="A24" s="305" t="s">
        <v>1058</v>
      </c>
      <c r="B24" s="252" t="s">
        <v>747</v>
      </c>
      <c r="C24" s="430"/>
      <c r="D24" s="252"/>
      <c r="E24" s="252" t="s">
        <v>1920</v>
      </c>
      <c r="F24" s="243">
        <v>1</v>
      </c>
      <c r="G24" s="452"/>
      <c r="H24" s="445"/>
    </row>
    <row r="25" spans="1:8" ht="15.75" x14ac:dyDescent="0.25">
      <c r="A25" s="305" t="s">
        <v>1304</v>
      </c>
      <c r="B25" s="252" t="s">
        <v>608</v>
      </c>
      <c r="C25" s="430"/>
      <c r="D25" s="252"/>
      <c r="E25" s="252" t="s">
        <v>1920</v>
      </c>
      <c r="F25" s="243">
        <v>2</v>
      </c>
      <c r="G25" s="452"/>
      <c r="H25" s="445"/>
    </row>
    <row r="26" spans="1:8" ht="15.75" x14ac:dyDescent="0.25">
      <c r="A26" s="305" t="s">
        <v>1152</v>
      </c>
      <c r="B26" s="252" t="s">
        <v>281</v>
      </c>
      <c r="C26" s="430"/>
      <c r="D26" s="252"/>
      <c r="E26" s="252" t="s">
        <v>1920</v>
      </c>
      <c r="F26" s="243">
        <v>1</v>
      </c>
      <c r="G26" s="452"/>
      <c r="H26" s="445"/>
    </row>
    <row r="27" spans="1:8" ht="15.75" x14ac:dyDescent="0.25">
      <c r="A27" s="305" t="s">
        <v>1030</v>
      </c>
      <c r="B27" s="252" t="s">
        <v>276</v>
      </c>
      <c r="C27" s="430"/>
      <c r="D27" s="252"/>
      <c r="E27" s="252" t="s">
        <v>1920</v>
      </c>
      <c r="F27" s="243">
        <v>1</v>
      </c>
      <c r="G27" s="452"/>
      <c r="H27" s="445"/>
    </row>
    <row r="28" spans="1:8" ht="15.75" x14ac:dyDescent="0.25">
      <c r="A28" s="305" t="s">
        <v>1147</v>
      </c>
      <c r="B28" s="252" t="s">
        <v>403</v>
      </c>
      <c r="C28" s="430"/>
      <c r="D28" s="252"/>
      <c r="E28" s="252" t="s">
        <v>1920</v>
      </c>
      <c r="F28" s="243">
        <v>1</v>
      </c>
      <c r="G28" s="452"/>
      <c r="H28" s="445"/>
    </row>
    <row r="29" spans="1:8" ht="15.75" x14ac:dyDescent="0.25">
      <c r="A29" s="305" t="s">
        <v>1035</v>
      </c>
      <c r="B29" s="252" t="s">
        <v>414</v>
      </c>
      <c r="C29" s="430"/>
      <c r="D29" s="252"/>
      <c r="E29" s="252">
        <v>55719</v>
      </c>
      <c r="F29" s="243">
        <v>1</v>
      </c>
      <c r="G29" s="452"/>
      <c r="H29" s="445"/>
    </row>
    <row r="30" spans="1:8" s="226" customFormat="1" x14ac:dyDescent="0.2">
      <c r="A30" s="305" t="s">
        <v>1026</v>
      </c>
      <c r="B30" s="252" t="s">
        <v>99</v>
      </c>
      <c r="C30" s="430"/>
      <c r="D30" s="252"/>
      <c r="E30" s="252" t="s">
        <v>1920</v>
      </c>
      <c r="F30" s="243">
        <v>1</v>
      </c>
      <c r="G30" s="452"/>
      <c r="H30" s="708"/>
    </row>
    <row r="31" spans="1:8" s="226" customFormat="1" x14ac:dyDescent="0.2">
      <c r="A31" s="305" t="s">
        <v>1279</v>
      </c>
      <c r="B31" s="252" t="s">
        <v>1833</v>
      </c>
      <c r="C31" s="430"/>
      <c r="D31" s="252"/>
      <c r="E31" s="252" t="s">
        <v>1920</v>
      </c>
      <c r="F31" s="243">
        <v>1</v>
      </c>
      <c r="G31" s="452"/>
      <c r="H31" s="708"/>
    </row>
    <row r="32" spans="1:8" s="226" customFormat="1" x14ac:dyDescent="0.2">
      <c r="A32" s="305" t="s">
        <v>1280</v>
      </c>
      <c r="B32" s="252" t="s">
        <v>1834</v>
      </c>
      <c r="C32" s="430"/>
      <c r="D32" s="252"/>
      <c r="E32" s="252" t="s">
        <v>1920</v>
      </c>
      <c r="F32" s="243">
        <v>1</v>
      </c>
      <c r="G32" s="452"/>
      <c r="H32" s="708"/>
    </row>
    <row r="33" spans="1:8" s="226" customFormat="1" x14ac:dyDescent="0.2">
      <c r="A33" s="305" t="s">
        <v>1359</v>
      </c>
      <c r="B33" s="252" t="s">
        <v>857</v>
      </c>
      <c r="C33" s="430"/>
      <c r="D33" s="252"/>
      <c r="E33" s="252" t="s">
        <v>1920</v>
      </c>
      <c r="F33" s="243">
        <v>1</v>
      </c>
      <c r="G33" s="452"/>
      <c r="H33" s="708"/>
    </row>
    <row r="34" spans="1:8" s="226" customFormat="1" x14ac:dyDescent="0.2">
      <c r="A34" s="305" t="s">
        <v>39</v>
      </c>
      <c r="B34" s="252" t="s">
        <v>245</v>
      </c>
      <c r="C34" s="430"/>
      <c r="D34" s="252"/>
      <c r="E34" s="252" t="s">
        <v>1920</v>
      </c>
      <c r="F34" s="243">
        <v>1</v>
      </c>
      <c r="G34" s="452"/>
      <c r="H34" s="708"/>
    </row>
    <row r="35" spans="1:8" ht="15.75" x14ac:dyDescent="0.25">
      <c r="A35" s="305" t="s">
        <v>209</v>
      </c>
      <c r="B35" s="252" t="s">
        <v>210</v>
      </c>
      <c r="C35" s="430"/>
      <c r="D35" s="252"/>
      <c r="E35" s="252" t="s">
        <v>1920</v>
      </c>
      <c r="F35" s="243">
        <v>1</v>
      </c>
      <c r="G35" s="452"/>
      <c r="H35" s="445"/>
    </row>
    <row r="36" spans="1:8" ht="15.75" x14ac:dyDescent="0.25">
      <c r="A36" s="305" t="s">
        <v>11</v>
      </c>
      <c r="B36" s="252" t="s">
        <v>278</v>
      </c>
      <c r="C36" s="430"/>
      <c r="D36" s="252"/>
      <c r="E36" s="252" t="s">
        <v>1920</v>
      </c>
      <c r="F36" s="243">
        <v>1</v>
      </c>
      <c r="G36" s="452"/>
      <c r="H36" s="445"/>
    </row>
    <row r="37" spans="1:8" ht="15.75" x14ac:dyDescent="0.25">
      <c r="A37" s="305" t="s">
        <v>12</v>
      </c>
      <c r="B37" s="252" t="s">
        <v>171</v>
      </c>
      <c r="C37" s="430"/>
      <c r="D37" s="252"/>
      <c r="E37" s="252" t="s">
        <v>1920</v>
      </c>
      <c r="F37" s="243">
        <v>1</v>
      </c>
      <c r="G37" s="452"/>
      <c r="H37" s="445"/>
    </row>
    <row r="38" spans="1:8" ht="15.75" x14ac:dyDescent="0.25">
      <c r="A38" s="305" t="s">
        <v>1370</v>
      </c>
      <c r="B38" s="252" t="s">
        <v>684</v>
      </c>
      <c r="C38" s="430"/>
      <c r="D38" s="252"/>
      <c r="E38" s="252" t="s">
        <v>1920</v>
      </c>
      <c r="F38" s="243">
        <v>1</v>
      </c>
      <c r="G38" s="452"/>
      <c r="H38" s="445"/>
    </row>
    <row r="39" spans="1:8" ht="15.75" x14ac:dyDescent="0.25">
      <c r="A39" s="305" t="s">
        <v>6</v>
      </c>
      <c r="B39" s="252" t="s">
        <v>91</v>
      </c>
      <c r="C39" s="430"/>
      <c r="D39" s="252"/>
      <c r="E39" s="252" t="s">
        <v>1920</v>
      </c>
      <c r="F39" s="243">
        <v>1</v>
      </c>
      <c r="G39" s="452"/>
      <c r="H39" s="445"/>
    </row>
    <row r="40" spans="1:8" ht="15.75" x14ac:dyDescent="0.25">
      <c r="A40" s="305" t="s">
        <v>2534</v>
      </c>
      <c r="B40" s="252" t="s">
        <v>2535</v>
      </c>
      <c r="C40" s="430"/>
      <c r="D40" s="252"/>
      <c r="E40" s="252" t="s">
        <v>1920</v>
      </c>
      <c r="F40" s="243">
        <v>1</v>
      </c>
      <c r="G40" s="452"/>
      <c r="H40" s="445"/>
    </row>
    <row r="41" spans="1:8" ht="15.75" x14ac:dyDescent="0.25">
      <c r="A41" s="305" t="s">
        <v>3257</v>
      </c>
      <c r="B41" s="252" t="s">
        <v>888</v>
      </c>
      <c r="C41" s="430"/>
      <c r="D41" s="252"/>
      <c r="E41" s="252" t="s">
        <v>1920</v>
      </c>
      <c r="F41" s="243">
        <v>1</v>
      </c>
      <c r="G41" s="452"/>
      <c r="H41" s="445"/>
    </row>
    <row r="42" spans="1:8" ht="15.75" x14ac:dyDescent="0.25">
      <c r="A42" s="305" t="s">
        <v>66</v>
      </c>
      <c r="B42" s="252" t="s">
        <v>1836</v>
      </c>
      <c r="C42" s="430"/>
      <c r="D42" s="252"/>
      <c r="E42" s="252" t="s">
        <v>1947</v>
      </c>
      <c r="F42" s="243">
        <v>1</v>
      </c>
      <c r="G42" s="452"/>
      <c r="H42" s="445"/>
    </row>
    <row r="43" spans="1:8" ht="15.75" x14ac:dyDescent="0.25">
      <c r="A43" s="305" t="s">
        <v>2522</v>
      </c>
      <c r="B43" s="252" t="s">
        <v>2532</v>
      </c>
      <c r="C43" s="430"/>
      <c r="D43" s="252"/>
      <c r="E43" s="252" t="s">
        <v>1920</v>
      </c>
      <c r="F43" s="243">
        <v>1</v>
      </c>
      <c r="G43" s="452"/>
      <c r="H43" s="445"/>
    </row>
    <row r="44" spans="1:8" ht="15.75" x14ac:dyDescent="0.25">
      <c r="A44" s="305" t="s">
        <v>3248</v>
      </c>
      <c r="B44" s="252" t="s">
        <v>2177</v>
      </c>
      <c r="C44" s="430"/>
      <c r="D44" s="252"/>
      <c r="E44" s="252" t="s">
        <v>1920</v>
      </c>
      <c r="F44" s="243">
        <v>1</v>
      </c>
      <c r="G44" s="452"/>
      <c r="H44" s="445"/>
    </row>
    <row r="45" spans="1:8" ht="15.75" x14ac:dyDescent="0.25">
      <c r="A45" s="305" t="s">
        <v>2523</v>
      </c>
      <c r="B45" s="252" t="s">
        <v>2178</v>
      </c>
      <c r="C45" s="430"/>
      <c r="D45" s="252"/>
      <c r="E45" s="252" t="s">
        <v>1920</v>
      </c>
      <c r="F45" s="243">
        <v>1</v>
      </c>
      <c r="G45" s="452"/>
      <c r="H45" s="445"/>
    </row>
    <row r="46" spans="1:8" ht="15.75" x14ac:dyDescent="0.25">
      <c r="A46" s="305" t="s">
        <v>2521</v>
      </c>
      <c r="B46" s="252" t="s">
        <v>2175</v>
      </c>
      <c r="C46" s="430"/>
      <c r="D46" s="252"/>
      <c r="E46" s="252" t="s">
        <v>1920</v>
      </c>
      <c r="F46" s="243">
        <v>1</v>
      </c>
      <c r="G46" s="452"/>
      <c r="H46" s="445"/>
    </row>
    <row r="47" spans="1:8" ht="15.75" x14ac:dyDescent="0.25">
      <c r="A47" s="305" t="s">
        <v>2524</v>
      </c>
      <c r="B47" s="252" t="s">
        <v>2179</v>
      </c>
      <c r="C47" s="430"/>
      <c r="D47" s="252"/>
      <c r="E47" s="252" t="s">
        <v>1920</v>
      </c>
      <c r="F47" s="243">
        <v>1</v>
      </c>
      <c r="G47" s="452"/>
      <c r="H47" s="445"/>
    </row>
    <row r="48" spans="1:8" ht="15.75" x14ac:dyDescent="0.25">
      <c r="A48" s="305" t="s">
        <v>3253</v>
      </c>
      <c r="B48" s="252" t="s">
        <v>2533</v>
      </c>
      <c r="C48" s="430"/>
      <c r="D48" s="252"/>
      <c r="E48" s="252" t="s">
        <v>1920</v>
      </c>
      <c r="F48" s="243">
        <v>1</v>
      </c>
      <c r="G48" s="452"/>
      <c r="H48" s="445"/>
    </row>
    <row r="49" spans="1:8" ht="15.75" x14ac:dyDescent="0.25">
      <c r="A49" s="305" t="s">
        <v>3254</v>
      </c>
      <c r="B49" s="252" t="s">
        <v>2531</v>
      </c>
      <c r="C49" s="430"/>
      <c r="D49" s="252"/>
      <c r="E49" s="252" t="s">
        <v>1920</v>
      </c>
      <c r="F49" s="243">
        <v>1</v>
      </c>
      <c r="G49" s="452"/>
      <c r="H49" s="445"/>
    </row>
    <row r="50" spans="1:8" ht="15.75" x14ac:dyDescent="0.25">
      <c r="A50" s="305" t="s">
        <v>2897</v>
      </c>
      <c r="B50" s="252" t="s">
        <v>324</v>
      </c>
      <c r="C50" s="430"/>
      <c r="D50" s="252"/>
      <c r="E50" s="252" t="s">
        <v>1920</v>
      </c>
      <c r="F50" s="243">
        <v>1</v>
      </c>
      <c r="G50" s="452"/>
      <c r="H50" s="445"/>
    </row>
    <row r="51" spans="1:8" ht="15.75" x14ac:dyDescent="0.25">
      <c r="A51" s="305" t="s">
        <v>14</v>
      </c>
      <c r="B51" s="252" t="s">
        <v>472</v>
      </c>
      <c r="C51" s="430"/>
      <c r="D51" s="252"/>
      <c r="E51" s="252" t="s">
        <v>1971</v>
      </c>
      <c r="F51" s="243">
        <v>1</v>
      </c>
      <c r="G51" s="452"/>
      <c r="H51" s="445"/>
    </row>
    <row r="52" spans="1:8" ht="15.75" x14ac:dyDescent="0.25">
      <c r="A52" s="305" t="s">
        <v>1040</v>
      </c>
      <c r="B52" s="252" t="s">
        <v>274</v>
      </c>
      <c r="C52" s="430"/>
      <c r="D52" s="252"/>
      <c r="E52" s="252" t="s">
        <v>1920</v>
      </c>
      <c r="F52" s="243">
        <v>1</v>
      </c>
      <c r="G52" s="452"/>
      <c r="H52" s="445"/>
    </row>
    <row r="53" spans="1:8" ht="15.75" x14ac:dyDescent="0.25">
      <c r="A53" s="305" t="s">
        <v>1686</v>
      </c>
      <c r="B53" s="252" t="s">
        <v>948</v>
      </c>
      <c r="C53" s="430"/>
      <c r="D53" s="252"/>
      <c r="E53" s="252" t="s">
        <v>1920</v>
      </c>
      <c r="F53" s="243">
        <v>1</v>
      </c>
      <c r="G53" s="452"/>
      <c r="H53" s="445"/>
    </row>
    <row r="54" spans="1:8" ht="15.75" x14ac:dyDescent="0.25">
      <c r="A54" s="305" t="s">
        <v>1694</v>
      </c>
      <c r="B54" s="252" t="s">
        <v>528</v>
      </c>
      <c r="C54" s="430"/>
      <c r="D54" s="252"/>
      <c r="E54" s="252" t="s">
        <v>1920</v>
      </c>
      <c r="F54" s="243">
        <v>1</v>
      </c>
      <c r="G54" s="452"/>
      <c r="H54" s="445"/>
    </row>
    <row r="55" spans="1:8" ht="15.75" x14ac:dyDescent="0.25">
      <c r="A55" s="305" t="s">
        <v>1416</v>
      </c>
      <c r="B55" s="252" t="s">
        <v>550</v>
      </c>
      <c r="C55" s="430"/>
      <c r="D55" s="252"/>
      <c r="E55" s="252" t="s">
        <v>1920</v>
      </c>
      <c r="F55" s="243">
        <v>1</v>
      </c>
      <c r="G55" s="452"/>
      <c r="H55" s="445"/>
    </row>
    <row r="56" spans="1:8" ht="15.75" x14ac:dyDescent="0.25">
      <c r="A56" s="305" t="s">
        <v>3115</v>
      </c>
      <c r="B56" s="252" t="s">
        <v>2226</v>
      </c>
      <c r="C56" s="430"/>
      <c r="D56" s="252"/>
      <c r="E56" s="252" t="s">
        <v>1920</v>
      </c>
      <c r="F56" s="243">
        <v>1</v>
      </c>
      <c r="G56" s="452"/>
      <c r="H56" s="445"/>
    </row>
    <row r="57" spans="1:8" ht="15.75" x14ac:dyDescent="0.25">
      <c r="A57" s="305" t="s">
        <v>1275</v>
      </c>
      <c r="B57" s="252" t="s">
        <v>478</v>
      </c>
      <c r="C57" s="430"/>
      <c r="D57" s="252"/>
      <c r="E57" s="252" t="s">
        <v>1920</v>
      </c>
      <c r="F57" s="243">
        <v>1</v>
      </c>
      <c r="G57" s="452"/>
      <c r="H57" s="445"/>
    </row>
    <row r="58" spans="1:8" ht="15.75" x14ac:dyDescent="0.25">
      <c r="A58" s="305" t="s">
        <v>1662</v>
      </c>
      <c r="B58" s="252" t="s">
        <v>668</v>
      </c>
      <c r="C58" s="430"/>
      <c r="D58" s="252"/>
      <c r="E58" s="252" t="s">
        <v>1920</v>
      </c>
      <c r="F58" s="243">
        <v>1</v>
      </c>
      <c r="G58" s="452"/>
      <c r="H58" s="445"/>
    </row>
    <row r="59" spans="1:8" ht="15.75" x14ac:dyDescent="0.25">
      <c r="A59" s="305" t="s">
        <v>1216</v>
      </c>
      <c r="B59" s="252" t="s">
        <v>835</v>
      </c>
      <c r="C59" s="430"/>
      <c r="D59" s="252"/>
      <c r="E59" s="252" t="s">
        <v>1920</v>
      </c>
      <c r="F59" s="243">
        <v>1</v>
      </c>
      <c r="G59" s="452"/>
      <c r="H59" s="445"/>
    </row>
    <row r="60" spans="1:8" ht="15.75" x14ac:dyDescent="0.25">
      <c r="A60" s="305" t="s">
        <v>68</v>
      </c>
      <c r="B60" s="252" t="s">
        <v>536</v>
      </c>
      <c r="C60" s="430"/>
      <c r="D60" s="252"/>
      <c r="E60" s="252" t="s">
        <v>1920</v>
      </c>
      <c r="F60" s="243">
        <v>1</v>
      </c>
      <c r="G60" s="452"/>
      <c r="H60" s="445"/>
    </row>
    <row r="61" spans="1:8" ht="15.75" x14ac:dyDescent="0.25">
      <c r="A61" s="305" t="s">
        <v>1164</v>
      </c>
      <c r="B61" s="252" t="s">
        <v>830</v>
      </c>
      <c r="C61" s="430"/>
      <c r="D61" s="252"/>
      <c r="E61" s="252" t="s">
        <v>1920</v>
      </c>
      <c r="F61" s="243">
        <v>1</v>
      </c>
      <c r="G61" s="452"/>
      <c r="H61" s="445"/>
    </row>
    <row r="62" spans="1:8" ht="15.75" x14ac:dyDescent="0.25">
      <c r="A62" s="305" t="s">
        <v>410</v>
      </c>
      <c r="B62" s="252" t="s">
        <v>411</v>
      </c>
      <c r="C62" s="430"/>
      <c r="D62" s="252"/>
      <c r="E62" s="252" t="s">
        <v>1920</v>
      </c>
      <c r="F62" s="243">
        <v>1</v>
      </c>
      <c r="G62" s="452"/>
      <c r="H62" s="445"/>
    </row>
    <row r="63" spans="1:8" ht="15.75" x14ac:dyDescent="0.25">
      <c r="A63" s="305" t="s">
        <v>1163</v>
      </c>
      <c r="B63" s="252" t="s">
        <v>239</v>
      </c>
      <c r="C63" s="430"/>
      <c r="D63" s="252"/>
      <c r="E63" s="252" t="s">
        <v>1920</v>
      </c>
      <c r="F63" s="243">
        <v>1</v>
      </c>
      <c r="G63" s="452"/>
      <c r="H63" s="445"/>
    </row>
    <row r="64" spans="1:8" ht="15.75" x14ac:dyDescent="0.25">
      <c r="A64" s="305" t="s">
        <v>1426</v>
      </c>
      <c r="B64" s="252" t="s">
        <v>534</v>
      </c>
      <c r="C64" s="430"/>
      <c r="D64" s="252"/>
      <c r="E64" s="252" t="s">
        <v>1920</v>
      </c>
      <c r="F64" s="243">
        <v>1</v>
      </c>
      <c r="G64" s="452"/>
      <c r="H64" s="445"/>
    </row>
    <row r="65" spans="1:8" ht="15.75" x14ac:dyDescent="0.25">
      <c r="A65" s="305" t="s">
        <v>2133</v>
      </c>
      <c r="B65" s="252" t="s">
        <v>2909</v>
      </c>
      <c r="C65" s="430"/>
      <c r="D65" s="252"/>
      <c r="E65" s="252">
        <v>56654</v>
      </c>
      <c r="F65" s="243">
        <v>2</v>
      </c>
      <c r="G65" s="452"/>
      <c r="H65" s="445"/>
    </row>
    <row r="66" spans="1:8" ht="15.75" x14ac:dyDescent="0.25">
      <c r="A66" s="305" t="s">
        <v>1171</v>
      </c>
      <c r="B66" s="252" t="s">
        <v>441</v>
      </c>
      <c r="C66" s="430"/>
      <c r="D66" s="252"/>
      <c r="E66" s="252" t="s">
        <v>1920</v>
      </c>
      <c r="F66" s="243">
        <v>1</v>
      </c>
      <c r="G66" s="452"/>
      <c r="H66" s="445"/>
    </row>
    <row r="67" spans="1:8" ht="15.75" x14ac:dyDescent="0.25">
      <c r="A67" s="305" t="s">
        <v>105</v>
      </c>
      <c r="B67" s="252" t="s">
        <v>2118</v>
      </c>
      <c r="C67" s="430"/>
      <c r="D67" s="252"/>
      <c r="E67" s="252" t="s">
        <v>1975</v>
      </c>
      <c r="F67" s="243">
        <v>2</v>
      </c>
      <c r="G67" s="452"/>
      <c r="H67" s="445"/>
    </row>
    <row r="68" spans="1:8" ht="15.75" x14ac:dyDescent="0.25">
      <c r="A68" s="305" t="s">
        <v>1156</v>
      </c>
      <c r="B68" s="252" t="s">
        <v>2117</v>
      </c>
      <c r="C68" s="430"/>
      <c r="D68" s="252"/>
      <c r="E68" s="252" t="s">
        <v>1975</v>
      </c>
      <c r="F68" s="243">
        <v>2</v>
      </c>
      <c r="G68" s="452"/>
      <c r="H68" s="445"/>
    </row>
    <row r="69" spans="1:8" ht="15.75" x14ac:dyDescent="0.25">
      <c r="A69" s="305" t="s">
        <v>1085</v>
      </c>
      <c r="B69" s="252" t="s">
        <v>92</v>
      </c>
      <c r="C69" s="430"/>
      <c r="D69" s="252"/>
      <c r="E69" s="252" t="s">
        <v>1920</v>
      </c>
      <c r="F69" s="243">
        <v>1</v>
      </c>
      <c r="G69" s="452"/>
      <c r="H69" s="445"/>
    </row>
    <row r="70" spans="1:8" ht="15.75" x14ac:dyDescent="0.25">
      <c r="A70" s="305" t="s">
        <v>4</v>
      </c>
      <c r="B70" s="252" t="s">
        <v>90</v>
      </c>
      <c r="C70" s="430"/>
      <c r="D70" s="252"/>
      <c r="E70" s="252" t="s">
        <v>1920</v>
      </c>
      <c r="F70" s="243">
        <v>1</v>
      </c>
      <c r="G70" s="452"/>
      <c r="H70" s="445"/>
    </row>
    <row r="71" spans="1:8" ht="15.75" x14ac:dyDescent="0.25">
      <c r="A71" s="305" t="s">
        <v>30</v>
      </c>
      <c r="B71" s="252" t="s">
        <v>1825</v>
      </c>
      <c r="C71" s="430"/>
      <c r="D71" s="252"/>
      <c r="E71" s="252" t="s">
        <v>1920</v>
      </c>
      <c r="F71" s="243">
        <v>1</v>
      </c>
      <c r="G71" s="452"/>
      <c r="H71" s="445"/>
    </row>
    <row r="72" spans="1:8" ht="15.75" x14ac:dyDescent="0.25">
      <c r="A72" s="305" t="s">
        <v>29</v>
      </c>
      <c r="B72" s="252" t="s">
        <v>2758</v>
      </c>
      <c r="C72" s="430"/>
      <c r="D72" s="252"/>
      <c r="E72" s="252" t="s">
        <v>1920</v>
      </c>
      <c r="F72" s="243">
        <v>1</v>
      </c>
      <c r="G72" s="452"/>
      <c r="H72" s="445"/>
    </row>
    <row r="73" spans="1:8" ht="15.75" x14ac:dyDescent="0.25">
      <c r="A73" s="305" t="s">
        <v>984</v>
      </c>
      <c r="B73" s="252" t="s">
        <v>289</v>
      </c>
      <c r="C73" s="430"/>
      <c r="D73" s="252"/>
      <c r="E73" s="252" t="s">
        <v>1920</v>
      </c>
      <c r="F73" s="243">
        <v>1</v>
      </c>
      <c r="G73" s="452"/>
      <c r="H73" s="445"/>
    </row>
    <row r="74" spans="1:8" ht="15.75" x14ac:dyDescent="0.25">
      <c r="A74" s="305" t="s">
        <v>1239</v>
      </c>
      <c r="B74" s="252" t="s">
        <v>1839</v>
      </c>
      <c r="C74" s="430"/>
      <c r="D74" s="252"/>
      <c r="E74" s="252" t="s">
        <v>1920</v>
      </c>
      <c r="F74" s="243">
        <v>1</v>
      </c>
      <c r="G74" s="452"/>
      <c r="H74" s="445"/>
    </row>
    <row r="75" spans="1:8" ht="15.75" x14ac:dyDescent="0.25">
      <c r="A75" s="305" t="s">
        <v>1233</v>
      </c>
      <c r="B75" s="252" t="s">
        <v>1824</v>
      </c>
      <c r="C75" s="430"/>
      <c r="D75" s="252"/>
      <c r="E75" s="252" t="s">
        <v>1920</v>
      </c>
      <c r="F75" s="243">
        <v>1</v>
      </c>
      <c r="G75" s="452"/>
      <c r="H75" s="445"/>
    </row>
    <row r="76" spans="1:8" ht="15.75" x14ac:dyDescent="0.25">
      <c r="A76" s="305" t="s">
        <v>1333</v>
      </c>
      <c r="B76" s="252" t="s">
        <v>65</v>
      </c>
      <c r="C76" s="430"/>
      <c r="D76" s="252"/>
      <c r="E76" s="252" t="s">
        <v>1920</v>
      </c>
      <c r="F76" s="243">
        <v>1</v>
      </c>
      <c r="G76" s="452"/>
      <c r="H76" s="445"/>
    </row>
    <row r="77" spans="1:8" ht="15.75" x14ac:dyDescent="0.25">
      <c r="A77" s="305" t="s">
        <v>1236</v>
      </c>
      <c r="B77" s="252" t="s">
        <v>77</v>
      </c>
      <c r="C77" s="430"/>
      <c r="D77" s="252"/>
      <c r="E77" s="252" t="s">
        <v>1920</v>
      </c>
      <c r="F77" s="243">
        <v>1</v>
      </c>
      <c r="G77" s="452"/>
      <c r="H77" s="445"/>
    </row>
    <row r="78" spans="1:8" ht="15.75" x14ac:dyDescent="0.25">
      <c r="A78" s="305" t="s">
        <v>1235</v>
      </c>
      <c r="B78" s="252" t="s">
        <v>78</v>
      </c>
      <c r="C78" s="430"/>
      <c r="D78" s="252"/>
      <c r="E78" s="252" t="s">
        <v>1920</v>
      </c>
      <c r="F78" s="243">
        <v>1</v>
      </c>
      <c r="G78" s="452"/>
      <c r="H78" s="445"/>
    </row>
    <row r="79" spans="1:8" ht="15.75" x14ac:dyDescent="0.25">
      <c r="A79" s="305" t="s">
        <v>1237</v>
      </c>
      <c r="B79" s="252" t="s">
        <v>306</v>
      </c>
      <c r="C79" s="430"/>
      <c r="D79" s="252"/>
      <c r="E79" s="252" t="s">
        <v>1920</v>
      </c>
      <c r="F79" s="243">
        <v>1</v>
      </c>
      <c r="G79" s="452"/>
      <c r="H79" s="445"/>
    </row>
    <row r="80" spans="1:8" ht="15.75" x14ac:dyDescent="0.25">
      <c r="A80" s="305" t="s">
        <v>1169</v>
      </c>
      <c r="B80" s="252" t="s">
        <v>436</v>
      </c>
      <c r="C80" s="430"/>
      <c r="D80" s="252"/>
      <c r="E80" s="252" t="s">
        <v>1920</v>
      </c>
      <c r="F80" s="243">
        <v>1</v>
      </c>
      <c r="G80" s="452"/>
      <c r="H80" s="445"/>
    </row>
    <row r="81" spans="1:8" ht="15.75" x14ac:dyDescent="0.25">
      <c r="A81" s="305" t="s">
        <v>1345</v>
      </c>
      <c r="B81" s="252" t="s">
        <v>79</v>
      </c>
      <c r="C81" s="430"/>
      <c r="D81" s="252"/>
      <c r="E81" s="252" t="s">
        <v>1920</v>
      </c>
      <c r="F81" s="243">
        <v>1</v>
      </c>
      <c r="G81" s="452"/>
      <c r="H81" s="445"/>
    </row>
    <row r="82" spans="1:8" ht="15.75" x14ac:dyDescent="0.25">
      <c r="A82" s="305" t="s">
        <v>1234</v>
      </c>
      <c r="B82" s="252" t="s">
        <v>73</v>
      </c>
      <c r="C82" s="430"/>
      <c r="D82" s="252"/>
      <c r="E82" s="252" t="s">
        <v>1920</v>
      </c>
      <c r="F82" s="243">
        <v>1</v>
      </c>
      <c r="G82" s="452"/>
      <c r="H82" s="445"/>
    </row>
    <row r="83" spans="1:8" ht="15.75" x14ac:dyDescent="0.25">
      <c r="A83" s="305" t="s">
        <v>1232</v>
      </c>
      <c r="B83" s="252" t="s">
        <v>76</v>
      </c>
      <c r="C83" s="430"/>
      <c r="D83" s="252"/>
      <c r="E83" s="252" t="s">
        <v>1920</v>
      </c>
      <c r="F83" s="243">
        <v>1</v>
      </c>
      <c r="G83" s="452"/>
      <c r="H83" s="445"/>
    </row>
    <row r="84" spans="1:8" ht="15.75" x14ac:dyDescent="0.25">
      <c r="A84" s="305" t="s">
        <v>15</v>
      </c>
      <c r="B84" s="252" t="s">
        <v>380</v>
      </c>
      <c r="C84" s="430"/>
      <c r="D84" s="252"/>
      <c r="E84" s="252" t="s">
        <v>1920</v>
      </c>
      <c r="F84" s="243">
        <v>1</v>
      </c>
      <c r="G84" s="452"/>
      <c r="H84" s="445"/>
    </row>
    <row r="85" spans="1:8" ht="15.75" x14ac:dyDescent="0.25">
      <c r="A85" s="305" t="s">
        <v>393</v>
      </c>
      <c r="B85" s="252" t="s">
        <v>397</v>
      </c>
      <c r="C85" s="430"/>
      <c r="D85" s="252"/>
      <c r="E85" s="252" t="s">
        <v>1920</v>
      </c>
      <c r="F85" s="243">
        <v>1</v>
      </c>
      <c r="G85" s="452"/>
      <c r="H85" s="445"/>
    </row>
    <row r="86" spans="1:8" ht="15.75" x14ac:dyDescent="0.25">
      <c r="A86" s="305" t="s">
        <v>395</v>
      </c>
      <c r="B86" s="252" t="s">
        <v>398</v>
      </c>
      <c r="C86" s="430"/>
      <c r="D86" s="252"/>
      <c r="E86" s="252" t="s">
        <v>1920</v>
      </c>
      <c r="F86" s="243">
        <v>1</v>
      </c>
      <c r="G86" s="452"/>
      <c r="H86" s="445"/>
    </row>
    <row r="87" spans="1:8" ht="15.75" x14ac:dyDescent="0.25">
      <c r="A87" s="305" t="s">
        <v>37</v>
      </c>
      <c r="B87" s="252" t="s">
        <v>38</v>
      </c>
      <c r="C87" s="430"/>
      <c r="D87" s="252"/>
      <c r="E87" s="252" t="s">
        <v>1920</v>
      </c>
      <c r="F87" s="243">
        <v>1</v>
      </c>
      <c r="G87" s="452"/>
      <c r="H87" s="445"/>
    </row>
    <row r="88" spans="1:8" ht="15.75" x14ac:dyDescent="0.25">
      <c r="A88" s="305" t="s">
        <v>1036</v>
      </c>
      <c r="B88" s="252" t="s">
        <v>468</v>
      </c>
      <c r="C88" s="430"/>
      <c r="D88" s="252"/>
      <c r="E88" s="252" t="s">
        <v>1920</v>
      </c>
      <c r="F88" s="243">
        <v>1</v>
      </c>
      <c r="G88" s="452"/>
      <c r="H88" s="445"/>
    </row>
    <row r="89" spans="1:8" ht="15.75" x14ac:dyDescent="0.25">
      <c r="A89" s="305" t="s">
        <v>101</v>
      </c>
      <c r="B89" s="252" t="s">
        <v>509</v>
      </c>
      <c r="C89" s="430"/>
      <c r="D89" s="252"/>
      <c r="E89" s="252" t="s">
        <v>1920</v>
      </c>
      <c r="F89" s="243">
        <v>1</v>
      </c>
      <c r="G89" s="452"/>
      <c r="H89" s="445"/>
    </row>
    <row r="90" spans="1:8" ht="15.75" x14ac:dyDescent="0.25">
      <c r="A90" s="305" t="s">
        <v>2525</v>
      </c>
      <c r="B90" s="252" t="s">
        <v>2536</v>
      </c>
      <c r="C90" s="430"/>
      <c r="D90" s="252"/>
      <c r="E90" s="252" t="s">
        <v>1920</v>
      </c>
      <c r="F90" s="243">
        <v>1</v>
      </c>
      <c r="G90" s="452"/>
      <c r="H90" s="445"/>
    </row>
    <row r="91" spans="1:8" ht="15.75" x14ac:dyDescent="0.25">
      <c r="A91" s="305" t="s">
        <v>20</v>
      </c>
      <c r="B91" s="252" t="s">
        <v>287</v>
      </c>
      <c r="C91" s="430"/>
      <c r="D91" s="252"/>
      <c r="E91" s="252" t="s">
        <v>1920</v>
      </c>
      <c r="F91" s="243">
        <v>1</v>
      </c>
      <c r="G91" s="452"/>
      <c r="H91" s="445"/>
    </row>
    <row r="92" spans="1:8" ht="15.75" x14ac:dyDescent="0.25">
      <c r="A92" s="410" t="s">
        <v>3120</v>
      </c>
      <c r="B92" s="284" t="s">
        <v>3119</v>
      </c>
      <c r="C92" s="430"/>
      <c r="D92" s="284"/>
      <c r="E92" s="284" t="s">
        <v>1928</v>
      </c>
      <c r="F92" s="224">
        <v>1</v>
      </c>
      <c r="G92" s="458"/>
      <c r="H92" s="445"/>
    </row>
    <row r="93" spans="1:8" ht="18" x14ac:dyDescent="0.25">
      <c r="G93" s="5"/>
    </row>
    <row r="94" spans="1:8" ht="18" x14ac:dyDescent="0.25">
      <c r="A94" s="422" t="s">
        <v>2737</v>
      </c>
      <c r="B94" s="425"/>
      <c r="C94" s="309"/>
      <c r="D94" s="309"/>
      <c r="E94" s="309"/>
      <c r="F94" s="309"/>
      <c r="G94" s="310"/>
    </row>
    <row r="95" spans="1:8" ht="18" x14ac:dyDescent="0.25">
      <c r="A95" s="422" t="s">
        <v>2979</v>
      </c>
      <c r="B95" s="425"/>
      <c r="C95" s="309"/>
      <c r="D95" s="309"/>
      <c r="E95" s="309"/>
      <c r="F95" s="309"/>
      <c r="G95" s="310"/>
    </row>
    <row r="96" spans="1:8" ht="18" x14ac:dyDescent="0.25">
      <c r="A96" s="449" t="s">
        <v>3288</v>
      </c>
      <c r="B96" s="450"/>
      <c r="G96" s="5"/>
    </row>
    <row r="97" spans="1:7" ht="18" x14ac:dyDescent="0.25">
      <c r="A97" s="434" t="s">
        <v>3367</v>
      </c>
      <c r="B97" s="420"/>
      <c r="G97" s="5"/>
    </row>
    <row r="98" spans="1:7" ht="18" x14ac:dyDescent="0.25">
      <c r="G98" s="5"/>
    </row>
    <row r="99" spans="1:7" ht="18" x14ac:dyDescent="0.25">
      <c r="G99" s="5"/>
    </row>
    <row r="100" spans="1:7" ht="18" x14ac:dyDescent="0.25">
      <c r="G100" s="5"/>
    </row>
    <row r="101" spans="1:7" ht="18" x14ac:dyDescent="0.25">
      <c r="G101" s="5"/>
    </row>
    <row r="102" spans="1:7" ht="18" x14ac:dyDescent="0.25">
      <c r="G102" s="5"/>
    </row>
    <row r="103" spans="1:7" ht="18" x14ac:dyDescent="0.25">
      <c r="G103" s="5"/>
    </row>
    <row r="104" spans="1:7" ht="18" x14ac:dyDescent="0.25">
      <c r="G104" s="5"/>
    </row>
    <row r="105" spans="1:7" ht="18" x14ac:dyDescent="0.25">
      <c r="G105" s="5"/>
    </row>
    <row r="106" spans="1:7" ht="18" x14ac:dyDescent="0.25">
      <c r="G106" s="5"/>
    </row>
    <row r="107" spans="1:7" ht="18" x14ac:dyDescent="0.25">
      <c r="G107" s="5"/>
    </row>
    <row r="108" spans="1:7" ht="18" x14ac:dyDescent="0.25">
      <c r="G108" s="5"/>
    </row>
    <row r="109" spans="1:7" ht="18" x14ac:dyDescent="0.25">
      <c r="G109" s="5"/>
    </row>
    <row r="110" spans="1:7" ht="18" x14ac:dyDescent="0.25">
      <c r="G110" s="5"/>
    </row>
    <row r="111" spans="1:7" ht="18" x14ac:dyDescent="0.25">
      <c r="G111" s="5"/>
    </row>
    <row r="112" spans="1:7" ht="18" x14ac:dyDescent="0.25">
      <c r="G112" s="5"/>
    </row>
    <row r="113" spans="7:7" ht="18" x14ac:dyDescent="0.25">
      <c r="G113" s="5"/>
    </row>
    <row r="114" spans="7:7" ht="18" x14ac:dyDescent="0.25">
      <c r="G114" s="5"/>
    </row>
    <row r="115" spans="7:7" ht="18" x14ac:dyDescent="0.25">
      <c r="G115" s="5"/>
    </row>
    <row r="116" spans="7:7" ht="18" x14ac:dyDescent="0.25">
      <c r="G116" s="5"/>
    </row>
    <row r="117" spans="7:7" ht="18" x14ac:dyDescent="0.25">
      <c r="G117" s="5"/>
    </row>
    <row r="118" spans="7:7" ht="18" x14ac:dyDescent="0.25">
      <c r="G118" s="5"/>
    </row>
    <row r="119" spans="7:7" ht="18" x14ac:dyDescent="0.25">
      <c r="G119" s="5"/>
    </row>
    <row r="120" spans="7:7" ht="18" x14ac:dyDescent="0.25">
      <c r="G120" s="5"/>
    </row>
    <row r="121" spans="7:7" ht="18" x14ac:dyDescent="0.25">
      <c r="G121" s="5"/>
    </row>
    <row r="122" spans="7:7" ht="18" x14ac:dyDescent="0.25">
      <c r="G122" s="5"/>
    </row>
    <row r="123" spans="7:7" ht="18" x14ac:dyDescent="0.25">
      <c r="G123" s="5"/>
    </row>
    <row r="124" spans="7:7" ht="18" x14ac:dyDescent="0.25">
      <c r="G124" s="5"/>
    </row>
    <row r="125" spans="7:7" ht="18" x14ac:dyDescent="0.25">
      <c r="G125" s="5"/>
    </row>
    <row r="126" spans="7:7" ht="18" x14ac:dyDescent="0.25">
      <c r="G126" s="5"/>
    </row>
    <row r="127" spans="7:7" ht="18" x14ac:dyDescent="0.25">
      <c r="G127" s="5"/>
    </row>
    <row r="128" spans="7:7" ht="18" x14ac:dyDescent="0.25">
      <c r="G128" s="5"/>
    </row>
    <row r="129" spans="7:7" ht="18" x14ac:dyDescent="0.25">
      <c r="G129" s="5"/>
    </row>
    <row r="130" spans="7:7" ht="18" x14ac:dyDescent="0.25">
      <c r="G130" s="5"/>
    </row>
    <row r="131" spans="7:7" ht="18" x14ac:dyDescent="0.25">
      <c r="G131" s="5"/>
    </row>
    <row r="132" spans="7:7" ht="18" x14ac:dyDescent="0.25">
      <c r="G132" s="5"/>
    </row>
    <row r="133" spans="7:7" ht="18" x14ac:dyDescent="0.25">
      <c r="G133" s="5"/>
    </row>
    <row r="134" spans="7:7" ht="18" x14ac:dyDescent="0.25">
      <c r="G134" s="5"/>
    </row>
    <row r="135" spans="7:7" ht="18" x14ac:dyDescent="0.25">
      <c r="G135" s="5"/>
    </row>
    <row r="136" spans="7:7" ht="18" x14ac:dyDescent="0.25">
      <c r="G136" s="5"/>
    </row>
    <row r="137" spans="7:7" ht="18" x14ac:dyDescent="0.25">
      <c r="G137" s="5"/>
    </row>
    <row r="138" spans="7:7" ht="18" x14ac:dyDescent="0.25">
      <c r="G138" s="5"/>
    </row>
    <row r="139" spans="7:7" ht="18" x14ac:dyDescent="0.25">
      <c r="G139" s="5"/>
    </row>
    <row r="140" spans="7:7" ht="18" x14ac:dyDescent="0.25">
      <c r="G140" s="308"/>
    </row>
    <row r="141" spans="7:7" ht="18" x14ac:dyDescent="0.25">
      <c r="G141" s="308"/>
    </row>
    <row r="142" spans="7:7" ht="18" x14ac:dyDescent="0.25">
      <c r="G142" s="308"/>
    </row>
    <row r="143" spans="7:7" ht="18" x14ac:dyDescent="0.25">
      <c r="G143" s="308"/>
    </row>
    <row r="144" spans="7:7" ht="18" x14ac:dyDescent="0.25">
      <c r="G144" s="308"/>
    </row>
    <row r="145" spans="7:7" ht="18" x14ac:dyDescent="0.25">
      <c r="G145" s="308"/>
    </row>
    <row r="146" spans="7:7" ht="18" x14ac:dyDescent="0.25">
      <c r="G146" s="308"/>
    </row>
    <row r="147" spans="7:7" ht="18" x14ac:dyDescent="0.25">
      <c r="G147" s="308"/>
    </row>
    <row r="148" spans="7:7" ht="18" x14ac:dyDescent="0.25">
      <c r="G148" s="308"/>
    </row>
    <row r="149" spans="7:7" ht="18" x14ac:dyDescent="0.25">
      <c r="G149" s="308"/>
    </row>
    <row r="150" spans="7:7" x14ac:dyDescent="0.25">
      <c r="G150" s="88"/>
    </row>
    <row r="151" spans="7:7" x14ac:dyDescent="0.25">
      <c r="G151" s="89"/>
    </row>
    <row r="152" spans="7:7" x14ac:dyDescent="0.25">
      <c r="G152" s="89"/>
    </row>
    <row r="153" spans="7:7" ht="18" x14ac:dyDescent="0.25">
      <c r="G153" s="308"/>
    </row>
    <row r="154" spans="7:7" ht="18" x14ac:dyDescent="0.25">
      <c r="G154" s="308"/>
    </row>
    <row r="155" spans="7:7" ht="18" x14ac:dyDescent="0.25">
      <c r="G155" s="308"/>
    </row>
    <row r="156" spans="7:7" ht="18" x14ac:dyDescent="0.25">
      <c r="G156" s="308"/>
    </row>
    <row r="157" spans="7:7" ht="18" x14ac:dyDescent="0.25">
      <c r="G157" s="308"/>
    </row>
    <row r="158" spans="7:7" ht="18" x14ac:dyDescent="0.25">
      <c r="G158" s="308"/>
    </row>
    <row r="159" spans="7:7" ht="18" x14ac:dyDescent="0.25">
      <c r="G159" s="308"/>
    </row>
    <row r="160" spans="7:7" ht="18" x14ac:dyDescent="0.25">
      <c r="G160" s="308"/>
    </row>
    <row r="161" spans="1:7" ht="18" x14ac:dyDescent="0.25">
      <c r="G161" s="5"/>
    </row>
    <row r="162" spans="1:7" ht="18" x14ac:dyDescent="0.25">
      <c r="G162" s="308"/>
    </row>
    <row r="163" spans="1:7" ht="18" x14ac:dyDescent="0.25">
      <c r="G163" s="308"/>
    </row>
    <row r="164" spans="1:7" ht="18" x14ac:dyDescent="0.25">
      <c r="G164" s="308"/>
    </row>
    <row r="165" spans="1:7" ht="18" x14ac:dyDescent="0.25">
      <c r="A165" s="263"/>
      <c r="B165" s="264"/>
      <c r="C165" s="264"/>
      <c r="D165" s="264"/>
      <c r="E165" s="264"/>
      <c r="F165" s="265"/>
      <c r="G165" s="308"/>
    </row>
    <row r="166" spans="1:7" ht="18" x14ac:dyDescent="0.25">
      <c r="A166" s="263"/>
      <c r="B166" s="264"/>
      <c r="C166" s="264"/>
      <c r="D166" s="264"/>
      <c r="E166" s="264"/>
      <c r="F166" s="265"/>
      <c r="G166" s="308"/>
    </row>
    <row r="167" spans="1:7" ht="18" x14ac:dyDescent="0.25">
      <c r="A167" s="263"/>
      <c r="B167" s="264"/>
      <c r="C167" s="264"/>
      <c r="D167" s="264"/>
      <c r="E167" s="264"/>
      <c r="F167" s="265"/>
      <c r="G167" s="308"/>
    </row>
    <row r="168" spans="1:7" ht="18" x14ac:dyDescent="0.25">
      <c r="A168" s="263"/>
      <c r="B168" s="264"/>
      <c r="C168" s="264"/>
      <c r="D168" s="264"/>
      <c r="E168" s="264"/>
      <c r="F168" s="265"/>
      <c r="G168" s="308"/>
    </row>
    <row r="169" spans="1:7" ht="18" x14ac:dyDescent="0.25">
      <c r="A169" s="263"/>
      <c r="B169" s="264"/>
      <c r="C169" s="264"/>
      <c r="D169" s="264"/>
      <c r="E169" s="264"/>
      <c r="F169" s="265"/>
      <c r="G169" s="308"/>
    </row>
    <row r="170" spans="1:7" ht="18" x14ac:dyDescent="0.25">
      <c r="A170" s="263"/>
      <c r="B170" s="264"/>
      <c r="C170" s="264"/>
      <c r="D170" s="264"/>
      <c r="E170" s="264"/>
      <c r="F170" s="265"/>
      <c r="G170" s="308"/>
    </row>
    <row r="171" spans="1:7" ht="18" x14ac:dyDescent="0.25">
      <c r="A171" s="263"/>
      <c r="B171" s="264"/>
      <c r="C171" s="264"/>
      <c r="D171" s="264"/>
      <c r="E171" s="264"/>
      <c r="F171" s="265"/>
      <c r="G171" s="308"/>
    </row>
    <row r="172" spans="1:7" ht="18" x14ac:dyDescent="0.25">
      <c r="A172" s="263"/>
      <c r="B172" s="264"/>
      <c r="C172" s="264"/>
      <c r="D172" s="264"/>
      <c r="E172" s="264"/>
      <c r="F172" s="265"/>
      <c r="G172" s="308"/>
    </row>
    <row r="173" spans="1:7" ht="18" x14ac:dyDescent="0.25">
      <c r="A173" s="263"/>
      <c r="B173" s="264"/>
      <c r="C173" s="264"/>
      <c r="D173" s="264"/>
      <c r="E173" s="264"/>
      <c r="F173" s="265"/>
      <c r="G173" s="308"/>
    </row>
    <row r="174" spans="1:7" ht="18" x14ac:dyDescent="0.25">
      <c r="A174" s="263"/>
      <c r="B174" s="264"/>
      <c r="C174" s="264"/>
      <c r="D174" s="264"/>
      <c r="E174" s="264"/>
      <c r="F174" s="265"/>
      <c r="G174" s="308"/>
    </row>
    <row r="175" spans="1:7" ht="18" x14ac:dyDescent="0.25">
      <c r="A175" s="263"/>
      <c r="B175" s="264"/>
      <c r="C175" s="264"/>
      <c r="D175" s="264"/>
      <c r="E175" s="264"/>
      <c r="F175" s="265"/>
      <c r="G175" s="308"/>
    </row>
    <row r="176" spans="1:7" ht="18" x14ac:dyDescent="0.25">
      <c r="A176" s="263"/>
      <c r="B176" s="264"/>
      <c r="C176" s="264"/>
      <c r="D176" s="264"/>
      <c r="E176" s="264"/>
      <c r="F176" s="265"/>
      <c r="G176" s="308"/>
    </row>
    <row r="177" spans="1:7" ht="18" x14ac:dyDescent="0.25">
      <c r="A177" s="263"/>
      <c r="B177" s="264"/>
      <c r="C177" s="264"/>
      <c r="D177" s="264"/>
      <c r="E177" s="264"/>
      <c r="F177" s="265"/>
      <c r="G177" s="308"/>
    </row>
    <row r="178" spans="1:7" ht="18" x14ac:dyDescent="0.25">
      <c r="A178" s="263"/>
      <c r="B178" s="264"/>
      <c r="C178" s="264"/>
      <c r="D178" s="264"/>
      <c r="E178" s="264"/>
      <c r="F178" s="265"/>
      <c r="G178" s="308"/>
    </row>
    <row r="179" spans="1:7" ht="18" x14ac:dyDescent="0.25">
      <c r="A179" s="263"/>
      <c r="B179" s="264"/>
      <c r="C179" s="264"/>
      <c r="D179" s="264"/>
      <c r="E179" s="264"/>
      <c r="F179" s="265"/>
      <c r="G179" s="308"/>
    </row>
    <row r="180" spans="1:7" ht="18" x14ac:dyDescent="0.25">
      <c r="A180" s="263"/>
      <c r="B180" s="264"/>
      <c r="C180" s="264"/>
      <c r="D180" s="264"/>
      <c r="E180" s="264"/>
      <c r="F180" s="265"/>
      <c r="G180" s="308"/>
    </row>
    <row r="181" spans="1:7" ht="18" x14ac:dyDescent="0.25">
      <c r="A181" s="263"/>
      <c r="B181" s="264"/>
      <c r="C181" s="264"/>
      <c r="D181" s="264"/>
      <c r="E181" s="264"/>
      <c r="F181" s="265"/>
      <c r="G181" s="308"/>
    </row>
    <row r="182" spans="1:7" ht="18" x14ac:dyDescent="0.25">
      <c r="A182" s="263"/>
      <c r="B182" s="264"/>
      <c r="C182" s="264"/>
      <c r="D182" s="264"/>
      <c r="E182" s="264"/>
      <c r="F182" s="265"/>
      <c r="G182" s="308"/>
    </row>
    <row r="183" spans="1:7" ht="18" x14ac:dyDescent="0.25">
      <c r="A183" s="263"/>
      <c r="B183" s="264"/>
      <c r="C183" s="264"/>
      <c r="D183" s="264"/>
      <c r="E183" s="264"/>
      <c r="F183" s="265"/>
      <c r="G183" s="308"/>
    </row>
    <row r="184" spans="1:7" ht="18" x14ac:dyDescent="0.25">
      <c r="A184" s="263"/>
      <c r="B184" s="264"/>
      <c r="C184" s="264"/>
      <c r="D184" s="264"/>
      <c r="E184" s="264"/>
      <c r="F184" s="265"/>
      <c r="G184" s="308"/>
    </row>
    <row r="185" spans="1:7" ht="18" x14ac:dyDescent="0.25">
      <c r="A185" s="263"/>
      <c r="B185" s="264"/>
      <c r="C185" s="264"/>
      <c r="D185" s="264"/>
      <c r="E185" s="264"/>
      <c r="F185" s="265"/>
      <c r="G185" s="308"/>
    </row>
    <row r="186" spans="1:7" ht="18" x14ac:dyDescent="0.25">
      <c r="A186" s="263"/>
      <c r="B186" s="264"/>
      <c r="C186" s="264"/>
      <c r="D186" s="264"/>
      <c r="E186" s="264"/>
      <c r="F186" s="265"/>
      <c r="G186" s="308"/>
    </row>
    <row r="187" spans="1:7" ht="18" x14ac:dyDescent="0.25">
      <c r="A187" s="263"/>
      <c r="B187" s="264"/>
      <c r="C187" s="264"/>
      <c r="D187" s="264"/>
      <c r="E187" s="264"/>
      <c r="F187" s="265"/>
      <c r="G187" s="308"/>
    </row>
    <row r="188" spans="1:7" ht="18" x14ac:dyDescent="0.25">
      <c r="A188" s="263"/>
      <c r="B188" s="264"/>
      <c r="C188" s="264"/>
      <c r="D188" s="264"/>
      <c r="E188" s="264"/>
      <c r="F188" s="265"/>
      <c r="G188" s="308"/>
    </row>
    <row r="189" spans="1:7" ht="18" x14ac:dyDescent="0.25">
      <c r="A189" s="263"/>
      <c r="B189" s="264"/>
      <c r="C189" s="264"/>
      <c r="D189" s="264"/>
      <c r="E189" s="264"/>
      <c r="F189" s="265"/>
      <c r="G189" s="308"/>
    </row>
    <row r="190" spans="1:7" ht="18" x14ac:dyDescent="0.25">
      <c r="A190" s="263"/>
      <c r="B190" s="264"/>
      <c r="C190" s="264"/>
      <c r="D190" s="264"/>
      <c r="E190" s="264"/>
      <c r="F190" s="265"/>
      <c r="G190" s="308"/>
    </row>
    <row r="191" spans="1:7" ht="18" x14ac:dyDescent="0.25">
      <c r="A191" s="263"/>
      <c r="B191" s="264"/>
      <c r="C191" s="264"/>
      <c r="D191" s="264"/>
      <c r="E191" s="264"/>
      <c r="F191" s="265"/>
      <c r="G191" s="308"/>
    </row>
    <row r="192" spans="1:7" ht="18" x14ac:dyDescent="0.25">
      <c r="A192" s="263"/>
      <c r="B192" s="264"/>
      <c r="C192" s="264"/>
      <c r="D192" s="264"/>
      <c r="E192" s="264"/>
      <c r="F192" s="265"/>
      <c r="G192" s="308"/>
    </row>
    <row r="193" spans="1:7" ht="18" x14ac:dyDescent="0.25">
      <c r="A193" s="263"/>
      <c r="B193" s="264"/>
      <c r="C193" s="264"/>
      <c r="D193" s="264"/>
      <c r="E193" s="264"/>
      <c r="F193" s="265"/>
      <c r="G193" s="308"/>
    </row>
    <row r="194" spans="1:7" ht="18" x14ac:dyDescent="0.25">
      <c r="A194" s="263"/>
      <c r="B194" s="264"/>
      <c r="C194" s="264"/>
      <c r="D194" s="264"/>
      <c r="E194" s="264"/>
      <c r="F194" s="265"/>
      <c r="G194" s="308"/>
    </row>
    <row r="195" spans="1:7" ht="18" x14ac:dyDescent="0.25">
      <c r="A195" s="263"/>
      <c r="B195" s="264"/>
      <c r="C195" s="264"/>
      <c r="D195" s="264"/>
      <c r="E195" s="264"/>
      <c r="F195" s="265"/>
      <c r="G195" s="308"/>
    </row>
    <row r="196" spans="1:7" ht="18" x14ac:dyDescent="0.25">
      <c r="A196" s="263"/>
      <c r="B196" s="264"/>
      <c r="C196" s="264"/>
      <c r="D196" s="264"/>
      <c r="E196" s="264"/>
      <c r="F196" s="265"/>
      <c r="G196" s="308"/>
    </row>
    <row r="197" spans="1:7" ht="18" x14ac:dyDescent="0.25">
      <c r="A197" s="263"/>
      <c r="B197" s="264"/>
      <c r="C197" s="264"/>
      <c r="D197" s="264"/>
      <c r="E197" s="264"/>
      <c r="F197" s="265"/>
      <c r="G197" s="308"/>
    </row>
    <row r="198" spans="1:7" ht="18" x14ac:dyDescent="0.25">
      <c r="A198" s="263"/>
      <c r="B198" s="264"/>
      <c r="C198" s="264"/>
      <c r="D198" s="264"/>
      <c r="E198" s="264"/>
      <c r="F198" s="265"/>
      <c r="G198" s="308"/>
    </row>
    <row r="199" spans="1:7" ht="18" x14ac:dyDescent="0.25">
      <c r="A199" s="263"/>
      <c r="B199" s="264"/>
      <c r="C199" s="264"/>
      <c r="D199" s="264"/>
      <c r="E199" s="264"/>
      <c r="F199" s="265"/>
      <c r="G199" s="308"/>
    </row>
    <row r="200" spans="1:7" ht="18" x14ac:dyDescent="0.25">
      <c r="A200" s="263"/>
      <c r="B200" s="264"/>
      <c r="C200" s="264"/>
      <c r="D200" s="264"/>
      <c r="E200" s="264"/>
      <c r="F200" s="265"/>
      <c r="G200" s="308"/>
    </row>
    <row r="201" spans="1:7" ht="18" x14ac:dyDescent="0.25">
      <c r="A201" s="263"/>
      <c r="B201" s="264"/>
      <c r="C201" s="264"/>
      <c r="D201" s="264"/>
      <c r="E201" s="264"/>
      <c r="F201" s="265"/>
      <c r="G201" s="308"/>
    </row>
    <row r="202" spans="1:7" ht="18" x14ac:dyDescent="0.25">
      <c r="A202" s="263"/>
      <c r="B202" s="264"/>
      <c r="C202" s="264"/>
      <c r="D202" s="264"/>
      <c r="E202" s="264"/>
      <c r="F202" s="265"/>
      <c r="G202" s="308"/>
    </row>
    <row r="203" spans="1:7" ht="18" x14ac:dyDescent="0.25">
      <c r="A203" s="263"/>
      <c r="B203" s="264"/>
      <c r="C203" s="264"/>
      <c r="D203" s="264"/>
      <c r="E203" s="264"/>
      <c r="F203" s="265"/>
      <c r="G203" s="308"/>
    </row>
    <row r="204" spans="1:7" ht="18" x14ac:dyDescent="0.25">
      <c r="A204" s="263"/>
      <c r="B204" s="264"/>
      <c r="C204" s="264"/>
      <c r="D204" s="264"/>
      <c r="E204" s="264"/>
      <c r="F204" s="265"/>
      <c r="G204" s="308"/>
    </row>
    <row r="205" spans="1:7" ht="18" x14ac:dyDescent="0.25">
      <c r="A205" s="263"/>
      <c r="B205" s="264"/>
      <c r="C205" s="264"/>
      <c r="D205" s="264"/>
      <c r="E205" s="264"/>
      <c r="F205" s="265"/>
      <c r="G205" s="308"/>
    </row>
    <row r="206" spans="1:7" ht="18" x14ac:dyDescent="0.25">
      <c r="A206" s="263"/>
      <c r="B206" s="264"/>
      <c r="C206" s="264"/>
      <c r="D206" s="264"/>
      <c r="E206" s="264"/>
      <c r="F206" s="265"/>
      <c r="G206" s="308"/>
    </row>
    <row r="207" spans="1:7" ht="18" x14ac:dyDescent="0.25">
      <c r="A207" s="263"/>
      <c r="B207" s="264"/>
      <c r="C207" s="264"/>
      <c r="D207" s="264"/>
      <c r="E207" s="264"/>
      <c r="F207" s="265"/>
      <c r="G207" s="308"/>
    </row>
    <row r="208" spans="1:7" ht="18" x14ac:dyDescent="0.25">
      <c r="A208" s="263"/>
      <c r="B208" s="264"/>
      <c r="C208" s="264"/>
      <c r="D208" s="264"/>
      <c r="E208" s="264"/>
      <c r="F208" s="265"/>
      <c r="G208" s="308"/>
    </row>
    <row r="209" spans="1:7" ht="18" x14ac:dyDescent="0.25">
      <c r="A209" s="263"/>
      <c r="B209" s="264"/>
      <c r="C209" s="264"/>
      <c r="D209" s="264"/>
      <c r="E209" s="264"/>
      <c r="F209" s="265"/>
      <c r="G209" s="308"/>
    </row>
    <row r="210" spans="1:7" ht="18" x14ac:dyDescent="0.25">
      <c r="A210" s="263"/>
      <c r="B210" s="264"/>
      <c r="C210" s="264"/>
      <c r="D210" s="264"/>
      <c r="E210" s="264"/>
      <c r="F210" s="265"/>
      <c r="G210" s="308"/>
    </row>
    <row r="211" spans="1:7" ht="18" x14ac:dyDescent="0.25">
      <c r="A211" s="263"/>
      <c r="B211" s="264"/>
      <c r="C211" s="264"/>
      <c r="D211" s="264"/>
      <c r="E211" s="264"/>
      <c r="F211" s="265"/>
      <c r="G211" s="308"/>
    </row>
    <row r="212" spans="1:7" ht="18" x14ac:dyDescent="0.25">
      <c r="A212" s="263"/>
      <c r="B212" s="264"/>
      <c r="C212" s="264"/>
      <c r="D212" s="264"/>
      <c r="E212" s="264"/>
      <c r="F212" s="265"/>
      <c r="G212" s="308"/>
    </row>
    <row r="213" spans="1:7" ht="18" x14ac:dyDescent="0.25">
      <c r="A213" s="263"/>
      <c r="B213" s="264"/>
      <c r="C213" s="264"/>
      <c r="D213" s="264"/>
      <c r="E213" s="264"/>
      <c r="F213" s="265"/>
      <c r="G213" s="308"/>
    </row>
    <row r="214" spans="1:7" ht="18" x14ac:dyDescent="0.25">
      <c r="A214" s="263"/>
      <c r="B214" s="264"/>
      <c r="C214" s="264"/>
      <c r="D214" s="264"/>
      <c r="E214" s="264"/>
      <c r="F214" s="265"/>
      <c r="G214" s="308"/>
    </row>
    <row r="215" spans="1:7" ht="18" x14ac:dyDescent="0.25">
      <c r="A215" s="263"/>
      <c r="B215" s="264"/>
      <c r="C215" s="264"/>
      <c r="D215" s="264"/>
      <c r="E215" s="264"/>
      <c r="F215" s="265"/>
      <c r="G215" s="308"/>
    </row>
    <row r="216" spans="1:7" ht="18" x14ac:dyDescent="0.25">
      <c r="A216" s="263"/>
      <c r="B216" s="264"/>
      <c r="C216" s="264"/>
      <c r="D216" s="264"/>
      <c r="E216" s="264"/>
      <c r="F216" s="265"/>
      <c r="G216" s="308"/>
    </row>
    <row r="217" spans="1:7" ht="18" x14ac:dyDescent="0.25">
      <c r="A217" s="263"/>
      <c r="B217" s="264"/>
      <c r="C217" s="264"/>
      <c r="D217" s="264"/>
      <c r="E217" s="264"/>
      <c r="F217" s="265"/>
      <c r="G217" s="308"/>
    </row>
    <row r="218" spans="1:7" ht="18" x14ac:dyDescent="0.25">
      <c r="A218" s="263"/>
      <c r="B218" s="264"/>
      <c r="C218" s="264"/>
      <c r="D218" s="264"/>
      <c r="E218" s="264"/>
      <c r="F218" s="265"/>
      <c r="G218" s="308"/>
    </row>
    <row r="219" spans="1:7" ht="18" x14ac:dyDescent="0.25">
      <c r="A219" s="263"/>
      <c r="B219" s="264"/>
      <c r="C219" s="264"/>
      <c r="D219" s="264"/>
      <c r="E219" s="264"/>
      <c r="F219" s="265"/>
      <c r="G219" s="308"/>
    </row>
    <row r="220" spans="1:7" ht="18" x14ac:dyDescent="0.25">
      <c r="A220" s="263"/>
      <c r="B220" s="264"/>
      <c r="C220" s="264"/>
      <c r="D220" s="264"/>
      <c r="E220" s="264"/>
      <c r="F220" s="265"/>
      <c r="G220" s="308"/>
    </row>
    <row r="221" spans="1:7" ht="18" x14ac:dyDescent="0.25">
      <c r="A221" s="263"/>
      <c r="B221" s="264"/>
      <c r="C221" s="264"/>
      <c r="D221" s="264"/>
      <c r="E221" s="264"/>
      <c r="F221" s="265"/>
      <c r="G221" s="308"/>
    </row>
    <row r="222" spans="1:7" ht="18" x14ac:dyDescent="0.25">
      <c r="A222" s="263"/>
      <c r="B222" s="264"/>
      <c r="C222" s="264"/>
      <c r="D222" s="264"/>
      <c r="E222" s="264"/>
      <c r="F222" s="265"/>
      <c r="G222" s="308"/>
    </row>
    <row r="223" spans="1:7" ht="18" x14ac:dyDescent="0.25">
      <c r="A223" s="263"/>
      <c r="B223" s="264"/>
      <c r="C223" s="264"/>
      <c r="D223" s="264"/>
      <c r="E223" s="264"/>
      <c r="F223" s="265"/>
      <c r="G223" s="308"/>
    </row>
    <row r="224" spans="1:7" ht="18" x14ac:dyDescent="0.25">
      <c r="A224" s="263"/>
      <c r="B224" s="264"/>
      <c r="C224" s="264"/>
      <c r="D224" s="264"/>
      <c r="E224" s="264"/>
      <c r="F224" s="265"/>
      <c r="G224" s="308"/>
    </row>
    <row r="225" spans="1:7" ht="18" x14ac:dyDescent="0.25">
      <c r="A225" s="263"/>
      <c r="B225" s="264"/>
      <c r="C225" s="264"/>
      <c r="D225" s="264"/>
      <c r="E225" s="264"/>
      <c r="F225" s="265"/>
      <c r="G225" s="308"/>
    </row>
    <row r="226" spans="1:7" ht="18" x14ac:dyDescent="0.25">
      <c r="A226" s="263"/>
      <c r="B226" s="264"/>
      <c r="C226" s="264"/>
      <c r="D226" s="264"/>
      <c r="E226" s="264"/>
      <c r="F226" s="265"/>
      <c r="G226" s="308"/>
    </row>
    <row r="227" spans="1:7" ht="18" x14ac:dyDescent="0.25">
      <c r="A227" s="263"/>
      <c r="B227" s="264"/>
      <c r="C227" s="264"/>
      <c r="D227" s="264"/>
      <c r="E227" s="264"/>
      <c r="F227" s="265"/>
      <c r="G227" s="308"/>
    </row>
    <row r="228" spans="1:7" ht="18" x14ac:dyDescent="0.25">
      <c r="A228" s="263"/>
      <c r="B228" s="264"/>
      <c r="C228" s="264"/>
      <c r="D228" s="264"/>
      <c r="E228" s="264"/>
      <c r="F228" s="265"/>
      <c r="G228" s="308"/>
    </row>
    <row r="229" spans="1:7" ht="18" x14ac:dyDescent="0.25">
      <c r="A229" s="263"/>
      <c r="B229" s="264"/>
      <c r="C229" s="264"/>
      <c r="D229" s="264"/>
      <c r="E229" s="264"/>
      <c r="F229" s="265"/>
      <c r="G229" s="308"/>
    </row>
    <row r="230" spans="1:7" ht="18" x14ac:dyDescent="0.25">
      <c r="A230" s="263"/>
      <c r="B230" s="264"/>
      <c r="C230" s="264"/>
      <c r="D230" s="264"/>
      <c r="E230" s="264"/>
      <c r="F230" s="265"/>
      <c r="G230" s="308"/>
    </row>
    <row r="231" spans="1:7" ht="18" x14ac:dyDescent="0.25">
      <c r="A231" s="263"/>
      <c r="B231" s="264"/>
      <c r="C231" s="264"/>
      <c r="D231" s="264"/>
      <c r="E231" s="264"/>
      <c r="F231" s="265"/>
      <c r="G231" s="308"/>
    </row>
    <row r="232" spans="1:7" ht="18" x14ac:dyDescent="0.25">
      <c r="A232" s="263"/>
      <c r="B232" s="264"/>
      <c r="C232" s="264"/>
      <c r="D232" s="264"/>
      <c r="E232" s="264"/>
      <c r="F232" s="265"/>
      <c r="G232" s="308"/>
    </row>
    <row r="233" spans="1:7" ht="18" x14ac:dyDescent="0.25">
      <c r="A233" s="263"/>
      <c r="B233" s="264"/>
      <c r="C233" s="264"/>
      <c r="D233" s="264"/>
      <c r="E233" s="264"/>
      <c r="F233" s="265"/>
      <c r="G233" s="308"/>
    </row>
    <row r="234" spans="1:7" ht="18" x14ac:dyDescent="0.25">
      <c r="A234" s="263"/>
      <c r="B234" s="264"/>
      <c r="C234" s="264"/>
      <c r="D234" s="264"/>
      <c r="E234" s="264"/>
      <c r="F234" s="265"/>
      <c r="G234" s="308"/>
    </row>
    <row r="235" spans="1:7" ht="18" x14ac:dyDescent="0.25">
      <c r="A235" s="263"/>
      <c r="B235" s="264"/>
      <c r="C235" s="264"/>
      <c r="D235" s="264"/>
      <c r="E235" s="264"/>
      <c r="F235" s="265"/>
      <c r="G235" s="308"/>
    </row>
    <row r="236" spans="1:7" ht="18" x14ac:dyDescent="0.25">
      <c r="A236" s="263"/>
      <c r="B236" s="264"/>
      <c r="C236" s="264"/>
      <c r="D236" s="264"/>
      <c r="E236" s="264"/>
      <c r="F236" s="265"/>
      <c r="G236" s="308"/>
    </row>
    <row r="237" spans="1:7" ht="18" x14ac:dyDescent="0.25">
      <c r="A237" s="263"/>
      <c r="B237" s="264"/>
      <c r="C237" s="264"/>
      <c r="D237" s="264"/>
      <c r="E237" s="264"/>
      <c r="F237" s="265"/>
      <c r="G237" s="308"/>
    </row>
    <row r="238" spans="1:7" ht="18" x14ac:dyDescent="0.25">
      <c r="A238" s="263"/>
      <c r="B238" s="264"/>
      <c r="C238" s="264"/>
      <c r="D238" s="264"/>
      <c r="E238" s="264"/>
      <c r="F238" s="265"/>
      <c r="G238" s="308"/>
    </row>
    <row r="239" spans="1:7" ht="18" x14ac:dyDescent="0.25">
      <c r="A239" s="263"/>
      <c r="B239" s="264"/>
      <c r="C239" s="264"/>
      <c r="D239" s="264"/>
      <c r="E239" s="264"/>
      <c r="F239" s="265"/>
      <c r="G239" s="308"/>
    </row>
    <row r="240" spans="1:7" ht="18" x14ac:dyDescent="0.25">
      <c r="A240" s="263"/>
      <c r="B240" s="264"/>
      <c r="C240" s="264"/>
      <c r="D240" s="264"/>
      <c r="E240" s="264"/>
      <c r="F240" s="265"/>
      <c r="G240" s="308"/>
    </row>
    <row r="241" spans="1:7" ht="18" x14ac:dyDescent="0.25">
      <c r="A241" s="263"/>
      <c r="B241" s="264"/>
      <c r="C241" s="264"/>
      <c r="D241" s="264"/>
      <c r="E241" s="264"/>
      <c r="F241" s="265"/>
      <c r="G241" s="308"/>
    </row>
    <row r="242" spans="1:7" ht="18" x14ac:dyDescent="0.25">
      <c r="A242" s="263"/>
      <c r="B242" s="264"/>
      <c r="C242" s="264"/>
      <c r="D242" s="264"/>
      <c r="E242" s="264"/>
      <c r="F242" s="265"/>
      <c r="G242" s="308"/>
    </row>
    <row r="243" spans="1:7" ht="18" x14ac:dyDescent="0.25">
      <c r="A243" s="263"/>
      <c r="B243" s="264"/>
      <c r="C243" s="264"/>
      <c r="D243" s="264"/>
      <c r="E243" s="264"/>
      <c r="F243" s="265"/>
      <c r="G243" s="308"/>
    </row>
    <row r="244" spans="1:7" ht="18" x14ac:dyDescent="0.25">
      <c r="A244" s="263"/>
      <c r="B244" s="264"/>
      <c r="C244" s="264"/>
      <c r="D244" s="264"/>
      <c r="E244" s="264"/>
      <c r="F244" s="265"/>
      <c r="G244" s="308"/>
    </row>
    <row r="245" spans="1:7" ht="18" x14ac:dyDescent="0.25">
      <c r="A245" s="263"/>
      <c r="B245" s="264"/>
      <c r="C245" s="264"/>
      <c r="D245" s="264"/>
      <c r="E245" s="264"/>
      <c r="F245" s="265"/>
      <c r="G245" s="308"/>
    </row>
    <row r="246" spans="1:7" ht="18" x14ac:dyDescent="0.25">
      <c r="A246" s="263"/>
      <c r="B246" s="264"/>
      <c r="C246" s="264"/>
      <c r="D246" s="264"/>
      <c r="E246" s="264"/>
      <c r="F246" s="265"/>
      <c r="G246" s="308"/>
    </row>
    <row r="247" spans="1:7" ht="18" x14ac:dyDescent="0.25">
      <c r="A247" s="263"/>
      <c r="B247" s="264"/>
      <c r="C247" s="264"/>
      <c r="D247" s="264"/>
      <c r="E247" s="264"/>
      <c r="F247" s="265"/>
      <c r="G247" s="308"/>
    </row>
    <row r="248" spans="1:7" ht="18" x14ac:dyDescent="0.25">
      <c r="A248" s="263"/>
      <c r="B248" s="264"/>
      <c r="C248" s="264"/>
      <c r="D248" s="264"/>
      <c r="E248" s="264"/>
      <c r="F248" s="265"/>
      <c r="G248" s="308"/>
    </row>
    <row r="249" spans="1:7" ht="18" x14ac:dyDescent="0.25">
      <c r="A249" s="263"/>
      <c r="B249" s="264"/>
      <c r="C249" s="264"/>
      <c r="D249" s="264"/>
      <c r="E249" s="264"/>
      <c r="F249" s="265"/>
      <c r="G249" s="308"/>
    </row>
    <row r="250" spans="1:7" ht="18" x14ac:dyDescent="0.25">
      <c r="A250" s="263"/>
      <c r="B250" s="264"/>
      <c r="C250" s="264"/>
      <c r="D250" s="264"/>
      <c r="E250" s="264"/>
      <c r="F250" s="265"/>
      <c r="G250" s="308"/>
    </row>
    <row r="251" spans="1:7" ht="18" x14ac:dyDescent="0.25">
      <c r="A251" s="263"/>
      <c r="B251" s="264"/>
      <c r="C251" s="264"/>
      <c r="D251" s="264"/>
      <c r="E251" s="264"/>
      <c r="F251" s="265"/>
      <c r="G251" s="308"/>
    </row>
    <row r="252" spans="1:7" ht="18" x14ac:dyDescent="0.25">
      <c r="A252" s="263"/>
      <c r="B252" s="264"/>
      <c r="C252" s="264"/>
      <c r="D252" s="264"/>
      <c r="E252" s="264"/>
      <c r="F252" s="265"/>
      <c r="G252" s="308"/>
    </row>
    <row r="253" spans="1:7" ht="18" x14ac:dyDescent="0.25">
      <c r="A253" s="263"/>
      <c r="B253" s="264"/>
      <c r="C253" s="264"/>
      <c r="D253" s="264"/>
      <c r="E253" s="264"/>
      <c r="F253" s="265"/>
      <c r="G253" s="308"/>
    </row>
    <row r="254" spans="1:7" ht="18" x14ac:dyDescent="0.25">
      <c r="A254" s="263"/>
      <c r="B254" s="264"/>
      <c r="C254" s="264"/>
      <c r="D254" s="264"/>
      <c r="E254" s="264"/>
      <c r="F254" s="265"/>
      <c r="G254" s="308"/>
    </row>
    <row r="255" spans="1:7" ht="18" x14ac:dyDescent="0.25">
      <c r="A255" s="263"/>
      <c r="B255" s="264"/>
      <c r="C255" s="264"/>
      <c r="D255" s="264"/>
      <c r="E255" s="264"/>
      <c r="F255" s="265"/>
      <c r="G255" s="308"/>
    </row>
    <row r="256" spans="1:7" ht="18" x14ac:dyDescent="0.25">
      <c r="A256" s="263"/>
      <c r="B256" s="264"/>
      <c r="C256" s="264"/>
      <c r="D256" s="264"/>
      <c r="E256" s="264"/>
      <c r="F256" s="265"/>
      <c r="G256" s="308"/>
    </row>
    <row r="257" spans="1:7" ht="18" x14ac:dyDescent="0.25">
      <c r="A257" s="263"/>
      <c r="B257" s="264"/>
      <c r="C257" s="264"/>
      <c r="D257" s="264"/>
      <c r="E257" s="264"/>
      <c r="F257" s="265"/>
      <c r="G257" s="308"/>
    </row>
    <row r="258" spans="1:7" ht="18" x14ac:dyDescent="0.25">
      <c r="A258" s="263"/>
      <c r="B258" s="264"/>
      <c r="C258" s="264"/>
      <c r="D258" s="264"/>
      <c r="E258" s="264"/>
      <c r="F258" s="265"/>
      <c r="G258" s="308"/>
    </row>
    <row r="259" spans="1:7" ht="18" x14ac:dyDescent="0.25">
      <c r="A259" s="263"/>
      <c r="B259" s="264"/>
      <c r="C259" s="264"/>
      <c r="D259" s="264"/>
      <c r="E259" s="264"/>
      <c r="F259" s="265"/>
      <c r="G259" s="308"/>
    </row>
    <row r="260" spans="1:7" ht="18" x14ac:dyDescent="0.25">
      <c r="A260" s="263"/>
      <c r="B260" s="264"/>
      <c r="C260" s="264"/>
      <c r="D260" s="264"/>
      <c r="E260" s="264"/>
      <c r="F260" s="265"/>
      <c r="G260" s="308"/>
    </row>
    <row r="261" spans="1:7" ht="18" x14ac:dyDescent="0.25">
      <c r="A261" s="263"/>
      <c r="B261" s="264"/>
      <c r="C261" s="264"/>
      <c r="D261" s="264"/>
      <c r="E261" s="264"/>
      <c r="F261" s="265"/>
      <c r="G261" s="308"/>
    </row>
    <row r="262" spans="1:7" ht="18" x14ac:dyDescent="0.25">
      <c r="A262" s="263"/>
      <c r="B262" s="264"/>
      <c r="C262" s="264"/>
      <c r="D262" s="264"/>
      <c r="E262" s="264"/>
      <c r="F262" s="265"/>
      <c r="G262" s="308"/>
    </row>
    <row r="263" spans="1:7" ht="18" x14ac:dyDescent="0.25">
      <c r="A263" s="263"/>
      <c r="B263" s="264"/>
      <c r="C263" s="264"/>
      <c r="D263" s="264"/>
      <c r="E263" s="264"/>
      <c r="F263" s="265"/>
      <c r="G263" s="308"/>
    </row>
    <row r="264" spans="1:7" ht="18" x14ac:dyDescent="0.25">
      <c r="A264" s="263"/>
      <c r="B264" s="264"/>
      <c r="C264" s="264"/>
      <c r="D264" s="264"/>
      <c r="E264" s="264"/>
      <c r="F264" s="265"/>
      <c r="G264" s="308"/>
    </row>
    <row r="265" spans="1:7" ht="18" x14ac:dyDescent="0.25">
      <c r="A265" s="263"/>
      <c r="B265" s="264"/>
      <c r="C265" s="264"/>
      <c r="D265" s="264"/>
      <c r="E265" s="264"/>
      <c r="F265" s="265"/>
      <c r="G265" s="308"/>
    </row>
    <row r="266" spans="1:7" ht="18" x14ac:dyDescent="0.25">
      <c r="A266" s="263"/>
      <c r="B266" s="264"/>
      <c r="C266" s="264"/>
      <c r="D266" s="264"/>
      <c r="E266" s="264"/>
      <c r="F266" s="265"/>
      <c r="G266" s="308"/>
    </row>
    <row r="267" spans="1:7" ht="18" x14ac:dyDescent="0.25">
      <c r="A267" s="263"/>
      <c r="B267" s="264"/>
      <c r="C267" s="264"/>
      <c r="D267" s="264"/>
      <c r="E267" s="264"/>
      <c r="F267" s="265"/>
      <c r="G267" s="308"/>
    </row>
    <row r="268" spans="1:7" ht="18" x14ac:dyDescent="0.25">
      <c r="A268" s="263"/>
      <c r="B268" s="264"/>
      <c r="C268" s="264"/>
      <c r="D268" s="264"/>
      <c r="E268" s="264"/>
      <c r="F268" s="265"/>
      <c r="G268" s="308"/>
    </row>
    <row r="269" spans="1:7" ht="18" x14ac:dyDescent="0.25">
      <c r="A269" s="263"/>
      <c r="B269" s="264"/>
      <c r="C269" s="264"/>
      <c r="D269" s="264"/>
      <c r="E269" s="264"/>
      <c r="F269" s="265"/>
      <c r="G269" s="308"/>
    </row>
    <row r="270" spans="1:7" ht="18" x14ac:dyDescent="0.25">
      <c r="A270" s="263"/>
      <c r="B270" s="264"/>
      <c r="C270" s="264"/>
      <c r="D270" s="264"/>
      <c r="E270" s="264"/>
      <c r="F270" s="265"/>
      <c r="G270" s="308"/>
    </row>
    <row r="271" spans="1:7" ht="18" x14ac:dyDescent="0.25">
      <c r="A271" s="263"/>
      <c r="B271" s="264"/>
      <c r="C271" s="264"/>
      <c r="D271" s="264"/>
      <c r="E271" s="264"/>
      <c r="F271" s="265"/>
      <c r="G271" s="308"/>
    </row>
    <row r="272" spans="1:7" ht="18" x14ac:dyDescent="0.25">
      <c r="A272" s="263"/>
      <c r="B272" s="264"/>
      <c r="C272" s="264"/>
      <c r="D272" s="264"/>
      <c r="E272" s="264"/>
      <c r="F272" s="265"/>
      <c r="G272" s="308"/>
    </row>
    <row r="273" spans="1:7" ht="18" x14ac:dyDescent="0.25">
      <c r="A273" s="263"/>
      <c r="B273" s="264"/>
      <c r="C273" s="264"/>
      <c r="D273" s="264"/>
      <c r="E273" s="264"/>
      <c r="F273" s="265"/>
      <c r="G273" s="308"/>
    </row>
    <row r="274" spans="1:7" ht="18" x14ac:dyDescent="0.25">
      <c r="A274" s="263"/>
      <c r="B274" s="264"/>
      <c r="C274" s="264"/>
      <c r="D274" s="264"/>
      <c r="E274" s="264"/>
      <c r="F274" s="265"/>
      <c r="G274" s="308"/>
    </row>
    <row r="275" spans="1:7" ht="18" x14ac:dyDescent="0.25">
      <c r="A275" s="263"/>
      <c r="B275" s="264"/>
      <c r="C275" s="264"/>
      <c r="D275" s="264"/>
      <c r="E275" s="264"/>
      <c r="F275" s="265"/>
      <c r="G275" s="308"/>
    </row>
    <row r="276" spans="1:7" ht="18" x14ac:dyDescent="0.25">
      <c r="A276" s="263"/>
      <c r="B276" s="264"/>
      <c r="C276" s="264"/>
      <c r="D276" s="264"/>
      <c r="E276" s="264"/>
      <c r="F276" s="265"/>
      <c r="G276" s="308"/>
    </row>
    <row r="277" spans="1:7" ht="18" x14ac:dyDescent="0.25">
      <c r="A277" s="263"/>
      <c r="B277" s="264"/>
      <c r="C277" s="264"/>
      <c r="D277" s="264"/>
      <c r="E277" s="264"/>
      <c r="F277" s="265"/>
      <c r="G277" s="308"/>
    </row>
    <row r="278" spans="1:7" ht="18" x14ac:dyDescent="0.25">
      <c r="A278" s="263"/>
      <c r="B278" s="264"/>
      <c r="C278" s="264"/>
      <c r="D278" s="264"/>
      <c r="E278" s="264"/>
      <c r="F278" s="265"/>
      <c r="G278" s="308"/>
    </row>
    <row r="279" spans="1:7" ht="18" x14ac:dyDescent="0.25">
      <c r="A279" s="263"/>
      <c r="B279" s="264"/>
      <c r="C279" s="264"/>
      <c r="D279" s="264"/>
      <c r="E279" s="264"/>
      <c r="F279" s="265"/>
      <c r="G279" s="308"/>
    </row>
    <row r="280" spans="1:7" ht="18" x14ac:dyDescent="0.25">
      <c r="A280" s="263"/>
      <c r="B280" s="264"/>
      <c r="C280" s="264"/>
      <c r="D280" s="264"/>
      <c r="E280" s="264"/>
      <c r="F280" s="265"/>
      <c r="G280" s="308"/>
    </row>
    <row r="281" spans="1:7" ht="18" x14ac:dyDescent="0.25">
      <c r="A281" s="263"/>
      <c r="B281" s="264"/>
      <c r="C281" s="264"/>
      <c r="D281" s="264"/>
      <c r="E281" s="264"/>
      <c r="F281" s="265"/>
      <c r="G281" s="308"/>
    </row>
    <row r="282" spans="1:7" ht="18" x14ac:dyDescent="0.25">
      <c r="A282" s="263"/>
      <c r="B282" s="264"/>
      <c r="C282" s="264"/>
      <c r="D282" s="264"/>
      <c r="E282" s="264"/>
      <c r="F282" s="265"/>
      <c r="G282" s="308"/>
    </row>
    <row r="283" spans="1:7" ht="18" x14ac:dyDescent="0.25">
      <c r="A283" s="263"/>
      <c r="B283" s="264"/>
      <c r="C283" s="264"/>
      <c r="D283" s="264"/>
      <c r="E283" s="264"/>
      <c r="F283" s="265"/>
      <c r="G283" s="308"/>
    </row>
    <row r="284" spans="1:7" ht="18" x14ac:dyDescent="0.25">
      <c r="A284" s="263"/>
      <c r="B284" s="264"/>
      <c r="C284" s="264"/>
      <c r="D284" s="264"/>
      <c r="E284" s="264"/>
      <c r="F284" s="265"/>
      <c r="G284" s="308"/>
    </row>
    <row r="285" spans="1:7" ht="18" x14ac:dyDescent="0.25">
      <c r="A285" s="263"/>
      <c r="B285" s="264"/>
      <c r="C285" s="264"/>
      <c r="D285" s="264"/>
      <c r="E285" s="264"/>
      <c r="F285" s="265"/>
      <c r="G285" s="308"/>
    </row>
    <row r="286" spans="1:7" ht="18" x14ac:dyDescent="0.25">
      <c r="A286" s="263"/>
      <c r="B286" s="264"/>
      <c r="C286" s="264"/>
      <c r="D286" s="264"/>
      <c r="E286" s="264"/>
      <c r="F286" s="265"/>
      <c r="G286" s="308"/>
    </row>
    <row r="287" spans="1:7" ht="18" x14ac:dyDescent="0.25">
      <c r="A287" s="263"/>
      <c r="B287" s="264"/>
      <c r="C287" s="264"/>
      <c r="D287" s="264"/>
      <c r="E287" s="264"/>
      <c r="F287" s="265"/>
      <c r="G287" s="308"/>
    </row>
    <row r="288" spans="1:7" ht="18" x14ac:dyDescent="0.25">
      <c r="A288" s="263"/>
      <c r="B288" s="264"/>
      <c r="C288" s="264"/>
      <c r="D288" s="264"/>
      <c r="E288" s="264"/>
      <c r="F288" s="265"/>
      <c r="G288" s="308"/>
    </row>
    <row r="289" spans="1:7" ht="18" x14ac:dyDescent="0.25">
      <c r="A289" s="308"/>
      <c r="B289" s="309"/>
      <c r="C289" s="309"/>
      <c r="D289" s="309"/>
      <c r="E289" s="309"/>
      <c r="F289" s="310"/>
      <c r="G289" s="308"/>
    </row>
    <row r="290" spans="1:7" ht="18" x14ac:dyDescent="0.25">
      <c r="A290" s="308"/>
      <c r="B290" s="309"/>
      <c r="C290" s="309"/>
      <c r="D290" s="309"/>
      <c r="E290" s="309"/>
      <c r="F290" s="310"/>
      <c r="G290" s="308"/>
    </row>
    <row r="291" spans="1:7" ht="18" x14ac:dyDescent="0.25">
      <c r="A291" s="308"/>
      <c r="B291" s="309"/>
      <c r="C291" s="309"/>
      <c r="D291" s="309"/>
      <c r="E291" s="309"/>
      <c r="F291" s="310"/>
      <c r="G291" s="308"/>
    </row>
    <row r="292" spans="1:7" ht="18" x14ac:dyDescent="0.25">
      <c r="A292" s="308"/>
      <c r="B292" s="309"/>
      <c r="C292" s="309"/>
      <c r="D292" s="309"/>
      <c r="E292" s="309"/>
      <c r="F292" s="310"/>
      <c r="G292" s="308"/>
    </row>
    <row r="293" spans="1:7" ht="18" x14ac:dyDescent="0.25">
      <c r="A293" s="308"/>
      <c r="B293" s="309"/>
      <c r="C293" s="309"/>
      <c r="D293" s="309"/>
      <c r="E293" s="309"/>
      <c r="F293" s="310"/>
      <c r="G293" s="308"/>
    </row>
    <row r="294" spans="1:7" ht="18" x14ac:dyDescent="0.25">
      <c r="A294" s="308"/>
      <c r="B294" s="309"/>
      <c r="C294" s="309"/>
      <c r="D294" s="309"/>
      <c r="E294" s="309"/>
      <c r="F294" s="310"/>
      <c r="G294" s="308"/>
    </row>
    <row r="295" spans="1:7" ht="18" x14ac:dyDescent="0.25">
      <c r="A295" s="308"/>
      <c r="B295" s="309"/>
      <c r="C295" s="309"/>
      <c r="D295" s="309"/>
      <c r="E295" s="309"/>
      <c r="F295" s="310"/>
      <c r="G295" s="308"/>
    </row>
    <row r="296" spans="1:7" ht="18" x14ac:dyDescent="0.25">
      <c r="A296" s="308"/>
      <c r="B296" s="309"/>
      <c r="C296" s="309"/>
      <c r="D296" s="309"/>
      <c r="E296" s="309"/>
      <c r="F296" s="310"/>
      <c r="G296" s="308"/>
    </row>
    <row r="297" spans="1:7" ht="18" x14ac:dyDescent="0.25">
      <c r="A297" s="308"/>
      <c r="B297" s="309"/>
      <c r="C297" s="309"/>
      <c r="D297" s="309"/>
      <c r="E297" s="309"/>
      <c r="F297" s="310"/>
      <c r="G297" s="308"/>
    </row>
    <row r="298" spans="1:7" ht="18" x14ac:dyDescent="0.25">
      <c r="A298" s="308"/>
      <c r="B298" s="309"/>
      <c r="C298" s="309"/>
      <c r="D298" s="309"/>
      <c r="E298" s="309"/>
      <c r="F298" s="310"/>
      <c r="G298" s="308"/>
    </row>
    <row r="299" spans="1:7" ht="18" x14ac:dyDescent="0.25">
      <c r="A299" s="308"/>
      <c r="B299" s="309"/>
      <c r="C299" s="309"/>
      <c r="D299" s="309"/>
      <c r="E299" s="309"/>
      <c r="F299" s="310"/>
      <c r="G299" s="308"/>
    </row>
    <row r="300" spans="1:7" ht="18" x14ac:dyDescent="0.25">
      <c r="A300" s="308"/>
      <c r="B300" s="309"/>
      <c r="C300" s="309"/>
      <c r="D300" s="309"/>
      <c r="E300" s="309"/>
      <c r="F300" s="310"/>
      <c r="G300" s="308"/>
    </row>
    <row r="301" spans="1:7" ht="18" x14ac:dyDescent="0.25">
      <c r="A301" s="308"/>
      <c r="B301" s="309"/>
      <c r="C301" s="309"/>
      <c r="D301" s="309"/>
      <c r="E301" s="309"/>
      <c r="F301" s="310"/>
      <c r="G301" s="308"/>
    </row>
    <row r="302" spans="1:7" ht="18" x14ac:dyDescent="0.25">
      <c r="A302" s="308"/>
      <c r="B302" s="309"/>
      <c r="C302" s="309"/>
      <c r="D302" s="309"/>
      <c r="E302" s="309"/>
      <c r="F302" s="310"/>
      <c r="G302" s="308"/>
    </row>
    <row r="303" spans="1:7" ht="18" x14ac:dyDescent="0.25">
      <c r="A303" s="308"/>
      <c r="B303" s="309"/>
      <c r="C303" s="309"/>
      <c r="D303" s="309"/>
      <c r="E303" s="309"/>
      <c r="F303" s="310"/>
      <c r="G303" s="308"/>
    </row>
    <row r="304" spans="1:7" ht="18" x14ac:dyDescent="0.25">
      <c r="A304" s="308"/>
      <c r="B304" s="309"/>
      <c r="C304" s="309"/>
      <c r="D304" s="309"/>
      <c r="E304" s="309"/>
      <c r="F304" s="310"/>
      <c r="G304" s="308"/>
    </row>
    <row r="305" spans="1:7" ht="18" x14ac:dyDescent="0.25">
      <c r="A305" s="308"/>
      <c r="B305" s="309"/>
      <c r="C305" s="309"/>
      <c r="D305" s="309"/>
      <c r="E305" s="309"/>
      <c r="F305" s="310"/>
      <c r="G305" s="308"/>
    </row>
    <row r="306" spans="1:7" ht="18" x14ac:dyDescent="0.25">
      <c r="A306" s="308"/>
      <c r="B306" s="309"/>
      <c r="C306" s="309"/>
      <c r="D306" s="309"/>
      <c r="E306" s="309"/>
      <c r="F306" s="310"/>
      <c r="G306" s="308"/>
    </row>
    <row r="307" spans="1:7" ht="18" x14ac:dyDescent="0.25">
      <c r="A307" s="308"/>
      <c r="B307" s="309"/>
      <c r="C307" s="309"/>
      <c r="D307" s="309"/>
      <c r="E307" s="309"/>
      <c r="F307" s="310"/>
      <c r="G307" s="308"/>
    </row>
    <row r="308" spans="1:7" ht="18" x14ac:dyDescent="0.25">
      <c r="A308" s="308"/>
      <c r="B308" s="309"/>
      <c r="C308" s="309"/>
      <c r="D308" s="309"/>
      <c r="E308" s="309"/>
      <c r="F308" s="310"/>
      <c r="G308" s="308"/>
    </row>
    <row r="309" spans="1:7" ht="18" x14ac:dyDescent="0.25">
      <c r="A309" s="308"/>
      <c r="B309" s="309"/>
      <c r="C309" s="309"/>
      <c r="D309" s="309"/>
      <c r="E309" s="309"/>
      <c r="F309" s="310"/>
      <c r="G309" s="308"/>
    </row>
    <row r="310" spans="1:7" ht="18" x14ac:dyDescent="0.25">
      <c r="A310" s="308"/>
      <c r="B310" s="309"/>
      <c r="C310" s="309"/>
      <c r="D310" s="309"/>
      <c r="E310" s="309"/>
      <c r="F310" s="310"/>
      <c r="G310" s="308"/>
    </row>
  </sheetData>
  <sortState xmlns:xlrd2="http://schemas.microsoft.com/office/spreadsheetml/2017/richdata2" ref="A3:H91">
    <sortCondition ref="B3:B9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30"/>
  <sheetViews>
    <sheetView workbookViewId="0">
      <pane ySplit="1" topLeftCell="A2" activePane="bottomLeft" state="frozen"/>
      <selection activeCell="C26" sqref="C26"/>
      <selection pane="bottomLeft" activeCell="F2" sqref="F2:F22"/>
    </sheetView>
  </sheetViews>
  <sheetFormatPr defaultRowHeight="15" x14ac:dyDescent="0.25"/>
  <cols>
    <col min="1" max="1" width="63.42578125" bestFit="1" customWidth="1"/>
    <col min="2" max="2" width="15.42578125" bestFit="1" customWidth="1"/>
    <col min="3" max="3" width="20.42578125" style="146" bestFit="1" customWidth="1"/>
    <col min="4" max="4" width="20.140625" bestFit="1" customWidth="1"/>
    <col min="5" max="5" width="12.42578125" bestFit="1" customWidth="1"/>
    <col min="6" max="6" width="10" bestFit="1" customWidth="1"/>
    <col min="7" max="7" width="11.42578125" bestFit="1" customWidth="1"/>
    <col min="8" max="8" width="16.85546875" bestFit="1" customWidth="1"/>
  </cols>
  <sheetData>
    <row r="1" spans="1:8" ht="15.75" x14ac:dyDescent="0.25">
      <c r="A1" s="91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91" t="s">
        <v>412</v>
      </c>
      <c r="G1" s="441" t="s">
        <v>3368</v>
      </c>
      <c r="H1" s="418" t="s">
        <v>3369</v>
      </c>
    </row>
    <row r="2" spans="1:8" ht="15.75" x14ac:dyDescent="0.25">
      <c r="A2" s="213" t="s">
        <v>1266</v>
      </c>
      <c r="B2" s="111" t="s">
        <v>1987</v>
      </c>
      <c r="C2" s="430"/>
      <c r="D2" s="129"/>
      <c r="E2" s="129" t="s">
        <v>1920</v>
      </c>
      <c r="F2" s="28">
        <v>1</v>
      </c>
      <c r="G2" s="452"/>
      <c r="H2" s="428"/>
    </row>
    <row r="3" spans="1:8" ht="15.75" x14ac:dyDescent="0.25">
      <c r="A3" s="213" t="s">
        <v>17</v>
      </c>
      <c r="B3" s="111" t="s">
        <v>407</v>
      </c>
      <c r="C3" s="430"/>
      <c r="D3" s="129"/>
      <c r="E3" s="129" t="s">
        <v>1920</v>
      </c>
      <c r="F3" s="28">
        <v>1</v>
      </c>
      <c r="G3" s="452"/>
      <c r="H3" s="428"/>
    </row>
    <row r="4" spans="1:8" ht="15.75" x14ac:dyDescent="0.25">
      <c r="A4" s="213" t="s">
        <v>197</v>
      </c>
      <c r="B4" s="111" t="s">
        <v>645</v>
      </c>
      <c r="C4" s="430"/>
      <c r="D4" s="129"/>
      <c r="E4" s="129" t="s">
        <v>1920</v>
      </c>
      <c r="F4" s="28">
        <v>1</v>
      </c>
      <c r="G4" s="452"/>
      <c r="H4" s="428"/>
    </row>
    <row r="5" spans="1:8" ht="15.75" x14ac:dyDescent="0.25">
      <c r="A5" s="213" t="s">
        <v>16</v>
      </c>
      <c r="B5" s="111" t="s">
        <v>476</v>
      </c>
      <c r="C5" s="430"/>
      <c r="D5" s="129"/>
      <c r="E5" s="129" t="s">
        <v>1920</v>
      </c>
      <c r="F5" s="28">
        <v>1</v>
      </c>
      <c r="G5" s="452"/>
      <c r="H5" s="428"/>
    </row>
    <row r="6" spans="1:8" ht="15.75" x14ac:dyDescent="0.25">
      <c r="A6" s="213" t="s">
        <v>1192</v>
      </c>
      <c r="B6" s="111" t="s">
        <v>94</v>
      </c>
      <c r="C6" s="430"/>
      <c r="D6" s="129"/>
      <c r="E6" s="129" t="s">
        <v>1920</v>
      </c>
      <c r="F6" s="28">
        <v>1</v>
      </c>
      <c r="G6" s="452"/>
      <c r="H6" s="428"/>
    </row>
    <row r="7" spans="1:8" ht="15.75" x14ac:dyDescent="0.25">
      <c r="A7" s="213" t="s">
        <v>1304</v>
      </c>
      <c r="B7" s="111" t="s">
        <v>608</v>
      </c>
      <c r="C7" s="430"/>
      <c r="D7" s="129"/>
      <c r="E7" s="129" t="s">
        <v>1920</v>
      </c>
      <c r="F7" s="28">
        <v>1</v>
      </c>
      <c r="G7" s="452"/>
      <c r="H7" s="428"/>
    </row>
    <row r="8" spans="1:8" ht="15.75" x14ac:dyDescent="0.25">
      <c r="A8" s="213" t="s">
        <v>6</v>
      </c>
      <c r="B8" s="111" t="s">
        <v>91</v>
      </c>
      <c r="C8" s="430"/>
      <c r="D8" s="129"/>
      <c r="E8" s="129" t="s">
        <v>1920</v>
      </c>
      <c r="F8" s="28">
        <v>1</v>
      </c>
      <c r="G8" s="452"/>
      <c r="H8" s="428"/>
    </row>
    <row r="9" spans="1:8" s="20" customFormat="1" ht="15.75" x14ac:dyDescent="0.25">
      <c r="A9" s="213" t="s">
        <v>1040</v>
      </c>
      <c r="B9" s="111" t="s">
        <v>274</v>
      </c>
      <c r="C9" s="430"/>
      <c r="D9" s="129"/>
      <c r="E9" s="129" t="s">
        <v>1920</v>
      </c>
      <c r="F9" s="28">
        <v>1</v>
      </c>
      <c r="G9" s="452"/>
      <c r="H9" s="428"/>
    </row>
    <row r="10" spans="1:8" s="20" customFormat="1" ht="15.75" x14ac:dyDescent="0.25">
      <c r="A10" s="213" t="s">
        <v>1416</v>
      </c>
      <c r="B10" s="111" t="s">
        <v>550</v>
      </c>
      <c r="C10" s="430"/>
      <c r="D10" s="129"/>
      <c r="E10" s="129" t="s">
        <v>1920</v>
      </c>
      <c r="F10" s="28">
        <v>1</v>
      </c>
      <c r="G10" s="452"/>
      <c r="H10" s="428"/>
    </row>
    <row r="11" spans="1:8" ht="15.75" x14ac:dyDescent="0.25">
      <c r="A11" s="213" t="s">
        <v>1125</v>
      </c>
      <c r="B11" s="111">
        <v>8130020</v>
      </c>
      <c r="C11" s="430"/>
      <c r="D11" s="129"/>
      <c r="E11" s="129" t="s">
        <v>1975</v>
      </c>
      <c r="F11" s="28">
        <v>2</v>
      </c>
      <c r="G11" s="452"/>
      <c r="H11" s="428"/>
    </row>
    <row r="12" spans="1:8" ht="15.75" x14ac:dyDescent="0.25">
      <c r="A12" s="213" t="s">
        <v>1127</v>
      </c>
      <c r="B12" s="111">
        <v>8130030</v>
      </c>
      <c r="C12" s="430"/>
      <c r="D12" s="129"/>
      <c r="E12" s="129" t="s">
        <v>1975</v>
      </c>
      <c r="F12" s="28">
        <v>3</v>
      </c>
      <c r="G12" s="452"/>
      <c r="H12" s="428"/>
    </row>
    <row r="13" spans="1:8" ht="15.75" x14ac:dyDescent="0.25">
      <c r="A13" s="213" t="s">
        <v>1216</v>
      </c>
      <c r="B13" s="111" t="s">
        <v>835</v>
      </c>
      <c r="C13" s="430"/>
      <c r="D13" s="129"/>
      <c r="E13" s="129" t="s">
        <v>1920</v>
      </c>
      <c r="F13" s="28">
        <v>1</v>
      </c>
      <c r="G13" s="452"/>
      <c r="H13" s="428"/>
    </row>
    <row r="14" spans="1:8" ht="15.75" x14ac:dyDescent="0.25">
      <c r="A14" s="213" t="s">
        <v>1164</v>
      </c>
      <c r="B14" s="111" t="s">
        <v>830</v>
      </c>
      <c r="C14" s="430"/>
      <c r="D14" s="129"/>
      <c r="E14" s="129" t="s">
        <v>1920</v>
      </c>
      <c r="F14" s="28">
        <v>1</v>
      </c>
      <c r="G14" s="452"/>
      <c r="H14" s="428"/>
    </row>
    <row r="15" spans="1:8" ht="15.75" x14ac:dyDescent="0.25">
      <c r="A15" s="213" t="s">
        <v>2133</v>
      </c>
      <c r="B15" s="111" t="s">
        <v>2910</v>
      </c>
      <c r="C15" s="430"/>
      <c r="D15" s="129"/>
      <c r="E15" s="129">
        <v>56654</v>
      </c>
      <c r="F15" s="28">
        <v>1</v>
      </c>
      <c r="G15" s="452"/>
      <c r="H15" s="428"/>
    </row>
    <row r="16" spans="1:8" ht="15.75" x14ac:dyDescent="0.25">
      <c r="A16" s="213" t="s">
        <v>105</v>
      </c>
      <c r="B16" s="111" t="s">
        <v>2118</v>
      </c>
      <c r="C16" s="430"/>
      <c r="D16" s="129"/>
      <c r="E16" s="129" t="s">
        <v>1975</v>
      </c>
      <c r="F16" s="28">
        <v>1</v>
      </c>
      <c r="G16" s="452"/>
      <c r="H16" s="428"/>
    </row>
    <row r="17" spans="1:8" ht="15.75" x14ac:dyDescent="0.25">
      <c r="A17" s="213" t="s">
        <v>1156</v>
      </c>
      <c r="B17" s="111" t="s">
        <v>2117</v>
      </c>
      <c r="C17" s="430"/>
      <c r="D17" s="129"/>
      <c r="E17" s="129" t="s">
        <v>1975</v>
      </c>
      <c r="F17" s="28">
        <v>2</v>
      </c>
      <c r="G17" s="452"/>
      <c r="H17" s="428"/>
    </row>
    <row r="18" spans="1:8" ht="15.75" x14ac:dyDescent="0.25">
      <c r="A18" s="213" t="s">
        <v>1085</v>
      </c>
      <c r="B18" s="111" t="s">
        <v>92</v>
      </c>
      <c r="C18" s="430"/>
      <c r="D18" s="129"/>
      <c r="E18" s="129" t="s">
        <v>1920</v>
      </c>
      <c r="F18" s="28">
        <v>1</v>
      </c>
      <c r="G18" s="452"/>
      <c r="H18" s="428"/>
    </row>
    <row r="19" spans="1:8" ht="15.75" x14ac:dyDescent="0.25">
      <c r="A19" s="213" t="s">
        <v>1235</v>
      </c>
      <c r="B19" s="111" t="s">
        <v>78</v>
      </c>
      <c r="C19" s="430"/>
      <c r="D19" s="129"/>
      <c r="E19" s="129" t="s">
        <v>1920</v>
      </c>
      <c r="F19" s="28">
        <v>1</v>
      </c>
      <c r="G19" s="452"/>
      <c r="H19" s="428"/>
    </row>
    <row r="20" spans="1:8" ht="15.75" x14ac:dyDescent="0.25">
      <c r="A20" s="213" t="s">
        <v>1237</v>
      </c>
      <c r="B20" s="111" t="s">
        <v>306</v>
      </c>
      <c r="C20" s="430"/>
      <c r="D20" s="129"/>
      <c r="E20" s="129" t="s">
        <v>1920</v>
      </c>
      <c r="F20" s="28">
        <v>1</v>
      </c>
      <c r="G20" s="452"/>
      <c r="H20" s="428"/>
    </row>
    <row r="21" spans="1:8" ht="15.75" x14ac:dyDescent="0.25">
      <c r="A21" s="213" t="s">
        <v>1036</v>
      </c>
      <c r="B21" s="111" t="s">
        <v>468</v>
      </c>
      <c r="C21" s="430"/>
      <c r="D21" s="129"/>
      <c r="E21" s="129" t="s">
        <v>1920</v>
      </c>
      <c r="F21" s="28">
        <v>1</v>
      </c>
      <c r="G21" s="452"/>
      <c r="H21" s="428"/>
    </row>
    <row r="22" spans="1:8" ht="15.75" x14ac:dyDescent="0.25">
      <c r="A22" s="213" t="s">
        <v>1124</v>
      </c>
      <c r="B22" s="111">
        <v>8130015</v>
      </c>
      <c r="C22" s="430"/>
      <c r="D22" s="129"/>
      <c r="E22" s="129" t="s">
        <v>1975</v>
      </c>
      <c r="F22" s="28">
        <v>1</v>
      </c>
      <c r="G22" s="452"/>
      <c r="H22" s="428"/>
    </row>
    <row r="27" spans="1:8" ht="18" x14ac:dyDescent="0.25">
      <c r="A27" s="422" t="s">
        <v>2738</v>
      </c>
      <c r="B27" s="425"/>
      <c r="C27" s="309"/>
      <c r="D27" s="3"/>
      <c r="E27" s="3"/>
      <c r="F27" s="3"/>
      <c r="G27" s="39"/>
    </row>
    <row r="28" spans="1:8" ht="18" x14ac:dyDescent="0.25">
      <c r="A28" s="422" t="s">
        <v>2978</v>
      </c>
      <c r="B28" s="425"/>
      <c r="C28" s="309"/>
      <c r="D28" s="3"/>
      <c r="E28" s="3"/>
      <c r="F28" s="3"/>
      <c r="G28" s="39"/>
    </row>
    <row r="29" spans="1:8" ht="18" x14ac:dyDescent="0.25">
      <c r="A29" s="423" t="s">
        <v>3287</v>
      </c>
      <c r="B29" s="456"/>
    </row>
    <row r="30" spans="1:8" ht="18" x14ac:dyDescent="0.25">
      <c r="A30" s="434" t="s">
        <v>3367</v>
      </c>
      <c r="B30" s="420"/>
    </row>
  </sheetData>
  <sortState xmlns:xlrd2="http://schemas.microsoft.com/office/spreadsheetml/2017/richdata2" ref="A2:H22">
    <sortCondition ref="B2:B22"/>
  </sortState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14"/>
  <sheetViews>
    <sheetView workbookViewId="0">
      <pane ySplit="1" topLeftCell="A2" activePane="bottomLeft" state="frozen"/>
      <selection activeCell="C26" sqref="C26"/>
      <selection pane="bottomLeft" activeCell="F2" sqref="F2:F8"/>
    </sheetView>
  </sheetViews>
  <sheetFormatPr defaultColWidth="56.5703125" defaultRowHeight="15" x14ac:dyDescent="0.25"/>
  <cols>
    <col min="1" max="1" width="48.5703125" bestFit="1" customWidth="1"/>
    <col min="2" max="2" width="14.5703125" bestFit="1" customWidth="1"/>
    <col min="3" max="3" width="20.42578125" style="307" bestFit="1" customWidth="1"/>
    <col min="4" max="4" width="20.140625" bestFit="1" customWidth="1"/>
    <col min="5" max="5" width="17.5703125" bestFit="1" customWidth="1"/>
    <col min="6" max="6" width="10" bestFit="1" customWidth="1"/>
    <col min="7" max="7" width="11.42578125" bestFit="1" customWidth="1"/>
    <col min="8" max="8" width="16.85546875" bestFit="1" customWidth="1"/>
  </cols>
  <sheetData>
    <row r="1" spans="1:8" ht="15.75" x14ac:dyDescent="0.25">
      <c r="A1" s="91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91" t="s">
        <v>412</v>
      </c>
      <c r="G1" s="441" t="s">
        <v>3368</v>
      </c>
      <c r="H1" s="418" t="s">
        <v>3369</v>
      </c>
    </row>
    <row r="2" spans="1:8" ht="15.75" x14ac:dyDescent="0.25">
      <c r="A2" s="213" t="s">
        <v>2538</v>
      </c>
      <c r="B2" s="111" t="s">
        <v>3091</v>
      </c>
      <c r="C2" s="457"/>
      <c r="D2" s="129"/>
      <c r="E2" s="129">
        <v>21325</v>
      </c>
      <c r="F2" s="28">
        <v>1</v>
      </c>
      <c r="G2" s="452"/>
      <c r="H2" s="428"/>
    </row>
    <row r="3" spans="1:8" ht="15.75" x14ac:dyDescent="0.25">
      <c r="A3" s="213" t="s">
        <v>2539</v>
      </c>
      <c r="B3" s="111" t="s">
        <v>3077</v>
      </c>
      <c r="C3" s="457"/>
      <c r="D3" s="129"/>
      <c r="E3" s="129" t="s">
        <v>2908</v>
      </c>
      <c r="F3" s="28">
        <v>1</v>
      </c>
      <c r="G3" s="452"/>
      <c r="H3" s="428"/>
    </row>
    <row r="4" spans="1:8" ht="15.75" x14ac:dyDescent="0.25">
      <c r="A4" s="213" t="s">
        <v>1681</v>
      </c>
      <c r="B4" s="111" t="s">
        <v>840</v>
      </c>
      <c r="C4" s="457"/>
      <c r="D4" s="129"/>
      <c r="E4" s="129" t="s">
        <v>1920</v>
      </c>
      <c r="F4" s="28">
        <v>1</v>
      </c>
      <c r="G4" s="452"/>
      <c r="H4" s="428"/>
    </row>
    <row r="5" spans="1:8" ht="15.75" x14ac:dyDescent="0.25">
      <c r="A5" s="213" t="s">
        <v>1160</v>
      </c>
      <c r="B5" s="111" t="s">
        <v>2751</v>
      </c>
      <c r="C5" s="457"/>
      <c r="D5" s="129"/>
      <c r="E5" s="129" t="s">
        <v>1920</v>
      </c>
      <c r="F5" s="28">
        <v>1</v>
      </c>
      <c r="G5" s="452"/>
      <c r="H5" s="428"/>
    </row>
    <row r="6" spans="1:8" s="20" customFormat="1" ht="15.75" x14ac:dyDescent="0.25">
      <c r="A6" s="213" t="s">
        <v>2133</v>
      </c>
      <c r="B6" s="111" t="s">
        <v>2909</v>
      </c>
      <c r="C6" s="457"/>
      <c r="D6" s="129"/>
      <c r="E6" s="129">
        <v>56654</v>
      </c>
      <c r="F6" s="28">
        <v>1</v>
      </c>
      <c r="G6" s="452"/>
      <c r="H6" s="428"/>
    </row>
    <row r="7" spans="1:8" s="20" customFormat="1" ht="15.75" x14ac:dyDescent="0.25">
      <c r="A7" s="213" t="s">
        <v>2541</v>
      </c>
      <c r="B7" s="252" t="s">
        <v>2540</v>
      </c>
      <c r="C7" s="457"/>
      <c r="D7" s="129"/>
      <c r="E7" s="129"/>
      <c r="F7" s="28">
        <v>1</v>
      </c>
      <c r="G7" s="457"/>
      <c r="H7" s="428"/>
    </row>
    <row r="8" spans="1:8" s="20" customFormat="1" ht="15.75" x14ac:dyDescent="0.25">
      <c r="A8" s="213" t="s">
        <v>14</v>
      </c>
      <c r="B8" s="111" t="s">
        <v>472</v>
      </c>
      <c r="C8" s="457"/>
      <c r="D8" s="129"/>
      <c r="E8" s="129" t="s">
        <v>1971</v>
      </c>
      <c r="F8" s="28">
        <v>2</v>
      </c>
      <c r="G8" s="452"/>
      <c r="H8" s="428"/>
    </row>
    <row r="11" spans="1:8" ht="18" x14ac:dyDescent="0.25">
      <c r="A11" s="422" t="s">
        <v>2526</v>
      </c>
      <c r="B11" s="425"/>
      <c r="C11" s="309"/>
      <c r="D11" s="3"/>
      <c r="E11" s="3"/>
      <c r="F11" s="3"/>
      <c r="G11" s="39"/>
    </row>
    <row r="12" spans="1:8" ht="18" x14ac:dyDescent="0.25">
      <c r="A12" s="422" t="s">
        <v>2977</v>
      </c>
      <c r="B12" s="425"/>
      <c r="C12" s="309"/>
      <c r="D12" s="3"/>
      <c r="E12" s="3"/>
      <c r="F12" s="3"/>
      <c r="G12" s="39"/>
    </row>
    <row r="13" spans="1:8" ht="18" x14ac:dyDescent="0.25">
      <c r="A13" s="423" t="s">
        <v>3286</v>
      </c>
      <c r="B13" s="456"/>
    </row>
    <row r="14" spans="1:8" ht="18" x14ac:dyDescent="0.25">
      <c r="A14" s="434" t="s">
        <v>3367</v>
      </c>
      <c r="B14" s="420"/>
      <c r="G14" s="20"/>
    </row>
  </sheetData>
  <sortState xmlns:xlrd2="http://schemas.microsoft.com/office/spreadsheetml/2017/richdata2" ref="A2:H20">
    <sortCondition ref="B2:B20"/>
  </sortState>
  <pageMargins left="0.7" right="0.7" top="0.75" bottom="0.75" header="0.3" footer="0.3"/>
  <pageSetup orientation="portrait" horizontalDpi="4294967295" verticalDpi="429496729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61"/>
  <sheetViews>
    <sheetView workbookViewId="0">
      <pane ySplit="1" topLeftCell="A24" activePane="bottomLeft" state="frozen"/>
      <selection activeCell="C26" sqref="C26"/>
      <selection pane="bottomLeft" activeCell="F2" sqref="F2:F55"/>
    </sheetView>
  </sheetViews>
  <sheetFormatPr defaultColWidth="9.140625" defaultRowHeight="15" x14ac:dyDescent="0.25"/>
  <cols>
    <col min="1" max="1" width="64" style="146" bestFit="1" customWidth="1"/>
    <col min="2" max="2" width="20" style="146" bestFit="1" customWidth="1"/>
    <col min="3" max="3" width="20.42578125" style="146" bestFit="1" customWidth="1"/>
    <col min="4" max="4" width="20.140625" style="146" bestFit="1" customWidth="1"/>
    <col min="5" max="5" width="12.42578125" style="146" bestFit="1" customWidth="1"/>
    <col min="6" max="6" width="10" style="146" bestFit="1" customWidth="1"/>
    <col min="7" max="7" width="11.42578125" style="146" bestFit="1" customWidth="1"/>
    <col min="8" max="8" width="16.85546875" style="146" bestFit="1" customWidth="1"/>
    <col min="9" max="16384" width="9.140625" style="146"/>
  </cols>
  <sheetData>
    <row r="1" spans="1:8" ht="15.75" x14ac:dyDescent="0.25">
      <c r="A1" s="91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91" t="s">
        <v>412</v>
      </c>
      <c r="G1" s="441" t="s">
        <v>3368</v>
      </c>
      <c r="H1" s="418" t="s">
        <v>3369</v>
      </c>
    </row>
    <row r="2" spans="1:8" ht="15.75" x14ac:dyDescent="0.25">
      <c r="A2" s="305" t="s">
        <v>4</v>
      </c>
      <c r="B2" s="252" t="s">
        <v>90</v>
      </c>
      <c r="C2" s="622"/>
      <c r="D2" s="252"/>
      <c r="E2" s="252" t="s">
        <v>1920</v>
      </c>
      <c r="F2" s="243">
        <v>1</v>
      </c>
      <c r="G2" s="452"/>
      <c r="H2" s="428"/>
    </row>
    <row r="3" spans="1:8" ht="15.75" x14ac:dyDescent="0.25">
      <c r="A3" s="305" t="s">
        <v>6</v>
      </c>
      <c r="B3" s="252" t="s">
        <v>91</v>
      </c>
      <c r="C3" s="622"/>
      <c r="D3" s="252"/>
      <c r="E3" s="252" t="s">
        <v>1920</v>
      </c>
      <c r="F3" s="243">
        <v>2</v>
      </c>
      <c r="G3" s="452"/>
      <c r="H3" s="428"/>
    </row>
    <row r="4" spans="1:8" ht="15.75" x14ac:dyDescent="0.25">
      <c r="A4" s="305" t="s">
        <v>1124</v>
      </c>
      <c r="B4" s="252">
        <v>8130015</v>
      </c>
      <c r="C4" s="622"/>
      <c r="D4" s="252"/>
      <c r="E4" s="252" t="s">
        <v>1920</v>
      </c>
      <c r="F4" s="243">
        <v>2</v>
      </c>
      <c r="G4" s="452"/>
      <c r="H4" s="428"/>
    </row>
    <row r="5" spans="1:8" ht="15.75" x14ac:dyDescent="0.25">
      <c r="A5" s="305" t="s">
        <v>1125</v>
      </c>
      <c r="B5" s="252">
        <v>8130020</v>
      </c>
      <c r="C5" s="622"/>
      <c r="D5" s="252"/>
      <c r="E5" s="252" t="s">
        <v>1975</v>
      </c>
      <c r="F5" s="243">
        <v>3</v>
      </c>
      <c r="G5" s="452"/>
      <c r="H5" s="428"/>
    </row>
    <row r="6" spans="1:8" ht="15.75" x14ac:dyDescent="0.25">
      <c r="A6" s="305" t="s">
        <v>1127</v>
      </c>
      <c r="B6" s="252">
        <v>8130030</v>
      </c>
      <c r="C6" s="622"/>
      <c r="D6" s="252"/>
      <c r="E6" s="252" t="s">
        <v>1975</v>
      </c>
      <c r="F6" s="243">
        <v>1</v>
      </c>
      <c r="G6" s="452"/>
      <c r="H6" s="428"/>
    </row>
    <row r="7" spans="1:8" ht="15.75" x14ac:dyDescent="0.25">
      <c r="A7" s="305" t="s">
        <v>1128</v>
      </c>
      <c r="B7" s="252">
        <v>8130040</v>
      </c>
      <c r="C7" s="622"/>
      <c r="D7" s="252"/>
      <c r="E7" s="252" t="s">
        <v>1920</v>
      </c>
      <c r="F7" s="243">
        <v>1</v>
      </c>
      <c r="G7" s="452"/>
      <c r="H7" s="428"/>
    </row>
    <row r="8" spans="1:8" s="251" customFormat="1" x14ac:dyDescent="0.2">
      <c r="A8" s="75" t="s">
        <v>2559</v>
      </c>
      <c r="B8" s="314" t="s">
        <v>2392</v>
      </c>
      <c r="C8" s="622"/>
      <c r="D8" s="314"/>
      <c r="E8" s="314">
        <v>55719</v>
      </c>
      <c r="F8" s="31">
        <v>1</v>
      </c>
      <c r="G8" s="454"/>
      <c r="H8" s="433"/>
    </row>
    <row r="9" spans="1:8" s="251" customFormat="1" x14ac:dyDescent="0.2">
      <c r="A9" s="75" t="s">
        <v>3191</v>
      </c>
      <c r="B9" s="314" t="s">
        <v>3089</v>
      </c>
      <c r="C9" s="622"/>
      <c r="D9" s="314"/>
      <c r="E9" s="314">
        <v>55719</v>
      </c>
      <c r="F9" s="31">
        <v>1</v>
      </c>
      <c r="G9" s="454"/>
      <c r="H9" s="433"/>
    </row>
    <row r="10" spans="1:8" s="251" customFormat="1" x14ac:dyDescent="0.2">
      <c r="A10" s="75" t="s">
        <v>1697</v>
      </c>
      <c r="B10" s="314" t="s">
        <v>3075</v>
      </c>
      <c r="C10" s="622"/>
      <c r="D10" s="314"/>
      <c r="E10" s="314" t="s">
        <v>1975</v>
      </c>
      <c r="F10" s="31">
        <v>1</v>
      </c>
      <c r="G10" s="454"/>
      <c r="H10" s="433"/>
    </row>
    <row r="11" spans="1:8" s="251" customFormat="1" x14ac:dyDescent="0.2">
      <c r="A11" s="75" t="s">
        <v>3093</v>
      </c>
      <c r="B11" s="314" t="s">
        <v>3094</v>
      </c>
      <c r="C11" s="622"/>
      <c r="D11" s="314"/>
      <c r="E11" s="314" t="s">
        <v>3095</v>
      </c>
      <c r="F11" s="31">
        <v>1</v>
      </c>
      <c r="G11" s="454"/>
      <c r="H11" s="433"/>
    </row>
    <row r="12" spans="1:8" ht="15.75" x14ac:dyDescent="0.25">
      <c r="A12" s="305" t="s">
        <v>10</v>
      </c>
      <c r="B12" s="252" t="s">
        <v>469</v>
      </c>
      <c r="C12" s="622"/>
      <c r="D12" s="252"/>
      <c r="E12" s="252" t="s">
        <v>1920</v>
      </c>
      <c r="F12" s="243">
        <v>1</v>
      </c>
      <c r="G12" s="452"/>
      <c r="H12" s="428"/>
    </row>
    <row r="13" spans="1:8" s="251" customFormat="1" x14ac:dyDescent="0.2">
      <c r="A13" s="305" t="s">
        <v>2919</v>
      </c>
      <c r="B13" s="252" t="s">
        <v>2918</v>
      </c>
      <c r="C13" s="622"/>
      <c r="D13" s="252"/>
      <c r="E13" s="252">
        <v>55719</v>
      </c>
      <c r="F13" s="243">
        <v>1</v>
      </c>
      <c r="G13" s="452"/>
      <c r="H13" s="433"/>
    </row>
    <row r="14" spans="1:8" ht="15.75" x14ac:dyDescent="0.25">
      <c r="A14" s="305" t="s">
        <v>11</v>
      </c>
      <c r="B14" s="252" t="s">
        <v>278</v>
      </c>
      <c r="C14" s="622"/>
      <c r="D14" s="252"/>
      <c r="E14" s="252" t="s">
        <v>1920</v>
      </c>
      <c r="F14" s="243">
        <v>1</v>
      </c>
      <c r="G14" s="452"/>
      <c r="H14" s="428"/>
    </row>
    <row r="15" spans="1:8" ht="15.75" x14ac:dyDescent="0.25">
      <c r="A15" s="305" t="s">
        <v>12</v>
      </c>
      <c r="B15" s="252" t="s">
        <v>171</v>
      </c>
      <c r="C15" s="622"/>
      <c r="D15" s="252"/>
      <c r="E15" s="252" t="s">
        <v>1920</v>
      </c>
      <c r="F15" s="243">
        <v>1</v>
      </c>
      <c r="G15" s="452"/>
      <c r="H15" s="428"/>
    </row>
    <row r="16" spans="1:8" ht="15.75" x14ac:dyDescent="0.25">
      <c r="A16" s="305" t="s">
        <v>13</v>
      </c>
      <c r="B16" s="252" t="s">
        <v>471</v>
      </c>
      <c r="C16" s="622"/>
      <c r="D16" s="252"/>
      <c r="E16" s="252" t="s">
        <v>1920</v>
      </c>
      <c r="F16" s="243">
        <v>1</v>
      </c>
      <c r="G16" s="452"/>
      <c r="H16" s="428"/>
    </row>
    <row r="17" spans="1:8" ht="15.75" x14ac:dyDescent="0.25">
      <c r="A17" s="305" t="s">
        <v>2133</v>
      </c>
      <c r="B17" s="252" t="s">
        <v>2909</v>
      </c>
      <c r="C17" s="622"/>
      <c r="D17" s="252"/>
      <c r="E17" s="252">
        <v>56654</v>
      </c>
      <c r="F17" s="243">
        <v>2</v>
      </c>
      <c r="G17" s="452"/>
      <c r="H17" s="428"/>
    </row>
    <row r="18" spans="1:8" ht="15.75" x14ac:dyDescent="0.25">
      <c r="A18" s="305" t="s">
        <v>14</v>
      </c>
      <c r="B18" s="252" t="s">
        <v>472</v>
      </c>
      <c r="C18" s="622"/>
      <c r="D18" s="252"/>
      <c r="E18" s="252" t="s">
        <v>1971</v>
      </c>
      <c r="F18" s="243">
        <v>2</v>
      </c>
      <c r="G18" s="452"/>
      <c r="H18" s="428"/>
    </row>
    <row r="19" spans="1:8" ht="15.75" x14ac:dyDescent="0.25">
      <c r="A19" s="305" t="s">
        <v>194</v>
      </c>
      <c r="B19" s="252" t="s">
        <v>2542</v>
      </c>
      <c r="C19" s="622"/>
      <c r="D19" s="252" t="s">
        <v>1729</v>
      </c>
      <c r="E19" s="252"/>
      <c r="F19" s="243">
        <v>1</v>
      </c>
      <c r="G19" s="452"/>
      <c r="H19" s="428"/>
    </row>
    <row r="20" spans="1:8" ht="15.75" x14ac:dyDescent="0.25">
      <c r="A20" s="305" t="s">
        <v>1085</v>
      </c>
      <c r="B20" s="252" t="s">
        <v>92</v>
      </c>
      <c r="C20" s="622"/>
      <c r="D20" s="252"/>
      <c r="E20" s="252" t="s">
        <v>1920</v>
      </c>
      <c r="F20" s="243">
        <v>1</v>
      </c>
      <c r="G20" s="452"/>
      <c r="H20" s="428"/>
    </row>
    <row r="21" spans="1:8" ht="15.75" x14ac:dyDescent="0.25">
      <c r="A21" s="305" t="s">
        <v>1192</v>
      </c>
      <c r="B21" s="252" t="s">
        <v>94</v>
      </c>
      <c r="C21" s="622"/>
      <c r="D21" s="252"/>
      <c r="E21" s="252" t="s">
        <v>1920</v>
      </c>
      <c r="F21" s="243">
        <v>1</v>
      </c>
      <c r="G21" s="452"/>
      <c r="H21" s="428"/>
    </row>
    <row r="22" spans="1:8" ht="15.75" x14ac:dyDescent="0.25">
      <c r="A22" s="305" t="s">
        <v>16</v>
      </c>
      <c r="B22" s="252" t="s">
        <v>476</v>
      </c>
      <c r="C22" s="622"/>
      <c r="D22" s="252"/>
      <c r="E22" s="252" t="s">
        <v>1920</v>
      </c>
      <c r="F22" s="243">
        <v>2</v>
      </c>
      <c r="G22" s="452"/>
      <c r="H22" s="428"/>
    </row>
    <row r="23" spans="1:8" ht="15.75" x14ac:dyDescent="0.25">
      <c r="A23" s="305" t="s">
        <v>105</v>
      </c>
      <c r="B23" s="252" t="s">
        <v>2118</v>
      </c>
      <c r="C23" s="622"/>
      <c r="D23" s="252"/>
      <c r="E23" s="252" t="s">
        <v>1975</v>
      </c>
      <c r="F23" s="243">
        <v>2</v>
      </c>
      <c r="G23" s="452"/>
      <c r="H23" s="428"/>
    </row>
    <row r="24" spans="1:8" ht="15.75" x14ac:dyDescent="0.25">
      <c r="A24" s="305" t="s">
        <v>1156</v>
      </c>
      <c r="B24" s="252" t="s">
        <v>2117</v>
      </c>
      <c r="C24" s="622"/>
      <c r="D24" s="252"/>
      <c r="E24" s="252" t="s">
        <v>1975</v>
      </c>
      <c r="F24" s="243">
        <v>3</v>
      </c>
      <c r="G24" s="452"/>
      <c r="H24" s="428"/>
    </row>
    <row r="25" spans="1:8" ht="15.75" x14ac:dyDescent="0.25">
      <c r="A25" s="305" t="s">
        <v>1634</v>
      </c>
      <c r="B25" s="252" t="s">
        <v>957</v>
      </c>
      <c r="C25" s="622"/>
      <c r="D25" s="252"/>
      <c r="E25" s="252" t="s">
        <v>1920</v>
      </c>
      <c r="F25" s="243">
        <v>1</v>
      </c>
      <c r="G25" s="452"/>
      <c r="H25" s="428"/>
    </row>
    <row r="26" spans="1:8" ht="15.75" x14ac:dyDescent="0.25">
      <c r="A26" s="305" t="s">
        <v>17</v>
      </c>
      <c r="B26" s="252" t="s">
        <v>407</v>
      </c>
      <c r="C26" s="622"/>
      <c r="D26" s="252"/>
      <c r="E26" s="252" t="s">
        <v>1920</v>
      </c>
      <c r="F26" s="243">
        <v>1</v>
      </c>
      <c r="G26" s="452"/>
      <c r="H26" s="428"/>
    </row>
    <row r="27" spans="1:8" ht="15.75" x14ac:dyDescent="0.25">
      <c r="A27" s="305" t="s">
        <v>1483</v>
      </c>
      <c r="B27" s="252" t="s">
        <v>2024</v>
      </c>
      <c r="C27" s="622"/>
      <c r="D27" s="252" t="s">
        <v>1875</v>
      </c>
      <c r="E27" s="252" t="s">
        <v>1948</v>
      </c>
      <c r="F27" s="243">
        <v>1</v>
      </c>
      <c r="G27" s="452"/>
      <c r="H27" s="428"/>
    </row>
    <row r="28" spans="1:8" ht="15.75" x14ac:dyDescent="0.25">
      <c r="A28" s="305" t="s">
        <v>1275</v>
      </c>
      <c r="B28" s="252" t="s">
        <v>478</v>
      </c>
      <c r="C28" s="622"/>
      <c r="D28" s="252"/>
      <c r="E28" s="252" t="s">
        <v>1920</v>
      </c>
      <c r="F28" s="243">
        <v>1</v>
      </c>
      <c r="G28" s="452"/>
      <c r="H28" s="428"/>
    </row>
    <row r="29" spans="1:8" ht="15.75" x14ac:dyDescent="0.25">
      <c r="A29" s="305" t="s">
        <v>1660</v>
      </c>
      <c r="B29" s="252" t="s">
        <v>51</v>
      </c>
      <c r="C29" s="622"/>
      <c r="D29" s="252"/>
      <c r="E29" s="252" t="s">
        <v>1920</v>
      </c>
      <c r="F29" s="243">
        <v>1</v>
      </c>
      <c r="G29" s="452"/>
      <c r="H29" s="428"/>
    </row>
    <row r="30" spans="1:8" ht="15.75" x14ac:dyDescent="0.25">
      <c r="A30" s="305" t="s">
        <v>459</v>
      </c>
      <c r="B30" s="252" t="s">
        <v>1823</v>
      </c>
      <c r="C30" s="622"/>
      <c r="D30" s="252"/>
      <c r="E30" s="252" t="s">
        <v>1920</v>
      </c>
      <c r="F30" s="243">
        <v>1</v>
      </c>
      <c r="G30" s="452"/>
      <c r="H30" s="428"/>
    </row>
    <row r="31" spans="1:8" ht="15.75" x14ac:dyDescent="0.25">
      <c r="A31" s="305" t="s">
        <v>1211</v>
      </c>
      <c r="B31" s="252" t="s">
        <v>1990</v>
      </c>
      <c r="C31" s="622"/>
      <c r="D31" s="252"/>
      <c r="E31" s="252" t="s">
        <v>1920</v>
      </c>
      <c r="F31" s="243">
        <v>1</v>
      </c>
      <c r="G31" s="452"/>
      <c r="H31" s="428"/>
    </row>
    <row r="32" spans="1:8" ht="15.75" x14ac:dyDescent="0.25">
      <c r="A32" s="305" t="s">
        <v>1040</v>
      </c>
      <c r="B32" s="252" t="s">
        <v>274</v>
      </c>
      <c r="C32" s="622"/>
      <c r="D32" s="252"/>
      <c r="E32" s="252" t="s">
        <v>1920</v>
      </c>
      <c r="F32" s="243">
        <v>1</v>
      </c>
      <c r="G32" s="452"/>
      <c r="H32" s="428"/>
    </row>
    <row r="33" spans="1:8" ht="15.75" x14ac:dyDescent="0.25">
      <c r="A33" s="305" t="s">
        <v>1216</v>
      </c>
      <c r="B33" s="252" t="s">
        <v>835</v>
      </c>
      <c r="C33" s="622"/>
      <c r="D33" s="252"/>
      <c r="E33" s="252" t="s">
        <v>1920</v>
      </c>
      <c r="F33" s="243">
        <v>1</v>
      </c>
      <c r="G33" s="452"/>
      <c r="H33" s="428"/>
    </row>
    <row r="34" spans="1:8" ht="15.75" x14ac:dyDescent="0.25">
      <c r="A34" s="305" t="s">
        <v>1286</v>
      </c>
      <c r="B34" s="252" t="s">
        <v>482</v>
      </c>
      <c r="C34" s="622"/>
      <c r="D34" s="252"/>
      <c r="E34" s="252" t="s">
        <v>1920</v>
      </c>
      <c r="F34" s="243">
        <v>1</v>
      </c>
      <c r="G34" s="452"/>
      <c r="H34" s="428"/>
    </row>
    <row r="35" spans="1:8" ht="15.75" x14ac:dyDescent="0.25">
      <c r="A35" s="305" t="s">
        <v>410</v>
      </c>
      <c r="B35" s="252" t="s">
        <v>411</v>
      </c>
      <c r="C35" s="622"/>
      <c r="D35" s="252"/>
      <c r="E35" s="252" t="s">
        <v>1920</v>
      </c>
      <c r="F35" s="243">
        <v>1</v>
      </c>
      <c r="G35" s="452"/>
      <c r="H35" s="428"/>
    </row>
    <row r="36" spans="1:8" ht="15.75" x14ac:dyDescent="0.25">
      <c r="A36" s="305" t="s">
        <v>20</v>
      </c>
      <c r="B36" s="252" t="s">
        <v>287</v>
      </c>
      <c r="C36" s="622"/>
      <c r="D36" s="252"/>
      <c r="E36" s="252" t="s">
        <v>1920</v>
      </c>
      <c r="F36" s="243">
        <v>1</v>
      </c>
      <c r="G36" s="452"/>
      <c r="H36" s="428"/>
    </row>
    <row r="37" spans="1:8" ht="15.75" x14ac:dyDescent="0.25">
      <c r="A37" s="305" t="s">
        <v>1087</v>
      </c>
      <c r="B37" s="252" t="s">
        <v>484</v>
      </c>
      <c r="C37" s="622"/>
      <c r="D37" s="252"/>
      <c r="E37" s="252" t="s">
        <v>1920</v>
      </c>
      <c r="F37" s="243">
        <v>1</v>
      </c>
      <c r="G37" s="452"/>
      <c r="H37" s="428"/>
    </row>
    <row r="38" spans="1:8" ht="15.75" x14ac:dyDescent="0.25">
      <c r="A38" s="305" t="s">
        <v>1088</v>
      </c>
      <c r="B38" s="252" t="s">
        <v>485</v>
      </c>
      <c r="C38" s="622"/>
      <c r="D38" s="252"/>
      <c r="E38" s="252" t="s">
        <v>1920</v>
      </c>
      <c r="F38" s="243">
        <v>1</v>
      </c>
      <c r="G38" s="452"/>
      <c r="H38" s="428"/>
    </row>
    <row r="39" spans="1:8" ht="15.75" x14ac:dyDescent="0.25">
      <c r="A39" s="305" t="s">
        <v>1089</v>
      </c>
      <c r="B39" s="252" t="s">
        <v>486</v>
      </c>
      <c r="C39" s="622"/>
      <c r="D39" s="252"/>
      <c r="E39" s="252" t="s">
        <v>1920</v>
      </c>
      <c r="F39" s="243">
        <v>1</v>
      </c>
      <c r="G39" s="452"/>
      <c r="H39" s="428"/>
    </row>
    <row r="40" spans="1:8" ht="15.75" x14ac:dyDescent="0.25">
      <c r="A40" s="305" t="s">
        <v>1337</v>
      </c>
      <c r="B40" s="252" t="s">
        <v>519</v>
      </c>
      <c r="C40" s="622"/>
      <c r="D40" s="252"/>
      <c r="E40" s="252" t="s">
        <v>1920</v>
      </c>
      <c r="F40" s="243">
        <v>1</v>
      </c>
      <c r="G40" s="452"/>
      <c r="H40" s="428"/>
    </row>
    <row r="41" spans="1:8" ht="15.75" x14ac:dyDescent="0.25">
      <c r="A41" s="305" t="s">
        <v>1985</v>
      </c>
      <c r="B41" s="252" t="s">
        <v>1986</v>
      </c>
      <c r="C41" s="622"/>
      <c r="D41" s="252"/>
      <c r="E41" s="252" t="s">
        <v>1920</v>
      </c>
      <c r="F41" s="243">
        <v>1</v>
      </c>
      <c r="G41" s="452"/>
      <c r="H41" s="428"/>
    </row>
    <row r="42" spans="1:8" ht="15.75" x14ac:dyDescent="0.25">
      <c r="A42" s="305" t="s">
        <v>36</v>
      </c>
      <c r="B42" s="252" t="s">
        <v>1828</v>
      </c>
      <c r="C42" s="622"/>
      <c r="D42" s="252"/>
      <c r="E42" s="252" t="s">
        <v>1920</v>
      </c>
      <c r="F42" s="243">
        <v>1</v>
      </c>
      <c r="G42" s="452"/>
      <c r="H42" s="428"/>
    </row>
    <row r="43" spans="1:8" ht="15.75" x14ac:dyDescent="0.25">
      <c r="A43" s="305" t="s">
        <v>39</v>
      </c>
      <c r="B43" s="252" t="s">
        <v>245</v>
      </c>
      <c r="C43" s="622"/>
      <c r="D43" s="252"/>
      <c r="E43" s="252" t="s">
        <v>1920</v>
      </c>
      <c r="F43" s="243">
        <v>1</v>
      </c>
      <c r="G43" s="452"/>
      <c r="H43" s="428"/>
    </row>
    <row r="44" spans="1:8" ht="15.75" x14ac:dyDescent="0.25">
      <c r="A44" s="305" t="s">
        <v>2897</v>
      </c>
      <c r="B44" s="252" t="s">
        <v>324</v>
      </c>
      <c r="C44" s="622"/>
      <c r="D44" s="252"/>
      <c r="E44" s="252" t="s">
        <v>1920</v>
      </c>
      <c r="F44" s="243">
        <v>1</v>
      </c>
      <c r="G44" s="452"/>
      <c r="H44" s="428"/>
    </row>
    <row r="45" spans="1:8" ht="15.75" x14ac:dyDescent="0.25">
      <c r="A45" s="305" t="s">
        <v>1181</v>
      </c>
      <c r="B45" s="252" t="s">
        <v>199</v>
      </c>
      <c r="C45" s="622"/>
      <c r="D45" s="252"/>
      <c r="E45" s="252" t="s">
        <v>1920</v>
      </c>
      <c r="F45" s="243">
        <v>1</v>
      </c>
      <c r="G45" s="452"/>
      <c r="H45" s="428"/>
    </row>
    <row r="46" spans="1:8" ht="15.75" x14ac:dyDescent="0.25">
      <c r="A46" s="305" t="s">
        <v>2230</v>
      </c>
      <c r="B46" s="252" t="s">
        <v>325</v>
      </c>
      <c r="C46" s="622"/>
      <c r="D46" s="252"/>
      <c r="E46" s="252" t="s">
        <v>1920</v>
      </c>
      <c r="F46" s="243">
        <v>1</v>
      </c>
      <c r="G46" s="452"/>
      <c r="H46" s="428"/>
    </row>
    <row r="47" spans="1:8" ht="15.75" x14ac:dyDescent="0.25">
      <c r="A47" s="305" t="s">
        <v>1054</v>
      </c>
      <c r="B47" s="252" t="s">
        <v>326</v>
      </c>
      <c r="C47" s="622"/>
      <c r="D47" s="252"/>
      <c r="E47" s="252" t="s">
        <v>1920</v>
      </c>
      <c r="F47" s="243">
        <v>1</v>
      </c>
      <c r="G47" s="452"/>
      <c r="H47" s="428"/>
    </row>
    <row r="48" spans="1:8" ht="15.75" x14ac:dyDescent="0.25">
      <c r="A48" s="305" t="s">
        <v>1184</v>
      </c>
      <c r="B48" s="252" t="s">
        <v>327</v>
      </c>
      <c r="C48" s="622"/>
      <c r="D48" s="252"/>
      <c r="E48" s="252" t="s">
        <v>1920</v>
      </c>
      <c r="F48" s="243">
        <v>1</v>
      </c>
      <c r="G48" s="452"/>
      <c r="H48" s="428"/>
    </row>
    <row r="49" spans="1:8" ht="15.75" x14ac:dyDescent="0.25">
      <c r="A49" s="305" t="s">
        <v>1187</v>
      </c>
      <c r="B49" s="252" t="s">
        <v>360</v>
      </c>
      <c r="C49" s="622"/>
      <c r="D49" s="252"/>
      <c r="E49" s="252" t="s">
        <v>1920</v>
      </c>
      <c r="F49" s="243">
        <v>1</v>
      </c>
      <c r="G49" s="452"/>
      <c r="H49" s="428"/>
    </row>
    <row r="50" spans="1:8" ht="15.75" x14ac:dyDescent="0.25">
      <c r="A50" s="305" t="s">
        <v>1189</v>
      </c>
      <c r="B50" s="252" t="s">
        <v>356</v>
      </c>
      <c r="C50" s="622"/>
      <c r="D50" s="252"/>
      <c r="E50" s="252" t="s">
        <v>1920</v>
      </c>
      <c r="F50" s="243">
        <v>1</v>
      </c>
      <c r="G50" s="452"/>
      <c r="H50" s="428"/>
    </row>
    <row r="51" spans="1:8" ht="15.75" x14ac:dyDescent="0.25">
      <c r="A51" s="305" t="s">
        <v>3250</v>
      </c>
      <c r="B51" s="252" t="s">
        <v>318</v>
      </c>
      <c r="C51" s="622"/>
      <c r="D51" s="252"/>
      <c r="E51" s="252" t="s">
        <v>1920</v>
      </c>
      <c r="F51" s="243">
        <v>1</v>
      </c>
      <c r="G51" s="452"/>
      <c r="H51" s="428"/>
    </row>
    <row r="52" spans="1:8" ht="15.75" x14ac:dyDescent="0.25">
      <c r="A52" s="305" t="s">
        <v>1258</v>
      </c>
      <c r="B52" s="252" t="s">
        <v>544</v>
      </c>
      <c r="C52" s="622"/>
      <c r="D52" s="252"/>
      <c r="E52" s="252" t="s">
        <v>1920</v>
      </c>
      <c r="F52" s="243">
        <v>1</v>
      </c>
      <c r="G52" s="452"/>
      <c r="H52" s="428"/>
    </row>
    <row r="53" spans="1:8" ht="15.75" x14ac:dyDescent="0.25">
      <c r="A53" s="305" t="s">
        <v>1191</v>
      </c>
      <c r="B53" s="252" t="s">
        <v>546</v>
      </c>
      <c r="C53" s="622"/>
      <c r="D53" s="252"/>
      <c r="E53" s="252" t="s">
        <v>1920</v>
      </c>
      <c r="F53" s="243">
        <v>1</v>
      </c>
      <c r="G53" s="452"/>
      <c r="H53" s="428"/>
    </row>
    <row r="54" spans="1:8" ht="15.75" x14ac:dyDescent="0.25">
      <c r="A54" s="305" t="s">
        <v>1284</v>
      </c>
      <c r="B54" s="252" t="s">
        <v>2848</v>
      </c>
      <c r="C54" s="622"/>
      <c r="D54" s="252"/>
      <c r="E54" s="252" t="s">
        <v>1928</v>
      </c>
      <c r="F54" s="243">
        <v>1</v>
      </c>
      <c r="G54" s="452"/>
      <c r="H54" s="428"/>
    </row>
    <row r="55" spans="1:8" ht="15.75" x14ac:dyDescent="0.25">
      <c r="A55" s="407" t="s">
        <v>1273</v>
      </c>
      <c r="B55" s="408" t="s">
        <v>993</v>
      </c>
      <c r="C55" s="622"/>
      <c r="D55" s="408"/>
      <c r="E55" s="408" t="s">
        <v>1938</v>
      </c>
      <c r="F55" s="409">
        <v>1</v>
      </c>
      <c r="G55" s="455" t="s">
        <v>2217</v>
      </c>
      <c r="H55" s="428"/>
    </row>
    <row r="58" spans="1:8" ht="18" x14ac:dyDescent="0.25">
      <c r="A58" s="422" t="s">
        <v>2515</v>
      </c>
      <c r="B58" s="425"/>
      <c r="C58" s="309"/>
      <c r="D58" s="309"/>
      <c r="E58" s="309"/>
      <c r="F58" s="309"/>
      <c r="G58" s="310"/>
    </row>
    <row r="59" spans="1:8" ht="18" x14ac:dyDescent="0.25">
      <c r="A59" s="422" t="s">
        <v>2975</v>
      </c>
      <c r="B59" s="425"/>
      <c r="C59" s="309"/>
      <c r="D59" s="309"/>
      <c r="E59" s="309"/>
      <c r="F59" s="309"/>
      <c r="G59" s="310"/>
    </row>
    <row r="60" spans="1:8" ht="18" x14ac:dyDescent="0.25">
      <c r="A60" s="449" t="s">
        <v>3285</v>
      </c>
      <c r="B60" s="450"/>
    </row>
    <row r="61" spans="1:8" ht="18" x14ac:dyDescent="0.25">
      <c r="A61" s="434" t="s">
        <v>3367</v>
      </c>
      <c r="B61" s="420"/>
    </row>
  </sheetData>
  <sortState xmlns:xlrd2="http://schemas.microsoft.com/office/spreadsheetml/2017/richdata2" ref="A2:H47">
    <sortCondition ref="A2:A47"/>
  </sortState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100"/>
  <sheetViews>
    <sheetView workbookViewId="0">
      <pane ySplit="1" topLeftCell="A63" activePane="bottomLeft" state="frozen"/>
      <selection activeCell="C26" sqref="C26"/>
      <selection pane="bottomLeft" activeCell="F2" sqref="F2:F94"/>
    </sheetView>
  </sheetViews>
  <sheetFormatPr defaultColWidth="9.140625" defaultRowHeight="15" x14ac:dyDescent="0.25"/>
  <cols>
    <col min="1" max="1" width="66.85546875" style="146" bestFit="1" customWidth="1"/>
    <col min="2" max="2" width="15.42578125" style="146" bestFit="1" customWidth="1"/>
    <col min="3" max="3" width="20.42578125" style="146" bestFit="1" customWidth="1"/>
    <col min="4" max="4" width="20.140625" style="146" bestFit="1" customWidth="1"/>
    <col min="5" max="5" width="12.42578125" style="146" bestFit="1" customWidth="1"/>
    <col min="6" max="6" width="10" style="146" bestFit="1" customWidth="1"/>
    <col min="7" max="7" width="11.42578125" style="146" bestFit="1" customWidth="1"/>
    <col min="8" max="8" width="16.85546875" style="146" bestFit="1" customWidth="1"/>
    <col min="9" max="16384" width="9.140625" style="146"/>
  </cols>
  <sheetData>
    <row r="1" spans="1:8" ht="15.75" x14ac:dyDescent="0.25">
      <c r="A1" s="91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97" t="s">
        <v>412</v>
      </c>
      <c r="G1" s="441" t="s">
        <v>3368</v>
      </c>
      <c r="H1" s="427" t="s">
        <v>3369</v>
      </c>
    </row>
    <row r="2" spans="1:8" ht="15.75" x14ac:dyDescent="0.25">
      <c r="A2" s="305" t="s">
        <v>1266</v>
      </c>
      <c r="B2" s="252" t="s">
        <v>1987</v>
      </c>
      <c r="C2" s="430"/>
      <c r="D2" s="252"/>
      <c r="E2" s="252" t="s">
        <v>1920</v>
      </c>
      <c r="F2" s="243">
        <v>1</v>
      </c>
      <c r="G2" s="452"/>
      <c r="H2" s="428"/>
    </row>
    <row r="3" spans="1:8" ht="15.75" x14ac:dyDescent="0.25">
      <c r="A3" s="305" t="s">
        <v>459</v>
      </c>
      <c r="B3" s="252" t="s">
        <v>1823</v>
      </c>
      <c r="C3" s="430"/>
      <c r="D3" s="252"/>
      <c r="E3" s="252" t="s">
        <v>1920</v>
      </c>
      <c r="F3" s="243">
        <v>1</v>
      </c>
      <c r="G3" s="452"/>
      <c r="H3" s="428"/>
    </row>
    <row r="4" spans="1:8" ht="15.75" x14ac:dyDescent="0.25">
      <c r="A4" s="305" t="s">
        <v>2091</v>
      </c>
      <c r="B4" s="252" t="s">
        <v>2090</v>
      </c>
      <c r="C4" s="430"/>
      <c r="D4" s="252"/>
      <c r="E4" s="252">
        <v>55719</v>
      </c>
      <c r="F4" s="243">
        <v>1</v>
      </c>
      <c r="G4" s="452"/>
      <c r="H4" s="428"/>
    </row>
    <row r="5" spans="1:8" ht="15.75" x14ac:dyDescent="0.25">
      <c r="A5" s="305" t="s">
        <v>17</v>
      </c>
      <c r="B5" s="252" t="s">
        <v>407</v>
      </c>
      <c r="C5" s="430"/>
      <c r="D5" s="252"/>
      <c r="E5" s="252" t="s">
        <v>1920</v>
      </c>
      <c r="F5" s="243">
        <v>1</v>
      </c>
      <c r="G5" s="452"/>
      <c r="H5" s="428"/>
    </row>
    <row r="6" spans="1:8" ht="15.75" x14ac:dyDescent="0.25">
      <c r="A6" s="305" t="s">
        <v>1660</v>
      </c>
      <c r="B6" s="252" t="s">
        <v>51</v>
      </c>
      <c r="C6" s="430"/>
      <c r="D6" s="252"/>
      <c r="E6" s="252" t="s">
        <v>1920</v>
      </c>
      <c r="F6" s="243">
        <v>2</v>
      </c>
      <c r="G6" s="452"/>
      <c r="H6" s="428"/>
    </row>
    <row r="7" spans="1:8" ht="15.75" x14ac:dyDescent="0.25">
      <c r="A7" s="305" t="s">
        <v>1661</v>
      </c>
      <c r="B7" s="252" t="s">
        <v>533</v>
      </c>
      <c r="C7" s="430"/>
      <c r="D7" s="252"/>
      <c r="E7" s="252" t="s">
        <v>1920</v>
      </c>
      <c r="F7" s="243">
        <v>1</v>
      </c>
      <c r="G7" s="452"/>
      <c r="H7" s="428"/>
    </row>
    <row r="8" spans="1:8" ht="15.75" x14ac:dyDescent="0.25">
      <c r="A8" s="305" t="s">
        <v>1047</v>
      </c>
      <c r="B8" s="252" t="s">
        <v>492</v>
      </c>
      <c r="C8" s="430"/>
      <c r="D8" s="252"/>
      <c r="E8" s="252" t="s">
        <v>1920</v>
      </c>
      <c r="F8" s="243">
        <v>1</v>
      </c>
      <c r="G8" s="452"/>
      <c r="H8" s="428"/>
    </row>
    <row r="9" spans="1:8" ht="15.75" x14ac:dyDescent="0.25">
      <c r="A9" s="305" t="s">
        <v>1049</v>
      </c>
      <c r="B9" s="252" t="s">
        <v>493</v>
      </c>
      <c r="C9" s="430"/>
      <c r="D9" s="252"/>
      <c r="E9" s="252" t="s">
        <v>1920</v>
      </c>
      <c r="F9" s="243">
        <v>1</v>
      </c>
      <c r="G9" s="452"/>
      <c r="H9" s="428"/>
    </row>
    <row r="10" spans="1:8" ht="15.75" x14ac:dyDescent="0.25">
      <c r="A10" s="305" t="s">
        <v>1048</v>
      </c>
      <c r="B10" s="252" t="s">
        <v>170</v>
      </c>
      <c r="C10" s="430"/>
      <c r="D10" s="252"/>
      <c r="E10" s="252" t="s">
        <v>1920</v>
      </c>
      <c r="F10" s="243">
        <v>1</v>
      </c>
      <c r="G10" s="452"/>
      <c r="H10" s="428"/>
    </row>
    <row r="11" spans="1:8" ht="15.75" x14ac:dyDescent="0.25">
      <c r="A11" s="305" t="s">
        <v>1050</v>
      </c>
      <c r="B11" s="252" t="s">
        <v>404</v>
      </c>
      <c r="C11" s="430"/>
      <c r="D11" s="252"/>
      <c r="E11" s="252" t="s">
        <v>1920</v>
      </c>
      <c r="F11" s="243">
        <v>1</v>
      </c>
      <c r="G11" s="452"/>
      <c r="H11" s="428"/>
    </row>
    <row r="12" spans="1:8" ht="15.75" x14ac:dyDescent="0.25">
      <c r="A12" s="305" t="s">
        <v>1193</v>
      </c>
      <c r="B12" s="252" t="s">
        <v>316</v>
      </c>
      <c r="C12" s="430"/>
      <c r="D12" s="252"/>
      <c r="E12" s="252" t="s">
        <v>1920</v>
      </c>
      <c r="F12" s="243">
        <v>1</v>
      </c>
      <c r="G12" s="452"/>
      <c r="H12" s="428"/>
    </row>
    <row r="13" spans="1:8" ht="15.75" x14ac:dyDescent="0.25">
      <c r="A13" s="305" t="s">
        <v>1194</v>
      </c>
      <c r="B13" s="252" t="s">
        <v>314</v>
      </c>
      <c r="C13" s="430"/>
      <c r="D13" s="252"/>
      <c r="E13" s="252" t="s">
        <v>1920</v>
      </c>
      <c r="F13" s="243">
        <v>1</v>
      </c>
      <c r="G13" s="452"/>
      <c r="H13" s="428"/>
    </row>
    <row r="14" spans="1:8" ht="15.75" x14ac:dyDescent="0.25">
      <c r="A14" s="305" t="s">
        <v>1051</v>
      </c>
      <c r="B14" s="252" t="s">
        <v>317</v>
      </c>
      <c r="C14" s="430"/>
      <c r="D14" s="252"/>
      <c r="E14" s="252" t="s">
        <v>1920</v>
      </c>
      <c r="F14" s="243">
        <v>1</v>
      </c>
      <c r="G14" s="452"/>
      <c r="H14" s="428"/>
    </row>
    <row r="15" spans="1:8" ht="15.75" x14ac:dyDescent="0.25">
      <c r="A15" s="305" t="s">
        <v>3243</v>
      </c>
      <c r="B15" s="252" t="s">
        <v>82</v>
      </c>
      <c r="C15" s="430"/>
      <c r="D15" s="252"/>
      <c r="E15" s="252" t="s">
        <v>1920</v>
      </c>
      <c r="F15" s="243">
        <v>2</v>
      </c>
      <c r="G15" s="452"/>
      <c r="H15" s="428"/>
    </row>
    <row r="16" spans="1:8" ht="15.75" x14ac:dyDescent="0.25">
      <c r="A16" s="305" t="s">
        <v>3244</v>
      </c>
      <c r="B16" s="252" t="s">
        <v>308</v>
      </c>
      <c r="C16" s="430"/>
      <c r="D16" s="252"/>
      <c r="E16" s="252" t="s">
        <v>1920</v>
      </c>
      <c r="F16" s="243">
        <v>1</v>
      </c>
      <c r="G16" s="452"/>
      <c r="H16" s="428"/>
    </row>
    <row r="17" spans="1:8" ht="15.75" x14ac:dyDescent="0.25">
      <c r="A17" s="305" t="s">
        <v>16</v>
      </c>
      <c r="B17" s="252" t="s">
        <v>476</v>
      </c>
      <c r="C17" s="430"/>
      <c r="D17" s="252"/>
      <c r="E17" s="252" t="s">
        <v>1920</v>
      </c>
      <c r="F17" s="243">
        <v>1</v>
      </c>
      <c r="G17" s="452"/>
      <c r="H17" s="428"/>
    </row>
    <row r="18" spans="1:8" ht="15.75" x14ac:dyDescent="0.25">
      <c r="A18" s="305" t="s">
        <v>1192</v>
      </c>
      <c r="B18" s="252" t="s">
        <v>94</v>
      </c>
      <c r="C18" s="430"/>
      <c r="D18" s="252"/>
      <c r="E18" s="252" t="s">
        <v>1920</v>
      </c>
      <c r="F18" s="243">
        <v>1</v>
      </c>
      <c r="G18" s="452"/>
      <c r="H18" s="428"/>
    </row>
    <row r="19" spans="1:8" ht="15.75" x14ac:dyDescent="0.25">
      <c r="A19" s="305" t="s">
        <v>1306</v>
      </c>
      <c r="B19" s="252" t="s">
        <v>53</v>
      </c>
      <c r="C19" s="430"/>
      <c r="D19" s="252"/>
      <c r="E19" s="252" t="s">
        <v>1920</v>
      </c>
      <c r="F19" s="243">
        <v>1</v>
      </c>
      <c r="G19" s="452"/>
      <c r="H19" s="428"/>
    </row>
    <row r="20" spans="1:8" ht="15.75" x14ac:dyDescent="0.25">
      <c r="A20" s="305" t="s">
        <v>1308</v>
      </c>
      <c r="B20" s="252" t="s">
        <v>172</v>
      </c>
      <c r="C20" s="430"/>
      <c r="D20" s="252"/>
      <c r="E20" s="252" t="s">
        <v>1920</v>
      </c>
      <c r="F20" s="243">
        <v>1</v>
      </c>
      <c r="G20" s="452"/>
      <c r="H20" s="428"/>
    </row>
    <row r="21" spans="1:8" ht="15.75" x14ac:dyDescent="0.25">
      <c r="A21" s="305" t="s">
        <v>1310</v>
      </c>
      <c r="B21" s="252" t="s">
        <v>542</v>
      </c>
      <c r="C21" s="430"/>
      <c r="D21" s="252"/>
      <c r="E21" s="252" t="s">
        <v>1920</v>
      </c>
      <c r="F21" s="243">
        <v>1</v>
      </c>
      <c r="G21" s="452"/>
      <c r="H21" s="428"/>
    </row>
    <row r="22" spans="1:8" ht="15.75" x14ac:dyDescent="0.25">
      <c r="A22" s="305" t="s">
        <v>1311</v>
      </c>
      <c r="B22" s="252" t="s">
        <v>69</v>
      </c>
      <c r="C22" s="430"/>
      <c r="D22" s="252"/>
      <c r="E22" s="252" t="s">
        <v>1920</v>
      </c>
      <c r="F22" s="243">
        <v>2</v>
      </c>
      <c r="G22" s="452"/>
      <c r="H22" s="428"/>
    </row>
    <row r="23" spans="1:8" ht="15.75" x14ac:dyDescent="0.25">
      <c r="A23" s="305" t="s">
        <v>1312</v>
      </c>
      <c r="B23" s="252" t="s">
        <v>543</v>
      </c>
      <c r="C23" s="430"/>
      <c r="D23" s="252"/>
      <c r="E23" s="252" t="s">
        <v>1920</v>
      </c>
      <c r="F23" s="243">
        <v>1</v>
      </c>
      <c r="G23" s="452"/>
      <c r="H23" s="428"/>
    </row>
    <row r="24" spans="1:8" ht="15.75" x14ac:dyDescent="0.25">
      <c r="A24" s="305" t="s">
        <v>1032</v>
      </c>
      <c r="B24" s="252" t="s">
        <v>413</v>
      </c>
      <c r="C24" s="430"/>
      <c r="D24" s="252"/>
      <c r="E24" s="252" t="s">
        <v>1920</v>
      </c>
      <c r="F24" s="243">
        <v>1</v>
      </c>
      <c r="G24" s="452"/>
      <c r="H24" s="428"/>
    </row>
    <row r="25" spans="1:8" ht="15.75" x14ac:dyDescent="0.25">
      <c r="A25" s="305" t="s">
        <v>36</v>
      </c>
      <c r="B25" s="252" t="s">
        <v>1828</v>
      </c>
      <c r="C25" s="430"/>
      <c r="D25" s="252"/>
      <c r="E25" s="252" t="s">
        <v>1920</v>
      </c>
      <c r="F25" s="243">
        <v>1</v>
      </c>
      <c r="G25" s="452"/>
      <c r="H25" s="428"/>
    </row>
    <row r="26" spans="1:8" ht="15.75" x14ac:dyDescent="0.25">
      <c r="A26" s="305" t="s">
        <v>39</v>
      </c>
      <c r="B26" s="252" t="s">
        <v>245</v>
      </c>
      <c r="C26" s="430"/>
      <c r="D26" s="252"/>
      <c r="E26" s="252" t="s">
        <v>1920</v>
      </c>
      <c r="F26" s="243">
        <v>1</v>
      </c>
      <c r="G26" s="452"/>
      <c r="H26" s="428"/>
    </row>
    <row r="27" spans="1:8" ht="15.75" x14ac:dyDescent="0.25">
      <c r="A27" s="305" t="s">
        <v>209</v>
      </c>
      <c r="B27" s="252" t="s">
        <v>210</v>
      </c>
      <c r="C27" s="430"/>
      <c r="D27" s="252"/>
      <c r="E27" s="252" t="s">
        <v>1920</v>
      </c>
      <c r="F27" s="243">
        <v>1</v>
      </c>
      <c r="G27" s="452"/>
      <c r="H27" s="428"/>
    </row>
    <row r="28" spans="1:8" ht="15.75" x14ac:dyDescent="0.25">
      <c r="A28" s="305" t="s">
        <v>11</v>
      </c>
      <c r="B28" s="252" t="s">
        <v>278</v>
      </c>
      <c r="C28" s="430"/>
      <c r="D28" s="252"/>
      <c r="E28" s="252" t="s">
        <v>1920</v>
      </c>
      <c r="F28" s="243">
        <v>1</v>
      </c>
      <c r="G28" s="452"/>
      <c r="H28" s="428"/>
    </row>
    <row r="29" spans="1:8" ht="15.75" x14ac:dyDescent="0.25">
      <c r="A29" s="305" t="s">
        <v>12</v>
      </c>
      <c r="B29" s="252" t="s">
        <v>171</v>
      </c>
      <c r="C29" s="430"/>
      <c r="D29" s="252"/>
      <c r="E29" s="252" t="s">
        <v>1920</v>
      </c>
      <c r="F29" s="243">
        <v>1</v>
      </c>
      <c r="G29" s="452"/>
      <c r="H29" s="428"/>
    </row>
    <row r="30" spans="1:8" ht="15.75" x14ac:dyDescent="0.25">
      <c r="A30" s="305" t="s">
        <v>5</v>
      </c>
      <c r="B30" s="252" t="s">
        <v>379</v>
      </c>
      <c r="C30" s="430"/>
      <c r="D30" s="252"/>
      <c r="E30" s="252" t="s">
        <v>1920</v>
      </c>
      <c r="F30" s="243">
        <v>1</v>
      </c>
      <c r="G30" s="452"/>
      <c r="H30" s="428"/>
    </row>
    <row r="31" spans="1:8" ht="15.75" x14ac:dyDescent="0.25">
      <c r="A31" s="305" t="s">
        <v>6</v>
      </c>
      <c r="B31" s="252" t="s">
        <v>91</v>
      </c>
      <c r="C31" s="430"/>
      <c r="D31" s="252"/>
      <c r="E31" s="252" t="s">
        <v>1920</v>
      </c>
      <c r="F31" s="243">
        <v>1</v>
      </c>
      <c r="G31" s="452"/>
      <c r="H31" s="428"/>
    </row>
    <row r="32" spans="1:8" ht="15.75" x14ac:dyDescent="0.25">
      <c r="A32" s="305" t="s">
        <v>1379</v>
      </c>
      <c r="B32" s="252" t="s">
        <v>63</v>
      </c>
      <c r="C32" s="430"/>
      <c r="D32" s="252"/>
      <c r="E32" s="252" t="s">
        <v>1920</v>
      </c>
      <c r="F32" s="243">
        <v>1</v>
      </c>
      <c r="G32" s="452"/>
      <c r="H32" s="428"/>
    </row>
    <row r="33" spans="1:8" ht="15.75" x14ac:dyDescent="0.25">
      <c r="A33" s="305" t="s">
        <v>1393</v>
      </c>
      <c r="B33" s="252" t="s">
        <v>653</v>
      </c>
      <c r="C33" s="430"/>
      <c r="D33" s="252"/>
      <c r="E33" s="252" t="s">
        <v>1920</v>
      </c>
      <c r="F33" s="243">
        <v>1</v>
      </c>
      <c r="G33" s="452"/>
      <c r="H33" s="428"/>
    </row>
    <row r="34" spans="1:8" ht="15.75" x14ac:dyDescent="0.25">
      <c r="A34" s="305" t="s">
        <v>1256</v>
      </c>
      <c r="B34" s="252" t="s">
        <v>321</v>
      </c>
      <c r="C34" s="430"/>
      <c r="D34" s="252"/>
      <c r="E34" s="252" t="s">
        <v>1920</v>
      </c>
      <c r="F34" s="243">
        <v>1</v>
      </c>
      <c r="G34" s="452"/>
      <c r="H34" s="428"/>
    </row>
    <row r="35" spans="1:8" ht="15.75" x14ac:dyDescent="0.25">
      <c r="A35" s="305" t="s">
        <v>1184</v>
      </c>
      <c r="B35" s="252" t="s">
        <v>327</v>
      </c>
      <c r="C35" s="430"/>
      <c r="D35" s="252"/>
      <c r="E35" s="252" t="s">
        <v>1920</v>
      </c>
      <c r="F35" s="243">
        <v>1</v>
      </c>
      <c r="G35" s="452"/>
      <c r="H35" s="428"/>
    </row>
    <row r="36" spans="1:8" ht="15.75" x14ac:dyDescent="0.25">
      <c r="A36" s="305" t="s">
        <v>1191</v>
      </c>
      <c r="B36" s="252" t="s">
        <v>546</v>
      </c>
      <c r="C36" s="430"/>
      <c r="D36" s="252"/>
      <c r="E36" s="252" t="s">
        <v>1920</v>
      </c>
      <c r="F36" s="243">
        <v>1</v>
      </c>
      <c r="G36" s="452"/>
      <c r="H36" s="428"/>
    </row>
    <row r="37" spans="1:8" ht="15.75" x14ac:dyDescent="0.25">
      <c r="A37" s="305" t="s">
        <v>1180</v>
      </c>
      <c r="B37" s="252" t="s">
        <v>359</v>
      </c>
      <c r="C37" s="430"/>
      <c r="D37" s="252"/>
      <c r="E37" s="252" t="s">
        <v>1920</v>
      </c>
      <c r="F37" s="243">
        <v>1</v>
      </c>
      <c r="G37" s="452"/>
      <c r="H37" s="428"/>
    </row>
    <row r="38" spans="1:8" ht="15.75" x14ac:dyDescent="0.25">
      <c r="A38" s="305" t="s">
        <v>1187</v>
      </c>
      <c r="B38" s="252" t="s">
        <v>360</v>
      </c>
      <c r="C38" s="430"/>
      <c r="D38" s="252"/>
      <c r="E38" s="252" t="s">
        <v>1920</v>
      </c>
      <c r="F38" s="243">
        <v>1</v>
      </c>
      <c r="G38" s="452"/>
      <c r="H38" s="428"/>
    </row>
    <row r="39" spans="1:8" ht="15.75" x14ac:dyDescent="0.25">
      <c r="A39" s="305" t="s">
        <v>1258</v>
      </c>
      <c r="B39" s="252" t="s">
        <v>544</v>
      </c>
      <c r="C39" s="430"/>
      <c r="D39" s="252"/>
      <c r="E39" s="252" t="s">
        <v>1920</v>
      </c>
      <c r="F39" s="243">
        <v>1</v>
      </c>
      <c r="G39" s="452"/>
      <c r="H39" s="428"/>
    </row>
    <row r="40" spans="1:8" ht="15.75" x14ac:dyDescent="0.25">
      <c r="A40" s="305" t="s">
        <v>1185</v>
      </c>
      <c r="B40" s="252" t="s">
        <v>330</v>
      </c>
      <c r="C40" s="430"/>
      <c r="D40" s="252"/>
      <c r="E40" s="252" t="s">
        <v>1920</v>
      </c>
      <c r="F40" s="243">
        <v>1</v>
      </c>
      <c r="G40" s="452"/>
      <c r="H40" s="428"/>
    </row>
    <row r="41" spans="1:8" ht="15.75" x14ac:dyDescent="0.25">
      <c r="A41" s="305" t="s">
        <v>1181</v>
      </c>
      <c r="B41" s="252" t="s">
        <v>199</v>
      </c>
      <c r="C41" s="430"/>
      <c r="D41" s="252"/>
      <c r="E41" s="252" t="s">
        <v>1920</v>
      </c>
      <c r="F41" s="243">
        <v>1</v>
      </c>
      <c r="G41" s="452"/>
      <c r="H41" s="428"/>
    </row>
    <row r="42" spans="1:8" ht="15.75" x14ac:dyDescent="0.25">
      <c r="A42" s="305" t="s">
        <v>1054</v>
      </c>
      <c r="B42" s="252" t="s">
        <v>326</v>
      </c>
      <c r="C42" s="430"/>
      <c r="D42" s="252"/>
      <c r="E42" s="252" t="s">
        <v>1920</v>
      </c>
      <c r="F42" s="243">
        <v>1</v>
      </c>
      <c r="G42" s="452"/>
      <c r="H42" s="428"/>
    </row>
    <row r="43" spans="1:8" ht="15.75" x14ac:dyDescent="0.25">
      <c r="A43" s="305" t="s">
        <v>2879</v>
      </c>
      <c r="B43" s="252" t="s">
        <v>329</v>
      </c>
      <c r="C43" s="430"/>
      <c r="D43" s="252"/>
      <c r="E43" s="252" t="s">
        <v>1920</v>
      </c>
      <c r="F43" s="243">
        <v>1</v>
      </c>
      <c r="G43" s="452"/>
      <c r="H43" s="428"/>
    </row>
    <row r="44" spans="1:8" ht="15.75" x14ac:dyDescent="0.25">
      <c r="A44" s="305" t="s">
        <v>2234</v>
      </c>
      <c r="B44" s="252" t="s">
        <v>119</v>
      </c>
      <c r="C44" s="430"/>
      <c r="D44" s="252"/>
      <c r="E44" s="252" t="s">
        <v>1920</v>
      </c>
      <c r="F44" s="243">
        <v>1</v>
      </c>
      <c r="G44" s="452"/>
      <c r="H44" s="428"/>
    </row>
    <row r="45" spans="1:8" ht="15.75" x14ac:dyDescent="0.25">
      <c r="A45" s="305" t="s">
        <v>2897</v>
      </c>
      <c r="B45" s="252" t="s">
        <v>324</v>
      </c>
      <c r="C45" s="430"/>
      <c r="D45" s="252"/>
      <c r="E45" s="252" t="s">
        <v>1920</v>
      </c>
      <c r="F45" s="243">
        <v>1</v>
      </c>
      <c r="G45" s="452"/>
      <c r="H45" s="428"/>
    </row>
    <row r="46" spans="1:8" ht="15.75" x14ac:dyDescent="0.25">
      <c r="A46" s="305" t="s">
        <v>1189</v>
      </c>
      <c r="B46" s="252" t="s">
        <v>356</v>
      </c>
      <c r="C46" s="430"/>
      <c r="D46" s="252"/>
      <c r="E46" s="252" t="s">
        <v>1920</v>
      </c>
      <c r="F46" s="243">
        <v>1</v>
      </c>
      <c r="G46" s="452"/>
      <c r="H46" s="428"/>
    </row>
    <row r="47" spans="1:8" ht="15.75" x14ac:dyDescent="0.25">
      <c r="A47" s="305" t="s">
        <v>1040</v>
      </c>
      <c r="B47" s="252" t="s">
        <v>274</v>
      </c>
      <c r="C47" s="430"/>
      <c r="D47" s="252"/>
      <c r="E47" s="252" t="s">
        <v>1920</v>
      </c>
      <c r="F47" s="243">
        <v>1</v>
      </c>
      <c r="G47" s="452"/>
      <c r="H47" s="428"/>
    </row>
    <row r="48" spans="1:8" ht="15.75" x14ac:dyDescent="0.25">
      <c r="A48" s="305" t="s">
        <v>1694</v>
      </c>
      <c r="B48" s="252" t="s">
        <v>528</v>
      </c>
      <c r="C48" s="430"/>
      <c r="D48" s="252"/>
      <c r="E48" s="252" t="s">
        <v>1920</v>
      </c>
      <c r="F48" s="243">
        <v>1</v>
      </c>
      <c r="G48" s="452"/>
      <c r="H48" s="428"/>
    </row>
    <row r="49" spans="1:8" ht="15.75" x14ac:dyDescent="0.25">
      <c r="A49" s="305" t="s">
        <v>1210</v>
      </c>
      <c r="B49" s="252" t="s">
        <v>475</v>
      </c>
      <c r="C49" s="430"/>
      <c r="D49" s="252"/>
      <c r="E49" s="252" t="s">
        <v>1920</v>
      </c>
      <c r="F49" s="243">
        <v>1</v>
      </c>
      <c r="G49" s="452"/>
      <c r="H49" s="428"/>
    </row>
    <row r="50" spans="1:8" ht="15.75" x14ac:dyDescent="0.25">
      <c r="A50" s="305" t="s">
        <v>1131</v>
      </c>
      <c r="B50" s="252" t="s">
        <v>582</v>
      </c>
      <c r="C50" s="430"/>
      <c r="D50" s="252"/>
      <c r="E50" s="252" t="s">
        <v>1920</v>
      </c>
      <c r="F50" s="243">
        <v>1</v>
      </c>
      <c r="G50" s="452"/>
      <c r="H50" s="428"/>
    </row>
    <row r="51" spans="1:8" ht="15.75" x14ac:dyDescent="0.25">
      <c r="A51" s="305" t="s">
        <v>2543</v>
      </c>
      <c r="B51" s="252" t="s">
        <v>2150</v>
      </c>
      <c r="C51" s="430"/>
      <c r="D51" s="252"/>
      <c r="E51" s="252" t="s">
        <v>1920</v>
      </c>
      <c r="F51" s="243">
        <v>1</v>
      </c>
      <c r="G51" s="452"/>
      <c r="H51" s="428"/>
    </row>
    <row r="52" spans="1:8" ht="15.75" x14ac:dyDescent="0.25">
      <c r="A52" s="305" t="s">
        <v>1124</v>
      </c>
      <c r="B52" s="252">
        <v>8130015</v>
      </c>
      <c r="C52" s="430"/>
      <c r="D52" s="252"/>
      <c r="E52" s="252" t="s">
        <v>1975</v>
      </c>
      <c r="F52" s="243">
        <v>2</v>
      </c>
      <c r="G52" s="452"/>
      <c r="H52" s="428"/>
    </row>
    <row r="53" spans="1:8" ht="15.75" x14ac:dyDescent="0.25">
      <c r="A53" s="305" t="s">
        <v>1125</v>
      </c>
      <c r="B53" s="252">
        <v>8130020</v>
      </c>
      <c r="C53" s="430"/>
      <c r="D53" s="252"/>
      <c r="E53" s="252" t="s">
        <v>1975</v>
      </c>
      <c r="F53" s="243">
        <v>2</v>
      </c>
      <c r="G53" s="452"/>
      <c r="H53" s="428"/>
    </row>
    <row r="54" spans="1:8" ht="15.75" x14ac:dyDescent="0.25">
      <c r="A54" s="305" t="s">
        <v>1127</v>
      </c>
      <c r="B54" s="252">
        <v>8130030</v>
      </c>
      <c r="C54" s="430"/>
      <c r="D54" s="252"/>
      <c r="E54" s="252" t="s">
        <v>1975</v>
      </c>
      <c r="F54" s="243">
        <v>1</v>
      </c>
      <c r="G54" s="452"/>
      <c r="H54" s="428"/>
    </row>
    <row r="55" spans="1:8" ht="15.75" x14ac:dyDescent="0.25">
      <c r="A55" s="305" t="s">
        <v>1128</v>
      </c>
      <c r="B55" s="252">
        <v>8130040</v>
      </c>
      <c r="C55" s="430"/>
      <c r="D55" s="252"/>
      <c r="E55" s="252" t="s">
        <v>1975</v>
      </c>
      <c r="F55" s="243">
        <v>1</v>
      </c>
      <c r="G55" s="452"/>
      <c r="H55" s="428"/>
    </row>
    <row r="56" spans="1:8" ht="15.75" x14ac:dyDescent="0.25">
      <c r="A56" s="305" t="s">
        <v>3115</v>
      </c>
      <c r="B56" s="252" t="s">
        <v>2226</v>
      </c>
      <c r="C56" s="430"/>
      <c r="D56" s="252"/>
      <c r="E56" s="252" t="s">
        <v>1920</v>
      </c>
      <c r="F56" s="243">
        <v>1</v>
      </c>
      <c r="G56" s="452"/>
      <c r="H56" s="428"/>
    </row>
    <row r="57" spans="1:8" ht="15.75" x14ac:dyDescent="0.25">
      <c r="A57" s="305" t="s">
        <v>23</v>
      </c>
      <c r="B57" s="252" t="s">
        <v>290</v>
      </c>
      <c r="C57" s="430"/>
      <c r="D57" s="252"/>
      <c r="E57" s="252" t="s">
        <v>1920</v>
      </c>
      <c r="F57" s="243">
        <v>1</v>
      </c>
      <c r="G57" s="452"/>
      <c r="H57" s="428"/>
    </row>
    <row r="58" spans="1:8" ht="15.75" x14ac:dyDescent="0.25">
      <c r="A58" s="305" t="s">
        <v>1253</v>
      </c>
      <c r="B58" s="252" t="s">
        <v>315</v>
      </c>
      <c r="C58" s="430"/>
      <c r="D58" s="252"/>
      <c r="E58" s="252" t="s">
        <v>1920</v>
      </c>
      <c r="F58" s="243">
        <v>1</v>
      </c>
      <c r="G58" s="452"/>
      <c r="H58" s="428"/>
    </row>
    <row r="59" spans="1:8" ht="15.75" x14ac:dyDescent="0.25">
      <c r="A59" s="305" t="s">
        <v>1216</v>
      </c>
      <c r="B59" s="252" t="s">
        <v>391</v>
      </c>
      <c r="C59" s="430"/>
      <c r="D59" s="252"/>
      <c r="E59" s="252" t="s">
        <v>1920</v>
      </c>
      <c r="F59" s="243">
        <v>1</v>
      </c>
      <c r="G59" s="452"/>
      <c r="H59" s="428"/>
    </row>
    <row r="60" spans="1:8" ht="15.75" x14ac:dyDescent="0.25">
      <c r="A60" s="305" t="s">
        <v>68</v>
      </c>
      <c r="B60" s="252" t="s">
        <v>536</v>
      </c>
      <c r="C60" s="430"/>
      <c r="D60" s="252"/>
      <c r="E60" s="252" t="s">
        <v>1920</v>
      </c>
      <c r="F60" s="243">
        <v>1</v>
      </c>
      <c r="G60" s="452"/>
      <c r="H60" s="428"/>
    </row>
    <row r="61" spans="1:8" ht="15.75" x14ac:dyDescent="0.25">
      <c r="A61" s="305" t="s">
        <v>410</v>
      </c>
      <c r="B61" s="252" t="s">
        <v>411</v>
      </c>
      <c r="C61" s="430"/>
      <c r="D61" s="252"/>
      <c r="E61" s="252" t="s">
        <v>1920</v>
      </c>
      <c r="F61" s="243">
        <v>1</v>
      </c>
      <c r="G61" s="452"/>
      <c r="H61" s="428"/>
    </row>
    <row r="62" spans="1:8" ht="15.75" x14ac:dyDescent="0.25">
      <c r="A62" s="305" t="s">
        <v>1286</v>
      </c>
      <c r="B62" s="252" t="s">
        <v>482</v>
      </c>
      <c r="C62" s="430"/>
      <c r="D62" s="252"/>
      <c r="E62" s="252" t="s">
        <v>1920</v>
      </c>
      <c r="F62" s="243">
        <v>1</v>
      </c>
      <c r="G62" s="452"/>
      <c r="H62" s="428"/>
    </row>
    <row r="63" spans="1:8" ht="15.75" x14ac:dyDescent="0.25">
      <c r="A63" s="305" t="s">
        <v>2133</v>
      </c>
      <c r="B63" s="252" t="s">
        <v>2909</v>
      </c>
      <c r="C63" s="430"/>
      <c r="D63" s="252" t="s">
        <v>2909</v>
      </c>
      <c r="E63" s="252">
        <v>56654</v>
      </c>
      <c r="F63" s="243">
        <v>1</v>
      </c>
      <c r="G63" s="452"/>
      <c r="H63" s="428"/>
    </row>
    <row r="64" spans="1:8" ht="15.75" x14ac:dyDescent="0.25">
      <c r="A64" s="305" t="s">
        <v>105</v>
      </c>
      <c r="B64" s="252" t="s">
        <v>2118</v>
      </c>
      <c r="C64" s="430"/>
      <c r="D64" s="252"/>
      <c r="E64" s="252" t="s">
        <v>1975</v>
      </c>
      <c r="F64" s="243">
        <v>2</v>
      </c>
      <c r="G64" s="452"/>
      <c r="H64" s="428"/>
    </row>
    <row r="65" spans="1:8" ht="15.75" x14ac:dyDescent="0.25">
      <c r="A65" s="305" t="s">
        <v>1156</v>
      </c>
      <c r="B65" s="252" t="s">
        <v>2117</v>
      </c>
      <c r="C65" s="430"/>
      <c r="D65" s="252"/>
      <c r="E65" s="252" t="s">
        <v>1975</v>
      </c>
      <c r="F65" s="243">
        <v>2</v>
      </c>
      <c r="G65" s="452"/>
      <c r="H65" s="428"/>
    </row>
    <row r="66" spans="1:8" ht="15.75" x14ac:dyDescent="0.25">
      <c r="A66" s="305" t="s">
        <v>1229</v>
      </c>
      <c r="B66" s="252" t="s">
        <v>303</v>
      </c>
      <c r="C66" s="430"/>
      <c r="D66" s="252"/>
      <c r="E66" s="252" t="s">
        <v>1920</v>
      </c>
      <c r="F66" s="243">
        <v>1</v>
      </c>
      <c r="G66" s="452"/>
      <c r="H66" s="428"/>
    </row>
    <row r="67" spans="1:8" ht="15.75" x14ac:dyDescent="0.25">
      <c r="A67" s="305" t="s">
        <v>8</v>
      </c>
      <c r="B67" s="252" t="s">
        <v>256</v>
      </c>
      <c r="C67" s="430"/>
      <c r="D67" s="252"/>
      <c r="E67" s="252" t="s">
        <v>1920</v>
      </c>
      <c r="F67" s="243">
        <v>1</v>
      </c>
      <c r="G67" s="452"/>
      <c r="H67" s="428"/>
    </row>
    <row r="68" spans="1:8" ht="15.75" x14ac:dyDescent="0.25">
      <c r="A68" s="305" t="s">
        <v>9</v>
      </c>
      <c r="B68" s="252" t="s">
        <v>375</v>
      </c>
      <c r="C68" s="430"/>
      <c r="D68" s="252"/>
      <c r="E68" s="252" t="s">
        <v>1920</v>
      </c>
      <c r="F68" s="243">
        <v>1</v>
      </c>
      <c r="G68" s="452"/>
      <c r="H68" s="428"/>
    </row>
    <row r="69" spans="1:8" ht="15.75" x14ac:dyDescent="0.25">
      <c r="A69" s="305" t="s">
        <v>1085</v>
      </c>
      <c r="B69" s="252" t="s">
        <v>92</v>
      </c>
      <c r="C69" s="430"/>
      <c r="D69" s="252"/>
      <c r="E69" s="252" t="s">
        <v>1920</v>
      </c>
      <c r="F69" s="243">
        <v>1</v>
      </c>
      <c r="G69" s="452"/>
      <c r="H69" s="428"/>
    </row>
    <row r="70" spans="1:8" ht="15.75" x14ac:dyDescent="0.25">
      <c r="A70" s="305" t="s">
        <v>4</v>
      </c>
      <c r="B70" s="252" t="s">
        <v>90</v>
      </c>
      <c r="C70" s="430"/>
      <c r="D70" s="252"/>
      <c r="E70" s="252" t="s">
        <v>1920</v>
      </c>
      <c r="F70" s="243">
        <v>1</v>
      </c>
      <c r="G70" s="452"/>
      <c r="H70" s="428"/>
    </row>
    <row r="71" spans="1:8" ht="15.75" x14ac:dyDescent="0.25">
      <c r="A71" s="305" t="s">
        <v>30</v>
      </c>
      <c r="B71" s="252" t="s">
        <v>1825</v>
      </c>
      <c r="C71" s="430"/>
      <c r="D71" s="252"/>
      <c r="E71" s="252" t="s">
        <v>1920</v>
      </c>
      <c r="F71" s="243">
        <v>1</v>
      </c>
      <c r="G71" s="452"/>
      <c r="H71" s="428"/>
    </row>
    <row r="72" spans="1:8" ht="15.75" x14ac:dyDescent="0.25">
      <c r="A72" s="305" t="s">
        <v>29</v>
      </c>
      <c r="B72" s="252" t="s">
        <v>2758</v>
      </c>
      <c r="C72" s="430"/>
      <c r="D72" s="252"/>
      <c r="E72" s="252" t="s">
        <v>1920</v>
      </c>
      <c r="F72" s="243">
        <v>1</v>
      </c>
      <c r="G72" s="452"/>
      <c r="H72" s="428"/>
    </row>
    <row r="73" spans="1:8" ht="15.75" x14ac:dyDescent="0.25">
      <c r="A73" s="305" t="s">
        <v>1336</v>
      </c>
      <c r="B73" s="252" t="s">
        <v>537</v>
      </c>
      <c r="C73" s="430"/>
      <c r="D73" s="252"/>
      <c r="E73" s="252" t="s">
        <v>1920</v>
      </c>
      <c r="F73" s="243">
        <v>1</v>
      </c>
      <c r="G73" s="452"/>
      <c r="H73" s="428"/>
    </row>
    <row r="74" spans="1:8" ht="15.75" x14ac:dyDescent="0.25">
      <c r="A74" s="305" t="s">
        <v>1086</v>
      </c>
      <c r="B74" s="252" t="s">
        <v>70</v>
      </c>
      <c r="C74" s="430"/>
      <c r="D74" s="252"/>
      <c r="E74" s="252" t="s">
        <v>1920</v>
      </c>
      <c r="F74" s="243">
        <v>2</v>
      </c>
      <c r="G74" s="452"/>
      <c r="H74" s="428"/>
    </row>
    <row r="75" spans="1:8" ht="15.75" x14ac:dyDescent="0.25">
      <c r="A75" s="305" t="s">
        <v>1087</v>
      </c>
      <c r="B75" s="252" t="s">
        <v>484</v>
      </c>
      <c r="C75" s="430"/>
      <c r="D75" s="252"/>
      <c r="E75" s="252" t="s">
        <v>1920</v>
      </c>
      <c r="F75" s="243">
        <v>1</v>
      </c>
      <c r="G75" s="452"/>
      <c r="H75" s="428"/>
    </row>
    <row r="76" spans="1:8" ht="15.75" x14ac:dyDescent="0.25">
      <c r="A76" s="305" t="s">
        <v>1337</v>
      </c>
      <c r="B76" s="252" t="s">
        <v>519</v>
      </c>
      <c r="C76" s="430"/>
      <c r="D76" s="252"/>
      <c r="E76" s="252" t="s">
        <v>1920</v>
      </c>
      <c r="F76" s="243">
        <v>1</v>
      </c>
      <c r="G76" s="452"/>
      <c r="H76" s="428"/>
    </row>
    <row r="77" spans="1:8" ht="15.75" x14ac:dyDescent="0.25">
      <c r="A77" s="305" t="s">
        <v>1088</v>
      </c>
      <c r="B77" s="252" t="s">
        <v>485</v>
      </c>
      <c r="C77" s="430"/>
      <c r="D77" s="252"/>
      <c r="E77" s="252" t="s">
        <v>1920</v>
      </c>
      <c r="F77" s="243">
        <v>1</v>
      </c>
      <c r="G77" s="452"/>
      <c r="H77" s="428"/>
    </row>
    <row r="78" spans="1:8" ht="15.75" x14ac:dyDescent="0.25">
      <c r="A78" s="305" t="s">
        <v>1339</v>
      </c>
      <c r="B78" s="252" t="s">
        <v>88</v>
      </c>
      <c r="C78" s="430"/>
      <c r="D78" s="252"/>
      <c r="E78" s="252" t="s">
        <v>1920</v>
      </c>
      <c r="F78" s="243">
        <v>1</v>
      </c>
      <c r="G78" s="452"/>
      <c r="H78" s="428"/>
    </row>
    <row r="79" spans="1:8" ht="15.75" x14ac:dyDescent="0.25">
      <c r="A79" s="305" t="s">
        <v>1089</v>
      </c>
      <c r="B79" s="252" t="s">
        <v>486</v>
      </c>
      <c r="C79" s="430"/>
      <c r="D79" s="252"/>
      <c r="E79" s="252" t="s">
        <v>1920</v>
      </c>
      <c r="F79" s="243">
        <v>1</v>
      </c>
      <c r="G79" s="452"/>
      <c r="H79" s="428"/>
    </row>
    <row r="80" spans="1:8" ht="15.75" x14ac:dyDescent="0.25">
      <c r="A80" s="305" t="s">
        <v>1341</v>
      </c>
      <c r="B80" s="252" t="s">
        <v>539</v>
      </c>
      <c r="C80" s="430"/>
      <c r="D80" s="252"/>
      <c r="E80" s="252" t="s">
        <v>1920</v>
      </c>
      <c r="F80" s="243">
        <v>1</v>
      </c>
      <c r="G80" s="452"/>
      <c r="H80" s="428"/>
    </row>
    <row r="81" spans="1:8" ht="15.75" x14ac:dyDescent="0.25">
      <c r="A81" s="305" t="s">
        <v>1342</v>
      </c>
      <c r="B81" s="252" t="s">
        <v>531</v>
      </c>
      <c r="C81" s="430"/>
      <c r="D81" s="252"/>
      <c r="E81" s="252" t="s">
        <v>1920</v>
      </c>
      <c r="F81" s="243">
        <v>2</v>
      </c>
      <c r="G81" s="452"/>
      <c r="H81" s="428"/>
    </row>
    <row r="82" spans="1:8" ht="15.75" x14ac:dyDescent="0.25">
      <c r="A82" s="305" t="s">
        <v>1343</v>
      </c>
      <c r="B82" s="252" t="s">
        <v>538</v>
      </c>
      <c r="C82" s="430"/>
      <c r="D82" s="252"/>
      <c r="E82" s="252" t="s">
        <v>1920</v>
      </c>
      <c r="F82" s="243">
        <v>1</v>
      </c>
      <c r="G82" s="452"/>
      <c r="H82" s="428"/>
    </row>
    <row r="83" spans="1:8" ht="15.75" x14ac:dyDescent="0.25">
      <c r="A83" s="305" t="s">
        <v>1236</v>
      </c>
      <c r="B83" s="252" t="s">
        <v>77</v>
      </c>
      <c r="C83" s="430"/>
      <c r="D83" s="252"/>
      <c r="E83" s="252" t="s">
        <v>1920</v>
      </c>
      <c r="F83" s="243">
        <v>2</v>
      </c>
      <c r="G83" s="452"/>
      <c r="H83" s="428"/>
    </row>
    <row r="84" spans="1:8" ht="15.75" x14ac:dyDescent="0.25">
      <c r="A84" s="305" t="s">
        <v>1235</v>
      </c>
      <c r="B84" s="252" t="s">
        <v>78</v>
      </c>
      <c r="C84" s="430"/>
      <c r="D84" s="252"/>
      <c r="E84" s="252" t="s">
        <v>1920</v>
      </c>
      <c r="F84" s="243">
        <v>1</v>
      </c>
      <c r="G84" s="452"/>
      <c r="H84" s="428"/>
    </row>
    <row r="85" spans="1:8" ht="15.75" x14ac:dyDescent="0.25">
      <c r="A85" s="305" t="s">
        <v>1237</v>
      </c>
      <c r="B85" s="252" t="s">
        <v>306</v>
      </c>
      <c r="C85" s="430"/>
      <c r="D85" s="252"/>
      <c r="E85" s="252" t="s">
        <v>1920</v>
      </c>
      <c r="F85" s="243">
        <v>1</v>
      </c>
      <c r="G85" s="452"/>
      <c r="H85" s="428"/>
    </row>
    <row r="86" spans="1:8" ht="15.75" x14ac:dyDescent="0.25">
      <c r="A86" s="305" t="s">
        <v>1345</v>
      </c>
      <c r="B86" s="252" t="s">
        <v>79</v>
      </c>
      <c r="C86" s="430"/>
      <c r="D86" s="252"/>
      <c r="E86" s="252" t="s">
        <v>1920</v>
      </c>
      <c r="F86" s="243">
        <v>1</v>
      </c>
      <c r="G86" s="452"/>
      <c r="H86" s="428"/>
    </row>
    <row r="87" spans="1:8" ht="15.75" x14ac:dyDescent="0.25">
      <c r="A87" s="305" t="s">
        <v>1232</v>
      </c>
      <c r="B87" s="252" t="s">
        <v>76</v>
      </c>
      <c r="C87" s="430"/>
      <c r="D87" s="252"/>
      <c r="E87" s="252" t="s">
        <v>1920</v>
      </c>
      <c r="F87" s="243">
        <v>1</v>
      </c>
      <c r="G87" s="452"/>
      <c r="H87" s="428"/>
    </row>
    <row r="88" spans="1:8" ht="15.75" x14ac:dyDescent="0.25">
      <c r="A88" s="305" t="s">
        <v>15</v>
      </c>
      <c r="B88" s="252" t="s">
        <v>380</v>
      </c>
      <c r="C88" s="430"/>
      <c r="D88" s="252"/>
      <c r="E88" s="252" t="s">
        <v>1920</v>
      </c>
      <c r="F88" s="243">
        <v>1</v>
      </c>
      <c r="G88" s="452"/>
      <c r="H88" s="428"/>
    </row>
    <row r="89" spans="1:8" ht="15.75" x14ac:dyDescent="0.25">
      <c r="A89" s="305" t="s">
        <v>1036</v>
      </c>
      <c r="B89" s="252" t="s">
        <v>468</v>
      </c>
      <c r="C89" s="430"/>
      <c r="D89" s="252"/>
      <c r="E89" s="252" t="s">
        <v>1920</v>
      </c>
      <c r="F89" s="243">
        <v>1</v>
      </c>
      <c r="G89" s="452"/>
      <c r="H89" s="428"/>
    </row>
    <row r="90" spans="1:8" ht="15.75" x14ac:dyDescent="0.25">
      <c r="A90" s="305" t="s">
        <v>10</v>
      </c>
      <c r="B90" s="252" t="s">
        <v>469</v>
      </c>
      <c r="C90" s="430"/>
      <c r="D90" s="252"/>
      <c r="E90" s="252" t="s">
        <v>1920</v>
      </c>
      <c r="F90" s="243">
        <v>1</v>
      </c>
      <c r="G90" s="452"/>
      <c r="H90" s="428"/>
    </row>
    <row r="91" spans="1:8" ht="15.75" x14ac:dyDescent="0.25">
      <c r="A91" s="305" t="s">
        <v>101</v>
      </c>
      <c r="B91" s="252" t="s">
        <v>509</v>
      </c>
      <c r="C91" s="430"/>
      <c r="D91" s="252"/>
      <c r="E91" s="252" t="s">
        <v>1920</v>
      </c>
      <c r="F91" s="243">
        <v>1</v>
      </c>
      <c r="G91" s="452"/>
      <c r="H91" s="428"/>
    </row>
    <row r="92" spans="1:8" ht="15.75" x14ac:dyDescent="0.25">
      <c r="A92" s="305" t="s">
        <v>20</v>
      </c>
      <c r="B92" s="252" t="s">
        <v>287</v>
      </c>
      <c r="C92" s="430"/>
      <c r="D92" s="252"/>
      <c r="E92" s="252" t="s">
        <v>1920</v>
      </c>
      <c r="F92" s="243">
        <v>1</v>
      </c>
      <c r="G92" s="452"/>
      <c r="H92" s="428"/>
    </row>
    <row r="93" spans="1:8" ht="15.75" x14ac:dyDescent="0.25">
      <c r="A93" s="305" t="s">
        <v>13</v>
      </c>
      <c r="B93" s="252" t="s">
        <v>471</v>
      </c>
      <c r="C93" s="430"/>
      <c r="D93" s="252"/>
      <c r="E93" s="252" t="s">
        <v>1920</v>
      </c>
      <c r="F93" s="243">
        <v>1</v>
      </c>
      <c r="G93" s="452"/>
      <c r="H93" s="428"/>
    </row>
    <row r="94" spans="1:8" ht="15.75" x14ac:dyDescent="0.25">
      <c r="A94" s="305" t="s">
        <v>3120</v>
      </c>
      <c r="B94" s="252" t="s">
        <v>3119</v>
      </c>
      <c r="C94" s="430"/>
      <c r="D94" s="252"/>
      <c r="E94" s="252" t="s">
        <v>1928</v>
      </c>
      <c r="F94" s="411">
        <v>1</v>
      </c>
      <c r="G94" s="453"/>
      <c r="H94" s="428"/>
    </row>
    <row r="97" spans="1:7" ht="18" x14ac:dyDescent="0.25">
      <c r="A97" s="422" t="s">
        <v>2517</v>
      </c>
      <c r="B97" s="425"/>
      <c r="C97" s="309"/>
      <c r="D97" s="309"/>
      <c r="E97" s="309"/>
      <c r="F97" s="309"/>
      <c r="G97" s="310"/>
    </row>
    <row r="98" spans="1:7" ht="18" x14ac:dyDescent="0.25">
      <c r="A98" s="422" t="s">
        <v>2974</v>
      </c>
      <c r="B98" s="425"/>
      <c r="C98" s="309"/>
      <c r="D98" s="309"/>
      <c r="E98" s="309"/>
      <c r="F98" s="309"/>
      <c r="G98" s="310"/>
    </row>
    <row r="99" spans="1:7" ht="18" x14ac:dyDescent="0.25">
      <c r="A99" s="449" t="s">
        <v>3284</v>
      </c>
      <c r="B99" s="450"/>
    </row>
    <row r="100" spans="1:7" ht="18" x14ac:dyDescent="0.25">
      <c r="A100" s="434" t="s">
        <v>3367</v>
      </c>
      <c r="B100" s="420"/>
    </row>
  </sheetData>
  <sortState xmlns:xlrd2="http://schemas.microsoft.com/office/spreadsheetml/2017/richdata2" ref="A2:H94">
    <sortCondition ref="B2:B94"/>
  </sortState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22"/>
  <sheetViews>
    <sheetView workbookViewId="0">
      <pane ySplit="1" topLeftCell="A2" activePane="bottomLeft" state="frozen"/>
      <selection activeCell="C26" sqref="C26"/>
      <selection pane="bottomLeft" activeCell="F2" sqref="F2:F14"/>
    </sheetView>
  </sheetViews>
  <sheetFormatPr defaultColWidth="9.140625" defaultRowHeight="15" x14ac:dyDescent="0.25"/>
  <cols>
    <col min="1" max="1" width="70.42578125" style="146" bestFit="1" customWidth="1"/>
    <col min="2" max="2" width="15" style="146" bestFit="1" customWidth="1"/>
    <col min="3" max="3" width="20.42578125" style="146" bestFit="1" customWidth="1"/>
    <col min="4" max="4" width="20.140625" style="146" bestFit="1" customWidth="1"/>
    <col min="5" max="5" width="12.42578125" style="146" bestFit="1" customWidth="1"/>
    <col min="6" max="6" width="10" style="146" bestFit="1" customWidth="1"/>
    <col min="7" max="7" width="11.42578125" style="146" bestFit="1" customWidth="1"/>
    <col min="8" max="8" width="16.85546875" style="146" bestFit="1" customWidth="1"/>
    <col min="9" max="16384" width="9.140625" style="146"/>
  </cols>
  <sheetData>
    <row r="1" spans="1:8" ht="15.75" x14ac:dyDescent="0.25">
      <c r="A1" s="91" t="s">
        <v>0</v>
      </c>
      <c r="B1" s="123" t="s">
        <v>1</v>
      </c>
      <c r="C1" s="367" t="s">
        <v>3373</v>
      </c>
      <c r="D1" s="22" t="s">
        <v>1872</v>
      </c>
      <c r="E1" s="22" t="s">
        <v>1873</v>
      </c>
      <c r="F1" s="97" t="s">
        <v>412</v>
      </c>
      <c r="G1" s="441" t="s">
        <v>3368</v>
      </c>
      <c r="H1" s="418" t="s">
        <v>3369</v>
      </c>
    </row>
    <row r="2" spans="1:8" ht="15.75" x14ac:dyDescent="0.25">
      <c r="A2" s="305" t="s">
        <v>6</v>
      </c>
      <c r="B2" s="252" t="s">
        <v>91</v>
      </c>
      <c r="C2" s="430"/>
      <c r="D2" s="252"/>
      <c r="E2" s="252" t="s">
        <v>1920</v>
      </c>
      <c r="F2" s="243">
        <v>1</v>
      </c>
      <c r="G2" s="452"/>
      <c r="H2" s="428"/>
    </row>
    <row r="3" spans="1:8" ht="15.75" x14ac:dyDescent="0.25">
      <c r="A3" s="305" t="s">
        <v>2133</v>
      </c>
      <c r="B3" s="252" t="s">
        <v>2910</v>
      </c>
      <c r="C3" s="430"/>
      <c r="D3" s="252"/>
      <c r="E3" s="252">
        <v>56654</v>
      </c>
      <c r="F3" s="243">
        <v>1</v>
      </c>
      <c r="G3" s="452"/>
      <c r="H3" s="428"/>
    </row>
    <row r="4" spans="1:8" ht="15.75" x14ac:dyDescent="0.25">
      <c r="A4" s="305" t="s">
        <v>16</v>
      </c>
      <c r="B4" s="252" t="s">
        <v>476</v>
      </c>
      <c r="C4" s="430"/>
      <c r="D4" s="252"/>
      <c r="E4" s="252" t="s">
        <v>1920</v>
      </c>
      <c r="F4" s="243">
        <v>1</v>
      </c>
      <c r="G4" s="452"/>
      <c r="H4" s="428"/>
    </row>
    <row r="5" spans="1:8" ht="15.75" x14ac:dyDescent="0.25">
      <c r="A5" s="305" t="s">
        <v>1266</v>
      </c>
      <c r="B5" s="252" t="s">
        <v>1987</v>
      </c>
      <c r="C5" s="430"/>
      <c r="D5" s="252"/>
      <c r="E5" s="252" t="s">
        <v>1920</v>
      </c>
      <c r="F5" s="243">
        <v>1</v>
      </c>
      <c r="G5" s="452"/>
      <c r="H5" s="428"/>
    </row>
    <row r="6" spans="1:8" ht="15.75" x14ac:dyDescent="0.25">
      <c r="A6" s="305" t="s">
        <v>1192</v>
      </c>
      <c r="B6" s="252" t="s">
        <v>94</v>
      </c>
      <c r="C6" s="430"/>
      <c r="D6" s="252"/>
      <c r="E6" s="252" t="s">
        <v>1920</v>
      </c>
      <c r="F6" s="243">
        <v>1</v>
      </c>
      <c r="G6" s="452"/>
      <c r="H6" s="428"/>
    </row>
    <row r="7" spans="1:8" ht="15.75" x14ac:dyDescent="0.25">
      <c r="A7" s="305" t="s">
        <v>1216</v>
      </c>
      <c r="B7" s="252" t="s">
        <v>481</v>
      </c>
      <c r="C7" s="430"/>
      <c r="D7" s="252"/>
      <c r="E7" s="252" t="s">
        <v>1920</v>
      </c>
      <c r="F7" s="243">
        <v>1</v>
      </c>
      <c r="G7" s="452"/>
      <c r="H7" s="428"/>
    </row>
    <row r="8" spans="1:8" ht="15.75" x14ac:dyDescent="0.25">
      <c r="A8" s="305" t="s">
        <v>1164</v>
      </c>
      <c r="B8" s="252" t="s">
        <v>665</v>
      </c>
      <c r="C8" s="430"/>
      <c r="D8" s="252"/>
      <c r="E8" s="252" t="s">
        <v>1920</v>
      </c>
      <c r="F8" s="243">
        <v>1</v>
      </c>
      <c r="G8" s="452"/>
      <c r="H8" s="428"/>
    </row>
    <row r="9" spans="1:8" ht="15.75" x14ac:dyDescent="0.25">
      <c r="A9" s="305" t="s">
        <v>197</v>
      </c>
      <c r="B9" s="252" t="s">
        <v>645</v>
      </c>
      <c r="C9" s="430"/>
      <c r="D9" s="252"/>
      <c r="E9" s="252" t="s">
        <v>1920</v>
      </c>
      <c r="F9" s="243">
        <v>1</v>
      </c>
      <c r="G9" s="452"/>
      <c r="H9" s="428"/>
    </row>
    <row r="10" spans="1:8" ht="15.75" x14ac:dyDescent="0.25">
      <c r="A10" s="305" t="s">
        <v>1125</v>
      </c>
      <c r="B10" s="252">
        <v>8130020</v>
      </c>
      <c r="C10" s="430"/>
      <c r="D10" s="252"/>
      <c r="E10" s="252" t="s">
        <v>1975</v>
      </c>
      <c r="F10" s="243">
        <v>1</v>
      </c>
      <c r="G10" s="452"/>
      <c r="H10" s="428"/>
    </row>
    <row r="11" spans="1:8" ht="15.75" x14ac:dyDescent="0.25">
      <c r="A11" s="305" t="s">
        <v>1304</v>
      </c>
      <c r="B11" s="252" t="s">
        <v>608</v>
      </c>
      <c r="C11" s="430"/>
      <c r="D11" s="252"/>
      <c r="E11" s="252" t="s">
        <v>1920</v>
      </c>
      <c r="F11" s="243">
        <v>1</v>
      </c>
      <c r="G11" s="452"/>
      <c r="H11" s="428"/>
    </row>
    <row r="12" spans="1:8" ht="15.75" x14ac:dyDescent="0.25">
      <c r="A12" s="305" t="s">
        <v>1127</v>
      </c>
      <c r="B12" s="252">
        <v>8130030</v>
      </c>
      <c r="C12" s="430"/>
      <c r="D12" s="252"/>
      <c r="E12" s="252" t="s">
        <v>1975</v>
      </c>
      <c r="F12" s="243">
        <v>1</v>
      </c>
      <c r="G12" s="452"/>
      <c r="H12" s="428"/>
    </row>
    <row r="13" spans="1:8" ht="15.75" x14ac:dyDescent="0.25">
      <c r="A13" s="305" t="s">
        <v>17</v>
      </c>
      <c r="B13" s="252" t="s">
        <v>407</v>
      </c>
      <c r="C13" s="430"/>
      <c r="D13" s="252"/>
      <c r="E13" s="252" t="s">
        <v>1920</v>
      </c>
      <c r="F13" s="243">
        <v>1</v>
      </c>
      <c r="G13" s="452"/>
      <c r="H13" s="428"/>
    </row>
    <row r="14" spans="1:8" ht="15.75" x14ac:dyDescent="0.25">
      <c r="A14" s="305" t="s">
        <v>105</v>
      </c>
      <c r="B14" s="252" t="s">
        <v>2118</v>
      </c>
      <c r="C14" s="430"/>
      <c r="D14" s="252"/>
      <c r="E14" s="252" t="s">
        <v>1975</v>
      </c>
      <c r="F14" s="243">
        <v>2</v>
      </c>
      <c r="G14" s="452"/>
      <c r="H14" s="428"/>
    </row>
    <row r="19" spans="1:7" ht="18" x14ac:dyDescent="0.25">
      <c r="A19" s="422" t="s">
        <v>2511</v>
      </c>
      <c r="B19" s="425"/>
      <c r="C19" s="309"/>
      <c r="D19" s="309"/>
      <c r="E19" s="309"/>
      <c r="F19" s="309"/>
      <c r="G19" s="310"/>
    </row>
    <row r="20" spans="1:7" ht="18" x14ac:dyDescent="0.25">
      <c r="A20" s="422" t="s">
        <v>2973</v>
      </c>
      <c r="B20" s="425"/>
      <c r="C20" s="309"/>
      <c r="D20" s="309"/>
      <c r="E20" s="309"/>
      <c r="F20" s="309"/>
      <c r="G20" s="310"/>
    </row>
    <row r="21" spans="1:7" ht="18" x14ac:dyDescent="0.25">
      <c r="A21" s="449" t="s">
        <v>3283</v>
      </c>
      <c r="B21" s="450"/>
    </row>
    <row r="22" spans="1:7" ht="18" x14ac:dyDescent="0.25">
      <c r="A22" s="434" t="s">
        <v>3367</v>
      </c>
      <c r="B22" s="420"/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28"/>
  <sheetViews>
    <sheetView workbookViewId="0">
      <pane ySplit="1" topLeftCell="A2" activePane="bottomLeft" state="frozen"/>
      <selection activeCell="C26" sqref="C26"/>
      <selection pane="bottomLeft" activeCell="F2" sqref="F2:F21"/>
    </sheetView>
  </sheetViews>
  <sheetFormatPr defaultColWidth="9.140625" defaultRowHeight="15" x14ac:dyDescent="0.25"/>
  <cols>
    <col min="1" max="1" width="63.85546875" style="146" bestFit="1" customWidth="1"/>
    <col min="2" max="2" width="15.85546875" style="146" bestFit="1" customWidth="1"/>
    <col min="3" max="3" width="20.42578125" style="146" bestFit="1" customWidth="1"/>
    <col min="4" max="4" width="20.140625" style="146" bestFit="1" customWidth="1"/>
    <col min="5" max="5" width="12.42578125" style="146" bestFit="1" customWidth="1"/>
    <col min="6" max="6" width="10" style="146" bestFit="1" customWidth="1"/>
    <col min="7" max="7" width="11.42578125" style="146" bestFit="1" customWidth="1"/>
    <col min="8" max="8" width="16.85546875" style="146" bestFit="1" customWidth="1"/>
    <col min="9" max="16384" width="9.140625" style="146"/>
  </cols>
  <sheetData>
    <row r="1" spans="1:8" ht="15.75" x14ac:dyDescent="0.25">
      <c r="A1" s="24" t="s">
        <v>0</v>
      </c>
      <c r="B1" s="22" t="s">
        <v>1</v>
      </c>
      <c r="C1" s="367" t="s">
        <v>3373</v>
      </c>
      <c r="D1" s="22" t="s">
        <v>1872</v>
      </c>
      <c r="E1" s="22" t="s">
        <v>1873</v>
      </c>
      <c r="F1" s="97" t="s">
        <v>412</v>
      </c>
      <c r="G1" s="441" t="s">
        <v>3368</v>
      </c>
      <c r="H1" s="418" t="s">
        <v>3369</v>
      </c>
    </row>
    <row r="2" spans="1:8" ht="15.75" x14ac:dyDescent="0.25">
      <c r="A2" s="305" t="s">
        <v>6</v>
      </c>
      <c r="B2" s="252" t="s">
        <v>91</v>
      </c>
      <c r="C2" s="430"/>
      <c r="D2" s="252"/>
      <c r="E2" s="252" t="s">
        <v>1920</v>
      </c>
      <c r="F2" s="243">
        <v>1</v>
      </c>
      <c r="G2" s="452"/>
      <c r="H2" s="428"/>
    </row>
    <row r="3" spans="1:8" ht="15.75" x14ac:dyDescent="0.25">
      <c r="A3" s="305" t="s">
        <v>12</v>
      </c>
      <c r="B3" s="252" t="s">
        <v>171</v>
      </c>
      <c r="C3" s="430"/>
      <c r="D3" s="252"/>
      <c r="E3" s="252" t="s">
        <v>1920</v>
      </c>
      <c r="F3" s="243">
        <v>1</v>
      </c>
      <c r="G3" s="452"/>
      <c r="H3" s="428"/>
    </row>
    <row r="4" spans="1:8" ht="15.75" x14ac:dyDescent="0.25">
      <c r="A4" s="305" t="s">
        <v>13</v>
      </c>
      <c r="B4" s="252" t="s">
        <v>471</v>
      </c>
      <c r="C4" s="430"/>
      <c r="D4" s="252"/>
      <c r="E4" s="252" t="s">
        <v>1920</v>
      </c>
      <c r="F4" s="243">
        <v>1</v>
      </c>
      <c r="G4" s="452"/>
      <c r="H4" s="428"/>
    </row>
    <row r="5" spans="1:8" ht="15.75" x14ac:dyDescent="0.25">
      <c r="A5" s="305" t="s">
        <v>2133</v>
      </c>
      <c r="B5" s="252" t="s">
        <v>2909</v>
      </c>
      <c r="C5" s="430"/>
      <c r="D5" s="252" t="s">
        <v>2909</v>
      </c>
      <c r="E5" s="252">
        <v>56654</v>
      </c>
      <c r="F5" s="243">
        <v>1</v>
      </c>
      <c r="G5" s="452"/>
      <c r="H5" s="428"/>
    </row>
    <row r="6" spans="1:8" ht="15.75" x14ac:dyDescent="0.25">
      <c r="A6" s="305" t="s">
        <v>14</v>
      </c>
      <c r="B6" s="252" t="s">
        <v>472</v>
      </c>
      <c r="C6" s="430"/>
      <c r="D6" s="252"/>
      <c r="E6" s="252" t="s">
        <v>1971</v>
      </c>
      <c r="F6" s="243">
        <v>1</v>
      </c>
      <c r="G6" s="452"/>
      <c r="H6" s="428"/>
    </row>
    <row r="7" spans="1:8" ht="15.75" x14ac:dyDescent="0.25">
      <c r="A7" s="305" t="s">
        <v>16</v>
      </c>
      <c r="B7" s="252" t="s">
        <v>476</v>
      </c>
      <c r="C7" s="430"/>
      <c r="D7" s="252"/>
      <c r="E7" s="252" t="s">
        <v>1920</v>
      </c>
      <c r="F7" s="243">
        <v>1</v>
      </c>
      <c r="G7" s="452"/>
      <c r="H7" s="428"/>
    </row>
    <row r="8" spans="1:8" ht="15.75" x14ac:dyDescent="0.25">
      <c r="A8" s="305" t="s">
        <v>1483</v>
      </c>
      <c r="B8" s="252" t="s">
        <v>2024</v>
      </c>
      <c r="C8" s="430"/>
      <c r="D8" s="252" t="s">
        <v>1875</v>
      </c>
      <c r="E8" s="252" t="s">
        <v>1948</v>
      </c>
      <c r="F8" s="243">
        <v>1</v>
      </c>
      <c r="G8" s="452"/>
      <c r="H8" s="428"/>
    </row>
    <row r="9" spans="1:8" ht="15.75" x14ac:dyDescent="0.25">
      <c r="A9" s="305" t="s">
        <v>1275</v>
      </c>
      <c r="B9" s="252" t="s">
        <v>478</v>
      </c>
      <c r="C9" s="430"/>
      <c r="D9" s="252"/>
      <c r="E9" s="252" t="s">
        <v>1920</v>
      </c>
      <c r="F9" s="243">
        <v>1</v>
      </c>
      <c r="G9" s="452"/>
      <c r="H9" s="428"/>
    </row>
    <row r="10" spans="1:8" ht="15.75" x14ac:dyDescent="0.25">
      <c r="A10" s="305" t="s">
        <v>459</v>
      </c>
      <c r="B10" s="252" t="s">
        <v>1823</v>
      </c>
      <c r="C10" s="430"/>
      <c r="D10" s="252"/>
      <c r="E10" s="252" t="s">
        <v>1920</v>
      </c>
      <c r="F10" s="243">
        <v>1</v>
      </c>
      <c r="G10" s="452"/>
      <c r="H10" s="428"/>
    </row>
    <row r="11" spans="1:8" ht="15.75" x14ac:dyDescent="0.25">
      <c r="A11" s="305" t="s">
        <v>1040</v>
      </c>
      <c r="B11" s="252" t="s">
        <v>274</v>
      </c>
      <c r="C11" s="430"/>
      <c r="D11" s="252"/>
      <c r="E11" s="252" t="s">
        <v>1920</v>
      </c>
      <c r="F11" s="243">
        <v>1</v>
      </c>
      <c r="G11" s="452"/>
      <c r="H11" s="428"/>
    </row>
    <row r="12" spans="1:8" ht="15.75" x14ac:dyDescent="0.25">
      <c r="A12" s="305" t="s">
        <v>1266</v>
      </c>
      <c r="B12" s="252" t="s">
        <v>1987</v>
      </c>
      <c r="C12" s="430"/>
      <c r="D12" s="252"/>
      <c r="E12" s="252" t="s">
        <v>1920</v>
      </c>
      <c r="F12" s="243">
        <v>1</v>
      </c>
      <c r="G12" s="452"/>
      <c r="H12" s="428"/>
    </row>
    <row r="13" spans="1:8" ht="15.75" x14ac:dyDescent="0.25">
      <c r="A13" s="305" t="s">
        <v>1192</v>
      </c>
      <c r="B13" s="252" t="s">
        <v>94</v>
      </c>
      <c r="C13" s="430"/>
      <c r="D13" s="252"/>
      <c r="E13" s="252" t="s">
        <v>1920</v>
      </c>
      <c r="F13" s="243">
        <v>1</v>
      </c>
      <c r="G13" s="452"/>
      <c r="H13" s="428"/>
    </row>
    <row r="14" spans="1:8" ht="15.75" x14ac:dyDescent="0.25">
      <c r="A14" s="305" t="s">
        <v>1608</v>
      </c>
      <c r="B14" s="252" t="s">
        <v>164</v>
      </c>
      <c r="C14" s="430"/>
      <c r="D14" s="252"/>
      <c r="E14" s="252" t="s">
        <v>1920</v>
      </c>
      <c r="F14" s="243">
        <v>1</v>
      </c>
      <c r="G14" s="452"/>
      <c r="H14" s="428"/>
    </row>
    <row r="15" spans="1:8" ht="15.75" x14ac:dyDescent="0.25">
      <c r="A15" s="305" t="s">
        <v>20</v>
      </c>
      <c r="B15" s="252" t="s">
        <v>287</v>
      </c>
      <c r="C15" s="430"/>
      <c r="D15" s="252"/>
      <c r="E15" s="252" t="s">
        <v>1920</v>
      </c>
      <c r="F15" s="243">
        <v>1</v>
      </c>
      <c r="G15" s="452"/>
      <c r="H15" s="428"/>
    </row>
    <row r="16" spans="1:8" ht="15.75" x14ac:dyDescent="0.25">
      <c r="A16" s="305" t="s">
        <v>1125</v>
      </c>
      <c r="B16" s="252">
        <v>8130020</v>
      </c>
      <c r="C16" s="430"/>
      <c r="D16" s="252"/>
      <c r="E16" s="252" t="s">
        <v>1975</v>
      </c>
      <c r="F16" s="243">
        <v>1</v>
      </c>
      <c r="G16" s="452"/>
      <c r="H16" s="428"/>
    </row>
    <row r="17" spans="1:8" ht="15.75" x14ac:dyDescent="0.25">
      <c r="A17" s="305" t="s">
        <v>1985</v>
      </c>
      <c r="B17" s="252" t="s">
        <v>1986</v>
      </c>
      <c r="C17" s="430"/>
      <c r="D17" s="252"/>
      <c r="E17" s="252" t="s">
        <v>1920</v>
      </c>
      <c r="F17" s="243">
        <v>1</v>
      </c>
      <c r="G17" s="452"/>
      <c r="H17" s="428"/>
    </row>
    <row r="18" spans="1:8" ht="15.75" x14ac:dyDescent="0.25">
      <c r="A18" s="305" t="s">
        <v>1127</v>
      </c>
      <c r="B18" s="252">
        <v>8130030</v>
      </c>
      <c r="C18" s="430"/>
      <c r="D18" s="252"/>
      <c r="E18" s="252" t="s">
        <v>1975</v>
      </c>
      <c r="F18" s="243">
        <v>1</v>
      </c>
      <c r="G18" s="452"/>
      <c r="H18" s="428"/>
    </row>
    <row r="19" spans="1:8" ht="15.75" x14ac:dyDescent="0.25">
      <c r="A19" s="305" t="s">
        <v>1156</v>
      </c>
      <c r="B19" s="252" t="s">
        <v>2117</v>
      </c>
      <c r="C19" s="430"/>
      <c r="D19" s="252"/>
      <c r="E19" s="252" t="s">
        <v>1975</v>
      </c>
      <c r="F19" s="243">
        <v>2</v>
      </c>
      <c r="G19" s="452"/>
      <c r="H19" s="428"/>
    </row>
    <row r="20" spans="1:8" ht="15.75" x14ac:dyDescent="0.25">
      <c r="A20" s="305" t="s">
        <v>2230</v>
      </c>
      <c r="B20" s="252" t="s">
        <v>325</v>
      </c>
      <c r="C20" s="430"/>
      <c r="D20" s="252"/>
      <c r="E20" s="252" t="s">
        <v>1920</v>
      </c>
      <c r="F20" s="243">
        <v>1</v>
      </c>
      <c r="G20" s="452"/>
      <c r="H20" s="428"/>
    </row>
    <row r="21" spans="1:8" ht="15.75" x14ac:dyDescent="0.25">
      <c r="A21" s="305" t="s">
        <v>17</v>
      </c>
      <c r="B21" s="252" t="s">
        <v>407</v>
      </c>
      <c r="C21" s="430"/>
      <c r="D21" s="252"/>
      <c r="E21" s="252" t="s">
        <v>1920</v>
      </c>
      <c r="F21" s="243">
        <v>1</v>
      </c>
      <c r="G21" s="452"/>
      <c r="H21" s="428"/>
    </row>
    <row r="25" spans="1:8" ht="18" x14ac:dyDescent="0.25">
      <c r="A25" s="422" t="s">
        <v>2520</v>
      </c>
      <c r="B25" s="425"/>
      <c r="C25" s="309"/>
      <c r="D25" s="309"/>
      <c r="E25" s="309"/>
      <c r="F25" s="309"/>
      <c r="G25" s="310"/>
    </row>
    <row r="26" spans="1:8" ht="18" x14ac:dyDescent="0.25">
      <c r="A26" s="422" t="s">
        <v>2972</v>
      </c>
      <c r="B26" s="425"/>
      <c r="C26" s="309"/>
      <c r="D26" s="309"/>
      <c r="E26" s="309"/>
      <c r="F26" s="309"/>
      <c r="G26" s="310"/>
    </row>
    <row r="27" spans="1:8" ht="18" x14ac:dyDescent="0.25">
      <c r="A27" s="449" t="s">
        <v>3282</v>
      </c>
      <c r="B27" s="450"/>
    </row>
    <row r="28" spans="1:8" ht="18" x14ac:dyDescent="0.25">
      <c r="A28" s="434" t="s">
        <v>3367</v>
      </c>
      <c r="B28" s="420"/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12"/>
  <sheetViews>
    <sheetView workbookViewId="0">
      <pane ySplit="1" topLeftCell="A2" activePane="bottomLeft" state="frozen"/>
      <selection activeCell="C26" sqref="C26"/>
      <selection pane="bottomLeft" activeCell="F2" sqref="F2:F6"/>
    </sheetView>
  </sheetViews>
  <sheetFormatPr defaultColWidth="9.140625" defaultRowHeight="15.75" x14ac:dyDescent="0.25"/>
  <cols>
    <col min="1" max="1" width="56.140625" style="319" bestFit="1" customWidth="1"/>
    <col min="2" max="2" width="14.42578125" style="319" bestFit="1" customWidth="1"/>
    <col min="3" max="3" width="20.42578125" style="319" bestFit="1" customWidth="1"/>
    <col min="4" max="4" width="20.140625" style="319" bestFit="1" customWidth="1"/>
    <col min="5" max="5" width="12.42578125" style="319" bestFit="1" customWidth="1"/>
    <col min="6" max="6" width="16" style="311" customWidth="1"/>
    <col min="7" max="7" width="11.42578125" style="532" bestFit="1" customWidth="1"/>
    <col min="8" max="8" width="16.85546875" style="311" bestFit="1" customWidth="1"/>
    <col min="9" max="9" width="9.140625" style="311"/>
    <col min="10" max="10" width="14.85546875" style="311" bestFit="1" customWidth="1"/>
    <col min="11" max="12" width="9.140625" style="311"/>
    <col min="13" max="13" width="16.5703125" style="311" bestFit="1" customWidth="1"/>
    <col min="14" max="16384" width="9.140625" style="311"/>
  </cols>
  <sheetData>
    <row r="1" spans="1:8" x14ac:dyDescent="0.25">
      <c r="A1" s="322" t="s">
        <v>0</v>
      </c>
      <c r="B1" s="323" t="s">
        <v>1</v>
      </c>
      <c r="C1" s="367" t="s">
        <v>3373</v>
      </c>
      <c r="D1" s="323" t="s">
        <v>1872</v>
      </c>
      <c r="E1" s="323" t="s">
        <v>1873</v>
      </c>
      <c r="F1" s="324" t="s">
        <v>412</v>
      </c>
      <c r="G1" s="528" t="s">
        <v>3368</v>
      </c>
      <c r="H1" s="418" t="s">
        <v>3369</v>
      </c>
    </row>
    <row r="2" spans="1:8" x14ac:dyDescent="0.25">
      <c r="A2" s="250" t="s">
        <v>3105</v>
      </c>
      <c r="B2" s="267" t="s">
        <v>3106</v>
      </c>
      <c r="C2" s="430"/>
      <c r="E2" s="312">
        <v>55719</v>
      </c>
      <c r="F2" s="312">
        <v>1</v>
      </c>
      <c r="G2" s="529"/>
      <c r="H2" s="447">
        <f>+Table1517[[#This Row],[Quantity]]*Table1517[[#This Row],[Unit Price]]</f>
        <v>0</v>
      </c>
    </row>
    <row r="3" spans="1:8" x14ac:dyDescent="0.25">
      <c r="A3" s="250" t="s">
        <v>3103</v>
      </c>
      <c r="B3" s="267" t="s">
        <v>3104</v>
      </c>
      <c r="C3" s="709"/>
      <c r="E3" s="312">
        <v>55719</v>
      </c>
      <c r="F3" s="312">
        <v>1</v>
      </c>
      <c r="G3" s="529"/>
      <c r="H3" s="447">
        <f>+Table1517[[#This Row],[Quantity]]*Table1517[[#This Row],[Unit Price]]</f>
        <v>0</v>
      </c>
    </row>
    <row r="4" spans="1:8" x14ac:dyDescent="0.25">
      <c r="A4" s="320" t="s">
        <v>3219</v>
      </c>
      <c r="B4" s="312" t="s">
        <v>3220</v>
      </c>
      <c r="C4" s="430"/>
      <c r="E4" s="312">
        <v>55719</v>
      </c>
      <c r="F4" s="312">
        <v>1</v>
      </c>
      <c r="G4" s="529"/>
      <c r="H4" s="447">
        <f>+Table1517[[#This Row],[Quantity]]*Table1517[[#This Row],[Unit Price]]</f>
        <v>0</v>
      </c>
    </row>
    <row r="5" spans="1:8" x14ac:dyDescent="0.25">
      <c r="A5" s="320" t="s">
        <v>3221</v>
      </c>
      <c r="B5" s="312" t="s">
        <v>3222</v>
      </c>
      <c r="C5" s="709"/>
      <c r="E5" s="312">
        <v>55719</v>
      </c>
      <c r="F5" s="312">
        <v>1</v>
      </c>
      <c r="G5" s="529"/>
      <c r="H5" s="447">
        <f>+Table1517[[#This Row],[Quantity]]*Table1517[[#This Row],[Unit Price]]</f>
        <v>0</v>
      </c>
    </row>
    <row r="6" spans="1:8" x14ac:dyDescent="0.25">
      <c r="A6" s="320" t="s">
        <v>3223</v>
      </c>
      <c r="B6" s="312" t="s">
        <v>3224</v>
      </c>
      <c r="C6" s="430"/>
      <c r="E6" s="312">
        <v>55719</v>
      </c>
      <c r="F6" s="312">
        <v>1</v>
      </c>
      <c r="G6" s="529"/>
      <c r="H6" s="447">
        <f>+Table1517[[#This Row],[Quantity]]*Table1517[[#This Row],[Unit Price]]</f>
        <v>0</v>
      </c>
    </row>
    <row r="7" spans="1:8" x14ac:dyDescent="0.25">
      <c r="A7" s="524"/>
      <c r="B7" s="525"/>
      <c r="C7" s="526"/>
      <c r="D7" s="527"/>
      <c r="E7" s="525"/>
      <c r="F7" s="525"/>
      <c r="G7" s="530"/>
      <c r="H7" s="447">
        <f>+Table1517[[#This Row],[Quantity]]*Table1517[[#This Row],[Unit Price]]</f>
        <v>0</v>
      </c>
    </row>
    <row r="8" spans="1:8" x14ac:dyDescent="0.25">
      <c r="A8" s="533"/>
      <c r="B8" s="534"/>
      <c r="C8" s="535"/>
      <c r="D8" s="536"/>
      <c r="E8" s="534"/>
      <c r="F8" s="534"/>
      <c r="G8" s="537"/>
      <c r="H8" s="538">
        <f>SUM(H2:H7)</f>
        <v>0</v>
      </c>
    </row>
    <row r="9" spans="1:8" s="308" customFormat="1" ht="18" x14ac:dyDescent="0.25">
      <c r="A9" s="422" t="s">
        <v>3217</v>
      </c>
      <c r="B9" s="425"/>
      <c r="C9" s="309"/>
      <c r="D9" s="309"/>
      <c r="E9" s="309"/>
      <c r="F9" s="309"/>
      <c r="G9" s="531"/>
    </row>
    <row r="10" spans="1:8" s="308" customFormat="1" ht="18" x14ac:dyDescent="0.25">
      <c r="A10" s="422" t="s">
        <v>3218</v>
      </c>
      <c r="B10" s="425"/>
      <c r="C10" s="309"/>
      <c r="D10" s="309"/>
      <c r="E10" s="309"/>
      <c r="F10" s="309"/>
      <c r="G10" s="531"/>
    </row>
    <row r="11" spans="1:8" ht="18" x14ac:dyDescent="0.25">
      <c r="A11" s="449" t="s">
        <v>3362</v>
      </c>
      <c r="B11" s="424"/>
    </row>
    <row r="12" spans="1:8" ht="18" x14ac:dyDescent="0.25">
      <c r="A12" s="434" t="s">
        <v>3367</v>
      </c>
      <c r="B12" s="420">
        <f>+Table1517[[#Totals],[Extended price]]</f>
        <v>0</v>
      </c>
    </row>
  </sheetData>
  <printOptions gridLines="1"/>
  <pageMargins left="0.5" right="0.5" top="0.5" bottom="0.5" header="0.3" footer="0.3"/>
  <pageSetup scale="8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9fcf24-b5a3-4768-8688-f3ccf55adf13">
      <Terms xmlns="http://schemas.microsoft.com/office/infopath/2007/PartnerControls"/>
    </lcf76f155ced4ddcb4097134ff3c332f>
    <TaxCatchAll xmlns="a94cdab9-b6d1-411c-b43c-cbd3cb385a5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8ED7DC9E1E764EB54EFD225770C6C9" ma:contentTypeVersion="14" ma:contentTypeDescription="Create a new document." ma:contentTypeScope="" ma:versionID="fce5a32f6d43a82ae09c7b278162ed3e">
  <xsd:schema xmlns:xsd="http://www.w3.org/2001/XMLSchema" xmlns:xs="http://www.w3.org/2001/XMLSchema" xmlns:p="http://schemas.microsoft.com/office/2006/metadata/properties" xmlns:ns2="a19fcf24-b5a3-4768-8688-f3ccf55adf13" xmlns:ns3="a94cdab9-b6d1-411c-b43c-cbd3cb385a52" targetNamespace="http://schemas.microsoft.com/office/2006/metadata/properties" ma:root="true" ma:fieldsID="91693a0b0749a0e3f1e9c60846f0c6b8" ns2:_="" ns3:_="">
    <xsd:import namespace="a19fcf24-b5a3-4768-8688-f3ccf55adf13"/>
    <xsd:import namespace="a94cdab9-b6d1-411c-b43c-cbd3cb385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fcf24-b5a3-4768-8688-f3ccf55ad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cdab9-b6d1-411c-b43c-cbd3cb385a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707ef2e-cf3a-4403-aa91-2e9fbc4e9ce1}" ma:internalName="TaxCatchAll" ma:showField="CatchAllData" ma:web="a94cdab9-b6d1-411c-b43c-cbd3cb385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65A81-6661-4B3F-ABA8-19AE5F74FE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2124C6-BC29-4A32-AEB6-8BAA8797E6DF}">
  <ds:schemaRefs>
    <ds:schemaRef ds:uri="http://schemas.microsoft.com/office/2006/metadata/properties"/>
    <ds:schemaRef ds:uri="http://schemas.microsoft.com/office/infopath/2007/PartnerControls"/>
    <ds:schemaRef ds:uri="a19fcf24-b5a3-4768-8688-f3ccf55adf13"/>
    <ds:schemaRef ds:uri="a94cdab9-b6d1-411c-b43c-cbd3cb385a52"/>
  </ds:schemaRefs>
</ds:datastoreItem>
</file>

<file path=customXml/itemProps3.xml><?xml version="1.0" encoding="utf-8"?>
<ds:datastoreItem xmlns:ds="http://schemas.openxmlformats.org/officeDocument/2006/customXml" ds:itemID="{43752B27-D252-4C4F-9BA2-B12F3E367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9fcf24-b5a3-4768-8688-f3ccf55adf13"/>
    <ds:schemaRef ds:uri="a94cdab9-b6d1-411c-b43c-cbd3cb385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81</vt:i4>
      </vt:variant>
      <vt:variant>
        <vt:lpstr>Named Ranges</vt:lpstr>
      </vt:variant>
      <vt:variant>
        <vt:i4>3</vt:i4>
      </vt:variant>
    </vt:vector>
  </HeadingPairs>
  <TitlesOfParts>
    <vt:vector size="84" baseType="lpstr">
      <vt:lpstr>SEID</vt:lpstr>
      <vt:lpstr>Tool Set, Flight Equipment</vt:lpstr>
      <vt:lpstr>Tool Set, Flight E Shop Equip</vt:lpstr>
      <vt:lpstr>Tool Set, Structure Box (A)</vt:lpstr>
      <vt:lpstr>Tool Set, LO Composite (A)</vt:lpstr>
      <vt:lpstr>Tool Set, Structure Box (BC)</vt:lpstr>
      <vt:lpstr>Tool Set, Power Plants (A)</vt:lpstr>
      <vt:lpstr>Tool Set, Engine (BC)</vt:lpstr>
      <vt:lpstr>Tool Set, Tire Back Shop (A)</vt:lpstr>
      <vt:lpstr>Tool Set, ECS (BC)</vt:lpstr>
      <vt:lpstr>Tool Set, Support Equip (AB)</vt:lpstr>
      <vt:lpstr>Tool Set, AF Shop Equip (BC)</vt:lpstr>
      <vt:lpstr>Tool Set, MALS Tire Buildup (B)</vt:lpstr>
      <vt:lpstr>Tool Set, Ordnance Shop (B)</vt:lpstr>
      <vt:lpstr>Tool Set, Ordnance Shop (C)</vt:lpstr>
      <vt:lpstr>Tool Set, Gun Maint Shop (BC)</vt:lpstr>
      <vt:lpstr>Tool Set, LO Shop Equip (BC)</vt:lpstr>
      <vt:lpstr>Tool Set, Mask Oxygen Only</vt:lpstr>
      <vt:lpstr>Tool Set, Electrical Shop (C)</vt:lpstr>
      <vt:lpstr>Tool Set, Supplemental (BC)</vt:lpstr>
      <vt:lpstr>Tool Set, Master Puller Kit (AB</vt:lpstr>
      <vt:lpstr>Tool Set, Seat Survival</vt:lpstr>
      <vt:lpstr>Tool Set, AF Hyd (BC)</vt:lpstr>
      <vt:lpstr>Tool Set, PP Shop (BC)</vt:lpstr>
      <vt:lpstr>Tool Set, Lift Systems (B)</vt:lpstr>
      <vt:lpstr>Tool Set, Egress (A)</vt:lpstr>
      <vt:lpstr>Tool Set, Egress (BC)</vt:lpstr>
      <vt:lpstr>Tool Set, Torque Head </vt:lpstr>
      <vt:lpstr>Tool Set, Fuels  (A)</vt:lpstr>
      <vt:lpstr>Tool Set, Fuels (BC)</vt:lpstr>
      <vt:lpstr>Tool Set, Panel Kit (A)</vt:lpstr>
      <vt:lpstr>Tool Set, Tire Wheel (A)</vt:lpstr>
      <vt:lpstr>Tool Set, OML Pouch (A)</vt:lpstr>
      <vt:lpstr>Tool Set, Tire Wheel (C)</vt:lpstr>
      <vt:lpstr>Tool Set, Avi Maint (A)</vt:lpstr>
      <vt:lpstr>Tool Set, Avi Electrical (A)</vt:lpstr>
      <vt:lpstr>Tool Set, Gun Jam Clearing (A)</vt:lpstr>
      <vt:lpstr>Tool Set, Weapons (A)</vt:lpstr>
      <vt:lpstr>Tool Set, Gun Jam Clearing (BC)</vt:lpstr>
      <vt:lpstr>Tool Set, Wpns Load Kit (BC)</vt:lpstr>
      <vt:lpstr>Tool Set, Egress Dispatch (A)</vt:lpstr>
      <vt:lpstr>Tool Box, Oxygen Use Only (A)</vt:lpstr>
      <vt:lpstr>Tool Set, 13B FS Pouch (B)</vt:lpstr>
      <vt:lpstr>Tool Set, 310 FS Pouch (B)</vt:lpstr>
      <vt:lpstr>Tool Set, 310 Shop Pouch (C)</vt:lpstr>
      <vt:lpstr>Tool Set, Traffic Directing (B)</vt:lpstr>
      <vt:lpstr>Tool Set, Crew Chief (A)</vt:lpstr>
      <vt:lpstr>Tool Set, CC Pouch (BC)</vt:lpstr>
      <vt:lpstr>Fuel Shop Dispatch (A)</vt:lpstr>
      <vt:lpstr>Tool Set, LO Dispatch (A)</vt:lpstr>
      <vt:lpstr>Tool Set, Fastener (A)</vt:lpstr>
      <vt:lpstr>Tool Set, Eddie Bolt</vt:lpstr>
      <vt:lpstr>Tool Set, Rivet</vt:lpstr>
      <vt:lpstr>Tool Set, Captive Fastener</vt:lpstr>
      <vt:lpstr>Tool Set, LO Composite (BC)</vt:lpstr>
      <vt:lpstr>Tool Set, OML Pouch (BC)</vt:lpstr>
      <vt:lpstr>Tool Box, Oxygen Use Only (BC)</vt:lpstr>
      <vt:lpstr>Tool Set, 13B FS Pouch (C)</vt:lpstr>
      <vt:lpstr>Tool Set, Traffic Directing (C)</vt:lpstr>
      <vt:lpstr>Tool Set, Fastener (BC)</vt:lpstr>
      <vt:lpstr>Tool Set, AF Servicing Pouch(B)</vt:lpstr>
      <vt:lpstr>Tool Set, AF Servicing Pouch(C)</vt:lpstr>
      <vt:lpstr>Tool Set, PL Tire Removal (B)</vt:lpstr>
      <vt:lpstr>Tool Set, Avionics Maint (B) </vt:lpstr>
      <vt:lpstr>Tool Set, Avi Maint Pouch (B)</vt:lpstr>
      <vt:lpstr>Tool Set, Avionics Line (B)</vt:lpstr>
      <vt:lpstr>Tool Set, Weapons Maint (BC)</vt:lpstr>
      <vt:lpstr>Tool Set, 110 FR Pouch (C)</vt:lpstr>
      <vt:lpstr>Tool Set, 040 Inspect Box (C)</vt:lpstr>
      <vt:lpstr>Tool Set, Ordnance TD (B)</vt:lpstr>
      <vt:lpstr>Tool Set, Oxygen Use Only</vt:lpstr>
      <vt:lpstr>Tool Set, LO Dispatch (BC)</vt:lpstr>
      <vt:lpstr>Tool Set, Panel Line Box (B)</vt:lpstr>
      <vt:lpstr>Tool Set, Electrical Main (C)</vt:lpstr>
      <vt:lpstr>Tool Set, Electrical TS (C)</vt:lpstr>
      <vt:lpstr>Tool Set, Wire Repair (C)</vt:lpstr>
      <vt:lpstr>Tool Set, Avi Maint (C)</vt:lpstr>
      <vt:lpstr>Tool Set, Avi TS (C)</vt:lpstr>
      <vt:lpstr>Tool Set, Avi TS Pouch (C)</vt:lpstr>
      <vt:lpstr>Tool Set, EOTS Maint (C)</vt:lpstr>
      <vt:lpstr>Tool Set, Control Surfaces</vt:lpstr>
      <vt:lpstr>'Tool Set, Avi Electrical (A)'!Print_Area</vt:lpstr>
      <vt:lpstr>'Tool Set, Avionics Line (B)'!Print_Area</vt:lpstr>
      <vt:lpstr>'Tool Set, Avionics Maint (B) 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harold.kimball</dc:creator>
  <cp:lastModifiedBy>Daly, Eric M CIV (USA)</cp:lastModifiedBy>
  <cp:lastPrinted>2015-08-24T18:43:29Z</cp:lastPrinted>
  <dcterms:created xsi:type="dcterms:W3CDTF">2012-08-20T12:24:09Z</dcterms:created>
  <dcterms:modified xsi:type="dcterms:W3CDTF">2026-03-12T13:24:08Z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ontentTypeId">
    <vt:lpwstr>0x010100998ED7DC9E1E764EB54EFD225770C6C9</vt:lpwstr>
  </property>
</Properties>
</file>