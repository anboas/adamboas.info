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https://flankspeed-my.sharepoint-mil.us/personal/vivian_m_truman2_civ_us_navy_mil/Documents/Documents/Migdata/Seaport/"/>
    </mc:Choice>
  </mc:AlternateContent>
  <xr:revisionPtr revIDLastSave="0" documentId="8_{C27E156F-DF9E-4C9A-9870-EBCA7B1C9361}" xr6:coauthVersionLast="47" xr6:coauthVersionMax="47" xr10:uidLastSave="{00000000-0000-0000-0000-000000000000}"/>
  <bookViews>
    <workbookView xWindow="-108" yWindow="60" windowWidth="23256" windowHeight="12288" xr2:uid="{00000000-000D-0000-FFFF-FFFF00000000}"/>
  </bookViews>
  <sheets>
    <sheet name="Pricing Worksheet" sheetId="1" r:id="rId1"/>
    <sheet name="Subcontractor" sheetId="2" r:id="rId2"/>
    <sheet name="Tripwire" sheetId="6" r:id="rId3"/>
  </sheets>
  <definedNames>
    <definedName name="_xlnm.Print_Area" localSheetId="0">'Pricing Worksheet'!$A$1:$X$152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1" l="1"/>
  <c r="X53" i="2"/>
  <c r="T53" i="2"/>
  <c r="P53" i="2"/>
  <c r="L53" i="2"/>
  <c r="H53" i="2"/>
  <c r="AA52" i="2"/>
  <c r="Y52" i="2"/>
  <c r="U52" i="2"/>
  <c r="Q52" i="2"/>
  <c r="M52" i="2"/>
  <c r="I52" i="2"/>
  <c r="AB52" i="2" s="1"/>
  <c r="AA51" i="2"/>
  <c r="Y51" i="2"/>
  <c r="U51" i="2"/>
  <c r="Q51" i="2"/>
  <c r="M51" i="2"/>
  <c r="I51" i="2"/>
  <c r="AB51" i="2" s="1"/>
  <c r="AA50" i="2"/>
  <c r="Y50" i="2"/>
  <c r="U50" i="2"/>
  <c r="Q50" i="2"/>
  <c r="M50" i="2"/>
  <c r="I50" i="2"/>
  <c r="AB50" i="2" s="1"/>
  <c r="AA49" i="2"/>
  <c r="Y49" i="2"/>
  <c r="U49" i="2"/>
  <c r="Q49" i="2"/>
  <c r="M49" i="2"/>
  <c r="I49" i="2"/>
  <c r="AB49" i="2" s="1"/>
  <c r="AA48" i="2"/>
  <c r="AA53" i="2" s="1"/>
  <c r="Y48" i="2"/>
  <c r="Y53" i="2" s="1"/>
  <c r="U48" i="2"/>
  <c r="U53" i="2" s="1"/>
  <c r="Q48" i="2"/>
  <c r="Q53" i="2" s="1"/>
  <c r="M48" i="2"/>
  <c r="M53" i="2" s="1"/>
  <c r="I48" i="2"/>
  <c r="I53" i="2" l="1"/>
  <c r="AB48" i="2"/>
  <c r="AB53" i="2" s="1"/>
  <c r="N128" i="6" l="1"/>
  <c r="N129" i="6"/>
  <c r="N130" i="6"/>
  <c r="N131" i="6"/>
  <c r="N132" i="6"/>
  <c r="N133" i="6"/>
  <c r="N134" i="6"/>
  <c r="N135" i="6"/>
  <c r="N136" i="6"/>
  <c r="N137" i="6"/>
  <c r="N138" i="6"/>
  <c r="N139" i="6"/>
  <c r="N140" i="6"/>
  <c r="N141" i="6"/>
  <c r="N142" i="6"/>
  <c r="N143" i="6"/>
  <c r="N144" i="6"/>
  <c r="N145" i="6"/>
  <c r="N146" i="6"/>
  <c r="N147" i="6"/>
  <c r="N148" i="6"/>
  <c r="N149" i="6"/>
  <c r="N150" i="6"/>
  <c r="N127" i="6"/>
  <c r="L128" i="6"/>
  <c r="L129" i="6"/>
  <c r="L130" i="6"/>
  <c r="L131" i="6"/>
  <c r="L132" i="6"/>
  <c r="L133" i="6"/>
  <c r="L134" i="6"/>
  <c r="M134" i="6" s="1"/>
  <c r="L135" i="6"/>
  <c r="M135" i="6" s="1"/>
  <c r="L136" i="6"/>
  <c r="M136" i="6" s="1"/>
  <c r="L137" i="6"/>
  <c r="M137" i="6" s="1"/>
  <c r="L138" i="6"/>
  <c r="M138" i="6" s="1"/>
  <c r="L139" i="6"/>
  <c r="M139" i="6" s="1"/>
  <c r="L140" i="6"/>
  <c r="L141" i="6"/>
  <c r="L142" i="6"/>
  <c r="L143" i="6"/>
  <c r="L144" i="6"/>
  <c r="L145" i="6"/>
  <c r="L146" i="6"/>
  <c r="M146" i="6" s="1"/>
  <c r="L147" i="6"/>
  <c r="M147" i="6" s="1"/>
  <c r="L148" i="6"/>
  <c r="M148" i="6" s="1"/>
  <c r="L149" i="6"/>
  <c r="M149" i="6" s="1"/>
  <c r="L150" i="6"/>
  <c r="M150" i="6" s="1"/>
  <c r="L127" i="6"/>
  <c r="J128" i="6"/>
  <c r="J129" i="6"/>
  <c r="J130" i="6"/>
  <c r="J131" i="6"/>
  <c r="J132" i="6"/>
  <c r="J133" i="6"/>
  <c r="J134" i="6"/>
  <c r="J135" i="6"/>
  <c r="J136" i="6"/>
  <c r="J137" i="6"/>
  <c r="J138" i="6"/>
  <c r="J139" i="6"/>
  <c r="J140" i="6"/>
  <c r="J141" i="6"/>
  <c r="J142" i="6"/>
  <c r="J143" i="6"/>
  <c r="J144" i="6"/>
  <c r="J145" i="6"/>
  <c r="J146" i="6"/>
  <c r="J147" i="6"/>
  <c r="J148" i="6"/>
  <c r="J149" i="6"/>
  <c r="J150" i="6"/>
  <c r="J127" i="6"/>
  <c r="H128" i="6"/>
  <c r="H129" i="6"/>
  <c r="H130" i="6"/>
  <c r="H131" i="6"/>
  <c r="H132" i="6"/>
  <c r="H133" i="6"/>
  <c r="H134" i="6"/>
  <c r="H135" i="6"/>
  <c r="H136" i="6"/>
  <c r="H137" i="6"/>
  <c r="H138" i="6"/>
  <c r="H139" i="6"/>
  <c r="H140" i="6"/>
  <c r="H141" i="6"/>
  <c r="H142" i="6"/>
  <c r="H143" i="6"/>
  <c r="H144" i="6"/>
  <c r="H145" i="6"/>
  <c r="H146" i="6"/>
  <c r="H147" i="6"/>
  <c r="H148" i="6"/>
  <c r="H149" i="6"/>
  <c r="H150" i="6"/>
  <c r="H127" i="6"/>
  <c r="F128" i="6"/>
  <c r="F129" i="6"/>
  <c r="F130" i="6"/>
  <c r="F131" i="6"/>
  <c r="F132" i="6"/>
  <c r="F133" i="6"/>
  <c r="F134" i="6"/>
  <c r="G134" i="6" s="1"/>
  <c r="I134" i="6" s="1"/>
  <c r="F135" i="6"/>
  <c r="G135" i="6" s="1"/>
  <c r="I135" i="6" s="1"/>
  <c r="F136" i="6"/>
  <c r="G136" i="6" s="1"/>
  <c r="I136" i="6" s="1"/>
  <c r="F137" i="6"/>
  <c r="G137" i="6" s="1"/>
  <c r="I137" i="6" s="1"/>
  <c r="F138" i="6"/>
  <c r="G138" i="6" s="1"/>
  <c r="I138" i="6" s="1"/>
  <c r="K138" i="6" s="1"/>
  <c r="F139" i="6"/>
  <c r="G139" i="6" s="1"/>
  <c r="F140" i="6"/>
  <c r="F141" i="6"/>
  <c r="F142" i="6"/>
  <c r="F143" i="6"/>
  <c r="F144" i="6"/>
  <c r="F145" i="6"/>
  <c r="F146" i="6"/>
  <c r="G146" i="6" s="1"/>
  <c r="I146" i="6" s="1"/>
  <c r="F147" i="6"/>
  <c r="G147" i="6" s="1"/>
  <c r="I147" i="6" s="1"/>
  <c r="F148" i="6"/>
  <c r="G148" i="6" s="1"/>
  <c r="I148" i="6" s="1"/>
  <c r="F149" i="6"/>
  <c r="G149" i="6" s="1"/>
  <c r="I149" i="6" s="1"/>
  <c r="F150" i="6"/>
  <c r="G150" i="6" s="1"/>
  <c r="I150" i="6" s="1"/>
  <c r="F127" i="6"/>
  <c r="G140" i="6"/>
  <c r="G141" i="6"/>
  <c r="I141" i="6" s="1"/>
  <c r="K141" i="6" s="1"/>
  <c r="G142" i="6"/>
  <c r="I142" i="6" s="1"/>
  <c r="K142" i="6" s="1"/>
  <c r="G143" i="6"/>
  <c r="I143" i="6" s="1"/>
  <c r="K143" i="6" s="1"/>
  <c r="G144" i="6"/>
  <c r="I144" i="6" s="1"/>
  <c r="G145" i="6"/>
  <c r="I145" i="6" s="1"/>
  <c r="I140" i="6"/>
  <c r="K140" i="6" s="1"/>
  <c r="M140" i="6"/>
  <c r="M141" i="6"/>
  <c r="M142" i="6"/>
  <c r="M143" i="6"/>
  <c r="M144" i="6"/>
  <c r="M145" i="6"/>
  <c r="N99" i="6"/>
  <c r="N100" i="6"/>
  <c r="N101" i="6"/>
  <c r="N102" i="6"/>
  <c r="N103" i="6"/>
  <c r="N104" i="6"/>
  <c r="N105" i="6"/>
  <c r="N106" i="6"/>
  <c r="N107" i="6"/>
  <c r="N108" i="6"/>
  <c r="N109" i="6"/>
  <c r="N110" i="6"/>
  <c r="N111" i="6"/>
  <c r="N112" i="6"/>
  <c r="N113" i="6"/>
  <c r="N114" i="6"/>
  <c r="N115" i="6"/>
  <c r="N116" i="6"/>
  <c r="N117" i="6"/>
  <c r="N118" i="6"/>
  <c r="N119" i="6"/>
  <c r="N120" i="6"/>
  <c r="N121" i="6"/>
  <c r="N98" i="6"/>
  <c r="L99" i="6"/>
  <c r="L100" i="6"/>
  <c r="L101" i="6"/>
  <c r="L102" i="6"/>
  <c r="L103" i="6"/>
  <c r="L104" i="6"/>
  <c r="L105" i="6"/>
  <c r="M105" i="6" s="1"/>
  <c r="L106" i="6"/>
  <c r="M106" i="6" s="1"/>
  <c r="L107" i="6"/>
  <c r="M107" i="6" s="1"/>
  <c r="L108" i="6"/>
  <c r="M108" i="6" s="1"/>
  <c r="L109" i="6"/>
  <c r="M109" i="6" s="1"/>
  <c r="L110" i="6"/>
  <c r="M110" i="6" s="1"/>
  <c r="L111" i="6"/>
  <c r="L112" i="6"/>
  <c r="L113" i="6"/>
  <c r="M113" i="6" s="1"/>
  <c r="L114" i="6"/>
  <c r="M114" i="6" s="1"/>
  <c r="L115" i="6"/>
  <c r="M115" i="6" s="1"/>
  <c r="L116" i="6"/>
  <c r="M116" i="6" s="1"/>
  <c r="L117" i="6"/>
  <c r="M117" i="6" s="1"/>
  <c r="L118" i="6"/>
  <c r="M118" i="6" s="1"/>
  <c r="L119" i="6"/>
  <c r="M119" i="6" s="1"/>
  <c r="L120" i="6"/>
  <c r="M120" i="6" s="1"/>
  <c r="L121" i="6"/>
  <c r="M121" i="6" s="1"/>
  <c r="L98" i="6"/>
  <c r="M98" i="6" s="1"/>
  <c r="J99" i="6"/>
  <c r="J100" i="6"/>
  <c r="J101" i="6"/>
  <c r="J102" i="6"/>
  <c r="J103" i="6"/>
  <c r="J104" i="6"/>
  <c r="J105" i="6"/>
  <c r="J106" i="6"/>
  <c r="J107" i="6"/>
  <c r="J108" i="6"/>
  <c r="J109" i="6"/>
  <c r="J110" i="6"/>
  <c r="J111" i="6"/>
  <c r="J112" i="6"/>
  <c r="J113" i="6"/>
  <c r="J114" i="6"/>
  <c r="J115" i="6"/>
  <c r="J116" i="6"/>
  <c r="J117" i="6"/>
  <c r="J118" i="6"/>
  <c r="J119" i="6"/>
  <c r="J120" i="6"/>
  <c r="J121" i="6"/>
  <c r="J98" i="6"/>
  <c r="H99" i="6"/>
  <c r="H100" i="6"/>
  <c r="H101" i="6"/>
  <c r="H102" i="6"/>
  <c r="H103" i="6"/>
  <c r="H104" i="6"/>
  <c r="H105" i="6"/>
  <c r="H106" i="6"/>
  <c r="H107" i="6"/>
  <c r="H108" i="6"/>
  <c r="H109" i="6"/>
  <c r="H110" i="6"/>
  <c r="H111" i="6"/>
  <c r="H112" i="6"/>
  <c r="H113" i="6"/>
  <c r="H114" i="6"/>
  <c r="H115" i="6"/>
  <c r="H116" i="6"/>
  <c r="H117" i="6"/>
  <c r="H118" i="6"/>
  <c r="H119" i="6"/>
  <c r="H120" i="6"/>
  <c r="H121" i="6"/>
  <c r="H98" i="6"/>
  <c r="F99" i="6"/>
  <c r="G99" i="6" s="1"/>
  <c r="F100" i="6"/>
  <c r="F101" i="6"/>
  <c r="F102" i="6"/>
  <c r="F103" i="6"/>
  <c r="F104" i="6"/>
  <c r="G104" i="6" s="1"/>
  <c r="I104" i="6" s="1"/>
  <c r="F105" i="6"/>
  <c r="G105" i="6" s="1"/>
  <c r="I105" i="6" s="1"/>
  <c r="F106" i="6"/>
  <c r="G106" i="6" s="1"/>
  <c r="I106" i="6" s="1"/>
  <c r="F107" i="6"/>
  <c r="G107" i="6" s="1"/>
  <c r="I107" i="6" s="1"/>
  <c r="F108" i="6"/>
  <c r="G108" i="6" s="1"/>
  <c r="I108" i="6" s="1"/>
  <c r="F109" i="6"/>
  <c r="G109" i="6" s="1"/>
  <c r="F110" i="6"/>
  <c r="G110" i="6" s="1"/>
  <c r="F111" i="6"/>
  <c r="G111" i="6" s="1"/>
  <c r="F112" i="6"/>
  <c r="F113" i="6"/>
  <c r="F114" i="6"/>
  <c r="G114" i="6" s="1"/>
  <c r="I114" i="6" s="1"/>
  <c r="F115" i="6"/>
  <c r="F116" i="6"/>
  <c r="G116" i="6" s="1"/>
  <c r="I116" i="6" s="1"/>
  <c r="F117" i="6"/>
  <c r="G117" i="6" s="1"/>
  <c r="I117" i="6" s="1"/>
  <c r="F118" i="6"/>
  <c r="G118" i="6" s="1"/>
  <c r="I118" i="6" s="1"/>
  <c r="F119" i="6"/>
  <c r="G119" i="6" s="1"/>
  <c r="I119" i="6" s="1"/>
  <c r="F120" i="6"/>
  <c r="G120" i="6" s="1"/>
  <c r="I120" i="6" s="1"/>
  <c r="F121" i="6"/>
  <c r="G121" i="6" s="1"/>
  <c r="F98" i="6"/>
  <c r="G98" i="6" s="1"/>
  <c r="M104" i="6"/>
  <c r="M111" i="6"/>
  <c r="M112" i="6"/>
  <c r="G112" i="6"/>
  <c r="I112" i="6" s="1"/>
  <c r="G113" i="6"/>
  <c r="I113" i="6" s="1"/>
  <c r="G115" i="6"/>
  <c r="N70" i="6"/>
  <c r="N71" i="6"/>
  <c r="N72" i="6"/>
  <c r="N73" i="6"/>
  <c r="N74" i="6"/>
  <c r="N75" i="6"/>
  <c r="N76" i="6"/>
  <c r="N77" i="6"/>
  <c r="N78" i="6"/>
  <c r="N79" i="6"/>
  <c r="N80" i="6"/>
  <c r="N81" i="6"/>
  <c r="N82" i="6"/>
  <c r="N83" i="6"/>
  <c r="N84" i="6"/>
  <c r="N85" i="6"/>
  <c r="N86" i="6"/>
  <c r="N87" i="6"/>
  <c r="N88" i="6"/>
  <c r="N89" i="6"/>
  <c r="N90" i="6"/>
  <c r="N91" i="6"/>
  <c r="N92" i="6"/>
  <c r="N69" i="6"/>
  <c r="L70" i="6"/>
  <c r="M70" i="6" s="1"/>
  <c r="L71" i="6"/>
  <c r="L72" i="6"/>
  <c r="L73" i="6"/>
  <c r="M73" i="6" s="1"/>
  <c r="L74" i="6"/>
  <c r="M74" i="6" s="1"/>
  <c r="L75" i="6"/>
  <c r="M75" i="6" s="1"/>
  <c r="L76" i="6"/>
  <c r="M76" i="6" s="1"/>
  <c r="L77" i="6"/>
  <c r="M77" i="6" s="1"/>
  <c r="L78" i="6"/>
  <c r="M78" i="6" s="1"/>
  <c r="L79" i="6"/>
  <c r="M79" i="6" s="1"/>
  <c r="L80" i="6"/>
  <c r="M80" i="6" s="1"/>
  <c r="L81" i="6"/>
  <c r="M81" i="6" s="1"/>
  <c r="L82" i="6"/>
  <c r="L83" i="6"/>
  <c r="L84" i="6"/>
  <c r="L85" i="6"/>
  <c r="L86" i="6"/>
  <c r="L87" i="6"/>
  <c r="L88" i="6"/>
  <c r="M88" i="6" s="1"/>
  <c r="L89" i="6"/>
  <c r="M89" i="6" s="1"/>
  <c r="L90" i="6"/>
  <c r="M90" i="6" s="1"/>
  <c r="L91" i="6"/>
  <c r="M91" i="6" s="1"/>
  <c r="L92" i="6"/>
  <c r="M92" i="6" s="1"/>
  <c r="L69" i="6"/>
  <c r="M69" i="6" s="1"/>
  <c r="J70" i="6"/>
  <c r="J71" i="6"/>
  <c r="J72" i="6"/>
  <c r="J73" i="6"/>
  <c r="J74" i="6"/>
  <c r="J75" i="6"/>
  <c r="J76" i="6"/>
  <c r="J77" i="6"/>
  <c r="J78" i="6"/>
  <c r="J79" i="6"/>
  <c r="J80" i="6"/>
  <c r="J81" i="6"/>
  <c r="J82" i="6"/>
  <c r="J83" i="6"/>
  <c r="J84" i="6"/>
  <c r="J85" i="6"/>
  <c r="J86" i="6"/>
  <c r="J87" i="6"/>
  <c r="J88" i="6"/>
  <c r="J89" i="6"/>
  <c r="J90" i="6"/>
  <c r="J91" i="6"/>
  <c r="J92" i="6"/>
  <c r="J69" i="6"/>
  <c r="H70" i="6"/>
  <c r="H71" i="6"/>
  <c r="H72" i="6"/>
  <c r="H73" i="6"/>
  <c r="H74" i="6"/>
  <c r="H75" i="6"/>
  <c r="H76" i="6"/>
  <c r="H77" i="6"/>
  <c r="H78" i="6"/>
  <c r="H79" i="6"/>
  <c r="H80" i="6"/>
  <c r="H81" i="6"/>
  <c r="H82" i="6"/>
  <c r="H83" i="6"/>
  <c r="H84" i="6"/>
  <c r="H85" i="6"/>
  <c r="H86" i="6"/>
  <c r="H87" i="6"/>
  <c r="H88" i="6"/>
  <c r="H89" i="6"/>
  <c r="H90" i="6"/>
  <c r="H91" i="6"/>
  <c r="H92" i="6"/>
  <c r="H69" i="6"/>
  <c r="F70" i="6"/>
  <c r="G70" i="6" s="1"/>
  <c r="F71" i="6"/>
  <c r="F72" i="6"/>
  <c r="F73" i="6"/>
  <c r="G73" i="6" s="1"/>
  <c r="F74" i="6"/>
  <c r="G74" i="6" s="1"/>
  <c r="F75" i="6"/>
  <c r="G75" i="6" s="1"/>
  <c r="F76" i="6"/>
  <c r="G76" i="6" s="1"/>
  <c r="I76" i="6" s="1"/>
  <c r="F77" i="6"/>
  <c r="G77" i="6" s="1"/>
  <c r="F78" i="6"/>
  <c r="G78" i="6" s="1"/>
  <c r="F79" i="6"/>
  <c r="G79" i="6" s="1"/>
  <c r="F80" i="6"/>
  <c r="G80" i="6" s="1"/>
  <c r="F81" i="6"/>
  <c r="G81" i="6" s="1"/>
  <c r="F82" i="6"/>
  <c r="G82" i="6" s="1"/>
  <c r="I82" i="6" s="1"/>
  <c r="K82" i="6" s="1"/>
  <c r="F83" i="6"/>
  <c r="G83" i="6" s="1"/>
  <c r="I83" i="6" s="1"/>
  <c r="K83" i="6" s="1"/>
  <c r="F84" i="6"/>
  <c r="G84" i="6" s="1"/>
  <c r="I84" i="6" s="1"/>
  <c r="K84" i="6" s="1"/>
  <c r="F85" i="6"/>
  <c r="G85" i="6" s="1"/>
  <c r="I85" i="6" s="1"/>
  <c r="F86" i="6"/>
  <c r="G86" i="6" s="1"/>
  <c r="I86" i="6" s="1"/>
  <c r="F87" i="6"/>
  <c r="G87" i="6" s="1"/>
  <c r="F88" i="6"/>
  <c r="G88" i="6" s="1"/>
  <c r="I88" i="6" s="1"/>
  <c r="F89" i="6"/>
  <c r="G89" i="6" s="1"/>
  <c r="I89" i="6" s="1"/>
  <c r="F90" i="6"/>
  <c r="G90" i="6" s="1"/>
  <c r="I90" i="6" s="1"/>
  <c r="F91" i="6"/>
  <c r="G91" i="6" s="1"/>
  <c r="F92" i="6"/>
  <c r="G92" i="6" s="1"/>
  <c r="I92" i="6" s="1"/>
  <c r="F69" i="6"/>
  <c r="G69" i="6" s="1"/>
  <c r="I69" i="6" s="1"/>
  <c r="M82" i="6"/>
  <c r="M83" i="6"/>
  <c r="M84" i="6"/>
  <c r="M85" i="6"/>
  <c r="M86" i="6"/>
  <c r="M87" i="6"/>
  <c r="N41" i="6"/>
  <c r="N42" i="6"/>
  <c r="N43" i="6"/>
  <c r="N44" i="6"/>
  <c r="N45" i="6"/>
  <c r="N46" i="6"/>
  <c r="N47" i="6"/>
  <c r="N48" i="6"/>
  <c r="N49" i="6"/>
  <c r="N50" i="6"/>
  <c r="N51" i="6"/>
  <c r="N52" i="6"/>
  <c r="N53" i="6"/>
  <c r="N54" i="6"/>
  <c r="N55" i="6"/>
  <c r="N56" i="6"/>
  <c r="N57" i="6"/>
  <c r="N58" i="6"/>
  <c r="N59" i="6"/>
  <c r="N60" i="6"/>
  <c r="N61" i="6"/>
  <c r="N62" i="6"/>
  <c r="N63" i="6"/>
  <c r="N40" i="6"/>
  <c r="L41" i="6"/>
  <c r="M41" i="6" s="1"/>
  <c r="L42" i="6"/>
  <c r="M42" i="6" s="1"/>
  <c r="L43" i="6"/>
  <c r="M43" i="6" s="1"/>
  <c r="L44" i="6"/>
  <c r="M44" i="6" s="1"/>
  <c r="L45" i="6"/>
  <c r="M45" i="6" s="1"/>
  <c r="L46" i="6"/>
  <c r="M46" i="6" s="1"/>
  <c r="L47" i="6"/>
  <c r="M47" i="6" s="1"/>
  <c r="L48" i="6"/>
  <c r="M48" i="6" s="1"/>
  <c r="L49" i="6"/>
  <c r="M49" i="6" s="1"/>
  <c r="L50" i="6"/>
  <c r="M50" i="6" s="1"/>
  <c r="L51" i="6"/>
  <c r="M51" i="6" s="1"/>
  <c r="L52" i="6"/>
  <c r="M52" i="6" s="1"/>
  <c r="L53" i="6"/>
  <c r="L54" i="6"/>
  <c r="L55" i="6"/>
  <c r="L56" i="6"/>
  <c r="L57" i="6"/>
  <c r="L58" i="6"/>
  <c r="L59" i="6"/>
  <c r="L60" i="6"/>
  <c r="L61" i="6"/>
  <c r="M61" i="6" s="1"/>
  <c r="L62" i="6"/>
  <c r="M62" i="6" s="1"/>
  <c r="L63" i="6"/>
  <c r="M63" i="6" s="1"/>
  <c r="L40" i="6"/>
  <c r="M40" i="6" s="1"/>
  <c r="J41" i="6"/>
  <c r="J42" i="6"/>
  <c r="J43" i="6"/>
  <c r="J44" i="6"/>
  <c r="J45" i="6"/>
  <c r="J46" i="6"/>
  <c r="J47" i="6"/>
  <c r="J48" i="6"/>
  <c r="J49" i="6"/>
  <c r="J50" i="6"/>
  <c r="J51" i="6"/>
  <c r="J52" i="6"/>
  <c r="J53" i="6"/>
  <c r="J54" i="6"/>
  <c r="J55" i="6"/>
  <c r="J56" i="6"/>
  <c r="J57" i="6"/>
  <c r="J58" i="6"/>
  <c r="J59" i="6"/>
  <c r="J60" i="6"/>
  <c r="J61" i="6"/>
  <c r="J62" i="6"/>
  <c r="J63" i="6"/>
  <c r="J40" i="6"/>
  <c r="H41" i="6"/>
  <c r="H42" i="6"/>
  <c r="H43" i="6"/>
  <c r="H44" i="6"/>
  <c r="H45" i="6"/>
  <c r="H46" i="6"/>
  <c r="H47" i="6"/>
  <c r="H48" i="6"/>
  <c r="H49" i="6"/>
  <c r="H50" i="6"/>
  <c r="H51" i="6"/>
  <c r="H52" i="6"/>
  <c r="H53" i="6"/>
  <c r="H54" i="6"/>
  <c r="H55" i="6"/>
  <c r="H56" i="6"/>
  <c r="H57" i="6"/>
  <c r="H58" i="6"/>
  <c r="H59" i="6"/>
  <c r="H60" i="6"/>
  <c r="H61" i="6"/>
  <c r="H62" i="6"/>
  <c r="H63" i="6"/>
  <c r="H40" i="6"/>
  <c r="F41" i="6"/>
  <c r="G41" i="6" s="1"/>
  <c r="I41" i="6" s="1"/>
  <c r="F42" i="6"/>
  <c r="G42" i="6" s="1"/>
  <c r="I42" i="6" s="1"/>
  <c r="F43" i="6"/>
  <c r="G43" i="6" s="1"/>
  <c r="I43" i="6" s="1"/>
  <c r="F44" i="6"/>
  <c r="G44" i="6" s="1"/>
  <c r="F45" i="6"/>
  <c r="G45" i="6" s="1"/>
  <c r="I45" i="6" s="1"/>
  <c r="F46" i="6"/>
  <c r="G46" i="6" s="1"/>
  <c r="I46" i="6" s="1"/>
  <c r="F47" i="6"/>
  <c r="G47" i="6" s="1"/>
  <c r="I47" i="6" s="1"/>
  <c r="F48" i="6"/>
  <c r="G48" i="6" s="1"/>
  <c r="I48" i="6" s="1"/>
  <c r="F49" i="6"/>
  <c r="G49" i="6" s="1"/>
  <c r="F50" i="6"/>
  <c r="G50" i="6" s="1"/>
  <c r="F51" i="6"/>
  <c r="G51" i="6" s="1"/>
  <c r="F52" i="6"/>
  <c r="G52" i="6" s="1"/>
  <c r="F53" i="6"/>
  <c r="G53" i="6" s="1"/>
  <c r="I53" i="6" s="1"/>
  <c r="F54" i="6"/>
  <c r="G54" i="6" s="1"/>
  <c r="I54" i="6" s="1"/>
  <c r="F55" i="6"/>
  <c r="G55" i="6" s="1"/>
  <c r="F56" i="6"/>
  <c r="G56" i="6" s="1"/>
  <c r="F57" i="6"/>
  <c r="G57" i="6" s="1"/>
  <c r="I57" i="6" s="1"/>
  <c r="F58" i="6"/>
  <c r="G58" i="6" s="1"/>
  <c r="I58" i="6" s="1"/>
  <c r="F59" i="6"/>
  <c r="G59" i="6" s="1"/>
  <c r="I59" i="6" s="1"/>
  <c r="F60" i="6"/>
  <c r="G60" i="6" s="1"/>
  <c r="I60" i="6" s="1"/>
  <c r="F61" i="6"/>
  <c r="G61" i="6" s="1"/>
  <c r="F62" i="6"/>
  <c r="G62" i="6" s="1"/>
  <c r="F63" i="6"/>
  <c r="G63" i="6" s="1"/>
  <c r="F40" i="6"/>
  <c r="G40" i="6" s="1"/>
  <c r="O12" i="6"/>
  <c r="O13" i="6"/>
  <c r="O14" i="6"/>
  <c r="O15" i="6"/>
  <c r="O16" i="6"/>
  <c r="O17" i="6"/>
  <c r="O18" i="6"/>
  <c r="O19" i="6"/>
  <c r="O20" i="6"/>
  <c r="O21" i="6"/>
  <c r="O22" i="6"/>
  <c r="O23" i="6"/>
  <c r="O24" i="6"/>
  <c r="O25" i="6"/>
  <c r="O26" i="6"/>
  <c r="O27" i="6"/>
  <c r="O28" i="6"/>
  <c r="O29" i="6"/>
  <c r="O30" i="6"/>
  <c r="O31" i="6"/>
  <c r="O32" i="6"/>
  <c r="O33" i="6"/>
  <c r="O34" i="6"/>
  <c r="O11" i="6"/>
  <c r="N12" i="6"/>
  <c r="N13" i="6"/>
  <c r="N14" i="6"/>
  <c r="N15" i="6"/>
  <c r="N16" i="6"/>
  <c r="N17" i="6"/>
  <c r="N18" i="6"/>
  <c r="N19" i="6"/>
  <c r="N20" i="6"/>
  <c r="N21" i="6"/>
  <c r="N22" i="6"/>
  <c r="N23" i="6"/>
  <c r="N24" i="6"/>
  <c r="N25" i="6"/>
  <c r="N26" i="6"/>
  <c r="N27" i="6"/>
  <c r="N28" i="6"/>
  <c r="N29" i="6"/>
  <c r="N30" i="6"/>
  <c r="N31" i="6"/>
  <c r="N32" i="6"/>
  <c r="N33" i="6"/>
  <c r="N34" i="6"/>
  <c r="N11" i="6"/>
  <c r="L12" i="6"/>
  <c r="M12" i="6" s="1"/>
  <c r="L13" i="6"/>
  <c r="M13" i="6" s="1"/>
  <c r="L14" i="6"/>
  <c r="M14" i="6" s="1"/>
  <c r="L15" i="6"/>
  <c r="M15" i="6" s="1"/>
  <c r="L16" i="6"/>
  <c r="M16" i="6" s="1"/>
  <c r="L17" i="6"/>
  <c r="M17" i="6" s="1"/>
  <c r="L18" i="6"/>
  <c r="M18" i="6" s="1"/>
  <c r="L19" i="6"/>
  <c r="M19" i="6" s="1"/>
  <c r="L20" i="6"/>
  <c r="M20" i="6" s="1"/>
  <c r="L21" i="6"/>
  <c r="M21" i="6" s="1"/>
  <c r="L22" i="6"/>
  <c r="M22" i="6" s="1"/>
  <c r="L23" i="6"/>
  <c r="M23" i="6" s="1"/>
  <c r="L24" i="6"/>
  <c r="M24" i="6" s="1"/>
  <c r="L25" i="6"/>
  <c r="M25" i="6" s="1"/>
  <c r="L26" i="6"/>
  <c r="M26" i="6" s="1"/>
  <c r="L27" i="6"/>
  <c r="M27" i="6" s="1"/>
  <c r="L28" i="6"/>
  <c r="M28" i="6" s="1"/>
  <c r="L29" i="6"/>
  <c r="M29" i="6" s="1"/>
  <c r="L30" i="6"/>
  <c r="M30" i="6" s="1"/>
  <c r="L31" i="6"/>
  <c r="M31" i="6" s="1"/>
  <c r="L32" i="6"/>
  <c r="M32" i="6" s="1"/>
  <c r="L33" i="6"/>
  <c r="M33" i="6" s="1"/>
  <c r="L34" i="6"/>
  <c r="M34" i="6" s="1"/>
  <c r="L11" i="6"/>
  <c r="M11" i="6" s="1"/>
  <c r="J12" i="6"/>
  <c r="J13" i="6"/>
  <c r="J14" i="6"/>
  <c r="J15" i="6"/>
  <c r="J16" i="6"/>
  <c r="J17" i="6"/>
  <c r="J18" i="6"/>
  <c r="J19" i="6"/>
  <c r="J20" i="6"/>
  <c r="J21" i="6"/>
  <c r="J22" i="6"/>
  <c r="J23" i="6"/>
  <c r="J24" i="6"/>
  <c r="J25" i="6"/>
  <c r="J26" i="6"/>
  <c r="J27" i="6"/>
  <c r="J28" i="6"/>
  <c r="J29" i="6"/>
  <c r="J30" i="6"/>
  <c r="J31" i="6"/>
  <c r="J32" i="6"/>
  <c r="J33" i="6"/>
  <c r="J34" i="6"/>
  <c r="J11" i="6"/>
  <c r="H12" i="6"/>
  <c r="H13" i="6"/>
  <c r="H14" i="6"/>
  <c r="H15" i="6"/>
  <c r="H16" i="6"/>
  <c r="H17" i="6"/>
  <c r="H18" i="6"/>
  <c r="H19" i="6"/>
  <c r="H20" i="6"/>
  <c r="H21" i="6"/>
  <c r="H22" i="6"/>
  <c r="H23" i="6"/>
  <c r="H24" i="6"/>
  <c r="H25" i="6"/>
  <c r="H26" i="6"/>
  <c r="H27" i="6"/>
  <c r="H28" i="6"/>
  <c r="H29" i="6"/>
  <c r="H30" i="6"/>
  <c r="H31" i="6"/>
  <c r="H32" i="6"/>
  <c r="H33" i="6"/>
  <c r="H34" i="6"/>
  <c r="H11" i="6"/>
  <c r="F19" i="6"/>
  <c r="G19" i="6" s="1"/>
  <c r="F20" i="6"/>
  <c r="G20" i="6" s="1"/>
  <c r="F21" i="6"/>
  <c r="G21" i="6" s="1"/>
  <c r="F22" i="6"/>
  <c r="G22" i="6" s="1"/>
  <c r="F23" i="6"/>
  <c r="G23" i="6" s="1"/>
  <c r="F24" i="6"/>
  <c r="G24" i="6" s="1"/>
  <c r="F25" i="6"/>
  <c r="G25" i="6" s="1"/>
  <c r="F26" i="6"/>
  <c r="G26" i="6" s="1"/>
  <c r="F27" i="6"/>
  <c r="G27" i="6" s="1"/>
  <c r="F28" i="6"/>
  <c r="G28" i="6" s="1"/>
  <c r="F29" i="6"/>
  <c r="G29" i="6" s="1"/>
  <c r="F30" i="6"/>
  <c r="G30" i="6" s="1"/>
  <c r="F31" i="6"/>
  <c r="G31" i="6" s="1"/>
  <c r="F32" i="6"/>
  <c r="G32" i="6" s="1"/>
  <c r="F33" i="6"/>
  <c r="G33" i="6" s="1"/>
  <c r="F34" i="6"/>
  <c r="G34" i="6" s="1"/>
  <c r="F12" i="6"/>
  <c r="G12" i="6" s="1"/>
  <c r="F13" i="6"/>
  <c r="G13" i="6" s="1"/>
  <c r="F14" i="6"/>
  <c r="G14" i="6" s="1"/>
  <c r="F15" i="6"/>
  <c r="G15" i="6" s="1"/>
  <c r="F16" i="6"/>
  <c r="G16" i="6" s="1"/>
  <c r="F17" i="6"/>
  <c r="G17" i="6" s="1"/>
  <c r="F18" i="6"/>
  <c r="G18" i="6" s="1"/>
  <c r="F11" i="6"/>
  <c r="G11" i="6" s="1"/>
  <c r="I11" i="6" s="1"/>
  <c r="M53" i="6"/>
  <c r="M54" i="6"/>
  <c r="M55" i="6"/>
  <c r="M56" i="6"/>
  <c r="M57" i="6"/>
  <c r="M58" i="6"/>
  <c r="M59" i="6"/>
  <c r="M60" i="6"/>
  <c r="M133" i="6"/>
  <c r="G133" i="6"/>
  <c r="M132" i="6"/>
  <c r="G132" i="6"/>
  <c r="M131" i="6"/>
  <c r="G131" i="6"/>
  <c r="M130" i="6"/>
  <c r="G130" i="6"/>
  <c r="M129" i="6"/>
  <c r="G129" i="6"/>
  <c r="M128" i="6"/>
  <c r="G128" i="6"/>
  <c r="M127" i="6"/>
  <c r="G127" i="6"/>
  <c r="M103" i="6"/>
  <c r="G103" i="6"/>
  <c r="M102" i="6"/>
  <c r="G102" i="6"/>
  <c r="M101" i="6"/>
  <c r="G101" i="6"/>
  <c r="M100" i="6"/>
  <c r="G100" i="6"/>
  <c r="M99" i="6"/>
  <c r="M72" i="6"/>
  <c r="G72" i="6"/>
  <c r="M71" i="6"/>
  <c r="G71" i="6"/>
  <c r="E116" i="1"/>
  <c r="E117" i="1"/>
  <c r="E118" i="1"/>
  <c r="E119" i="1"/>
  <c r="E120" i="1"/>
  <c r="E121" i="1"/>
  <c r="E122" i="1"/>
  <c r="E123" i="1"/>
  <c r="E124" i="1"/>
  <c r="E125" i="1"/>
  <c r="E126" i="1"/>
  <c r="E127" i="1"/>
  <c r="E128" i="1"/>
  <c r="E129" i="1"/>
  <c r="E130" i="1"/>
  <c r="E131" i="1"/>
  <c r="E132" i="1"/>
  <c r="E133" i="1"/>
  <c r="E134" i="1"/>
  <c r="E135" i="1"/>
  <c r="E136" i="1"/>
  <c r="E137" i="1"/>
  <c r="E138" i="1"/>
  <c r="E115" i="1"/>
  <c r="E89" i="1"/>
  <c r="E90" i="1"/>
  <c r="E91" i="1"/>
  <c r="E92" i="1"/>
  <c r="E93" i="1"/>
  <c r="E94" i="1"/>
  <c r="E95" i="1"/>
  <c r="E96" i="1"/>
  <c r="E97" i="1"/>
  <c r="E98" i="1"/>
  <c r="E99" i="1"/>
  <c r="E100" i="1"/>
  <c r="E101" i="1"/>
  <c r="E102" i="1"/>
  <c r="E103" i="1"/>
  <c r="E104" i="1"/>
  <c r="E105" i="1"/>
  <c r="E106" i="1"/>
  <c r="E107" i="1"/>
  <c r="E108" i="1"/>
  <c r="E109" i="1"/>
  <c r="E110" i="1"/>
  <c r="E111" i="1"/>
  <c r="E88" i="1"/>
  <c r="E62" i="1"/>
  <c r="E63" i="1"/>
  <c r="E64" i="1"/>
  <c r="E65" i="1"/>
  <c r="E66" i="1"/>
  <c r="E67" i="1"/>
  <c r="E68" i="1"/>
  <c r="E69" i="1"/>
  <c r="E70" i="1"/>
  <c r="E71" i="1"/>
  <c r="E72" i="1"/>
  <c r="E73" i="1"/>
  <c r="E74" i="1"/>
  <c r="E75" i="1"/>
  <c r="E76" i="1"/>
  <c r="E77" i="1"/>
  <c r="E78" i="1"/>
  <c r="E79" i="1"/>
  <c r="E80" i="1"/>
  <c r="E81" i="1"/>
  <c r="E82" i="1"/>
  <c r="E83" i="1"/>
  <c r="E84" i="1"/>
  <c r="E61" i="1"/>
  <c r="E35" i="1"/>
  <c r="E36" i="1"/>
  <c r="E37" i="1"/>
  <c r="E38" i="1"/>
  <c r="E39" i="1"/>
  <c r="E40" i="1"/>
  <c r="E41" i="1"/>
  <c r="E42" i="1"/>
  <c r="E43" i="1"/>
  <c r="E44" i="1"/>
  <c r="E45" i="1"/>
  <c r="E46" i="1"/>
  <c r="E47" i="1"/>
  <c r="E48" i="1"/>
  <c r="E49" i="1"/>
  <c r="E50" i="1"/>
  <c r="E51" i="1"/>
  <c r="E52" i="1"/>
  <c r="E53" i="1"/>
  <c r="E54" i="1"/>
  <c r="E55" i="1"/>
  <c r="E56" i="1"/>
  <c r="E57" i="1"/>
  <c r="E34" i="1"/>
  <c r="E8" i="1"/>
  <c r="E9" i="1"/>
  <c r="E10" i="1"/>
  <c r="E11" i="1"/>
  <c r="E12" i="1"/>
  <c r="E13" i="1"/>
  <c r="E14" i="1"/>
  <c r="E15" i="1"/>
  <c r="E16" i="1"/>
  <c r="E17" i="1"/>
  <c r="E18" i="1"/>
  <c r="E19" i="1"/>
  <c r="E20" i="1"/>
  <c r="E21" i="1"/>
  <c r="E22" i="1"/>
  <c r="E23" i="1"/>
  <c r="E24" i="1"/>
  <c r="E25" i="1"/>
  <c r="E26" i="1"/>
  <c r="E27" i="1"/>
  <c r="E28" i="1"/>
  <c r="E29" i="1"/>
  <c r="E30" i="1"/>
  <c r="E7" i="1"/>
  <c r="P150" i="6" l="1"/>
  <c r="P149" i="6"/>
  <c r="P146" i="6"/>
  <c r="K147" i="6"/>
  <c r="K135" i="6"/>
  <c r="K145" i="6"/>
  <c r="K144" i="6"/>
  <c r="I139" i="6"/>
  <c r="K139" i="6"/>
  <c r="P139" i="6"/>
  <c r="K137" i="6"/>
  <c r="P137" i="6"/>
  <c r="P148" i="6"/>
  <c r="K148" i="6"/>
  <c r="P136" i="6"/>
  <c r="K136" i="6"/>
  <c r="K134" i="6"/>
  <c r="P134" i="6"/>
  <c r="P140" i="6"/>
  <c r="K150" i="6"/>
  <c r="K149" i="6"/>
  <c r="K146" i="6"/>
  <c r="P147" i="6"/>
  <c r="P135" i="6"/>
  <c r="P138" i="6"/>
  <c r="P144" i="6"/>
  <c r="P145" i="6"/>
  <c r="P143" i="6"/>
  <c r="P142" i="6"/>
  <c r="P141" i="6"/>
  <c r="I44" i="6"/>
  <c r="I56" i="6"/>
  <c r="I111" i="6"/>
  <c r="I121" i="6"/>
  <c r="K121" i="6" s="1"/>
  <c r="I109" i="6"/>
  <c r="K109" i="6" s="1"/>
  <c r="I110" i="6"/>
  <c r="P110" i="6" s="1"/>
  <c r="I87" i="6"/>
  <c r="P87" i="6" s="1"/>
  <c r="I61" i="6"/>
  <c r="P61" i="6" s="1"/>
  <c r="I115" i="6"/>
  <c r="K115" i="6" s="1"/>
  <c r="P112" i="6"/>
  <c r="K112" i="6"/>
  <c r="P120" i="6"/>
  <c r="K120" i="6"/>
  <c r="P108" i="6"/>
  <c r="K108" i="6"/>
  <c r="P119" i="6"/>
  <c r="K119" i="6"/>
  <c r="P107" i="6"/>
  <c r="K107" i="6"/>
  <c r="P118" i="6"/>
  <c r="K118" i="6"/>
  <c r="P106" i="6"/>
  <c r="K106" i="6"/>
  <c r="P117" i="6"/>
  <c r="K117" i="6"/>
  <c r="P105" i="6"/>
  <c r="K105" i="6"/>
  <c r="P116" i="6"/>
  <c r="K116" i="6"/>
  <c r="P104" i="6"/>
  <c r="K104" i="6"/>
  <c r="P111" i="6"/>
  <c r="K111" i="6"/>
  <c r="P114" i="6"/>
  <c r="K114" i="6"/>
  <c r="P113" i="6"/>
  <c r="K113" i="6"/>
  <c r="I80" i="6"/>
  <c r="P80" i="6" s="1"/>
  <c r="I55" i="6"/>
  <c r="K55" i="6" s="1"/>
  <c r="I27" i="6"/>
  <c r="P27" i="6" s="1"/>
  <c r="I15" i="6"/>
  <c r="K15" i="6" s="1"/>
  <c r="I14" i="6"/>
  <c r="P14" i="6" s="1"/>
  <c r="I13" i="6"/>
  <c r="P13" i="6" s="1"/>
  <c r="I24" i="6"/>
  <c r="K24" i="6" s="1"/>
  <c r="I12" i="6"/>
  <c r="P12" i="6" s="1"/>
  <c r="I30" i="6"/>
  <c r="P30" i="6" s="1"/>
  <c r="I18" i="6"/>
  <c r="P18" i="6" s="1"/>
  <c r="I100" i="6"/>
  <c r="P100" i="6" s="1"/>
  <c r="I133" i="6"/>
  <c r="P133" i="6" s="1"/>
  <c r="I16" i="6"/>
  <c r="P16" i="6" s="1"/>
  <c r="I81" i="6"/>
  <c r="K81" i="6" s="1"/>
  <c r="K53" i="6"/>
  <c r="I40" i="6"/>
  <c r="P40" i="6" s="1"/>
  <c r="I29" i="6"/>
  <c r="P29" i="6" s="1"/>
  <c r="I102" i="6"/>
  <c r="K102" i="6" s="1"/>
  <c r="I17" i="6"/>
  <c r="P17" i="6" s="1"/>
  <c r="I28" i="6"/>
  <c r="P28" i="6" s="1"/>
  <c r="I26" i="6"/>
  <c r="P26" i="6" s="1"/>
  <c r="I79" i="6"/>
  <c r="K79" i="6" s="1"/>
  <c r="I78" i="6"/>
  <c r="P78" i="6" s="1"/>
  <c r="I91" i="6"/>
  <c r="K91" i="6" s="1"/>
  <c r="I77" i="6"/>
  <c r="P77" i="6" s="1"/>
  <c r="K80" i="6"/>
  <c r="K92" i="6"/>
  <c r="P92" i="6"/>
  <c r="K86" i="6"/>
  <c r="P86" i="6"/>
  <c r="K85" i="6"/>
  <c r="P85" i="6"/>
  <c r="P89" i="6"/>
  <c r="K89" i="6"/>
  <c r="P88" i="6"/>
  <c r="K88" i="6"/>
  <c r="P76" i="6"/>
  <c r="K76" i="6"/>
  <c r="K90" i="6"/>
  <c r="P90" i="6"/>
  <c r="P84" i="6"/>
  <c r="P83" i="6"/>
  <c r="P82" i="6"/>
  <c r="I50" i="6"/>
  <c r="P50" i="6" s="1"/>
  <c r="I132" i="6"/>
  <c r="P132" i="6" s="1"/>
  <c r="I25" i="6"/>
  <c r="P25" i="6" s="1"/>
  <c r="K54" i="6"/>
  <c r="I72" i="6"/>
  <c r="K72" i="6" s="1"/>
  <c r="I101" i="6"/>
  <c r="P101" i="6" s="1"/>
  <c r="I49" i="6"/>
  <c r="K49" i="6" s="1"/>
  <c r="I31" i="6"/>
  <c r="P31" i="6" s="1"/>
  <c r="I131" i="6"/>
  <c r="P131" i="6" s="1"/>
  <c r="I19" i="6"/>
  <c r="P19" i="6" s="1"/>
  <c r="I98" i="6"/>
  <c r="K98" i="6" s="1"/>
  <c r="I51" i="6"/>
  <c r="K51" i="6" s="1"/>
  <c r="I103" i="6"/>
  <c r="K103" i="6" s="1"/>
  <c r="I99" i="6"/>
  <c r="P99" i="6" s="1"/>
  <c r="I71" i="6"/>
  <c r="P71" i="6" s="1"/>
  <c r="I130" i="6"/>
  <c r="K130" i="6" s="1"/>
  <c r="I23" i="6"/>
  <c r="K23" i="6" s="1"/>
  <c r="I74" i="6"/>
  <c r="P74" i="6" s="1"/>
  <c r="I128" i="6"/>
  <c r="K128" i="6" s="1"/>
  <c r="I34" i="6"/>
  <c r="P34" i="6" s="1"/>
  <c r="I22" i="6"/>
  <c r="P22" i="6" s="1"/>
  <c r="I33" i="6"/>
  <c r="P33" i="6" s="1"/>
  <c r="I21" i="6"/>
  <c r="P21" i="6" s="1"/>
  <c r="I32" i="6"/>
  <c r="P32" i="6" s="1"/>
  <c r="I20" i="6"/>
  <c r="P20" i="6" s="1"/>
  <c r="I70" i="6"/>
  <c r="K70" i="6" s="1"/>
  <c r="I75" i="6"/>
  <c r="K75" i="6" s="1"/>
  <c r="I129" i="6"/>
  <c r="P129" i="6" s="1"/>
  <c r="I73" i="6"/>
  <c r="P73" i="6" s="1"/>
  <c r="I127" i="6"/>
  <c r="K127" i="6" s="1"/>
  <c r="I52" i="6"/>
  <c r="K52" i="6" s="1"/>
  <c r="I63" i="6"/>
  <c r="K63" i="6" s="1"/>
  <c r="I62" i="6"/>
  <c r="P62" i="6" s="1"/>
  <c r="K61" i="6"/>
  <c r="K48" i="6"/>
  <c r="P48" i="6"/>
  <c r="P59" i="6"/>
  <c r="K59" i="6"/>
  <c r="P47" i="6"/>
  <c r="K47" i="6"/>
  <c r="K60" i="6"/>
  <c r="P60" i="6"/>
  <c r="P58" i="6"/>
  <c r="K58" i="6"/>
  <c r="K56" i="6"/>
  <c r="P56" i="6"/>
  <c r="K57" i="6"/>
  <c r="P57" i="6"/>
  <c r="P54" i="6"/>
  <c r="P53" i="6"/>
  <c r="P11" i="6"/>
  <c r="K11" i="6"/>
  <c r="P41" i="6"/>
  <c r="K41" i="6"/>
  <c r="P42" i="6"/>
  <c r="K42" i="6"/>
  <c r="P43" i="6"/>
  <c r="K43" i="6"/>
  <c r="P44" i="6"/>
  <c r="K44" i="6"/>
  <c r="P45" i="6"/>
  <c r="K45" i="6"/>
  <c r="P46" i="6"/>
  <c r="K46" i="6"/>
  <c r="P69" i="6"/>
  <c r="K69" i="6"/>
  <c r="P109" i="6" l="1"/>
  <c r="K87" i="6"/>
  <c r="K110" i="6"/>
  <c r="P115" i="6"/>
  <c r="K16" i="6"/>
  <c r="P15" i="6"/>
  <c r="P121" i="6"/>
  <c r="K27" i="6"/>
  <c r="K50" i="6"/>
  <c r="K133" i="6"/>
  <c r="P55" i="6"/>
  <c r="K100" i="6"/>
  <c r="K19" i="6"/>
  <c r="K26" i="6"/>
  <c r="P24" i="6"/>
  <c r="K14" i="6"/>
  <c r="K13" i="6"/>
  <c r="K12" i="6"/>
  <c r="K30" i="6"/>
  <c r="K29" i="6"/>
  <c r="K78" i="6"/>
  <c r="P79" i="6"/>
  <c r="K18" i="6"/>
  <c r="P81" i="6"/>
  <c r="P102" i="6"/>
  <c r="K101" i="6"/>
  <c r="K40" i="6"/>
  <c r="K28" i="6"/>
  <c r="K132" i="6"/>
  <c r="K17" i="6"/>
  <c r="P98" i="6"/>
  <c r="K77" i="6"/>
  <c r="P91" i="6"/>
  <c r="P72" i="6"/>
  <c r="K25" i="6"/>
  <c r="K31" i="6"/>
  <c r="K73" i="6"/>
  <c r="K131" i="6"/>
  <c r="P49" i="6"/>
  <c r="P128" i="6"/>
  <c r="P103" i="6"/>
  <c r="P51" i="6"/>
  <c r="K71" i="6"/>
  <c r="K20" i="6"/>
  <c r="K99" i="6"/>
  <c r="P23" i="6"/>
  <c r="P52" i="6"/>
  <c r="K62" i="6"/>
  <c r="P127" i="6"/>
  <c r="P70" i="6"/>
  <c r="P75" i="6"/>
  <c r="P130" i="6"/>
  <c r="K129" i="6"/>
  <c r="K74" i="6"/>
  <c r="P63" i="6"/>
  <c r="K21" i="6"/>
  <c r="K33" i="6"/>
  <c r="K22" i="6"/>
  <c r="K34" i="6"/>
  <c r="K32" i="6"/>
  <c r="K32" i="1"/>
  <c r="L28" i="1"/>
  <c r="K37" i="1" s="1"/>
  <c r="D31" i="1" l="1"/>
  <c r="E139" i="1" l="1"/>
  <c r="L23" i="1" s="1"/>
  <c r="D139" i="1"/>
  <c r="L31" i="1" s="1"/>
  <c r="E112" i="1"/>
  <c r="L19" i="1" s="1"/>
  <c r="L21" i="1" s="1"/>
  <c r="D112" i="1"/>
  <c r="E85" i="1"/>
  <c r="L15" i="1" s="1"/>
  <c r="L17" i="1" s="1"/>
  <c r="D85" i="1"/>
  <c r="E58" i="1"/>
  <c r="L11" i="1" s="1"/>
  <c r="L13" i="1" s="1"/>
  <c r="L36" i="1"/>
  <c r="E31" i="1"/>
  <c r="L7" i="1" s="1"/>
  <c r="L25" i="1" l="1"/>
  <c r="K31" i="1"/>
  <c r="L27" i="1"/>
  <c r="L9" i="1"/>
  <c r="L24" i="2"/>
  <c r="H24" i="2"/>
  <c r="L29" i="1" l="1"/>
  <c r="O14" i="2"/>
  <c r="K33" i="1" l="1"/>
  <c r="K36" i="1"/>
  <c r="K38" i="1" s="1"/>
  <c r="M24" i="2"/>
  <c r="K24" i="2"/>
  <c r="J24" i="2"/>
  <c r="G24" i="2"/>
  <c r="F24" i="2"/>
  <c r="E24" i="2"/>
  <c r="D24" i="2"/>
  <c r="O23" i="2"/>
  <c r="N23" i="2"/>
  <c r="O22" i="2"/>
  <c r="N22" i="2"/>
  <c r="O21" i="2"/>
  <c r="N21" i="2"/>
  <c r="O20" i="2"/>
  <c r="N20" i="2"/>
  <c r="O19" i="2"/>
  <c r="N19" i="2"/>
  <c r="O18" i="2"/>
  <c r="N18" i="2"/>
  <c r="O17" i="2"/>
  <c r="N17" i="2"/>
  <c r="O16" i="2"/>
  <c r="N16" i="2"/>
  <c r="O15" i="2"/>
  <c r="N15" i="2"/>
  <c r="N14" i="2"/>
  <c r="O24" i="2" l="1"/>
  <c r="N24" i="2"/>
</calcChain>
</file>

<file path=xl/sharedStrings.xml><?xml version="1.0" encoding="utf-8"?>
<sst xmlns="http://schemas.openxmlformats.org/spreadsheetml/2006/main" count="486" uniqueCount="136">
  <si>
    <t>Price Proposal - Total Amount:</t>
  </si>
  <si>
    <t>Base,  Year 1</t>
  </si>
  <si>
    <t>Summary of Costs</t>
  </si>
  <si>
    <t>CLIN</t>
  </si>
  <si>
    <t>Labor Category</t>
  </si>
  <si>
    <t>Fully Burdened Rate</t>
  </si>
  <si>
    <t># of Hour Proposed</t>
  </si>
  <si>
    <t xml:space="preserve">Total </t>
  </si>
  <si>
    <t>Base, Year 1</t>
  </si>
  <si>
    <r>
      <rPr>
        <b/>
        <sz val="11"/>
        <color theme="1"/>
        <rFont val="Times New Roman"/>
        <family val="1"/>
      </rPr>
      <t xml:space="preserve">Note: </t>
    </r>
    <r>
      <rPr>
        <sz val="11"/>
        <color theme="1"/>
        <rFont val="Times New Roman"/>
        <family val="1"/>
      </rPr>
      <t>Per the TOR Instruction to Offerors, the Travel and ODCs amounts are government-provided</t>
    </r>
  </si>
  <si>
    <t>FFP</t>
  </si>
  <si>
    <t xml:space="preserve"> NTE amounts.  Offerors shall not change given NTE amounts, but shall ensure that they are</t>
  </si>
  <si>
    <t>COST</t>
  </si>
  <si>
    <t>ODC (CLIN 3000)</t>
  </si>
  <si>
    <t xml:space="preserve"> included in the Overall Total Amount.</t>
  </si>
  <si>
    <t>Option I, Year 2</t>
  </si>
  <si>
    <t>List of Acronyms</t>
  </si>
  <si>
    <t>FFP - Firm Fixed Price</t>
  </si>
  <si>
    <t>ODC (CLIN 7100)</t>
  </si>
  <si>
    <t>ODCs - Other Direct Costs</t>
  </si>
  <si>
    <t>Option II, Year 3</t>
  </si>
  <si>
    <t>ODC (CLIN 7200)</t>
  </si>
  <si>
    <t>Option III, Year 4</t>
  </si>
  <si>
    <t>ODC (CLIN 7300)</t>
  </si>
  <si>
    <t>Option IV, Year 5</t>
  </si>
  <si>
    <t>ODC (CLIN 7400)</t>
  </si>
  <si>
    <t>Option II,  Year 3</t>
  </si>
  <si>
    <t>SUBCONTRACTOR COST DATA</t>
  </si>
  <si>
    <t>Prime 1 (Fill-in)</t>
  </si>
  <si>
    <t xml:space="preserve">For each subcontractor, enter labor hours and the total cost for the base year and each option year. </t>
  </si>
  <si>
    <t>***Source Selection Information. See FAR 3.104***</t>
  </si>
  <si>
    <t xml:space="preserve">The subcontractors labor hours by labor category should be the same as subcontractor hours in the Labor Hours Skill Summary format. </t>
  </si>
  <si>
    <t>**Note: The Offeror shall ensure that their Subcontractor hours and total cost inputs match the Subcontractors detailed cost proposal for both hours and cost</t>
  </si>
  <si>
    <t xml:space="preserve">Prime Offerors are responsible for verifying that the subcontractor proposals total costs and hours are the same the Total Amount and Base - O IV Tab. </t>
  </si>
  <si>
    <t>***Subcontractor hours and costs entered in this spreadsheet are for demonstration purposes only***</t>
  </si>
  <si>
    <t>Delete all titles and rates that are not applicable.</t>
  </si>
  <si>
    <t>Base Year 
(12 Months)</t>
  </si>
  <si>
    <t>Option 1
(12 Months)</t>
  </si>
  <si>
    <t>Option 2
(12 Months)</t>
  </si>
  <si>
    <t>Option 3
(12 Months)</t>
  </si>
  <si>
    <t>Option 4
(12 Months)</t>
  </si>
  <si>
    <t xml:space="preserve">TOTAL </t>
  </si>
  <si>
    <t>Company Name</t>
  </si>
  <si>
    <t>Hours</t>
  </si>
  <si>
    <t>Cost</t>
  </si>
  <si>
    <t>Total Cost</t>
  </si>
  <si>
    <t>Subcontractor #1</t>
  </si>
  <si>
    <t>Subcontractor #2</t>
  </si>
  <si>
    <t>Subcontractor #3</t>
  </si>
  <si>
    <t>Subcontractor #4</t>
  </si>
  <si>
    <t>Subcontractor #5</t>
  </si>
  <si>
    <t>Subcontractor #6</t>
  </si>
  <si>
    <t>Subcontractor #7</t>
  </si>
  <si>
    <t>Subcontractor #8</t>
  </si>
  <si>
    <t>Subcontractor #9</t>
  </si>
  <si>
    <t>Subcontractor #10</t>
  </si>
  <si>
    <t>TOTAL SUBCONTRACTORS</t>
  </si>
  <si>
    <t>Enter Subcontractor Information Below</t>
  </si>
  <si>
    <t>Subcontractor</t>
  </si>
  <si>
    <t>CAGE 
Code</t>
  </si>
  <si>
    <t>Competitive/Sole Source</t>
  </si>
  <si>
    <t>Cost/price analysis included (Y/N)</t>
  </si>
  <si>
    <t>Type of Subcontract (i.e., Fixed Price, Time and Materials, etc.)</t>
  </si>
  <si>
    <t>Competitive Quotes or Sole Source Documentation Included (Y/N)</t>
  </si>
  <si>
    <t>The prime contractor should perform and provide a cost/price analysis of each subcontractor’s cost proposal. Offerors are required to obtain competition to the maximum extent practicable when selecting subcontractors; if the offeror has obtained competitive quotes, copies should be provided.  If the Offeror has selected other than the low bid for inclusion in their proposal or intends to award the subcontract on a sole-source basis, the offeror should provide rationale for their decision. For sole-sourced subcontracts, the prime contractor must provide a short sole-source justification.</t>
  </si>
  <si>
    <r>
      <t>*</t>
    </r>
    <r>
      <rPr>
        <b/>
        <sz val="12"/>
        <rFont val="Calibri"/>
        <family val="2"/>
      </rPr>
      <t>Note</t>
    </r>
    <r>
      <rPr>
        <sz val="12"/>
        <rFont val="Calibri"/>
        <family val="2"/>
      </rPr>
      <t xml:space="preserve">: Federal Acquisition Regulation provision </t>
    </r>
    <r>
      <rPr>
        <u/>
        <sz val="12"/>
        <rFont val="Calibri"/>
        <family val="2"/>
      </rPr>
      <t xml:space="preserve">52.215-22 </t>
    </r>
    <r>
      <rPr>
        <sz val="12"/>
        <rFont val="Calibri"/>
        <family val="2"/>
      </rPr>
      <t xml:space="preserve">is incorporated into this solicitation by reference. The offeror is to exclude excessive pass-through charges from subcontractors. The offeror must identify in its proposal the percentage of effort it intends to perform and the percentage to be performed by each of its proposed subcontractors. If more than 70 percent of the total effort will be performed through subcontractors, the offeror must include the additional information required by the above-cited clause. </t>
    </r>
  </si>
  <si>
    <t>This spreadsheet calculates the loaded labor rates (with fee) for the base year and option years after all cost summary format inputs and calculations are completed.</t>
  </si>
  <si>
    <t>* It is the Offerors responsibility to make sure the Labor Category matches the correct Direct Labor Rate and that all Indirect Rates are correct - including formulas</t>
  </si>
  <si>
    <t>Rates below are for EXAMPLE PURPOSES ONLY</t>
  </si>
  <si>
    <t>The service contracting tripwire applicable to the base and all option periods for this solicitation is a fully burdened labor rate of $250 per hour. This tripwire applies to prime, subcontract, and consultant labor inclusive of all subcontractor, consultant, and prime contractor indirect costs and applicable fee or profit</t>
  </si>
  <si>
    <t>Skill Mix/Labor Category</t>
  </si>
  <si>
    <t>Site</t>
  </si>
  <si>
    <t>Direct Labor $ w/Esc</t>
  </si>
  <si>
    <t>Fringe %</t>
  </si>
  <si>
    <t>Direct Labor With Fringe</t>
  </si>
  <si>
    <t xml:space="preserve"> O/H  %</t>
  </si>
  <si>
    <t>Direct Labor With Fringe &amp; O/H</t>
  </si>
  <si>
    <t>G&amp;A %</t>
  </si>
  <si>
    <t>Direct Labor With Fringe, O/H, &amp; G&amp;A</t>
  </si>
  <si>
    <t>Fee %</t>
  </si>
  <si>
    <t>Direct Labor With Fringe, O/H, G&amp;A, &amp; Fee</t>
  </si>
  <si>
    <t>FCCOM %</t>
  </si>
  <si>
    <t>TOTAL COST
Direct Labor With Fringe, O/H, G&amp;A, FCCOM 
(with Fee)</t>
  </si>
  <si>
    <r>
      <t xml:space="preserve">Prime Offeror: </t>
    </r>
    <r>
      <rPr>
        <b/>
        <sz val="11"/>
        <color rgb="FFFF0000"/>
        <rFont val="Times New Roman"/>
        <family val="1"/>
      </rPr>
      <t>ENTER NAME HERE</t>
    </r>
  </si>
  <si>
    <r>
      <t xml:space="preserve">Subcontractor: </t>
    </r>
    <r>
      <rPr>
        <b/>
        <sz val="11"/>
        <color rgb="FFFF0000"/>
        <rFont val="Times New Roman"/>
        <family val="1"/>
      </rPr>
      <t>ENTER NAME HERE IF APPLICABLE</t>
    </r>
  </si>
  <si>
    <t>Contract Value</t>
  </si>
  <si>
    <t>ODC (CLIN 7000 -7400)</t>
  </si>
  <si>
    <t>ODC (CLINs 7000 -7400)</t>
  </si>
  <si>
    <t xml:space="preserve">Contract Total Amount: </t>
  </si>
  <si>
    <t>FAR 52.217-8(Six (6) Month Extension)</t>
  </si>
  <si>
    <t>FAR 52.217-8 Overall Total Amount :</t>
  </si>
  <si>
    <r>
      <t xml:space="preserve">Contract value </t>
    </r>
    <r>
      <rPr>
        <b/>
        <u/>
        <sz val="11"/>
        <color theme="1"/>
        <rFont val="Times New Roman"/>
        <family val="1"/>
      </rPr>
      <t xml:space="preserve">with </t>
    </r>
    <r>
      <rPr>
        <b/>
        <sz val="11"/>
        <color theme="1"/>
        <rFont val="Times New Roman"/>
        <family val="1"/>
      </rPr>
      <t>FAR 52.217-8</t>
    </r>
  </si>
  <si>
    <t>Base Year (12 months)</t>
  </si>
  <si>
    <t>M&amp;H on Sub Labor</t>
  </si>
  <si>
    <t>Option Period 1 (12 months)</t>
  </si>
  <si>
    <t>Option Period 2 (12 months)</t>
  </si>
  <si>
    <t>Option Period 3 (12 months)</t>
  </si>
  <si>
    <t>Option Period 4 (12 months)</t>
  </si>
  <si>
    <t>On-Site Support Staff Leader</t>
  </si>
  <si>
    <t>High Performance Computing Specialist</t>
  </si>
  <si>
    <t>Program Analyst</t>
  </si>
  <si>
    <t>Optional/ Surge - Junior Program Analyst</t>
  </si>
  <si>
    <t>Optional/ Surge Program Analyst</t>
  </si>
  <si>
    <t xml:space="preserve">Optional/ Surge Program Analyst </t>
  </si>
  <si>
    <t xml:space="preserve">Optional /Surge Senior Program Analyst/ Financial SME </t>
  </si>
  <si>
    <t>Optional/ Surge-Senior Program Analyst/ Financial SME</t>
  </si>
  <si>
    <t>Optional/ Surge - SETA</t>
  </si>
  <si>
    <t>Optional /Surge - SETA</t>
  </si>
  <si>
    <t xml:space="preserve">Optional/ Surge - SETA </t>
  </si>
  <si>
    <t>Insert Subcontractor/Consultant Name</t>
  </si>
  <si>
    <t>FTE's being Provided (Include number of FTE's and LCATs)</t>
  </si>
  <si>
    <t>CAGE Code</t>
  </si>
  <si>
    <t>Contract Type</t>
  </si>
  <si>
    <t>Identify if the Subcontractor was selected competitively or via sole source</t>
  </si>
  <si>
    <t>Base</t>
  </si>
  <si>
    <t>Total</t>
  </si>
  <si>
    <t>Option I</t>
  </si>
  <si>
    <t>Option II</t>
  </si>
  <si>
    <t>Option III</t>
  </si>
  <si>
    <t>Option IV</t>
  </si>
  <si>
    <t>Overall Total Hours</t>
  </si>
  <si>
    <t>Overall Total Dollars</t>
  </si>
  <si>
    <t>Total Per Period of Performance</t>
  </si>
  <si>
    <t>Labor (CLINs 5000 - 5023)</t>
  </si>
  <si>
    <t>Labor (CLINs 5100 - 5123)</t>
  </si>
  <si>
    <t>Labor (CLINs 5200 - 5223)</t>
  </si>
  <si>
    <t>Labor (CLINs 5300 - 5323)</t>
  </si>
  <si>
    <t>Labor  (CLINs 5400 - 5423)</t>
  </si>
  <si>
    <t>Labor  (CLINs 5000 - 5423)</t>
  </si>
  <si>
    <t xml:space="preserve">Optional /Surge - Senior Program Analyst/ Financial SME </t>
  </si>
  <si>
    <t>Optional/ Surge - Senior Program Analyst/ Financial SME</t>
  </si>
  <si>
    <t xml:space="preserve">Optional/ Surge - Program Analyst </t>
  </si>
  <si>
    <t>Optional/ Surge - Program Analyst</t>
  </si>
  <si>
    <t xml:space="preserve">Optional /Surge-  Senior Program Analyst/ Financial SME </t>
  </si>
  <si>
    <t>Last Name</t>
  </si>
  <si>
    <t>Prime/Sub/Both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</si>
</sst>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_(* #,##0_);_(* \(#,##0\);_(* &quot;-&quot;??_);_(@_)"/>
  </numFmts>
  <fonts count="39" x14ac:knownFonts="1">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13"/>
      <color theme="1"/>
      <name val="Times New Roman"/>
      <family val="1"/>
    </font>
    <font>
      <b/>
      <u/>
      <sz val="11"/>
      <color theme="1"/>
      <name val="Times New Roman"/>
      <family val="1"/>
    </font>
    <font>
      <b/>
      <u/>
      <sz val="12"/>
      <name val="Calibri"/>
      <family val="2"/>
    </font>
    <font>
      <sz val="10"/>
      <name val="Calibri"/>
      <family val="2"/>
    </font>
    <font>
      <sz val="9"/>
      <name val="Arial"/>
      <family val="2"/>
    </font>
    <font>
      <sz val="12"/>
      <name val="Calibri"/>
      <family val="2"/>
      <scheme val="minor"/>
    </font>
    <font>
      <b/>
      <sz val="12"/>
      <name val="Calibri"/>
      <family val="2"/>
      <scheme val="minor"/>
    </font>
    <font>
      <b/>
      <sz val="11"/>
      <color rgb="FFC00000"/>
      <name val="Calibri"/>
      <family val="2"/>
      <scheme val="minor"/>
    </font>
    <font>
      <b/>
      <sz val="12"/>
      <color rgb="FFFF0000"/>
      <name val="Calibri"/>
      <family val="2"/>
      <scheme val="minor"/>
    </font>
    <font>
      <sz val="10"/>
      <color rgb="FFC00000"/>
      <name val="Calibri"/>
      <family val="2"/>
      <scheme val="minor"/>
    </font>
    <font>
      <sz val="10"/>
      <name val="Arial"/>
      <family val="2"/>
    </font>
    <font>
      <b/>
      <sz val="12"/>
      <color rgb="FFC00000"/>
      <name val="Calibri"/>
      <family val="2"/>
      <scheme val="minor"/>
    </font>
    <font>
      <sz val="10"/>
      <name val="Calibri"/>
      <family val="2"/>
      <scheme val="minor"/>
    </font>
    <font>
      <sz val="12"/>
      <color rgb="FFFF0000"/>
      <name val="Calibri"/>
      <family val="2"/>
      <scheme val="minor"/>
    </font>
    <font>
      <b/>
      <sz val="10"/>
      <color rgb="FFFF0000"/>
      <name val="Calibri"/>
      <family val="2"/>
      <scheme val="minor"/>
    </font>
    <font>
      <sz val="12"/>
      <name val="Calibri"/>
      <family val="2"/>
    </font>
    <font>
      <b/>
      <sz val="10"/>
      <name val="Calibri"/>
      <family val="2"/>
      <scheme val="minor"/>
    </font>
    <font>
      <b/>
      <sz val="10"/>
      <name val="Arial"/>
      <family val="2"/>
    </font>
    <font>
      <sz val="11"/>
      <color indexed="8"/>
      <name val="Calibri"/>
      <family val="2"/>
    </font>
    <font>
      <b/>
      <sz val="10"/>
      <color rgb="FF0070C0"/>
      <name val="Calibri"/>
      <family val="2"/>
      <scheme val="minor"/>
    </font>
    <font>
      <b/>
      <sz val="10"/>
      <color rgb="FFFF0000"/>
      <name val="Arial"/>
      <family val="2"/>
    </font>
    <font>
      <b/>
      <sz val="12"/>
      <name val="Calibri"/>
      <family val="2"/>
    </font>
    <font>
      <u/>
      <sz val="12"/>
      <name val="Calibri"/>
      <family val="2"/>
    </font>
    <font>
      <b/>
      <sz val="10"/>
      <color theme="1"/>
      <name val="Calibri"/>
      <family val="2"/>
      <scheme val="minor"/>
    </font>
    <font>
      <b/>
      <sz val="11"/>
      <color rgb="FFFF0000"/>
      <name val="Arial"/>
      <family val="2"/>
    </font>
    <font>
      <b/>
      <sz val="12"/>
      <color rgb="FFFF0000"/>
      <name val="Arial"/>
      <family val="2"/>
    </font>
    <font>
      <sz val="14"/>
      <name val="Arial"/>
      <family val="2"/>
    </font>
    <font>
      <sz val="10"/>
      <color indexed="8"/>
      <name val="Arial"/>
      <family val="2"/>
    </font>
    <font>
      <sz val="11"/>
      <color rgb="FFFF0000"/>
      <name val="Times New Roman"/>
      <family val="1"/>
    </font>
    <font>
      <b/>
      <sz val="11"/>
      <color rgb="FFFF0000"/>
      <name val="Times New Roman"/>
      <family val="1"/>
    </font>
    <font>
      <sz val="12"/>
      <name val="Times New Roman"/>
      <family val="1"/>
    </font>
    <font>
      <b/>
      <sz val="11"/>
      <color rgb="FF0000FF"/>
      <name val="Times New Roman"/>
      <family val="1"/>
    </font>
    <font>
      <b/>
      <sz val="14"/>
      <color rgb="FF0000FF"/>
      <name val="Times New Roman"/>
      <family val="1"/>
    </font>
    <font>
      <b/>
      <sz val="11"/>
      <color theme="1"/>
      <name val="Calibri"/>
      <family val="2"/>
      <scheme val="minor"/>
    </font>
    <font>
      <sz val="11"/>
      <name val="Times New Roman"/>
      <family val="1"/>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indexed="42"/>
        <bgColor indexed="64"/>
      </patternFill>
    </fill>
    <fill>
      <patternFill patternType="solid">
        <fgColor rgb="FFCCFFCC"/>
        <bgColor indexed="64"/>
      </patternFill>
    </fill>
    <fill>
      <patternFill patternType="solid">
        <fgColor rgb="FFFFFFCC"/>
        <bgColor indexed="64"/>
      </patternFill>
    </fill>
    <fill>
      <patternFill patternType="solid">
        <fgColor theme="3" tint="0.79998168889431442"/>
        <bgColor indexed="64"/>
      </patternFill>
    </fill>
    <fill>
      <patternFill patternType="mediumGray">
        <bgColor theme="0" tint="-0.14996795556505021"/>
      </patternFill>
    </fill>
    <fill>
      <patternFill patternType="solid">
        <fgColor theme="9" tint="0.39997558519241921"/>
        <bgColor indexed="64"/>
      </patternFill>
    </fill>
    <fill>
      <patternFill patternType="solid">
        <fgColor rgb="FF00B050"/>
        <bgColor indexed="64"/>
      </patternFill>
    </fill>
    <fill>
      <patternFill patternType="solid">
        <fgColor theme="1"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theme="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auto="1"/>
      </left>
      <right/>
      <top style="thin">
        <color theme="0" tint="-0.24994659260841701"/>
      </top>
      <bottom style="thin">
        <color auto="1"/>
      </bottom>
      <diagonal/>
    </border>
    <border>
      <left style="thin">
        <color indexed="64"/>
      </left>
      <right style="thin">
        <color indexed="64"/>
      </right>
      <top style="thin">
        <color theme="0" tint="-0.24994659260841701"/>
      </top>
      <bottom style="thin">
        <color auto="1"/>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11">
    <xf numFmtId="0" fontId="0" fillId="0" borderId="0"/>
    <xf numFmtId="44" fontId="1"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0" fontId="1" fillId="0" borderId="0"/>
    <xf numFmtId="0" fontId="14" fillId="0" borderId="0"/>
    <xf numFmtId="0" fontId="22" fillId="0" borderId="0"/>
    <xf numFmtId="9" fontId="1" fillId="0" borderId="0" applyFont="0" applyFill="0" applyBorder="0" applyAlignment="0" applyProtection="0"/>
    <xf numFmtId="0" fontId="31" fillId="0" borderId="0"/>
    <xf numFmtId="43" fontId="1" fillId="0" borderId="0" applyFont="0" applyFill="0" applyBorder="0" applyAlignment="0" applyProtection="0"/>
    <xf numFmtId="9" fontId="1" fillId="0" borderId="0" applyFont="0" applyFill="0" applyBorder="0" applyAlignment="0" applyProtection="0"/>
  </cellStyleXfs>
  <cellXfs count="215">
    <xf numFmtId="0" fontId="0" fillId="0" borderId="0" xfId="0"/>
    <xf numFmtId="0" fontId="3" fillId="0" borderId="0" xfId="0" applyFont="1"/>
    <xf numFmtId="2" fontId="3" fillId="0" borderId="0" xfId="0" applyNumberFormat="1" applyFont="1"/>
    <xf numFmtId="0" fontId="2" fillId="0" borderId="1" xfId="0" applyFont="1" applyBorder="1" applyAlignment="1">
      <alignment horizontal="center"/>
    </xf>
    <xf numFmtId="0" fontId="3" fillId="0" borderId="1" xfId="0" applyFont="1" applyBorder="1"/>
    <xf numFmtId="49" fontId="3" fillId="0" borderId="1" xfId="0" applyNumberFormat="1" applyFont="1" applyBorder="1" applyAlignment="1">
      <alignment horizontal="right"/>
    </xf>
    <xf numFmtId="2" fontId="2" fillId="0" borderId="1" xfId="0" applyNumberFormat="1" applyFont="1" applyBorder="1" applyAlignment="1">
      <alignment horizontal="center"/>
    </xf>
    <xf numFmtId="0" fontId="5" fillId="0" borderId="0" xfId="0" applyFont="1"/>
    <xf numFmtId="49" fontId="3" fillId="0" borderId="0" xfId="0" applyNumberFormat="1" applyFont="1" applyAlignment="1">
      <alignment horizontal="right"/>
    </xf>
    <xf numFmtId="164" fontId="3" fillId="0" borderId="0" xfId="1" applyNumberFormat="1" applyFont="1" applyFill="1" applyBorder="1"/>
    <xf numFmtId="0" fontId="3" fillId="0" borderId="0" xfId="0" applyFont="1" applyAlignment="1">
      <alignment horizontal="right"/>
    </xf>
    <xf numFmtId="49" fontId="3" fillId="0" borderId="1" xfId="0" applyNumberFormat="1" applyFont="1" applyBorder="1" applyAlignment="1">
      <alignment horizontal="left"/>
    </xf>
    <xf numFmtId="44" fontId="3" fillId="0" borderId="1" xfId="1" applyFont="1" applyBorder="1"/>
    <xf numFmtId="44" fontId="3" fillId="0" borderId="1" xfId="0" applyNumberFormat="1" applyFont="1" applyBorder="1"/>
    <xf numFmtId="0" fontId="6" fillId="5" borderId="0" xfId="0" applyFont="1" applyFill="1"/>
    <xf numFmtId="0" fontId="7" fillId="5" borderId="0" xfId="0" applyFont="1" applyFill="1"/>
    <xf numFmtId="0" fontId="9" fillId="4" borderId="0" xfId="0" applyFont="1" applyFill="1" applyAlignment="1">
      <alignment vertical="center"/>
    </xf>
    <xf numFmtId="0" fontId="10" fillId="4" borderId="0" xfId="0" applyFont="1" applyFill="1" applyAlignment="1">
      <alignment horizontal="left"/>
    </xf>
    <xf numFmtId="0" fontId="11" fillId="4" borderId="0" xfId="0" applyFont="1" applyFill="1"/>
    <xf numFmtId="0" fontId="10" fillId="4" borderId="0" xfId="0" applyFont="1" applyFill="1" applyAlignment="1">
      <alignment vertical="center"/>
    </xf>
    <xf numFmtId="0" fontId="12" fillId="4" borderId="0" xfId="0" applyFont="1" applyFill="1" applyAlignment="1">
      <alignment vertical="center"/>
    </xf>
    <xf numFmtId="0" fontId="13" fillId="4" borderId="0" xfId="0" applyFont="1" applyFill="1" applyAlignment="1">
      <alignment vertical="center"/>
    </xf>
    <xf numFmtId="165" fontId="15" fillId="4" borderId="0" xfId="2" applyNumberFormat="1" applyFont="1" applyFill="1" applyAlignment="1">
      <alignment vertical="center"/>
    </xf>
    <xf numFmtId="0" fontId="13" fillId="4" borderId="0" xfId="0" applyFont="1" applyFill="1" applyAlignment="1">
      <alignment horizontal="left" vertical="center"/>
    </xf>
    <xf numFmtId="165" fontId="13" fillId="4" borderId="0" xfId="2" applyNumberFormat="1" applyFont="1" applyFill="1" applyAlignment="1">
      <alignment vertical="center"/>
    </xf>
    <xf numFmtId="44" fontId="13" fillId="4" borderId="0" xfId="3" applyFont="1" applyFill="1" applyAlignment="1">
      <alignment vertical="center"/>
    </xf>
    <xf numFmtId="0" fontId="16" fillId="4" borderId="0" xfId="0" applyFont="1" applyFill="1" applyAlignment="1">
      <alignment vertical="center"/>
    </xf>
    <xf numFmtId="0" fontId="16" fillId="4" borderId="0" xfId="0" applyFont="1" applyFill="1" applyAlignment="1">
      <alignment horizontal="center" vertical="center"/>
    </xf>
    <xf numFmtId="165" fontId="16" fillId="4" borderId="0" xfId="2" applyNumberFormat="1" applyFont="1" applyFill="1" applyAlignment="1">
      <alignment vertical="center"/>
    </xf>
    <xf numFmtId="44" fontId="16" fillId="4" borderId="0" xfId="3" applyFont="1" applyFill="1" applyAlignment="1">
      <alignment vertical="center"/>
    </xf>
    <xf numFmtId="0" fontId="16" fillId="4" borderId="0" xfId="0" applyFont="1" applyFill="1"/>
    <xf numFmtId="0" fontId="15" fillId="4" borderId="0" xfId="0" applyFont="1" applyFill="1" applyAlignment="1">
      <alignment horizontal="left"/>
    </xf>
    <xf numFmtId="0" fontId="12" fillId="4" borderId="0" xfId="0" applyFont="1" applyFill="1" applyAlignment="1">
      <alignment horizontal="left"/>
    </xf>
    <xf numFmtId="0" fontId="17" fillId="4" borderId="0" xfId="0" applyFont="1" applyFill="1" applyAlignment="1">
      <alignment horizontal="left"/>
    </xf>
    <xf numFmtId="44" fontId="16" fillId="4" borderId="0" xfId="3" applyFont="1" applyFill="1" applyAlignment="1">
      <alignment horizontal="left"/>
    </xf>
    <xf numFmtId="44" fontId="16" fillId="4" borderId="0" xfId="3" applyFont="1" applyFill="1" applyAlignment="1"/>
    <xf numFmtId="0" fontId="16" fillId="0" borderId="0" xfId="0" applyFont="1"/>
    <xf numFmtId="44" fontId="18" fillId="4" borderId="0" xfId="3" applyFont="1" applyFill="1" applyAlignment="1"/>
    <xf numFmtId="0" fontId="16" fillId="4" borderId="0" xfId="0" applyFont="1" applyFill="1" applyAlignment="1">
      <alignment horizontal="left"/>
    </xf>
    <xf numFmtId="165" fontId="20" fillId="4" borderId="1" xfId="2" applyNumberFormat="1" applyFont="1" applyFill="1" applyBorder="1" applyAlignment="1">
      <alignment horizontal="center" vertical="center"/>
    </xf>
    <xf numFmtId="0" fontId="16" fillId="0" borderId="1" xfId="0" applyFont="1" applyBorder="1" applyAlignment="1">
      <alignment horizontal="center" vertical="center"/>
    </xf>
    <xf numFmtId="0" fontId="23" fillId="7" borderId="5" xfId="6" applyFont="1" applyFill="1" applyBorder="1" applyAlignment="1" applyProtection="1">
      <alignment horizontal="left" vertical="center"/>
      <protection locked="0"/>
    </xf>
    <xf numFmtId="165" fontId="23" fillId="7" borderId="6" xfId="2" applyNumberFormat="1" applyFont="1" applyFill="1" applyBorder="1" applyAlignment="1" applyProtection="1">
      <alignment horizontal="center" vertical="center"/>
      <protection locked="0"/>
    </xf>
    <xf numFmtId="44" fontId="23" fillId="7" borderId="6" xfId="3" applyFont="1" applyFill="1" applyBorder="1" applyAlignment="1" applyProtection="1">
      <alignment horizontal="right" vertical="center"/>
      <protection locked="0"/>
    </xf>
    <xf numFmtId="165" fontId="16" fillId="0" borderId="4" xfId="2" applyNumberFormat="1" applyFont="1" applyFill="1" applyBorder="1" applyAlignment="1" applyProtection="1">
      <alignment horizontal="center" vertical="center"/>
    </xf>
    <xf numFmtId="44" fontId="16" fillId="0" borderId="4" xfId="3" applyFont="1" applyFill="1" applyBorder="1" applyAlignment="1" applyProtection="1">
      <alignment horizontal="center" vertical="center"/>
    </xf>
    <xf numFmtId="0" fontId="23" fillId="7" borderId="7" xfId="6" applyFont="1" applyFill="1" applyBorder="1" applyAlignment="1" applyProtection="1">
      <alignment horizontal="left" vertical="center"/>
      <protection locked="0"/>
    </xf>
    <xf numFmtId="165" fontId="23" fillId="7" borderId="8" xfId="2" applyNumberFormat="1" applyFont="1" applyFill="1" applyBorder="1" applyAlignment="1" applyProtection="1">
      <alignment horizontal="center" vertical="center"/>
      <protection locked="0"/>
    </xf>
    <xf numFmtId="44" fontId="23" fillId="7" borderId="8" xfId="3" applyFont="1" applyFill="1" applyBorder="1" applyAlignment="1" applyProtection="1">
      <alignment horizontal="right" vertical="center"/>
      <protection locked="0"/>
    </xf>
    <xf numFmtId="0" fontId="16" fillId="0" borderId="4" xfId="0" applyFont="1" applyBorder="1" applyAlignment="1">
      <alignment horizontal="center" vertical="center"/>
    </xf>
    <xf numFmtId="0" fontId="23" fillId="7" borderId="9" xfId="6" applyFont="1" applyFill="1" applyBorder="1" applyAlignment="1" applyProtection="1">
      <alignment horizontal="left" vertical="center"/>
      <protection locked="0"/>
    </xf>
    <xf numFmtId="165" fontId="23" fillId="7" borderId="10" xfId="2" applyNumberFormat="1" applyFont="1" applyFill="1" applyBorder="1" applyAlignment="1" applyProtection="1">
      <alignment horizontal="center" vertical="center"/>
      <protection locked="0"/>
    </xf>
    <xf numFmtId="165" fontId="20" fillId="4" borderId="1" xfId="2" applyNumberFormat="1" applyFont="1" applyFill="1" applyBorder="1" applyAlignment="1">
      <alignment vertical="center"/>
    </xf>
    <xf numFmtId="44" fontId="20" fillId="4" borderId="1" xfId="3" applyFont="1" applyFill="1" applyBorder="1" applyAlignment="1">
      <alignment vertical="center"/>
    </xf>
    <xf numFmtId="0" fontId="24" fillId="0" borderId="0" xfId="0" applyFont="1"/>
    <xf numFmtId="0" fontId="16" fillId="3" borderId="1" xfId="0" applyFont="1" applyFill="1" applyBorder="1" applyAlignment="1">
      <alignment vertical="center"/>
    </xf>
    <xf numFmtId="0" fontId="16" fillId="9" borderId="1" xfId="0" applyFont="1" applyFill="1" applyBorder="1" applyAlignment="1">
      <alignment vertical="center"/>
    </xf>
    <xf numFmtId="0" fontId="28" fillId="0" borderId="0" xfId="0" applyFont="1"/>
    <xf numFmtId="0" fontId="29" fillId="0" borderId="0" xfId="0" applyFont="1"/>
    <xf numFmtId="44" fontId="20" fillId="10" borderId="1" xfId="3" applyFont="1" applyFill="1" applyBorder="1" applyAlignment="1">
      <alignment horizontal="left"/>
    </xf>
    <xf numFmtId="44" fontId="20" fillId="10" borderId="1" xfId="3" applyFont="1" applyFill="1" applyBorder="1" applyAlignment="1">
      <alignment horizontal="center"/>
    </xf>
    <xf numFmtId="10" fontId="20" fillId="10" borderId="1" xfId="0" applyNumberFormat="1" applyFont="1" applyFill="1" applyBorder="1"/>
    <xf numFmtId="44" fontId="27" fillId="10" borderId="1" xfId="3" applyFont="1" applyFill="1" applyBorder="1" applyAlignment="1">
      <alignment horizontal="center"/>
    </xf>
    <xf numFmtId="44" fontId="20" fillId="10" borderId="1" xfId="0" applyNumberFormat="1" applyFont="1" applyFill="1" applyBorder="1"/>
    <xf numFmtId="44" fontId="20" fillId="10" borderId="1" xfId="3" applyFont="1" applyFill="1" applyBorder="1"/>
    <xf numFmtId="8" fontId="16" fillId="0" borderId="1" xfId="3" applyNumberFormat="1" applyFont="1" applyFill="1" applyBorder="1" applyAlignment="1">
      <alignment horizontal="right"/>
    </xf>
    <xf numFmtId="2" fontId="2" fillId="0" borderId="0" xfId="0" applyNumberFormat="1" applyFont="1"/>
    <xf numFmtId="0" fontId="3" fillId="11" borderId="0" xfId="0" applyFont="1" applyFill="1"/>
    <xf numFmtId="164" fontId="16" fillId="0" borderId="1" xfId="3" applyNumberFormat="1" applyFont="1" applyFill="1" applyBorder="1" applyAlignment="1">
      <alignment horizontal="right"/>
    </xf>
    <xf numFmtId="0" fontId="3" fillId="12" borderId="1" xfId="0" applyFont="1" applyFill="1" applyBorder="1"/>
    <xf numFmtId="44" fontId="3" fillId="0" borderId="1" xfId="0" applyNumberFormat="1" applyFont="1" applyBorder="1" applyAlignment="1">
      <alignment horizontal="left"/>
    </xf>
    <xf numFmtId="3" fontId="3" fillId="0" borderId="1" xfId="0" applyNumberFormat="1" applyFont="1" applyBorder="1" applyAlignment="1">
      <alignment horizontal="center"/>
    </xf>
    <xf numFmtId="44" fontId="3" fillId="0" borderId="1" xfId="1" applyFont="1" applyFill="1" applyBorder="1"/>
    <xf numFmtId="0" fontId="32" fillId="0" borderId="0" xfId="0" applyFont="1"/>
    <xf numFmtId="3" fontId="2" fillId="0" borderId="1" xfId="0" applyNumberFormat="1" applyFont="1" applyBorder="1" applyAlignment="1">
      <alignment horizontal="center"/>
    </xf>
    <xf numFmtId="44" fontId="2" fillId="2" borderId="1" xfId="0" applyNumberFormat="1" applyFont="1" applyFill="1" applyBorder="1"/>
    <xf numFmtId="49" fontId="3" fillId="0" borderId="0" xfId="0" applyNumberFormat="1" applyFont="1" applyAlignment="1">
      <alignment horizontal="left"/>
    </xf>
    <xf numFmtId="44" fontId="3" fillId="0" borderId="0" xfId="1" applyFont="1" applyFill="1" applyBorder="1"/>
    <xf numFmtId="44" fontId="3" fillId="0" borderId="0" xfId="0" applyNumberFormat="1" applyFont="1"/>
    <xf numFmtId="8" fontId="3" fillId="0" borderId="0" xfId="0" applyNumberFormat="1" applyFont="1"/>
    <xf numFmtId="0" fontId="20" fillId="4" borderId="1" xfId="5" applyFont="1" applyFill="1" applyBorder="1" applyAlignment="1">
      <alignment horizontal="center" vertical="center"/>
    </xf>
    <xf numFmtId="0" fontId="34" fillId="0" borderId="1" xfId="5" applyFont="1" applyBorder="1"/>
    <xf numFmtId="44" fontId="3" fillId="0" borderId="2" xfId="1" applyFont="1" applyBorder="1"/>
    <xf numFmtId="43" fontId="35" fillId="4" borderId="1" xfId="9" applyFont="1" applyFill="1" applyBorder="1"/>
    <xf numFmtId="44" fontId="3" fillId="4" borderId="2" xfId="1" applyFont="1" applyFill="1" applyBorder="1"/>
    <xf numFmtId="44" fontId="36" fillId="14" borderId="2" xfId="0" applyNumberFormat="1" applyFont="1" applyFill="1" applyBorder="1"/>
    <xf numFmtId="43" fontId="35" fillId="14" borderId="1" xfId="9" applyFont="1" applyFill="1" applyBorder="1"/>
    <xf numFmtId="49" fontId="2" fillId="13" borderId="1" xfId="0" applyNumberFormat="1" applyFont="1" applyFill="1" applyBorder="1" applyAlignment="1">
      <alignment horizontal="center"/>
    </xf>
    <xf numFmtId="44" fontId="35" fillId="14" borderId="2" xfId="0" applyNumberFormat="1" applyFont="1" applyFill="1" applyBorder="1"/>
    <xf numFmtId="44" fontId="3" fillId="4" borderId="1" xfId="1" applyFont="1" applyFill="1" applyBorder="1"/>
    <xf numFmtId="44" fontId="35" fillId="14" borderId="1" xfId="0" applyNumberFormat="1" applyFont="1" applyFill="1" applyBorder="1"/>
    <xf numFmtId="0" fontId="32" fillId="15" borderId="0" xfId="0" applyFont="1" applyFill="1"/>
    <xf numFmtId="44" fontId="3" fillId="0" borderId="1" xfId="0" applyNumberFormat="1" applyFont="1" applyBorder="1" applyAlignment="1">
      <alignment horizontal="right"/>
    </xf>
    <xf numFmtId="0" fontId="3" fillId="0" borderId="2" xfId="0" applyFont="1" applyBorder="1" applyAlignment="1">
      <alignment horizontal="center"/>
    </xf>
    <xf numFmtId="0" fontId="3" fillId="0" borderId="1" xfId="0" applyFont="1" applyBorder="1" applyAlignment="1">
      <alignment horizontal="center"/>
    </xf>
    <xf numFmtId="44" fontId="35" fillId="2" borderId="1" xfId="0" applyNumberFormat="1" applyFont="1" applyFill="1" applyBorder="1" applyAlignment="1">
      <alignment horizontal="center"/>
    </xf>
    <xf numFmtId="44" fontId="35" fillId="2" borderId="1" xfId="0" applyNumberFormat="1" applyFont="1" applyFill="1" applyBorder="1"/>
    <xf numFmtId="44" fontId="35" fillId="0" borderId="1" xfId="0" applyNumberFormat="1" applyFont="1" applyBorder="1"/>
    <xf numFmtId="0" fontId="20" fillId="8" borderId="1" xfId="0" applyFont="1" applyFill="1" applyBorder="1" applyAlignment="1">
      <alignment horizontal="center"/>
    </xf>
    <xf numFmtId="0" fontId="21" fillId="8" borderId="1" xfId="0" applyFont="1" applyFill="1" applyBorder="1" applyAlignment="1">
      <alignment horizontal="center"/>
    </xf>
    <xf numFmtId="0" fontId="37" fillId="0" borderId="1" xfId="0" applyFont="1" applyBorder="1" applyAlignment="1">
      <alignment vertical="top"/>
    </xf>
    <xf numFmtId="44" fontId="20" fillId="4" borderId="1" xfId="3" applyFont="1" applyFill="1" applyBorder="1" applyAlignment="1">
      <alignment horizontal="left" vertical="top" wrapText="1"/>
    </xf>
    <xf numFmtId="0" fontId="27" fillId="4" borderId="1" xfId="0" applyFont="1" applyFill="1" applyBorder="1" applyAlignment="1">
      <alignment horizontal="center" vertical="top" wrapText="1"/>
    </xf>
    <xf numFmtId="44" fontId="20" fillId="4" borderId="1" xfId="3" applyFont="1" applyFill="1" applyBorder="1" applyAlignment="1">
      <alignment horizontal="center" vertical="top" wrapText="1"/>
    </xf>
    <xf numFmtId="0" fontId="27" fillId="4" borderId="1" xfId="0" quotePrefix="1" applyFont="1" applyFill="1" applyBorder="1" applyAlignment="1">
      <alignment horizontal="center" vertical="top" wrapText="1"/>
    </xf>
    <xf numFmtId="0" fontId="27" fillId="0" borderId="1" xfId="0" quotePrefix="1" applyFont="1" applyBorder="1" applyAlignment="1">
      <alignment horizontal="center" vertical="top" wrapText="1"/>
    </xf>
    <xf numFmtId="0" fontId="27" fillId="4" borderId="2" xfId="0" applyFont="1" applyFill="1" applyBorder="1" applyAlignment="1">
      <alignment horizontal="center" vertical="top" wrapText="1"/>
    </xf>
    <xf numFmtId="10" fontId="18" fillId="3" borderId="1" xfId="10" applyNumberFormat="1" applyFont="1" applyFill="1" applyBorder="1" applyAlignment="1">
      <alignment vertical="center"/>
    </xf>
    <xf numFmtId="10" fontId="18" fillId="3" borderId="1" xfId="7" applyNumberFormat="1" applyFont="1" applyFill="1" applyBorder="1" applyAlignment="1" applyProtection="1">
      <alignment horizontal="center"/>
    </xf>
    <xf numFmtId="10" fontId="18" fillId="3" borderId="2" xfId="7" applyNumberFormat="1" applyFont="1" applyFill="1" applyBorder="1" applyAlignment="1" applyProtection="1">
      <alignment horizontal="center"/>
    </xf>
    <xf numFmtId="0" fontId="0" fillId="10" borderId="1" xfId="0" applyFill="1" applyBorder="1"/>
    <xf numFmtId="44" fontId="20" fillId="10" borderId="2" xfId="3" applyFont="1" applyFill="1" applyBorder="1"/>
    <xf numFmtId="0" fontId="16" fillId="0" borderId="1" xfId="8" applyFont="1" applyBorder="1" applyAlignment="1">
      <alignment horizontal="left"/>
    </xf>
    <xf numFmtId="10" fontId="16" fillId="0" borderId="1" xfId="10" applyNumberFormat="1" applyFont="1" applyBorder="1"/>
    <xf numFmtId="10" fontId="16" fillId="0" borderId="2" xfId="3" applyNumberFormat="1" applyFont="1" applyBorder="1"/>
    <xf numFmtId="0" fontId="0" fillId="8" borderId="1" xfId="0" applyFill="1" applyBorder="1"/>
    <xf numFmtId="0" fontId="37" fillId="0" borderId="1" xfId="0" applyFont="1" applyBorder="1" applyAlignment="1">
      <alignment horizontal="center" vertical="top"/>
    </xf>
    <xf numFmtId="44" fontId="20" fillId="4" borderId="12" xfId="3" applyFont="1" applyFill="1" applyBorder="1" applyAlignment="1">
      <alignment horizontal="left" vertical="top" wrapText="1"/>
    </xf>
    <xf numFmtId="0" fontId="27" fillId="4" borderId="12" xfId="0" applyFont="1" applyFill="1" applyBorder="1" applyAlignment="1">
      <alignment horizontal="center" vertical="top" wrapText="1"/>
    </xf>
    <xf numFmtId="44" fontId="20" fillId="4" borderId="12" xfId="3" applyFont="1" applyFill="1" applyBorder="1" applyAlignment="1">
      <alignment horizontal="center" vertical="top" wrapText="1"/>
    </xf>
    <xf numFmtId="0" fontId="27" fillId="4" borderId="12" xfId="0" quotePrefix="1" applyFont="1" applyFill="1" applyBorder="1" applyAlignment="1">
      <alignment horizontal="center" vertical="top" wrapText="1"/>
    </xf>
    <xf numFmtId="0" fontId="27" fillId="4" borderId="13" xfId="0" applyFont="1" applyFill="1" applyBorder="1" applyAlignment="1">
      <alignment horizontal="center" vertical="top" wrapText="1"/>
    </xf>
    <xf numFmtId="0" fontId="0" fillId="0" borderId="0" xfId="0" applyAlignment="1">
      <alignment vertical="top"/>
    </xf>
    <xf numFmtId="0" fontId="0" fillId="3" borderId="1" xfId="0" applyFill="1" applyBorder="1"/>
    <xf numFmtId="44" fontId="20" fillId="10" borderId="12" xfId="3" applyFont="1" applyFill="1" applyBorder="1" applyAlignment="1">
      <alignment horizontal="left"/>
    </xf>
    <xf numFmtId="0" fontId="0" fillId="0" borderId="1" xfId="0" applyBorder="1"/>
    <xf numFmtId="0" fontId="3" fillId="0" borderId="0" xfId="0" applyFont="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2" fontId="4" fillId="11" borderId="0" xfId="0" applyNumberFormat="1" applyFont="1" applyFill="1" applyAlignment="1">
      <alignment horizontal="center"/>
    </xf>
    <xf numFmtId="0" fontId="38" fillId="0" borderId="1" xfId="5" applyFont="1" applyBorder="1"/>
    <xf numFmtId="0" fontId="3" fillId="0" borderId="14" xfId="0" applyFont="1" applyBorder="1"/>
    <xf numFmtId="0" fontId="3" fillId="0" borderId="15" xfId="0" applyFont="1" applyBorder="1"/>
    <xf numFmtId="0" fontId="3" fillId="0" borderId="15" xfId="0" applyFont="1" applyBorder="1" applyAlignment="1">
      <alignment horizontal="center"/>
    </xf>
    <xf numFmtId="0" fontId="3" fillId="15" borderId="15" xfId="0" applyFont="1" applyFill="1" applyBorder="1"/>
    <xf numFmtId="0" fontId="3" fillId="0" borderId="16" xfId="0" applyFont="1" applyBorder="1"/>
    <xf numFmtId="0" fontId="3" fillId="0" borderId="17" xfId="0" applyFont="1" applyBorder="1"/>
    <xf numFmtId="0" fontId="3" fillId="0" borderId="18" xfId="0" applyFont="1" applyBorder="1" applyAlignment="1">
      <alignment horizontal="center"/>
    </xf>
    <xf numFmtId="164" fontId="3" fillId="0" borderId="1" xfId="0" applyNumberFormat="1" applyFont="1" applyBorder="1"/>
    <xf numFmtId="164" fontId="3" fillId="15" borderId="1" xfId="0" applyNumberFormat="1" applyFont="1" applyFill="1" applyBorder="1"/>
    <xf numFmtId="0" fontId="3" fillId="0" borderId="2" xfId="0" applyFont="1" applyBorder="1"/>
    <xf numFmtId="164" fontId="3" fillId="0" borderId="19" xfId="0" applyNumberFormat="1" applyFont="1" applyBorder="1"/>
    <xf numFmtId="164" fontId="3" fillId="0" borderId="2" xfId="0" applyNumberFormat="1" applyFont="1" applyBorder="1"/>
    <xf numFmtId="0" fontId="3" fillId="0" borderId="20" xfId="0" applyFont="1" applyBorder="1" applyAlignment="1">
      <alignment horizontal="center"/>
    </xf>
    <xf numFmtId="0" fontId="3" fillId="0" borderId="4" xfId="0" applyFont="1" applyBorder="1"/>
    <xf numFmtId="164" fontId="3" fillId="0" borderId="4" xfId="0" applyNumberFormat="1" applyFont="1" applyBorder="1"/>
    <xf numFmtId="164" fontId="3" fillId="15" borderId="4" xfId="0" applyNumberFormat="1" applyFont="1" applyFill="1" applyBorder="1"/>
    <xf numFmtId="164" fontId="3" fillId="0" borderId="21" xfId="0" applyNumberFormat="1" applyFont="1" applyBorder="1"/>
    <xf numFmtId="0" fontId="3" fillId="0" borderId="24" xfId="0" applyFont="1" applyBorder="1"/>
    <xf numFmtId="164" fontId="3" fillId="0" borderId="24" xfId="0" applyNumberFormat="1" applyFont="1" applyBorder="1"/>
    <xf numFmtId="164" fontId="3" fillId="15" borderId="24" xfId="0" applyNumberFormat="1" applyFont="1" applyFill="1" applyBorder="1"/>
    <xf numFmtId="164" fontId="3" fillId="0" borderId="22" xfId="0" applyNumberFormat="1" applyFont="1" applyBorder="1"/>
    <xf numFmtId="0" fontId="3" fillId="0" borderId="25" xfId="0" applyFont="1" applyBorder="1"/>
    <xf numFmtId="164" fontId="3" fillId="0" borderId="23" xfId="0" applyNumberFormat="1" applyFont="1" applyBorder="1"/>
    <xf numFmtId="41" fontId="35" fillId="4" borderId="1" xfId="9" applyNumberFormat="1" applyFont="1" applyFill="1" applyBorder="1"/>
    <xf numFmtId="41" fontId="35" fillId="0" borderId="1" xfId="9" applyNumberFormat="1" applyFont="1" applyBorder="1"/>
    <xf numFmtId="44" fontId="2" fillId="0" borderId="0" xfId="0" applyNumberFormat="1" applyFont="1"/>
    <xf numFmtId="0" fontId="3" fillId="12" borderId="4" xfId="0" applyFont="1" applyFill="1" applyBorder="1"/>
    <xf numFmtId="3" fontId="2" fillId="0" borderId="4" xfId="0" applyNumberFormat="1" applyFont="1" applyBorder="1" applyAlignment="1">
      <alignment horizontal="center"/>
    </xf>
    <xf numFmtId="44" fontId="2" fillId="2" borderId="4" xfId="0" applyNumberFormat="1" applyFont="1" applyFill="1" applyBorder="1"/>
    <xf numFmtId="2" fontId="3" fillId="12" borderId="26" xfId="0" applyNumberFormat="1" applyFont="1" applyFill="1" applyBorder="1" applyAlignment="1">
      <alignment horizontal="center"/>
    </xf>
    <xf numFmtId="2" fontId="3" fillId="12" borderId="27" xfId="0" applyNumberFormat="1" applyFont="1" applyFill="1" applyBorder="1" applyAlignment="1">
      <alignment horizontal="center"/>
    </xf>
    <xf numFmtId="2" fontId="4" fillId="0" borderId="1" xfId="0" applyNumberFormat="1" applyFont="1" applyBorder="1" applyAlignment="1">
      <alignment horizontal="center"/>
    </xf>
    <xf numFmtId="0" fontId="0" fillId="0" borderId="1" xfId="0" applyBorder="1" applyAlignment="1">
      <alignment horizontal="center"/>
    </xf>
    <xf numFmtId="2" fontId="4" fillId="0" borderId="28" xfId="0" applyNumberFormat="1" applyFont="1" applyBorder="1" applyAlignment="1">
      <alignment horizontal="center"/>
    </xf>
    <xf numFmtId="2" fontId="4" fillId="0" borderId="0" xfId="0" applyNumberFormat="1" applyFont="1" applyAlignment="1">
      <alignment horizontal="center"/>
    </xf>
    <xf numFmtId="0" fontId="0" fillId="0" borderId="0" xfId="0" applyAlignment="1">
      <alignment horizontal="center"/>
    </xf>
    <xf numFmtId="2" fontId="3" fillId="12" borderId="2" xfId="0" applyNumberFormat="1" applyFont="1" applyFill="1" applyBorder="1" applyAlignment="1">
      <alignment horizontal="center"/>
    </xf>
    <xf numFmtId="2" fontId="3" fillId="12" borderId="3" xfId="0" applyNumberFormat="1" applyFont="1" applyFill="1" applyBorder="1" applyAlignment="1">
      <alignment horizontal="center"/>
    </xf>
    <xf numFmtId="0" fontId="3" fillId="0" borderId="0" xfId="0" applyFont="1" applyAlignment="1">
      <alignment horizontal="center"/>
    </xf>
    <xf numFmtId="49" fontId="2" fillId="0" borderId="0" xfId="0" applyNumberFormat="1" applyFont="1" applyAlignment="1">
      <alignment horizontal="right"/>
    </xf>
    <xf numFmtId="0" fontId="0" fillId="0" borderId="0" xfId="0"/>
    <xf numFmtId="0" fontId="2" fillId="0" borderId="0" xfId="0" applyFont="1" applyAlignment="1">
      <alignment horizontal="center"/>
    </xf>
    <xf numFmtId="49" fontId="2" fillId="0" borderId="0" xfId="0" applyNumberFormat="1" applyFont="1" applyAlignment="1">
      <alignment horizontal="center"/>
    </xf>
    <xf numFmtId="49" fontId="2" fillId="13" borderId="2" xfId="0" applyNumberFormat="1" applyFont="1" applyFill="1" applyBorder="1" applyAlignment="1">
      <alignment horizontal="center"/>
    </xf>
    <xf numFmtId="49" fontId="2" fillId="13" borderId="11" xfId="0" applyNumberFormat="1" applyFont="1" applyFill="1" applyBorder="1" applyAlignment="1">
      <alignment horizontal="center"/>
    </xf>
    <xf numFmtId="49" fontId="2" fillId="13" borderId="3" xfId="0" applyNumberFormat="1" applyFont="1" applyFill="1" applyBorder="1" applyAlignment="1">
      <alignment horizontal="center"/>
    </xf>
    <xf numFmtId="49" fontId="2" fillId="0" borderId="1" xfId="0" applyNumberFormat="1" applyFont="1" applyBorder="1" applyAlignment="1">
      <alignment horizontal="right"/>
    </xf>
    <xf numFmtId="0" fontId="0" fillId="0" borderId="1" xfId="0" applyBorder="1"/>
    <xf numFmtId="2" fontId="4" fillId="11" borderId="0" xfId="0" applyNumberFormat="1" applyFont="1" applyFill="1" applyAlignment="1">
      <alignment horizontal="center"/>
    </xf>
    <xf numFmtId="49" fontId="2" fillId="3" borderId="2" xfId="0" applyNumberFormat="1" applyFont="1" applyFill="1" applyBorder="1" applyAlignment="1">
      <alignment horizontal="center"/>
    </xf>
    <xf numFmtId="49" fontId="2" fillId="3" borderId="11" xfId="0" applyNumberFormat="1" applyFont="1" applyFill="1" applyBorder="1" applyAlignment="1">
      <alignment horizontal="center"/>
    </xf>
    <xf numFmtId="49" fontId="2" fillId="3" borderId="3" xfId="0" applyNumberFormat="1" applyFont="1" applyFill="1" applyBorder="1" applyAlignment="1">
      <alignment horizontal="center"/>
    </xf>
    <xf numFmtId="0" fontId="2" fillId="3" borderId="2" xfId="0" applyFont="1" applyFill="1" applyBorder="1" applyAlignment="1">
      <alignment horizontal="center"/>
    </xf>
    <xf numFmtId="0" fontId="2" fillId="3" borderId="11" xfId="0" applyFont="1" applyFill="1" applyBorder="1" applyAlignment="1">
      <alignment horizontal="center"/>
    </xf>
    <xf numFmtId="0" fontId="2" fillId="3" borderId="3" xfId="0" applyFont="1" applyFill="1" applyBorder="1" applyAlignment="1">
      <alignment horizontal="center"/>
    </xf>
    <xf numFmtId="49" fontId="2" fillId="14" borderId="2" xfId="0" applyNumberFormat="1" applyFont="1" applyFill="1" applyBorder="1" applyAlignment="1">
      <alignment horizontal="right" wrapText="1"/>
    </xf>
    <xf numFmtId="0" fontId="0" fillId="14" borderId="11" xfId="0" applyFill="1" applyBorder="1" applyAlignment="1">
      <alignment wrapText="1"/>
    </xf>
    <xf numFmtId="0" fontId="19" fillId="0" borderId="0" xfId="0" applyFont="1" applyAlignment="1">
      <alignment wrapText="1"/>
    </xf>
    <xf numFmtId="0" fontId="19" fillId="0" borderId="0" xfId="0" applyFont="1" applyAlignment="1">
      <alignment horizontal="left" wrapText="1"/>
    </xf>
    <xf numFmtId="0" fontId="0" fillId="0" borderId="2" xfId="0" applyBorder="1"/>
    <xf numFmtId="0" fontId="0" fillId="0" borderId="3" xfId="0" applyBorder="1"/>
    <xf numFmtId="0" fontId="0" fillId="0" borderId="2" xfId="0" applyBorder="1" applyAlignment="1">
      <alignment horizontal="center"/>
    </xf>
    <xf numFmtId="0" fontId="0" fillId="0" borderId="3" xfId="0" applyBorder="1" applyAlignment="1">
      <alignment horizontal="center"/>
    </xf>
    <xf numFmtId="0" fontId="14" fillId="0" borderId="2" xfId="0" applyFont="1" applyBorder="1" applyAlignment="1">
      <alignment horizontal="center"/>
    </xf>
    <xf numFmtId="0" fontId="20" fillId="4" borderId="1" xfId="5" applyFont="1" applyFill="1" applyBorder="1" applyAlignment="1">
      <alignment horizontal="center" vertical="center" wrapText="1"/>
    </xf>
    <xf numFmtId="0" fontId="20" fillId="4" borderId="1" xfId="5" applyFont="1" applyFill="1" applyBorder="1" applyAlignment="1">
      <alignment horizontal="center" vertical="center"/>
    </xf>
    <xf numFmtId="0" fontId="20"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4" borderId="2" xfId="0" applyFont="1" applyFill="1" applyBorder="1" applyAlignment="1">
      <alignment horizontal="left" vertical="center" wrapText="1"/>
    </xf>
    <xf numFmtId="0" fontId="0" fillId="0" borderId="11" xfId="0" applyBorder="1" applyAlignment="1">
      <alignment horizontal="left" vertical="center" wrapTex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3" fillId="0" borderId="21" xfId="0" applyFont="1"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xf numFmtId="0" fontId="8" fillId="6" borderId="0" xfId="0" applyFont="1" applyFill="1"/>
    <xf numFmtId="0" fontId="20" fillId="4" borderId="2" xfId="4" applyFont="1" applyFill="1" applyBorder="1" applyAlignment="1">
      <alignment horizontal="center" vertical="top" wrapText="1"/>
    </xf>
    <xf numFmtId="0" fontId="0" fillId="0" borderId="3" xfId="0" applyBorder="1" applyAlignment="1">
      <alignment horizontal="center" vertical="top" wrapText="1"/>
    </xf>
    <xf numFmtId="0" fontId="20" fillId="8" borderId="1" xfId="0" applyFont="1" applyFill="1" applyBorder="1" applyAlignment="1">
      <alignment horizontal="center" wrapText="1"/>
    </xf>
    <xf numFmtId="0" fontId="0" fillId="8" borderId="1" xfId="0" applyFill="1" applyBorder="1" applyAlignment="1">
      <alignment horizontal="center" wrapText="1"/>
    </xf>
    <xf numFmtId="0" fontId="30" fillId="0" borderId="0" xfId="0" applyFont="1" applyAlignment="1">
      <alignment horizontal="center" wrapText="1"/>
    </xf>
    <xf numFmtId="0" fontId="0" fillId="0" borderId="0" xfId="0" applyAlignment="1">
      <alignment horizontal="center" wrapText="1"/>
    </xf>
  </cellXfs>
  <cellStyles count="11">
    <cellStyle name="Comma" xfId="9" builtinId="3"/>
    <cellStyle name="Comma 2" xfId="2" xr:uid="{00000000-0005-0000-0000-000000000000}"/>
    <cellStyle name="Currency" xfId="1" builtinId="4"/>
    <cellStyle name="Currency 15" xfId="3" xr:uid="{00000000-0005-0000-0000-000002000000}"/>
    <cellStyle name="Normal" xfId="0" builtinId="0"/>
    <cellStyle name="Normal 2" xfId="5" xr:uid="{00000000-0005-0000-0000-000004000000}"/>
    <cellStyle name="Normal 5" xfId="4" xr:uid="{00000000-0005-0000-0000-000005000000}"/>
    <cellStyle name="Normal_Sheet1" xfId="8" xr:uid="{00000000-0005-0000-0000-000006000000}"/>
    <cellStyle name="Normal_Sheet1_CURRENT EMPLOYEE'S" xfId="6" xr:uid="{00000000-0005-0000-0000-000007000000}"/>
    <cellStyle name="Percent" xfId="10" builtinId="5"/>
    <cellStyle name="Percent 10 3" xfId="7" xr:uid="{00000000-0005-0000-0000-000008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6"/>
  <sheetViews>
    <sheetView tabSelected="1" zoomScaleNormal="100" workbookViewId="0">
      <selection activeCell="F4" sqref="F4:G4"/>
    </sheetView>
  </sheetViews>
  <sheetFormatPr defaultColWidth="8.88671875" defaultRowHeight="13.8" x14ac:dyDescent="0.25"/>
  <cols>
    <col min="1" max="1" width="8.88671875" style="1" customWidth="1"/>
    <col min="2" max="2" width="47.33203125" style="2" customWidth="1"/>
    <col min="3" max="3" width="18.77734375" style="1" customWidth="1"/>
    <col min="4" max="4" width="20.6640625" style="1" customWidth="1"/>
    <col min="5" max="6" width="12.6640625" style="1" customWidth="1"/>
    <col min="7" max="7" width="15.44140625" style="1" bestFit="1" customWidth="1"/>
    <col min="8" max="8" width="8.88671875" style="1"/>
    <col min="9" max="9" width="24.88671875" style="1" customWidth="1"/>
    <col min="10" max="10" width="27.109375" style="1" customWidth="1"/>
    <col min="11" max="11" width="19.6640625" style="1" bestFit="1" customWidth="1"/>
    <col min="12" max="12" width="19.33203125" style="1" customWidth="1"/>
    <col min="13" max="23" width="8.88671875" style="1"/>
    <col min="24" max="24" width="13.5546875" style="1" customWidth="1"/>
    <col min="25" max="16384" width="8.88671875" style="1"/>
  </cols>
  <sheetData>
    <row r="1" spans="1:18" x14ac:dyDescent="0.25">
      <c r="A1" s="66" t="s">
        <v>0</v>
      </c>
    </row>
    <row r="2" spans="1:18" x14ac:dyDescent="0.25">
      <c r="A2" s="66" t="s">
        <v>83</v>
      </c>
    </row>
    <row r="3" spans="1:18" x14ac:dyDescent="0.25">
      <c r="A3" s="66" t="s">
        <v>84</v>
      </c>
    </row>
    <row r="4" spans="1:18" s="67" customFormat="1" ht="16.8" x14ac:dyDescent="0.3">
      <c r="B4" s="179"/>
      <c r="C4" s="179"/>
      <c r="D4" s="179"/>
      <c r="E4" s="179"/>
      <c r="F4" s="129"/>
      <c r="G4" s="129"/>
    </row>
    <row r="5" spans="1:18" ht="16.8" x14ac:dyDescent="0.3">
      <c r="A5" s="162" t="s">
        <v>1</v>
      </c>
      <c r="B5" s="162"/>
      <c r="C5" s="162"/>
      <c r="D5" s="162"/>
      <c r="E5" s="162"/>
      <c r="F5" s="163"/>
      <c r="G5" s="163"/>
      <c r="I5" s="7" t="s">
        <v>2</v>
      </c>
    </row>
    <row r="6" spans="1:18" x14ac:dyDescent="0.25">
      <c r="A6" s="3" t="s">
        <v>3</v>
      </c>
      <c r="B6" s="6" t="s">
        <v>4</v>
      </c>
      <c r="C6" s="3" t="s">
        <v>5</v>
      </c>
      <c r="D6" s="3" t="s">
        <v>6</v>
      </c>
      <c r="E6" s="3" t="s">
        <v>7</v>
      </c>
      <c r="F6" s="3" t="s">
        <v>134</v>
      </c>
      <c r="G6" s="3" t="s">
        <v>135</v>
      </c>
      <c r="I6" s="183" t="s">
        <v>8</v>
      </c>
      <c r="J6" s="184"/>
      <c r="K6" s="184"/>
      <c r="L6" s="185"/>
      <c r="N6" s="1" t="s">
        <v>9</v>
      </c>
    </row>
    <row r="7" spans="1:18" x14ac:dyDescent="0.25">
      <c r="A7" s="3">
        <v>5000</v>
      </c>
      <c r="B7" s="130" t="s">
        <v>98</v>
      </c>
      <c r="C7" s="70">
        <v>0</v>
      </c>
      <c r="D7" s="71">
        <v>1920</v>
      </c>
      <c r="E7" s="13">
        <f t="shared" ref="E7:E30" si="0">C7*D7</f>
        <v>0</v>
      </c>
      <c r="F7" s="13"/>
      <c r="G7" s="13"/>
      <c r="I7" s="4" t="s">
        <v>10</v>
      </c>
      <c r="J7" s="11" t="s">
        <v>123</v>
      </c>
      <c r="K7" s="78"/>
      <c r="L7" s="12">
        <f>E31</f>
        <v>0</v>
      </c>
      <c r="N7" s="1" t="s">
        <v>11</v>
      </c>
    </row>
    <row r="8" spans="1:18" x14ac:dyDescent="0.25">
      <c r="A8" s="3">
        <v>5001</v>
      </c>
      <c r="B8" s="130" t="s">
        <v>99</v>
      </c>
      <c r="C8" s="70">
        <v>0</v>
      </c>
      <c r="D8" s="71">
        <v>1920</v>
      </c>
      <c r="E8" s="13">
        <f t="shared" si="0"/>
        <v>0</v>
      </c>
      <c r="F8" s="13"/>
      <c r="G8" s="13"/>
      <c r="I8" s="4" t="s">
        <v>12</v>
      </c>
      <c r="J8" s="11" t="s">
        <v>13</v>
      </c>
      <c r="K8" s="92"/>
      <c r="L8" s="72">
        <v>200000</v>
      </c>
      <c r="N8" s="1" t="s">
        <v>14</v>
      </c>
    </row>
    <row r="9" spans="1:18" x14ac:dyDescent="0.25">
      <c r="A9" s="3">
        <v>5002</v>
      </c>
      <c r="B9" s="130" t="s">
        <v>100</v>
      </c>
      <c r="C9" s="70">
        <v>0</v>
      </c>
      <c r="D9" s="71">
        <v>1920</v>
      </c>
      <c r="E9" s="13">
        <f t="shared" si="0"/>
        <v>0</v>
      </c>
      <c r="F9" s="13"/>
      <c r="G9" s="13"/>
      <c r="I9" s="93"/>
      <c r="J9" s="94"/>
      <c r="K9" s="94"/>
      <c r="L9" s="95">
        <f>L7+L8</f>
        <v>200000</v>
      </c>
    </row>
    <row r="10" spans="1:18" x14ac:dyDescent="0.25">
      <c r="A10" s="3">
        <v>5003</v>
      </c>
      <c r="B10" s="130" t="s">
        <v>100</v>
      </c>
      <c r="C10" s="70">
        <v>0</v>
      </c>
      <c r="D10" s="71">
        <v>1920</v>
      </c>
      <c r="E10" s="13">
        <f t="shared" si="0"/>
        <v>0</v>
      </c>
      <c r="F10" s="13"/>
      <c r="G10" s="13"/>
      <c r="I10" s="180" t="s">
        <v>15</v>
      </c>
      <c r="J10" s="181"/>
      <c r="K10" s="181"/>
      <c r="L10" s="181"/>
      <c r="N10" s="7" t="s">
        <v>16</v>
      </c>
    </row>
    <row r="11" spans="1:18" x14ac:dyDescent="0.25">
      <c r="A11" s="3">
        <v>5004</v>
      </c>
      <c r="B11" s="130" t="s">
        <v>100</v>
      </c>
      <c r="C11" s="70">
        <v>0</v>
      </c>
      <c r="D11" s="71">
        <v>1920</v>
      </c>
      <c r="E11" s="13">
        <f t="shared" si="0"/>
        <v>0</v>
      </c>
      <c r="F11" s="13"/>
      <c r="G11" s="13"/>
      <c r="I11" s="4" t="s">
        <v>10</v>
      </c>
      <c r="J11" s="11" t="s">
        <v>124</v>
      </c>
      <c r="K11" s="92"/>
      <c r="L11" s="12">
        <f>E58</f>
        <v>0</v>
      </c>
      <c r="N11" s="1" t="s">
        <v>17</v>
      </c>
    </row>
    <row r="12" spans="1:18" x14ac:dyDescent="0.25">
      <c r="A12" s="3">
        <v>5005</v>
      </c>
      <c r="B12" s="130" t="s">
        <v>100</v>
      </c>
      <c r="C12" s="70">
        <v>0</v>
      </c>
      <c r="D12" s="71">
        <v>1920</v>
      </c>
      <c r="E12" s="13">
        <f t="shared" si="0"/>
        <v>0</v>
      </c>
      <c r="F12" s="13"/>
      <c r="G12" s="13"/>
      <c r="I12" s="4" t="s">
        <v>12</v>
      </c>
      <c r="J12" s="11" t="s">
        <v>18</v>
      </c>
      <c r="K12" s="5"/>
      <c r="L12" s="72">
        <v>200000</v>
      </c>
      <c r="N12" s="1" t="s">
        <v>19</v>
      </c>
    </row>
    <row r="13" spans="1:18" x14ac:dyDescent="0.25">
      <c r="A13" s="3">
        <v>5006</v>
      </c>
      <c r="B13" s="130" t="s">
        <v>100</v>
      </c>
      <c r="C13" s="70">
        <v>0</v>
      </c>
      <c r="D13" s="71">
        <v>1920</v>
      </c>
      <c r="E13" s="13">
        <f t="shared" si="0"/>
        <v>0</v>
      </c>
      <c r="F13" s="13"/>
      <c r="G13" s="13"/>
      <c r="I13" s="4"/>
      <c r="J13" s="4"/>
      <c r="K13" s="4"/>
      <c r="L13" s="96">
        <f>L11+L12</f>
        <v>200000</v>
      </c>
    </row>
    <row r="14" spans="1:18" x14ac:dyDescent="0.25">
      <c r="A14" s="3">
        <v>5007</v>
      </c>
      <c r="B14" s="130" t="s">
        <v>100</v>
      </c>
      <c r="C14" s="70">
        <v>0</v>
      </c>
      <c r="D14" s="71">
        <v>1920</v>
      </c>
      <c r="E14" s="13">
        <f t="shared" si="0"/>
        <v>0</v>
      </c>
      <c r="F14" s="13"/>
      <c r="G14" s="13"/>
      <c r="I14" s="180" t="s">
        <v>20</v>
      </c>
      <c r="J14" s="181"/>
      <c r="K14" s="181"/>
      <c r="L14" s="182"/>
    </row>
    <row r="15" spans="1:18" x14ac:dyDescent="0.25">
      <c r="A15" s="3">
        <v>5008</v>
      </c>
      <c r="B15" s="130" t="s">
        <v>100</v>
      </c>
      <c r="C15" s="70">
        <v>0</v>
      </c>
      <c r="D15" s="71">
        <v>1920</v>
      </c>
      <c r="E15" s="13">
        <f t="shared" si="0"/>
        <v>0</v>
      </c>
      <c r="F15" s="13"/>
      <c r="G15" s="13"/>
      <c r="I15" s="4" t="s">
        <v>10</v>
      </c>
      <c r="J15" s="11" t="s">
        <v>125</v>
      </c>
      <c r="K15" s="92"/>
      <c r="L15" s="12">
        <f>E85</f>
        <v>0</v>
      </c>
    </row>
    <row r="16" spans="1:18" s="73" customFormat="1" x14ac:dyDescent="0.25">
      <c r="A16" s="3">
        <v>5009</v>
      </c>
      <c r="B16" s="130" t="s">
        <v>101</v>
      </c>
      <c r="C16" s="70">
        <v>0</v>
      </c>
      <c r="D16" s="71">
        <v>1920</v>
      </c>
      <c r="E16" s="13">
        <f t="shared" si="0"/>
        <v>0</v>
      </c>
      <c r="F16" s="13"/>
      <c r="G16" s="13"/>
      <c r="I16" s="4" t="s">
        <v>12</v>
      </c>
      <c r="J16" s="11" t="s">
        <v>21</v>
      </c>
      <c r="K16" s="92"/>
      <c r="L16" s="72">
        <v>200000</v>
      </c>
      <c r="M16" s="1"/>
      <c r="N16" s="1"/>
      <c r="O16" s="1"/>
      <c r="P16" s="1"/>
      <c r="Q16" s="1"/>
      <c r="R16" s="1"/>
    </row>
    <row r="17" spans="1:18" s="73" customFormat="1" x14ac:dyDescent="0.25">
      <c r="A17" s="3">
        <v>5010</v>
      </c>
      <c r="B17" s="130" t="s">
        <v>102</v>
      </c>
      <c r="C17" s="70">
        <v>0</v>
      </c>
      <c r="D17" s="71">
        <v>1920</v>
      </c>
      <c r="E17" s="13">
        <f t="shared" si="0"/>
        <v>0</v>
      </c>
      <c r="F17" s="13"/>
      <c r="G17" s="13"/>
      <c r="I17" s="94"/>
      <c r="J17" s="94"/>
      <c r="K17" s="94"/>
      <c r="L17" s="95">
        <f>L15+L16</f>
        <v>200000</v>
      </c>
      <c r="M17" s="1"/>
      <c r="N17" s="1"/>
      <c r="O17" s="1"/>
      <c r="P17" s="1"/>
      <c r="Q17" s="1"/>
      <c r="R17" s="1"/>
    </row>
    <row r="18" spans="1:18" s="73" customFormat="1" x14ac:dyDescent="0.25">
      <c r="A18" s="3">
        <v>5011</v>
      </c>
      <c r="B18" s="130" t="s">
        <v>103</v>
      </c>
      <c r="C18" s="70">
        <v>0</v>
      </c>
      <c r="D18" s="71">
        <v>1920</v>
      </c>
      <c r="E18" s="13">
        <f t="shared" si="0"/>
        <v>0</v>
      </c>
      <c r="F18" s="13"/>
      <c r="G18" s="13"/>
      <c r="I18" s="180" t="s">
        <v>22</v>
      </c>
      <c r="J18" s="181"/>
      <c r="K18" s="181"/>
      <c r="L18" s="182"/>
      <c r="M18" s="1"/>
      <c r="N18" s="1"/>
      <c r="O18" s="1"/>
      <c r="P18" s="1"/>
      <c r="Q18" s="1"/>
      <c r="R18" s="1"/>
    </row>
    <row r="19" spans="1:18" s="73" customFormat="1" x14ac:dyDescent="0.25">
      <c r="A19" s="3">
        <v>5012</v>
      </c>
      <c r="B19" s="130" t="s">
        <v>104</v>
      </c>
      <c r="C19" s="70">
        <v>0</v>
      </c>
      <c r="D19" s="71">
        <v>1920</v>
      </c>
      <c r="E19" s="13">
        <f t="shared" si="0"/>
        <v>0</v>
      </c>
      <c r="F19" s="13"/>
      <c r="G19" s="13"/>
      <c r="I19" s="4" t="s">
        <v>10</v>
      </c>
      <c r="J19" s="11" t="s">
        <v>126</v>
      </c>
      <c r="K19" s="92"/>
      <c r="L19" s="12">
        <f>E112</f>
        <v>0</v>
      </c>
      <c r="M19" s="1"/>
      <c r="N19" s="1"/>
      <c r="O19" s="1"/>
      <c r="P19" s="1"/>
      <c r="Q19" s="1"/>
      <c r="R19" s="1"/>
    </row>
    <row r="20" spans="1:18" s="73" customFormat="1" x14ac:dyDescent="0.25">
      <c r="A20" s="3">
        <v>5013</v>
      </c>
      <c r="B20" s="130" t="s">
        <v>105</v>
      </c>
      <c r="C20" s="70">
        <v>0</v>
      </c>
      <c r="D20" s="71">
        <v>1920</v>
      </c>
      <c r="E20" s="13">
        <f t="shared" si="0"/>
        <v>0</v>
      </c>
      <c r="F20" s="13"/>
      <c r="G20" s="13"/>
      <c r="I20" s="4" t="s">
        <v>12</v>
      </c>
      <c r="J20" s="11" t="s">
        <v>23</v>
      </c>
      <c r="K20" s="92"/>
      <c r="L20" s="72">
        <v>200000</v>
      </c>
      <c r="M20" s="1"/>
      <c r="N20" s="1"/>
      <c r="O20" s="1"/>
      <c r="P20" s="1"/>
      <c r="Q20" s="1"/>
      <c r="R20" s="1"/>
    </row>
    <row r="21" spans="1:18" s="73" customFormat="1" x14ac:dyDescent="0.25">
      <c r="A21" s="3">
        <v>5014</v>
      </c>
      <c r="B21" s="130" t="s">
        <v>106</v>
      </c>
      <c r="C21" s="70">
        <v>0</v>
      </c>
      <c r="D21" s="71">
        <v>1920</v>
      </c>
      <c r="E21" s="13">
        <f t="shared" si="0"/>
        <v>0</v>
      </c>
      <c r="F21" s="13"/>
      <c r="G21" s="13"/>
      <c r="I21" s="94"/>
      <c r="J21" s="94"/>
      <c r="K21" s="94"/>
      <c r="L21" s="95">
        <f>L19+L20</f>
        <v>200000</v>
      </c>
      <c r="M21" s="1"/>
      <c r="N21" s="1"/>
      <c r="O21" s="1"/>
      <c r="P21" s="1"/>
      <c r="Q21" s="1"/>
      <c r="R21" s="1"/>
    </row>
    <row r="22" spans="1:18" s="73" customFormat="1" x14ac:dyDescent="0.25">
      <c r="A22" s="3">
        <v>5015</v>
      </c>
      <c r="B22" s="130" t="s">
        <v>106</v>
      </c>
      <c r="C22" s="70">
        <v>0</v>
      </c>
      <c r="D22" s="71">
        <v>1920</v>
      </c>
      <c r="E22" s="13">
        <f t="shared" si="0"/>
        <v>0</v>
      </c>
      <c r="F22" s="13"/>
      <c r="G22" s="13"/>
      <c r="I22" s="180" t="s">
        <v>24</v>
      </c>
      <c r="J22" s="181"/>
      <c r="K22" s="181"/>
      <c r="L22" s="182"/>
      <c r="M22" s="1"/>
      <c r="N22" s="1"/>
      <c r="O22" s="1"/>
      <c r="P22" s="1"/>
      <c r="Q22" s="1"/>
      <c r="R22" s="1"/>
    </row>
    <row r="23" spans="1:18" s="73" customFormat="1" x14ac:dyDescent="0.25">
      <c r="A23" s="3">
        <v>5016</v>
      </c>
      <c r="B23" s="130" t="s">
        <v>106</v>
      </c>
      <c r="C23" s="70">
        <v>0</v>
      </c>
      <c r="D23" s="71">
        <v>1920</v>
      </c>
      <c r="E23" s="13">
        <f t="shared" si="0"/>
        <v>0</v>
      </c>
      <c r="F23" s="13"/>
      <c r="G23" s="13"/>
      <c r="I23" s="4" t="s">
        <v>10</v>
      </c>
      <c r="J23" s="11" t="s">
        <v>127</v>
      </c>
      <c r="K23" s="92"/>
      <c r="L23" s="12">
        <f>E139</f>
        <v>0</v>
      </c>
      <c r="M23" s="1"/>
      <c r="N23" s="1"/>
      <c r="O23" s="1"/>
      <c r="P23" s="1"/>
      <c r="Q23" s="1"/>
      <c r="R23" s="1"/>
    </row>
    <row r="24" spans="1:18" s="73" customFormat="1" x14ac:dyDescent="0.25">
      <c r="A24" s="3">
        <v>5017</v>
      </c>
      <c r="B24" s="130" t="s">
        <v>106</v>
      </c>
      <c r="C24" s="70">
        <v>0</v>
      </c>
      <c r="D24" s="71">
        <v>1920</v>
      </c>
      <c r="E24" s="13">
        <f t="shared" si="0"/>
        <v>0</v>
      </c>
      <c r="F24" s="13"/>
      <c r="G24" s="13"/>
      <c r="I24" s="4" t="s">
        <v>12</v>
      </c>
      <c r="J24" s="11" t="s">
        <v>25</v>
      </c>
      <c r="K24" s="92"/>
      <c r="L24" s="72">
        <v>200000</v>
      </c>
      <c r="M24" s="1"/>
      <c r="N24" s="1"/>
      <c r="O24" s="1"/>
      <c r="P24" s="1"/>
      <c r="Q24" s="1"/>
      <c r="R24" s="1"/>
    </row>
    <row r="25" spans="1:18" s="73" customFormat="1" x14ac:dyDescent="0.25">
      <c r="A25" s="3">
        <v>5018</v>
      </c>
      <c r="B25" s="130" t="s">
        <v>108</v>
      </c>
      <c r="C25" s="70">
        <v>0</v>
      </c>
      <c r="D25" s="71">
        <v>1920</v>
      </c>
      <c r="E25" s="13">
        <f t="shared" si="0"/>
        <v>0</v>
      </c>
      <c r="F25" s="13"/>
      <c r="G25" s="13"/>
      <c r="I25" s="94"/>
      <c r="J25" s="94"/>
      <c r="K25" s="94"/>
      <c r="L25" s="95">
        <f>L23+L24</f>
        <v>200000</v>
      </c>
      <c r="M25" s="1"/>
      <c r="N25" s="1"/>
      <c r="O25" s="1"/>
      <c r="P25" s="1"/>
      <c r="Q25" s="1"/>
      <c r="R25" s="1"/>
    </row>
    <row r="26" spans="1:18" s="73" customFormat="1" x14ac:dyDescent="0.25">
      <c r="A26" s="3">
        <v>5019</v>
      </c>
      <c r="B26" s="130" t="s">
        <v>106</v>
      </c>
      <c r="C26" s="70">
        <v>0</v>
      </c>
      <c r="D26" s="71">
        <v>1920</v>
      </c>
      <c r="E26" s="13">
        <f t="shared" si="0"/>
        <v>0</v>
      </c>
      <c r="F26" s="13"/>
      <c r="G26" s="13"/>
      <c r="I26" s="174" t="s">
        <v>85</v>
      </c>
      <c r="J26" s="175"/>
      <c r="K26" s="175"/>
      <c r="L26" s="176"/>
      <c r="M26" s="1"/>
      <c r="N26" s="1"/>
      <c r="O26" s="1"/>
      <c r="P26" s="1"/>
      <c r="Q26" s="1"/>
      <c r="R26" s="1"/>
    </row>
    <row r="27" spans="1:18" s="73" customFormat="1" x14ac:dyDescent="0.25">
      <c r="A27" s="3">
        <v>5020</v>
      </c>
      <c r="B27" s="130" t="s">
        <v>106</v>
      </c>
      <c r="C27" s="70">
        <v>0</v>
      </c>
      <c r="D27" s="71">
        <v>1920</v>
      </c>
      <c r="E27" s="13">
        <f t="shared" si="0"/>
        <v>0</v>
      </c>
      <c r="F27" s="13"/>
      <c r="G27" s="13"/>
      <c r="I27" s="4" t="s">
        <v>10</v>
      </c>
      <c r="J27" s="11" t="s">
        <v>128</v>
      </c>
      <c r="K27" s="92"/>
      <c r="L27" s="12">
        <f>L7+L11+L15+L19+L23</f>
        <v>0</v>
      </c>
      <c r="M27" s="1"/>
      <c r="N27" s="1"/>
      <c r="O27" s="1"/>
      <c r="P27" s="1"/>
      <c r="Q27" s="1"/>
      <c r="R27" s="1"/>
    </row>
    <row r="28" spans="1:18" s="73" customFormat="1" x14ac:dyDescent="0.25">
      <c r="A28" s="3">
        <v>5021</v>
      </c>
      <c r="B28" s="130" t="s">
        <v>106</v>
      </c>
      <c r="C28" s="70">
        <v>0</v>
      </c>
      <c r="D28" s="71">
        <v>1920</v>
      </c>
      <c r="E28" s="13">
        <f t="shared" si="0"/>
        <v>0</v>
      </c>
      <c r="F28" s="13"/>
      <c r="G28" s="13"/>
      <c r="I28" s="4" t="s">
        <v>12</v>
      </c>
      <c r="J28" s="11" t="s">
        <v>87</v>
      </c>
      <c r="K28" s="92"/>
      <c r="L28" s="72">
        <f>L8+L12+L16+L20+L24</f>
        <v>1000000</v>
      </c>
      <c r="M28" s="1"/>
      <c r="N28" s="1"/>
      <c r="O28" s="1"/>
      <c r="P28" s="1"/>
      <c r="Q28" s="1"/>
      <c r="R28" s="1"/>
    </row>
    <row r="29" spans="1:18" s="73" customFormat="1" ht="14.4" x14ac:dyDescent="0.3">
      <c r="A29" s="3">
        <v>5022</v>
      </c>
      <c r="B29" s="130" t="s">
        <v>106</v>
      </c>
      <c r="C29" s="70">
        <v>0</v>
      </c>
      <c r="D29" s="71">
        <v>1920</v>
      </c>
      <c r="E29" s="13">
        <f t="shared" si="0"/>
        <v>0</v>
      </c>
      <c r="F29" s="13"/>
      <c r="G29" s="13"/>
      <c r="I29" s="4"/>
      <c r="J29" s="177" t="s">
        <v>88</v>
      </c>
      <c r="K29" s="178"/>
      <c r="L29" s="97">
        <f>+L27+L28</f>
        <v>1000000</v>
      </c>
      <c r="M29" s="1"/>
      <c r="N29" s="1"/>
      <c r="O29" s="1"/>
      <c r="P29" s="1"/>
      <c r="Q29" s="1"/>
      <c r="R29" s="1"/>
    </row>
    <row r="30" spans="1:18" s="73" customFormat="1" x14ac:dyDescent="0.25">
      <c r="A30" s="3">
        <v>5023</v>
      </c>
      <c r="B30" s="130" t="s">
        <v>106</v>
      </c>
      <c r="C30" s="70">
        <v>0</v>
      </c>
      <c r="D30" s="71">
        <v>1920</v>
      </c>
      <c r="E30" s="13">
        <f t="shared" si="0"/>
        <v>0</v>
      </c>
      <c r="F30" s="13"/>
      <c r="G30" s="13"/>
      <c r="I30" s="174" t="s">
        <v>89</v>
      </c>
      <c r="J30" s="175"/>
      <c r="K30" s="175"/>
      <c r="L30" s="87" t="s">
        <v>43</v>
      </c>
      <c r="M30" s="1"/>
      <c r="N30" s="1"/>
      <c r="O30" s="1"/>
      <c r="P30" s="1"/>
      <c r="Q30" s="1"/>
      <c r="R30" s="1"/>
    </row>
    <row r="31" spans="1:18" s="73" customFormat="1" x14ac:dyDescent="0.25">
      <c r="A31" s="157"/>
      <c r="B31" s="160"/>
      <c r="C31" s="161"/>
      <c r="D31" s="158">
        <f>SUM(D7:D30)</f>
        <v>46080</v>
      </c>
      <c r="E31" s="159">
        <f>SUM(E7:E30)</f>
        <v>0</v>
      </c>
      <c r="F31" s="156"/>
      <c r="G31" s="156"/>
      <c r="I31" s="4" t="s">
        <v>10</v>
      </c>
      <c r="J31" s="11" t="s">
        <v>127</v>
      </c>
      <c r="K31" s="82">
        <f>L23/2</f>
        <v>0</v>
      </c>
      <c r="L31" s="154">
        <f>D139/2</f>
        <v>23040</v>
      </c>
      <c r="M31" s="1"/>
      <c r="N31" s="1"/>
      <c r="O31" s="1"/>
      <c r="P31" s="1"/>
      <c r="Q31" s="1"/>
      <c r="R31" s="1"/>
    </row>
    <row r="32" spans="1:18" s="73" customFormat="1" ht="16.8" x14ac:dyDescent="0.3">
      <c r="A32" s="162" t="s">
        <v>15</v>
      </c>
      <c r="B32" s="162"/>
      <c r="C32" s="162"/>
      <c r="D32" s="162"/>
      <c r="E32" s="162"/>
      <c r="F32" s="163"/>
      <c r="G32" s="163"/>
      <c r="I32" s="4" t="s">
        <v>12</v>
      </c>
      <c r="J32" s="11" t="s">
        <v>25</v>
      </c>
      <c r="K32" s="84">
        <f>L24/2</f>
        <v>100000</v>
      </c>
      <c r="L32" s="83"/>
      <c r="M32" s="1"/>
      <c r="N32" s="1"/>
      <c r="O32" s="1"/>
      <c r="P32" s="1"/>
      <c r="Q32" s="1"/>
      <c r="R32" s="1"/>
    </row>
    <row r="33" spans="1:18" s="73" customFormat="1" ht="18.75" customHeight="1" x14ac:dyDescent="0.3">
      <c r="A33" s="69"/>
      <c r="B33" s="6" t="s">
        <v>4</v>
      </c>
      <c r="C33" s="3" t="s">
        <v>5</v>
      </c>
      <c r="D33" s="3" t="s">
        <v>6</v>
      </c>
      <c r="E33" s="3" t="s">
        <v>7</v>
      </c>
      <c r="F33" s="3" t="s">
        <v>134</v>
      </c>
      <c r="G33" s="3" t="s">
        <v>135</v>
      </c>
      <c r="I33" s="186" t="s">
        <v>90</v>
      </c>
      <c r="J33" s="187"/>
      <c r="K33" s="88">
        <f>SUM(K31:K32)</f>
        <v>100000</v>
      </c>
      <c r="L33" s="86"/>
      <c r="M33" s="1"/>
      <c r="N33" s="1"/>
      <c r="O33" s="1"/>
      <c r="P33" s="1"/>
      <c r="Q33" s="1"/>
      <c r="R33" s="1"/>
    </row>
    <row r="34" spans="1:18" s="73" customFormat="1" x14ac:dyDescent="0.25">
      <c r="A34" s="3">
        <v>5100</v>
      </c>
      <c r="B34" s="130" t="s">
        <v>98</v>
      </c>
      <c r="C34" s="13">
        <v>0</v>
      </c>
      <c r="D34" s="71">
        <v>1920</v>
      </c>
      <c r="E34" s="13">
        <f t="shared" ref="E34:E57" si="1">C34*D34</f>
        <v>0</v>
      </c>
      <c r="F34" s="13"/>
      <c r="G34" s="13"/>
      <c r="I34" s="91"/>
      <c r="J34" s="91"/>
      <c r="K34" s="91"/>
      <c r="L34" s="91"/>
      <c r="M34" s="1"/>
      <c r="N34" s="1"/>
      <c r="O34" s="1"/>
      <c r="P34" s="1"/>
      <c r="Q34" s="1"/>
      <c r="R34" s="1"/>
    </row>
    <row r="35" spans="1:18" s="73" customFormat="1" x14ac:dyDescent="0.25">
      <c r="A35" s="3">
        <v>5101</v>
      </c>
      <c r="B35" s="130" t="s">
        <v>99</v>
      </c>
      <c r="C35" s="13">
        <v>0</v>
      </c>
      <c r="D35" s="71">
        <v>1920</v>
      </c>
      <c r="E35" s="13">
        <f t="shared" si="1"/>
        <v>0</v>
      </c>
      <c r="F35" s="13"/>
      <c r="G35" s="13"/>
      <c r="I35" s="174" t="s">
        <v>91</v>
      </c>
      <c r="J35" s="175"/>
      <c r="K35" s="175"/>
      <c r="L35" s="87" t="s">
        <v>43</v>
      </c>
      <c r="M35" s="1"/>
      <c r="N35" s="1"/>
      <c r="O35" s="1"/>
      <c r="P35" s="1"/>
      <c r="Q35" s="1"/>
      <c r="R35" s="1"/>
    </row>
    <row r="36" spans="1:18" s="73" customFormat="1" x14ac:dyDescent="0.25">
      <c r="A36" s="3">
        <v>5102</v>
      </c>
      <c r="B36" s="130" t="s">
        <v>100</v>
      </c>
      <c r="C36" s="13">
        <v>0</v>
      </c>
      <c r="D36" s="71">
        <v>1920</v>
      </c>
      <c r="E36" s="13">
        <f t="shared" si="1"/>
        <v>0</v>
      </c>
      <c r="F36" s="13"/>
      <c r="G36" s="13"/>
      <c r="I36" s="4" t="s">
        <v>10</v>
      </c>
      <c r="J36" s="11" t="s">
        <v>128</v>
      </c>
      <c r="K36" s="82">
        <f>L27+K31</f>
        <v>0</v>
      </c>
      <c r="L36" s="155">
        <f>D31+D58+D85+D112+D139+L31</f>
        <v>253440</v>
      </c>
      <c r="M36" s="1"/>
      <c r="N36" s="1"/>
      <c r="O36" s="1"/>
      <c r="P36" s="1"/>
      <c r="Q36" s="1"/>
      <c r="R36" s="1"/>
    </row>
    <row r="37" spans="1:18" s="73" customFormat="1" x14ac:dyDescent="0.25">
      <c r="A37" s="3">
        <v>5103</v>
      </c>
      <c r="B37" s="130" t="s">
        <v>100</v>
      </c>
      <c r="C37" s="13">
        <v>0</v>
      </c>
      <c r="D37" s="71">
        <v>1920</v>
      </c>
      <c r="E37" s="13">
        <f t="shared" si="1"/>
        <v>0</v>
      </c>
      <c r="F37" s="13"/>
      <c r="G37" s="13"/>
      <c r="I37" s="4" t="s">
        <v>12</v>
      </c>
      <c r="J37" s="11" t="s">
        <v>86</v>
      </c>
      <c r="K37" s="84">
        <f>L28+K32</f>
        <v>1100000</v>
      </c>
      <c r="L37" s="89"/>
      <c r="M37" s="1"/>
      <c r="N37" s="1"/>
      <c r="O37" s="1"/>
      <c r="P37" s="1"/>
      <c r="Q37" s="1"/>
      <c r="R37" s="1"/>
    </row>
    <row r="38" spans="1:18" s="73" customFormat="1" ht="15.6" customHeight="1" x14ac:dyDescent="0.3">
      <c r="A38" s="3">
        <v>5104</v>
      </c>
      <c r="B38" s="130" t="s">
        <v>100</v>
      </c>
      <c r="C38" s="13">
        <v>0</v>
      </c>
      <c r="D38" s="71">
        <v>1920</v>
      </c>
      <c r="E38" s="13">
        <f t="shared" si="1"/>
        <v>0</v>
      </c>
      <c r="F38" s="13"/>
      <c r="G38" s="13"/>
      <c r="I38" s="186" t="s">
        <v>88</v>
      </c>
      <c r="J38" s="187"/>
      <c r="K38" s="85">
        <f>K36+K37</f>
        <v>1100000</v>
      </c>
      <c r="L38" s="90"/>
      <c r="M38" s="1"/>
      <c r="N38" s="1"/>
      <c r="O38" s="1"/>
      <c r="P38" s="1"/>
      <c r="Q38" s="1"/>
      <c r="R38" s="1"/>
    </row>
    <row r="39" spans="1:18" s="73" customFormat="1" x14ac:dyDescent="0.25">
      <c r="A39" s="3">
        <v>5105</v>
      </c>
      <c r="B39" s="130" t="s">
        <v>100</v>
      </c>
      <c r="C39" s="13">
        <v>0</v>
      </c>
      <c r="D39" s="71">
        <v>1920</v>
      </c>
      <c r="E39" s="13">
        <f t="shared" si="1"/>
        <v>0</v>
      </c>
      <c r="F39" s="13"/>
      <c r="G39" s="13"/>
      <c r="I39" s="1"/>
      <c r="J39" s="1"/>
      <c r="K39" s="1"/>
      <c r="L39" s="1"/>
      <c r="M39" s="1"/>
      <c r="N39" s="1"/>
      <c r="O39" s="1"/>
      <c r="P39" s="1"/>
      <c r="Q39" s="1"/>
      <c r="R39" s="1"/>
    </row>
    <row r="40" spans="1:18" s="73" customFormat="1" x14ac:dyDescent="0.25">
      <c r="A40" s="3">
        <v>5106</v>
      </c>
      <c r="B40" s="130" t="s">
        <v>100</v>
      </c>
      <c r="C40" s="13">
        <v>0</v>
      </c>
      <c r="D40" s="71">
        <v>1920</v>
      </c>
      <c r="E40" s="13">
        <f t="shared" si="1"/>
        <v>0</v>
      </c>
      <c r="F40" s="13"/>
      <c r="G40" s="13"/>
      <c r="I40" s="1"/>
      <c r="J40" s="1"/>
      <c r="K40" s="1"/>
      <c r="L40" s="79"/>
      <c r="M40" s="1"/>
      <c r="N40" s="1"/>
      <c r="O40" s="1"/>
      <c r="P40" s="1"/>
      <c r="Q40" s="1"/>
      <c r="R40" s="1"/>
    </row>
    <row r="41" spans="1:18" s="73" customFormat="1" x14ac:dyDescent="0.25">
      <c r="A41" s="3">
        <v>5107</v>
      </c>
      <c r="B41" s="130" t="s">
        <v>100</v>
      </c>
      <c r="C41" s="13">
        <v>0</v>
      </c>
      <c r="D41" s="71">
        <v>1920</v>
      </c>
      <c r="E41" s="13">
        <f t="shared" si="1"/>
        <v>0</v>
      </c>
      <c r="F41" s="13"/>
      <c r="G41" s="13"/>
      <c r="I41" s="1"/>
      <c r="J41" s="1"/>
      <c r="K41" s="1"/>
      <c r="L41" s="1"/>
      <c r="M41" s="1"/>
      <c r="N41" s="1"/>
      <c r="O41" s="1"/>
      <c r="P41" s="1"/>
      <c r="Q41" s="1"/>
      <c r="R41" s="1"/>
    </row>
    <row r="42" spans="1:18" x14ac:dyDescent="0.25">
      <c r="A42" s="3">
        <v>5108</v>
      </c>
      <c r="B42" s="130" t="s">
        <v>100</v>
      </c>
      <c r="C42" s="13">
        <v>0</v>
      </c>
      <c r="D42" s="71">
        <v>1920</v>
      </c>
      <c r="E42" s="13">
        <f t="shared" si="1"/>
        <v>0</v>
      </c>
      <c r="F42" s="13"/>
      <c r="G42" s="13"/>
    </row>
    <row r="43" spans="1:18" x14ac:dyDescent="0.25">
      <c r="A43" s="3">
        <v>5109</v>
      </c>
      <c r="B43" s="130" t="s">
        <v>101</v>
      </c>
      <c r="C43" s="13">
        <v>0</v>
      </c>
      <c r="D43" s="71">
        <v>1920</v>
      </c>
      <c r="E43" s="13">
        <f t="shared" si="1"/>
        <v>0</v>
      </c>
      <c r="F43" s="13"/>
      <c r="G43" s="13"/>
    </row>
    <row r="44" spans="1:18" x14ac:dyDescent="0.25">
      <c r="A44" s="3">
        <v>5110</v>
      </c>
      <c r="B44" s="130" t="s">
        <v>102</v>
      </c>
      <c r="C44" s="13">
        <v>0</v>
      </c>
      <c r="D44" s="71">
        <v>1920</v>
      </c>
      <c r="E44" s="13">
        <f t="shared" si="1"/>
        <v>0</v>
      </c>
      <c r="F44" s="13"/>
      <c r="G44" s="13"/>
    </row>
    <row r="45" spans="1:18" x14ac:dyDescent="0.25">
      <c r="A45" s="3">
        <v>5111</v>
      </c>
      <c r="B45" s="130" t="s">
        <v>103</v>
      </c>
      <c r="C45" s="13">
        <v>0</v>
      </c>
      <c r="D45" s="71">
        <v>1920</v>
      </c>
      <c r="E45" s="13">
        <f t="shared" si="1"/>
        <v>0</v>
      </c>
      <c r="F45" s="13"/>
      <c r="G45" s="13"/>
    </row>
    <row r="46" spans="1:18" ht="14.4" customHeight="1" x14ac:dyDescent="0.25">
      <c r="A46" s="3">
        <v>5112</v>
      </c>
      <c r="B46" s="130" t="s">
        <v>104</v>
      </c>
      <c r="C46" s="13">
        <v>0</v>
      </c>
      <c r="D46" s="71">
        <v>1920</v>
      </c>
      <c r="E46" s="13">
        <f t="shared" si="1"/>
        <v>0</v>
      </c>
      <c r="F46" s="13"/>
      <c r="G46" s="13"/>
    </row>
    <row r="47" spans="1:18" ht="14.4" customHeight="1" x14ac:dyDescent="0.25">
      <c r="A47" s="3">
        <v>5113</v>
      </c>
      <c r="B47" s="130" t="s">
        <v>105</v>
      </c>
      <c r="C47" s="13">
        <v>0</v>
      </c>
      <c r="D47" s="71">
        <v>1920</v>
      </c>
      <c r="E47" s="13">
        <f t="shared" si="1"/>
        <v>0</v>
      </c>
      <c r="F47" s="13"/>
      <c r="G47" s="13"/>
    </row>
    <row r="48" spans="1:18" ht="14.4" customHeight="1" x14ac:dyDescent="0.25">
      <c r="A48" s="3">
        <v>5114</v>
      </c>
      <c r="B48" s="130" t="s">
        <v>106</v>
      </c>
      <c r="C48" s="13">
        <v>0</v>
      </c>
      <c r="D48" s="71">
        <v>1920</v>
      </c>
      <c r="E48" s="13">
        <f t="shared" si="1"/>
        <v>0</v>
      </c>
      <c r="F48" s="13"/>
      <c r="G48" s="13"/>
    </row>
    <row r="49" spans="1:12" ht="14.4" customHeight="1" x14ac:dyDescent="0.25">
      <c r="A49" s="3">
        <v>5115</v>
      </c>
      <c r="B49" s="130" t="s">
        <v>106</v>
      </c>
      <c r="C49" s="13">
        <v>0</v>
      </c>
      <c r="D49" s="71">
        <v>1920</v>
      </c>
      <c r="E49" s="13">
        <f t="shared" si="1"/>
        <v>0</v>
      </c>
      <c r="F49" s="13"/>
      <c r="G49" s="13"/>
    </row>
    <row r="50" spans="1:12" ht="14.4" customHeight="1" x14ac:dyDescent="0.25">
      <c r="A50" s="3">
        <v>5116</v>
      </c>
      <c r="B50" s="130" t="s">
        <v>106</v>
      </c>
      <c r="C50" s="13">
        <v>0</v>
      </c>
      <c r="D50" s="71">
        <v>1920</v>
      </c>
      <c r="E50" s="13">
        <f t="shared" si="1"/>
        <v>0</v>
      </c>
      <c r="F50" s="13"/>
      <c r="G50" s="13"/>
    </row>
    <row r="51" spans="1:12" ht="14.4" customHeight="1" x14ac:dyDescent="0.25">
      <c r="A51" s="3">
        <v>5117</v>
      </c>
      <c r="B51" s="130" t="s">
        <v>106</v>
      </c>
      <c r="C51" s="13">
        <v>0</v>
      </c>
      <c r="D51" s="71">
        <v>1920</v>
      </c>
      <c r="E51" s="13">
        <f t="shared" si="1"/>
        <v>0</v>
      </c>
      <c r="F51" s="13"/>
      <c r="G51" s="13"/>
    </row>
    <row r="52" spans="1:12" ht="14.4" customHeight="1" x14ac:dyDescent="0.25">
      <c r="A52" s="3">
        <v>5118</v>
      </c>
      <c r="B52" s="130" t="s">
        <v>108</v>
      </c>
      <c r="C52" s="13">
        <v>0</v>
      </c>
      <c r="D52" s="71">
        <v>1920</v>
      </c>
      <c r="E52" s="13">
        <f t="shared" si="1"/>
        <v>0</v>
      </c>
      <c r="F52" s="13"/>
      <c r="G52" s="13"/>
    </row>
    <row r="53" spans="1:12" s="73" customFormat="1" ht="14.4" customHeight="1" x14ac:dyDescent="0.25">
      <c r="A53" s="3">
        <v>5119</v>
      </c>
      <c r="B53" s="130" t="s">
        <v>106</v>
      </c>
      <c r="C53" s="13">
        <v>0</v>
      </c>
      <c r="D53" s="71">
        <v>1920</v>
      </c>
      <c r="E53" s="13">
        <f t="shared" si="1"/>
        <v>0</v>
      </c>
      <c r="F53" s="13"/>
      <c r="G53" s="13"/>
      <c r="I53" s="1"/>
      <c r="J53" s="1"/>
      <c r="K53" s="1"/>
      <c r="L53" s="1"/>
    </row>
    <row r="54" spans="1:12" ht="14.4" customHeight="1" x14ac:dyDescent="0.25">
      <c r="A54" s="3">
        <v>5120</v>
      </c>
      <c r="B54" s="130" t="s">
        <v>106</v>
      </c>
      <c r="C54" s="13">
        <v>0</v>
      </c>
      <c r="D54" s="71">
        <v>1920</v>
      </c>
      <c r="E54" s="13">
        <f t="shared" si="1"/>
        <v>0</v>
      </c>
      <c r="F54" s="13"/>
      <c r="G54" s="13"/>
    </row>
    <row r="55" spans="1:12" ht="14.4" customHeight="1" x14ac:dyDescent="0.25">
      <c r="A55" s="3">
        <v>5121</v>
      </c>
      <c r="B55" s="130" t="s">
        <v>106</v>
      </c>
      <c r="C55" s="13">
        <v>0</v>
      </c>
      <c r="D55" s="71">
        <v>1920</v>
      </c>
      <c r="E55" s="13">
        <f t="shared" si="1"/>
        <v>0</v>
      </c>
      <c r="F55" s="13"/>
      <c r="G55" s="13"/>
    </row>
    <row r="56" spans="1:12" ht="14.4" customHeight="1" x14ac:dyDescent="0.25">
      <c r="A56" s="3">
        <v>5122</v>
      </c>
      <c r="B56" s="130" t="s">
        <v>106</v>
      </c>
      <c r="C56" s="13">
        <v>0</v>
      </c>
      <c r="D56" s="71">
        <v>1920</v>
      </c>
      <c r="E56" s="13">
        <f t="shared" si="1"/>
        <v>0</v>
      </c>
      <c r="F56" s="13"/>
      <c r="G56" s="13"/>
    </row>
    <row r="57" spans="1:12" ht="14.4" customHeight="1" x14ac:dyDescent="0.25">
      <c r="A57" s="3">
        <v>5123</v>
      </c>
      <c r="B57" s="130" t="s">
        <v>106</v>
      </c>
      <c r="C57" s="13">
        <v>0</v>
      </c>
      <c r="D57" s="71">
        <v>1920</v>
      </c>
      <c r="E57" s="13">
        <f t="shared" si="1"/>
        <v>0</v>
      </c>
      <c r="F57" s="13"/>
      <c r="G57" s="13"/>
    </row>
    <row r="58" spans="1:12" ht="14.4" customHeight="1" x14ac:dyDescent="0.25">
      <c r="A58" s="69"/>
      <c r="B58" s="167"/>
      <c r="C58" s="168"/>
      <c r="D58" s="3">
        <f>SUM(D34:D57)</f>
        <v>46080</v>
      </c>
      <c r="E58" s="75">
        <f>SUM(E34:E57)</f>
        <v>0</v>
      </c>
      <c r="F58" s="156"/>
      <c r="G58" s="156"/>
    </row>
    <row r="59" spans="1:12" ht="14.4" customHeight="1" x14ac:dyDescent="0.3">
      <c r="A59" s="164" t="s">
        <v>26</v>
      </c>
      <c r="B59" s="165"/>
      <c r="C59" s="165"/>
      <c r="D59" s="165"/>
      <c r="E59" s="165"/>
      <c r="F59" s="166"/>
      <c r="G59" s="166"/>
    </row>
    <row r="60" spans="1:12" ht="14.4" customHeight="1" x14ac:dyDescent="0.25">
      <c r="A60" s="69"/>
      <c r="B60" s="6" t="s">
        <v>4</v>
      </c>
      <c r="C60" s="3" t="s">
        <v>5</v>
      </c>
      <c r="D60" s="3" t="s">
        <v>6</v>
      </c>
      <c r="E60" s="3" t="s">
        <v>7</v>
      </c>
      <c r="F60" s="3" t="s">
        <v>134</v>
      </c>
      <c r="G60" s="3" t="s">
        <v>135</v>
      </c>
    </row>
    <row r="61" spans="1:12" ht="14.4" customHeight="1" x14ac:dyDescent="0.25">
      <c r="A61" s="3">
        <v>5200</v>
      </c>
      <c r="B61" s="130" t="s">
        <v>98</v>
      </c>
      <c r="C61" s="72">
        <v>0</v>
      </c>
      <c r="D61" s="71">
        <v>1920</v>
      </c>
      <c r="E61" s="13">
        <f t="shared" ref="E61:E84" si="2">C61*D61</f>
        <v>0</v>
      </c>
      <c r="F61" s="13"/>
      <c r="G61" s="13"/>
    </row>
    <row r="62" spans="1:12" ht="14.4" customHeight="1" x14ac:dyDescent="0.25">
      <c r="A62" s="3">
        <v>5201</v>
      </c>
      <c r="B62" s="130" t="s">
        <v>99</v>
      </c>
      <c r="C62" s="72">
        <v>0</v>
      </c>
      <c r="D62" s="71">
        <v>1920</v>
      </c>
      <c r="E62" s="13">
        <f t="shared" si="2"/>
        <v>0</v>
      </c>
      <c r="F62" s="13"/>
      <c r="G62" s="13"/>
    </row>
    <row r="63" spans="1:12" ht="14.4" customHeight="1" x14ac:dyDescent="0.25">
      <c r="A63" s="3">
        <v>5202</v>
      </c>
      <c r="B63" s="130" t="s">
        <v>100</v>
      </c>
      <c r="C63" s="72">
        <v>0</v>
      </c>
      <c r="D63" s="71">
        <v>1920</v>
      </c>
      <c r="E63" s="13">
        <f t="shared" si="2"/>
        <v>0</v>
      </c>
      <c r="F63" s="13"/>
      <c r="G63" s="13"/>
      <c r="L63" s="79"/>
    </row>
    <row r="64" spans="1:12" ht="14.4" customHeight="1" x14ac:dyDescent="0.25">
      <c r="A64" s="3">
        <v>5203</v>
      </c>
      <c r="B64" s="130" t="s">
        <v>100</v>
      </c>
      <c r="C64" s="72">
        <v>0</v>
      </c>
      <c r="D64" s="71">
        <v>1920</v>
      </c>
      <c r="E64" s="13">
        <f t="shared" si="2"/>
        <v>0</v>
      </c>
      <c r="F64" s="13"/>
      <c r="G64" s="13"/>
    </row>
    <row r="65" spans="1:12" ht="14.4" customHeight="1" x14ac:dyDescent="0.25">
      <c r="A65" s="3">
        <v>5204</v>
      </c>
      <c r="B65" s="130" t="s">
        <v>100</v>
      </c>
      <c r="C65" s="72">
        <v>0</v>
      </c>
      <c r="D65" s="71">
        <v>1920</v>
      </c>
      <c r="E65" s="13">
        <f t="shared" si="2"/>
        <v>0</v>
      </c>
      <c r="F65" s="13"/>
      <c r="G65" s="13"/>
    </row>
    <row r="66" spans="1:12" ht="14.4" customHeight="1" x14ac:dyDescent="0.25">
      <c r="A66" s="3">
        <v>5205</v>
      </c>
      <c r="B66" s="130" t="s">
        <v>100</v>
      </c>
      <c r="C66" s="72">
        <v>0</v>
      </c>
      <c r="D66" s="71">
        <v>1920</v>
      </c>
      <c r="E66" s="13">
        <f t="shared" si="2"/>
        <v>0</v>
      </c>
      <c r="F66" s="13"/>
      <c r="G66" s="13"/>
    </row>
    <row r="67" spans="1:12" ht="14.4" customHeight="1" x14ac:dyDescent="0.25">
      <c r="A67" s="3">
        <v>5206</v>
      </c>
      <c r="B67" s="130" t="s">
        <v>100</v>
      </c>
      <c r="C67" s="72">
        <v>0</v>
      </c>
      <c r="D67" s="71">
        <v>1920</v>
      </c>
      <c r="E67" s="13">
        <f t="shared" si="2"/>
        <v>0</v>
      </c>
      <c r="F67" s="13"/>
      <c r="G67" s="13"/>
    </row>
    <row r="68" spans="1:12" ht="14.4" customHeight="1" x14ac:dyDescent="0.25">
      <c r="A68" s="3">
        <v>5207</v>
      </c>
      <c r="B68" s="130" t="s">
        <v>100</v>
      </c>
      <c r="C68" s="72">
        <v>0</v>
      </c>
      <c r="D68" s="71">
        <v>1920</v>
      </c>
      <c r="E68" s="13">
        <f t="shared" si="2"/>
        <v>0</v>
      </c>
      <c r="F68" s="13"/>
      <c r="G68" s="13"/>
    </row>
    <row r="69" spans="1:12" ht="14.4" customHeight="1" x14ac:dyDescent="0.25">
      <c r="A69" s="3">
        <v>5208</v>
      </c>
      <c r="B69" s="130" t="s">
        <v>100</v>
      </c>
      <c r="C69" s="72">
        <v>0</v>
      </c>
      <c r="D69" s="71">
        <v>1920</v>
      </c>
      <c r="E69" s="13">
        <f t="shared" si="2"/>
        <v>0</v>
      </c>
      <c r="F69" s="13"/>
      <c r="G69" s="13"/>
    </row>
    <row r="70" spans="1:12" ht="13.2" customHeight="1" x14ac:dyDescent="0.25">
      <c r="A70" s="3">
        <v>5209</v>
      </c>
      <c r="B70" s="130" t="s">
        <v>101</v>
      </c>
      <c r="C70" s="72">
        <v>0</v>
      </c>
      <c r="D70" s="71">
        <v>1920</v>
      </c>
      <c r="E70" s="13">
        <f t="shared" si="2"/>
        <v>0</v>
      </c>
      <c r="F70" s="13"/>
      <c r="G70" s="13"/>
    </row>
    <row r="71" spans="1:12" x14ac:dyDescent="0.25">
      <c r="A71" s="3">
        <v>5210</v>
      </c>
      <c r="B71" s="130" t="s">
        <v>102</v>
      </c>
      <c r="C71" s="72">
        <v>0</v>
      </c>
      <c r="D71" s="71">
        <v>1920</v>
      </c>
      <c r="E71" s="13">
        <f t="shared" si="2"/>
        <v>0</v>
      </c>
      <c r="F71" s="13"/>
      <c r="G71" s="13"/>
    </row>
    <row r="72" spans="1:12" x14ac:dyDescent="0.25">
      <c r="A72" s="3">
        <v>5211</v>
      </c>
      <c r="B72" s="130" t="s">
        <v>103</v>
      </c>
      <c r="C72" s="72">
        <v>0</v>
      </c>
      <c r="D72" s="71">
        <v>1920</v>
      </c>
      <c r="E72" s="13">
        <f t="shared" si="2"/>
        <v>0</v>
      </c>
      <c r="F72" s="13"/>
      <c r="G72" s="13"/>
    </row>
    <row r="73" spans="1:12" x14ac:dyDescent="0.25">
      <c r="A73" s="3">
        <v>5212</v>
      </c>
      <c r="B73" s="130" t="s">
        <v>104</v>
      </c>
      <c r="C73" s="72">
        <v>0</v>
      </c>
      <c r="D73" s="71">
        <v>1920</v>
      </c>
      <c r="E73" s="13">
        <f t="shared" si="2"/>
        <v>0</v>
      </c>
      <c r="F73" s="13"/>
      <c r="G73" s="13"/>
    </row>
    <row r="74" spans="1:12" x14ac:dyDescent="0.25">
      <c r="A74" s="3">
        <v>5213</v>
      </c>
      <c r="B74" s="130" t="s">
        <v>105</v>
      </c>
      <c r="C74" s="72">
        <v>0</v>
      </c>
      <c r="D74" s="71">
        <v>1920</v>
      </c>
      <c r="E74" s="13">
        <f t="shared" si="2"/>
        <v>0</v>
      </c>
      <c r="F74" s="13"/>
      <c r="G74" s="13"/>
    </row>
    <row r="75" spans="1:12" x14ac:dyDescent="0.25">
      <c r="A75" s="3">
        <v>5214</v>
      </c>
      <c r="B75" s="130" t="s">
        <v>106</v>
      </c>
      <c r="C75" s="72">
        <v>0</v>
      </c>
      <c r="D75" s="71">
        <v>1920</v>
      </c>
      <c r="E75" s="13">
        <f t="shared" si="2"/>
        <v>0</v>
      </c>
      <c r="F75" s="13"/>
      <c r="G75" s="13"/>
    </row>
    <row r="76" spans="1:12" x14ac:dyDescent="0.25">
      <c r="A76" s="3">
        <v>5215</v>
      </c>
      <c r="B76" s="130" t="s">
        <v>106</v>
      </c>
      <c r="C76" s="72">
        <v>0</v>
      </c>
      <c r="D76" s="71">
        <v>1920</v>
      </c>
      <c r="E76" s="13">
        <f t="shared" si="2"/>
        <v>0</v>
      </c>
      <c r="F76" s="13"/>
      <c r="G76" s="13"/>
    </row>
    <row r="77" spans="1:12" x14ac:dyDescent="0.25">
      <c r="A77" s="3">
        <v>5216</v>
      </c>
      <c r="B77" s="130" t="s">
        <v>106</v>
      </c>
      <c r="C77" s="72">
        <v>0</v>
      </c>
      <c r="D77" s="71">
        <v>1920</v>
      </c>
      <c r="E77" s="13">
        <f t="shared" si="2"/>
        <v>0</v>
      </c>
      <c r="F77" s="13"/>
      <c r="G77" s="13"/>
    </row>
    <row r="78" spans="1:12" x14ac:dyDescent="0.25">
      <c r="A78" s="3">
        <v>5217</v>
      </c>
      <c r="B78" s="130" t="s">
        <v>106</v>
      </c>
      <c r="C78" s="72">
        <v>0</v>
      </c>
      <c r="D78" s="71">
        <v>1920</v>
      </c>
      <c r="E78" s="13">
        <f t="shared" si="2"/>
        <v>0</v>
      </c>
      <c r="F78" s="13"/>
      <c r="G78" s="13"/>
    </row>
    <row r="79" spans="1:12" x14ac:dyDescent="0.25">
      <c r="A79" s="3">
        <v>5218</v>
      </c>
      <c r="B79" s="130" t="s">
        <v>108</v>
      </c>
      <c r="C79" s="72">
        <v>0</v>
      </c>
      <c r="D79" s="71">
        <v>1920</v>
      </c>
      <c r="E79" s="13">
        <f t="shared" si="2"/>
        <v>0</v>
      </c>
      <c r="F79" s="13"/>
      <c r="G79" s="13"/>
    </row>
    <row r="80" spans="1:12" s="73" customFormat="1" x14ac:dyDescent="0.25">
      <c r="A80" s="3">
        <v>5219</v>
      </c>
      <c r="B80" s="130" t="s">
        <v>106</v>
      </c>
      <c r="C80" s="72">
        <v>0</v>
      </c>
      <c r="D80" s="71">
        <v>1920</v>
      </c>
      <c r="E80" s="13">
        <f t="shared" si="2"/>
        <v>0</v>
      </c>
      <c r="F80" s="13"/>
      <c r="G80" s="13"/>
      <c r="I80" s="1"/>
      <c r="J80" s="1"/>
      <c r="K80" s="1"/>
      <c r="L80" s="1"/>
    </row>
    <row r="81" spans="1:7" x14ac:dyDescent="0.25">
      <c r="A81" s="3">
        <v>5220</v>
      </c>
      <c r="B81" s="130" t="s">
        <v>106</v>
      </c>
      <c r="C81" s="72">
        <v>0</v>
      </c>
      <c r="D81" s="71">
        <v>1920</v>
      </c>
      <c r="E81" s="13">
        <f t="shared" si="2"/>
        <v>0</v>
      </c>
      <c r="F81" s="13"/>
      <c r="G81" s="13"/>
    </row>
    <row r="82" spans="1:7" x14ac:dyDescent="0.25">
      <c r="A82" s="3">
        <v>5221</v>
      </c>
      <c r="B82" s="130" t="s">
        <v>106</v>
      </c>
      <c r="C82" s="72">
        <v>0</v>
      </c>
      <c r="D82" s="71">
        <v>1920</v>
      </c>
      <c r="E82" s="13">
        <f t="shared" si="2"/>
        <v>0</v>
      </c>
      <c r="F82" s="13"/>
      <c r="G82" s="13"/>
    </row>
    <row r="83" spans="1:7" x14ac:dyDescent="0.25">
      <c r="A83" s="3">
        <v>5222</v>
      </c>
      <c r="B83" s="130" t="s">
        <v>106</v>
      </c>
      <c r="C83" s="72">
        <v>0</v>
      </c>
      <c r="D83" s="71">
        <v>1920</v>
      </c>
      <c r="E83" s="13">
        <f t="shared" si="2"/>
        <v>0</v>
      </c>
      <c r="F83" s="13"/>
      <c r="G83" s="13"/>
    </row>
    <row r="84" spans="1:7" x14ac:dyDescent="0.25">
      <c r="A84" s="3">
        <v>5223</v>
      </c>
      <c r="B84" s="130" t="s">
        <v>107</v>
      </c>
      <c r="C84" s="72">
        <v>0</v>
      </c>
      <c r="D84" s="71">
        <v>1920</v>
      </c>
      <c r="E84" s="13">
        <f t="shared" si="2"/>
        <v>0</v>
      </c>
      <c r="F84" s="13"/>
      <c r="G84" s="13"/>
    </row>
    <row r="85" spans="1:7" x14ac:dyDescent="0.25">
      <c r="A85" s="69"/>
      <c r="B85" s="167"/>
      <c r="C85" s="168"/>
      <c r="D85" s="74">
        <f>SUM(D61:D84)</f>
        <v>46080</v>
      </c>
      <c r="E85" s="75">
        <f>SUM(E61:E84)</f>
        <v>0</v>
      </c>
      <c r="F85" s="156"/>
      <c r="G85" s="156"/>
    </row>
    <row r="86" spans="1:7" ht="16.8" x14ac:dyDescent="0.3">
      <c r="A86" s="164" t="s">
        <v>22</v>
      </c>
      <c r="B86" s="165"/>
      <c r="C86" s="165"/>
      <c r="D86" s="165"/>
      <c r="E86" s="165"/>
      <c r="F86" s="166"/>
      <c r="G86" s="166"/>
    </row>
    <row r="87" spans="1:7" x14ac:dyDescent="0.25">
      <c r="A87" s="69"/>
      <c r="B87" s="6" t="s">
        <v>4</v>
      </c>
      <c r="C87" s="3" t="s">
        <v>5</v>
      </c>
      <c r="D87" s="3" t="s">
        <v>6</v>
      </c>
      <c r="E87" s="3" t="s">
        <v>7</v>
      </c>
      <c r="F87" s="3" t="s">
        <v>134</v>
      </c>
      <c r="G87" s="3" t="s">
        <v>135</v>
      </c>
    </row>
    <row r="88" spans="1:7" x14ac:dyDescent="0.25">
      <c r="A88" s="3">
        <v>5300</v>
      </c>
      <c r="B88" s="130" t="s">
        <v>98</v>
      </c>
      <c r="C88" s="12">
        <v>0</v>
      </c>
      <c r="D88" s="71">
        <v>1920</v>
      </c>
      <c r="E88" s="13">
        <f t="shared" ref="E88:E111" si="3">C88*D88</f>
        <v>0</v>
      </c>
      <c r="F88" s="13"/>
      <c r="G88" s="13"/>
    </row>
    <row r="89" spans="1:7" x14ac:dyDescent="0.25">
      <c r="A89" s="3">
        <v>5301</v>
      </c>
      <c r="B89" s="130" t="s">
        <v>99</v>
      </c>
      <c r="C89" s="12">
        <v>0</v>
      </c>
      <c r="D89" s="71">
        <v>1920</v>
      </c>
      <c r="E89" s="13">
        <f t="shared" si="3"/>
        <v>0</v>
      </c>
      <c r="F89" s="13"/>
      <c r="G89" s="13"/>
    </row>
    <row r="90" spans="1:7" x14ac:dyDescent="0.25">
      <c r="A90" s="3">
        <v>5302</v>
      </c>
      <c r="B90" s="130" t="s">
        <v>100</v>
      </c>
      <c r="C90" s="12">
        <v>0</v>
      </c>
      <c r="D90" s="71">
        <v>1920</v>
      </c>
      <c r="E90" s="13">
        <f t="shared" si="3"/>
        <v>0</v>
      </c>
      <c r="F90" s="13"/>
      <c r="G90" s="13"/>
    </row>
    <row r="91" spans="1:7" x14ac:dyDescent="0.25">
      <c r="A91" s="3">
        <v>5303</v>
      </c>
      <c r="B91" s="130" t="s">
        <v>100</v>
      </c>
      <c r="C91" s="12">
        <v>0</v>
      </c>
      <c r="D91" s="71">
        <v>1920</v>
      </c>
      <c r="E91" s="13">
        <f t="shared" si="3"/>
        <v>0</v>
      </c>
      <c r="F91" s="13"/>
      <c r="G91" s="13"/>
    </row>
    <row r="92" spans="1:7" x14ac:dyDescent="0.25">
      <c r="A92" s="3">
        <v>5304</v>
      </c>
      <c r="B92" s="130" t="s">
        <v>100</v>
      </c>
      <c r="C92" s="12">
        <v>0</v>
      </c>
      <c r="D92" s="71">
        <v>1920</v>
      </c>
      <c r="E92" s="13">
        <f t="shared" si="3"/>
        <v>0</v>
      </c>
      <c r="F92" s="13"/>
      <c r="G92" s="13"/>
    </row>
    <row r="93" spans="1:7" x14ac:dyDescent="0.25">
      <c r="A93" s="3">
        <v>5305</v>
      </c>
      <c r="B93" s="130" t="s">
        <v>100</v>
      </c>
      <c r="C93" s="12">
        <v>0</v>
      </c>
      <c r="D93" s="71">
        <v>1920</v>
      </c>
      <c r="E93" s="13">
        <f t="shared" si="3"/>
        <v>0</v>
      </c>
      <c r="F93" s="13"/>
      <c r="G93" s="13"/>
    </row>
    <row r="94" spans="1:7" x14ac:dyDescent="0.25">
      <c r="A94" s="3">
        <v>5306</v>
      </c>
      <c r="B94" s="130" t="s">
        <v>100</v>
      </c>
      <c r="C94" s="12">
        <v>0</v>
      </c>
      <c r="D94" s="71">
        <v>1920</v>
      </c>
      <c r="E94" s="13">
        <f t="shared" si="3"/>
        <v>0</v>
      </c>
      <c r="F94" s="13"/>
      <c r="G94" s="13"/>
    </row>
    <row r="95" spans="1:7" x14ac:dyDescent="0.25">
      <c r="A95" s="3">
        <v>5307</v>
      </c>
      <c r="B95" s="130" t="s">
        <v>100</v>
      </c>
      <c r="C95" s="12">
        <v>0</v>
      </c>
      <c r="D95" s="71">
        <v>1920</v>
      </c>
      <c r="E95" s="13">
        <f t="shared" si="3"/>
        <v>0</v>
      </c>
      <c r="F95" s="13"/>
      <c r="G95" s="13"/>
    </row>
    <row r="96" spans="1:7" x14ac:dyDescent="0.25">
      <c r="A96" s="3">
        <v>5308</v>
      </c>
      <c r="B96" s="130" t="s">
        <v>100</v>
      </c>
      <c r="C96" s="12">
        <v>0</v>
      </c>
      <c r="D96" s="71">
        <v>1920</v>
      </c>
      <c r="E96" s="13">
        <f t="shared" si="3"/>
        <v>0</v>
      </c>
      <c r="F96" s="13"/>
      <c r="G96" s="13"/>
    </row>
    <row r="97" spans="1:12" x14ac:dyDescent="0.25">
      <c r="A97" s="3">
        <v>5309</v>
      </c>
      <c r="B97" s="130" t="s">
        <v>101</v>
      </c>
      <c r="C97" s="12">
        <v>0</v>
      </c>
      <c r="D97" s="71">
        <v>1920</v>
      </c>
      <c r="E97" s="13">
        <f t="shared" si="3"/>
        <v>0</v>
      </c>
      <c r="F97" s="13"/>
      <c r="G97" s="13"/>
    </row>
    <row r="98" spans="1:12" ht="13.95" customHeight="1" x14ac:dyDescent="0.25">
      <c r="A98" s="3">
        <v>5310</v>
      </c>
      <c r="B98" s="130" t="s">
        <v>102</v>
      </c>
      <c r="C98" s="12">
        <v>0</v>
      </c>
      <c r="D98" s="71">
        <v>1920</v>
      </c>
      <c r="E98" s="13">
        <f t="shared" si="3"/>
        <v>0</v>
      </c>
      <c r="F98" s="13"/>
      <c r="G98" s="13"/>
    </row>
    <row r="99" spans="1:12" x14ac:dyDescent="0.25">
      <c r="A99" s="3">
        <v>5311</v>
      </c>
      <c r="B99" s="130" t="s">
        <v>103</v>
      </c>
      <c r="C99" s="12">
        <v>0</v>
      </c>
      <c r="D99" s="71">
        <v>1920</v>
      </c>
      <c r="E99" s="13">
        <f t="shared" si="3"/>
        <v>0</v>
      </c>
      <c r="F99" s="13"/>
      <c r="G99" s="13"/>
    </row>
    <row r="100" spans="1:12" x14ac:dyDescent="0.25">
      <c r="A100" s="3">
        <v>5312</v>
      </c>
      <c r="B100" s="130" t="s">
        <v>104</v>
      </c>
      <c r="C100" s="12">
        <v>0</v>
      </c>
      <c r="D100" s="71">
        <v>1920</v>
      </c>
      <c r="E100" s="13">
        <f t="shared" si="3"/>
        <v>0</v>
      </c>
      <c r="F100" s="13"/>
      <c r="G100" s="13"/>
    </row>
    <row r="101" spans="1:12" x14ac:dyDescent="0.25">
      <c r="A101" s="3">
        <v>5313</v>
      </c>
      <c r="B101" s="130" t="s">
        <v>105</v>
      </c>
      <c r="C101" s="12">
        <v>0</v>
      </c>
      <c r="D101" s="71">
        <v>1920</v>
      </c>
      <c r="E101" s="13">
        <f t="shared" si="3"/>
        <v>0</v>
      </c>
      <c r="F101" s="13"/>
      <c r="G101" s="13"/>
    </row>
    <row r="102" spans="1:12" x14ac:dyDescent="0.25">
      <c r="A102" s="3">
        <v>5314</v>
      </c>
      <c r="B102" s="130" t="s">
        <v>106</v>
      </c>
      <c r="C102" s="12">
        <v>0</v>
      </c>
      <c r="D102" s="71">
        <v>1920</v>
      </c>
      <c r="E102" s="13">
        <f t="shared" si="3"/>
        <v>0</v>
      </c>
      <c r="F102" s="13"/>
      <c r="G102" s="13"/>
    </row>
    <row r="103" spans="1:12" x14ac:dyDescent="0.25">
      <c r="A103" s="3">
        <v>5315</v>
      </c>
      <c r="B103" s="130" t="s">
        <v>106</v>
      </c>
      <c r="C103" s="12">
        <v>0</v>
      </c>
      <c r="D103" s="71">
        <v>1920</v>
      </c>
      <c r="E103" s="13">
        <f t="shared" si="3"/>
        <v>0</v>
      </c>
      <c r="F103" s="13"/>
      <c r="G103" s="13"/>
    </row>
    <row r="104" spans="1:12" x14ac:dyDescent="0.25">
      <c r="A104" s="3">
        <v>5316</v>
      </c>
      <c r="B104" s="130" t="s">
        <v>106</v>
      </c>
      <c r="C104" s="12">
        <v>0</v>
      </c>
      <c r="D104" s="71">
        <v>1920</v>
      </c>
      <c r="E104" s="13">
        <f t="shared" si="3"/>
        <v>0</v>
      </c>
      <c r="F104" s="13"/>
      <c r="G104" s="13"/>
    </row>
    <row r="105" spans="1:12" x14ac:dyDescent="0.25">
      <c r="A105" s="3">
        <v>5317</v>
      </c>
      <c r="B105" s="130" t="s">
        <v>106</v>
      </c>
      <c r="C105" s="12">
        <v>0</v>
      </c>
      <c r="D105" s="71">
        <v>1920</v>
      </c>
      <c r="E105" s="13">
        <f t="shared" si="3"/>
        <v>0</v>
      </c>
      <c r="F105" s="13"/>
      <c r="G105" s="13"/>
    </row>
    <row r="106" spans="1:12" x14ac:dyDescent="0.25">
      <c r="A106" s="3">
        <v>5318</v>
      </c>
      <c r="B106" s="130" t="s">
        <v>108</v>
      </c>
      <c r="C106" s="12">
        <v>0</v>
      </c>
      <c r="D106" s="71">
        <v>1920</v>
      </c>
      <c r="E106" s="13">
        <f t="shared" si="3"/>
        <v>0</v>
      </c>
      <c r="F106" s="13"/>
      <c r="G106" s="13"/>
    </row>
    <row r="107" spans="1:12" s="73" customFormat="1" x14ac:dyDescent="0.25">
      <c r="A107" s="3">
        <v>5319</v>
      </c>
      <c r="B107" s="130" t="s">
        <v>106</v>
      </c>
      <c r="C107" s="12">
        <v>0</v>
      </c>
      <c r="D107" s="71">
        <v>1920</v>
      </c>
      <c r="E107" s="13">
        <f t="shared" si="3"/>
        <v>0</v>
      </c>
      <c r="F107" s="13"/>
      <c r="G107" s="13"/>
      <c r="I107" s="1"/>
      <c r="J107" s="1"/>
      <c r="K107" s="1"/>
      <c r="L107" s="1"/>
    </row>
    <row r="108" spans="1:12" x14ac:dyDescent="0.25">
      <c r="A108" s="3">
        <v>5320</v>
      </c>
      <c r="B108" s="130" t="s">
        <v>106</v>
      </c>
      <c r="C108" s="12">
        <v>0</v>
      </c>
      <c r="D108" s="71">
        <v>1920</v>
      </c>
      <c r="E108" s="13">
        <f t="shared" si="3"/>
        <v>0</v>
      </c>
      <c r="F108" s="13"/>
      <c r="G108" s="13"/>
    </row>
    <row r="109" spans="1:12" x14ac:dyDescent="0.25">
      <c r="A109" s="3">
        <v>5321</v>
      </c>
      <c r="B109" s="130" t="s">
        <v>106</v>
      </c>
      <c r="C109" s="12">
        <v>0</v>
      </c>
      <c r="D109" s="71">
        <v>1920</v>
      </c>
      <c r="E109" s="13">
        <f t="shared" si="3"/>
        <v>0</v>
      </c>
      <c r="F109" s="13"/>
      <c r="G109" s="13"/>
    </row>
    <row r="110" spans="1:12" x14ac:dyDescent="0.25">
      <c r="A110" s="3">
        <v>5322</v>
      </c>
      <c r="B110" s="130" t="s">
        <v>106</v>
      </c>
      <c r="C110" s="12">
        <v>0</v>
      </c>
      <c r="D110" s="71">
        <v>1920</v>
      </c>
      <c r="E110" s="13">
        <f t="shared" si="3"/>
        <v>0</v>
      </c>
      <c r="F110" s="13"/>
      <c r="G110" s="13"/>
    </row>
    <row r="111" spans="1:12" x14ac:dyDescent="0.25">
      <c r="A111" s="3">
        <v>5323</v>
      </c>
      <c r="B111" s="130" t="s">
        <v>106</v>
      </c>
      <c r="C111" s="12">
        <v>0</v>
      </c>
      <c r="D111" s="71">
        <v>1920</v>
      </c>
      <c r="E111" s="13">
        <f t="shared" si="3"/>
        <v>0</v>
      </c>
      <c r="F111" s="13"/>
      <c r="G111" s="13"/>
    </row>
    <row r="112" spans="1:12" x14ac:dyDescent="0.25">
      <c r="A112" s="69"/>
      <c r="B112" s="167"/>
      <c r="C112" s="168"/>
      <c r="D112" s="74">
        <f>SUM(D88:D111)</f>
        <v>46080</v>
      </c>
      <c r="E112" s="75">
        <f>SUM(E88:E111)</f>
        <v>0</v>
      </c>
      <c r="F112" s="156"/>
      <c r="G112" s="156"/>
    </row>
    <row r="113" spans="1:7" ht="16.8" x14ac:dyDescent="0.3">
      <c r="A113" s="164" t="s">
        <v>24</v>
      </c>
      <c r="B113" s="165"/>
      <c r="C113" s="165"/>
      <c r="D113" s="165"/>
      <c r="E113" s="165"/>
      <c r="F113" s="166"/>
      <c r="G113" s="166"/>
    </row>
    <row r="114" spans="1:7" x14ac:dyDescent="0.25">
      <c r="A114" s="69"/>
      <c r="B114" s="6" t="s">
        <v>4</v>
      </c>
      <c r="C114" s="3" t="s">
        <v>5</v>
      </c>
      <c r="D114" s="3" t="s">
        <v>6</v>
      </c>
      <c r="E114" s="3" t="s">
        <v>7</v>
      </c>
      <c r="F114" s="3" t="s">
        <v>134</v>
      </c>
      <c r="G114" s="3" t="s">
        <v>135</v>
      </c>
    </row>
    <row r="115" spans="1:7" x14ac:dyDescent="0.25">
      <c r="A115" s="3">
        <v>5400</v>
      </c>
      <c r="B115" s="130" t="s">
        <v>98</v>
      </c>
      <c r="C115" s="12">
        <v>0</v>
      </c>
      <c r="D115" s="71">
        <v>1920</v>
      </c>
      <c r="E115" s="13">
        <f t="shared" ref="E115:E138" si="4">C115*D115</f>
        <v>0</v>
      </c>
      <c r="F115" s="13"/>
      <c r="G115" s="13"/>
    </row>
    <row r="116" spans="1:7" x14ac:dyDescent="0.25">
      <c r="A116" s="3">
        <v>5401</v>
      </c>
      <c r="B116" s="130" t="s">
        <v>99</v>
      </c>
      <c r="C116" s="12">
        <v>0</v>
      </c>
      <c r="D116" s="71">
        <v>1920</v>
      </c>
      <c r="E116" s="13">
        <f t="shared" si="4"/>
        <v>0</v>
      </c>
      <c r="F116" s="13"/>
      <c r="G116" s="13"/>
    </row>
    <row r="117" spans="1:7" x14ac:dyDescent="0.25">
      <c r="A117" s="3">
        <v>5402</v>
      </c>
      <c r="B117" s="130" t="s">
        <v>100</v>
      </c>
      <c r="C117" s="12">
        <v>0</v>
      </c>
      <c r="D117" s="71">
        <v>1920</v>
      </c>
      <c r="E117" s="13">
        <f t="shared" si="4"/>
        <v>0</v>
      </c>
      <c r="F117" s="13"/>
      <c r="G117" s="13"/>
    </row>
    <row r="118" spans="1:7" x14ac:dyDescent="0.25">
      <c r="A118" s="3">
        <v>5403</v>
      </c>
      <c r="B118" s="130" t="s">
        <v>100</v>
      </c>
      <c r="C118" s="12">
        <v>0</v>
      </c>
      <c r="D118" s="71">
        <v>1920</v>
      </c>
      <c r="E118" s="13">
        <f t="shared" si="4"/>
        <v>0</v>
      </c>
      <c r="F118" s="13"/>
      <c r="G118" s="13"/>
    </row>
    <row r="119" spans="1:7" x14ac:dyDescent="0.25">
      <c r="A119" s="3">
        <v>5404</v>
      </c>
      <c r="B119" s="130" t="s">
        <v>100</v>
      </c>
      <c r="C119" s="12">
        <v>0</v>
      </c>
      <c r="D119" s="71">
        <v>1920</v>
      </c>
      <c r="E119" s="13">
        <f t="shared" si="4"/>
        <v>0</v>
      </c>
      <c r="F119" s="13"/>
      <c r="G119" s="13"/>
    </row>
    <row r="120" spans="1:7" x14ac:dyDescent="0.25">
      <c r="A120" s="3">
        <v>5405</v>
      </c>
      <c r="B120" s="130" t="s">
        <v>100</v>
      </c>
      <c r="C120" s="12">
        <v>0</v>
      </c>
      <c r="D120" s="71">
        <v>1920</v>
      </c>
      <c r="E120" s="13">
        <f t="shared" si="4"/>
        <v>0</v>
      </c>
      <c r="F120" s="13"/>
      <c r="G120" s="13"/>
    </row>
    <row r="121" spans="1:7" x14ac:dyDescent="0.25">
      <c r="A121" s="3">
        <v>5406</v>
      </c>
      <c r="B121" s="130" t="s">
        <v>100</v>
      </c>
      <c r="C121" s="12">
        <v>0</v>
      </c>
      <c r="D121" s="71">
        <v>1920</v>
      </c>
      <c r="E121" s="13">
        <f t="shared" si="4"/>
        <v>0</v>
      </c>
      <c r="F121" s="13"/>
      <c r="G121" s="13"/>
    </row>
    <row r="122" spans="1:7" x14ac:dyDescent="0.25">
      <c r="A122" s="3">
        <v>5407</v>
      </c>
      <c r="B122" s="130" t="s">
        <v>100</v>
      </c>
      <c r="C122" s="12">
        <v>0</v>
      </c>
      <c r="D122" s="71">
        <v>1920</v>
      </c>
      <c r="E122" s="13">
        <f t="shared" si="4"/>
        <v>0</v>
      </c>
      <c r="F122" s="13"/>
      <c r="G122" s="13"/>
    </row>
    <row r="123" spans="1:7" x14ac:dyDescent="0.25">
      <c r="A123" s="3">
        <v>5408</v>
      </c>
      <c r="B123" s="130" t="s">
        <v>100</v>
      </c>
      <c r="C123" s="12">
        <v>0</v>
      </c>
      <c r="D123" s="71">
        <v>1920</v>
      </c>
      <c r="E123" s="13">
        <f t="shared" si="4"/>
        <v>0</v>
      </c>
      <c r="F123" s="13"/>
      <c r="G123" s="13"/>
    </row>
    <row r="124" spans="1:7" x14ac:dyDescent="0.25">
      <c r="A124" s="3">
        <v>5409</v>
      </c>
      <c r="B124" s="130" t="s">
        <v>101</v>
      </c>
      <c r="C124" s="12">
        <v>0</v>
      </c>
      <c r="D124" s="71">
        <v>1920</v>
      </c>
      <c r="E124" s="13">
        <f t="shared" si="4"/>
        <v>0</v>
      </c>
      <c r="F124" s="13"/>
      <c r="G124" s="13"/>
    </row>
    <row r="125" spans="1:7" x14ac:dyDescent="0.25">
      <c r="A125" s="3">
        <v>5410</v>
      </c>
      <c r="B125" s="130" t="s">
        <v>102</v>
      </c>
      <c r="C125" s="12">
        <v>0</v>
      </c>
      <c r="D125" s="71">
        <v>1920</v>
      </c>
      <c r="E125" s="13">
        <f t="shared" si="4"/>
        <v>0</v>
      </c>
      <c r="F125" s="13"/>
      <c r="G125" s="13"/>
    </row>
    <row r="126" spans="1:7" x14ac:dyDescent="0.25">
      <c r="A126" s="3">
        <v>5411</v>
      </c>
      <c r="B126" s="130" t="s">
        <v>103</v>
      </c>
      <c r="C126" s="12">
        <v>0</v>
      </c>
      <c r="D126" s="71">
        <v>1920</v>
      </c>
      <c r="E126" s="13">
        <f t="shared" si="4"/>
        <v>0</v>
      </c>
      <c r="F126" s="13"/>
      <c r="G126" s="13"/>
    </row>
    <row r="127" spans="1:7" ht="14.4" customHeight="1" x14ac:dyDescent="0.25">
      <c r="A127" s="3">
        <v>5412</v>
      </c>
      <c r="B127" s="130" t="s">
        <v>104</v>
      </c>
      <c r="C127" s="12">
        <v>0</v>
      </c>
      <c r="D127" s="71">
        <v>1920</v>
      </c>
      <c r="E127" s="13">
        <f t="shared" si="4"/>
        <v>0</v>
      </c>
      <c r="F127" s="13"/>
      <c r="G127" s="13"/>
    </row>
    <row r="128" spans="1:7" ht="14.4" customHeight="1" x14ac:dyDescent="0.25">
      <c r="A128" s="3">
        <v>5413</v>
      </c>
      <c r="B128" s="130" t="s">
        <v>105</v>
      </c>
      <c r="C128" s="12">
        <v>0</v>
      </c>
      <c r="D128" s="71">
        <v>1920</v>
      </c>
      <c r="E128" s="13">
        <f t="shared" si="4"/>
        <v>0</v>
      </c>
      <c r="F128" s="13"/>
      <c r="G128" s="13"/>
    </row>
    <row r="129" spans="1:12" ht="14.4" customHeight="1" x14ac:dyDescent="0.25">
      <c r="A129" s="3">
        <v>5414</v>
      </c>
      <c r="B129" s="130" t="s">
        <v>106</v>
      </c>
      <c r="C129" s="12">
        <v>0</v>
      </c>
      <c r="D129" s="71">
        <v>1920</v>
      </c>
      <c r="E129" s="13">
        <f t="shared" si="4"/>
        <v>0</v>
      </c>
      <c r="F129" s="13"/>
      <c r="G129" s="13"/>
    </row>
    <row r="130" spans="1:12" ht="14.4" customHeight="1" x14ac:dyDescent="0.25">
      <c r="A130" s="3">
        <v>5415</v>
      </c>
      <c r="B130" s="130" t="s">
        <v>106</v>
      </c>
      <c r="C130" s="12">
        <v>0</v>
      </c>
      <c r="D130" s="71">
        <v>1920</v>
      </c>
      <c r="E130" s="13">
        <f t="shared" si="4"/>
        <v>0</v>
      </c>
      <c r="F130" s="13"/>
      <c r="G130" s="13"/>
    </row>
    <row r="131" spans="1:12" ht="14.4" customHeight="1" x14ac:dyDescent="0.25">
      <c r="A131" s="3">
        <v>5416</v>
      </c>
      <c r="B131" s="130" t="s">
        <v>106</v>
      </c>
      <c r="C131" s="12">
        <v>0</v>
      </c>
      <c r="D131" s="71">
        <v>1920</v>
      </c>
      <c r="E131" s="13">
        <f t="shared" si="4"/>
        <v>0</v>
      </c>
      <c r="F131" s="13"/>
      <c r="G131" s="13"/>
    </row>
    <row r="132" spans="1:12" ht="14.4" customHeight="1" x14ac:dyDescent="0.25">
      <c r="A132" s="3">
        <v>5417</v>
      </c>
      <c r="B132" s="130" t="s">
        <v>106</v>
      </c>
      <c r="C132" s="12">
        <v>0</v>
      </c>
      <c r="D132" s="71">
        <v>1920</v>
      </c>
      <c r="E132" s="13">
        <f t="shared" si="4"/>
        <v>0</v>
      </c>
      <c r="F132" s="13"/>
      <c r="G132" s="13"/>
    </row>
    <row r="133" spans="1:12" ht="14.4" customHeight="1" x14ac:dyDescent="0.25">
      <c r="A133" s="3">
        <v>5418</v>
      </c>
      <c r="B133" s="130" t="s">
        <v>108</v>
      </c>
      <c r="C133" s="12">
        <v>0</v>
      </c>
      <c r="D133" s="71">
        <v>1920</v>
      </c>
      <c r="E133" s="13">
        <f t="shared" si="4"/>
        <v>0</v>
      </c>
      <c r="F133" s="13"/>
      <c r="G133" s="13"/>
    </row>
    <row r="134" spans="1:12" ht="14.4" customHeight="1" x14ac:dyDescent="0.25">
      <c r="A134" s="3">
        <v>5418</v>
      </c>
      <c r="B134" s="130" t="s">
        <v>106</v>
      </c>
      <c r="C134" s="12">
        <v>0</v>
      </c>
      <c r="D134" s="71">
        <v>1920</v>
      </c>
      <c r="E134" s="13">
        <f t="shared" si="4"/>
        <v>0</v>
      </c>
      <c r="F134" s="13"/>
      <c r="G134" s="13"/>
    </row>
    <row r="135" spans="1:12" ht="14.4" customHeight="1" x14ac:dyDescent="0.25">
      <c r="A135" s="3">
        <v>5420</v>
      </c>
      <c r="B135" s="130" t="s">
        <v>106</v>
      </c>
      <c r="C135" s="12">
        <v>0</v>
      </c>
      <c r="D135" s="71">
        <v>1920</v>
      </c>
      <c r="E135" s="13">
        <f t="shared" si="4"/>
        <v>0</v>
      </c>
      <c r="F135" s="13"/>
      <c r="G135" s="13"/>
    </row>
    <row r="136" spans="1:12" ht="14.4" customHeight="1" x14ac:dyDescent="0.25">
      <c r="A136" s="3">
        <v>5421</v>
      </c>
      <c r="B136" s="130" t="s">
        <v>106</v>
      </c>
      <c r="C136" s="12">
        <v>0</v>
      </c>
      <c r="D136" s="71">
        <v>1920</v>
      </c>
      <c r="E136" s="13">
        <f t="shared" si="4"/>
        <v>0</v>
      </c>
      <c r="F136" s="13"/>
      <c r="G136" s="13"/>
    </row>
    <row r="137" spans="1:12" ht="14.4" customHeight="1" x14ac:dyDescent="0.25">
      <c r="A137" s="3">
        <v>5422</v>
      </c>
      <c r="B137" s="130" t="s">
        <v>106</v>
      </c>
      <c r="C137" s="12">
        <v>0</v>
      </c>
      <c r="D137" s="71">
        <v>1920</v>
      </c>
      <c r="E137" s="13">
        <f t="shared" si="4"/>
        <v>0</v>
      </c>
      <c r="F137" s="13"/>
      <c r="G137" s="13"/>
    </row>
    <row r="138" spans="1:12" ht="14.4" customHeight="1" x14ac:dyDescent="0.25">
      <c r="A138" s="3">
        <v>5423</v>
      </c>
      <c r="B138" s="130" t="s">
        <v>106</v>
      </c>
      <c r="C138" s="12">
        <v>0</v>
      </c>
      <c r="D138" s="71">
        <v>1920</v>
      </c>
      <c r="E138" s="13">
        <f t="shared" si="4"/>
        <v>0</v>
      </c>
      <c r="F138" s="13"/>
      <c r="G138" s="13"/>
    </row>
    <row r="139" spans="1:12" ht="14.4" customHeight="1" x14ac:dyDescent="0.25">
      <c r="A139" s="69"/>
      <c r="B139" s="167"/>
      <c r="C139" s="168"/>
      <c r="D139" s="74">
        <f>SUM(D115:D138)</f>
        <v>46080</v>
      </c>
      <c r="E139" s="75">
        <f>SUM(E115:E138)</f>
        <v>0</v>
      </c>
      <c r="F139" s="156"/>
      <c r="G139" s="156"/>
    </row>
    <row r="140" spans="1:12" ht="14.4" customHeight="1" x14ac:dyDescent="0.25"/>
    <row r="141" spans="1:12" ht="14.4" customHeight="1" x14ac:dyDescent="0.25"/>
    <row r="142" spans="1:12" ht="14.25" customHeight="1" x14ac:dyDescent="0.25"/>
    <row r="143" spans="1:12" ht="14.25" customHeight="1" x14ac:dyDescent="0.25">
      <c r="B143" s="7"/>
    </row>
    <row r="144" spans="1:12" ht="14.25" customHeight="1" x14ac:dyDescent="0.25">
      <c r="B144" s="172"/>
      <c r="C144" s="172"/>
      <c r="D144" s="172"/>
      <c r="E144" s="172"/>
      <c r="F144" s="127"/>
      <c r="G144" s="127"/>
      <c r="J144" s="10"/>
      <c r="L144" s="9"/>
    </row>
    <row r="145" spans="2:12" ht="14.25" customHeight="1" x14ac:dyDescent="0.25">
      <c r="B145" s="1"/>
      <c r="C145" s="76"/>
      <c r="D145" s="8"/>
      <c r="E145" s="77"/>
      <c r="F145" s="77"/>
      <c r="G145" s="77"/>
      <c r="J145" s="10"/>
      <c r="L145" s="9"/>
    </row>
    <row r="146" spans="2:12" ht="14.25" customHeight="1" x14ac:dyDescent="0.25">
      <c r="B146" s="1"/>
      <c r="C146" s="76"/>
      <c r="D146" s="8"/>
      <c r="E146" s="77"/>
      <c r="F146" s="77"/>
      <c r="G146" s="77"/>
    </row>
    <row r="147" spans="2:12" ht="14.25" customHeight="1" x14ac:dyDescent="0.25">
      <c r="B147" s="169"/>
      <c r="C147" s="169"/>
      <c r="D147" s="169"/>
      <c r="E147" s="169"/>
      <c r="F147" s="126"/>
      <c r="G147" s="126"/>
    </row>
    <row r="148" spans="2:12" ht="14.25" customHeight="1" x14ac:dyDescent="0.25">
      <c r="B148" s="173"/>
      <c r="C148" s="173"/>
      <c r="D148" s="173"/>
      <c r="E148" s="173"/>
      <c r="F148" s="128"/>
      <c r="G148" s="128"/>
    </row>
    <row r="149" spans="2:12" ht="14.25" customHeight="1" x14ac:dyDescent="0.25">
      <c r="B149" s="1"/>
      <c r="C149" s="76"/>
      <c r="D149" s="8"/>
      <c r="E149" s="77"/>
      <c r="F149" s="77"/>
      <c r="G149" s="77"/>
    </row>
    <row r="150" spans="2:12" ht="14.25" customHeight="1" x14ac:dyDescent="0.25">
      <c r="B150" s="1"/>
      <c r="C150" s="76"/>
      <c r="D150" s="8"/>
      <c r="E150" s="77"/>
      <c r="F150" s="77"/>
      <c r="G150" s="77"/>
    </row>
    <row r="151" spans="2:12" x14ac:dyDescent="0.25">
      <c r="B151" s="1"/>
    </row>
    <row r="152" spans="2:12" x14ac:dyDescent="0.25">
      <c r="B152" s="173"/>
      <c r="C152" s="173"/>
      <c r="D152" s="173"/>
      <c r="E152" s="173"/>
      <c r="F152" s="128"/>
      <c r="G152" s="128"/>
    </row>
    <row r="153" spans="2:12" x14ac:dyDescent="0.25">
      <c r="B153" s="1"/>
      <c r="C153" s="76"/>
      <c r="D153" s="8"/>
      <c r="E153" s="77"/>
      <c r="F153" s="77"/>
      <c r="G153" s="77"/>
    </row>
    <row r="154" spans="2:12" x14ac:dyDescent="0.25">
      <c r="B154" s="1"/>
      <c r="C154" s="76"/>
      <c r="D154" s="8"/>
      <c r="E154" s="77"/>
      <c r="F154" s="77"/>
      <c r="G154" s="77"/>
    </row>
    <row r="155" spans="2:12" x14ac:dyDescent="0.25">
      <c r="B155" s="169"/>
      <c r="C155" s="169"/>
      <c r="D155" s="169"/>
      <c r="E155" s="169"/>
      <c r="F155" s="126"/>
      <c r="G155" s="126"/>
    </row>
    <row r="156" spans="2:12" x14ac:dyDescent="0.25">
      <c r="B156" s="173"/>
      <c r="C156" s="173"/>
      <c r="D156" s="173"/>
      <c r="E156" s="173"/>
      <c r="F156" s="128"/>
      <c r="G156" s="128"/>
    </row>
    <row r="157" spans="2:12" x14ac:dyDescent="0.25">
      <c r="B157" s="1"/>
      <c r="C157" s="76"/>
      <c r="D157" s="8"/>
      <c r="E157" s="77"/>
      <c r="F157" s="77"/>
      <c r="G157" s="77"/>
    </row>
    <row r="158" spans="2:12" x14ac:dyDescent="0.25">
      <c r="B158" s="1"/>
      <c r="C158" s="76"/>
      <c r="D158" s="8"/>
      <c r="E158" s="77"/>
      <c r="F158" s="77"/>
      <c r="G158" s="77"/>
    </row>
    <row r="159" spans="2:12" x14ac:dyDescent="0.25">
      <c r="B159" s="169"/>
      <c r="C159" s="169"/>
      <c r="D159" s="169"/>
      <c r="E159" s="169"/>
      <c r="F159" s="126"/>
      <c r="G159" s="126"/>
    </row>
    <row r="160" spans="2:12" x14ac:dyDescent="0.25">
      <c r="B160" s="173"/>
      <c r="C160" s="173"/>
      <c r="D160" s="173"/>
      <c r="E160" s="173"/>
      <c r="F160" s="128"/>
      <c r="G160" s="128"/>
    </row>
    <row r="161" spans="2:7" x14ac:dyDescent="0.25">
      <c r="B161" s="1"/>
      <c r="C161" s="76"/>
      <c r="D161" s="8"/>
      <c r="E161" s="77"/>
      <c r="F161" s="77"/>
      <c r="G161" s="77"/>
    </row>
    <row r="162" spans="2:7" x14ac:dyDescent="0.25">
      <c r="B162" s="1"/>
      <c r="C162" s="76"/>
      <c r="D162" s="8"/>
      <c r="E162" s="77"/>
      <c r="F162" s="77"/>
      <c r="G162" s="77"/>
    </row>
    <row r="163" spans="2:7" x14ac:dyDescent="0.25">
      <c r="B163" s="169"/>
      <c r="C163" s="169"/>
      <c r="D163" s="169"/>
      <c r="E163" s="169"/>
      <c r="F163" s="126"/>
      <c r="G163" s="126"/>
    </row>
    <row r="164" spans="2:7" x14ac:dyDescent="0.25">
      <c r="B164" s="169"/>
      <c r="C164" s="169"/>
      <c r="D164" s="169"/>
      <c r="E164" s="169"/>
      <c r="F164" s="126"/>
      <c r="G164" s="126"/>
    </row>
    <row r="165" spans="2:7" x14ac:dyDescent="0.25">
      <c r="B165" s="169"/>
      <c r="C165" s="169"/>
      <c r="D165" s="169"/>
      <c r="E165" s="169"/>
      <c r="F165" s="126"/>
      <c r="G165" s="126"/>
    </row>
    <row r="166" spans="2:7" ht="14.4" x14ac:dyDescent="0.3">
      <c r="B166" s="1"/>
      <c r="C166" s="170"/>
      <c r="D166" s="171"/>
      <c r="E166" s="78"/>
      <c r="F166" s="78"/>
      <c r="G166" s="78"/>
    </row>
  </sheetData>
  <mergeCells count="32">
    <mergeCell ref="I30:K30"/>
    <mergeCell ref="I33:J33"/>
    <mergeCell ref="I35:K35"/>
    <mergeCell ref="I38:J38"/>
    <mergeCell ref="I26:L26"/>
    <mergeCell ref="J29:K29"/>
    <mergeCell ref="B4:E4"/>
    <mergeCell ref="I18:L18"/>
    <mergeCell ref="I22:L22"/>
    <mergeCell ref="I6:L6"/>
    <mergeCell ref="I10:L10"/>
    <mergeCell ref="I14:L14"/>
    <mergeCell ref="B112:C112"/>
    <mergeCell ref="B139:C139"/>
    <mergeCell ref="A113:G113"/>
    <mergeCell ref="B163:E165"/>
    <mergeCell ref="C166:D166"/>
    <mergeCell ref="B144:E144"/>
    <mergeCell ref="B147:E147"/>
    <mergeCell ref="B148:E148"/>
    <mergeCell ref="B152:E152"/>
    <mergeCell ref="B155:E155"/>
    <mergeCell ref="B156:E156"/>
    <mergeCell ref="B159:E159"/>
    <mergeCell ref="B160:E160"/>
    <mergeCell ref="B31:C31"/>
    <mergeCell ref="A5:G5"/>
    <mergeCell ref="A32:G32"/>
    <mergeCell ref="A59:G59"/>
    <mergeCell ref="A86:G86"/>
    <mergeCell ref="B58:C58"/>
    <mergeCell ref="B85:C85"/>
  </mergeCells>
  <pageMargins left="0.7" right="0.7" top="0.75" bottom="0.75" header="0.3" footer="0.3"/>
  <pageSetup scale="57" orientation="landscape" horizontalDpi="1200" verticalDpi="1200" r:id="rId1"/>
  <rowBreaks count="1" manualBreakCount="1">
    <brk id="70" max="7" man="1"/>
  </rowBreaks>
  <colBreaks count="1" manualBreakCount="1">
    <brk id="8" max="10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3"/>
  <sheetViews>
    <sheetView topLeftCell="B1" zoomScale="85" zoomScaleNormal="85" workbookViewId="0">
      <selection activeCell="C47" sqref="C47"/>
    </sheetView>
  </sheetViews>
  <sheetFormatPr defaultColWidth="8.6640625" defaultRowHeight="14.4" x14ac:dyDescent="0.3"/>
  <cols>
    <col min="2" max="2" width="25.109375" customWidth="1"/>
    <col min="3" max="3" width="15.33203125" customWidth="1"/>
    <col min="5" max="5" width="14" customWidth="1"/>
    <col min="7" max="7" width="15.6640625" customWidth="1"/>
    <col min="9" max="9" width="22.109375" customWidth="1"/>
    <col min="11" max="11" width="36.6640625" customWidth="1"/>
    <col min="12" max="12" width="11" customWidth="1"/>
    <col min="13" max="13" width="33" customWidth="1"/>
    <col min="14" max="14" width="12.33203125" customWidth="1"/>
    <col min="15" max="15" width="24.5546875" customWidth="1"/>
  </cols>
  <sheetData>
    <row r="1" spans="1:17" ht="15.6" x14ac:dyDescent="0.3">
      <c r="A1" s="14" t="s">
        <v>27</v>
      </c>
      <c r="B1" s="15"/>
      <c r="C1" s="15"/>
      <c r="D1" s="15"/>
      <c r="E1" s="208" t="s">
        <v>28</v>
      </c>
      <c r="F1" s="171"/>
      <c r="G1" s="171"/>
      <c r="H1" s="171"/>
      <c r="I1" s="171"/>
      <c r="J1" s="171"/>
      <c r="K1" s="171"/>
      <c r="L1" s="171"/>
      <c r="M1" s="171"/>
    </row>
    <row r="2" spans="1:17" ht="12.45" customHeight="1" x14ac:dyDescent="0.3">
      <c r="A2" s="16"/>
      <c r="B2" s="17" t="s">
        <v>29</v>
      </c>
      <c r="C2" s="16"/>
      <c r="D2" s="16"/>
      <c r="E2" s="16"/>
      <c r="F2" s="16"/>
      <c r="G2" s="16"/>
      <c r="H2" s="16"/>
      <c r="I2" s="16"/>
      <c r="J2" s="16"/>
      <c r="K2" s="16"/>
      <c r="L2" s="16"/>
      <c r="M2" s="16"/>
      <c r="N2" s="16"/>
      <c r="O2" s="18" t="s">
        <v>30</v>
      </c>
      <c r="P2" s="16"/>
      <c r="Q2" s="16"/>
    </row>
    <row r="3" spans="1:17" ht="12.45" customHeight="1" x14ac:dyDescent="0.3">
      <c r="A3" s="16"/>
      <c r="B3" s="19" t="s">
        <v>31</v>
      </c>
      <c r="C3" s="16"/>
      <c r="D3" s="16"/>
      <c r="E3" s="16"/>
      <c r="F3" s="16"/>
      <c r="G3" s="16"/>
      <c r="H3" s="16"/>
      <c r="I3" s="16"/>
      <c r="J3" s="16"/>
      <c r="K3" s="16"/>
      <c r="L3" s="16"/>
      <c r="M3" s="16"/>
      <c r="N3" s="16"/>
      <c r="O3" s="16"/>
      <c r="P3" s="16"/>
      <c r="Q3" s="16"/>
    </row>
    <row r="4" spans="1:17" ht="12.45" customHeight="1" x14ac:dyDescent="0.3">
      <c r="A4" s="16"/>
      <c r="B4" s="20"/>
      <c r="C4" s="16"/>
      <c r="D4" s="16"/>
      <c r="E4" s="16"/>
      <c r="F4" s="16"/>
      <c r="G4" s="16"/>
      <c r="H4" s="16"/>
      <c r="I4" s="16"/>
      <c r="J4" s="16"/>
      <c r="K4" s="16"/>
      <c r="L4" s="16"/>
      <c r="M4" s="16"/>
      <c r="N4" s="16"/>
      <c r="O4" s="16"/>
      <c r="P4" s="16"/>
      <c r="Q4" s="16"/>
    </row>
    <row r="5" spans="1:17" ht="12.75" hidden="1" customHeight="1" x14ac:dyDescent="0.3">
      <c r="A5" s="21"/>
      <c r="B5" s="22" t="s">
        <v>32</v>
      </c>
      <c r="C5" s="23"/>
      <c r="D5" s="24"/>
      <c r="E5" s="25"/>
      <c r="F5" s="25"/>
      <c r="G5" s="25"/>
      <c r="H5" s="25"/>
      <c r="I5" s="25"/>
      <c r="J5" s="24"/>
      <c r="K5" s="25"/>
      <c r="L5" s="24"/>
      <c r="M5" s="25"/>
      <c r="N5" s="25"/>
      <c r="O5" s="24"/>
      <c r="P5" s="25"/>
      <c r="Q5" s="25"/>
    </row>
    <row r="6" spans="1:17" ht="15.6" x14ac:dyDescent="0.3">
      <c r="A6" s="21"/>
      <c r="B6" s="22" t="s">
        <v>33</v>
      </c>
      <c r="C6" s="23"/>
      <c r="D6" s="25"/>
      <c r="E6" s="25"/>
      <c r="F6" s="25"/>
      <c r="G6" s="25"/>
      <c r="H6" s="25"/>
      <c r="I6" s="25"/>
      <c r="J6" s="25"/>
      <c r="K6" s="25"/>
      <c r="L6" s="25"/>
      <c r="M6" s="25"/>
      <c r="N6" s="21"/>
      <c r="O6" s="21"/>
      <c r="P6" s="21"/>
      <c r="Q6" s="21"/>
    </row>
    <row r="7" spans="1:17" ht="12.45" customHeight="1" x14ac:dyDescent="0.3">
      <c r="A7" s="26"/>
      <c r="B7" s="20"/>
      <c r="C7" s="27"/>
      <c r="D7" s="28"/>
      <c r="E7" s="29"/>
      <c r="F7" s="29"/>
      <c r="G7" s="29"/>
      <c r="H7" s="29"/>
      <c r="I7" s="29"/>
      <c r="J7" s="29"/>
      <c r="K7" s="29"/>
      <c r="L7" s="29"/>
      <c r="M7" s="29"/>
      <c r="N7" s="26"/>
      <c r="O7" s="26"/>
      <c r="P7" s="26"/>
      <c r="Q7" s="26"/>
    </row>
    <row r="8" spans="1:17" ht="63.75" customHeight="1" x14ac:dyDescent="0.3">
      <c r="A8" s="30"/>
      <c r="B8" s="31" t="s">
        <v>34</v>
      </c>
      <c r="C8" s="32"/>
      <c r="D8" s="33"/>
      <c r="E8" s="33"/>
      <c r="F8" s="34"/>
      <c r="G8" s="35"/>
      <c r="H8" s="35"/>
      <c r="I8" s="35"/>
      <c r="J8" s="36"/>
      <c r="K8" s="37"/>
      <c r="L8" s="36"/>
      <c r="M8" s="37"/>
      <c r="N8" s="30"/>
      <c r="O8" s="30"/>
      <c r="P8" s="30"/>
      <c r="Q8" s="30"/>
    </row>
    <row r="9" spans="1:17" ht="14.25" customHeight="1" x14ac:dyDescent="0.3">
      <c r="A9" s="30"/>
      <c r="B9" s="31" t="s">
        <v>35</v>
      </c>
      <c r="C9" s="32"/>
      <c r="D9" s="38"/>
      <c r="E9" s="38"/>
      <c r="F9" s="34"/>
      <c r="G9" s="35"/>
      <c r="H9" s="35"/>
      <c r="I9" s="35"/>
      <c r="J9" s="35"/>
      <c r="K9" s="35"/>
      <c r="L9" s="35"/>
      <c r="M9" s="35"/>
      <c r="N9" s="30"/>
      <c r="O9" s="30"/>
      <c r="P9" s="30"/>
      <c r="Q9" s="30"/>
    </row>
    <row r="10" spans="1:17" ht="15.6" x14ac:dyDescent="0.3">
      <c r="A10" s="188"/>
      <c r="B10" s="188"/>
      <c r="C10" s="188"/>
      <c r="D10" s="188"/>
      <c r="E10" s="188"/>
      <c r="F10" s="188"/>
      <c r="G10" s="188"/>
      <c r="H10" s="188"/>
      <c r="I10" s="188"/>
      <c r="J10" s="188"/>
      <c r="K10" s="188"/>
      <c r="L10" s="188"/>
      <c r="M10" s="188"/>
    </row>
    <row r="12" spans="1:17" ht="62.25" customHeight="1" x14ac:dyDescent="0.3">
      <c r="B12" s="27"/>
      <c r="C12" s="27"/>
      <c r="D12" s="209" t="s">
        <v>36</v>
      </c>
      <c r="E12" s="210"/>
      <c r="F12" s="209" t="s">
        <v>37</v>
      </c>
      <c r="G12" s="210"/>
      <c r="H12" s="209" t="s">
        <v>38</v>
      </c>
      <c r="I12" s="210"/>
      <c r="J12" s="209" t="s">
        <v>39</v>
      </c>
      <c r="K12" s="210"/>
      <c r="L12" s="209" t="s">
        <v>40</v>
      </c>
      <c r="M12" s="210"/>
      <c r="N12" s="195" t="s">
        <v>41</v>
      </c>
      <c r="O12" s="196"/>
    </row>
    <row r="13" spans="1:17" ht="12.75" customHeight="1" x14ac:dyDescent="0.3">
      <c r="B13" s="197" t="s">
        <v>42</v>
      </c>
      <c r="C13" s="198"/>
      <c r="D13" s="39" t="s">
        <v>43</v>
      </c>
      <c r="E13" s="80" t="s">
        <v>44</v>
      </c>
      <c r="F13" s="39" t="s">
        <v>43</v>
      </c>
      <c r="G13" s="80" t="s">
        <v>44</v>
      </c>
      <c r="H13" s="39" t="s">
        <v>43</v>
      </c>
      <c r="I13" s="80" t="s">
        <v>44</v>
      </c>
      <c r="J13" s="39" t="s">
        <v>43</v>
      </c>
      <c r="K13" s="80" t="s">
        <v>44</v>
      </c>
      <c r="L13" s="39" t="s">
        <v>43</v>
      </c>
      <c r="M13" s="80" t="s">
        <v>44</v>
      </c>
      <c r="N13" s="39" t="s">
        <v>43</v>
      </c>
      <c r="O13" s="80" t="s">
        <v>45</v>
      </c>
    </row>
    <row r="14" spans="1:17" x14ac:dyDescent="0.3">
      <c r="B14" s="40">
        <v>1</v>
      </c>
      <c r="C14" s="41" t="s">
        <v>46</v>
      </c>
      <c r="D14" s="42">
        <v>0</v>
      </c>
      <c r="E14" s="43">
        <v>0</v>
      </c>
      <c r="F14" s="42">
        <v>0</v>
      </c>
      <c r="G14" s="43">
        <v>0</v>
      </c>
      <c r="H14" s="42">
        <v>0</v>
      </c>
      <c r="I14" s="43">
        <v>0</v>
      </c>
      <c r="J14" s="42">
        <v>0</v>
      </c>
      <c r="K14" s="43">
        <v>0</v>
      </c>
      <c r="L14" s="42">
        <v>0</v>
      </c>
      <c r="M14" s="43">
        <v>0</v>
      </c>
      <c r="N14" s="44">
        <f>SUM(D14,F14,H14,J14,L14)</f>
        <v>0</v>
      </c>
      <c r="O14" s="45">
        <f>SUM(E14,G14,I14,K14,M14)</f>
        <v>0</v>
      </c>
    </row>
    <row r="15" spans="1:17" x14ac:dyDescent="0.3">
      <c r="B15" s="40">
        <v>2</v>
      </c>
      <c r="C15" s="46" t="s">
        <v>47</v>
      </c>
      <c r="D15" s="47">
        <v>0</v>
      </c>
      <c r="E15" s="48">
        <v>0</v>
      </c>
      <c r="F15" s="42">
        <v>0</v>
      </c>
      <c r="G15" s="43">
        <v>0</v>
      </c>
      <c r="H15" s="42">
        <v>0</v>
      </c>
      <c r="I15" s="43">
        <v>0</v>
      </c>
      <c r="J15" s="42">
        <v>0</v>
      </c>
      <c r="K15" s="43">
        <v>0</v>
      </c>
      <c r="L15" s="42">
        <v>0</v>
      </c>
      <c r="M15" s="43">
        <v>0</v>
      </c>
      <c r="N15" s="44">
        <f t="shared" ref="N15:O23" si="0">SUM(D15,F15,H15,J15,L15)</f>
        <v>0</v>
      </c>
      <c r="O15" s="45">
        <f t="shared" si="0"/>
        <v>0</v>
      </c>
    </row>
    <row r="16" spans="1:17" x14ac:dyDescent="0.3">
      <c r="B16" s="40">
        <v>3</v>
      </c>
      <c r="C16" s="46" t="s">
        <v>48</v>
      </c>
      <c r="D16" s="47">
        <v>0</v>
      </c>
      <c r="E16" s="48">
        <v>0</v>
      </c>
      <c r="F16" s="42">
        <v>0</v>
      </c>
      <c r="G16" s="43">
        <v>0</v>
      </c>
      <c r="H16" s="42">
        <v>0</v>
      </c>
      <c r="I16" s="43">
        <v>0</v>
      </c>
      <c r="J16" s="42">
        <v>0</v>
      </c>
      <c r="K16" s="43">
        <v>0</v>
      </c>
      <c r="L16" s="42">
        <v>0</v>
      </c>
      <c r="M16" s="43">
        <v>0</v>
      </c>
      <c r="N16" s="44">
        <f t="shared" si="0"/>
        <v>0</v>
      </c>
      <c r="O16" s="45">
        <f t="shared" si="0"/>
        <v>0</v>
      </c>
    </row>
    <row r="17" spans="2:15" x14ac:dyDescent="0.3">
      <c r="B17" s="40">
        <v>4</v>
      </c>
      <c r="C17" s="46" t="s">
        <v>49</v>
      </c>
      <c r="D17" s="47">
        <v>0</v>
      </c>
      <c r="E17" s="48">
        <v>0</v>
      </c>
      <c r="F17" s="42">
        <v>0</v>
      </c>
      <c r="G17" s="43">
        <v>0</v>
      </c>
      <c r="H17" s="42">
        <v>0</v>
      </c>
      <c r="I17" s="43">
        <v>0</v>
      </c>
      <c r="J17" s="42">
        <v>0</v>
      </c>
      <c r="K17" s="43">
        <v>0</v>
      </c>
      <c r="L17" s="42">
        <v>0</v>
      </c>
      <c r="M17" s="43">
        <v>0</v>
      </c>
      <c r="N17" s="44">
        <f t="shared" si="0"/>
        <v>0</v>
      </c>
      <c r="O17" s="45">
        <f t="shared" si="0"/>
        <v>0</v>
      </c>
    </row>
    <row r="18" spans="2:15" x14ac:dyDescent="0.3">
      <c r="B18" s="40">
        <v>5</v>
      </c>
      <c r="C18" s="46" t="s">
        <v>50</v>
      </c>
      <c r="D18" s="47">
        <v>0</v>
      </c>
      <c r="E18" s="48">
        <v>0</v>
      </c>
      <c r="F18" s="42">
        <v>0</v>
      </c>
      <c r="G18" s="43">
        <v>0</v>
      </c>
      <c r="H18" s="42">
        <v>0</v>
      </c>
      <c r="I18" s="43">
        <v>0</v>
      </c>
      <c r="J18" s="42">
        <v>0</v>
      </c>
      <c r="K18" s="43">
        <v>0</v>
      </c>
      <c r="L18" s="42">
        <v>0</v>
      </c>
      <c r="M18" s="43">
        <v>0</v>
      </c>
      <c r="N18" s="44">
        <f t="shared" si="0"/>
        <v>0</v>
      </c>
      <c r="O18" s="45">
        <f t="shared" si="0"/>
        <v>0</v>
      </c>
    </row>
    <row r="19" spans="2:15" x14ac:dyDescent="0.3">
      <c r="B19" s="40">
        <v>6</v>
      </c>
      <c r="C19" s="46" t="s">
        <v>51</v>
      </c>
      <c r="D19" s="47">
        <v>0</v>
      </c>
      <c r="E19" s="48">
        <v>0</v>
      </c>
      <c r="F19" s="42">
        <v>0</v>
      </c>
      <c r="G19" s="43">
        <v>0</v>
      </c>
      <c r="H19" s="42">
        <v>0</v>
      </c>
      <c r="I19" s="43">
        <v>0</v>
      </c>
      <c r="J19" s="42">
        <v>0</v>
      </c>
      <c r="K19" s="43">
        <v>0</v>
      </c>
      <c r="L19" s="42">
        <v>0</v>
      </c>
      <c r="M19" s="43">
        <v>0</v>
      </c>
      <c r="N19" s="44">
        <f t="shared" si="0"/>
        <v>0</v>
      </c>
      <c r="O19" s="45">
        <f t="shared" si="0"/>
        <v>0</v>
      </c>
    </row>
    <row r="20" spans="2:15" x14ac:dyDescent="0.3">
      <c r="B20" s="40">
        <v>7</v>
      </c>
      <c r="C20" s="46" t="s">
        <v>52</v>
      </c>
      <c r="D20" s="47">
        <v>0</v>
      </c>
      <c r="E20" s="48">
        <v>0</v>
      </c>
      <c r="F20" s="42">
        <v>0</v>
      </c>
      <c r="G20" s="43">
        <v>0</v>
      </c>
      <c r="H20" s="42">
        <v>0</v>
      </c>
      <c r="I20" s="43">
        <v>0</v>
      </c>
      <c r="J20" s="42">
        <v>0</v>
      </c>
      <c r="K20" s="43">
        <v>0</v>
      </c>
      <c r="L20" s="42">
        <v>0</v>
      </c>
      <c r="M20" s="43">
        <v>0</v>
      </c>
      <c r="N20" s="44">
        <f t="shared" si="0"/>
        <v>0</v>
      </c>
      <c r="O20" s="45">
        <f t="shared" si="0"/>
        <v>0</v>
      </c>
    </row>
    <row r="21" spans="2:15" x14ac:dyDescent="0.3">
      <c r="B21" s="40">
        <v>8</v>
      </c>
      <c r="C21" s="46" t="s">
        <v>53</v>
      </c>
      <c r="D21" s="47">
        <v>0</v>
      </c>
      <c r="E21" s="48">
        <v>0</v>
      </c>
      <c r="F21" s="42">
        <v>0</v>
      </c>
      <c r="G21" s="43">
        <v>0</v>
      </c>
      <c r="H21" s="42">
        <v>0</v>
      </c>
      <c r="I21" s="43">
        <v>0</v>
      </c>
      <c r="J21" s="42">
        <v>0</v>
      </c>
      <c r="K21" s="43">
        <v>0</v>
      </c>
      <c r="L21" s="42">
        <v>0</v>
      </c>
      <c r="M21" s="43">
        <v>0</v>
      </c>
      <c r="N21" s="44">
        <f t="shared" si="0"/>
        <v>0</v>
      </c>
      <c r="O21" s="45">
        <f t="shared" si="0"/>
        <v>0</v>
      </c>
    </row>
    <row r="22" spans="2:15" x14ac:dyDescent="0.3">
      <c r="B22" s="40">
        <v>9</v>
      </c>
      <c r="C22" s="46" t="s">
        <v>54</v>
      </c>
      <c r="D22" s="47">
        <v>0</v>
      </c>
      <c r="E22" s="48">
        <v>0</v>
      </c>
      <c r="F22" s="42">
        <v>0</v>
      </c>
      <c r="G22" s="43">
        <v>0</v>
      </c>
      <c r="H22" s="42">
        <v>0</v>
      </c>
      <c r="I22" s="43">
        <v>0</v>
      </c>
      <c r="J22" s="42">
        <v>0</v>
      </c>
      <c r="K22" s="43">
        <v>0</v>
      </c>
      <c r="L22" s="42">
        <v>0</v>
      </c>
      <c r="M22" s="43">
        <v>0</v>
      </c>
      <c r="N22" s="44">
        <f t="shared" si="0"/>
        <v>0</v>
      </c>
      <c r="O22" s="45">
        <f t="shared" si="0"/>
        <v>0</v>
      </c>
    </row>
    <row r="23" spans="2:15" x14ac:dyDescent="0.3">
      <c r="B23" s="49">
        <v>10</v>
      </c>
      <c r="C23" s="50" t="s">
        <v>55</v>
      </c>
      <c r="D23" s="51">
        <v>0</v>
      </c>
      <c r="E23" s="48">
        <v>0</v>
      </c>
      <c r="F23" s="42">
        <v>0</v>
      </c>
      <c r="G23" s="43">
        <v>0</v>
      </c>
      <c r="H23" s="42">
        <v>0</v>
      </c>
      <c r="I23" s="43">
        <v>0</v>
      </c>
      <c r="J23" s="42">
        <v>0</v>
      </c>
      <c r="K23" s="43">
        <v>0</v>
      </c>
      <c r="L23" s="42">
        <v>0</v>
      </c>
      <c r="M23" s="43">
        <v>0</v>
      </c>
      <c r="N23" s="44">
        <f t="shared" si="0"/>
        <v>0</v>
      </c>
      <c r="O23" s="45">
        <f t="shared" si="0"/>
        <v>0</v>
      </c>
    </row>
    <row r="24" spans="2:15" ht="13.2" customHeight="1" x14ac:dyDescent="0.3">
      <c r="B24" s="199" t="s">
        <v>56</v>
      </c>
      <c r="C24" s="200"/>
      <c r="D24" s="52">
        <f>SUM(D14:D23)</f>
        <v>0</v>
      </c>
      <c r="E24" s="53">
        <f>SUM(E14:E23)</f>
        <v>0</v>
      </c>
      <c r="F24" s="52">
        <f t="shared" ref="F24:M24" si="1">SUM(F14:F23)</f>
        <v>0</v>
      </c>
      <c r="G24" s="53">
        <f t="shared" si="1"/>
        <v>0</v>
      </c>
      <c r="H24" s="52">
        <f t="shared" ref="H24" si="2">SUM(H14:H23)</f>
        <v>0</v>
      </c>
      <c r="I24" s="53">
        <v>0</v>
      </c>
      <c r="J24" s="52">
        <f t="shared" si="1"/>
        <v>0</v>
      </c>
      <c r="K24" s="53">
        <f t="shared" si="1"/>
        <v>0</v>
      </c>
      <c r="L24" s="52">
        <f t="shared" ref="L24" si="3">SUM(L14:L23)</f>
        <v>0</v>
      </c>
      <c r="M24" s="53">
        <f t="shared" si="1"/>
        <v>0</v>
      </c>
      <c r="N24" s="52">
        <f>SUM(N14:N23)</f>
        <v>0</v>
      </c>
      <c r="O24" s="53">
        <f>SUM(O14:O23)</f>
        <v>0</v>
      </c>
    </row>
    <row r="26" spans="2:15" x14ac:dyDescent="0.3">
      <c r="B26" s="54" t="s">
        <v>57</v>
      </c>
    </row>
    <row r="28" spans="2:15" x14ac:dyDescent="0.3">
      <c r="B28" s="201" t="s">
        <v>58</v>
      </c>
      <c r="C28" s="202"/>
      <c r="D28" s="201" t="s">
        <v>59</v>
      </c>
      <c r="E28" s="202"/>
      <c r="F28" s="203" t="s">
        <v>60</v>
      </c>
      <c r="G28" s="204"/>
      <c r="H28" s="203" t="s">
        <v>61</v>
      </c>
      <c r="I28" s="204"/>
      <c r="J28" s="201" t="s">
        <v>62</v>
      </c>
      <c r="K28" s="202"/>
      <c r="L28" s="201" t="s">
        <v>63</v>
      </c>
      <c r="M28" s="202"/>
    </row>
    <row r="29" spans="2:15" x14ac:dyDescent="0.3">
      <c r="B29" s="190"/>
      <c r="C29" s="191"/>
      <c r="D29" s="192"/>
      <c r="E29" s="193"/>
      <c r="F29" s="192"/>
      <c r="G29" s="193"/>
      <c r="H29" s="192"/>
      <c r="I29" s="193"/>
      <c r="J29" s="194"/>
      <c r="K29" s="193"/>
      <c r="L29" s="192"/>
      <c r="M29" s="193"/>
    </row>
    <row r="30" spans="2:15" x14ac:dyDescent="0.3">
      <c r="B30" s="190"/>
      <c r="C30" s="191"/>
      <c r="D30" s="192"/>
      <c r="E30" s="193"/>
      <c r="F30" s="192"/>
      <c r="G30" s="193"/>
      <c r="H30" s="192"/>
      <c r="I30" s="193"/>
      <c r="J30" s="194"/>
      <c r="K30" s="193"/>
      <c r="L30" s="192"/>
      <c r="M30" s="193"/>
    </row>
    <row r="31" spans="2:15" x14ac:dyDescent="0.3">
      <c r="B31" s="190"/>
      <c r="C31" s="191"/>
      <c r="D31" s="192"/>
      <c r="E31" s="193"/>
      <c r="F31" s="192"/>
      <c r="G31" s="193"/>
      <c r="H31" s="192"/>
      <c r="I31" s="193"/>
      <c r="J31" s="192"/>
      <c r="K31" s="193"/>
      <c r="L31" s="192"/>
      <c r="M31" s="193"/>
    </row>
    <row r="32" spans="2:15" x14ac:dyDescent="0.3">
      <c r="B32" s="190"/>
      <c r="C32" s="191"/>
      <c r="D32" s="192"/>
      <c r="E32" s="193"/>
      <c r="F32" s="192"/>
      <c r="G32" s="193"/>
      <c r="H32" s="192"/>
      <c r="I32" s="193"/>
      <c r="J32" s="192"/>
      <c r="K32" s="193"/>
      <c r="L32" s="192"/>
      <c r="M32" s="193"/>
    </row>
    <row r="33" spans="1:28" x14ac:dyDescent="0.3">
      <c r="B33" s="190"/>
      <c r="C33" s="191"/>
      <c r="D33" s="192"/>
      <c r="E33" s="193"/>
      <c r="F33" s="192"/>
      <c r="G33" s="193"/>
      <c r="H33" s="192"/>
      <c r="I33" s="193"/>
      <c r="J33" s="192"/>
      <c r="K33" s="193"/>
      <c r="L33" s="192"/>
      <c r="M33" s="193"/>
    </row>
    <row r="34" spans="1:28" x14ac:dyDescent="0.3">
      <c r="B34" s="190"/>
      <c r="C34" s="191"/>
      <c r="D34" s="192"/>
      <c r="E34" s="193"/>
      <c r="F34" s="192"/>
      <c r="G34" s="193"/>
      <c r="H34" s="192"/>
      <c r="I34" s="193"/>
      <c r="J34" s="192"/>
      <c r="K34" s="193"/>
      <c r="L34" s="192"/>
      <c r="M34" s="193"/>
    </row>
    <row r="35" spans="1:28" x14ac:dyDescent="0.3">
      <c r="B35" s="190"/>
      <c r="C35" s="191"/>
      <c r="D35" s="192"/>
      <c r="E35" s="193"/>
      <c r="F35" s="192"/>
      <c r="G35" s="193"/>
      <c r="H35" s="192"/>
      <c r="I35" s="193"/>
      <c r="J35" s="192"/>
      <c r="K35" s="193"/>
      <c r="L35" s="192"/>
      <c r="M35" s="193"/>
    </row>
    <row r="36" spans="1:28" x14ac:dyDescent="0.3">
      <c r="B36" s="190"/>
      <c r="C36" s="191"/>
      <c r="D36" s="192"/>
      <c r="E36" s="193"/>
      <c r="F36" s="192"/>
      <c r="G36" s="193"/>
      <c r="H36" s="192"/>
      <c r="I36" s="193"/>
      <c r="J36" s="192"/>
      <c r="K36" s="193"/>
      <c r="L36" s="192"/>
      <c r="M36" s="193"/>
    </row>
    <row r="37" spans="1:28" x14ac:dyDescent="0.3">
      <c r="B37" s="190"/>
      <c r="C37" s="191"/>
      <c r="D37" s="192"/>
      <c r="E37" s="193"/>
      <c r="F37" s="192"/>
      <c r="G37" s="193"/>
      <c r="H37" s="192"/>
      <c r="I37" s="193"/>
      <c r="J37" s="192"/>
      <c r="K37" s="193"/>
      <c r="L37" s="192"/>
      <c r="M37" s="193"/>
    </row>
    <row r="40" spans="1:28" x14ac:dyDescent="0.3">
      <c r="B40" s="188" t="s">
        <v>64</v>
      </c>
      <c r="C40" s="188"/>
      <c r="D40" s="188"/>
      <c r="E40" s="188"/>
      <c r="F40" s="188"/>
      <c r="G40" s="188"/>
      <c r="H40" s="188"/>
      <c r="I40" s="188"/>
      <c r="J40" s="188"/>
      <c r="K40" s="188"/>
      <c r="L40" s="188"/>
      <c r="M40" s="188"/>
      <c r="N40" s="188"/>
    </row>
    <row r="41" spans="1:28" ht="62.4" customHeight="1" x14ac:dyDescent="0.3">
      <c r="B41" s="188"/>
      <c r="C41" s="188"/>
      <c r="D41" s="188"/>
      <c r="E41" s="188"/>
      <c r="F41" s="188"/>
      <c r="G41" s="188"/>
      <c r="H41" s="188"/>
      <c r="I41" s="188"/>
      <c r="J41" s="188"/>
      <c r="K41" s="188"/>
      <c r="L41" s="188"/>
      <c r="M41" s="188"/>
      <c r="N41" s="188"/>
    </row>
    <row r="43" spans="1:28" x14ac:dyDescent="0.3">
      <c r="B43" s="189" t="s">
        <v>65</v>
      </c>
      <c r="C43" s="189"/>
      <c r="D43" s="189"/>
      <c r="E43" s="189"/>
      <c r="F43" s="189"/>
      <c r="G43" s="189"/>
      <c r="H43" s="189"/>
      <c r="I43" s="189"/>
      <c r="J43" s="189"/>
      <c r="K43" s="189"/>
      <c r="L43" s="189"/>
      <c r="M43" s="189"/>
      <c r="N43" s="189"/>
    </row>
    <row r="44" spans="1:28" ht="58.2" customHeight="1" x14ac:dyDescent="0.3">
      <c r="B44" s="189"/>
      <c r="C44" s="189"/>
      <c r="D44" s="189"/>
      <c r="E44" s="189"/>
      <c r="F44" s="189"/>
      <c r="G44" s="189"/>
      <c r="H44" s="189"/>
      <c r="I44" s="189"/>
      <c r="J44" s="189"/>
      <c r="K44" s="189"/>
      <c r="L44" s="189"/>
      <c r="M44" s="189"/>
      <c r="N44" s="189"/>
    </row>
    <row r="46" spans="1:28" ht="15" thickBot="1" x14ac:dyDescent="0.35"/>
    <row r="47" spans="1:28" s="1" customFormat="1" ht="13.8" x14ac:dyDescent="0.25">
      <c r="A47" s="131"/>
      <c r="B47" s="132" t="s">
        <v>109</v>
      </c>
      <c r="C47" s="133" t="s">
        <v>110</v>
      </c>
      <c r="D47" s="132" t="s">
        <v>111</v>
      </c>
      <c r="E47" s="133" t="s">
        <v>112</v>
      </c>
      <c r="F47" s="132" t="s">
        <v>113</v>
      </c>
      <c r="G47" s="132" t="s">
        <v>114</v>
      </c>
      <c r="H47" s="132" t="s">
        <v>43</v>
      </c>
      <c r="I47" s="132" t="s">
        <v>115</v>
      </c>
      <c r="J47" s="134"/>
      <c r="K47" s="132" t="s">
        <v>116</v>
      </c>
      <c r="L47" s="132" t="s">
        <v>43</v>
      </c>
      <c r="M47" s="132" t="s">
        <v>115</v>
      </c>
      <c r="N47" s="134"/>
      <c r="O47" s="132" t="s">
        <v>117</v>
      </c>
      <c r="P47" s="132" t="s">
        <v>43</v>
      </c>
      <c r="Q47" s="132" t="s">
        <v>115</v>
      </c>
      <c r="R47" s="134"/>
      <c r="S47" s="132" t="s">
        <v>118</v>
      </c>
      <c r="T47" s="132" t="s">
        <v>43</v>
      </c>
      <c r="U47" s="132" t="s">
        <v>115</v>
      </c>
      <c r="V47" s="134"/>
      <c r="W47" s="132" t="s">
        <v>119</v>
      </c>
      <c r="X47" s="135" t="s">
        <v>43</v>
      </c>
      <c r="Y47" s="135" t="s">
        <v>7</v>
      </c>
      <c r="Z47" s="134"/>
      <c r="AA47" s="135" t="s">
        <v>120</v>
      </c>
      <c r="AB47" s="136" t="s">
        <v>121</v>
      </c>
    </row>
    <row r="48" spans="1:28" s="1" customFormat="1" ht="13.8" x14ac:dyDescent="0.25">
      <c r="A48" s="137">
        <v>1</v>
      </c>
      <c r="B48" s="4"/>
      <c r="C48" s="4"/>
      <c r="D48" s="4"/>
      <c r="E48" s="4"/>
      <c r="F48" s="4"/>
      <c r="G48" s="138">
        <v>0</v>
      </c>
      <c r="H48" s="4">
        <v>0</v>
      </c>
      <c r="I48" s="138">
        <f>G48*H48</f>
        <v>0</v>
      </c>
      <c r="J48" s="139"/>
      <c r="K48" s="138">
        <v>0</v>
      </c>
      <c r="L48" s="4">
        <v>0</v>
      </c>
      <c r="M48" s="138">
        <f t="shared" ref="M48:M52" si="4">K48*L48</f>
        <v>0</v>
      </c>
      <c r="N48" s="139"/>
      <c r="O48" s="138">
        <v>0</v>
      </c>
      <c r="P48" s="4">
        <v>0</v>
      </c>
      <c r="Q48" s="138">
        <f>O48*P48</f>
        <v>0</v>
      </c>
      <c r="R48" s="139"/>
      <c r="S48" s="138">
        <v>0</v>
      </c>
      <c r="T48" s="4">
        <v>0</v>
      </c>
      <c r="U48" s="138">
        <f>S48*T48</f>
        <v>0</v>
      </c>
      <c r="V48" s="139"/>
      <c r="W48" s="138">
        <v>0</v>
      </c>
      <c r="X48" s="4">
        <v>0</v>
      </c>
      <c r="Y48" s="138">
        <f>W48*X48</f>
        <v>0</v>
      </c>
      <c r="Z48" s="139"/>
      <c r="AA48" s="140">
        <f>H48+L48+P48+T48+X48</f>
        <v>0</v>
      </c>
      <c r="AB48" s="141">
        <f>I48+M48+Q48+U48+Y48</f>
        <v>0</v>
      </c>
    </row>
    <row r="49" spans="1:28" s="1" customFormat="1" ht="13.8" x14ac:dyDescent="0.25">
      <c r="A49" s="137">
        <v>2</v>
      </c>
      <c r="B49" s="4"/>
      <c r="C49" s="4"/>
      <c r="D49" s="4"/>
      <c r="E49" s="4"/>
      <c r="F49" s="4"/>
      <c r="G49" s="138">
        <v>0</v>
      </c>
      <c r="H49" s="4">
        <v>0</v>
      </c>
      <c r="I49" s="138">
        <f t="shared" ref="I49:I52" si="5">G49*H49</f>
        <v>0</v>
      </c>
      <c r="J49" s="139"/>
      <c r="K49" s="138">
        <v>0</v>
      </c>
      <c r="L49" s="4">
        <v>0</v>
      </c>
      <c r="M49" s="138">
        <f t="shared" si="4"/>
        <v>0</v>
      </c>
      <c r="N49" s="139"/>
      <c r="O49" s="138">
        <v>0</v>
      </c>
      <c r="P49" s="4">
        <v>0</v>
      </c>
      <c r="Q49" s="138">
        <f t="shared" ref="Q49:Q52" si="6">O49*P49</f>
        <v>0</v>
      </c>
      <c r="R49" s="139"/>
      <c r="S49" s="138">
        <v>0</v>
      </c>
      <c r="T49" s="4">
        <v>0</v>
      </c>
      <c r="U49" s="138">
        <f t="shared" ref="U49:U52" si="7">S49*T49</f>
        <v>0</v>
      </c>
      <c r="V49" s="139"/>
      <c r="W49" s="138">
        <v>0</v>
      </c>
      <c r="X49" s="4">
        <v>0</v>
      </c>
      <c r="Y49" s="142">
        <f>W49*X49</f>
        <v>0</v>
      </c>
      <c r="Z49" s="139"/>
      <c r="AA49" s="140">
        <f t="shared" ref="AA49:AB52" si="8">H49+L49+P49+T49+X49</f>
        <v>0</v>
      </c>
      <c r="AB49" s="141">
        <f t="shared" si="8"/>
        <v>0</v>
      </c>
    </row>
    <row r="50" spans="1:28" s="1" customFormat="1" ht="13.8" x14ac:dyDescent="0.25">
      <c r="A50" s="137">
        <v>3</v>
      </c>
      <c r="B50" s="4"/>
      <c r="C50" s="4"/>
      <c r="D50" s="4"/>
      <c r="E50" s="4"/>
      <c r="F50" s="4"/>
      <c r="G50" s="138">
        <v>0</v>
      </c>
      <c r="H50" s="4">
        <v>0</v>
      </c>
      <c r="I50" s="138">
        <f t="shared" si="5"/>
        <v>0</v>
      </c>
      <c r="J50" s="139"/>
      <c r="K50" s="138">
        <v>0</v>
      </c>
      <c r="L50" s="4">
        <v>0</v>
      </c>
      <c r="M50" s="138">
        <f t="shared" si="4"/>
        <v>0</v>
      </c>
      <c r="N50" s="139"/>
      <c r="O50" s="138">
        <v>0</v>
      </c>
      <c r="P50" s="4">
        <v>0</v>
      </c>
      <c r="Q50" s="138">
        <f t="shared" si="6"/>
        <v>0</v>
      </c>
      <c r="R50" s="139"/>
      <c r="S50" s="138">
        <v>0</v>
      </c>
      <c r="T50" s="4">
        <v>0</v>
      </c>
      <c r="U50" s="138">
        <f t="shared" si="7"/>
        <v>0</v>
      </c>
      <c r="V50" s="139"/>
      <c r="W50" s="138">
        <v>0</v>
      </c>
      <c r="X50" s="4">
        <v>0</v>
      </c>
      <c r="Y50" s="142">
        <f t="shared" ref="Y50:Y52" si="9">W50*X50</f>
        <v>0</v>
      </c>
      <c r="Z50" s="139"/>
      <c r="AA50" s="140">
        <f t="shared" si="8"/>
        <v>0</v>
      </c>
      <c r="AB50" s="141">
        <f t="shared" si="8"/>
        <v>0</v>
      </c>
    </row>
    <row r="51" spans="1:28" s="1" customFormat="1" ht="13.8" x14ac:dyDescent="0.25">
      <c r="A51" s="137">
        <v>4</v>
      </c>
      <c r="B51" s="4"/>
      <c r="C51" s="4"/>
      <c r="D51" s="4"/>
      <c r="E51" s="4"/>
      <c r="F51" s="4"/>
      <c r="G51" s="138">
        <v>0</v>
      </c>
      <c r="H51" s="4">
        <v>0</v>
      </c>
      <c r="I51" s="138">
        <f t="shared" si="5"/>
        <v>0</v>
      </c>
      <c r="J51" s="139"/>
      <c r="K51" s="138">
        <v>0</v>
      </c>
      <c r="L51" s="4">
        <v>0</v>
      </c>
      <c r="M51" s="138">
        <f t="shared" si="4"/>
        <v>0</v>
      </c>
      <c r="N51" s="139"/>
      <c r="O51" s="138">
        <v>0</v>
      </c>
      <c r="P51" s="4">
        <v>0</v>
      </c>
      <c r="Q51" s="138">
        <f t="shared" si="6"/>
        <v>0</v>
      </c>
      <c r="R51" s="139"/>
      <c r="S51" s="138">
        <v>0</v>
      </c>
      <c r="T51" s="4">
        <v>0</v>
      </c>
      <c r="U51" s="138">
        <f t="shared" si="7"/>
        <v>0</v>
      </c>
      <c r="V51" s="139"/>
      <c r="W51" s="138">
        <v>0</v>
      </c>
      <c r="X51" s="4">
        <v>0</v>
      </c>
      <c r="Y51" s="142">
        <f t="shared" si="9"/>
        <v>0</v>
      </c>
      <c r="Z51" s="139"/>
      <c r="AA51" s="140">
        <f t="shared" si="8"/>
        <v>0</v>
      </c>
      <c r="AB51" s="141">
        <f t="shared" si="8"/>
        <v>0</v>
      </c>
    </row>
    <row r="52" spans="1:28" s="1" customFormat="1" thickBot="1" x14ac:dyDescent="0.3">
      <c r="A52" s="143">
        <v>5</v>
      </c>
      <c r="B52" s="144"/>
      <c r="C52" s="144"/>
      <c r="D52" s="144"/>
      <c r="E52" s="144"/>
      <c r="F52" s="144"/>
      <c r="G52" s="145">
        <v>0</v>
      </c>
      <c r="H52" s="144">
        <v>0</v>
      </c>
      <c r="I52" s="138">
        <f t="shared" si="5"/>
        <v>0</v>
      </c>
      <c r="J52" s="146"/>
      <c r="K52" s="145">
        <v>0</v>
      </c>
      <c r="L52" s="144">
        <v>0</v>
      </c>
      <c r="M52" s="138">
        <f t="shared" si="4"/>
        <v>0</v>
      </c>
      <c r="N52" s="146"/>
      <c r="O52" s="145">
        <v>0</v>
      </c>
      <c r="P52" s="144">
        <v>0</v>
      </c>
      <c r="Q52" s="138">
        <f t="shared" si="6"/>
        <v>0</v>
      </c>
      <c r="R52" s="146"/>
      <c r="S52" s="145">
        <v>0</v>
      </c>
      <c r="T52" s="144">
        <v>0</v>
      </c>
      <c r="U52" s="138">
        <f t="shared" si="7"/>
        <v>0</v>
      </c>
      <c r="V52" s="146"/>
      <c r="W52" s="145">
        <v>0</v>
      </c>
      <c r="X52" s="144">
        <v>0</v>
      </c>
      <c r="Y52" s="142">
        <f t="shared" si="9"/>
        <v>0</v>
      </c>
      <c r="Z52" s="146"/>
      <c r="AA52" s="140">
        <f>H52+L52+P52+T52+X52</f>
        <v>0</v>
      </c>
      <c r="AB52" s="141">
        <f t="shared" si="8"/>
        <v>0</v>
      </c>
    </row>
    <row r="53" spans="1:28" s="1" customFormat="1" thickBot="1" x14ac:dyDescent="0.3">
      <c r="A53" s="205" t="s">
        <v>122</v>
      </c>
      <c r="B53" s="206"/>
      <c r="C53" s="206"/>
      <c r="D53" s="206"/>
      <c r="E53" s="206"/>
      <c r="F53" s="207"/>
      <c r="G53" s="147"/>
      <c r="H53" s="148">
        <f>SUM(H48:H52)</f>
        <v>0</v>
      </c>
      <c r="I53" s="149">
        <f>SUM(I48:I52)</f>
        <v>0</v>
      </c>
      <c r="J53" s="150"/>
      <c r="K53" s="151"/>
      <c r="L53" s="148">
        <f>SUM(L48:L52)</f>
        <v>0</v>
      </c>
      <c r="M53" s="149">
        <f>SUM(M48:M52)</f>
        <v>0</v>
      </c>
      <c r="N53" s="150"/>
      <c r="O53" s="151"/>
      <c r="P53" s="148">
        <f>SUM(P48:P52)</f>
        <v>0</v>
      </c>
      <c r="Q53" s="149">
        <f>SUM(Q48:Q52)</f>
        <v>0</v>
      </c>
      <c r="R53" s="150"/>
      <c r="S53" s="151"/>
      <c r="T53" s="148">
        <f>SUM(T48:T52)</f>
        <v>0</v>
      </c>
      <c r="U53" s="149">
        <f>SUM(U48:U52)</f>
        <v>0</v>
      </c>
      <c r="V53" s="150"/>
      <c r="W53" s="151"/>
      <c r="X53" s="148">
        <f>SUM(X48:X52)</f>
        <v>0</v>
      </c>
      <c r="Y53" s="149">
        <f>SUM(Y48:Y52)</f>
        <v>0</v>
      </c>
      <c r="Z53" s="150"/>
      <c r="AA53" s="152">
        <f>SUM(AA48:AA52)</f>
        <v>0</v>
      </c>
      <c r="AB53" s="153">
        <f>SUM(AB48:AB52)</f>
        <v>0</v>
      </c>
    </row>
  </sheetData>
  <mergeCells count="73">
    <mergeCell ref="A53:F53"/>
    <mergeCell ref="E1:M1"/>
    <mergeCell ref="A10:M10"/>
    <mergeCell ref="D12:E12"/>
    <mergeCell ref="F12:G12"/>
    <mergeCell ref="H12:I12"/>
    <mergeCell ref="J12:K12"/>
    <mergeCell ref="L12:M12"/>
    <mergeCell ref="L30:M30"/>
    <mergeCell ref="B29:C29"/>
    <mergeCell ref="D29:E29"/>
    <mergeCell ref="F29:G29"/>
    <mergeCell ref="H29:I29"/>
    <mergeCell ref="J29:K29"/>
    <mergeCell ref="L29:M29"/>
    <mergeCell ref="B30:C30"/>
    <mergeCell ref="N12:O12"/>
    <mergeCell ref="B13:C13"/>
    <mergeCell ref="B24:C24"/>
    <mergeCell ref="B28:C28"/>
    <mergeCell ref="D28:E28"/>
    <mergeCell ref="F28:G28"/>
    <mergeCell ref="H28:I28"/>
    <mergeCell ref="J28:K28"/>
    <mergeCell ref="L28:M28"/>
    <mergeCell ref="D30:E30"/>
    <mergeCell ref="F30:G30"/>
    <mergeCell ref="H30:I30"/>
    <mergeCell ref="J30:K30"/>
    <mergeCell ref="L32:M32"/>
    <mergeCell ref="L31:M31"/>
    <mergeCell ref="B31:C31"/>
    <mergeCell ref="D31:E31"/>
    <mergeCell ref="F31:G31"/>
    <mergeCell ref="H31:I31"/>
    <mergeCell ref="J31:K31"/>
    <mergeCell ref="B32:C32"/>
    <mergeCell ref="D32:E32"/>
    <mergeCell ref="F32:G32"/>
    <mergeCell ref="H32:I32"/>
    <mergeCell ref="J32:K32"/>
    <mergeCell ref="L34:M34"/>
    <mergeCell ref="B33:C33"/>
    <mergeCell ref="D33:E33"/>
    <mergeCell ref="F33:G33"/>
    <mergeCell ref="H33:I33"/>
    <mergeCell ref="J33:K33"/>
    <mergeCell ref="L33:M33"/>
    <mergeCell ref="B34:C34"/>
    <mergeCell ref="D34:E34"/>
    <mergeCell ref="F34:G34"/>
    <mergeCell ref="H34:I34"/>
    <mergeCell ref="J34:K34"/>
    <mergeCell ref="L36:M36"/>
    <mergeCell ref="B35:C35"/>
    <mergeCell ref="D35:E35"/>
    <mergeCell ref="F35:G35"/>
    <mergeCell ref="H35:I35"/>
    <mergeCell ref="J35:K35"/>
    <mergeCell ref="L35:M35"/>
    <mergeCell ref="B36:C36"/>
    <mergeCell ref="D36:E36"/>
    <mergeCell ref="F36:G36"/>
    <mergeCell ref="H36:I36"/>
    <mergeCell ref="J36:K36"/>
    <mergeCell ref="B40:N41"/>
    <mergeCell ref="B43:N44"/>
    <mergeCell ref="B37:C37"/>
    <mergeCell ref="D37:E37"/>
    <mergeCell ref="F37:G37"/>
    <mergeCell ref="H37:I37"/>
    <mergeCell ref="J37:K37"/>
    <mergeCell ref="L37:M37"/>
  </mergeCells>
  <dataValidations count="2">
    <dataValidation type="list" allowBlank="1" showInputMessage="1" showErrorMessage="1" sqref="H29:I37 L29:M37" xr:uid="{00000000-0002-0000-0100-000000000000}">
      <formula1>$O$16:$O$17</formula1>
    </dataValidation>
    <dataValidation type="list" allowBlank="1" showInputMessage="1" showErrorMessage="1" sqref="I13 M13" xr:uid="{00000000-0002-0000-0100-000001000000}">
      <formula1>$O$13:$O$14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9050-7EBB-4D2C-8EEC-006D1A330165}">
  <dimension ref="B1:P222"/>
  <sheetViews>
    <sheetView workbookViewId="0">
      <selection activeCell="C33" sqref="C33"/>
    </sheetView>
  </sheetViews>
  <sheetFormatPr defaultColWidth="9.109375" defaultRowHeight="14.4" x14ac:dyDescent="0.3"/>
  <cols>
    <col min="3" max="3" width="57.88671875" customWidth="1"/>
    <col min="5" max="5" width="11.44140625" customWidth="1"/>
    <col min="7" max="7" width="12.109375" customWidth="1"/>
    <col min="9" max="9" width="11" customWidth="1"/>
    <col min="11" max="11" width="12.44140625" customWidth="1"/>
    <col min="13" max="13" width="15" customWidth="1"/>
    <col min="16" max="16" width="18.33203125" style="125" customWidth="1"/>
  </cols>
  <sheetData>
    <row r="1" spans="2:16" x14ac:dyDescent="0.3">
      <c r="P1"/>
    </row>
    <row r="2" spans="2:16" x14ac:dyDescent="0.3">
      <c r="C2" t="s">
        <v>66</v>
      </c>
      <c r="P2"/>
    </row>
    <row r="3" spans="2:16" x14ac:dyDescent="0.3">
      <c r="C3" s="57" t="s">
        <v>67</v>
      </c>
      <c r="P3"/>
    </row>
    <row r="4" spans="2:16" ht="15.6" x14ac:dyDescent="0.3">
      <c r="C4" s="58" t="s">
        <v>68</v>
      </c>
      <c r="P4"/>
    </row>
    <row r="5" spans="2:16" ht="57" customHeight="1" x14ac:dyDescent="0.3">
      <c r="C5" s="213" t="s">
        <v>69</v>
      </c>
      <c r="D5" s="214"/>
      <c r="E5" s="214"/>
      <c r="F5" s="214"/>
      <c r="G5" s="214"/>
      <c r="H5" s="214"/>
      <c r="I5" s="214"/>
      <c r="J5" s="214"/>
      <c r="K5" s="214"/>
      <c r="L5" s="214"/>
      <c r="M5" s="214"/>
      <c r="P5"/>
    </row>
    <row r="6" spans="2:16" x14ac:dyDescent="0.3">
      <c r="P6"/>
    </row>
    <row r="7" spans="2:16" x14ac:dyDescent="0.3">
      <c r="B7" s="98"/>
      <c r="C7" s="98"/>
      <c r="D7" s="99"/>
      <c r="E7" s="211" t="s">
        <v>92</v>
      </c>
      <c r="F7" s="212"/>
      <c r="G7" s="212"/>
      <c r="H7" s="212"/>
      <c r="I7" s="212"/>
      <c r="J7" s="212"/>
      <c r="K7" s="212"/>
      <c r="L7" s="212"/>
      <c r="M7" s="212"/>
      <c r="N7" s="212"/>
      <c r="O7" s="212"/>
      <c r="P7" s="212"/>
    </row>
    <row r="8" spans="2:16" ht="69.75" customHeight="1" x14ac:dyDescent="0.3">
      <c r="B8" s="100" t="s">
        <v>3</v>
      </c>
      <c r="C8" s="101" t="s">
        <v>70</v>
      </c>
      <c r="D8" s="102" t="s">
        <v>71</v>
      </c>
      <c r="E8" s="103" t="s">
        <v>72</v>
      </c>
      <c r="F8" s="102" t="s">
        <v>73</v>
      </c>
      <c r="G8" s="104" t="s">
        <v>74</v>
      </c>
      <c r="H8" s="102" t="s">
        <v>75</v>
      </c>
      <c r="I8" s="105" t="s">
        <v>76</v>
      </c>
      <c r="J8" s="102" t="s">
        <v>77</v>
      </c>
      <c r="K8" s="104" t="s">
        <v>78</v>
      </c>
      <c r="L8" s="102" t="s">
        <v>79</v>
      </c>
      <c r="M8" s="105" t="s">
        <v>80</v>
      </c>
      <c r="N8" s="106" t="s">
        <v>81</v>
      </c>
      <c r="O8" s="106" t="s">
        <v>93</v>
      </c>
      <c r="P8" s="104" t="s">
        <v>82</v>
      </c>
    </row>
    <row r="9" spans="2:16" x14ac:dyDescent="0.3">
      <c r="B9" s="55"/>
      <c r="C9" s="55"/>
      <c r="D9" s="55"/>
      <c r="E9" s="107">
        <v>0</v>
      </c>
      <c r="F9" s="108">
        <v>0</v>
      </c>
      <c r="G9" s="56"/>
      <c r="H9" s="108">
        <v>0</v>
      </c>
      <c r="I9" s="56"/>
      <c r="J9" s="108">
        <v>0</v>
      </c>
      <c r="K9" s="56"/>
      <c r="L9" s="108">
        <v>0</v>
      </c>
      <c r="M9" s="56"/>
      <c r="N9" s="109">
        <v>0</v>
      </c>
      <c r="O9" s="109">
        <v>0</v>
      </c>
      <c r="P9" s="56"/>
    </row>
    <row r="10" spans="2:16" x14ac:dyDescent="0.3">
      <c r="B10" s="110"/>
      <c r="C10" s="59"/>
      <c r="D10" s="59"/>
      <c r="E10" s="60"/>
      <c r="F10" s="61"/>
      <c r="G10" s="62"/>
      <c r="H10" s="61"/>
      <c r="I10" s="63"/>
      <c r="J10" s="61"/>
      <c r="K10" s="64"/>
      <c r="L10" s="64"/>
      <c r="M10" s="64"/>
      <c r="N10" s="111"/>
      <c r="O10" s="111"/>
      <c r="P10" s="64"/>
    </row>
    <row r="11" spans="2:16" ht="15.6" x14ac:dyDescent="0.3">
      <c r="B11" s="3">
        <v>5000</v>
      </c>
      <c r="C11" s="81" t="s">
        <v>98</v>
      </c>
      <c r="D11" s="112"/>
      <c r="E11" s="68">
        <v>0</v>
      </c>
      <c r="F11" s="113">
        <f>$F$9</f>
        <v>0</v>
      </c>
      <c r="G11" s="65">
        <f>ROUND(E11*(1+F11),2)</f>
        <v>0</v>
      </c>
      <c r="H11" s="113">
        <f>$H$9</f>
        <v>0</v>
      </c>
      <c r="I11" s="65">
        <f>ROUND(G11*(1+H11),2)</f>
        <v>0</v>
      </c>
      <c r="J11" s="113">
        <f>$J$9</f>
        <v>0</v>
      </c>
      <c r="K11" s="65">
        <f t="shared" ref="K11:K34" si="0">ROUND(I11*(1+J11),2)</f>
        <v>0</v>
      </c>
      <c r="L11" s="113">
        <f>$L$9</f>
        <v>0</v>
      </c>
      <c r="M11" s="65">
        <f>E11*2.12*(1+L11)</f>
        <v>0</v>
      </c>
      <c r="N11" s="113">
        <f>$N$9</f>
        <v>0</v>
      </c>
      <c r="O11" s="114">
        <f>$O$9</f>
        <v>0</v>
      </c>
      <c r="P11" s="65">
        <f>(I11*N11)+M11</f>
        <v>0</v>
      </c>
    </row>
    <row r="12" spans="2:16" ht="15.6" x14ac:dyDescent="0.3">
      <c r="B12" s="3">
        <v>5001</v>
      </c>
      <c r="C12" s="81" t="s">
        <v>99</v>
      </c>
      <c r="D12" s="112"/>
      <c r="E12" s="68">
        <v>0</v>
      </c>
      <c r="F12" s="113">
        <f t="shared" ref="F12:F34" si="1">$F$9</f>
        <v>0</v>
      </c>
      <c r="G12" s="65">
        <f t="shared" ref="G12:G34" si="2">ROUND(E12*(1+F12),2)</f>
        <v>0</v>
      </c>
      <c r="H12" s="113">
        <f t="shared" ref="H12:H34" si="3">$H$9</f>
        <v>0</v>
      </c>
      <c r="I12" s="65">
        <f t="shared" ref="I12:I16" si="4">ROUND(G12*(1+H12),2)</f>
        <v>0</v>
      </c>
      <c r="J12" s="113">
        <f t="shared" ref="J12:J34" si="5">$J$9</f>
        <v>0</v>
      </c>
      <c r="K12" s="65">
        <f t="shared" si="0"/>
        <v>0</v>
      </c>
      <c r="L12" s="113">
        <f t="shared" ref="L12:L34" si="6">$L$9</f>
        <v>0</v>
      </c>
      <c r="M12" s="65">
        <f t="shared" ref="M12:M34" si="7">E12*2.12*(1+L12)</f>
        <v>0</v>
      </c>
      <c r="N12" s="113">
        <f t="shared" ref="N12:N34" si="8">$N$9</f>
        <v>0</v>
      </c>
      <c r="O12" s="114">
        <f t="shared" ref="O12:O34" si="9">$O$9</f>
        <v>0</v>
      </c>
      <c r="P12" s="65">
        <f t="shared" ref="P12:P34" si="10">(I12*N12)+M12</f>
        <v>0</v>
      </c>
    </row>
    <row r="13" spans="2:16" ht="15.6" x14ac:dyDescent="0.3">
      <c r="B13" s="3">
        <v>5002</v>
      </c>
      <c r="C13" s="81" t="s">
        <v>100</v>
      </c>
      <c r="D13" s="112"/>
      <c r="E13" s="68">
        <v>0</v>
      </c>
      <c r="F13" s="113">
        <f t="shared" si="1"/>
        <v>0</v>
      </c>
      <c r="G13" s="65">
        <f t="shared" si="2"/>
        <v>0</v>
      </c>
      <c r="H13" s="113">
        <f t="shared" si="3"/>
        <v>0</v>
      </c>
      <c r="I13" s="65">
        <f t="shared" si="4"/>
        <v>0</v>
      </c>
      <c r="J13" s="113">
        <f t="shared" si="5"/>
        <v>0</v>
      </c>
      <c r="K13" s="65">
        <f t="shared" si="0"/>
        <v>0</v>
      </c>
      <c r="L13" s="113">
        <f t="shared" si="6"/>
        <v>0</v>
      </c>
      <c r="M13" s="65">
        <f t="shared" si="7"/>
        <v>0</v>
      </c>
      <c r="N13" s="113">
        <f t="shared" si="8"/>
        <v>0</v>
      </c>
      <c r="O13" s="114">
        <f t="shared" si="9"/>
        <v>0</v>
      </c>
      <c r="P13" s="65">
        <f t="shared" si="10"/>
        <v>0</v>
      </c>
    </row>
    <row r="14" spans="2:16" ht="15.6" x14ac:dyDescent="0.3">
      <c r="B14" s="3">
        <v>5003</v>
      </c>
      <c r="C14" s="81" t="s">
        <v>100</v>
      </c>
      <c r="D14" s="112"/>
      <c r="E14" s="68">
        <v>0</v>
      </c>
      <c r="F14" s="113">
        <f t="shared" si="1"/>
        <v>0</v>
      </c>
      <c r="G14" s="65">
        <f t="shared" si="2"/>
        <v>0</v>
      </c>
      <c r="H14" s="113">
        <f t="shared" si="3"/>
        <v>0</v>
      </c>
      <c r="I14" s="65">
        <f t="shared" si="4"/>
        <v>0</v>
      </c>
      <c r="J14" s="113">
        <f t="shared" si="5"/>
        <v>0</v>
      </c>
      <c r="K14" s="65">
        <f t="shared" si="0"/>
        <v>0</v>
      </c>
      <c r="L14" s="113">
        <f t="shared" si="6"/>
        <v>0</v>
      </c>
      <c r="M14" s="65">
        <f t="shared" si="7"/>
        <v>0</v>
      </c>
      <c r="N14" s="113">
        <f t="shared" si="8"/>
        <v>0</v>
      </c>
      <c r="O14" s="114">
        <f t="shared" si="9"/>
        <v>0</v>
      </c>
      <c r="P14" s="65">
        <f t="shared" si="10"/>
        <v>0</v>
      </c>
    </row>
    <row r="15" spans="2:16" ht="15.6" x14ac:dyDescent="0.3">
      <c r="B15" s="3">
        <v>5004</v>
      </c>
      <c r="C15" s="81" t="s">
        <v>100</v>
      </c>
      <c r="D15" s="112"/>
      <c r="E15" s="68">
        <v>0</v>
      </c>
      <c r="F15" s="113">
        <f t="shared" si="1"/>
        <v>0</v>
      </c>
      <c r="G15" s="65">
        <f t="shared" si="2"/>
        <v>0</v>
      </c>
      <c r="H15" s="113">
        <f t="shared" si="3"/>
        <v>0</v>
      </c>
      <c r="I15" s="65">
        <f t="shared" si="4"/>
        <v>0</v>
      </c>
      <c r="J15" s="113">
        <f t="shared" si="5"/>
        <v>0</v>
      </c>
      <c r="K15" s="65">
        <f t="shared" si="0"/>
        <v>0</v>
      </c>
      <c r="L15" s="113">
        <f t="shared" si="6"/>
        <v>0</v>
      </c>
      <c r="M15" s="65">
        <f t="shared" si="7"/>
        <v>0</v>
      </c>
      <c r="N15" s="113">
        <f t="shared" si="8"/>
        <v>0</v>
      </c>
      <c r="O15" s="114">
        <f t="shared" si="9"/>
        <v>0</v>
      </c>
      <c r="P15" s="65">
        <f t="shared" si="10"/>
        <v>0</v>
      </c>
    </row>
    <row r="16" spans="2:16" ht="15.6" x14ac:dyDescent="0.3">
      <c r="B16" s="3">
        <v>5005</v>
      </c>
      <c r="C16" s="81" t="s">
        <v>100</v>
      </c>
      <c r="D16" s="112"/>
      <c r="E16" s="68">
        <v>0</v>
      </c>
      <c r="F16" s="113">
        <f t="shared" si="1"/>
        <v>0</v>
      </c>
      <c r="G16" s="65">
        <f t="shared" si="2"/>
        <v>0</v>
      </c>
      <c r="H16" s="113">
        <f t="shared" si="3"/>
        <v>0</v>
      </c>
      <c r="I16" s="65">
        <f t="shared" si="4"/>
        <v>0</v>
      </c>
      <c r="J16" s="113">
        <f t="shared" si="5"/>
        <v>0</v>
      </c>
      <c r="K16" s="65">
        <f t="shared" si="0"/>
        <v>0</v>
      </c>
      <c r="L16" s="113">
        <f t="shared" si="6"/>
        <v>0</v>
      </c>
      <c r="M16" s="65">
        <f t="shared" si="7"/>
        <v>0</v>
      </c>
      <c r="N16" s="113">
        <f t="shared" si="8"/>
        <v>0</v>
      </c>
      <c r="O16" s="114">
        <f t="shared" si="9"/>
        <v>0</v>
      </c>
      <c r="P16" s="65">
        <f t="shared" si="10"/>
        <v>0</v>
      </c>
    </row>
    <row r="17" spans="2:16" ht="15.6" x14ac:dyDescent="0.3">
      <c r="B17" s="3">
        <v>5006</v>
      </c>
      <c r="C17" s="81" t="s">
        <v>100</v>
      </c>
      <c r="D17" s="112"/>
      <c r="E17" s="68">
        <v>0</v>
      </c>
      <c r="F17" s="113">
        <f t="shared" si="1"/>
        <v>0</v>
      </c>
      <c r="G17" s="65">
        <f t="shared" si="2"/>
        <v>0</v>
      </c>
      <c r="H17" s="113">
        <f t="shared" si="3"/>
        <v>0</v>
      </c>
      <c r="I17" s="65">
        <f>ROUND(G17*(1+H17),2)</f>
        <v>0</v>
      </c>
      <c r="J17" s="113">
        <f t="shared" si="5"/>
        <v>0</v>
      </c>
      <c r="K17" s="65">
        <f t="shared" si="0"/>
        <v>0</v>
      </c>
      <c r="L17" s="113">
        <f t="shared" si="6"/>
        <v>0</v>
      </c>
      <c r="M17" s="65">
        <f t="shared" si="7"/>
        <v>0</v>
      </c>
      <c r="N17" s="113">
        <f t="shared" si="8"/>
        <v>0</v>
      </c>
      <c r="O17" s="114">
        <f t="shared" si="9"/>
        <v>0</v>
      </c>
      <c r="P17" s="65">
        <f t="shared" si="10"/>
        <v>0</v>
      </c>
    </row>
    <row r="18" spans="2:16" ht="15.6" x14ac:dyDescent="0.3">
      <c r="B18" s="3">
        <v>5007</v>
      </c>
      <c r="C18" s="81" t="s">
        <v>100</v>
      </c>
      <c r="D18" s="112"/>
      <c r="E18" s="68">
        <v>0</v>
      </c>
      <c r="F18" s="113">
        <f t="shared" si="1"/>
        <v>0</v>
      </c>
      <c r="G18" s="65">
        <f t="shared" si="2"/>
        <v>0</v>
      </c>
      <c r="H18" s="113">
        <f t="shared" si="3"/>
        <v>0</v>
      </c>
      <c r="I18" s="65">
        <f t="shared" ref="I18:I34" si="11">ROUND(G18*(1+H18),2)</f>
        <v>0</v>
      </c>
      <c r="J18" s="113">
        <f t="shared" si="5"/>
        <v>0</v>
      </c>
      <c r="K18" s="65">
        <f t="shared" si="0"/>
        <v>0</v>
      </c>
      <c r="L18" s="113">
        <f t="shared" si="6"/>
        <v>0</v>
      </c>
      <c r="M18" s="65">
        <f t="shared" si="7"/>
        <v>0</v>
      </c>
      <c r="N18" s="113">
        <f t="shared" si="8"/>
        <v>0</v>
      </c>
      <c r="O18" s="114">
        <f t="shared" si="9"/>
        <v>0</v>
      </c>
      <c r="P18" s="65">
        <f t="shared" si="10"/>
        <v>0</v>
      </c>
    </row>
    <row r="19" spans="2:16" ht="15.6" x14ac:dyDescent="0.3">
      <c r="B19" s="3">
        <v>5008</v>
      </c>
      <c r="C19" s="81" t="s">
        <v>100</v>
      </c>
      <c r="D19" s="112"/>
      <c r="E19" s="68">
        <v>0</v>
      </c>
      <c r="F19" s="113">
        <f t="shared" si="1"/>
        <v>0</v>
      </c>
      <c r="G19" s="65">
        <f t="shared" si="2"/>
        <v>0</v>
      </c>
      <c r="H19" s="113">
        <f t="shared" si="3"/>
        <v>0</v>
      </c>
      <c r="I19" s="65">
        <f t="shared" si="11"/>
        <v>0</v>
      </c>
      <c r="J19" s="113">
        <f t="shared" si="5"/>
        <v>0</v>
      </c>
      <c r="K19" s="65">
        <f t="shared" si="0"/>
        <v>0</v>
      </c>
      <c r="L19" s="113">
        <f t="shared" si="6"/>
        <v>0</v>
      </c>
      <c r="M19" s="65">
        <f t="shared" si="7"/>
        <v>0</v>
      </c>
      <c r="N19" s="113">
        <f t="shared" si="8"/>
        <v>0</v>
      </c>
      <c r="O19" s="114">
        <f t="shared" si="9"/>
        <v>0</v>
      </c>
      <c r="P19" s="65">
        <f t="shared" si="10"/>
        <v>0</v>
      </c>
    </row>
    <row r="20" spans="2:16" ht="15.6" x14ac:dyDescent="0.3">
      <c r="B20" s="3">
        <v>5009</v>
      </c>
      <c r="C20" s="81" t="s">
        <v>101</v>
      </c>
      <c r="D20" s="112"/>
      <c r="E20" s="68">
        <v>0</v>
      </c>
      <c r="F20" s="113">
        <f t="shared" si="1"/>
        <v>0</v>
      </c>
      <c r="G20" s="65">
        <f t="shared" si="2"/>
        <v>0</v>
      </c>
      <c r="H20" s="113">
        <f t="shared" si="3"/>
        <v>0</v>
      </c>
      <c r="I20" s="65">
        <f t="shared" si="11"/>
        <v>0</v>
      </c>
      <c r="J20" s="113">
        <f t="shared" si="5"/>
        <v>0</v>
      </c>
      <c r="K20" s="65">
        <f t="shared" si="0"/>
        <v>0</v>
      </c>
      <c r="L20" s="113">
        <f t="shared" si="6"/>
        <v>0</v>
      </c>
      <c r="M20" s="65">
        <f t="shared" si="7"/>
        <v>0</v>
      </c>
      <c r="N20" s="113">
        <f t="shared" si="8"/>
        <v>0</v>
      </c>
      <c r="O20" s="114">
        <f t="shared" si="9"/>
        <v>0</v>
      </c>
      <c r="P20" s="65">
        <f t="shared" si="10"/>
        <v>0</v>
      </c>
    </row>
    <row r="21" spans="2:16" ht="15.6" x14ac:dyDescent="0.3">
      <c r="B21" s="3">
        <v>5010</v>
      </c>
      <c r="C21" s="81" t="s">
        <v>132</v>
      </c>
      <c r="D21" s="112"/>
      <c r="E21" s="68">
        <v>0</v>
      </c>
      <c r="F21" s="113">
        <f t="shared" si="1"/>
        <v>0</v>
      </c>
      <c r="G21" s="65">
        <f t="shared" si="2"/>
        <v>0</v>
      </c>
      <c r="H21" s="113">
        <f t="shared" si="3"/>
        <v>0</v>
      </c>
      <c r="I21" s="65">
        <f t="shared" si="11"/>
        <v>0</v>
      </c>
      <c r="J21" s="113">
        <f t="shared" si="5"/>
        <v>0</v>
      </c>
      <c r="K21" s="65">
        <f t="shared" si="0"/>
        <v>0</v>
      </c>
      <c r="L21" s="113">
        <f t="shared" si="6"/>
        <v>0</v>
      </c>
      <c r="M21" s="65">
        <f t="shared" si="7"/>
        <v>0</v>
      </c>
      <c r="N21" s="113">
        <f t="shared" si="8"/>
        <v>0</v>
      </c>
      <c r="O21" s="114">
        <f t="shared" si="9"/>
        <v>0</v>
      </c>
      <c r="P21" s="65">
        <f t="shared" si="10"/>
        <v>0</v>
      </c>
    </row>
    <row r="22" spans="2:16" ht="15.6" x14ac:dyDescent="0.3">
      <c r="B22" s="3">
        <v>5011</v>
      </c>
      <c r="C22" s="81" t="s">
        <v>131</v>
      </c>
      <c r="D22" s="112"/>
      <c r="E22" s="68">
        <v>0</v>
      </c>
      <c r="F22" s="113">
        <f t="shared" si="1"/>
        <v>0</v>
      </c>
      <c r="G22" s="65">
        <f t="shared" si="2"/>
        <v>0</v>
      </c>
      <c r="H22" s="113">
        <f t="shared" si="3"/>
        <v>0</v>
      </c>
      <c r="I22" s="65">
        <f t="shared" si="11"/>
        <v>0</v>
      </c>
      <c r="J22" s="113">
        <f t="shared" si="5"/>
        <v>0</v>
      </c>
      <c r="K22" s="65">
        <f t="shared" si="0"/>
        <v>0</v>
      </c>
      <c r="L22" s="113">
        <f t="shared" si="6"/>
        <v>0</v>
      </c>
      <c r="M22" s="65">
        <f t="shared" si="7"/>
        <v>0</v>
      </c>
      <c r="N22" s="113">
        <f t="shared" si="8"/>
        <v>0</v>
      </c>
      <c r="O22" s="114">
        <f t="shared" si="9"/>
        <v>0</v>
      </c>
      <c r="P22" s="65">
        <f t="shared" si="10"/>
        <v>0</v>
      </c>
    </row>
    <row r="23" spans="2:16" ht="15.6" x14ac:dyDescent="0.3">
      <c r="B23" s="3">
        <v>5012</v>
      </c>
      <c r="C23" s="81" t="s">
        <v>133</v>
      </c>
      <c r="D23" s="112"/>
      <c r="E23" s="68">
        <v>0</v>
      </c>
      <c r="F23" s="113">
        <f t="shared" si="1"/>
        <v>0</v>
      </c>
      <c r="G23" s="65">
        <f t="shared" si="2"/>
        <v>0</v>
      </c>
      <c r="H23" s="113">
        <f t="shared" si="3"/>
        <v>0</v>
      </c>
      <c r="I23" s="65">
        <f t="shared" si="11"/>
        <v>0</v>
      </c>
      <c r="J23" s="113">
        <f t="shared" si="5"/>
        <v>0</v>
      </c>
      <c r="K23" s="65">
        <f t="shared" si="0"/>
        <v>0</v>
      </c>
      <c r="L23" s="113">
        <f t="shared" si="6"/>
        <v>0</v>
      </c>
      <c r="M23" s="65">
        <f t="shared" si="7"/>
        <v>0</v>
      </c>
      <c r="N23" s="113">
        <f t="shared" si="8"/>
        <v>0</v>
      </c>
      <c r="O23" s="114">
        <f t="shared" si="9"/>
        <v>0</v>
      </c>
      <c r="P23" s="65">
        <f t="shared" si="10"/>
        <v>0</v>
      </c>
    </row>
    <row r="24" spans="2:16" ht="15.6" x14ac:dyDescent="0.3">
      <c r="B24" s="3">
        <v>5013</v>
      </c>
      <c r="C24" s="81" t="s">
        <v>130</v>
      </c>
      <c r="D24" s="112"/>
      <c r="E24" s="68">
        <v>0</v>
      </c>
      <c r="F24" s="113">
        <f t="shared" si="1"/>
        <v>0</v>
      </c>
      <c r="G24" s="65">
        <f t="shared" si="2"/>
        <v>0</v>
      </c>
      <c r="H24" s="113">
        <f t="shared" si="3"/>
        <v>0</v>
      </c>
      <c r="I24" s="65">
        <f t="shared" si="11"/>
        <v>0</v>
      </c>
      <c r="J24" s="113">
        <f t="shared" si="5"/>
        <v>0</v>
      </c>
      <c r="K24" s="65">
        <f t="shared" si="0"/>
        <v>0</v>
      </c>
      <c r="L24" s="113">
        <f t="shared" si="6"/>
        <v>0</v>
      </c>
      <c r="M24" s="65">
        <f t="shared" si="7"/>
        <v>0</v>
      </c>
      <c r="N24" s="113">
        <f t="shared" si="8"/>
        <v>0</v>
      </c>
      <c r="O24" s="114">
        <f t="shared" si="9"/>
        <v>0</v>
      </c>
      <c r="P24" s="65">
        <f t="shared" si="10"/>
        <v>0</v>
      </c>
    </row>
    <row r="25" spans="2:16" ht="15.6" x14ac:dyDescent="0.3">
      <c r="B25" s="3">
        <v>5014</v>
      </c>
      <c r="C25" s="81" t="s">
        <v>106</v>
      </c>
      <c r="D25" s="112"/>
      <c r="E25" s="68">
        <v>0</v>
      </c>
      <c r="F25" s="113">
        <f t="shared" si="1"/>
        <v>0</v>
      </c>
      <c r="G25" s="65">
        <f t="shared" si="2"/>
        <v>0</v>
      </c>
      <c r="H25" s="113">
        <f t="shared" si="3"/>
        <v>0</v>
      </c>
      <c r="I25" s="65">
        <f t="shared" si="11"/>
        <v>0</v>
      </c>
      <c r="J25" s="113">
        <f t="shared" si="5"/>
        <v>0</v>
      </c>
      <c r="K25" s="65">
        <f t="shared" si="0"/>
        <v>0</v>
      </c>
      <c r="L25" s="113">
        <f t="shared" si="6"/>
        <v>0</v>
      </c>
      <c r="M25" s="65">
        <f t="shared" si="7"/>
        <v>0</v>
      </c>
      <c r="N25" s="113">
        <f t="shared" si="8"/>
        <v>0</v>
      </c>
      <c r="O25" s="114">
        <f t="shared" si="9"/>
        <v>0</v>
      </c>
      <c r="P25" s="65">
        <f t="shared" si="10"/>
        <v>0</v>
      </c>
    </row>
    <row r="26" spans="2:16" ht="15.6" x14ac:dyDescent="0.3">
      <c r="B26" s="3">
        <v>5015</v>
      </c>
      <c r="C26" s="81" t="s">
        <v>106</v>
      </c>
      <c r="D26" s="112"/>
      <c r="E26" s="68">
        <v>0</v>
      </c>
      <c r="F26" s="113">
        <f t="shared" si="1"/>
        <v>0</v>
      </c>
      <c r="G26" s="65">
        <f t="shared" si="2"/>
        <v>0</v>
      </c>
      <c r="H26" s="113">
        <f t="shared" si="3"/>
        <v>0</v>
      </c>
      <c r="I26" s="65">
        <f t="shared" si="11"/>
        <v>0</v>
      </c>
      <c r="J26" s="113">
        <f t="shared" si="5"/>
        <v>0</v>
      </c>
      <c r="K26" s="65">
        <f t="shared" si="0"/>
        <v>0</v>
      </c>
      <c r="L26" s="113">
        <f t="shared" si="6"/>
        <v>0</v>
      </c>
      <c r="M26" s="65">
        <f t="shared" si="7"/>
        <v>0</v>
      </c>
      <c r="N26" s="113">
        <f t="shared" si="8"/>
        <v>0</v>
      </c>
      <c r="O26" s="114">
        <f t="shared" si="9"/>
        <v>0</v>
      </c>
      <c r="P26" s="65">
        <f t="shared" si="10"/>
        <v>0</v>
      </c>
    </row>
    <row r="27" spans="2:16" ht="15.6" x14ac:dyDescent="0.3">
      <c r="B27" s="3">
        <v>5016</v>
      </c>
      <c r="C27" s="81" t="s">
        <v>106</v>
      </c>
      <c r="D27" s="112"/>
      <c r="E27" s="68">
        <v>0</v>
      </c>
      <c r="F27" s="113">
        <f t="shared" si="1"/>
        <v>0</v>
      </c>
      <c r="G27" s="65">
        <f t="shared" si="2"/>
        <v>0</v>
      </c>
      <c r="H27" s="113">
        <f t="shared" si="3"/>
        <v>0</v>
      </c>
      <c r="I27" s="65">
        <f t="shared" si="11"/>
        <v>0</v>
      </c>
      <c r="J27" s="113">
        <f t="shared" si="5"/>
        <v>0</v>
      </c>
      <c r="K27" s="65">
        <f t="shared" si="0"/>
        <v>0</v>
      </c>
      <c r="L27" s="113">
        <f t="shared" si="6"/>
        <v>0</v>
      </c>
      <c r="M27" s="65">
        <f t="shared" si="7"/>
        <v>0</v>
      </c>
      <c r="N27" s="113">
        <f t="shared" si="8"/>
        <v>0</v>
      </c>
      <c r="O27" s="114">
        <f t="shared" si="9"/>
        <v>0</v>
      </c>
      <c r="P27" s="65">
        <f t="shared" si="10"/>
        <v>0</v>
      </c>
    </row>
    <row r="28" spans="2:16" ht="15.6" x14ac:dyDescent="0.3">
      <c r="B28" s="3">
        <v>5017</v>
      </c>
      <c r="C28" s="81" t="s">
        <v>107</v>
      </c>
      <c r="D28" s="112"/>
      <c r="E28" s="68">
        <v>0</v>
      </c>
      <c r="F28" s="113">
        <f t="shared" si="1"/>
        <v>0</v>
      </c>
      <c r="G28" s="65">
        <f t="shared" si="2"/>
        <v>0</v>
      </c>
      <c r="H28" s="113">
        <f t="shared" si="3"/>
        <v>0</v>
      </c>
      <c r="I28" s="65">
        <f t="shared" si="11"/>
        <v>0</v>
      </c>
      <c r="J28" s="113">
        <f t="shared" si="5"/>
        <v>0</v>
      </c>
      <c r="K28" s="65">
        <f t="shared" si="0"/>
        <v>0</v>
      </c>
      <c r="L28" s="113">
        <f t="shared" si="6"/>
        <v>0</v>
      </c>
      <c r="M28" s="65">
        <f t="shared" si="7"/>
        <v>0</v>
      </c>
      <c r="N28" s="113">
        <f t="shared" si="8"/>
        <v>0</v>
      </c>
      <c r="O28" s="114">
        <f t="shared" si="9"/>
        <v>0</v>
      </c>
      <c r="P28" s="65">
        <f t="shared" si="10"/>
        <v>0</v>
      </c>
    </row>
    <row r="29" spans="2:16" ht="15.6" x14ac:dyDescent="0.3">
      <c r="B29" s="3">
        <v>5018</v>
      </c>
      <c r="C29" s="81" t="s">
        <v>108</v>
      </c>
      <c r="D29" s="112"/>
      <c r="E29" s="68">
        <v>0</v>
      </c>
      <c r="F29" s="113">
        <f t="shared" si="1"/>
        <v>0</v>
      </c>
      <c r="G29" s="65">
        <f t="shared" si="2"/>
        <v>0</v>
      </c>
      <c r="H29" s="113">
        <f t="shared" si="3"/>
        <v>0</v>
      </c>
      <c r="I29" s="65">
        <f t="shared" si="11"/>
        <v>0</v>
      </c>
      <c r="J29" s="113">
        <f t="shared" si="5"/>
        <v>0</v>
      </c>
      <c r="K29" s="65">
        <f t="shared" si="0"/>
        <v>0</v>
      </c>
      <c r="L29" s="113">
        <f t="shared" si="6"/>
        <v>0</v>
      </c>
      <c r="M29" s="65">
        <f t="shared" si="7"/>
        <v>0</v>
      </c>
      <c r="N29" s="113">
        <f t="shared" si="8"/>
        <v>0</v>
      </c>
      <c r="O29" s="114">
        <f t="shared" si="9"/>
        <v>0</v>
      </c>
      <c r="P29" s="65">
        <f t="shared" si="10"/>
        <v>0</v>
      </c>
    </row>
    <row r="30" spans="2:16" ht="15.6" x14ac:dyDescent="0.3">
      <c r="B30" s="3">
        <v>5019</v>
      </c>
      <c r="C30" s="81" t="s">
        <v>106</v>
      </c>
      <c r="D30" s="112"/>
      <c r="E30" s="68">
        <v>0</v>
      </c>
      <c r="F30" s="113">
        <f t="shared" si="1"/>
        <v>0</v>
      </c>
      <c r="G30" s="65">
        <f t="shared" si="2"/>
        <v>0</v>
      </c>
      <c r="H30" s="113">
        <f t="shared" si="3"/>
        <v>0</v>
      </c>
      <c r="I30" s="65">
        <f t="shared" si="11"/>
        <v>0</v>
      </c>
      <c r="J30" s="113">
        <f t="shared" si="5"/>
        <v>0</v>
      </c>
      <c r="K30" s="65">
        <f t="shared" si="0"/>
        <v>0</v>
      </c>
      <c r="L30" s="113">
        <f t="shared" si="6"/>
        <v>0</v>
      </c>
      <c r="M30" s="65">
        <f t="shared" si="7"/>
        <v>0</v>
      </c>
      <c r="N30" s="113">
        <f t="shared" si="8"/>
        <v>0</v>
      </c>
      <c r="O30" s="114">
        <f t="shared" si="9"/>
        <v>0</v>
      </c>
      <c r="P30" s="65">
        <f t="shared" si="10"/>
        <v>0</v>
      </c>
    </row>
    <row r="31" spans="2:16" ht="15.6" x14ac:dyDescent="0.3">
      <c r="B31" s="3">
        <v>5020</v>
      </c>
      <c r="C31" s="81" t="s">
        <v>106</v>
      </c>
      <c r="D31" s="112"/>
      <c r="E31" s="68">
        <v>0</v>
      </c>
      <c r="F31" s="113">
        <f t="shared" si="1"/>
        <v>0</v>
      </c>
      <c r="G31" s="65">
        <f t="shared" si="2"/>
        <v>0</v>
      </c>
      <c r="H31" s="113">
        <f t="shared" si="3"/>
        <v>0</v>
      </c>
      <c r="I31" s="65">
        <f t="shared" si="11"/>
        <v>0</v>
      </c>
      <c r="J31" s="113">
        <f t="shared" si="5"/>
        <v>0</v>
      </c>
      <c r="K31" s="65">
        <f t="shared" si="0"/>
        <v>0</v>
      </c>
      <c r="L31" s="113">
        <f t="shared" si="6"/>
        <v>0</v>
      </c>
      <c r="M31" s="65">
        <f t="shared" si="7"/>
        <v>0</v>
      </c>
      <c r="N31" s="113">
        <f t="shared" si="8"/>
        <v>0</v>
      </c>
      <c r="O31" s="114">
        <f t="shared" si="9"/>
        <v>0</v>
      </c>
      <c r="P31" s="65">
        <f t="shared" si="10"/>
        <v>0</v>
      </c>
    </row>
    <row r="32" spans="2:16" ht="15.6" x14ac:dyDescent="0.3">
      <c r="B32" s="3">
        <v>5021</v>
      </c>
      <c r="C32" s="81" t="s">
        <v>106</v>
      </c>
      <c r="D32" s="112"/>
      <c r="E32" s="68">
        <v>0</v>
      </c>
      <c r="F32" s="113">
        <f t="shared" si="1"/>
        <v>0</v>
      </c>
      <c r="G32" s="65">
        <f t="shared" si="2"/>
        <v>0</v>
      </c>
      <c r="H32" s="113">
        <f t="shared" si="3"/>
        <v>0</v>
      </c>
      <c r="I32" s="65">
        <f t="shared" si="11"/>
        <v>0</v>
      </c>
      <c r="J32" s="113">
        <f t="shared" si="5"/>
        <v>0</v>
      </c>
      <c r="K32" s="65">
        <f t="shared" si="0"/>
        <v>0</v>
      </c>
      <c r="L32" s="113">
        <f t="shared" si="6"/>
        <v>0</v>
      </c>
      <c r="M32" s="65">
        <f t="shared" si="7"/>
        <v>0</v>
      </c>
      <c r="N32" s="113">
        <f t="shared" si="8"/>
        <v>0</v>
      </c>
      <c r="O32" s="114">
        <f t="shared" si="9"/>
        <v>0</v>
      </c>
      <c r="P32" s="65">
        <f t="shared" si="10"/>
        <v>0</v>
      </c>
    </row>
    <row r="33" spans="2:16" ht="15.6" x14ac:dyDescent="0.3">
      <c r="B33" s="3">
        <v>5022</v>
      </c>
      <c r="C33" s="81" t="s">
        <v>106</v>
      </c>
      <c r="D33" s="112"/>
      <c r="E33" s="68">
        <v>0</v>
      </c>
      <c r="F33" s="113">
        <f t="shared" si="1"/>
        <v>0</v>
      </c>
      <c r="G33" s="65">
        <f t="shared" si="2"/>
        <v>0</v>
      </c>
      <c r="H33" s="113">
        <f t="shared" si="3"/>
        <v>0</v>
      </c>
      <c r="I33" s="65">
        <f t="shared" si="11"/>
        <v>0</v>
      </c>
      <c r="J33" s="113">
        <f t="shared" si="5"/>
        <v>0</v>
      </c>
      <c r="K33" s="65">
        <f t="shared" si="0"/>
        <v>0</v>
      </c>
      <c r="L33" s="113">
        <f t="shared" si="6"/>
        <v>0</v>
      </c>
      <c r="M33" s="65">
        <f t="shared" si="7"/>
        <v>0</v>
      </c>
      <c r="N33" s="113">
        <f t="shared" si="8"/>
        <v>0</v>
      </c>
      <c r="O33" s="114">
        <f t="shared" si="9"/>
        <v>0</v>
      </c>
      <c r="P33" s="65">
        <f t="shared" si="10"/>
        <v>0</v>
      </c>
    </row>
    <row r="34" spans="2:16" ht="15.6" x14ac:dyDescent="0.3">
      <c r="B34" s="3">
        <v>5023</v>
      </c>
      <c r="C34" s="81" t="s">
        <v>106</v>
      </c>
      <c r="D34" s="112"/>
      <c r="E34" s="68">
        <v>0</v>
      </c>
      <c r="F34" s="113">
        <f t="shared" si="1"/>
        <v>0</v>
      </c>
      <c r="G34" s="65">
        <f t="shared" si="2"/>
        <v>0</v>
      </c>
      <c r="H34" s="113">
        <f t="shared" si="3"/>
        <v>0</v>
      </c>
      <c r="I34" s="65">
        <f t="shared" si="11"/>
        <v>0</v>
      </c>
      <c r="J34" s="113">
        <f t="shared" si="5"/>
        <v>0</v>
      </c>
      <c r="K34" s="65">
        <f t="shared" si="0"/>
        <v>0</v>
      </c>
      <c r="L34" s="113">
        <f t="shared" si="6"/>
        <v>0</v>
      </c>
      <c r="M34" s="65">
        <f t="shared" si="7"/>
        <v>0</v>
      </c>
      <c r="N34" s="113">
        <f t="shared" si="8"/>
        <v>0</v>
      </c>
      <c r="O34" s="114">
        <f t="shared" si="9"/>
        <v>0</v>
      </c>
      <c r="P34" s="65">
        <f t="shared" si="10"/>
        <v>0</v>
      </c>
    </row>
    <row r="36" spans="2:16" x14ac:dyDescent="0.3">
      <c r="B36" s="115"/>
      <c r="C36" s="98"/>
      <c r="D36" s="99"/>
      <c r="E36" s="211" t="s">
        <v>94</v>
      </c>
      <c r="F36" s="212"/>
      <c r="G36" s="212"/>
      <c r="H36" s="212"/>
      <c r="I36" s="212"/>
      <c r="J36" s="212"/>
      <c r="K36" s="212"/>
      <c r="L36" s="212"/>
      <c r="M36" s="212"/>
      <c r="N36" s="212"/>
      <c r="O36" s="212"/>
      <c r="P36" s="212"/>
    </row>
    <row r="37" spans="2:16" s="122" customFormat="1" ht="69" x14ac:dyDescent="0.3">
      <c r="B37" s="116" t="s">
        <v>3</v>
      </c>
      <c r="C37" s="117" t="s">
        <v>70</v>
      </c>
      <c r="D37" s="118" t="s">
        <v>71</v>
      </c>
      <c r="E37" s="119" t="s">
        <v>72</v>
      </c>
      <c r="F37" s="118" t="s">
        <v>73</v>
      </c>
      <c r="G37" s="120" t="s">
        <v>74</v>
      </c>
      <c r="H37" s="118" t="s">
        <v>75</v>
      </c>
      <c r="I37" s="120" t="s">
        <v>76</v>
      </c>
      <c r="J37" s="118" t="s">
        <v>77</v>
      </c>
      <c r="K37" s="120" t="s">
        <v>78</v>
      </c>
      <c r="L37" s="118" t="s">
        <v>79</v>
      </c>
      <c r="M37" s="120" t="s">
        <v>80</v>
      </c>
      <c r="N37" s="121" t="s">
        <v>81</v>
      </c>
      <c r="O37" s="106" t="s">
        <v>93</v>
      </c>
      <c r="P37" s="104" t="s">
        <v>82</v>
      </c>
    </row>
    <row r="38" spans="2:16" x14ac:dyDescent="0.3">
      <c r="B38" s="123"/>
      <c r="C38" s="55"/>
      <c r="D38" s="55"/>
      <c r="E38" s="107">
        <v>0</v>
      </c>
      <c r="F38" s="108">
        <v>0</v>
      </c>
      <c r="G38" s="56"/>
      <c r="H38" s="108">
        <v>0</v>
      </c>
      <c r="I38" s="56"/>
      <c r="J38" s="108">
        <v>0</v>
      </c>
      <c r="K38" s="56"/>
      <c r="L38" s="108">
        <v>0</v>
      </c>
      <c r="M38" s="56"/>
      <c r="N38" s="109">
        <v>0</v>
      </c>
      <c r="O38" s="109">
        <v>0</v>
      </c>
      <c r="P38" s="56"/>
    </row>
    <row r="39" spans="2:16" x14ac:dyDescent="0.3">
      <c r="B39" s="110"/>
      <c r="C39" s="59"/>
      <c r="D39" s="59"/>
      <c r="E39" s="60"/>
      <c r="F39" s="61"/>
      <c r="G39" s="62"/>
      <c r="H39" s="61"/>
      <c r="I39" s="63"/>
      <c r="J39" s="61"/>
      <c r="K39" s="64"/>
      <c r="L39" s="64"/>
      <c r="M39" s="64"/>
      <c r="N39" s="111"/>
      <c r="O39" s="111"/>
      <c r="P39" s="64"/>
    </row>
    <row r="40" spans="2:16" ht="15.6" x14ac:dyDescent="0.3">
      <c r="B40" s="3">
        <v>5100</v>
      </c>
      <c r="C40" s="81" t="s">
        <v>98</v>
      </c>
      <c r="D40" s="112"/>
      <c r="E40" s="68">
        <v>0</v>
      </c>
      <c r="F40" s="113">
        <f>$F$38</f>
        <v>0</v>
      </c>
      <c r="G40" s="65">
        <f>E40*(1+F40)</f>
        <v>0</v>
      </c>
      <c r="H40" s="113">
        <f>$H$38</f>
        <v>0</v>
      </c>
      <c r="I40" s="65">
        <f>+G40*(1+H40)</f>
        <v>0</v>
      </c>
      <c r="J40" s="113">
        <f>$J$38</f>
        <v>0</v>
      </c>
      <c r="K40" s="65">
        <f>+I40*(1+J40)</f>
        <v>0</v>
      </c>
      <c r="L40" s="113">
        <f>$L$38</f>
        <v>0</v>
      </c>
      <c r="M40" s="65">
        <f>(E40*2.12*(1+L40))</f>
        <v>0</v>
      </c>
      <c r="N40" s="113">
        <f>$N$38</f>
        <v>0</v>
      </c>
      <c r="O40" s="114">
        <v>0</v>
      </c>
      <c r="P40" s="65">
        <f>(I40*N40)+M40</f>
        <v>0</v>
      </c>
    </row>
    <row r="41" spans="2:16" ht="15.6" x14ac:dyDescent="0.3">
      <c r="B41" s="3">
        <v>5101</v>
      </c>
      <c r="C41" s="81" t="s">
        <v>99</v>
      </c>
      <c r="D41" s="112"/>
      <c r="E41" s="68">
        <v>0</v>
      </c>
      <c r="F41" s="113">
        <f t="shared" ref="F41:F63" si="12">$F$38</f>
        <v>0</v>
      </c>
      <c r="G41" s="65">
        <f>E41*(1+F41)</f>
        <v>0</v>
      </c>
      <c r="H41" s="113">
        <f t="shared" ref="H41:H63" si="13">$H$38</f>
        <v>0</v>
      </c>
      <c r="I41" s="65">
        <f t="shared" ref="I41:I63" si="14">+G41*(1+H41)</f>
        <v>0</v>
      </c>
      <c r="J41" s="113">
        <f t="shared" ref="J41:J63" si="15">$J$38</f>
        <v>0</v>
      </c>
      <c r="K41" s="65">
        <f t="shared" ref="K41:K63" si="16">+I41*(1+J41)</f>
        <v>0</v>
      </c>
      <c r="L41" s="113">
        <f t="shared" ref="L41:L63" si="17">$L$38</f>
        <v>0</v>
      </c>
      <c r="M41" s="65">
        <f t="shared" ref="M41:M63" si="18">E41*2.12*(1+L41)</f>
        <v>0</v>
      </c>
      <c r="N41" s="113">
        <f t="shared" ref="N41:N63" si="19">$N$38</f>
        <v>0</v>
      </c>
      <c r="O41" s="114">
        <v>0</v>
      </c>
      <c r="P41" s="65">
        <f t="shared" ref="P41:P63" si="20">(I41*N41)+M41</f>
        <v>0</v>
      </c>
    </row>
    <row r="42" spans="2:16" ht="15.6" x14ac:dyDescent="0.3">
      <c r="B42" s="3">
        <v>5102</v>
      </c>
      <c r="C42" s="81" t="s">
        <v>100</v>
      </c>
      <c r="D42" s="112"/>
      <c r="E42" s="68">
        <v>0</v>
      </c>
      <c r="F42" s="113">
        <f t="shared" si="12"/>
        <v>0</v>
      </c>
      <c r="G42" s="65">
        <f t="shared" ref="G42:G63" si="21">E42*(1+F42)</f>
        <v>0</v>
      </c>
      <c r="H42" s="113">
        <f t="shared" si="13"/>
        <v>0</v>
      </c>
      <c r="I42" s="65">
        <f t="shared" si="14"/>
        <v>0</v>
      </c>
      <c r="J42" s="113">
        <f t="shared" si="15"/>
        <v>0</v>
      </c>
      <c r="K42" s="65">
        <f t="shared" si="16"/>
        <v>0</v>
      </c>
      <c r="L42" s="113">
        <f t="shared" si="17"/>
        <v>0</v>
      </c>
      <c r="M42" s="65">
        <f t="shared" si="18"/>
        <v>0</v>
      </c>
      <c r="N42" s="113">
        <f t="shared" si="19"/>
        <v>0</v>
      </c>
      <c r="O42" s="114">
        <v>0</v>
      </c>
      <c r="P42" s="65">
        <f t="shared" si="20"/>
        <v>0</v>
      </c>
    </row>
    <row r="43" spans="2:16" ht="15.6" x14ac:dyDescent="0.3">
      <c r="B43" s="3">
        <v>5103</v>
      </c>
      <c r="C43" s="81" t="s">
        <v>100</v>
      </c>
      <c r="D43" s="112"/>
      <c r="E43" s="68">
        <v>0</v>
      </c>
      <c r="F43" s="113">
        <f t="shared" si="12"/>
        <v>0</v>
      </c>
      <c r="G43" s="65">
        <f t="shared" si="21"/>
        <v>0</v>
      </c>
      <c r="H43" s="113">
        <f t="shared" si="13"/>
        <v>0</v>
      </c>
      <c r="I43" s="65">
        <f t="shared" si="14"/>
        <v>0</v>
      </c>
      <c r="J43" s="113">
        <f t="shared" si="15"/>
        <v>0</v>
      </c>
      <c r="K43" s="65">
        <f t="shared" si="16"/>
        <v>0</v>
      </c>
      <c r="L43" s="113">
        <f t="shared" si="17"/>
        <v>0</v>
      </c>
      <c r="M43" s="65">
        <f t="shared" si="18"/>
        <v>0</v>
      </c>
      <c r="N43" s="113">
        <f t="shared" si="19"/>
        <v>0</v>
      </c>
      <c r="O43" s="114">
        <v>0</v>
      </c>
      <c r="P43" s="65">
        <f t="shared" si="20"/>
        <v>0</v>
      </c>
    </row>
    <row r="44" spans="2:16" ht="15.6" x14ac:dyDescent="0.3">
      <c r="B44" s="3">
        <v>5104</v>
      </c>
      <c r="C44" s="81" t="s">
        <v>100</v>
      </c>
      <c r="D44" s="112"/>
      <c r="E44" s="68">
        <v>0</v>
      </c>
      <c r="F44" s="113">
        <f t="shared" si="12"/>
        <v>0</v>
      </c>
      <c r="G44" s="65">
        <f t="shared" si="21"/>
        <v>0</v>
      </c>
      <c r="H44" s="113">
        <f t="shared" si="13"/>
        <v>0</v>
      </c>
      <c r="I44" s="65">
        <f t="shared" si="14"/>
        <v>0</v>
      </c>
      <c r="J44" s="113">
        <f t="shared" si="15"/>
        <v>0</v>
      </c>
      <c r="K44" s="65">
        <f t="shared" si="16"/>
        <v>0</v>
      </c>
      <c r="L44" s="113">
        <f t="shared" si="17"/>
        <v>0</v>
      </c>
      <c r="M44" s="65">
        <f t="shared" si="18"/>
        <v>0</v>
      </c>
      <c r="N44" s="113">
        <f t="shared" si="19"/>
        <v>0</v>
      </c>
      <c r="O44" s="114">
        <v>0</v>
      </c>
      <c r="P44" s="65">
        <f t="shared" si="20"/>
        <v>0</v>
      </c>
    </row>
    <row r="45" spans="2:16" ht="15.6" x14ac:dyDescent="0.3">
      <c r="B45" s="3">
        <v>5105</v>
      </c>
      <c r="C45" s="81" t="s">
        <v>100</v>
      </c>
      <c r="D45" s="112"/>
      <c r="E45" s="68">
        <v>0</v>
      </c>
      <c r="F45" s="113">
        <f t="shared" si="12"/>
        <v>0</v>
      </c>
      <c r="G45" s="65">
        <f t="shared" si="21"/>
        <v>0</v>
      </c>
      <c r="H45" s="113">
        <f t="shared" si="13"/>
        <v>0</v>
      </c>
      <c r="I45" s="65">
        <f t="shared" si="14"/>
        <v>0</v>
      </c>
      <c r="J45" s="113">
        <f t="shared" si="15"/>
        <v>0</v>
      </c>
      <c r="K45" s="65">
        <f t="shared" si="16"/>
        <v>0</v>
      </c>
      <c r="L45" s="113">
        <f t="shared" si="17"/>
        <v>0</v>
      </c>
      <c r="M45" s="65">
        <f t="shared" si="18"/>
        <v>0</v>
      </c>
      <c r="N45" s="113">
        <f t="shared" si="19"/>
        <v>0</v>
      </c>
      <c r="O45" s="114">
        <v>0</v>
      </c>
      <c r="P45" s="65">
        <f t="shared" si="20"/>
        <v>0</v>
      </c>
    </row>
    <row r="46" spans="2:16" ht="15.6" x14ac:dyDescent="0.3">
      <c r="B46" s="3">
        <v>5106</v>
      </c>
      <c r="C46" s="81" t="s">
        <v>100</v>
      </c>
      <c r="D46" s="112"/>
      <c r="E46" s="68">
        <v>0</v>
      </c>
      <c r="F46" s="113">
        <f t="shared" si="12"/>
        <v>0</v>
      </c>
      <c r="G46" s="65">
        <f t="shared" si="21"/>
        <v>0</v>
      </c>
      <c r="H46" s="113">
        <f t="shared" si="13"/>
        <v>0</v>
      </c>
      <c r="I46" s="65">
        <f t="shared" si="14"/>
        <v>0</v>
      </c>
      <c r="J46" s="113">
        <f t="shared" si="15"/>
        <v>0</v>
      </c>
      <c r="K46" s="65">
        <f t="shared" si="16"/>
        <v>0</v>
      </c>
      <c r="L46" s="113">
        <f t="shared" si="17"/>
        <v>0</v>
      </c>
      <c r="M46" s="65">
        <f t="shared" si="18"/>
        <v>0</v>
      </c>
      <c r="N46" s="113">
        <f t="shared" si="19"/>
        <v>0</v>
      </c>
      <c r="O46" s="114">
        <v>0</v>
      </c>
      <c r="P46" s="65">
        <f t="shared" si="20"/>
        <v>0</v>
      </c>
    </row>
    <row r="47" spans="2:16" ht="15.6" x14ac:dyDescent="0.3">
      <c r="B47" s="3">
        <v>5107</v>
      </c>
      <c r="C47" s="81" t="s">
        <v>100</v>
      </c>
      <c r="D47" s="112"/>
      <c r="E47" s="68">
        <v>0</v>
      </c>
      <c r="F47" s="113">
        <f t="shared" si="12"/>
        <v>0</v>
      </c>
      <c r="G47" s="65">
        <f t="shared" si="21"/>
        <v>0</v>
      </c>
      <c r="H47" s="113">
        <f t="shared" si="13"/>
        <v>0</v>
      </c>
      <c r="I47" s="65">
        <f t="shared" si="14"/>
        <v>0</v>
      </c>
      <c r="J47" s="113">
        <f t="shared" si="15"/>
        <v>0</v>
      </c>
      <c r="K47" s="65">
        <f t="shared" si="16"/>
        <v>0</v>
      </c>
      <c r="L47" s="113">
        <f t="shared" si="17"/>
        <v>0</v>
      </c>
      <c r="M47" s="65">
        <f t="shared" si="18"/>
        <v>0</v>
      </c>
      <c r="N47" s="113">
        <f t="shared" si="19"/>
        <v>0</v>
      </c>
      <c r="O47" s="114">
        <v>0</v>
      </c>
      <c r="P47" s="65">
        <f t="shared" si="20"/>
        <v>0</v>
      </c>
    </row>
    <row r="48" spans="2:16" ht="15.6" x14ac:dyDescent="0.3">
      <c r="B48" s="3">
        <v>5108</v>
      </c>
      <c r="C48" s="81" t="s">
        <v>100</v>
      </c>
      <c r="D48" s="112"/>
      <c r="E48" s="68">
        <v>0</v>
      </c>
      <c r="F48" s="113">
        <f t="shared" si="12"/>
        <v>0</v>
      </c>
      <c r="G48" s="65">
        <f t="shared" si="21"/>
        <v>0</v>
      </c>
      <c r="H48" s="113">
        <f t="shared" si="13"/>
        <v>0</v>
      </c>
      <c r="I48" s="65">
        <f t="shared" si="14"/>
        <v>0</v>
      </c>
      <c r="J48" s="113">
        <f t="shared" si="15"/>
        <v>0</v>
      </c>
      <c r="K48" s="65">
        <f t="shared" si="16"/>
        <v>0</v>
      </c>
      <c r="L48" s="113">
        <f t="shared" si="17"/>
        <v>0</v>
      </c>
      <c r="M48" s="65">
        <f t="shared" si="18"/>
        <v>0</v>
      </c>
      <c r="N48" s="113">
        <f t="shared" si="19"/>
        <v>0</v>
      </c>
      <c r="O48" s="114">
        <v>0</v>
      </c>
      <c r="P48" s="65">
        <f t="shared" si="20"/>
        <v>0</v>
      </c>
    </row>
    <row r="49" spans="2:16" ht="15.6" x14ac:dyDescent="0.3">
      <c r="B49" s="3">
        <v>5109</v>
      </c>
      <c r="C49" s="81" t="s">
        <v>101</v>
      </c>
      <c r="D49" s="112"/>
      <c r="E49" s="68">
        <v>0</v>
      </c>
      <c r="F49" s="113">
        <f t="shared" si="12"/>
        <v>0</v>
      </c>
      <c r="G49" s="65">
        <f t="shared" si="21"/>
        <v>0</v>
      </c>
      <c r="H49" s="113">
        <f t="shared" si="13"/>
        <v>0</v>
      </c>
      <c r="I49" s="65">
        <f t="shared" si="14"/>
        <v>0</v>
      </c>
      <c r="J49" s="113">
        <f t="shared" si="15"/>
        <v>0</v>
      </c>
      <c r="K49" s="65">
        <f t="shared" si="16"/>
        <v>0</v>
      </c>
      <c r="L49" s="113">
        <f t="shared" si="17"/>
        <v>0</v>
      </c>
      <c r="M49" s="65">
        <f t="shared" si="18"/>
        <v>0</v>
      </c>
      <c r="N49" s="113">
        <f t="shared" si="19"/>
        <v>0</v>
      </c>
      <c r="O49" s="114">
        <v>0</v>
      </c>
      <c r="P49" s="65">
        <f t="shared" si="20"/>
        <v>0</v>
      </c>
    </row>
    <row r="50" spans="2:16" ht="15.6" x14ac:dyDescent="0.3">
      <c r="B50" s="3">
        <v>5110</v>
      </c>
      <c r="C50" s="81" t="s">
        <v>132</v>
      </c>
      <c r="D50" s="112"/>
      <c r="E50" s="68">
        <v>0</v>
      </c>
      <c r="F50" s="113">
        <f t="shared" si="12"/>
        <v>0</v>
      </c>
      <c r="G50" s="65">
        <f t="shared" si="21"/>
        <v>0</v>
      </c>
      <c r="H50" s="113">
        <f t="shared" si="13"/>
        <v>0</v>
      </c>
      <c r="I50" s="65">
        <f t="shared" si="14"/>
        <v>0</v>
      </c>
      <c r="J50" s="113">
        <f t="shared" si="15"/>
        <v>0</v>
      </c>
      <c r="K50" s="65">
        <f t="shared" si="16"/>
        <v>0</v>
      </c>
      <c r="L50" s="113">
        <f t="shared" si="17"/>
        <v>0</v>
      </c>
      <c r="M50" s="65">
        <f t="shared" si="18"/>
        <v>0</v>
      </c>
      <c r="N50" s="113">
        <f t="shared" si="19"/>
        <v>0</v>
      </c>
      <c r="O50" s="114">
        <v>0</v>
      </c>
      <c r="P50" s="65">
        <f t="shared" si="20"/>
        <v>0</v>
      </c>
    </row>
    <row r="51" spans="2:16" ht="15.6" x14ac:dyDescent="0.3">
      <c r="B51" s="3">
        <v>5111</v>
      </c>
      <c r="C51" s="81" t="s">
        <v>131</v>
      </c>
      <c r="D51" s="112"/>
      <c r="E51" s="68">
        <v>0</v>
      </c>
      <c r="F51" s="113">
        <f t="shared" si="12"/>
        <v>0</v>
      </c>
      <c r="G51" s="65">
        <f t="shared" si="21"/>
        <v>0</v>
      </c>
      <c r="H51" s="113">
        <f t="shared" si="13"/>
        <v>0</v>
      </c>
      <c r="I51" s="65">
        <f t="shared" si="14"/>
        <v>0</v>
      </c>
      <c r="J51" s="113">
        <f t="shared" si="15"/>
        <v>0</v>
      </c>
      <c r="K51" s="65">
        <f t="shared" si="16"/>
        <v>0</v>
      </c>
      <c r="L51" s="113">
        <f t="shared" si="17"/>
        <v>0</v>
      </c>
      <c r="M51" s="65">
        <f t="shared" si="18"/>
        <v>0</v>
      </c>
      <c r="N51" s="113">
        <f t="shared" si="19"/>
        <v>0</v>
      </c>
      <c r="O51" s="114">
        <v>0</v>
      </c>
      <c r="P51" s="65">
        <f t="shared" si="20"/>
        <v>0</v>
      </c>
    </row>
    <row r="52" spans="2:16" ht="15.6" x14ac:dyDescent="0.3">
      <c r="B52" s="3">
        <v>5112</v>
      </c>
      <c r="C52" s="81" t="s">
        <v>129</v>
      </c>
      <c r="D52" s="112"/>
      <c r="E52" s="68">
        <v>0</v>
      </c>
      <c r="F52" s="113">
        <f t="shared" si="12"/>
        <v>0</v>
      </c>
      <c r="G52" s="65">
        <f t="shared" si="21"/>
        <v>0</v>
      </c>
      <c r="H52" s="113">
        <f t="shared" si="13"/>
        <v>0</v>
      </c>
      <c r="I52" s="65">
        <f t="shared" si="14"/>
        <v>0</v>
      </c>
      <c r="J52" s="113">
        <f t="shared" si="15"/>
        <v>0</v>
      </c>
      <c r="K52" s="65">
        <f t="shared" si="16"/>
        <v>0</v>
      </c>
      <c r="L52" s="113">
        <f t="shared" si="17"/>
        <v>0</v>
      </c>
      <c r="M52" s="65">
        <f t="shared" si="18"/>
        <v>0</v>
      </c>
      <c r="N52" s="113">
        <f t="shared" si="19"/>
        <v>0</v>
      </c>
      <c r="O52" s="114">
        <v>0</v>
      </c>
      <c r="P52" s="65">
        <f t="shared" si="20"/>
        <v>0</v>
      </c>
    </row>
    <row r="53" spans="2:16" ht="15.6" x14ac:dyDescent="0.3">
      <c r="B53" s="3">
        <v>5113</v>
      </c>
      <c r="C53" s="81" t="s">
        <v>130</v>
      </c>
      <c r="D53" s="112"/>
      <c r="E53" s="68">
        <v>0</v>
      </c>
      <c r="F53" s="113">
        <f t="shared" si="12"/>
        <v>0</v>
      </c>
      <c r="G53" s="65">
        <f t="shared" si="21"/>
        <v>0</v>
      </c>
      <c r="H53" s="113">
        <f t="shared" si="13"/>
        <v>0</v>
      </c>
      <c r="I53" s="65">
        <f t="shared" si="14"/>
        <v>0</v>
      </c>
      <c r="J53" s="113">
        <f t="shared" si="15"/>
        <v>0</v>
      </c>
      <c r="K53" s="65">
        <f t="shared" si="16"/>
        <v>0</v>
      </c>
      <c r="L53" s="113">
        <f t="shared" si="17"/>
        <v>0</v>
      </c>
      <c r="M53" s="65">
        <f t="shared" si="18"/>
        <v>0</v>
      </c>
      <c r="N53" s="113">
        <f t="shared" si="19"/>
        <v>0</v>
      </c>
      <c r="O53" s="114">
        <v>0</v>
      </c>
      <c r="P53" s="65">
        <f t="shared" si="20"/>
        <v>0</v>
      </c>
    </row>
    <row r="54" spans="2:16" ht="15.6" x14ac:dyDescent="0.3">
      <c r="B54" s="3">
        <v>5114</v>
      </c>
      <c r="C54" s="81" t="s">
        <v>106</v>
      </c>
      <c r="D54" s="112"/>
      <c r="E54" s="68">
        <v>0</v>
      </c>
      <c r="F54" s="113">
        <f t="shared" si="12"/>
        <v>0</v>
      </c>
      <c r="G54" s="65">
        <f t="shared" si="21"/>
        <v>0</v>
      </c>
      <c r="H54" s="113">
        <f t="shared" si="13"/>
        <v>0</v>
      </c>
      <c r="I54" s="65">
        <f t="shared" si="14"/>
        <v>0</v>
      </c>
      <c r="J54" s="113">
        <f t="shared" si="15"/>
        <v>0</v>
      </c>
      <c r="K54" s="65">
        <f t="shared" si="16"/>
        <v>0</v>
      </c>
      <c r="L54" s="113">
        <f t="shared" si="17"/>
        <v>0</v>
      </c>
      <c r="M54" s="65">
        <f t="shared" si="18"/>
        <v>0</v>
      </c>
      <c r="N54" s="113">
        <f t="shared" si="19"/>
        <v>0</v>
      </c>
      <c r="O54" s="114">
        <v>0</v>
      </c>
      <c r="P54" s="65">
        <f t="shared" si="20"/>
        <v>0</v>
      </c>
    </row>
    <row r="55" spans="2:16" ht="15.6" x14ac:dyDescent="0.3">
      <c r="B55" s="3">
        <v>5115</v>
      </c>
      <c r="C55" s="81" t="s">
        <v>106</v>
      </c>
      <c r="D55" s="112"/>
      <c r="E55" s="68">
        <v>0</v>
      </c>
      <c r="F55" s="113">
        <f t="shared" si="12"/>
        <v>0</v>
      </c>
      <c r="G55" s="65">
        <f t="shared" si="21"/>
        <v>0</v>
      </c>
      <c r="H55" s="113">
        <f t="shared" si="13"/>
        <v>0</v>
      </c>
      <c r="I55" s="65">
        <f t="shared" si="14"/>
        <v>0</v>
      </c>
      <c r="J55" s="113">
        <f t="shared" si="15"/>
        <v>0</v>
      </c>
      <c r="K55" s="65">
        <f t="shared" si="16"/>
        <v>0</v>
      </c>
      <c r="L55" s="113">
        <f t="shared" si="17"/>
        <v>0</v>
      </c>
      <c r="M55" s="65">
        <f t="shared" si="18"/>
        <v>0</v>
      </c>
      <c r="N55" s="113">
        <f t="shared" si="19"/>
        <v>0</v>
      </c>
      <c r="O55" s="114">
        <v>0</v>
      </c>
      <c r="P55" s="65">
        <f t="shared" si="20"/>
        <v>0</v>
      </c>
    </row>
    <row r="56" spans="2:16" ht="15.6" x14ac:dyDescent="0.3">
      <c r="B56" s="3">
        <v>5116</v>
      </c>
      <c r="C56" s="81" t="s">
        <v>106</v>
      </c>
      <c r="D56" s="112"/>
      <c r="E56" s="68">
        <v>0</v>
      </c>
      <c r="F56" s="113">
        <f t="shared" si="12"/>
        <v>0</v>
      </c>
      <c r="G56" s="65">
        <f t="shared" si="21"/>
        <v>0</v>
      </c>
      <c r="H56" s="113">
        <f t="shared" si="13"/>
        <v>0</v>
      </c>
      <c r="I56" s="65">
        <f t="shared" si="14"/>
        <v>0</v>
      </c>
      <c r="J56" s="113">
        <f t="shared" si="15"/>
        <v>0</v>
      </c>
      <c r="K56" s="65">
        <f t="shared" si="16"/>
        <v>0</v>
      </c>
      <c r="L56" s="113">
        <f t="shared" si="17"/>
        <v>0</v>
      </c>
      <c r="M56" s="65">
        <f t="shared" si="18"/>
        <v>0</v>
      </c>
      <c r="N56" s="113">
        <f t="shared" si="19"/>
        <v>0</v>
      </c>
      <c r="O56" s="114">
        <v>0</v>
      </c>
      <c r="P56" s="65">
        <f t="shared" si="20"/>
        <v>0</v>
      </c>
    </row>
    <row r="57" spans="2:16" ht="15.6" x14ac:dyDescent="0.3">
      <c r="B57" s="3">
        <v>5117</v>
      </c>
      <c r="C57" s="81" t="s">
        <v>106</v>
      </c>
      <c r="D57" s="112"/>
      <c r="E57" s="68">
        <v>0</v>
      </c>
      <c r="F57" s="113">
        <f t="shared" si="12"/>
        <v>0</v>
      </c>
      <c r="G57" s="65">
        <f t="shared" si="21"/>
        <v>0</v>
      </c>
      <c r="H57" s="113">
        <f t="shared" si="13"/>
        <v>0</v>
      </c>
      <c r="I57" s="65">
        <f t="shared" si="14"/>
        <v>0</v>
      </c>
      <c r="J57" s="113">
        <f t="shared" si="15"/>
        <v>0</v>
      </c>
      <c r="K57" s="65">
        <f t="shared" si="16"/>
        <v>0</v>
      </c>
      <c r="L57" s="113">
        <f t="shared" si="17"/>
        <v>0</v>
      </c>
      <c r="M57" s="65">
        <f t="shared" si="18"/>
        <v>0</v>
      </c>
      <c r="N57" s="113">
        <f t="shared" si="19"/>
        <v>0</v>
      </c>
      <c r="O57" s="114">
        <v>0</v>
      </c>
      <c r="P57" s="65">
        <f t="shared" si="20"/>
        <v>0</v>
      </c>
    </row>
    <row r="58" spans="2:16" ht="15.6" x14ac:dyDescent="0.3">
      <c r="B58" s="3">
        <v>5118</v>
      </c>
      <c r="C58" s="81" t="s">
        <v>108</v>
      </c>
      <c r="D58" s="112"/>
      <c r="E58" s="68">
        <v>0</v>
      </c>
      <c r="F58" s="113">
        <f t="shared" si="12"/>
        <v>0</v>
      </c>
      <c r="G58" s="65">
        <f t="shared" si="21"/>
        <v>0</v>
      </c>
      <c r="H58" s="113">
        <f t="shared" si="13"/>
        <v>0</v>
      </c>
      <c r="I58" s="65">
        <f t="shared" si="14"/>
        <v>0</v>
      </c>
      <c r="J58" s="113">
        <f t="shared" si="15"/>
        <v>0</v>
      </c>
      <c r="K58" s="65">
        <f t="shared" si="16"/>
        <v>0</v>
      </c>
      <c r="L58" s="113">
        <f t="shared" si="17"/>
        <v>0</v>
      </c>
      <c r="M58" s="65">
        <f t="shared" si="18"/>
        <v>0</v>
      </c>
      <c r="N58" s="113">
        <f t="shared" si="19"/>
        <v>0</v>
      </c>
      <c r="O58" s="114">
        <v>0</v>
      </c>
      <c r="P58" s="65">
        <f t="shared" si="20"/>
        <v>0</v>
      </c>
    </row>
    <row r="59" spans="2:16" ht="15.6" x14ac:dyDescent="0.3">
      <c r="B59" s="3">
        <v>5119</v>
      </c>
      <c r="C59" s="81" t="s">
        <v>106</v>
      </c>
      <c r="D59" s="112"/>
      <c r="E59" s="68">
        <v>0</v>
      </c>
      <c r="F59" s="113">
        <f t="shared" si="12"/>
        <v>0</v>
      </c>
      <c r="G59" s="65">
        <f t="shared" si="21"/>
        <v>0</v>
      </c>
      <c r="H59" s="113">
        <f t="shared" si="13"/>
        <v>0</v>
      </c>
      <c r="I59" s="65">
        <f t="shared" si="14"/>
        <v>0</v>
      </c>
      <c r="J59" s="113">
        <f t="shared" si="15"/>
        <v>0</v>
      </c>
      <c r="K59" s="65">
        <f t="shared" si="16"/>
        <v>0</v>
      </c>
      <c r="L59" s="113">
        <f t="shared" si="17"/>
        <v>0</v>
      </c>
      <c r="M59" s="65">
        <f t="shared" si="18"/>
        <v>0</v>
      </c>
      <c r="N59" s="113">
        <f t="shared" si="19"/>
        <v>0</v>
      </c>
      <c r="O59" s="114">
        <v>0</v>
      </c>
      <c r="P59" s="65">
        <f t="shared" si="20"/>
        <v>0</v>
      </c>
    </row>
    <row r="60" spans="2:16" ht="15.6" x14ac:dyDescent="0.3">
      <c r="B60" s="3">
        <v>5120</v>
      </c>
      <c r="C60" s="81" t="s">
        <v>106</v>
      </c>
      <c r="D60" s="112"/>
      <c r="E60" s="68">
        <v>0</v>
      </c>
      <c r="F60" s="113">
        <f t="shared" si="12"/>
        <v>0</v>
      </c>
      <c r="G60" s="65">
        <f t="shared" si="21"/>
        <v>0</v>
      </c>
      <c r="H60" s="113">
        <f t="shared" si="13"/>
        <v>0</v>
      </c>
      <c r="I60" s="65">
        <f t="shared" si="14"/>
        <v>0</v>
      </c>
      <c r="J60" s="113">
        <f t="shared" si="15"/>
        <v>0</v>
      </c>
      <c r="K60" s="65">
        <f t="shared" si="16"/>
        <v>0</v>
      </c>
      <c r="L60" s="113">
        <f t="shared" si="17"/>
        <v>0</v>
      </c>
      <c r="M60" s="65">
        <f t="shared" si="18"/>
        <v>0</v>
      </c>
      <c r="N60" s="113">
        <f t="shared" si="19"/>
        <v>0</v>
      </c>
      <c r="O60" s="114">
        <v>0</v>
      </c>
      <c r="P60" s="65">
        <f t="shared" si="20"/>
        <v>0</v>
      </c>
    </row>
    <row r="61" spans="2:16" ht="15.6" x14ac:dyDescent="0.3">
      <c r="B61" s="3">
        <v>5121</v>
      </c>
      <c r="C61" s="81" t="s">
        <v>106</v>
      </c>
      <c r="D61" s="112"/>
      <c r="E61" s="68">
        <v>0</v>
      </c>
      <c r="F61" s="113">
        <f t="shared" si="12"/>
        <v>0</v>
      </c>
      <c r="G61" s="65">
        <f t="shared" si="21"/>
        <v>0</v>
      </c>
      <c r="H61" s="113">
        <f t="shared" si="13"/>
        <v>0</v>
      </c>
      <c r="I61" s="65">
        <f t="shared" si="14"/>
        <v>0</v>
      </c>
      <c r="J61" s="113">
        <f t="shared" si="15"/>
        <v>0</v>
      </c>
      <c r="K61" s="65">
        <f t="shared" si="16"/>
        <v>0</v>
      </c>
      <c r="L61" s="113">
        <f t="shared" si="17"/>
        <v>0</v>
      </c>
      <c r="M61" s="65">
        <f t="shared" si="18"/>
        <v>0</v>
      </c>
      <c r="N61" s="113">
        <f t="shared" si="19"/>
        <v>0</v>
      </c>
      <c r="O61" s="114">
        <v>0</v>
      </c>
      <c r="P61" s="65">
        <f t="shared" si="20"/>
        <v>0</v>
      </c>
    </row>
    <row r="62" spans="2:16" ht="15.6" x14ac:dyDescent="0.3">
      <c r="B62" s="3">
        <v>5122</v>
      </c>
      <c r="C62" s="81" t="s">
        <v>106</v>
      </c>
      <c r="D62" s="112"/>
      <c r="E62" s="68">
        <v>0</v>
      </c>
      <c r="F62" s="113">
        <f t="shared" si="12"/>
        <v>0</v>
      </c>
      <c r="G62" s="65">
        <f t="shared" si="21"/>
        <v>0</v>
      </c>
      <c r="H62" s="113">
        <f t="shared" si="13"/>
        <v>0</v>
      </c>
      <c r="I62" s="65">
        <f t="shared" si="14"/>
        <v>0</v>
      </c>
      <c r="J62" s="113">
        <f t="shared" si="15"/>
        <v>0</v>
      </c>
      <c r="K62" s="65">
        <f t="shared" si="16"/>
        <v>0</v>
      </c>
      <c r="L62" s="113">
        <f t="shared" si="17"/>
        <v>0</v>
      </c>
      <c r="M62" s="65">
        <f t="shared" si="18"/>
        <v>0</v>
      </c>
      <c r="N62" s="113">
        <f t="shared" si="19"/>
        <v>0</v>
      </c>
      <c r="O62" s="114">
        <v>0</v>
      </c>
      <c r="P62" s="65">
        <f t="shared" si="20"/>
        <v>0</v>
      </c>
    </row>
    <row r="63" spans="2:16" ht="15.6" x14ac:dyDescent="0.3">
      <c r="B63" s="3">
        <v>5123</v>
      </c>
      <c r="C63" s="81" t="s">
        <v>106</v>
      </c>
      <c r="D63" s="112"/>
      <c r="E63" s="68">
        <v>0</v>
      </c>
      <c r="F63" s="113">
        <f t="shared" si="12"/>
        <v>0</v>
      </c>
      <c r="G63" s="65">
        <f t="shared" si="21"/>
        <v>0</v>
      </c>
      <c r="H63" s="113">
        <f t="shared" si="13"/>
        <v>0</v>
      </c>
      <c r="I63" s="65">
        <f t="shared" si="14"/>
        <v>0</v>
      </c>
      <c r="J63" s="113">
        <f t="shared" si="15"/>
        <v>0</v>
      </c>
      <c r="K63" s="65">
        <f t="shared" si="16"/>
        <v>0</v>
      </c>
      <c r="L63" s="113">
        <f t="shared" si="17"/>
        <v>0</v>
      </c>
      <c r="M63" s="65">
        <f t="shared" si="18"/>
        <v>0</v>
      </c>
      <c r="N63" s="113">
        <f t="shared" si="19"/>
        <v>0</v>
      </c>
      <c r="O63" s="114">
        <v>0</v>
      </c>
      <c r="P63" s="65">
        <f t="shared" si="20"/>
        <v>0</v>
      </c>
    </row>
    <row r="65" spans="2:16" x14ac:dyDescent="0.3">
      <c r="B65" s="115"/>
      <c r="C65" s="98"/>
      <c r="D65" s="99"/>
      <c r="E65" s="211" t="s">
        <v>95</v>
      </c>
      <c r="F65" s="212"/>
      <c r="G65" s="212"/>
      <c r="H65" s="212"/>
      <c r="I65" s="212"/>
      <c r="J65" s="212"/>
      <c r="K65" s="212"/>
      <c r="L65" s="212"/>
      <c r="M65" s="212"/>
      <c r="N65" s="212"/>
      <c r="O65" s="212"/>
      <c r="P65" s="212"/>
    </row>
    <row r="66" spans="2:16" s="122" customFormat="1" ht="69" x14ac:dyDescent="0.3">
      <c r="B66" s="116" t="s">
        <v>3</v>
      </c>
      <c r="C66" s="101" t="s">
        <v>70</v>
      </c>
      <c r="D66" s="102" t="s">
        <v>71</v>
      </c>
      <c r="E66" s="103" t="s">
        <v>72</v>
      </c>
      <c r="F66" s="102" t="s">
        <v>73</v>
      </c>
      <c r="G66" s="104" t="s">
        <v>74</v>
      </c>
      <c r="H66" s="102" t="s">
        <v>75</v>
      </c>
      <c r="I66" s="104" t="s">
        <v>76</v>
      </c>
      <c r="J66" s="102" t="s">
        <v>77</v>
      </c>
      <c r="K66" s="104" t="s">
        <v>78</v>
      </c>
      <c r="L66" s="102" t="s">
        <v>79</v>
      </c>
      <c r="M66" s="104" t="s">
        <v>80</v>
      </c>
      <c r="N66" s="106" t="s">
        <v>81</v>
      </c>
      <c r="O66" s="106" t="s">
        <v>93</v>
      </c>
      <c r="P66" s="104" t="s">
        <v>82</v>
      </c>
    </row>
    <row r="67" spans="2:16" x14ac:dyDescent="0.3">
      <c r="B67" s="123"/>
      <c r="C67" s="55"/>
      <c r="D67" s="55"/>
      <c r="E67" s="107">
        <v>0</v>
      </c>
      <c r="F67" s="108">
        <v>0</v>
      </c>
      <c r="G67" s="56"/>
      <c r="H67" s="108">
        <v>0</v>
      </c>
      <c r="I67" s="56"/>
      <c r="J67" s="108">
        <v>0</v>
      </c>
      <c r="K67" s="56"/>
      <c r="L67" s="108">
        <v>0</v>
      </c>
      <c r="M67" s="56"/>
      <c r="N67" s="109">
        <v>0</v>
      </c>
      <c r="O67" s="109">
        <v>0</v>
      </c>
      <c r="P67" s="56"/>
    </row>
    <row r="68" spans="2:16" x14ac:dyDescent="0.3">
      <c r="B68" s="110"/>
      <c r="C68" s="124"/>
      <c r="D68" s="59"/>
      <c r="E68" s="60"/>
      <c r="F68" s="61"/>
      <c r="G68" s="62"/>
      <c r="H68" s="61"/>
      <c r="I68" s="63"/>
      <c r="J68" s="61"/>
      <c r="K68" s="64"/>
      <c r="L68" s="64"/>
      <c r="M68" s="64"/>
      <c r="N68" s="111"/>
      <c r="O68" s="111"/>
      <c r="P68" s="64"/>
    </row>
    <row r="69" spans="2:16" ht="15.6" x14ac:dyDescent="0.3">
      <c r="B69" s="3">
        <v>5200</v>
      </c>
      <c r="C69" s="81" t="s">
        <v>98</v>
      </c>
      <c r="D69" s="112"/>
      <c r="E69" s="68">
        <v>0</v>
      </c>
      <c r="F69" s="113">
        <f t="shared" ref="F69:F92" si="22">$F$67</f>
        <v>0</v>
      </c>
      <c r="G69" s="65">
        <f>E69*(1+F69)</f>
        <v>0</v>
      </c>
      <c r="H69" s="113">
        <f t="shared" ref="H69:H92" si="23">$H$67</f>
        <v>0</v>
      </c>
      <c r="I69" s="65">
        <f>+G69*(1+H69)</f>
        <v>0</v>
      </c>
      <c r="J69" s="113">
        <f t="shared" ref="J69:J92" si="24">$J$67</f>
        <v>0</v>
      </c>
      <c r="K69" s="65">
        <f>+I69*(1+J69)</f>
        <v>0</v>
      </c>
      <c r="L69" s="113">
        <f t="shared" ref="L69:L92" si="25">$L$67</f>
        <v>0</v>
      </c>
      <c r="M69" s="65">
        <f t="shared" ref="M69:M92" si="26">E69*2.12*(1+L69)</f>
        <v>0</v>
      </c>
      <c r="N69" s="113">
        <f t="shared" ref="N69:N92" si="27">$N$67</f>
        <v>0</v>
      </c>
      <c r="O69" s="114">
        <v>0</v>
      </c>
      <c r="P69" s="65">
        <f>(I69*N69)+M69</f>
        <v>0</v>
      </c>
    </row>
    <row r="70" spans="2:16" ht="15.6" x14ac:dyDescent="0.3">
      <c r="B70" s="3">
        <v>5201</v>
      </c>
      <c r="C70" s="81" t="s">
        <v>99</v>
      </c>
      <c r="D70" s="112"/>
      <c r="E70" s="68">
        <v>0</v>
      </c>
      <c r="F70" s="113">
        <f t="shared" si="22"/>
        <v>0</v>
      </c>
      <c r="G70" s="65">
        <f>E70*(1+F70)</f>
        <v>0</v>
      </c>
      <c r="H70" s="113">
        <f t="shared" si="23"/>
        <v>0</v>
      </c>
      <c r="I70" s="65">
        <f t="shared" ref="I70:I92" si="28">+G70*(1+H70)</f>
        <v>0</v>
      </c>
      <c r="J70" s="113">
        <f t="shared" si="24"/>
        <v>0</v>
      </c>
      <c r="K70" s="65">
        <f t="shared" ref="K70:K92" si="29">+I70*(1+J70)</f>
        <v>0</v>
      </c>
      <c r="L70" s="113">
        <f t="shared" si="25"/>
        <v>0</v>
      </c>
      <c r="M70" s="65">
        <f t="shared" si="26"/>
        <v>0</v>
      </c>
      <c r="N70" s="113">
        <f t="shared" si="27"/>
        <v>0</v>
      </c>
      <c r="O70" s="114">
        <v>0</v>
      </c>
      <c r="P70" s="65">
        <f t="shared" ref="P70:P92" si="30">(I70*N70)+M70</f>
        <v>0</v>
      </c>
    </row>
    <row r="71" spans="2:16" ht="15.6" x14ac:dyDescent="0.3">
      <c r="B71" s="3">
        <v>5202</v>
      </c>
      <c r="C71" s="81" t="s">
        <v>100</v>
      </c>
      <c r="D71" s="112"/>
      <c r="E71" s="68">
        <v>0</v>
      </c>
      <c r="F71" s="113">
        <f t="shared" si="22"/>
        <v>0</v>
      </c>
      <c r="G71" s="65">
        <f t="shared" ref="G71:G92" si="31">E71*(1+F71)</f>
        <v>0</v>
      </c>
      <c r="H71" s="113">
        <f t="shared" si="23"/>
        <v>0</v>
      </c>
      <c r="I71" s="65">
        <f t="shared" si="28"/>
        <v>0</v>
      </c>
      <c r="J71" s="113">
        <f t="shared" si="24"/>
        <v>0</v>
      </c>
      <c r="K71" s="65">
        <f t="shared" si="29"/>
        <v>0</v>
      </c>
      <c r="L71" s="113">
        <f t="shared" si="25"/>
        <v>0</v>
      </c>
      <c r="M71" s="65">
        <f t="shared" si="26"/>
        <v>0</v>
      </c>
      <c r="N71" s="113">
        <f t="shared" si="27"/>
        <v>0</v>
      </c>
      <c r="O71" s="114">
        <v>0</v>
      </c>
      <c r="P71" s="65">
        <f t="shared" si="30"/>
        <v>0</v>
      </c>
    </row>
    <row r="72" spans="2:16" ht="15.6" x14ac:dyDescent="0.3">
      <c r="B72" s="3">
        <v>5203</v>
      </c>
      <c r="C72" s="81" t="s">
        <v>100</v>
      </c>
      <c r="D72" s="112"/>
      <c r="E72" s="68">
        <v>0</v>
      </c>
      <c r="F72" s="113">
        <f t="shared" si="22"/>
        <v>0</v>
      </c>
      <c r="G72" s="65">
        <f t="shared" si="31"/>
        <v>0</v>
      </c>
      <c r="H72" s="113">
        <f t="shared" si="23"/>
        <v>0</v>
      </c>
      <c r="I72" s="65">
        <f t="shared" si="28"/>
        <v>0</v>
      </c>
      <c r="J72" s="113">
        <f t="shared" si="24"/>
        <v>0</v>
      </c>
      <c r="K72" s="65">
        <f t="shared" si="29"/>
        <v>0</v>
      </c>
      <c r="L72" s="113">
        <f t="shared" si="25"/>
        <v>0</v>
      </c>
      <c r="M72" s="65">
        <f t="shared" si="26"/>
        <v>0</v>
      </c>
      <c r="N72" s="113">
        <f t="shared" si="27"/>
        <v>0</v>
      </c>
      <c r="O72" s="114">
        <v>0</v>
      </c>
      <c r="P72" s="65">
        <f t="shared" si="30"/>
        <v>0</v>
      </c>
    </row>
    <row r="73" spans="2:16" ht="15.6" x14ac:dyDescent="0.3">
      <c r="B73" s="3">
        <v>5204</v>
      </c>
      <c r="C73" s="81" t="s">
        <v>100</v>
      </c>
      <c r="D73" s="112"/>
      <c r="E73" s="68">
        <v>0</v>
      </c>
      <c r="F73" s="113">
        <f t="shared" si="22"/>
        <v>0</v>
      </c>
      <c r="G73" s="65">
        <f t="shared" si="31"/>
        <v>0</v>
      </c>
      <c r="H73" s="113">
        <f t="shared" si="23"/>
        <v>0</v>
      </c>
      <c r="I73" s="65">
        <f t="shared" si="28"/>
        <v>0</v>
      </c>
      <c r="J73" s="113">
        <f t="shared" si="24"/>
        <v>0</v>
      </c>
      <c r="K73" s="65">
        <f t="shared" si="29"/>
        <v>0</v>
      </c>
      <c r="L73" s="113">
        <f t="shared" si="25"/>
        <v>0</v>
      </c>
      <c r="M73" s="65">
        <f t="shared" si="26"/>
        <v>0</v>
      </c>
      <c r="N73" s="113">
        <f t="shared" si="27"/>
        <v>0</v>
      </c>
      <c r="O73" s="114">
        <v>0</v>
      </c>
      <c r="P73" s="65">
        <f t="shared" si="30"/>
        <v>0</v>
      </c>
    </row>
    <row r="74" spans="2:16" ht="15.6" x14ac:dyDescent="0.3">
      <c r="B74" s="3">
        <v>5205</v>
      </c>
      <c r="C74" s="81" t="s">
        <v>100</v>
      </c>
      <c r="D74" s="112"/>
      <c r="E74" s="68">
        <v>0</v>
      </c>
      <c r="F74" s="113">
        <f t="shared" si="22"/>
        <v>0</v>
      </c>
      <c r="G74" s="65">
        <f t="shared" si="31"/>
        <v>0</v>
      </c>
      <c r="H74" s="113">
        <f t="shared" si="23"/>
        <v>0</v>
      </c>
      <c r="I74" s="65">
        <f t="shared" si="28"/>
        <v>0</v>
      </c>
      <c r="J74" s="113">
        <f t="shared" si="24"/>
        <v>0</v>
      </c>
      <c r="K74" s="65">
        <f t="shared" si="29"/>
        <v>0</v>
      </c>
      <c r="L74" s="113">
        <f t="shared" si="25"/>
        <v>0</v>
      </c>
      <c r="M74" s="65">
        <f t="shared" si="26"/>
        <v>0</v>
      </c>
      <c r="N74" s="113">
        <f t="shared" si="27"/>
        <v>0</v>
      </c>
      <c r="O74" s="114">
        <v>0</v>
      </c>
      <c r="P74" s="65">
        <f t="shared" si="30"/>
        <v>0</v>
      </c>
    </row>
    <row r="75" spans="2:16" ht="15.6" x14ac:dyDescent="0.3">
      <c r="B75" s="3">
        <v>5206</v>
      </c>
      <c r="C75" s="81" t="s">
        <v>100</v>
      </c>
      <c r="D75" s="112"/>
      <c r="E75" s="68">
        <v>0</v>
      </c>
      <c r="F75" s="113">
        <f t="shared" si="22"/>
        <v>0</v>
      </c>
      <c r="G75" s="65">
        <f t="shared" si="31"/>
        <v>0</v>
      </c>
      <c r="H75" s="113">
        <f t="shared" si="23"/>
        <v>0</v>
      </c>
      <c r="I75" s="65">
        <f t="shared" si="28"/>
        <v>0</v>
      </c>
      <c r="J75" s="113">
        <f t="shared" si="24"/>
        <v>0</v>
      </c>
      <c r="K75" s="65">
        <f t="shared" si="29"/>
        <v>0</v>
      </c>
      <c r="L75" s="113">
        <f t="shared" si="25"/>
        <v>0</v>
      </c>
      <c r="M75" s="65">
        <f t="shared" si="26"/>
        <v>0</v>
      </c>
      <c r="N75" s="113">
        <f t="shared" si="27"/>
        <v>0</v>
      </c>
      <c r="O75" s="114">
        <v>0</v>
      </c>
      <c r="P75" s="65">
        <f t="shared" si="30"/>
        <v>0</v>
      </c>
    </row>
    <row r="76" spans="2:16" ht="15.6" x14ac:dyDescent="0.3">
      <c r="B76" s="3">
        <v>5207</v>
      </c>
      <c r="C76" s="81" t="s">
        <v>100</v>
      </c>
      <c r="D76" s="112"/>
      <c r="E76" s="68">
        <v>0</v>
      </c>
      <c r="F76" s="113">
        <f t="shared" si="22"/>
        <v>0</v>
      </c>
      <c r="G76" s="65">
        <f t="shared" si="31"/>
        <v>0</v>
      </c>
      <c r="H76" s="113">
        <f t="shared" si="23"/>
        <v>0</v>
      </c>
      <c r="I76" s="65">
        <f t="shared" si="28"/>
        <v>0</v>
      </c>
      <c r="J76" s="113">
        <f t="shared" si="24"/>
        <v>0</v>
      </c>
      <c r="K76" s="65">
        <f t="shared" si="29"/>
        <v>0</v>
      </c>
      <c r="L76" s="113">
        <f t="shared" si="25"/>
        <v>0</v>
      </c>
      <c r="M76" s="65">
        <f t="shared" si="26"/>
        <v>0</v>
      </c>
      <c r="N76" s="113">
        <f t="shared" si="27"/>
        <v>0</v>
      </c>
      <c r="O76" s="114">
        <v>0</v>
      </c>
      <c r="P76" s="65">
        <f t="shared" si="30"/>
        <v>0</v>
      </c>
    </row>
    <row r="77" spans="2:16" ht="15.6" x14ac:dyDescent="0.3">
      <c r="B77" s="3">
        <v>5208</v>
      </c>
      <c r="C77" s="81" t="s">
        <v>100</v>
      </c>
      <c r="D77" s="112"/>
      <c r="E77" s="68">
        <v>0</v>
      </c>
      <c r="F77" s="113">
        <f t="shared" si="22"/>
        <v>0</v>
      </c>
      <c r="G77" s="65">
        <f t="shared" si="31"/>
        <v>0</v>
      </c>
      <c r="H77" s="113">
        <f t="shared" si="23"/>
        <v>0</v>
      </c>
      <c r="I77" s="65">
        <f t="shared" si="28"/>
        <v>0</v>
      </c>
      <c r="J77" s="113">
        <f t="shared" si="24"/>
        <v>0</v>
      </c>
      <c r="K77" s="65">
        <f t="shared" si="29"/>
        <v>0</v>
      </c>
      <c r="L77" s="113">
        <f t="shared" si="25"/>
        <v>0</v>
      </c>
      <c r="M77" s="65">
        <f t="shared" si="26"/>
        <v>0</v>
      </c>
      <c r="N77" s="113">
        <f t="shared" si="27"/>
        <v>0</v>
      </c>
      <c r="O77" s="114">
        <v>0</v>
      </c>
      <c r="P77" s="65">
        <f t="shared" si="30"/>
        <v>0</v>
      </c>
    </row>
    <row r="78" spans="2:16" ht="15.6" x14ac:dyDescent="0.3">
      <c r="B78" s="3">
        <v>5209</v>
      </c>
      <c r="C78" s="81" t="s">
        <v>101</v>
      </c>
      <c r="D78" s="112"/>
      <c r="E78" s="68">
        <v>0</v>
      </c>
      <c r="F78" s="113">
        <f t="shared" si="22"/>
        <v>0</v>
      </c>
      <c r="G78" s="65">
        <f t="shared" si="31"/>
        <v>0</v>
      </c>
      <c r="H78" s="113">
        <f t="shared" si="23"/>
        <v>0</v>
      </c>
      <c r="I78" s="65">
        <f t="shared" si="28"/>
        <v>0</v>
      </c>
      <c r="J78" s="113">
        <f t="shared" si="24"/>
        <v>0</v>
      </c>
      <c r="K78" s="65">
        <f t="shared" si="29"/>
        <v>0</v>
      </c>
      <c r="L78" s="113">
        <f t="shared" si="25"/>
        <v>0</v>
      </c>
      <c r="M78" s="65">
        <f t="shared" si="26"/>
        <v>0</v>
      </c>
      <c r="N78" s="113">
        <f t="shared" si="27"/>
        <v>0</v>
      </c>
      <c r="O78" s="114">
        <v>0</v>
      </c>
      <c r="P78" s="65">
        <f t="shared" si="30"/>
        <v>0</v>
      </c>
    </row>
    <row r="79" spans="2:16" ht="15.6" x14ac:dyDescent="0.3">
      <c r="B79" s="3">
        <v>5210</v>
      </c>
      <c r="C79" s="81" t="s">
        <v>132</v>
      </c>
      <c r="D79" s="112"/>
      <c r="E79" s="68">
        <v>0</v>
      </c>
      <c r="F79" s="113">
        <f t="shared" si="22"/>
        <v>0</v>
      </c>
      <c r="G79" s="65">
        <f t="shared" si="31"/>
        <v>0</v>
      </c>
      <c r="H79" s="113">
        <f t="shared" si="23"/>
        <v>0</v>
      </c>
      <c r="I79" s="65">
        <f t="shared" si="28"/>
        <v>0</v>
      </c>
      <c r="J79" s="113">
        <f t="shared" si="24"/>
        <v>0</v>
      </c>
      <c r="K79" s="65">
        <f t="shared" si="29"/>
        <v>0</v>
      </c>
      <c r="L79" s="113">
        <f t="shared" si="25"/>
        <v>0</v>
      </c>
      <c r="M79" s="65">
        <f t="shared" si="26"/>
        <v>0</v>
      </c>
      <c r="N79" s="113">
        <f t="shared" si="27"/>
        <v>0</v>
      </c>
      <c r="O79" s="114">
        <v>0</v>
      </c>
      <c r="P79" s="65">
        <f t="shared" si="30"/>
        <v>0</v>
      </c>
    </row>
    <row r="80" spans="2:16" ht="15.6" x14ac:dyDescent="0.3">
      <c r="B80" s="3">
        <v>5211</v>
      </c>
      <c r="C80" s="81" t="s">
        <v>131</v>
      </c>
      <c r="D80" s="112"/>
      <c r="E80" s="68">
        <v>0</v>
      </c>
      <c r="F80" s="113">
        <f t="shared" si="22"/>
        <v>0</v>
      </c>
      <c r="G80" s="65">
        <f t="shared" si="31"/>
        <v>0</v>
      </c>
      <c r="H80" s="113">
        <f t="shared" si="23"/>
        <v>0</v>
      </c>
      <c r="I80" s="65">
        <f t="shared" si="28"/>
        <v>0</v>
      </c>
      <c r="J80" s="113">
        <f t="shared" si="24"/>
        <v>0</v>
      </c>
      <c r="K80" s="65">
        <f t="shared" si="29"/>
        <v>0</v>
      </c>
      <c r="L80" s="113">
        <f t="shared" si="25"/>
        <v>0</v>
      </c>
      <c r="M80" s="65">
        <f t="shared" si="26"/>
        <v>0</v>
      </c>
      <c r="N80" s="113">
        <f t="shared" si="27"/>
        <v>0</v>
      </c>
      <c r="O80" s="114">
        <v>0</v>
      </c>
      <c r="P80" s="65">
        <f t="shared" si="30"/>
        <v>0</v>
      </c>
    </row>
    <row r="81" spans="2:16" ht="15.6" x14ac:dyDescent="0.3">
      <c r="B81" s="3">
        <v>5212</v>
      </c>
      <c r="C81" s="81" t="s">
        <v>129</v>
      </c>
      <c r="D81" s="112"/>
      <c r="E81" s="68">
        <v>0</v>
      </c>
      <c r="F81" s="113">
        <f t="shared" si="22"/>
        <v>0</v>
      </c>
      <c r="G81" s="65">
        <f t="shared" si="31"/>
        <v>0</v>
      </c>
      <c r="H81" s="113">
        <f t="shared" si="23"/>
        <v>0</v>
      </c>
      <c r="I81" s="65">
        <f t="shared" si="28"/>
        <v>0</v>
      </c>
      <c r="J81" s="113">
        <f t="shared" si="24"/>
        <v>0</v>
      </c>
      <c r="K81" s="65">
        <f t="shared" si="29"/>
        <v>0</v>
      </c>
      <c r="L81" s="113">
        <f t="shared" si="25"/>
        <v>0</v>
      </c>
      <c r="M81" s="65">
        <f t="shared" si="26"/>
        <v>0</v>
      </c>
      <c r="N81" s="113">
        <f t="shared" si="27"/>
        <v>0</v>
      </c>
      <c r="O81" s="114">
        <v>0</v>
      </c>
      <c r="P81" s="65">
        <f t="shared" si="30"/>
        <v>0</v>
      </c>
    </row>
    <row r="82" spans="2:16" ht="15.6" x14ac:dyDescent="0.3">
      <c r="B82" s="3">
        <v>5213</v>
      </c>
      <c r="C82" s="81" t="s">
        <v>130</v>
      </c>
      <c r="D82" s="112"/>
      <c r="E82" s="68">
        <v>0</v>
      </c>
      <c r="F82" s="113">
        <f t="shared" si="22"/>
        <v>0</v>
      </c>
      <c r="G82" s="65">
        <f t="shared" si="31"/>
        <v>0</v>
      </c>
      <c r="H82" s="113">
        <f t="shared" si="23"/>
        <v>0</v>
      </c>
      <c r="I82" s="65">
        <f t="shared" si="28"/>
        <v>0</v>
      </c>
      <c r="J82" s="113">
        <f t="shared" si="24"/>
        <v>0</v>
      </c>
      <c r="K82" s="65">
        <f t="shared" si="29"/>
        <v>0</v>
      </c>
      <c r="L82" s="113">
        <f t="shared" si="25"/>
        <v>0</v>
      </c>
      <c r="M82" s="65">
        <f t="shared" si="26"/>
        <v>0</v>
      </c>
      <c r="N82" s="113">
        <f t="shared" si="27"/>
        <v>0</v>
      </c>
      <c r="O82" s="114">
        <v>0</v>
      </c>
      <c r="P82" s="65">
        <f t="shared" si="30"/>
        <v>0</v>
      </c>
    </row>
    <row r="83" spans="2:16" ht="15.6" x14ac:dyDescent="0.3">
      <c r="B83" s="3">
        <v>5214</v>
      </c>
      <c r="C83" s="81" t="s">
        <v>106</v>
      </c>
      <c r="D83" s="112"/>
      <c r="E83" s="68">
        <v>0</v>
      </c>
      <c r="F83" s="113">
        <f t="shared" si="22"/>
        <v>0</v>
      </c>
      <c r="G83" s="65">
        <f t="shared" si="31"/>
        <v>0</v>
      </c>
      <c r="H83" s="113">
        <f t="shared" si="23"/>
        <v>0</v>
      </c>
      <c r="I83" s="65">
        <f t="shared" si="28"/>
        <v>0</v>
      </c>
      <c r="J83" s="113">
        <f t="shared" si="24"/>
        <v>0</v>
      </c>
      <c r="K83" s="65">
        <f t="shared" si="29"/>
        <v>0</v>
      </c>
      <c r="L83" s="113">
        <f t="shared" si="25"/>
        <v>0</v>
      </c>
      <c r="M83" s="65">
        <f t="shared" si="26"/>
        <v>0</v>
      </c>
      <c r="N83" s="113">
        <f t="shared" si="27"/>
        <v>0</v>
      </c>
      <c r="O83" s="114">
        <v>0</v>
      </c>
      <c r="P83" s="65">
        <f t="shared" si="30"/>
        <v>0</v>
      </c>
    </row>
    <row r="84" spans="2:16" ht="15.6" x14ac:dyDescent="0.3">
      <c r="B84" s="3">
        <v>5215</v>
      </c>
      <c r="C84" s="81" t="s">
        <v>106</v>
      </c>
      <c r="D84" s="112"/>
      <c r="E84" s="68">
        <v>0</v>
      </c>
      <c r="F84" s="113">
        <f t="shared" si="22"/>
        <v>0</v>
      </c>
      <c r="G84" s="65">
        <f t="shared" si="31"/>
        <v>0</v>
      </c>
      <c r="H84" s="113">
        <f t="shared" si="23"/>
        <v>0</v>
      </c>
      <c r="I84" s="65">
        <f t="shared" si="28"/>
        <v>0</v>
      </c>
      <c r="J84" s="113">
        <f t="shared" si="24"/>
        <v>0</v>
      </c>
      <c r="K84" s="65">
        <f t="shared" si="29"/>
        <v>0</v>
      </c>
      <c r="L84" s="113">
        <f t="shared" si="25"/>
        <v>0</v>
      </c>
      <c r="M84" s="65">
        <f t="shared" si="26"/>
        <v>0</v>
      </c>
      <c r="N84" s="113">
        <f t="shared" si="27"/>
        <v>0</v>
      </c>
      <c r="O84" s="114">
        <v>0</v>
      </c>
      <c r="P84" s="65">
        <f t="shared" si="30"/>
        <v>0</v>
      </c>
    </row>
    <row r="85" spans="2:16" ht="15.6" x14ac:dyDescent="0.3">
      <c r="B85" s="3">
        <v>5216</v>
      </c>
      <c r="C85" s="81" t="s">
        <v>106</v>
      </c>
      <c r="D85" s="112"/>
      <c r="E85" s="68">
        <v>0</v>
      </c>
      <c r="F85" s="113">
        <f t="shared" si="22"/>
        <v>0</v>
      </c>
      <c r="G85" s="65">
        <f t="shared" si="31"/>
        <v>0</v>
      </c>
      <c r="H85" s="113">
        <f t="shared" si="23"/>
        <v>0</v>
      </c>
      <c r="I85" s="65">
        <f t="shared" si="28"/>
        <v>0</v>
      </c>
      <c r="J85" s="113">
        <f t="shared" si="24"/>
        <v>0</v>
      </c>
      <c r="K85" s="65">
        <f t="shared" si="29"/>
        <v>0</v>
      </c>
      <c r="L85" s="113">
        <f t="shared" si="25"/>
        <v>0</v>
      </c>
      <c r="M85" s="65">
        <f t="shared" si="26"/>
        <v>0</v>
      </c>
      <c r="N85" s="113">
        <f t="shared" si="27"/>
        <v>0</v>
      </c>
      <c r="O85" s="114">
        <v>0</v>
      </c>
      <c r="P85" s="65">
        <f t="shared" si="30"/>
        <v>0</v>
      </c>
    </row>
    <row r="86" spans="2:16" ht="15.6" x14ac:dyDescent="0.3">
      <c r="B86" s="3">
        <v>5217</v>
      </c>
      <c r="C86" s="81" t="s">
        <v>106</v>
      </c>
      <c r="D86" s="112"/>
      <c r="E86" s="68">
        <v>0</v>
      </c>
      <c r="F86" s="113">
        <f t="shared" si="22"/>
        <v>0</v>
      </c>
      <c r="G86" s="65">
        <f t="shared" si="31"/>
        <v>0</v>
      </c>
      <c r="H86" s="113">
        <f t="shared" si="23"/>
        <v>0</v>
      </c>
      <c r="I86" s="65">
        <f t="shared" si="28"/>
        <v>0</v>
      </c>
      <c r="J86" s="113">
        <f t="shared" si="24"/>
        <v>0</v>
      </c>
      <c r="K86" s="65">
        <f t="shared" si="29"/>
        <v>0</v>
      </c>
      <c r="L86" s="113">
        <f t="shared" si="25"/>
        <v>0</v>
      </c>
      <c r="M86" s="65">
        <f t="shared" si="26"/>
        <v>0</v>
      </c>
      <c r="N86" s="113">
        <f t="shared" si="27"/>
        <v>0</v>
      </c>
      <c r="O86" s="114">
        <v>0</v>
      </c>
      <c r="P86" s="65">
        <f t="shared" si="30"/>
        <v>0</v>
      </c>
    </row>
    <row r="87" spans="2:16" ht="15.6" x14ac:dyDescent="0.3">
      <c r="B87" s="3">
        <v>5218</v>
      </c>
      <c r="C87" s="81" t="s">
        <v>108</v>
      </c>
      <c r="D87" s="112"/>
      <c r="E87" s="68">
        <v>0</v>
      </c>
      <c r="F87" s="113">
        <f t="shared" si="22"/>
        <v>0</v>
      </c>
      <c r="G87" s="65">
        <f t="shared" si="31"/>
        <v>0</v>
      </c>
      <c r="H87" s="113">
        <f t="shared" si="23"/>
        <v>0</v>
      </c>
      <c r="I87" s="65">
        <f t="shared" si="28"/>
        <v>0</v>
      </c>
      <c r="J87" s="113">
        <f t="shared" si="24"/>
        <v>0</v>
      </c>
      <c r="K87" s="65">
        <f t="shared" si="29"/>
        <v>0</v>
      </c>
      <c r="L87" s="113">
        <f t="shared" si="25"/>
        <v>0</v>
      </c>
      <c r="M87" s="65">
        <f t="shared" si="26"/>
        <v>0</v>
      </c>
      <c r="N87" s="113">
        <f t="shared" si="27"/>
        <v>0</v>
      </c>
      <c r="O87" s="114">
        <v>0</v>
      </c>
      <c r="P87" s="65">
        <f t="shared" si="30"/>
        <v>0</v>
      </c>
    </row>
    <row r="88" spans="2:16" ht="15.6" x14ac:dyDescent="0.3">
      <c r="B88" s="3">
        <v>5219</v>
      </c>
      <c r="C88" s="81" t="s">
        <v>106</v>
      </c>
      <c r="D88" s="112"/>
      <c r="E88" s="68">
        <v>0</v>
      </c>
      <c r="F88" s="113">
        <f t="shared" si="22"/>
        <v>0</v>
      </c>
      <c r="G88" s="65">
        <f t="shared" si="31"/>
        <v>0</v>
      </c>
      <c r="H88" s="113">
        <f t="shared" si="23"/>
        <v>0</v>
      </c>
      <c r="I88" s="65">
        <f t="shared" si="28"/>
        <v>0</v>
      </c>
      <c r="J88" s="113">
        <f t="shared" si="24"/>
        <v>0</v>
      </c>
      <c r="K88" s="65">
        <f t="shared" si="29"/>
        <v>0</v>
      </c>
      <c r="L88" s="113">
        <f t="shared" si="25"/>
        <v>0</v>
      </c>
      <c r="M88" s="65">
        <f t="shared" si="26"/>
        <v>0</v>
      </c>
      <c r="N88" s="113">
        <f t="shared" si="27"/>
        <v>0</v>
      </c>
      <c r="O88" s="114">
        <v>0</v>
      </c>
      <c r="P88" s="65">
        <f t="shared" si="30"/>
        <v>0</v>
      </c>
    </row>
    <row r="89" spans="2:16" ht="15.6" x14ac:dyDescent="0.3">
      <c r="B89" s="3">
        <v>5220</v>
      </c>
      <c r="C89" s="81" t="s">
        <v>106</v>
      </c>
      <c r="D89" s="112"/>
      <c r="E89" s="68">
        <v>0</v>
      </c>
      <c r="F89" s="113">
        <f t="shared" si="22"/>
        <v>0</v>
      </c>
      <c r="G89" s="65">
        <f t="shared" si="31"/>
        <v>0</v>
      </c>
      <c r="H89" s="113">
        <f t="shared" si="23"/>
        <v>0</v>
      </c>
      <c r="I89" s="65">
        <f t="shared" si="28"/>
        <v>0</v>
      </c>
      <c r="J89" s="113">
        <f t="shared" si="24"/>
        <v>0</v>
      </c>
      <c r="K89" s="65">
        <f t="shared" si="29"/>
        <v>0</v>
      </c>
      <c r="L89" s="113">
        <f t="shared" si="25"/>
        <v>0</v>
      </c>
      <c r="M89" s="65">
        <f t="shared" si="26"/>
        <v>0</v>
      </c>
      <c r="N89" s="113">
        <f t="shared" si="27"/>
        <v>0</v>
      </c>
      <c r="O89" s="114">
        <v>0</v>
      </c>
      <c r="P89" s="65">
        <f t="shared" si="30"/>
        <v>0</v>
      </c>
    </row>
    <row r="90" spans="2:16" ht="15.6" x14ac:dyDescent="0.3">
      <c r="B90" s="3">
        <v>5221</v>
      </c>
      <c r="C90" s="81" t="s">
        <v>106</v>
      </c>
      <c r="D90" s="112"/>
      <c r="E90" s="68">
        <v>0</v>
      </c>
      <c r="F90" s="113">
        <f t="shared" si="22"/>
        <v>0</v>
      </c>
      <c r="G90" s="65">
        <f t="shared" si="31"/>
        <v>0</v>
      </c>
      <c r="H90" s="113">
        <f t="shared" si="23"/>
        <v>0</v>
      </c>
      <c r="I90" s="65">
        <f t="shared" si="28"/>
        <v>0</v>
      </c>
      <c r="J90" s="113">
        <f t="shared" si="24"/>
        <v>0</v>
      </c>
      <c r="K90" s="65">
        <f t="shared" si="29"/>
        <v>0</v>
      </c>
      <c r="L90" s="113">
        <f t="shared" si="25"/>
        <v>0</v>
      </c>
      <c r="M90" s="65">
        <f t="shared" si="26"/>
        <v>0</v>
      </c>
      <c r="N90" s="113">
        <f t="shared" si="27"/>
        <v>0</v>
      </c>
      <c r="O90" s="114">
        <v>0</v>
      </c>
      <c r="P90" s="65">
        <f t="shared" si="30"/>
        <v>0</v>
      </c>
    </row>
    <row r="91" spans="2:16" ht="15.6" x14ac:dyDescent="0.3">
      <c r="B91" s="3">
        <v>5222</v>
      </c>
      <c r="C91" s="81" t="s">
        <v>106</v>
      </c>
      <c r="D91" s="112"/>
      <c r="E91" s="68">
        <v>0</v>
      </c>
      <c r="F91" s="113">
        <f t="shared" si="22"/>
        <v>0</v>
      </c>
      <c r="G91" s="65">
        <f t="shared" si="31"/>
        <v>0</v>
      </c>
      <c r="H91" s="113">
        <f t="shared" si="23"/>
        <v>0</v>
      </c>
      <c r="I91" s="65">
        <f t="shared" si="28"/>
        <v>0</v>
      </c>
      <c r="J91" s="113">
        <f t="shared" si="24"/>
        <v>0</v>
      </c>
      <c r="K91" s="65">
        <f t="shared" si="29"/>
        <v>0</v>
      </c>
      <c r="L91" s="113">
        <f t="shared" si="25"/>
        <v>0</v>
      </c>
      <c r="M91" s="65">
        <f t="shared" si="26"/>
        <v>0</v>
      </c>
      <c r="N91" s="113">
        <f t="shared" si="27"/>
        <v>0</v>
      </c>
      <c r="O91" s="114">
        <v>0</v>
      </c>
      <c r="P91" s="65">
        <f t="shared" si="30"/>
        <v>0</v>
      </c>
    </row>
    <row r="92" spans="2:16" ht="15.6" x14ac:dyDescent="0.3">
      <c r="B92" s="3">
        <v>5223</v>
      </c>
      <c r="C92" s="81" t="s">
        <v>106</v>
      </c>
      <c r="D92" s="112"/>
      <c r="E92" s="68">
        <v>0</v>
      </c>
      <c r="F92" s="113">
        <f t="shared" si="22"/>
        <v>0</v>
      </c>
      <c r="G92" s="65">
        <f t="shared" si="31"/>
        <v>0</v>
      </c>
      <c r="H92" s="113">
        <f t="shared" si="23"/>
        <v>0</v>
      </c>
      <c r="I92" s="65">
        <f t="shared" si="28"/>
        <v>0</v>
      </c>
      <c r="J92" s="113">
        <f t="shared" si="24"/>
        <v>0</v>
      </c>
      <c r="K92" s="65">
        <f t="shared" si="29"/>
        <v>0</v>
      </c>
      <c r="L92" s="113">
        <f t="shared" si="25"/>
        <v>0</v>
      </c>
      <c r="M92" s="65">
        <f t="shared" si="26"/>
        <v>0</v>
      </c>
      <c r="N92" s="113">
        <f t="shared" si="27"/>
        <v>0</v>
      </c>
      <c r="O92" s="114">
        <v>0</v>
      </c>
      <c r="P92" s="65">
        <f t="shared" si="30"/>
        <v>0</v>
      </c>
    </row>
    <row r="94" spans="2:16" x14ac:dyDescent="0.3">
      <c r="B94" s="115"/>
      <c r="C94" s="98"/>
      <c r="D94" s="99"/>
      <c r="E94" s="211" t="s">
        <v>96</v>
      </c>
      <c r="F94" s="212"/>
      <c r="G94" s="212"/>
      <c r="H94" s="212"/>
      <c r="I94" s="212"/>
      <c r="J94" s="212"/>
      <c r="K94" s="212"/>
      <c r="L94" s="212"/>
      <c r="M94" s="212"/>
      <c r="N94" s="212"/>
      <c r="O94" s="212"/>
      <c r="P94" s="212"/>
    </row>
    <row r="95" spans="2:16" s="122" customFormat="1" ht="69" x14ac:dyDescent="0.3">
      <c r="B95" s="116" t="s">
        <v>3</v>
      </c>
      <c r="C95" s="117" t="s">
        <v>70</v>
      </c>
      <c r="D95" s="118" t="s">
        <v>71</v>
      </c>
      <c r="E95" s="103" t="s">
        <v>72</v>
      </c>
      <c r="F95" s="102" t="s">
        <v>73</v>
      </c>
      <c r="G95" s="104" t="s">
        <v>74</v>
      </c>
      <c r="H95" s="102" t="s">
        <v>75</v>
      </c>
      <c r="I95" s="104" t="s">
        <v>76</v>
      </c>
      <c r="J95" s="102" t="s">
        <v>77</v>
      </c>
      <c r="K95" s="104" t="s">
        <v>78</v>
      </c>
      <c r="L95" s="102" t="s">
        <v>79</v>
      </c>
      <c r="M95" s="104" t="s">
        <v>80</v>
      </c>
      <c r="N95" s="106" t="s">
        <v>81</v>
      </c>
      <c r="O95" s="106" t="s">
        <v>93</v>
      </c>
      <c r="P95" s="104" t="s">
        <v>82</v>
      </c>
    </row>
    <row r="96" spans="2:16" x14ac:dyDescent="0.3">
      <c r="B96" s="123"/>
      <c r="C96" s="55"/>
      <c r="D96" s="55"/>
      <c r="E96" s="107">
        <v>0</v>
      </c>
      <c r="F96" s="108">
        <v>0</v>
      </c>
      <c r="G96" s="56"/>
      <c r="H96" s="108">
        <v>0</v>
      </c>
      <c r="I96" s="56"/>
      <c r="J96" s="108">
        <v>0</v>
      </c>
      <c r="K96" s="56"/>
      <c r="L96" s="108">
        <v>0</v>
      </c>
      <c r="M96" s="56"/>
      <c r="N96" s="109">
        <v>0</v>
      </c>
      <c r="O96" s="109">
        <v>0</v>
      </c>
      <c r="P96" s="56"/>
    </row>
    <row r="97" spans="2:16" x14ac:dyDescent="0.3">
      <c r="B97" s="110"/>
      <c r="C97" s="59"/>
      <c r="D97" s="59"/>
      <c r="E97" s="60"/>
      <c r="F97" s="61"/>
      <c r="G97" s="62"/>
      <c r="H97" s="61"/>
      <c r="I97" s="63"/>
      <c r="J97" s="61"/>
      <c r="K97" s="64"/>
      <c r="L97" s="64"/>
      <c r="M97" s="64"/>
      <c r="N97" s="111"/>
      <c r="O97" s="111"/>
      <c r="P97" s="64"/>
    </row>
    <row r="98" spans="2:16" ht="15.6" x14ac:dyDescent="0.3">
      <c r="B98" s="3">
        <v>5300</v>
      </c>
      <c r="C98" s="81" t="s">
        <v>98</v>
      </c>
      <c r="D98" s="112"/>
      <c r="E98" s="68">
        <v>0</v>
      </c>
      <c r="F98" s="113">
        <f t="shared" ref="F98:F121" si="32">$F$96</f>
        <v>0</v>
      </c>
      <c r="G98" s="65">
        <f>E98*(1+F98)</f>
        <v>0</v>
      </c>
      <c r="H98" s="113">
        <f t="shared" ref="H98:H121" si="33">$H$96</f>
        <v>0</v>
      </c>
      <c r="I98" s="65">
        <f>+G98*(1+H98)</f>
        <v>0</v>
      </c>
      <c r="J98" s="113">
        <f t="shared" ref="J98:J121" si="34">$J$96</f>
        <v>0</v>
      </c>
      <c r="K98" s="65">
        <f>+I98*(1+J98)</f>
        <v>0</v>
      </c>
      <c r="L98" s="113">
        <f t="shared" ref="L98:L121" si="35">$L$96</f>
        <v>0</v>
      </c>
      <c r="M98" s="65">
        <f t="shared" ref="M98:M121" si="36">E98*2.12*(1+L98)</f>
        <v>0</v>
      </c>
      <c r="N98" s="113">
        <f t="shared" ref="N98:N121" si="37">$N$96</f>
        <v>0</v>
      </c>
      <c r="O98" s="114">
        <v>0</v>
      </c>
      <c r="P98" s="65">
        <f>(I98*N98)+M98</f>
        <v>0</v>
      </c>
    </row>
    <row r="99" spans="2:16" ht="15.6" x14ac:dyDescent="0.3">
      <c r="B99" s="3">
        <v>5301</v>
      </c>
      <c r="C99" s="81" t="s">
        <v>99</v>
      </c>
      <c r="D99" s="112"/>
      <c r="E99" s="68">
        <v>0</v>
      </c>
      <c r="F99" s="113">
        <f t="shared" si="32"/>
        <v>0</v>
      </c>
      <c r="G99" s="65">
        <f>E99*(1+F99)</f>
        <v>0</v>
      </c>
      <c r="H99" s="113">
        <f t="shared" si="33"/>
        <v>0</v>
      </c>
      <c r="I99" s="65">
        <f t="shared" ref="I99:I121" si="38">+G99*(1+H99)</f>
        <v>0</v>
      </c>
      <c r="J99" s="113">
        <f t="shared" si="34"/>
        <v>0</v>
      </c>
      <c r="K99" s="65">
        <f t="shared" ref="K99:K121" si="39">+I99*(1+J99)</f>
        <v>0</v>
      </c>
      <c r="L99" s="113">
        <f t="shared" si="35"/>
        <v>0</v>
      </c>
      <c r="M99" s="65">
        <f t="shared" si="36"/>
        <v>0</v>
      </c>
      <c r="N99" s="113">
        <f t="shared" si="37"/>
        <v>0</v>
      </c>
      <c r="O99" s="114">
        <v>0</v>
      </c>
      <c r="P99" s="65">
        <f t="shared" ref="P99:P121" si="40">(I99*N99)+M99</f>
        <v>0</v>
      </c>
    </row>
    <row r="100" spans="2:16" ht="15.6" x14ac:dyDescent="0.3">
      <c r="B100" s="3">
        <v>5302</v>
      </c>
      <c r="C100" s="81" t="s">
        <v>100</v>
      </c>
      <c r="D100" s="112"/>
      <c r="E100" s="68">
        <v>0</v>
      </c>
      <c r="F100" s="113">
        <f t="shared" si="32"/>
        <v>0</v>
      </c>
      <c r="G100" s="65">
        <f t="shared" ref="G100:G121" si="41">E100*(1+F100)</f>
        <v>0</v>
      </c>
      <c r="H100" s="113">
        <f t="shared" si="33"/>
        <v>0</v>
      </c>
      <c r="I100" s="65">
        <f t="shared" si="38"/>
        <v>0</v>
      </c>
      <c r="J100" s="113">
        <f t="shared" si="34"/>
        <v>0</v>
      </c>
      <c r="K100" s="65">
        <f t="shared" si="39"/>
        <v>0</v>
      </c>
      <c r="L100" s="113">
        <f t="shared" si="35"/>
        <v>0</v>
      </c>
      <c r="M100" s="65">
        <f t="shared" si="36"/>
        <v>0</v>
      </c>
      <c r="N100" s="113">
        <f t="shared" si="37"/>
        <v>0</v>
      </c>
      <c r="O100" s="114">
        <v>0</v>
      </c>
      <c r="P100" s="65">
        <f t="shared" si="40"/>
        <v>0</v>
      </c>
    </row>
    <row r="101" spans="2:16" ht="15.6" x14ac:dyDescent="0.3">
      <c r="B101" s="3">
        <v>5303</v>
      </c>
      <c r="C101" s="81" t="s">
        <v>100</v>
      </c>
      <c r="D101" s="112"/>
      <c r="E101" s="68">
        <v>0</v>
      </c>
      <c r="F101" s="113">
        <f t="shared" si="32"/>
        <v>0</v>
      </c>
      <c r="G101" s="65">
        <f t="shared" si="41"/>
        <v>0</v>
      </c>
      <c r="H101" s="113">
        <f t="shared" si="33"/>
        <v>0</v>
      </c>
      <c r="I101" s="65">
        <f t="shared" si="38"/>
        <v>0</v>
      </c>
      <c r="J101" s="113">
        <f t="shared" si="34"/>
        <v>0</v>
      </c>
      <c r="K101" s="65">
        <f t="shared" si="39"/>
        <v>0</v>
      </c>
      <c r="L101" s="113">
        <f t="shared" si="35"/>
        <v>0</v>
      </c>
      <c r="M101" s="65">
        <f t="shared" si="36"/>
        <v>0</v>
      </c>
      <c r="N101" s="113">
        <f t="shared" si="37"/>
        <v>0</v>
      </c>
      <c r="O101" s="114">
        <v>0</v>
      </c>
      <c r="P101" s="65">
        <f t="shared" si="40"/>
        <v>0</v>
      </c>
    </row>
    <row r="102" spans="2:16" ht="15.6" x14ac:dyDescent="0.3">
      <c r="B102" s="3">
        <v>5304</v>
      </c>
      <c r="C102" s="81" t="s">
        <v>100</v>
      </c>
      <c r="D102" s="112"/>
      <c r="E102" s="68">
        <v>0</v>
      </c>
      <c r="F102" s="113">
        <f t="shared" si="32"/>
        <v>0</v>
      </c>
      <c r="G102" s="65">
        <f t="shared" si="41"/>
        <v>0</v>
      </c>
      <c r="H102" s="113">
        <f t="shared" si="33"/>
        <v>0</v>
      </c>
      <c r="I102" s="65">
        <f t="shared" si="38"/>
        <v>0</v>
      </c>
      <c r="J102" s="113">
        <f t="shared" si="34"/>
        <v>0</v>
      </c>
      <c r="K102" s="65">
        <f t="shared" si="39"/>
        <v>0</v>
      </c>
      <c r="L102" s="113">
        <f t="shared" si="35"/>
        <v>0</v>
      </c>
      <c r="M102" s="65">
        <f t="shared" si="36"/>
        <v>0</v>
      </c>
      <c r="N102" s="113">
        <f t="shared" si="37"/>
        <v>0</v>
      </c>
      <c r="O102" s="114">
        <v>0</v>
      </c>
      <c r="P102" s="65">
        <f t="shared" si="40"/>
        <v>0</v>
      </c>
    </row>
    <row r="103" spans="2:16" ht="15.6" x14ac:dyDescent="0.3">
      <c r="B103" s="3">
        <v>5305</v>
      </c>
      <c r="C103" s="81" t="s">
        <v>100</v>
      </c>
      <c r="D103" s="112"/>
      <c r="E103" s="68">
        <v>0</v>
      </c>
      <c r="F103" s="113">
        <f t="shared" si="32"/>
        <v>0</v>
      </c>
      <c r="G103" s="65">
        <f t="shared" si="41"/>
        <v>0</v>
      </c>
      <c r="H103" s="113">
        <f t="shared" si="33"/>
        <v>0</v>
      </c>
      <c r="I103" s="65">
        <f t="shared" si="38"/>
        <v>0</v>
      </c>
      <c r="J103" s="113">
        <f t="shared" si="34"/>
        <v>0</v>
      </c>
      <c r="K103" s="65">
        <f t="shared" si="39"/>
        <v>0</v>
      </c>
      <c r="L103" s="113">
        <f t="shared" si="35"/>
        <v>0</v>
      </c>
      <c r="M103" s="65">
        <f t="shared" si="36"/>
        <v>0</v>
      </c>
      <c r="N103" s="113">
        <f t="shared" si="37"/>
        <v>0</v>
      </c>
      <c r="O103" s="114">
        <v>0</v>
      </c>
      <c r="P103" s="65">
        <f t="shared" si="40"/>
        <v>0</v>
      </c>
    </row>
    <row r="104" spans="2:16" ht="15.6" x14ac:dyDescent="0.3">
      <c r="B104" s="3">
        <v>5306</v>
      </c>
      <c r="C104" s="81" t="s">
        <v>100</v>
      </c>
      <c r="D104" s="112"/>
      <c r="E104" s="68">
        <v>0</v>
      </c>
      <c r="F104" s="113">
        <f t="shared" si="32"/>
        <v>0</v>
      </c>
      <c r="G104" s="65">
        <f t="shared" si="41"/>
        <v>0</v>
      </c>
      <c r="H104" s="113">
        <f t="shared" si="33"/>
        <v>0</v>
      </c>
      <c r="I104" s="65">
        <f t="shared" si="38"/>
        <v>0</v>
      </c>
      <c r="J104" s="113">
        <f t="shared" si="34"/>
        <v>0</v>
      </c>
      <c r="K104" s="65">
        <f t="shared" si="39"/>
        <v>0</v>
      </c>
      <c r="L104" s="113">
        <f t="shared" si="35"/>
        <v>0</v>
      </c>
      <c r="M104" s="65">
        <f t="shared" si="36"/>
        <v>0</v>
      </c>
      <c r="N104" s="113">
        <f t="shared" si="37"/>
        <v>0</v>
      </c>
      <c r="O104" s="114">
        <v>0</v>
      </c>
      <c r="P104" s="65">
        <f t="shared" si="40"/>
        <v>0</v>
      </c>
    </row>
    <row r="105" spans="2:16" ht="15.6" x14ac:dyDescent="0.3">
      <c r="B105" s="3">
        <v>5307</v>
      </c>
      <c r="C105" s="81" t="s">
        <v>100</v>
      </c>
      <c r="D105" s="112"/>
      <c r="E105" s="68">
        <v>0</v>
      </c>
      <c r="F105" s="113">
        <f t="shared" si="32"/>
        <v>0</v>
      </c>
      <c r="G105" s="65">
        <f t="shared" si="41"/>
        <v>0</v>
      </c>
      <c r="H105" s="113">
        <f t="shared" si="33"/>
        <v>0</v>
      </c>
      <c r="I105" s="65">
        <f t="shared" si="38"/>
        <v>0</v>
      </c>
      <c r="J105" s="113">
        <f t="shared" si="34"/>
        <v>0</v>
      </c>
      <c r="K105" s="65">
        <f t="shared" si="39"/>
        <v>0</v>
      </c>
      <c r="L105" s="113">
        <f t="shared" si="35"/>
        <v>0</v>
      </c>
      <c r="M105" s="65">
        <f t="shared" si="36"/>
        <v>0</v>
      </c>
      <c r="N105" s="113">
        <f t="shared" si="37"/>
        <v>0</v>
      </c>
      <c r="O105" s="114">
        <v>0</v>
      </c>
      <c r="P105" s="65">
        <f t="shared" si="40"/>
        <v>0</v>
      </c>
    </row>
    <row r="106" spans="2:16" ht="15.6" x14ac:dyDescent="0.3">
      <c r="B106" s="3">
        <v>5308</v>
      </c>
      <c r="C106" s="81" t="s">
        <v>100</v>
      </c>
      <c r="D106" s="112"/>
      <c r="E106" s="68">
        <v>0</v>
      </c>
      <c r="F106" s="113">
        <f t="shared" si="32"/>
        <v>0</v>
      </c>
      <c r="G106" s="65">
        <f t="shared" si="41"/>
        <v>0</v>
      </c>
      <c r="H106" s="113">
        <f t="shared" si="33"/>
        <v>0</v>
      </c>
      <c r="I106" s="65">
        <f t="shared" si="38"/>
        <v>0</v>
      </c>
      <c r="J106" s="113">
        <f t="shared" si="34"/>
        <v>0</v>
      </c>
      <c r="K106" s="65">
        <f t="shared" si="39"/>
        <v>0</v>
      </c>
      <c r="L106" s="113">
        <f t="shared" si="35"/>
        <v>0</v>
      </c>
      <c r="M106" s="65">
        <f t="shared" si="36"/>
        <v>0</v>
      </c>
      <c r="N106" s="113">
        <f t="shared" si="37"/>
        <v>0</v>
      </c>
      <c r="O106" s="114">
        <v>0</v>
      </c>
      <c r="P106" s="65">
        <f t="shared" si="40"/>
        <v>0</v>
      </c>
    </row>
    <row r="107" spans="2:16" ht="15.6" x14ac:dyDescent="0.3">
      <c r="B107" s="3">
        <v>5309</v>
      </c>
      <c r="C107" s="81" t="s">
        <v>101</v>
      </c>
      <c r="D107" s="112"/>
      <c r="E107" s="68">
        <v>0</v>
      </c>
      <c r="F107" s="113">
        <f t="shared" si="32"/>
        <v>0</v>
      </c>
      <c r="G107" s="65">
        <f t="shared" si="41"/>
        <v>0</v>
      </c>
      <c r="H107" s="113">
        <f t="shared" si="33"/>
        <v>0</v>
      </c>
      <c r="I107" s="65">
        <f t="shared" si="38"/>
        <v>0</v>
      </c>
      <c r="J107" s="113">
        <f t="shared" si="34"/>
        <v>0</v>
      </c>
      <c r="K107" s="65">
        <f t="shared" si="39"/>
        <v>0</v>
      </c>
      <c r="L107" s="113">
        <f t="shared" si="35"/>
        <v>0</v>
      </c>
      <c r="M107" s="65">
        <f t="shared" si="36"/>
        <v>0</v>
      </c>
      <c r="N107" s="113">
        <f t="shared" si="37"/>
        <v>0</v>
      </c>
      <c r="O107" s="114">
        <v>0</v>
      </c>
      <c r="P107" s="65">
        <f t="shared" si="40"/>
        <v>0</v>
      </c>
    </row>
    <row r="108" spans="2:16" ht="15.6" x14ac:dyDescent="0.3">
      <c r="B108" s="3">
        <v>5310</v>
      </c>
      <c r="C108" s="81" t="s">
        <v>132</v>
      </c>
      <c r="D108" s="112"/>
      <c r="E108" s="68">
        <v>0</v>
      </c>
      <c r="F108" s="113">
        <f t="shared" si="32"/>
        <v>0</v>
      </c>
      <c r="G108" s="65">
        <f t="shared" si="41"/>
        <v>0</v>
      </c>
      <c r="H108" s="113">
        <f t="shared" si="33"/>
        <v>0</v>
      </c>
      <c r="I108" s="65">
        <f t="shared" si="38"/>
        <v>0</v>
      </c>
      <c r="J108" s="113">
        <f t="shared" si="34"/>
        <v>0</v>
      </c>
      <c r="K108" s="65">
        <f t="shared" si="39"/>
        <v>0</v>
      </c>
      <c r="L108" s="113">
        <f t="shared" si="35"/>
        <v>0</v>
      </c>
      <c r="M108" s="65">
        <f t="shared" si="36"/>
        <v>0</v>
      </c>
      <c r="N108" s="113">
        <f t="shared" si="37"/>
        <v>0</v>
      </c>
      <c r="O108" s="114">
        <v>0</v>
      </c>
      <c r="P108" s="65">
        <f t="shared" si="40"/>
        <v>0</v>
      </c>
    </row>
    <row r="109" spans="2:16" ht="15.6" x14ac:dyDescent="0.3">
      <c r="B109" s="3">
        <v>5311</v>
      </c>
      <c r="C109" s="81" t="s">
        <v>131</v>
      </c>
      <c r="D109" s="112"/>
      <c r="E109" s="68">
        <v>0</v>
      </c>
      <c r="F109" s="113">
        <f t="shared" si="32"/>
        <v>0</v>
      </c>
      <c r="G109" s="65">
        <f t="shared" si="41"/>
        <v>0</v>
      </c>
      <c r="H109" s="113">
        <f t="shared" si="33"/>
        <v>0</v>
      </c>
      <c r="I109" s="65">
        <f t="shared" si="38"/>
        <v>0</v>
      </c>
      <c r="J109" s="113">
        <f t="shared" si="34"/>
        <v>0</v>
      </c>
      <c r="K109" s="65">
        <f t="shared" si="39"/>
        <v>0</v>
      </c>
      <c r="L109" s="113">
        <f t="shared" si="35"/>
        <v>0</v>
      </c>
      <c r="M109" s="65">
        <f t="shared" si="36"/>
        <v>0</v>
      </c>
      <c r="N109" s="113">
        <f t="shared" si="37"/>
        <v>0</v>
      </c>
      <c r="O109" s="114">
        <v>0</v>
      </c>
      <c r="P109" s="65">
        <f t="shared" si="40"/>
        <v>0</v>
      </c>
    </row>
    <row r="110" spans="2:16" ht="15.6" x14ac:dyDescent="0.3">
      <c r="B110" s="3">
        <v>5312</v>
      </c>
      <c r="C110" s="81" t="s">
        <v>129</v>
      </c>
      <c r="D110" s="112"/>
      <c r="E110" s="68">
        <v>0</v>
      </c>
      <c r="F110" s="113">
        <f t="shared" si="32"/>
        <v>0</v>
      </c>
      <c r="G110" s="65">
        <f t="shared" si="41"/>
        <v>0</v>
      </c>
      <c r="H110" s="113">
        <f t="shared" si="33"/>
        <v>0</v>
      </c>
      <c r="I110" s="65">
        <f t="shared" si="38"/>
        <v>0</v>
      </c>
      <c r="J110" s="113">
        <f t="shared" si="34"/>
        <v>0</v>
      </c>
      <c r="K110" s="65">
        <f t="shared" si="39"/>
        <v>0</v>
      </c>
      <c r="L110" s="113">
        <f t="shared" si="35"/>
        <v>0</v>
      </c>
      <c r="M110" s="65">
        <f t="shared" si="36"/>
        <v>0</v>
      </c>
      <c r="N110" s="113">
        <f t="shared" si="37"/>
        <v>0</v>
      </c>
      <c r="O110" s="114">
        <v>0</v>
      </c>
      <c r="P110" s="65">
        <f t="shared" si="40"/>
        <v>0</v>
      </c>
    </row>
    <row r="111" spans="2:16" ht="15.6" x14ac:dyDescent="0.3">
      <c r="B111" s="3">
        <v>5313</v>
      </c>
      <c r="C111" s="81" t="s">
        <v>130</v>
      </c>
      <c r="D111" s="112"/>
      <c r="E111" s="68">
        <v>0</v>
      </c>
      <c r="F111" s="113">
        <f t="shared" si="32"/>
        <v>0</v>
      </c>
      <c r="G111" s="65">
        <f t="shared" si="41"/>
        <v>0</v>
      </c>
      <c r="H111" s="113">
        <f t="shared" si="33"/>
        <v>0</v>
      </c>
      <c r="I111" s="65">
        <f t="shared" si="38"/>
        <v>0</v>
      </c>
      <c r="J111" s="113">
        <f t="shared" si="34"/>
        <v>0</v>
      </c>
      <c r="K111" s="65">
        <f t="shared" si="39"/>
        <v>0</v>
      </c>
      <c r="L111" s="113">
        <f t="shared" si="35"/>
        <v>0</v>
      </c>
      <c r="M111" s="65">
        <f t="shared" si="36"/>
        <v>0</v>
      </c>
      <c r="N111" s="113">
        <f t="shared" si="37"/>
        <v>0</v>
      </c>
      <c r="O111" s="114">
        <v>0</v>
      </c>
      <c r="P111" s="65">
        <f t="shared" si="40"/>
        <v>0</v>
      </c>
    </row>
    <row r="112" spans="2:16" ht="15.6" x14ac:dyDescent="0.3">
      <c r="B112" s="3">
        <v>5314</v>
      </c>
      <c r="C112" s="81" t="s">
        <v>106</v>
      </c>
      <c r="D112" s="112"/>
      <c r="E112" s="68">
        <v>0</v>
      </c>
      <c r="F112" s="113">
        <f t="shared" si="32"/>
        <v>0</v>
      </c>
      <c r="G112" s="65">
        <f t="shared" si="41"/>
        <v>0</v>
      </c>
      <c r="H112" s="113">
        <f t="shared" si="33"/>
        <v>0</v>
      </c>
      <c r="I112" s="65">
        <f t="shared" si="38"/>
        <v>0</v>
      </c>
      <c r="J112" s="113">
        <f t="shared" si="34"/>
        <v>0</v>
      </c>
      <c r="K112" s="65">
        <f t="shared" si="39"/>
        <v>0</v>
      </c>
      <c r="L112" s="113">
        <f t="shared" si="35"/>
        <v>0</v>
      </c>
      <c r="M112" s="65">
        <f t="shared" si="36"/>
        <v>0</v>
      </c>
      <c r="N112" s="113">
        <f t="shared" si="37"/>
        <v>0</v>
      </c>
      <c r="O112" s="114">
        <v>0</v>
      </c>
      <c r="P112" s="65">
        <f t="shared" si="40"/>
        <v>0</v>
      </c>
    </row>
    <row r="113" spans="2:16" ht="15.6" x14ac:dyDescent="0.3">
      <c r="B113" s="3">
        <v>5315</v>
      </c>
      <c r="C113" s="81" t="s">
        <v>106</v>
      </c>
      <c r="D113" s="112"/>
      <c r="E113" s="68">
        <v>0</v>
      </c>
      <c r="F113" s="113">
        <f t="shared" si="32"/>
        <v>0</v>
      </c>
      <c r="G113" s="65">
        <f t="shared" si="41"/>
        <v>0</v>
      </c>
      <c r="H113" s="113">
        <f t="shared" si="33"/>
        <v>0</v>
      </c>
      <c r="I113" s="65">
        <f t="shared" si="38"/>
        <v>0</v>
      </c>
      <c r="J113" s="113">
        <f t="shared" si="34"/>
        <v>0</v>
      </c>
      <c r="K113" s="65">
        <f t="shared" si="39"/>
        <v>0</v>
      </c>
      <c r="L113" s="113">
        <f t="shared" si="35"/>
        <v>0</v>
      </c>
      <c r="M113" s="65">
        <f t="shared" si="36"/>
        <v>0</v>
      </c>
      <c r="N113" s="113">
        <f t="shared" si="37"/>
        <v>0</v>
      </c>
      <c r="O113" s="114">
        <v>0</v>
      </c>
      <c r="P113" s="65">
        <f t="shared" si="40"/>
        <v>0</v>
      </c>
    </row>
    <row r="114" spans="2:16" ht="15.6" x14ac:dyDescent="0.3">
      <c r="B114" s="3">
        <v>5316</v>
      </c>
      <c r="C114" s="81" t="s">
        <v>106</v>
      </c>
      <c r="D114" s="112"/>
      <c r="E114" s="68">
        <v>0</v>
      </c>
      <c r="F114" s="113">
        <f t="shared" si="32"/>
        <v>0</v>
      </c>
      <c r="G114" s="65">
        <f t="shared" si="41"/>
        <v>0</v>
      </c>
      <c r="H114" s="113">
        <f t="shared" si="33"/>
        <v>0</v>
      </c>
      <c r="I114" s="65">
        <f t="shared" si="38"/>
        <v>0</v>
      </c>
      <c r="J114" s="113">
        <f t="shared" si="34"/>
        <v>0</v>
      </c>
      <c r="K114" s="65">
        <f t="shared" si="39"/>
        <v>0</v>
      </c>
      <c r="L114" s="113">
        <f t="shared" si="35"/>
        <v>0</v>
      </c>
      <c r="M114" s="65">
        <f t="shared" si="36"/>
        <v>0</v>
      </c>
      <c r="N114" s="113">
        <f t="shared" si="37"/>
        <v>0</v>
      </c>
      <c r="O114" s="114">
        <v>0</v>
      </c>
      <c r="P114" s="65">
        <f t="shared" si="40"/>
        <v>0</v>
      </c>
    </row>
    <row r="115" spans="2:16" ht="15.6" x14ac:dyDescent="0.3">
      <c r="B115" s="3">
        <v>5317</v>
      </c>
      <c r="C115" s="81" t="s">
        <v>107</v>
      </c>
      <c r="D115" s="112"/>
      <c r="E115" s="68">
        <v>0</v>
      </c>
      <c r="F115" s="113">
        <f t="shared" si="32"/>
        <v>0</v>
      </c>
      <c r="G115" s="65">
        <f t="shared" si="41"/>
        <v>0</v>
      </c>
      <c r="H115" s="113">
        <f t="shared" si="33"/>
        <v>0</v>
      </c>
      <c r="I115" s="65">
        <f t="shared" si="38"/>
        <v>0</v>
      </c>
      <c r="J115" s="113">
        <f t="shared" si="34"/>
        <v>0</v>
      </c>
      <c r="K115" s="65">
        <f t="shared" si="39"/>
        <v>0</v>
      </c>
      <c r="L115" s="113">
        <f t="shared" si="35"/>
        <v>0</v>
      </c>
      <c r="M115" s="65">
        <f t="shared" si="36"/>
        <v>0</v>
      </c>
      <c r="N115" s="113">
        <f t="shared" si="37"/>
        <v>0</v>
      </c>
      <c r="O115" s="114">
        <v>0</v>
      </c>
      <c r="P115" s="65">
        <f t="shared" si="40"/>
        <v>0</v>
      </c>
    </row>
    <row r="116" spans="2:16" ht="15.6" x14ac:dyDescent="0.3">
      <c r="B116" s="3">
        <v>5318</v>
      </c>
      <c r="C116" s="81" t="s">
        <v>108</v>
      </c>
      <c r="D116" s="112"/>
      <c r="E116" s="68">
        <v>0</v>
      </c>
      <c r="F116" s="113">
        <f t="shared" si="32"/>
        <v>0</v>
      </c>
      <c r="G116" s="65">
        <f t="shared" si="41"/>
        <v>0</v>
      </c>
      <c r="H116" s="113">
        <f t="shared" si="33"/>
        <v>0</v>
      </c>
      <c r="I116" s="65">
        <f t="shared" si="38"/>
        <v>0</v>
      </c>
      <c r="J116" s="113">
        <f t="shared" si="34"/>
        <v>0</v>
      </c>
      <c r="K116" s="65">
        <f t="shared" si="39"/>
        <v>0</v>
      </c>
      <c r="L116" s="113">
        <f t="shared" si="35"/>
        <v>0</v>
      </c>
      <c r="M116" s="65">
        <f t="shared" si="36"/>
        <v>0</v>
      </c>
      <c r="N116" s="113">
        <f t="shared" si="37"/>
        <v>0</v>
      </c>
      <c r="O116" s="114">
        <v>0</v>
      </c>
      <c r="P116" s="65">
        <f t="shared" si="40"/>
        <v>0</v>
      </c>
    </row>
    <row r="117" spans="2:16" ht="15.6" x14ac:dyDescent="0.3">
      <c r="B117" s="3">
        <v>5319</v>
      </c>
      <c r="C117" s="81" t="s">
        <v>107</v>
      </c>
      <c r="D117" s="112"/>
      <c r="E117" s="68">
        <v>0</v>
      </c>
      <c r="F117" s="113">
        <f t="shared" si="32"/>
        <v>0</v>
      </c>
      <c r="G117" s="65">
        <f t="shared" si="41"/>
        <v>0</v>
      </c>
      <c r="H117" s="113">
        <f t="shared" si="33"/>
        <v>0</v>
      </c>
      <c r="I117" s="65">
        <f t="shared" si="38"/>
        <v>0</v>
      </c>
      <c r="J117" s="113">
        <f t="shared" si="34"/>
        <v>0</v>
      </c>
      <c r="K117" s="65">
        <f t="shared" si="39"/>
        <v>0</v>
      </c>
      <c r="L117" s="113">
        <f t="shared" si="35"/>
        <v>0</v>
      </c>
      <c r="M117" s="65">
        <f t="shared" si="36"/>
        <v>0</v>
      </c>
      <c r="N117" s="113">
        <f t="shared" si="37"/>
        <v>0</v>
      </c>
      <c r="O117" s="114">
        <v>0</v>
      </c>
      <c r="P117" s="65">
        <f t="shared" si="40"/>
        <v>0</v>
      </c>
    </row>
    <row r="118" spans="2:16" ht="15.6" x14ac:dyDescent="0.3">
      <c r="B118" s="3">
        <v>5320</v>
      </c>
      <c r="C118" s="81" t="s">
        <v>106</v>
      </c>
      <c r="D118" s="112"/>
      <c r="E118" s="68">
        <v>0</v>
      </c>
      <c r="F118" s="113">
        <f t="shared" si="32"/>
        <v>0</v>
      </c>
      <c r="G118" s="65">
        <f t="shared" si="41"/>
        <v>0</v>
      </c>
      <c r="H118" s="113">
        <f t="shared" si="33"/>
        <v>0</v>
      </c>
      <c r="I118" s="65">
        <f t="shared" si="38"/>
        <v>0</v>
      </c>
      <c r="J118" s="113">
        <f t="shared" si="34"/>
        <v>0</v>
      </c>
      <c r="K118" s="65">
        <f t="shared" si="39"/>
        <v>0</v>
      </c>
      <c r="L118" s="113">
        <f t="shared" si="35"/>
        <v>0</v>
      </c>
      <c r="M118" s="65">
        <f t="shared" si="36"/>
        <v>0</v>
      </c>
      <c r="N118" s="113">
        <f t="shared" si="37"/>
        <v>0</v>
      </c>
      <c r="O118" s="114">
        <v>0</v>
      </c>
      <c r="P118" s="65">
        <f t="shared" si="40"/>
        <v>0</v>
      </c>
    </row>
    <row r="119" spans="2:16" ht="15.6" x14ac:dyDescent="0.3">
      <c r="B119" s="3">
        <v>5321</v>
      </c>
      <c r="C119" s="81" t="s">
        <v>106</v>
      </c>
      <c r="D119" s="112"/>
      <c r="E119" s="68">
        <v>0</v>
      </c>
      <c r="F119" s="113">
        <f t="shared" si="32"/>
        <v>0</v>
      </c>
      <c r="G119" s="65">
        <f t="shared" si="41"/>
        <v>0</v>
      </c>
      <c r="H119" s="113">
        <f t="shared" si="33"/>
        <v>0</v>
      </c>
      <c r="I119" s="65">
        <f t="shared" si="38"/>
        <v>0</v>
      </c>
      <c r="J119" s="113">
        <f t="shared" si="34"/>
        <v>0</v>
      </c>
      <c r="K119" s="65">
        <f t="shared" si="39"/>
        <v>0</v>
      </c>
      <c r="L119" s="113">
        <f t="shared" si="35"/>
        <v>0</v>
      </c>
      <c r="M119" s="65">
        <f t="shared" si="36"/>
        <v>0</v>
      </c>
      <c r="N119" s="113">
        <f t="shared" si="37"/>
        <v>0</v>
      </c>
      <c r="O119" s="114">
        <v>0</v>
      </c>
      <c r="P119" s="65">
        <f t="shared" si="40"/>
        <v>0</v>
      </c>
    </row>
    <row r="120" spans="2:16" ht="15.6" x14ac:dyDescent="0.3">
      <c r="B120" s="3">
        <v>5322</v>
      </c>
      <c r="C120" s="81" t="s">
        <v>106</v>
      </c>
      <c r="D120" s="112"/>
      <c r="E120" s="68">
        <v>0</v>
      </c>
      <c r="F120" s="113">
        <f t="shared" si="32"/>
        <v>0</v>
      </c>
      <c r="G120" s="65">
        <f t="shared" si="41"/>
        <v>0</v>
      </c>
      <c r="H120" s="113">
        <f t="shared" si="33"/>
        <v>0</v>
      </c>
      <c r="I120" s="65">
        <f t="shared" si="38"/>
        <v>0</v>
      </c>
      <c r="J120" s="113">
        <f t="shared" si="34"/>
        <v>0</v>
      </c>
      <c r="K120" s="65">
        <f t="shared" si="39"/>
        <v>0</v>
      </c>
      <c r="L120" s="113">
        <f t="shared" si="35"/>
        <v>0</v>
      </c>
      <c r="M120" s="65">
        <f t="shared" si="36"/>
        <v>0</v>
      </c>
      <c r="N120" s="113">
        <f t="shared" si="37"/>
        <v>0</v>
      </c>
      <c r="O120" s="114">
        <v>0</v>
      </c>
      <c r="P120" s="65">
        <f t="shared" si="40"/>
        <v>0</v>
      </c>
    </row>
    <row r="121" spans="2:16" ht="15.6" x14ac:dyDescent="0.3">
      <c r="B121" s="3">
        <v>5323</v>
      </c>
      <c r="C121" s="81" t="s">
        <v>106</v>
      </c>
      <c r="D121" s="112"/>
      <c r="E121" s="68">
        <v>0</v>
      </c>
      <c r="F121" s="113">
        <f t="shared" si="32"/>
        <v>0</v>
      </c>
      <c r="G121" s="65">
        <f t="shared" si="41"/>
        <v>0</v>
      </c>
      <c r="H121" s="113">
        <f t="shared" si="33"/>
        <v>0</v>
      </c>
      <c r="I121" s="65">
        <f t="shared" si="38"/>
        <v>0</v>
      </c>
      <c r="J121" s="113">
        <f t="shared" si="34"/>
        <v>0</v>
      </c>
      <c r="K121" s="65">
        <f t="shared" si="39"/>
        <v>0</v>
      </c>
      <c r="L121" s="113">
        <f t="shared" si="35"/>
        <v>0</v>
      </c>
      <c r="M121" s="65">
        <f t="shared" si="36"/>
        <v>0</v>
      </c>
      <c r="N121" s="113">
        <f t="shared" si="37"/>
        <v>0</v>
      </c>
      <c r="O121" s="114">
        <v>0</v>
      </c>
      <c r="P121" s="65">
        <f t="shared" si="40"/>
        <v>0</v>
      </c>
    </row>
    <row r="123" spans="2:16" x14ac:dyDescent="0.3">
      <c r="B123" s="115"/>
      <c r="C123" s="98"/>
      <c r="D123" s="99"/>
      <c r="E123" s="211" t="s">
        <v>97</v>
      </c>
      <c r="F123" s="212"/>
      <c r="G123" s="212"/>
      <c r="H123" s="212"/>
      <c r="I123" s="212"/>
      <c r="J123" s="212"/>
      <c r="K123" s="212"/>
      <c r="L123" s="212"/>
      <c r="M123" s="212"/>
      <c r="N123" s="212"/>
      <c r="O123" s="212"/>
      <c r="P123" s="212"/>
    </row>
    <row r="124" spans="2:16" s="122" customFormat="1" ht="69" x14ac:dyDescent="0.3">
      <c r="B124" s="116" t="s">
        <v>3</v>
      </c>
      <c r="C124" s="117" t="s">
        <v>70</v>
      </c>
      <c r="D124" s="118" t="s">
        <v>71</v>
      </c>
      <c r="E124" s="103" t="s">
        <v>72</v>
      </c>
      <c r="F124" s="102" t="s">
        <v>73</v>
      </c>
      <c r="G124" s="104" t="s">
        <v>74</v>
      </c>
      <c r="H124" s="102" t="s">
        <v>75</v>
      </c>
      <c r="I124" s="104" t="s">
        <v>76</v>
      </c>
      <c r="J124" s="102" t="s">
        <v>77</v>
      </c>
      <c r="K124" s="104" t="s">
        <v>78</v>
      </c>
      <c r="L124" s="102" t="s">
        <v>79</v>
      </c>
      <c r="M124" s="104" t="s">
        <v>80</v>
      </c>
      <c r="N124" s="106" t="s">
        <v>81</v>
      </c>
      <c r="O124" s="106" t="s">
        <v>93</v>
      </c>
      <c r="P124" s="104" t="s">
        <v>82</v>
      </c>
    </row>
    <row r="125" spans="2:16" x14ac:dyDescent="0.3">
      <c r="B125" s="123"/>
      <c r="C125" s="55"/>
      <c r="D125" s="55"/>
      <c r="E125" s="107">
        <v>0</v>
      </c>
      <c r="F125" s="108">
        <v>0</v>
      </c>
      <c r="G125" s="56"/>
      <c r="H125" s="108">
        <v>0</v>
      </c>
      <c r="I125" s="56"/>
      <c r="J125" s="108">
        <v>0</v>
      </c>
      <c r="K125" s="56"/>
      <c r="L125" s="108">
        <v>0</v>
      </c>
      <c r="M125" s="56"/>
      <c r="N125" s="109">
        <v>0</v>
      </c>
      <c r="O125" s="109">
        <v>0</v>
      </c>
      <c r="P125" s="56"/>
    </row>
    <row r="126" spans="2:16" x14ac:dyDescent="0.3">
      <c r="B126" s="110"/>
      <c r="C126" s="59"/>
      <c r="D126" s="59"/>
      <c r="E126" s="60"/>
      <c r="F126" s="61"/>
      <c r="G126" s="62"/>
      <c r="H126" s="61"/>
      <c r="I126" s="63"/>
      <c r="J126" s="61"/>
      <c r="K126" s="64"/>
      <c r="L126" s="64"/>
      <c r="M126" s="64"/>
      <c r="N126" s="111"/>
      <c r="O126" s="111"/>
      <c r="P126" s="64"/>
    </row>
    <row r="127" spans="2:16" ht="15.6" x14ac:dyDescent="0.3">
      <c r="B127" s="3">
        <v>5400</v>
      </c>
      <c r="C127" s="81" t="s">
        <v>98</v>
      </c>
      <c r="D127" s="112"/>
      <c r="E127" s="68">
        <v>0</v>
      </c>
      <c r="F127" s="113">
        <f t="shared" ref="F127:F150" si="42">$F$125</f>
        <v>0</v>
      </c>
      <c r="G127" s="65">
        <f>E127*(1+F127)</f>
        <v>0</v>
      </c>
      <c r="H127" s="113">
        <f t="shared" ref="H127:H150" si="43">$H$125</f>
        <v>0</v>
      </c>
      <c r="I127" s="65">
        <f>+G127*(1+H127)</f>
        <v>0</v>
      </c>
      <c r="J127" s="113">
        <f t="shared" ref="J127:J150" si="44">$J$125</f>
        <v>0</v>
      </c>
      <c r="K127" s="65">
        <f>+I127*(1+J127)</f>
        <v>0</v>
      </c>
      <c r="L127" s="113">
        <f t="shared" ref="L127:L150" si="45">$L$125</f>
        <v>0</v>
      </c>
      <c r="M127" s="65">
        <f t="shared" ref="M127:M150" si="46">E127*2.12*(1+L127)</f>
        <v>0</v>
      </c>
      <c r="N127" s="113">
        <f t="shared" ref="N127:N150" si="47">$N$125</f>
        <v>0</v>
      </c>
      <c r="O127" s="114">
        <v>0</v>
      </c>
      <c r="P127" s="65">
        <f>(I127*N127)+M127</f>
        <v>0</v>
      </c>
    </row>
    <row r="128" spans="2:16" ht="15.6" x14ac:dyDescent="0.3">
      <c r="B128" s="3">
        <v>5401</v>
      </c>
      <c r="C128" s="81" t="s">
        <v>99</v>
      </c>
      <c r="D128" s="112"/>
      <c r="E128" s="68">
        <v>0</v>
      </c>
      <c r="F128" s="113">
        <f t="shared" si="42"/>
        <v>0</v>
      </c>
      <c r="G128" s="65">
        <f>E128*(1+F128)</f>
        <v>0</v>
      </c>
      <c r="H128" s="113">
        <f t="shared" si="43"/>
        <v>0</v>
      </c>
      <c r="I128" s="65">
        <f t="shared" ref="I128:I150" si="48">+G128*(1+H128)</f>
        <v>0</v>
      </c>
      <c r="J128" s="113">
        <f t="shared" si="44"/>
        <v>0</v>
      </c>
      <c r="K128" s="65">
        <f t="shared" ref="K128:K150" si="49">+I128*(1+J128)</f>
        <v>0</v>
      </c>
      <c r="L128" s="113">
        <f t="shared" si="45"/>
        <v>0</v>
      </c>
      <c r="M128" s="65">
        <f t="shared" si="46"/>
        <v>0</v>
      </c>
      <c r="N128" s="113">
        <f t="shared" si="47"/>
        <v>0</v>
      </c>
      <c r="O128" s="114">
        <v>0</v>
      </c>
      <c r="P128" s="65">
        <f t="shared" ref="P128:P150" si="50">(I128*N128)+M128</f>
        <v>0</v>
      </c>
    </row>
    <row r="129" spans="2:16" ht="15.6" x14ac:dyDescent="0.3">
      <c r="B129" s="3">
        <v>5402</v>
      </c>
      <c r="C129" s="81" t="s">
        <v>100</v>
      </c>
      <c r="D129" s="112"/>
      <c r="E129" s="68">
        <v>0</v>
      </c>
      <c r="F129" s="113">
        <f t="shared" si="42"/>
        <v>0</v>
      </c>
      <c r="G129" s="65">
        <f t="shared" ref="G129:G150" si="51">E129*(1+F129)</f>
        <v>0</v>
      </c>
      <c r="H129" s="113">
        <f t="shared" si="43"/>
        <v>0</v>
      </c>
      <c r="I129" s="65">
        <f t="shared" si="48"/>
        <v>0</v>
      </c>
      <c r="J129" s="113">
        <f t="shared" si="44"/>
        <v>0</v>
      </c>
      <c r="K129" s="65">
        <f t="shared" si="49"/>
        <v>0</v>
      </c>
      <c r="L129" s="113">
        <f t="shared" si="45"/>
        <v>0</v>
      </c>
      <c r="M129" s="65">
        <f t="shared" si="46"/>
        <v>0</v>
      </c>
      <c r="N129" s="113">
        <f t="shared" si="47"/>
        <v>0</v>
      </c>
      <c r="O129" s="114">
        <v>0</v>
      </c>
      <c r="P129" s="65">
        <f t="shared" si="50"/>
        <v>0</v>
      </c>
    </row>
    <row r="130" spans="2:16" ht="15.6" x14ac:dyDescent="0.3">
      <c r="B130" s="3">
        <v>5403</v>
      </c>
      <c r="C130" s="81" t="s">
        <v>100</v>
      </c>
      <c r="D130" s="112"/>
      <c r="E130" s="68">
        <v>0</v>
      </c>
      <c r="F130" s="113">
        <f t="shared" si="42"/>
        <v>0</v>
      </c>
      <c r="G130" s="65">
        <f t="shared" si="51"/>
        <v>0</v>
      </c>
      <c r="H130" s="113">
        <f t="shared" si="43"/>
        <v>0</v>
      </c>
      <c r="I130" s="65">
        <f t="shared" si="48"/>
        <v>0</v>
      </c>
      <c r="J130" s="113">
        <f t="shared" si="44"/>
        <v>0</v>
      </c>
      <c r="K130" s="65">
        <f t="shared" si="49"/>
        <v>0</v>
      </c>
      <c r="L130" s="113">
        <f t="shared" si="45"/>
        <v>0</v>
      </c>
      <c r="M130" s="65">
        <f t="shared" si="46"/>
        <v>0</v>
      </c>
      <c r="N130" s="113">
        <f t="shared" si="47"/>
        <v>0</v>
      </c>
      <c r="O130" s="114">
        <v>0</v>
      </c>
      <c r="P130" s="65">
        <f t="shared" si="50"/>
        <v>0</v>
      </c>
    </row>
    <row r="131" spans="2:16" ht="15.6" x14ac:dyDescent="0.3">
      <c r="B131" s="3">
        <v>5404</v>
      </c>
      <c r="C131" s="81" t="s">
        <v>100</v>
      </c>
      <c r="D131" s="112"/>
      <c r="E131" s="68">
        <v>0</v>
      </c>
      <c r="F131" s="113">
        <f t="shared" si="42"/>
        <v>0</v>
      </c>
      <c r="G131" s="65">
        <f t="shared" si="51"/>
        <v>0</v>
      </c>
      <c r="H131" s="113">
        <f t="shared" si="43"/>
        <v>0</v>
      </c>
      <c r="I131" s="65">
        <f t="shared" si="48"/>
        <v>0</v>
      </c>
      <c r="J131" s="113">
        <f t="shared" si="44"/>
        <v>0</v>
      </c>
      <c r="K131" s="65">
        <f t="shared" si="49"/>
        <v>0</v>
      </c>
      <c r="L131" s="113">
        <f t="shared" si="45"/>
        <v>0</v>
      </c>
      <c r="M131" s="65">
        <f t="shared" si="46"/>
        <v>0</v>
      </c>
      <c r="N131" s="113">
        <f t="shared" si="47"/>
        <v>0</v>
      </c>
      <c r="O131" s="114">
        <v>0</v>
      </c>
      <c r="P131" s="65">
        <f t="shared" si="50"/>
        <v>0</v>
      </c>
    </row>
    <row r="132" spans="2:16" ht="15.6" x14ac:dyDescent="0.3">
      <c r="B132" s="3">
        <v>5405</v>
      </c>
      <c r="C132" s="81" t="s">
        <v>100</v>
      </c>
      <c r="D132" s="112"/>
      <c r="E132" s="68">
        <v>0</v>
      </c>
      <c r="F132" s="113">
        <f t="shared" si="42"/>
        <v>0</v>
      </c>
      <c r="G132" s="65">
        <f t="shared" si="51"/>
        <v>0</v>
      </c>
      <c r="H132" s="113">
        <f t="shared" si="43"/>
        <v>0</v>
      </c>
      <c r="I132" s="65">
        <f t="shared" si="48"/>
        <v>0</v>
      </c>
      <c r="J132" s="113">
        <f t="shared" si="44"/>
        <v>0</v>
      </c>
      <c r="K132" s="65">
        <f t="shared" si="49"/>
        <v>0</v>
      </c>
      <c r="L132" s="113">
        <f t="shared" si="45"/>
        <v>0</v>
      </c>
      <c r="M132" s="65">
        <f t="shared" si="46"/>
        <v>0</v>
      </c>
      <c r="N132" s="113">
        <f t="shared" si="47"/>
        <v>0</v>
      </c>
      <c r="O132" s="114">
        <v>0</v>
      </c>
      <c r="P132" s="65">
        <f t="shared" si="50"/>
        <v>0</v>
      </c>
    </row>
    <row r="133" spans="2:16" ht="15.6" x14ac:dyDescent="0.3">
      <c r="B133" s="3">
        <v>5406</v>
      </c>
      <c r="C133" s="81" t="s">
        <v>100</v>
      </c>
      <c r="D133" s="112"/>
      <c r="E133" s="68">
        <v>0</v>
      </c>
      <c r="F133" s="113">
        <f t="shared" si="42"/>
        <v>0</v>
      </c>
      <c r="G133" s="65">
        <f t="shared" si="51"/>
        <v>0</v>
      </c>
      <c r="H133" s="113">
        <f t="shared" si="43"/>
        <v>0</v>
      </c>
      <c r="I133" s="65">
        <f t="shared" si="48"/>
        <v>0</v>
      </c>
      <c r="J133" s="113">
        <f t="shared" si="44"/>
        <v>0</v>
      </c>
      <c r="K133" s="65">
        <f t="shared" si="49"/>
        <v>0</v>
      </c>
      <c r="L133" s="113">
        <f t="shared" si="45"/>
        <v>0</v>
      </c>
      <c r="M133" s="65">
        <f t="shared" si="46"/>
        <v>0</v>
      </c>
      <c r="N133" s="113">
        <f t="shared" si="47"/>
        <v>0</v>
      </c>
      <c r="O133" s="114">
        <v>0</v>
      </c>
      <c r="P133" s="65">
        <f t="shared" si="50"/>
        <v>0</v>
      </c>
    </row>
    <row r="134" spans="2:16" ht="15.6" x14ac:dyDescent="0.3">
      <c r="B134" s="3">
        <v>5407</v>
      </c>
      <c r="C134" s="81" t="s">
        <v>100</v>
      </c>
      <c r="D134" s="112"/>
      <c r="E134" s="68">
        <v>0</v>
      </c>
      <c r="F134" s="113">
        <f t="shared" si="42"/>
        <v>0</v>
      </c>
      <c r="G134" s="65">
        <f t="shared" si="51"/>
        <v>0</v>
      </c>
      <c r="H134" s="113">
        <f t="shared" si="43"/>
        <v>0</v>
      </c>
      <c r="I134" s="65">
        <f t="shared" si="48"/>
        <v>0</v>
      </c>
      <c r="J134" s="113">
        <f t="shared" si="44"/>
        <v>0</v>
      </c>
      <c r="K134" s="65">
        <f t="shared" si="49"/>
        <v>0</v>
      </c>
      <c r="L134" s="113">
        <f t="shared" si="45"/>
        <v>0</v>
      </c>
      <c r="M134" s="65">
        <f t="shared" si="46"/>
        <v>0</v>
      </c>
      <c r="N134" s="113">
        <f t="shared" si="47"/>
        <v>0</v>
      </c>
      <c r="O134" s="114">
        <v>0</v>
      </c>
      <c r="P134" s="65">
        <f t="shared" si="50"/>
        <v>0</v>
      </c>
    </row>
    <row r="135" spans="2:16" ht="15.6" x14ac:dyDescent="0.3">
      <c r="B135" s="3">
        <v>5408</v>
      </c>
      <c r="C135" s="81" t="s">
        <v>100</v>
      </c>
      <c r="D135" s="112"/>
      <c r="E135" s="68">
        <v>0</v>
      </c>
      <c r="F135" s="113">
        <f t="shared" si="42"/>
        <v>0</v>
      </c>
      <c r="G135" s="65">
        <f t="shared" si="51"/>
        <v>0</v>
      </c>
      <c r="H135" s="113">
        <f t="shared" si="43"/>
        <v>0</v>
      </c>
      <c r="I135" s="65">
        <f t="shared" si="48"/>
        <v>0</v>
      </c>
      <c r="J135" s="113">
        <f t="shared" si="44"/>
        <v>0</v>
      </c>
      <c r="K135" s="65">
        <f t="shared" si="49"/>
        <v>0</v>
      </c>
      <c r="L135" s="113">
        <f t="shared" si="45"/>
        <v>0</v>
      </c>
      <c r="M135" s="65">
        <f t="shared" si="46"/>
        <v>0</v>
      </c>
      <c r="N135" s="113">
        <f t="shared" si="47"/>
        <v>0</v>
      </c>
      <c r="O135" s="114">
        <v>0</v>
      </c>
      <c r="P135" s="65">
        <f t="shared" si="50"/>
        <v>0</v>
      </c>
    </row>
    <row r="136" spans="2:16" ht="15.6" x14ac:dyDescent="0.3">
      <c r="B136" s="3">
        <v>5409</v>
      </c>
      <c r="C136" s="81" t="s">
        <v>101</v>
      </c>
      <c r="D136" s="112"/>
      <c r="E136" s="68">
        <v>0</v>
      </c>
      <c r="F136" s="113">
        <f t="shared" si="42"/>
        <v>0</v>
      </c>
      <c r="G136" s="65">
        <f t="shared" si="51"/>
        <v>0</v>
      </c>
      <c r="H136" s="113">
        <f t="shared" si="43"/>
        <v>0</v>
      </c>
      <c r="I136" s="65">
        <f t="shared" si="48"/>
        <v>0</v>
      </c>
      <c r="J136" s="113">
        <f t="shared" si="44"/>
        <v>0</v>
      </c>
      <c r="K136" s="65">
        <f t="shared" si="49"/>
        <v>0</v>
      </c>
      <c r="L136" s="113">
        <f t="shared" si="45"/>
        <v>0</v>
      </c>
      <c r="M136" s="65">
        <f t="shared" si="46"/>
        <v>0</v>
      </c>
      <c r="N136" s="113">
        <f t="shared" si="47"/>
        <v>0</v>
      </c>
      <c r="O136" s="114">
        <v>0</v>
      </c>
      <c r="P136" s="65">
        <f t="shared" si="50"/>
        <v>0</v>
      </c>
    </row>
    <row r="137" spans="2:16" ht="15.6" x14ac:dyDescent="0.3">
      <c r="B137" s="3">
        <v>5410</v>
      </c>
      <c r="C137" s="81" t="s">
        <v>132</v>
      </c>
      <c r="D137" s="112"/>
      <c r="E137" s="68">
        <v>0</v>
      </c>
      <c r="F137" s="113">
        <f t="shared" si="42"/>
        <v>0</v>
      </c>
      <c r="G137" s="65">
        <f t="shared" si="51"/>
        <v>0</v>
      </c>
      <c r="H137" s="113">
        <f t="shared" si="43"/>
        <v>0</v>
      </c>
      <c r="I137" s="65">
        <f t="shared" si="48"/>
        <v>0</v>
      </c>
      <c r="J137" s="113">
        <f t="shared" si="44"/>
        <v>0</v>
      </c>
      <c r="K137" s="65">
        <f t="shared" si="49"/>
        <v>0</v>
      </c>
      <c r="L137" s="113">
        <f t="shared" si="45"/>
        <v>0</v>
      </c>
      <c r="M137" s="65">
        <f t="shared" si="46"/>
        <v>0</v>
      </c>
      <c r="N137" s="113">
        <f t="shared" si="47"/>
        <v>0</v>
      </c>
      <c r="O137" s="114">
        <v>0</v>
      </c>
      <c r="P137" s="65">
        <f t="shared" si="50"/>
        <v>0</v>
      </c>
    </row>
    <row r="138" spans="2:16" ht="15.6" x14ac:dyDescent="0.3">
      <c r="B138" s="3">
        <v>5411</v>
      </c>
      <c r="C138" s="81" t="s">
        <v>131</v>
      </c>
      <c r="D138" s="112"/>
      <c r="E138" s="68">
        <v>0</v>
      </c>
      <c r="F138" s="113">
        <f t="shared" si="42"/>
        <v>0</v>
      </c>
      <c r="G138" s="65">
        <f t="shared" si="51"/>
        <v>0</v>
      </c>
      <c r="H138" s="113">
        <f t="shared" si="43"/>
        <v>0</v>
      </c>
      <c r="I138" s="65">
        <f t="shared" si="48"/>
        <v>0</v>
      </c>
      <c r="J138" s="113">
        <f t="shared" si="44"/>
        <v>0</v>
      </c>
      <c r="K138" s="65">
        <f t="shared" si="49"/>
        <v>0</v>
      </c>
      <c r="L138" s="113">
        <f t="shared" si="45"/>
        <v>0</v>
      </c>
      <c r="M138" s="65">
        <f t="shared" si="46"/>
        <v>0</v>
      </c>
      <c r="N138" s="113">
        <f t="shared" si="47"/>
        <v>0</v>
      </c>
      <c r="O138" s="114">
        <v>0</v>
      </c>
      <c r="P138" s="65">
        <f t="shared" si="50"/>
        <v>0</v>
      </c>
    </row>
    <row r="139" spans="2:16" ht="15.6" x14ac:dyDescent="0.3">
      <c r="B139" s="3">
        <v>5412</v>
      </c>
      <c r="C139" s="81" t="s">
        <v>129</v>
      </c>
      <c r="D139" s="112"/>
      <c r="E139" s="68">
        <v>0</v>
      </c>
      <c r="F139" s="113">
        <f t="shared" si="42"/>
        <v>0</v>
      </c>
      <c r="G139" s="65">
        <f t="shared" si="51"/>
        <v>0</v>
      </c>
      <c r="H139" s="113">
        <f t="shared" si="43"/>
        <v>0</v>
      </c>
      <c r="I139" s="65">
        <f t="shared" si="48"/>
        <v>0</v>
      </c>
      <c r="J139" s="113">
        <f t="shared" si="44"/>
        <v>0</v>
      </c>
      <c r="K139" s="65">
        <f t="shared" si="49"/>
        <v>0</v>
      </c>
      <c r="L139" s="113">
        <f t="shared" si="45"/>
        <v>0</v>
      </c>
      <c r="M139" s="65">
        <f t="shared" si="46"/>
        <v>0</v>
      </c>
      <c r="N139" s="113">
        <f t="shared" si="47"/>
        <v>0</v>
      </c>
      <c r="O139" s="114">
        <v>0</v>
      </c>
      <c r="P139" s="65">
        <f t="shared" si="50"/>
        <v>0</v>
      </c>
    </row>
    <row r="140" spans="2:16" ht="15.6" x14ac:dyDescent="0.3">
      <c r="B140" s="3">
        <v>5413</v>
      </c>
      <c r="C140" s="81" t="s">
        <v>130</v>
      </c>
      <c r="D140" s="112"/>
      <c r="E140" s="68">
        <v>0</v>
      </c>
      <c r="F140" s="113">
        <f t="shared" si="42"/>
        <v>0</v>
      </c>
      <c r="G140" s="65">
        <f t="shared" si="51"/>
        <v>0</v>
      </c>
      <c r="H140" s="113">
        <f t="shared" si="43"/>
        <v>0</v>
      </c>
      <c r="I140" s="65">
        <f t="shared" si="48"/>
        <v>0</v>
      </c>
      <c r="J140" s="113">
        <f t="shared" si="44"/>
        <v>0</v>
      </c>
      <c r="K140" s="65">
        <f t="shared" si="49"/>
        <v>0</v>
      </c>
      <c r="L140" s="113">
        <f t="shared" si="45"/>
        <v>0</v>
      </c>
      <c r="M140" s="65">
        <f t="shared" si="46"/>
        <v>0</v>
      </c>
      <c r="N140" s="113">
        <f t="shared" si="47"/>
        <v>0</v>
      </c>
      <c r="O140" s="114">
        <v>0</v>
      </c>
      <c r="P140" s="65">
        <f t="shared" si="50"/>
        <v>0</v>
      </c>
    </row>
    <row r="141" spans="2:16" ht="15.6" x14ac:dyDescent="0.3">
      <c r="B141" s="3">
        <v>5414</v>
      </c>
      <c r="C141" s="81" t="s">
        <v>106</v>
      </c>
      <c r="D141" s="112"/>
      <c r="E141" s="68">
        <v>0</v>
      </c>
      <c r="F141" s="113">
        <f t="shared" si="42"/>
        <v>0</v>
      </c>
      <c r="G141" s="65">
        <f t="shared" si="51"/>
        <v>0</v>
      </c>
      <c r="H141" s="113">
        <f t="shared" si="43"/>
        <v>0</v>
      </c>
      <c r="I141" s="65">
        <f t="shared" si="48"/>
        <v>0</v>
      </c>
      <c r="J141" s="113">
        <f t="shared" si="44"/>
        <v>0</v>
      </c>
      <c r="K141" s="65">
        <f t="shared" si="49"/>
        <v>0</v>
      </c>
      <c r="L141" s="113">
        <f t="shared" si="45"/>
        <v>0</v>
      </c>
      <c r="M141" s="65">
        <f t="shared" si="46"/>
        <v>0</v>
      </c>
      <c r="N141" s="113">
        <f t="shared" si="47"/>
        <v>0</v>
      </c>
      <c r="O141" s="114">
        <v>0</v>
      </c>
      <c r="P141" s="65">
        <f t="shared" si="50"/>
        <v>0</v>
      </c>
    </row>
    <row r="142" spans="2:16" ht="15.6" x14ac:dyDescent="0.3">
      <c r="B142" s="3">
        <v>5415</v>
      </c>
      <c r="C142" s="81" t="s">
        <v>106</v>
      </c>
      <c r="D142" s="112"/>
      <c r="E142" s="68">
        <v>0</v>
      </c>
      <c r="F142" s="113">
        <f t="shared" si="42"/>
        <v>0</v>
      </c>
      <c r="G142" s="65">
        <f t="shared" si="51"/>
        <v>0</v>
      </c>
      <c r="H142" s="113">
        <f t="shared" si="43"/>
        <v>0</v>
      </c>
      <c r="I142" s="65">
        <f t="shared" si="48"/>
        <v>0</v>
      </c>
      <c r="J142" s="113">
        <f t="shared" si="44"/>
        <v>0</v>
      </c>
      <c r="K142" s="65">
        <f t="shared" si="49"/>
        <v>0</v>
      </c>
      <c r="L142" s="113">
        <f t="shared" si="45"/>
        <v>0</v>
      </c>
      <c r="M142" s="65">
        <f t="shared" si="46"/>
        <v>0</v>
      </c>
      <c r="N142" s="113">
        <f t="shared" si="47"/>
        <v>0</v>
      </c>
      <c r="O142" s="114">
        <v>0</v>
      </c>
      <c r="P142" s="65">
        <f t="shared" si="50"/>
        <v>0</v>
      </c>
    </row>
    <row r="143" spans="2:16" ht="15.6" x14ac:dyDescent="0.3">
      <c r="B143" s="3">
        <v>5416</v>
      </c>
      <c r="C143" s="81" t="s">
        <v>106</v>
      </c>
      <c r="D143" s="112"/>
      <c r="E143" s="68">
        <v>0</v>
      </c>
      <c r="F143" s="113">
        <f t="shared" si="42"/>
        <v>0</v>
      </c>
      <c r="G143" s="65">
        <f t="shared" si="51"/>
        <v>0</v>
      </c>
      <c r="H143" s="113">
        <f t="shared" si="43"/>
        <v>0</v>
      </c>
      <c r="I143" s="65">
        <f t="shared" si="48"/>
        <v>0</v>
      </c>
      <c r="J143" s="113">
        <f t="shared" si="44"/>
        <v>0</v>
      </c>
      <c r="K143" s="65">
        <f t="shared" si="49"/>
        <v>0</v>
      </c>
      <c r="L143" s="113">
        <f t="shared" si="45"/>
        <v>0</v>
      </c>
      <c r="M143" s="65">
        <f t="shared" si="46"/>
        <v>0</v>
      </c>
      <c r="N143" s="113">
        <f t="shared" si="47"/>
        <v>0</v>
      </c>
      <c r="O143" s="114">
        <v>0</v>
      </c>
      <c r="P143" s="65">
        <f t="shared" si="50"/>
        <v>0</v>
      </c>
    </row>
    <row r="144" spans="2:16" ht="15.6" x14ac:dyDescent="0.3">
      <c r="B144" s="3">
        <v>5417</v>
      </c>
      <c r="C144" s="81" t="s">
        <v>106</v>
      </c>
      <c r="D144" s="112"/>
      <c r="E144" s="68">
        <v>0</v>
      </c>
      <c r="F144" s="113">
        <f t="shared" si="42"/>
        <v>0</v>
      </c>
      <c r="G144" s="65">
        <f t="shared" si="51"/>
        <v>0</v>
      </c>
      <c r="H144" s="113">
        <f t="shared" si="43"/>
        <v>0</v>
      </c>
      <c r="I144" s="65">
        <f t="shared" si="48"/>
        <v>0</v>
      </c>
      <c r="J144" s="113">
        <f t="shared" si="44"/>
        <v>0</v>
      </c>
      <c r="K144" s="65">
        <f t="shared" si="49"/>
        <v>0</v>
      </c>
      <c r="L144" s="113">
        <f t="shared" si="45"/>
        <v>0</v>
      </c>
      <c r="M144" s="65">
        <f t="shared" si="46"/>
        <v>0</v>
      </c>
      <c r="N144" s="113">
        <f t="shared" si="47"/>
        <v>0</v>
      </c>
      <c r="O144" s="114">
        <v>0</v>
      </c>
      <c r="P144" s="65">
        <f t="shared" si="50"/>
        <v>0</v>
      </c>
    </row>
    <row r="145" spans="2:16" ht="15.6" x14ac:dyDescent="0.3">
      <c r="B145" s="3">
        <v>5418</v>
      </c>
      <c r="C145" s="81" t="s">
        <v>108</v>
      </c>
      <c r="D145" s="112"/>
      <c r="E145" s="68">
        <v>0</v>
      </c>
      <c r="F145" s="113">
        <f t="shared" si="42"/>
        <v>0</v>
      </c>
      <c r="G145" s="65">
        <f t="shared" si="51"/>
        <v>0</v>
      </c>
      <c r="H145" s="113">
        <f t="shared" si="43"/>
        <v>0</v>
      </c>
      <c r="I145" s="65">
        <f t="shared" si="48"/>
        <v>0</v>
      </c>
      <c r="J145" s="113">
        <f t="shared" si="44"/>
        <v>0</v>
      </c>
      <c r="K145" s="65">
        <f t="shared" si="49"/>
        <v>0</v>
      </c>
      <c r="L145" s="113">
        <f t="shared" si="45"/>
        <v>0</v>
      </c>
      <c r="M145" s="65">
        <f t="shared" si="46"/>
        <v>0</v>
      </c>
      <c r="N145" s="113">
        <f t="shared" si="47"/>
        <v>0</v>
      </c>
      <c r="O145" s="114">
        <v>0</v>
      </c>
      <c r="P145" s="65">
        <f t="shared" si="50"/>
        <v>0</v>
      </c>
    </row>
    <row r="146" spans="2:16" ht="15.6" x14ac:dyDescent="0.3">
      <c r="B146" s="3">
        <v>5418</v>
      </c>
      <c r="C146" s="81" t="s">
        <v>106</v>
      </c>
      <c r="D146" s="112"/>
      <c r="E146" s="68">
        <v>0</v>
      </c>
      <c r="F146" s="113">
        <f t="shared" si="42"/>
        <v>0</v>
      </c>
      <c r="G146" s="65">
        <f t="shared" si="51"/>
        <v>0</v>
      </c>
      <c r="H146" s="113">
        <f t="shared" si="43"/>
        <v>0</v>
      </c>
      <c r="I146" s="65">
        <f t="shared" si="48"/>
        <v>0</v>
      </c>
      <c r="J146" s="113">
        <f t="shared" si="44"/>
        <v>0</v>
      </c>
      <c r="K146" s="65">
        <f t="shared" si="49"/>
        <v>0</v>
      </c>
      <c r="L146" s="113">
        <f t="shared" si="45"/>
        <v>0</v>
      </c>
      <c r="M146" s="65">
        <f t="shared" si="46"/>
        <v>0</v>
      </c>
      <c r="N146" s="113">
        <f t="shared" si="47"/>
        <v>0</v>
      </c>
      <c r="O146" s="114">
        <v>0</v>
      </c>
      <c r="P146" s="65">
        <f t="shared" si="50"/>
        <v>0</v>
      </c>
    </row>
    <row r="147" spans="2:16" ht="15.6" x14ac:dyDescent="0.3">
      <c r="B147" s="3">
        <v>5420</v>
      </c>
      <c r="C147" s="81" t="s">
        <v>106</v>
      </c>
      <c r="D147" s="112"/>
      <c r="E147" s="68">
        <v>0</v>
      </c>
      <c r="F147" s="113">
        <f t="shared" si="42"/>
        <v>0</v>
      </c>
      <c r="G147" s="65">
        <f t="shared" si="51"/>
        <v>0</v>
      </c>
      <c r="H147" s="113">
        <f t="shared" si="43"/>
        <v>0</v>
      </c>
      <c r="I147" s="65">
        <f t="shared" si="48"/>
        <v>0</v>
      </c>
      <c r="J147" s="113">
        <f t="shared" si="44"/>
        <v>0</v>
      </c>
      <c r="K147" s="65">
        <f t="shared" si="49"/>
        <v>0</v>
      </c>
      <c r="L147" s="113">
        <f t="shared" si="45"/>
        <v>0</v>
      </c>
      <c r="M147" s="65">
        <f t="shared" si="46"/>
        <v>0</v>
      </c>
      <c r="N147" s="113">
        <f t="shared" si="47"/>
        <v>0</v>
      </c>
      <c r="O147" s="114">
        <v>0</v>
      </c>
      <c r="P147" s="65">
        <f t="shared" si="50"/>
        <v>0</v>
      </c>
    </row>
    <row r="148" spans="2:16" ht="15.6" x14ac:dyDescent="0.3">
      <c r="B148" s="3">
        <v>5421</v>
      </c>
      <c r="C148" s="81" t="s">
        <v>106</v>
      </c>
      <c r="D148" s="112"/>
      <c r="E148" s="68">
        <v>0</v>
      </c>
      <c r="F148" s="113">
        <f t="shared" si="42"/>
        <v>0</v>
      </c>
      <c r="G148" s="65">
        <f t="shared" si="51"/>
        <v>0</v>
      </c>
      <c r="H148" s="113">
        <f t="shared" si="43"/>
        <v>0</v>
      </c>
      <c r="I148" s="65">
        <f t="shared" si="48"/>
        <v>0</v>
      </c>
      <c r="J148" s="113">
        <f t="shared" si="44"/>
        <v>0</v>
      </c>
      <c r="K148" s="65">
        <f t="shared" si="49"/>
        <v>0</v>
      </c>
      <c r="L148" s="113">
        <f t="shared" si="45"/>
        <v>0</v>
      </c>
      <c r="M148" s="65">
        <f t="shared" si="46"/>
        <v>0</v>
      </c>
      <c r="N148" s="113">
        <f t="shared" si="47"/>
        <v>0</v>
      </c>
      <c r="O148" s="114">
        <v>0</v>
      </c>
      <c r="P148" s="65">
        <f t="shared" si="50"/>
        <v>0</v>
      </c>
    </row>
    <row r="149" spans="2:16" ht="15.6" x14ac:dyDescent="0.3">
      <c r="B149" s="3">
        <v>5422</v>
      </c>
      <c r="C149" s="81" t="s">
        <v>106</v>
      </c>
      <c r="D149" s="112"/>
      <c r="E149" s="68">
        <v>0</v>
      </c>
      <c r="F149" s="113">
        <f t="shared" si="42"/>
        <v>0</v>
      </c>
      <c r="G149" s="65">
        <f t="shared" si="51"/>
        <v>0</v>
      </c>
      <c r="H149" s="113">
        <f t="shared" si="43"/>
        <v>0</v>
      </c>
      <c r="I149" s="65">
        <f t="shared" si="48"/>
        <v>0</v>
      </c>
      <c r="J149" s="113">
        <f t="shared" si="44"/>
        <v>0</v>
      </c>
      <c r="K149" s="65">
        <f t="shared" si="49"/>
        <v>0</v>
      </c>
      <c r="L149" s="113">
        <f t="shared" si="45"/>
        <v>0</v>
      </c>
      <c r="M149" s="65">
        <f t="shared" si="46"/>
        <v>0</v>
      </c>
      <c r="N149" s="113">
        <f t="shared" si="47"/>
        <v>0</v>
      </c>
      <c r="O149" s="114">
        <v>0</v>
      </c>
      <c r="P149" s="65">
        <f t="shared" si="50"/>
        <v>0</v>
      </c>
    </row>
    <row r="150" spans="2:16" ht="15.6" x14ac:dyDescent="0.3">
      <c r="B150" s="3">
        <v>5423</v>
      </c>
      <c r="C150" s="81" t="s">
        <v>106</v>
      </c>
      <c r="D150" s="112"/>
      <c r="E150" s="68">
        <v>0</v>
      </c>
      <c r="F150" s="113">
        <f t="shared" si="42"/>
        <v>0</v>
      </c>
      <c r="G150" s="65">
        <f t="shared" si="51"/>
        <v>0</v>
      </c>
      <c r="H150" s="113">
        <f t="shared" si="43"/>
        <v>0</v>
      </c>
      <c r="I150" s="65">
        <f t="shared" si="48"/>
        <v>0</v>
      </c>
      <c r="J150" s="113">
        <f t="shared" si="44"/>
        <v>0</v>
      </c>
      <c r="K150" s="65">
        <f t="shared" si="49"/>
        <v>0</v>
      </c>
      <c r="L150" s="113">
        <f t="shared" si="45"/>
        <v>0</v>
      </c>
      <c r="M150" s="65">
        <f t="shared" si="46"/>
        <v>0</v>
      </c>
      <c r="N150" s="113">
        <f t="shared" si="47"/>
        <v>0</v>
      </c>
      <c r="O150" s="114">
        <v>0</v>
      </c>
      <c r="P150" s="65">
        <f t="shared" si="50"/>
        <v>0</v>
      </c>
    </row>
    <row r="151" spans="2:16" x14ac:dyDescent="0.3">
      <c r="P151"/>
    </row>
    <row r="152" spans="2:16" x14ac:dyDescent="0.3">
      <c r="P152"/>
    </row>
    <row r="153" spans="2:16" x14ac:dyDescent="0.3">
      <c r="P153"/>
    </row>
    <row r="154" spans="2:16" x14ac:dyDescent="0.3">
      <c r="P154"/>
    </row>
    <row r="155" spans="2:16" x14ac:dyDescent="0.3">
      <c r="P155"/>
    </row>
    <row r="156" spans="2:16" x14ac:dyDescent="0.3">
      <c r="P156"/>
    </row>
    <row r="157" spans="2:16" x14ac:dyDescent="0.3">
      <c r="P157"/>
    </row>
    <row r="158" spans="2:16" x14ac:dyDescent="0.3">
      <c r="P158"/>
    </row>
    <row r="159" spans="2:16" x14ac:dyDescent="0.3">
      <c r="P159"/>
    </row>
    <row r="160" spans="2:16" x14ac:dyDescent="0.3">
      <c r="P160"/>
    </row>
    <row r="161" spans="16:16" x14ac:dyDescent="0.3">
      <c r="P161"/>
    </row>
    <row r="162" spans="16:16" x14ac:dyDescent="0.3">
      <c r="P162"/>
    </row>
    <row r="163" spans="16:16" x14ac:dyDescent="0.3">
      <c r="P163"/>
    </row>
    <row r="164" spans="16:16" x14ac:dyDescent="0.3">
      <c r="P164"/>
    </row>
    <row r="165" spans="16:16" x14ac:dyDescent="0.3">
      <c r="P165"/>
    </row>
    <row r="166" spans="16:16" x14ac:dyDescent="0.3">
      <c r="P166"/>
    </row>
    <row r="167" spans="16:16" x14ac:dyDescent="0.3">
      <c r="P167"/>
    </row>
    <row r="168" spans="16:16" x14ac:dyDescent="0.3">
      <c r="P168"/>
    </row>
    <row r="169" spans="16:16" x14ac:dyDescent="0.3">
      <c r="P169"/>
    </row>
    <row r="170" spans="16:16" x14ac:dyDescent="0.3">
      <c r="P170"/>
    </row>
    <row r="171" spans="16:16" x14ac:dyDescent="0.3">
      <c r="P171"/>
    </row>
    <row r="172" spans="16:16" x14ac:dyDescent="0.3">
      <c r="P172"/>
    </row>
    <row r="173" spans="16:16" x14ac:dyDescent="0.3">
      <c r="P173"/>
    </row>
    <row r="174" spans="16:16" x14ac:dyDescent="0.3">
      <c r="P174"/>
    </row>
    <row r="175" spans="16:16" x14ac:dyDescent="0.3">
      <c r="P175"/>
    </row>
    <row r="176" spans="16:16" x14ac:dyDescent="0.3">
      <c r="P176"/>
    </row>
    <row r="177" spans="16:16" x14ac:dyDescent="0.3">
      <c r="P177"/>
    </row>
    <row r="178" spans="16:16" x14ac:dyDescent="0.3">
      <c r="P178"/>
    </row>
    <row r="179" spans="16:16" x14ac:dyDescent="0.3">
      <c r="P179"/>
    </row>
    <row r="180" spans="16:16" x14ac:dyDescent="0.3">
      <c r="P180"/>
    </row>
    <row r="181" spans="16:16" x14ac:dyDescent="0.3">
      <c r="P181"/>
    </row>
    <row r="182" spans="16:16" x14ac:dyDescent="0.3">
      <c r="P182"/>
    </row>
    <row r="183" spans="16:16" x14ac:dyDescent="0.3">
      <c r="P183"/>
    </row>
    <row r="184" spans="16:16" x14ac:dyDescent="0.3">
      <c r="P184"/>
    </row>
    <row r="185" spans="16:16" x14ac:dyDescent="0.3">
      <c r="P185"/>
    </row>
    <row r="186" spans="16:16" x14ac:dyDescent="0.3">
      <c r="P186"/>
    </row>
    <row r="187" spans="16:16" x14ac:dyDescent="0.3">
      <c r="P187"/>
    </row>
    <row r="188" spans="16:16" x14ac:dyDescent="0.3">
      <c r="P188"/>
    </row>
    <row r="189" spans="16:16" x14ac:dyDescent="0.3">
      <c r="P189"/>
    </row>
    <row r="190" spans="16:16" x14ac:dyDescent="0.3">
      <c r="P190"/>
    </row>
    <row r="191" spans="16:16" x14ac:dyDescent="0.3">
      <c r="P191"/>
    </row>
    <row r="192" spans="16:16" x14ac:dyDescent="0.3">
      <c r="P192"/>
    </row>
    <row r="193" spans="16:16" x14ac:dyDescent="0.3">
      <c r="P193"/>
    </row>
    <row r="194" spans="16:16" x14ac:dyDescent="0.3">
      <c r="P194"/>
    </row>
    <row r="195" spans="16:16" x14ac:dyDescent="0.3">
      <c r="P195"/>
    </row>
    <row r="196" spans="16:16" x14ac:dyDescent="0.3">
      <c r="P196"/>
    </row>
    <row r="197" spans="16:16" x14ac:dyDescent="0.3">
      <c r="P197"/>
    </row>
    <row r="198" spans="16:16" x14ac:dyDescent="0.3">
      <c r="P198"/>
    </row>
    <row r="199" spans="16:16" x14ac:dyDescent="0.3">
      <c r="P199"/>
    </row>
    <row r="200" spans="16:16" x14ac:dyDescent="0.3">
      <c r="P200"/>
    </row>
    <row r="201" spans="16:16" x14ac:dyDescent="0.3">
      <c r="P201"/>
    </row>
    <row r="202" spans="16:16" x14ac:dyDescent="0.3">
      <c r="P202"/>
    </row>
    <row r="203" spans="16:16" x14ac:dyDescent="0.3">
      <c r="P203"/>
    </row>
    <row r="204" spans="16:16" x14ac:dyDescent="0.3">
      <c r="P204"/>
    </row>
    <row r="205" spans="16:16" x14ac:dyDescent="0.3">
      <c r="P205"/>
    </row>
    <row r="206" spans="16:16" x14ac:dyDescent="0.3">
      <c r="P206"/>
    </row>
    <row r="207" spans="16:16" x14ac:dyDescent="0.3">
      <c r="P207"/>
    </row>
    <row r="208" spans="16:16" x14ac:dyDescent="0.3">
      <c r="P208"/>
    </row>
    <row r="209" spans="16:16" x14ac:dyDescent="0.3">
      <c r="P209"/>
    </row>
    <row r="210" spans="16:16" x14ac:dyDescent="0.3">
      <c r="P210"/>
    </row>
    <row r="211" spans="16:16" x14ac:dyDescent="0.3">
      <c r="P211"/>
    </row>
    <row r="212" spans="16:16" x14ac:dyDescent="0.3">
      <c r="P212"/>
    </row>
    <row r="213" spans="16:16" x14ac:dyDescent="0.3">
      <c r="P213"/>
    </row>
    <row r="214" spans="16:16" x14ac:dyDescent="0.3">
      <c r="P214"/>
    </row>
    <row r="215" spans="16:16" x14ac:dyDescent="0.3">
      <c r="P215"/>
    </row>
    <row r="216" spans="16:16" x14ac:dyDescent="0.3">
      <c r="P216"/>
    </row>
    <row r="217" spans="16:16" x14ac:dyDescent="0.3">
      <c r="P217"/>
    </row>
    <row r="218" spans="16:16" x14ac:dyDescent="0.3">
      <c r="P218"/>
    </row>
    <row r="219" spans="16:16" x14ac:dyDescent="0.3">
      <c r="P219"/>
    </row>
    <row r="220" spans="16:16" x14ac:dyDescent="0.3">
      <c r="P220"/>
    </row>
    <row r="221" spans="16:16" x14ac:dyDescent="0.3">
      <c r="P221"/>
    </row>
    <row r="222" spans="16:16" x14ac:dyDescent="0.3">
      <c r="P222"/>
    </row>
  </sheetData>
  <mergeCells count="6">
    <mergeCell ref="E123:P123"/>
    <mergeCell ref="C5:M5"/>
    <mergeCell ref="E7:P7"/>
    <mergeCell ref="E36:P36"/>
    <mergeCell ref="E65:P65"/>
    <mergeCell ref="E94:P9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ListForm</Display>
  <Edit>ListForm</Edit>
  <New>ListForm</New>
</FormTemplates>
</file>

<file path=customXml/item3.xml><?xml version="1.0" encoding="utf-8"?>
<ct:contentTypeSchema xmlns:ct="http://schemas.microsoft.com/office/2006/metadata/contentType" xmlns:ma="http://schemas.microsoft.com/office/2006/metadata/properties/metaAttributes" ct:_="" ma:_="" ma:contentTypeName="Folder" ma:contentTypeID="0x0120006D9692C2E21C0143A733AF12E903DD29" ma:contentTypeVersion="0" ma:contentTypeDescription="Create a new folder." ma:contentTypeScope="" ma:versionID="99de170764b2a5ed74d256d65331ec65">
  <xsd:schema xmlns:xsd="http://www.w3.org/2001/XMLSchema" xmlns:xs="http://www.w3.org/2001/XMLSchema" xmlns:p="http://schemas.microsoft.com/office/2006/metadata/properties" xmlns:ns1="http://schemas.microsoft.com/sharepoint/v3" targetNamespace="http://schemas.microsoft.com/office/2006/metadata/properties" ma:root="true" ma:fieldsID="fcf83dce7944ed99a1bce94139384f32" ns1:_="">
    <xsd:import namespace="http://schemas.microsoft.com/sharepoint/v3"/>
    <xsd:element name="properties">
      <xsd:complexType>
        <xsd:sequence>
          <xsd:element name="documentManagement">
            <xsd:complexType>
              <xsd:all>
                <xsd:element ref="ns1:ItemChildCount" minOccurs="0"/>
                <xsd:element ref="ns1:FolderChild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3" nillable="true" ma:displayName="Item Child Count" ma:hidden="true" ma:list="Docs" ma:internalName="ItemChildCount" ma:readOnly="true" ma:showField="ItemChildCount">
      <xsd:simpleType>
        <xsd:restriction base="dms:Lookup"/>
      </xsd:simpleType>
    </xsd:element>
    <xsd:element name="FolderChildCount" ma:index="4" nillable="true" ma:displayName="Folder Child Count" ma:hidden="true" ma:list="Docs" ma:internalName="FolderChildCount" ma:readOnly="true" ma:showField="FolderChildCount">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7839FF-8CC3-4480-A818-C479228CDCF6}">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39A3CD26-184F-4867-BA8A-F57823D1CAAF}">
  <ds:schemaRefs>
    <ds:schemaRef ds:uri="http://schemas.microsoft.com/sharepoint/v3/contenttype/forms"/>
  </ds:schemaRefs>
</ds:datastoreItem>
</file>

<file path=customXml/itemProps3.xml><?xml version="1.0" encoding="utf-8"?>
<ds:datastoreItem xmlns:ds="http://schemas.openxmlformats.org/officeDocument/2006/customXml" ds:itemID="{129E38FD-E468-4350-876A-FE6217675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Pricing Worksheet</vt:lpstr>
      <vt:lpstr>Subcontractor</vt:lpstr>
      <vt:lpstr>Tripwire</vt:lpstr>
      <vt:lpstr>'Pricing Worksheet'!Print_Area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antonio.l.ross</dc:creator>
  <cp:keywords/>
  <dc:description/>
  <cp:lastModifiedBy>Truman, Vivian M CIV USN CNR ARLINGTON VA (USA)</cp:lastModifiedBy>
  <cp:revision/>
  <dcterms:created xsi:type="dcterms:W3CDTF">2015-03-09T12:10:16Z</dcterms:created>
  <dcterms:modified xsi:type="dcterms:W3CDTF">2026-04-07T22:15:22Z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0x0120006D9692C2E21C0143A733AF12E903DD29</vt:lpwstr>
  </property>
  <property fmtid="{D5CDD505-2E9C-101B-9397-08002B2CF9AE}" pid="3" name="_dlc_DocIdItemGuid">
    <vt:lpwstr>d4ce2b04-2067-4b32-b274-cd59fb3ebb1e</vt:lpwstr>
  </property>
</Properties>
</file>