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van.biza\Desktop\Rewrite\Regional 8a Janitorial\SECTION J\"/>
    </mc:Choice>
  </mc:AlternateContent>
  <xr:revisionPtr revIDLastSave="0" documentId="13_ncr:1_{0F086306-A743-42B7-BA9D-5756A68CCDAC}" xr6:coauthVersionLast="47" xr6:coauthVersionMax="47" xr10:uidLastSave="{00000000-0000-0000-0000-000000000000}"/>
  <bookViews>
    <workbookView xWindow="-120" yWindow="90" windowWidth="20730" windowHeight="10950" firstSheet="8" activeTab="13" xr2:uid="{00000000-000D-0000-FFFF-FFFF00000000}"/>
  </bookViews>
  <sheets>
    <sheet name="BLDG 60B1" sheetId="24" r:id="rId1"/>
    <sheet name="BLDG 60B2" sheetId="33" r:id="rId2"/>
    <sheet name="BLDG 6009" sheetId="32" r:id="rId3"/>
    <sheet name="BLDG 6014" sheetId="31" r:id="rId4"/>
    <sheet name="BLDG 6086" sheetId="29" r:id="rId5"/>
    <sheet name="BLDG 6135" sheetId="34" r:id="rId6"/>
    <sheet name="BLDG 6147" sheetId="28" r:id="rId7"/>
    <sheet name="BLDG 6370" sheetId="27" r:id="rId8"/>
    <sheet name="BLDG 6371" sheetId="26" r:id="rId9"/>
    <sheet name="BLDG 6373" sheetId="35" r:id="rId10"/>
    <sheet name="BLDG 6381" sheetId="37" r:id="rId11"/>
    <sheet name="BLDG 6411" sheetId="25" r:id="rId12"/>
    <sheet name="BLDG 6412" sheetId="22" r:id="rId13"/>
    <sheet name="BLDG 6423 " sheetId="21" r:id="rId14"/>
    <sheet name="Sheet1" sheetId="38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4" l="1"/>
  <c r="F9" i="37" l="1"/>
  <c r="F13" i="22"/>
  <c r="F6" i="26"/>
  <c r="F6" i="27"/>
  <c r="F11" i="35"/>
  <c r="F5" i="34"/>
  <c r="F16" i="25"/>
  <c r="F15" i="28"/>
  <c r="F18" i="29"/>
  <c r="F12" i="31"/>
  <c r="F9" i="32"/>
</calcChain>
</file>

<file path=xl/sharedStrings.xml><?xml version="1.0" encoding="utf-8"?>
<sst xmlns="http://schemas.openxmlformats.org/spreadsheetml/2006/main" count="644" uniqueCount="85">
  <si>
    <t>PWD PATUXENT RIVER</t>
  </si>
  <si>
    <t>Customer:  REGION - SOLOMONS ANNEX</t>
  </si>
  <si>
    <t>Building No.</t>
  </si>
  <si>
    <t>Floor No.</t>
  </si>
  <si>
    <t>Room No.</t>
  </si>
  <si>
    <t>Type of Space</t>
  </si>
  <si>
    <t>Floor Type</t>
  </si>
  <si>
    <t>Area (SF)</t>
  </si>
  <si>
    <t>Security Requirements   Y/N</t>
  </si>
  <si>
    <t>COL         Level</t>
  </si>
  <si>
    <t>60B1</t>
  </si>
  <si>
    <t>Office</t>
  </si>
  <si>
    <t>Resilent Tile</t>
  </si>
  <si>
    <t>Restroom</t>
  </si>
  <si>
    <t>Support</t>
  </si>
  <si>
    <t>TOTAL SF</t>
  </si>
  <si>
    <t>SEASONAL BUILDING - 7 DAYS PER WEEK DURING 28 MAY - 30 SEP                                                                                                                NO SERVICES ARE PROVIDED BETWEEN 1 OCT AND 27 MAY</t>
  </si>
  <si>
    <t>60B2</t>
  </si>
  <si>
    <t>Resilient Tile</t>
  </si>
  <si>
    <t>Porch</t>
  </si>
  <si>
    <t>Concrete</t>
  </si>
  <si>
    <t>Hall</t>
  </si>
  <si>
    <t>Carpet</t>
  </si>
  <si>
    <t>Entry</t>
  </si>
  <si>
    <t>Quarry Tile/Ceramic Tile</t>
  </si>
  <si>
    <t>Conference Room</t>
  </si>
  <si>
    <t>Stairs</t>
  </si>
  <si>
    <t>Wood</t>
  </si>
  <si>
    <t>SEASONAL BUILDING - 7 DAYS PER WEEK DURING 1 APR - 30 NOV                                                                                                            NO SERVICES PROVIDED BETWEEN 1 DEC AND 31 MARCH</t>
  </si>
  <si>
    <t>19D9</t>
  </si>
  <si>
    <t>Workstation</t>
  </si>
  <si>
    <t>19CC</t>
  </si>
  <si>
    <t>19CE</t>
  </si>
  <si>
    <t>19DO</t>
  </si>
  <si>
    <t>19D1</t>
  </si>
  <si>
    <t>19D4</t>
  </si>
  <si>
    <t>19D7</t>
  </si>
  <si>
    <t>19D8</t>
  </si>
  <si>
    <t>19CB</t>
  </si>
  <si>
    <t>Office Support</t>
  </si>
  <si>
    <t>19D5</t>
  </si>
  <si>
    <t>19DA</t>
  </si>
  <si>
    <t>SEVEN (7) DAYS PER WEEK TO INCLUDE GOVERNMENT HOLIDAYS</t>
  </si>
  <si>
    <t>SEASONAL BUILDING - 7 DAYS PER WEEK DURING 1 APR - 31 OCT                                                                                                            NO SERVICES PROVIDED BETWEEN 1 NOV AND 31 MAR</t>
  </si>
  <si>
    <t>PWD NAS PATUXENT RIVER</t>
  </si>
  <si>
    <t>Kitchen</t>
  </si>
  <si>
    <t>Laminate Flooring</t>
  </si>
  <si>
    <t>RESTROOM FIXTURES</t>
  </si>
  <si>
    <t>Stalls</t>
  </si>
  <si>
    <t>Urinal</t>
  </si>
  <si>
    <t>Sinks</t>
  </si>
  <si>
    <t>Mirror</t>
  </si>
  <si>
    <t>Shower</t>
  </si>
  <si>
    <t>Soap Disp</t>
  </si>
  <si>
    <t>PT Disp</t>
  </si>
  <si>
    <t>TP Disp</t>
  </si>
  <si>
    <t>SP Disp</t>
  </si>
  <si>
    <t>W/O Mat</t>
  </si>
  <si>
    <t>Fountain</t>
  </si>
  <si>
    <t>Windows</t>
  </si>
  <si>
    <t>Not Covered in Service Level</t>
  </si>
  <si>
    <t>Kitchen/Break RM</t>
  </si>
  <si>
    <t>Not included in service level</t>
  </si>
  <si>
    <t>Not included in Service Level</t>
  </si>
  <si>
    <t>Womens</t>
  </si>
  <si>
    <t>Mens</t>
  </si>
  <si>
    <t>None</t>
  </si>
  <si>
    <t>Bath House-W</t>
  </si>
  <si>
    <t>Bath House - M</t>
  </si>
  <si>
    <t>Hand Dryer</t>
  </si>
  <si>
    <t>Bathhouse-Wm</t>
  </si>
  <si>
    <t>Bathhouse - M</t>
  </si>
  <si>
    <t>Changing Room</t>
  </si>
  <si>
    <t>Shower area</t>
  </si>
  <si>
    <t>shower Area</t>
  </si>
  <si>
    <t>Laundry</t>
  </si>
  <si>
    <t>Showers</t>
  </si>
  <si>
    <t>Reception</t>
  </si>
  <si>
    <t>Laundry Area</t>
  </si>
  <si>
    <t>Restroom Entry</t>
  </si>
  <si>
    <t xml:space="preserve">Restroom   </t>
  </si>
  <si>
    <t>Locker Room</t>
  </si>
  <si>
    <t>Shower Area</t>
  </si>
  <si>
    <t>Locker room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</si>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</sst>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color rgb="FFFF0000"/>
      <name val="Times New Roman"/>
      <family val="1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4" fillId="0" borderId="0"/>
    <xf numFmtId="0" fontId="1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3" fillId="0" borderId="0"/>
  </cellStyleXfs>
  <cellXfs count="68">
    <xf numFmtId="0" fontId="0" fillId="0" borderId="0" xfId="0"/>
    <xf numFmtId="0" fontId="3" fillId="0" borderId="1" xfId="8" applyFont="1" applyBorder="1" applyAlignment="1">
      <alignment horizontal="left" vertical="center" wrapText="1"/>
    </xf>
    <xf numFmtId="1" fontId="3" fillId="0" borderId="1" xfId="8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" xfId="8" applyFont="1" applyFill="1" applyBorder="1" applyAlignment="1">
      <alignment horizontal="left" vertical="center" wrapText="1"/>
    </xf>
    <xf numFmtId="0" fontId="3" fillId="0" borderId="1" xfId="8" applyFont="1" applyFill="1" applyBorder="1" applyAlignment="1">
      <alignment horizontal="center" vertical="center" wrapText="1"/>
    </xf>
    <xf numFmtId="3" fontId="3" fillId="0" borderId="1" xfId="8" applyNumberFormat="1" applyFont="1" applyFill="1" applyBorder="1" applyAlignment="1">
      <alignment horizontal="center" vertical="center" wrapText="1"/>
    </xf>
    <xf numFmtId="0" fontId="0" fillId="0" borderId="0" xfId="0"/>
    <xf numFmtId="3" fontId="3" fillId="0" borderId="1" xfId="8" applyNumberFormat="1" applyFont="1" applyFill="1" applyBorder="1" applyAlignment="1">
      <alignment horizontal="right" vertical="center" wrapText="1"/>
    </xf>
    <xf numFmtId="0" fontId="3" fillId="0" borderId="1" xfId="8" applyFont="1" applyFill="1" applyBorder="1" applyAlignment="1">
      <alignment horizontal="right" vertical="center" wrapText="1"/>
    </xf>
    <xf numFmtId="0" fontId="0" fillId="0" borderId="0" xfId="0"/>
    <xf numFmtId="0" fontId="3" fillId="0" borderId="1" xfId="9" applyFont="1" applyFill="1" applyBorder="1" applyAlignment="1">
      <alignment vertical="center"/>
    </xf>
    <xf numFmtId="0" fontId="3" fillId="0" borderId="1" xfId="9" applyFont="1" applyFill="1" applyBorder="1" applyAlignment="1">
      <alignment horizontal="center" vertical="center"/>
    </xf>
    <xf numFmtId="0" fontId="3" fillId="0" borderId="1" xfId="9" applyFont="1" applyFill="1" applyBorder="1" applyAlignment="1">
      <alignment horizontal="left" vertical="center"/>
    </xf>
    <xf numFmtId="0" fontId="3" fillId="0" borderId="1" xfId="9" applyFont="1" applyFill="1" applyBorder="1" applyAlignment="1">
      <alignment horizontal="right" vertical="center"/>
    </xf>
    <xf numFmtId="0" fontId="7" fillId="0" borderId="0" xfId="0" applyFont="1"/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3" fillId="0" borderId="1" xfId="9" applyFont="1" applyBorder="1" applyAlignment="1">
      <alignment horizontal="center" vertical="center"/>
    </xf>
    <xf numFmtId="0" fontId="3" fillId="0" borderId="1" xfId="9" applyFont="1" applyBorder="1" applyAlignment="1">
      <alignment horizontal="left" vertical="center"/>
    </xf>
    <xf numFmtId="0" fontId="3" fillId="0" borderId="1" xfId="9" applyFont="1" applyBorder="1" applyAlignment="1">
      <alignment horizontal="right" vertical="center"/>
    </xf>
    <xf numFmtId="3" fontId="2" fillId="0" borderId="1" xfId="8" applyNumberFormat="1" applyFont="1" applyFill="1" applyBorder="1" applyAlignment="1">
      <alignment horizontal="right" vertical="center" wrapText="1"/>
    </xf>
    <xf numFmtId="0" fontId="2" fillId="0" borderId="1" xfId="8" applyNumberFormat="1" applyFont="1" applyFill="1" applyBorder="1" applyAlignment="1">
      <alignment horizontal="right" vertical="center" wrapText="1"/>
    </xf>
    <xf numFmtId="0" fontId="2" fillId="0" borderId="1" xfId="9" applyFont="1" applyBorder="1" applyAlignment="1">
      <alignment horizontal="right" vertical="center"/>
    </xf>
    <xf numFmtId="0" fontId="0" fillId="0" borderId="1" xfId="0" applyBorder="1" applyAlignment="1">
      <alignment wrapText="1"/>
    </xf>
    <xf numFmtId="0" fontId="7" fillId="0" borderId="1" xfId="0" applyFont="1" applyBorder="1" applyAlignment="1">
      <alignment wrapText="1"/>
    </xf>
    <xf numFmtId="0" fontId="0" fillId="0" borderId="0" xfId="0" applyBorder="1"/>
    <xf numFmtId="0" fontId="3" fillId="0" borderId="8" xfId="9" applyFont="1" applyBorder="1" applyAlignment="1">
      <alignment horizontal="center" vertical="center"/>
    </xf>
    <xf numFmtId="0" fontId="3" fillId="0" borderId="8" xfId="9" applyFont="1" applyBorder="1" applyAlignment="1">
      <alignment horizontal="left" vertical="center"/>
    </xf>
    <xf numFmtId="3" fontId="3" fillId="0" borderId="8" xfId="8" applyNumberFormat="1" applyFont="1" applyFill="1" applyBorder="1" applyAlignment="1">
      <alignment horizontal="right" vertical="center" wrapText="1"/>
    </xf>
    <xf numFmtId="0" fontId="3" fillId="0" borderId="8" xfId="8" applyFont="1" applyFill="1" applyBorder="1" applyAlignment="1">
      <alignment horizontal="center" vertical="center" wrapText="1"/>
    </xf>
    <xf numFmtId="0" fontId="2" fillId="0" borderId="8" xfId="9" applyFont="1" applyBorder="1" applyAlignment="1">
      <alignment horizontal="right" vertical="center"/>
    </xf>
    <xf numFmtId="0" fontId="9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left" wrapText="1"/>
    </xf>
    <xf numFmtId="3" fontId="2" fillId="0" borderId="1" xfId="8" applyNumberFormat="1" applyFont="1" applyFill="1" applyBorder="1" applyAlignment="1">
      <alignment horizontal="left" vertical="center" wrapText="1"/>
    </xf>
    <xf numFmtId="0" fontId="3" fillId="0" borderId="1" xfId="9" applyNumberFormat="1" applyFont="1" applyBorder="1" applyAlignment="1">
      <alignment horizontal="right" vertical="center"/>
    </xf>
    <xf numFmtId="0" fontId="3" fillId="4" borderId="1" xfId="9" applyFont="1" applyFill="1" applyBorder="1" applyAlignment="1">
      <alignment horizontal="left" vertic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1" xfId="0" applyFill="1" applyBorder="1"/>
    <xf numFmtId="0" fontId="0" fillId="0" borderId="8" xfId="0" applyFill="1" applyBorder="1" applyAlignment="1">
      <alignment horizontal="center"/>
    </xf>
    <xf numFmtId="0" fontId="0" fillId="0" borderId="8" xfId="0" applyBorder="1"/>
    <xf numFmtId="0" fontId="0" fillId="4" borderId="7" xfId="0" applyFill="1" applyBorder="1" applyAlignment="1"/>
    <xf numFmtId="0" fontId="0" fillId="4" borderId="3" xfId="0" applyFill="1" applyBorder="1" applyAlignment="1"/>
    <xf numFmtId="0" fontId="0" fillId="0" borderId="3" xfId="0" applyBorder="1"/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1" fontId="8" fillId="0" borderId="7" xfId="8" applyNumberFormat="1" applyFont="1" applyFill="1" applyBorder="1" applyAlignment="1">
      <alignment horizontal="center" vertical="center" wrapText="1"/>
    </xf>
    <xf numFmtId="1" fontId="8" fillId="0" borderId="2" xfId="8" applyNumberFormat="1" applyFont="1" applyFill="1" applyBorder="1" applyAlignment="1">
      <alignment horizontal="center" vertical="center" wrapText="1"/>
    </xf>
    <xf numFmtId="1" fontId="8" fillId="0" borderId="3" xfId="8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8" fillId="0" borderId="7" xfId="9" applyFont="1" applyBorder="1" applyAlignment="1">
      <alignment horizontal="center" vertical="center"/>
    </xf>
    <xf numFmtId="0" fontId="8" fillId="0" borderId="2" xfId="9" applyFont="1" applyBorder="1" applyAlignment="1">
      <alignment horizontal="center" vertical="center"/>
    </xf>
    <xf numFmtId="0" fontId="8" fillId="0" borderId="3" xfId="9" applyFont="1" applyBorder="1" applyAlignment="1">
      <alignment horizontal="center" vertical="center"/>
    </xf>
    <xf numFmtId="0" fontId="0" fillId="4" borderId="7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</cellXfs>
  <cellStyles count="11">
    <cellStyle name="Comma 2" xfId="3" xr:uid="{00000000-0005-0000-0000-000000000000}"/>
    <cellStyle name="Currency 2" xfId="4" xr:uid="{00000000-0005-0000-0000-000001000000}"/>
    <cellStyle name="Normal" xfId="0" builtinId="0"/>
    <cellStyle name="Normal 2" xfId="5" xr:uid="{00000000-0005-0000-0000-000003000000}"/>
    <cellStyle name="Normal 2 2" xfId="2" xr:uid="{00000000-0005-0000-0000-000004000000}"/>
    <cellStyle name="Normal 2 2 2" xfId="6" xr:uid="{00000000-0005-0000-0000-000005000000}"/>
    <cellStyle name="Normal 2 3" xfId="8" xr:uid="{00000000-0005-0000-0000-000006000000}"/>
    <cellStyle name="Normal 2 3 2" xfId="10" xr:uid="{00000000-0005-0000-0000-000007000000}"/>
    <cellStyle name="Normal 2 4" xfId="9" xr:uid="{00000000-0005-0000-0000-000008000000}"/>
    <cellStyle name="Normal 3" xfId="1" xr:uid="{00000000-0005-0000-0000-000009000000}"/>
    <cellStyle name="Normal 6" xfId="7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workbookViewId="0">
      <selection activeCell="H4" sqref="H4:H6"/>
    </sheetView>
  </sheetViews>
  <sheetFormatPr defaultColWidth="9.140625" defaultRowHeight="15" x14ac:dyDescent="0.25"/>
  <cols>
    <col min="1" max="1" width="17.42578125" style="7" customWidth="1"/>
    <col min="2" max="2" width="9" style="7" customWidth="1"/>
    <col min="3" max="3" width="9.5703125" style="7" customWidth="1"/>
    <col min="4" max="4" width="18.5703125" style="7" customWidth="1"/>
    <col min="5" max="5" width="17.140625" style="7" customWidth="1"/>
    <col min="6" max="6" width="9.140625" style="7" customWidth="1"/>
    <col min="7" max="7" width="13.42578125" style="7" customWidth="1"/>
    <col min="8" max="8" width="9.85546875" style="7" customWidth="1"/>
    <col min="9" max="16384" width="9.140625" style="7"/>
  </cols>
  <sheetData>
    <row r="1" spans="1:8" ht="15" customHeight="1" x14ac:dyDescent="0.25">
      <c r="A1" s="48" t="s">
        <v>0</v>
      </c>
      <c r="B1" s="48"/>
      <c r="C1" s="48"/>
      <c r="D1" s="48"/>
      <c r="E1" s="48"/>
      <c r="F1" s="48"/>
      <c r="G1" s="48"/>
      <c r="H1" s="49"/>
    </row>
    <row r="2" spans="1:8" ht="16.5" customHeight="1" x14ac:dyDescent="0.25">
      <c r="A2" s="50" t="s">
        <v>1</v>
      </c>
      <c r="B2" s="50"/>
      <c r="C2" s="50"/>
      <c r="D2" s="50"/>
      <c r="E2" s="50"/>
      <c r="F2" s="50"/>
      <c r="G2" s="50"/>
      <c r="H2" s="51"/>
    </row>
    <row r="3" spans="1:8" ht="48" customHeight="1" x14ac:dyDescent="0.25">
      <c r="A3" s="17" t="s">
        <v>2</v>
      </c>
      <c r="B3" s="17" t="s">
        <v>3</v>
      </c>
      <c r="C3" s="17" t="s">
        <v>4</v>
      </c>
      <c r="D3" s="17" t="s">
        <v>5</v>
      </c>
      <c r="E3" s="17" t="s">
        <v>6</v>
      </c>
      <c r="F3" s="17" t="s">
        <v>7</v>
      </c>
      <c r="G3" s="17" t="s">
        <v>8</v>
      </c>
      <c r="H3" s="17" t="s">
        <v>9</v>
      </c>
    </row>
    <row r="4" spans="1:8" ht="17.25" customHeight="1" x14ac:dyDescent="0.25">
      <c r="A4" s="18" t="s">
        <v>10</v>
      </c>
      <c r="B4" s="18">
        <v>1</v>
      </c>
      <c r="C4" s="19">
        <v>3854</v>
      </c>
      <c r="D4" s="19" t="s">
        <v>11</v>
      </c>
      <c r="E4" s="19" t="s">
        <v>12</v>
      </c>
      <c r="F4" s="20">
        <v>159</v>
      </c>
      <c r="G4" s="8"/>
      <c r="H4" s="6" t="s">
        <v>84</v>
      </c>
    </row>
    <row r="5" spans="1:8" ht="15.75" customHeight="1" x14ac:dyDescent="0.25">
      <c r="A5" s="18" t="s">
        <v>10</v>
      </c>
      <c r="B5" s="18">
        <v>1</v>
      </c>
      <c r="C5" s="19">
        <v>3857</v>
      </c>
      <c r="D5" s="19" t="s">
        <v>13</v>
      </c>
      <c r="E5" s="19" t="s">
        <v>12</v>
      </c>
      <c r="F5" s="20">
        <v>23</v>
      </c>
      <c r="G5" s="8"/>
      <c r="H5" s="6" t="s">
        <v>84</v>
      </c>
    </row>
    <row r="6" spans="1:8" x14ac:dyDescent="0.25">
      <c r="A6" s="18" t="s">
        <v>10</v>
      </c>
      <c r="B6" s="18">
        <v>1</v>
      </c>
      <c r="C6" s="19">
        <v>3858</v>
      </c>
      <c r="D6" s="19" t="s">
        <v>14</v>
      </c>
      <c r="E6" s="19" t="s">
        <v>12</v>
      </c>
      <c r="F6" s="20">
        <v>364</v>
      </c>
      <c r="G6" s="9"/>
      <c r="H6" s="6" t="s">
        <v>84</v>
      </c>
    </row>
    <row r="7" spans="1:8" x14ac:dyDescent="0.25">
      <c r="A7" s="2"/>
      <c r="B7" s="5"/>
      <c r="C7" s="5"/>
      <c r="D7" s="4"/>
      <c r="E7" s="34" t="s">
        <v>15</v>
      </c>
      <c r="F7" s="21">
        <f>SUM(F4:F6)</f>
        <v>546</v>
      </c>
      <c r="G7" s="8"/>
      <c r="H7" s="5"/>
    </row>
    <row r="8" spans="1:8" ht="28.5" customHeight="1" x14ac:dyDescent="0.25">
      <c r="A8" s="52" t="s">
        <v>16</v>
      </c>
      <c r="B8" s="53"/>
      <c r="C8" s="53"/>
      <c r="D8" s="53"/>
      <c r="E8" s="53"/>
      <c r="F8" s="53"/>
      <c r="G8" s="53"/>
      <c r="H8" s="54"/>
    </row>
    <row r="9" spans="1:8" x14ac:dyDescent="0.25">
      <c r="A9" s="3"/>
      <c r="B9" s="3"/>
      <c r="C9" s="3"/>
      <c r="D9" s="3"/>
      <c r="E9" s="3"/>
      <c r="F9" s="3"/>
      <c r="G9" s="3"/>
      <c r="H9" s="3"/>
    </row>
    <row r="11" spans="1:8" x14ac:dyDescent="0.25">
      <c r="A11" s="55" t="s">
        <v>47</v>
      </c>
      <c r="B11" s="55"/>
      <c r="C11" s="55"/>
      <c r="D11" s="16"/>
    </row>
    <row r="12" spans="1:8" x14ac:dyDescent="0.25">
      <c r="A12" s="38"/>
      <c r="B12" s="39">
        <v>3857</v>
      </c>
      <c r="C12" s="40"/>
      <c r="D12" s="16"/>
    </row>
    <row r="13" spans="1:8" x14ac:dyDescent="0.25">
      <c r="A13" s="41" t="s">
        <v>48</v>
      </c>
      <c r="B13" s="39">
        <v>1</v>
      </c>
      <c r="C13" s="40"/>
      <c r="D13" s="16"/>
    </row>
    <row r="14" spans="1:8" x14ac:dyDescent="0.25">
      <c r="A14" s="41" t="s">
        <v>49</v>
      </c>
      <c r="B14" s="39">
        <v>0</v>
      </c>
      <c r="C14" s="40"/>
      <c r="D14" s="16"/>
    </row>
    <row r="15" spans="1:8" x14ac:dyDescent="0.25">
      <c r="A15" s="38" t="s">
        <v>50</v>
      </c>
      <c r="B15" s="39">
        <v>1</v>
      </c>
      <c r="C15" s="39"/>
      <c r="D15" s="16"/>
    </row>
    <row r="16" spans="1:8" x14ac:dyDescent="0.25">
      <c r="A16" s="38" t="s">
        <v>51</v>
      </c>
      <c r="B16" s="39">
        <v>1</v>
      </c>
      <c r="C16" s="39"/>
      <c r="D16" s="16"/>
    </row>
    <row r="17" spans="1:4" x14ac:dyDescent="0.25">
      <c r="A17" s="38" t="s">
        <v>52</v>
      </c>
      <c r="B17" s="39">
        <v>0</v>
      </c>
      <c r="C17" s="39"/>
      <c r="D17" s="16"/>
    </row>
    <row r="18" spans="1:4" x14ac:dyDescent="0.25">
      <c r="A18" s="38" t="s">
        <v>53</v>
      </c>
      <c r="B18" s="39">
        <v>1</v>
      </c>
      <c r="C18" s="39"/>
      <c r="D18" s="16"/>
    </row>
    <row r="19" spans="1:4" x14ac:dyDescent="0.25">
      <c r="A19" s="38" t="s">
        <v>54</v>
      </c>
      <c r="B19" s="39">
        <v>1</v>
      </c>
      <c r="C19" s="39"/>
      <c r="D19" s="16"/>
    </row>
    <row r="20" spans="1:4" x14ac:dyDescent="0.25">
      <c r="A20" s="38" t="s">
        <v>55</v>
      </c>
      <c r="B20" s="39">
        <v>1</v>
      </c>
      <c r="C20" s="39"/>
      <c r="D20" s="16"/>
    </row>
    <row r="21" spans="1:4" x14ac:dyDescent="0.25">
      <c r="A21" s="38" t="s">
        <v>56</v>
      </c>
      <c r="B21" s="39">
        <v>1</v>
      </c>
      <c r="C21" s="39"/>
      <c r="D21" s="16"/>
    </row>
    <row r="22" spans="1:4" x14ac:dyDescent="0.25">
      <c r="A22" s="16"/>
      <c r="B22" s="16"/>
      <c r="C22" s="16"/>
      <c r="D22" s="16"/>
    </row>
    <row r="23" spans="1:4" x14ac:dyDescent="0.25">
      <c r="A23" s="16"/>
      <c r="B23" s="16"/>
      <c r="C23" s="16"/>
      <c r="D23" s="16"/>
    </row>
    <row r="24" spans="1:4" x14ac:dyDescent="0.25">
      <c r="A24" s="42" t="s">
        <v>57</v>
      </c>
      <c r="B24" s="39">
        <v>2</v>
      </c>
      <c r="C24" s="38"/>
      <c r="D24" s="16"/>
    </row>
    <row r="25" spans="1:4" x14ac:dyDescent="0.25">
      <c r="A25" s="42" t="s">
        <v>58</v>
      </c>
      <c r="B25" s="43">
        <v>1</v>
      </c>
      <c r="C25" s="44"/>
      <c r="D25" s="16"/>
    </row>
    <row r="26" spans="1:4" x14ac:dyDescent="0.25">
      <c r="A26" s="42" t="s">
        <v>59</v>
      </c>
      <c r="B26" s="45" t="s">
        <v>60</v>
      </c>
      <c r="C26" s="46"/>
      <c r="D26" s="47"/>
    </row>
  </sheetData>
  <mergeCells count="4">
    <mergeCell ref="A1:H1"/>
    <mergeCell ref="A2:H2"/>
    <mergeCell ref="A8:H8"/>
    <mergeCell ref="A11:C11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workbookViewId="0">
      <selection activeCell="H4" sqref="H4:H8"/>
    </sheetView>
  </sheetViews>
  <sheetFormatPr defaultColWidth="9.140625" defaultRowHeight="15" x14ac:dyDescent="0.25"/>
  <cols>
    <col min="1" max="1" width="9.7109375" style="10" customWidth="1"/>
    <col min="2" max="2" width="9" style="10" customWidth="1"/>
    <col min="3" max="3" width="9.5703125" style="10" customWidth="1"/>
    <col min="4" max="4" width="26.140625" style="10" customWidth="1"/>
    <col min="5" max="5" width="17.140625" style="10" customWidth="1"/>
    <col min="6" max="6" width="9.140625" style="10" customWidth="1"/>
    <col min="7" max="7" width="13.42578125" style="10" customWidth="1"/>
    <col min="8" max="8" width="9.85546875" style="10" customWidth="1"/>
    <col min="9" max="16384" width="9.140625" style="10"/>
  </cols>
  <sheetData>
    <row r="1" spans="1:8" ht="15" customHeight="1" x14ac:dyDescent="0.25">
      <c r="A1" s="48" t="s">
        <v>0</v>
      </c>
      <c r="B1" s="48"/>
      <c r="C1" s="48"/>
      <c r="D1" s="48"/>
      <c r="E1" s="48"/>
      <c r="F1" s="48"/>
      <c r="G1" s="48"/>
      <c r="H1" s="49"/>
    </row>
    <row r="2" spans="1:8" ht="16.5" customHeight="1" x14ac:dyDescent="0.25">
      <c r="A2" s="50" t="s">
        <v>1</v>
      </c>
      <c r="B2" s="50"/>
      <c r="C2" s="50"/>
      <c r="D2" s="50"/>
      <c r="E2" s="50"/>
      <c r="F2" s="50"/>
      <c r="G2" s="50"/>
      <c r="H2" s="51"/>
    </row>
    <row r="3" spans="1:8" ht="48" customHeight="1" x14ac:dyDescent="0.25">
      <c r="A3" s="17" t="s">
        <v>2</v>
      </c>
      <c r="B3" s="17" t="s">
        <v>3</v>
      </c>
      <c r="C3" s="17" t="s">
        <v>4</v>
      </c>
      <c r="D3" s="17" t="s">
        <v>5</v>
      </c>
      <c r="E3" s="17" t="s">
        <v>6</v>
      </c>
      <c r="F3" s="17" t="s">
        <v>7</v>
      </c>
      <c r="G3" s="17" t="s">
        <v>8</v>
      </c>
      <c r="H3" s="17" t="s">
        <v>9</v>
      </c>
    </row>
    <row r="4" spans="1:8" ht="17.25" customHeight="1" x14ac:dyDescent="0.25">
      <c r="A4" s="18" t="s">
        <v>17</v>
      </c>
      <c r="B4" s="18">
        <v>1</v>
      </c>
      <c r="C4" s="19">
        <v>3878</v>
      </c>
      <c r="D4" s="19" t="s">
        <v>11</v>
      </c>
      <c r="E4" s="19" t="s">
        <v>18</v>
      </c>
      <c r="F4" s="20">
        <v>97</v>
      </c>
      <c r="G4" s="8"/>
      <c r="H4" s="6" t="s">
        <v>84</v>
      </c>
    </row>
    <row r="5" spans="1:8" ht="15.75" customHeight="1" x14ac:dyDescent="0.25">
      <c r="A5" s="18" t="s">
        <v>17</v>
      </c>
      <c r="B5" s="18">
        <v>1</v>
      </c>
      <c r="C5" s="19">
        <v>3879</v>
      </c>
      <c r="D5" s="19" t="s">
        <v>14</v>
      </c>
      <c r="E5" s="19" t="s">
        <v>18</v>
      </c>
      <c r="F5" s="20">
        <v>667</v>
      </c>
      <c r="G5" s="8"/>
      <c r="H5" s="6" t="s">
        <v>84</v>
      </c>
    </row>
    <row r="6" spans="1:8" x14ac:dyDescent="0.25">
      <c r="A6" s="18" t="s">
        <v>17</v>
      </c>
      <c r="B6" s="18">
        <v>1</v>
      </c>
      <c r="C6" s="19">
        <v>3881</v>
      </c>
      <c r="D6" s="19" t="s">
        <v>14</v>
      </c>
      <c r="E6" s="19" t="s">
        <v>18</v>
      </c>
      <c r="F6" s="20">
        <v>545</v>
      </c>
      <c r="G6" s="9"/>
      <c r="H6" s="6" t="s">
        <v>84</v>
      </c>
    </row>
    <row r="7" spans="1:8" x14ac:dyDescent="0.25">
      <c r="A7" s="18" t="s">
        <v>17</v>
      </c>
      <c r="B7" s="18">
        <v>1</v>
      </c>
      <c r="C7" s="19">
        <v>3882</v>
      </c>
      <c r="D7" s="19" t="s">
        <v>13</v>
      </c>
      <c r="E7" s="19" t="s">
        <v>18</v>
      </c>
      <c r="F7" s="20">
        <v>25</v>
      </c>
      <c r="G7" s="8"/>
      <c r="H7" s="6" t="s">
        <v>84</v>
      </c>
    </row>
    <row r="8" spans="1:8" x14ac:dyDescent="0.25">
      <c r="A8" s="18" t="s">
        <v>17</v>
      </c>
      <c r="B8" s="18">
        <v>1</v>
      </c>
      <c r="C8" s="19">
        <v>3883</v>
      </c>
      <c r="D8" s="19" t="s">
        <v>13</v>
      </c>
      <c r="E8" s="19" t="s">
        <v>18</v>
      </c>
      <c r="F8" s="20">
        <v>22</v>
      </c>
      <c r="G8" s="8"/>
      <c r="H8" s="6" t="s">
        <v>84</v>
      </c>
    </row>
    <row r="9" spans="1:8" x14ac:dyDescent="0.25">
      <c r="A9" s="2"/>
      <c r="B9" s="5"/>
      <c r="C9" s="5"/>
      <c r="D9" s="4"/>
      <c r="E9" s="34" t="s">
        <v>15</v>
      </c>
      <c r="F9" s="22">
        <v>1356</v>
      </c>
      <c r="G9" s="8"/>
      <c r="H9" s="5"/>
    </row>
    <row r="10" spans="1:8" ht="29.25" customHeight="1" x14ac:dyDescent="0.25">
      <c r="A10" s="52" t="s">
        <v>16</v>
      </c>
      <c r="B10" s="53"/>
      <c r="C10" s="53"/>
      <c r="D10" s="53"/>
      <c r="E10" s="53"/>
      <c r="F10" s="53"/>
      <c r="G10" s="53"/>
      <c r="H10" s="54"/>
    </row>
    <row r="13" spans="1:8" x14ac:dyDescent="0.25">
      <c r="A13" s="55" t="s">
        <v>47</v>
      </c>
      <c r="B13" s="55"/>
      <c r="C13" s="55"/>
      <c r="D13" s="16"/>
    </row>
    <row r="14" spans="1:8" x14ac:dyDescent="0.25">
      <c r="A14" s="38"/>
      <c r="B14" s="39">
        <v>3882</v>
      </c>
      <c r="C14" s="40">
        <v>3883</v>
      </c>
      <c r="D14" s="16"/>
    </row>
    <row r="15" spans="1:8" x14ac:dyDescent="0.25">
      <c r="A15" s="41" t="s">
        <v>48</v>
      </c>
      <c r="B15" s="39">
        <v>1</v>
      </c>
      <c r="C15" s="40">
        <v>1</v>
      </c>
      <c r="D15" s="16"/>
    </row>
    <row r="16" spans="1:8" x14ac:dyDescent="0.25">
      <c r="A16" s="41" t="s">
        <v>49</v>
      </c>
      <c r="B16" s="39">
        <v>0</v>
      </c>
      <c r="C16" s="40">
        <v>0</v>
      </c>
      <c r="D16" s="16"/>
    </row>
    <row r="17" spans="1:4" x14ac:dyDescent="0.25">
      <c r="A17" s="38" t="s">
        <v>50</v>
      </c>
      <c r="B17" s="39">
        <v>1</v>
      </c>
      <c r="C17" s="39">
        <v>1</v>
      </c>
      <c r="D17" s="16"/>
    </row>
    <row r="18" spans="1:4" x14ac:dyDescent="0.25">
      <c r="A18" s="38" t="s">
        <v>51</v>
      </c>
      <c r="B18" s="39">
        <v>1</v>
      </c>
      <c r="C18" s="39">
        <v>1</v>
      </c>
      <c r="D18" s="16"/>
    </row>
    <row r="19" spans="1:4" x14ac:dyDescent="0.25">
      <c r="A19" s="38" t="s">
        <v>52</v>
      </c>
      <c r="B19" s="39">
        <v>0</v>
      </c>
      <c r="C19" s="39">
        <v>0</v>
      </c>
      <c r="D19" s="16"/>
    </row>
    <row r="20" spans="1:4" x14ac:dyDescent="0.25">
      <c r="A20" s="38" t="s">
        <v>53</v>
      </c>
      <c r="B20" s="39">
        <v>1</v>
      </c>
      <c r="C20" s="39">
        <v>1</v>
      </c>
      <c r="D20" s="16"/>
    </row>
    <row r="21" spans="1:4" x14ac:dyDescent="0.25">
      <c r="A21" s="38" t="s">
        <v>54</v>
      </c>
      <c r="B21" s="39">
        <v>1</v>
      </c>
      <c r="C21" s="39">
        <v>1</v>
      </c>
      <c r="D21" s="16"/>
    </row>
    <row r="22" spans="1:4" x14ac:dyDescent="0.25">
      <c r="A22" s="38" t="s">
        <v>55</v>
      </c>
      <c r="B22" s="39">
        <v>1</v>
      </c>
      <c r="C22" s="39">
        <v>1</v>
      </c>
      <c r="D22" s="16"/>
    </row>
    <row r="23" spans="1:4" x14ac:dyDescent="0.25">
      <c r="A23" s="38" t="s">
        <v>56</v>
      </c>
      <c r="B23" s="39">
        <v>1</v>
      </c>
      <c r="C23" s="39">
        <v>1</v>
      </c>
      <c r="D23" s="16"/>
    </row>
    <row r="24" spans="1:4" x14ac:dyDescent="0.25">
      <c r="A24" s="16"/>
      <c r="B24" s="16"/>
      <c r="C24" s="16"/>
      <c r="D24" s="16"/>
    </row>
    <row r="25" spans="1:4" x14ac:dyDescent="0.25">
      <c r="A25" s="16"/>
      <c r="B25" s="16"/>
      <c r="C25" s="16"/>
      <c r="D25" s="16"/>
    </row>
    <row r="26" spans="1:4" x14ac:dyDescent="0.25">
      <c r="A26" s="42" t="s">
        <v>57</v>
      </c>
      <c r="B26" s="39">
        <v>1</v>
      </c>
      <c r="C26" s="38"/>
      <c r="D26" s="16"/>
    </row>
    <row r="27" spans="1:4" x14ac:dyDescent="0.25">
      <c r="A27" s="42" t="s">
        <v>58</v>
      </c>
      <c r="B27" s="43">
        <v>1</v>
      </c>
      <c r="C27" s="44"/>
      <c r="D27" s="16"/>
    </row>
    <row r="28" spans="1:4" x14ac:dyDescent="0.25">
      <c r="A28" s="42" t="s">
        <v>59</v>
      </c>
      <c r="B28" s="45" t="s">
        <v>60</v>
      </c>
      <c r="C28" s="46"/>
      <c r="D28" s="47"/>
    </row>
  </sheetData>
  <mergeCells count="4">
    <mergeCell ref="A1:H1"/>
    <mergeCell ref="A2:H2"/>
    <mergeCell ref="A10:H10"/>
    <mergeCell ref="A13:C13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"/>
  <sheetViews>
    <sheetView workbookViewId="0">
      <selection activeCell="H4" sqref="H4:H8"/>
    </sheetView>
  </sheetViews>
  <sheetFormatPr defaultColWidth="9.140625" defaultRowHeight="15" x14ac:dyDescent="0.25"/>
  <cols>
    <col min="1" max="1" width="9.7109375" style="7" customWidth="1"/>
    <col min="2" max="2" width="9" style="7" customWidth="1"/>
    <col min="3" max="3" width="9.5703125" style="7" customWidth="1"/>
    <col min="4" max="4" width="15.7109375" style="7" customWidth="1"/>
    <col min="5" max="5" width="17.140625" style="7" customWidth="1"/>
    <col min="6" max="6" width="9.140625" style="7" customWidth="1"/>
    <col min="7" max="7" width="13.42578125" style="7" customWidth="1"/>
    <col min="8" max="8" width="9.85546875" style="7" customWidth="1"/>
    <col min="9" max="16384" width="9.140625" style="7"/>
  </cols>
  <sheetData>
    <row r="1" spans="1:8" ht="15" customHeight="1" x14ac:dyDescent="0.25">
      <c r="A1" s="48" t="s">
        <v>0</v>
      </c>
      <c r="B1" s="48"/>
      <c r="C1" s="48"/>
      <c r="D1" s="48"/>
      <c r="E1" s="48"/>
      <c r="F1" s="48"/>
      <c r="G1" s="48"/>
      <c r="H1" s="49"/>
    </row>
    <row r="2" spans="1:8" ht="16.5" customHeight="1" x14ac:dyDescent="0.25">
      <c r="A2" s="50" t="s">
        <v>1</v>
      </c>
      <c r="B2" s="50"/>
      <c r="C2" s="50"/>
      <c r="D2" s="50"/>
      <c r="E2" s="50"/>
      <c r="F2" s="50"/>
      <c r="G2" s="50"/>
      <c r="H2" s="51"/>
    </row>
    <row r="3" spans="1:8" ht="48" customHeight="1" x14ac:dyDescent="0.25">
      <c r="A3" s="17" t="s">
        <v>2</v>
      </c>
      <c r="B3" s="17" t="s">
        <v>3</v>
      </c>
      <c r="C3" s="17" t="s">
        <v>4</v>
      </c>
      <c r="D3" s="17" t="s">
        <v>5</v>
      </c>
      <c r="E3" s="17" t="s">
        <v>6</v>
      </c>
      <c r="F3" s="17" t="s">
        <v>7</v>
      </c>
      <c r="G3" s="17" t="s">
        <v>8</v>
      </c>
      <c r="H3" s="17" t="s">
        <v>9</v>
      </c>
    </row>
    <row r="4" spans="1:8" ht="17.25" customHeight="1" x14ac:dyDescent="0.25">
      <c r="A4" s="18">
        <v>6009</v>
      </c>
      <c r="B4" s="18">
        <v>1</v>
      </c>
      <c r="C4" s="19">
        <v>3188</v>
      </c>
      <c r="D4" s="19" t="s">
        <v>19</v>
      </c>
      <c r="E4" s="19" t="s">
        <v>20</v>
      </c>
      <c r="F4" s="20">
        <v>62</v>
      </c>
      <c r="G4" s="8"/>
      <c r="H4" s="6" t="s">
        <v>84</v>
      </c>
    </row>
    <row r="5" spans="1:8" ht="15.75" customHeight="1" x14ac:dyDescent="0.25">
      <c r="A5" s="18">
        <v>6009</v>
      </c>
      <c r="B5" s="18">
        <v>1</v>
      </c>
      <c r="C5" s="19">
        <v>3189</v>
      </c>
      <c r="D5" s="19" t="s">
        <v>13</v>
      </c>
      <c r="E5" s="19" t="s">
        <v>12</v>
      </c>
      <c r="F5" s="20">
        <v>78</v>
      </c>
      <c r="G5" s="8"/>
      <c r="H5" s="6" t="s">
        <v>84</v>
      </c>
    </row>
    <row r="6" spans="1:8" x14ac:dyDescent="0.25">
      <c r="A6" s="18">
        <v>6009</v>
      </c>
      <c r="B6" s="18">
        <v>1</v>
      </c>
      <c r="C6" s="19">
        <v>3190</v>
      </c>
      <c r="D6" s="19" t="s">
        <v>13</v>
      </c>
      <c r="E6" s="19" t="s">
        <v>12</v>
      </c>
      <c r="F6" s="20">
        <v>82</v>
      </c>
      <c r="G6" s="9"/>
      <c r="H6" s="6" t="s">
        <v>84</v>
      </c>
    </row>
    <row r="7" spans="1:8" x14ac:dyDescent="0.25">
      <c r="A7" s="18">
        <v>6009</v>
      </c>
      <c r="B7" s="18">
        <v>1</v>
      </c>
      <c r="C7" s="19">
        <v>19726</v>
      </c>
      <c r="D7" s="19" t="s">
        <v>14</v>
      </c>
      <c r="E7" s="19" t="s">
        <v>46</v>
      </c>
      <c r="F7" s="20">
        <v>1068</v>
      </c>
      <c r="G7" s="8"/>
      <c r="H7" s="6" t="s">
        <v>84</v>
      </c>
    </row>
    <row r="8" spans="1:8" x14ac:dyDescent="0.25">
      <c r="A8" s="18">
        <v>6009</v>
      </c>
      <c r="B8" s="18">
        <v>1</v>
      </c>
      <c r="C8" s="19">
        <v>19727</v>
      </c>
      <c r="D8" s="19" t="s">
        <v>45</v>
      </c>
      <c r="E8" s="19" t="s">
        <v>12</v>
      </c>
      <c r="F8" s="20">
        <v>257</v>
      </c>
      <c r="G8" s="8"/>
      <c r="H8" s="6" t="s">
        <v>84</v>
      </c>
    </row>
    <row r="9" spans="1:8" x14ac:dyDescent="0.25">
      <c r="A9" s="24"/>
      <c r="B9" s="24"/>
      <c r="C9" s="24"/>
      <c r="D9" s="24"/>
      <c r="E9" s="34" t="s">
        <v>15</v>
      </c>
      <c r="F9" s="33">
        <f>SUM(F4:F8)</f>
        <v>1547</v>
      </c>
      <c r="G9" s="24"/>
      <c r="H9" s="24"/>
    </row>
    <row r="12" spans="1:8" x14ac:dyDescent="0.25">
      <c r="A12" s="55" t="s">
        <v>47</v>
      </c>
      <c r="B12" s="55"/>
      <c r="C12" s="55"/>
      <c r="D12" s="16"/>
    </row>
    <row r="13" spans="1:8" x14ac:dyDescent="0.25">
      <c r="A13" s="38"/>
      <c r="B13" s="39">
        <v>3189</v>
      </c>
      <c r="C13" s="40">
        <v>3190</v>
      </c>
      <c r="D13" s="16"/>
    </row>
    <row r="14" spans="1:8" x14ac:dyDescent="0.25">
      <c r="A14" s="41" t="s">
        <v>48</v>
      </c>
      <c r="B14" s="39">
        <v>1</v>
      </c>
      <c r="C14" s="40">
        <v>2</v>
      </c>
      <c r="D14" s="16"/>
    </row>
    <row r="15" spans="1:8" x14ac:dyDescent="0.25">
      <c r="A15" s="41" t="s">
        <v>49</v>
      </c>
      <c r="B15" s="39">
        <v>1</v>
      </c>
      <c r="C15" s="40">
        <v>0</v>
      </c>
      <c r="D15" s="16"/>
    </row>
    <row r="16" spans="1:8" x14ac:dyDescent="0.25">
      <c r="A16" s="38" t="s">
        <v>50</v>
      </c>
      <c r="B16" s="39">
        <v>1</v>
      </c>
      <c r="C16" s="39">
        <v>1</v>
      </c>
      <c r="D16" s="16"/>
    </row>
    <row r="17" spans="1:4" x14ac:dyDescent="0.25">
      <c r="A17" s="38" t="s">
        <v>51</v>
      </c>
      <c r="B17" s="39">
        <v>1</v>
      </c>
      <c r="C17" s="39">
        <v>1</v>
      </c>
      <c r="D17" s="16"/>
    </row>
    <row r="18" spans="1:4" x14ac:dyDescent="0.25">
      <c r="A18" s="38" t="s">
        <v>52</v>
      </c>
      <c r="B18" s="39">
        <v>0</v>
      </c>
      <c r="C18" s="39">
        <v>0</v>
      </c>
      <c r="D18" s="16"/>
    </row>
    <row r="19" spans="1:4" x14ac:dyDescent="0.25">
      <c r="A19" s="38" t="s">
        <v>53</v>
      </c>
      <c r="B19" s="39">
        <v>1</v>
      </c>
      <c r="C19" s="39">
        <v>1</v>
      </c>
      <c r="D19" s="16"/>
    </row>
    <row r="20" spans="1:4" x14ac:dyDescent="0.25">
      <c r="A20" s="38" t="s">
        <v>54</v>
      </c>
      <c r="B20" s="39">
        <v>1</v>
      </c>
      <c r="C20" s="39">
        <v>1</v>
      </c>
      <c r="D20" s="16"/>
    </row>
    <row r="21" spans="1:4" x14ac:dyDescent="0.25">
      <c r="A21" s="38" t="s">
        <v>55</v>
      </c>
      <c r="B21" s="39">
        <v>1</v>
      </c>
      <c r="C21" s="39">
        <v>1</v>
      </c>
      <c r="D21" s="16"/>
    </row>
    <row r="22" spans="1:4" x14ac:dyDescent="0.25">
      <c r="A22" s="38" t="s">
        <v>56</v>
      </c>
      <c r="B22" s="39">
        <v>1</v>
      </c>
      <c r="C22" s="39">
        <v>1</v>
      </c>
      <c r="D22" s="16"/>
    </row>
    <row r="23" spans="1:4" x14ac:dyDescent="0.25">
      <c r="A23" s="16"/>
      <c r="B23" s="16"/>
      <c r="C23" s="16"/>
      <c r="D23" s="16"/>
    </row>
    <row r="24" spans="1:4" x14ac:dyDescent="0.25">
      <c r="A24" s="16"/>
      <c r="B24" s="16"/>
      <c r="C24" s="16"/>
      <c r="D24" s="16"/>
    </row>
    <row r="25" spans="1:4" x14ac:dyDescent="0.25">
      <c r="A25" s="42" t="s">
        <v>57</v>
      </c>
      <c r="B25" s="39">
        <v>1</v>
      </c>
      <c r="C25" s="38"/>
      <c r="D25" s="16"/>
    </row>
    <row r="26" spans="1:4" x14ac:dyDescent="0.25">
      <c r="A26" s="42" t="s">
        <v>58</v>
      </c>
      <c r="B26" s="43">
        <v>2</v>
      </c>
      <c r="C26" s="44"/>
      <c r="D26" s="16"/>
    </row>
    <row r="27" spans="1:4" x14ac:dyDescent="0.25">
      <c r="A27" s="42" t="s">
        <v>59</v>
      </c>
      <c r="B27" s="45" t="s">
        <v>60</v>
      </c>
      <c r="C27" s="46"/>
      <c r="D27" s="47"/>
    </row>
    <row r="28" spans="1:4" x14ac:dyDescent="0.25">
      <c r="A28" s="16"/>
      <c r="B28" s="16"/>
      <c r="C28" s="16"/>
      <c r="D28" s="16"/>
    </row>
  </sheetData>
  <mergeCells count="3">
    <mergeCell ref="A1:H1"/>
    <mergeCell ref="A2:H2"/>
    <mergeCell ref="A12:C12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"/>
  <sheetViews>
    <sheetView workbookViewId="0">
      <selection activeCell="H4" sqref="H4:H11"/>
    </sheetView>
  </sheetViews>
  <sheetFormatPr defaultColWidth="9.140625" defaultRowHeight="15" x14ac:dyDescent="0.25"/>
  <cols>
    <col min="1" max="1" width="9.7109375" style="7" customWidth="1"/>
    <col min="2" max="2" width="9" style="7" customWidth="1"/>
    <col min="3" max="3" width="9.5703125" style="7" customWidth="1"/>
    <col min="4" max="4" width="14.7109375" style="7" customWidth="1"/>
    <col min="5" max="5" width="17.140625" style="7" customWidth="1"/>
    <col min="6" max="6" width="9.140625" style="7" customWidth="1"/>
    <col min="7" max="7" width="13.42578125" style="7" customWidth="1"/>
    <col min="8" max="8" width="9.85546875" style="7" customWidth="1"/>
    <col min="9" max="16384" width="9.140625" style="7"/>
  </cols>
  <sheetData>
    <row r="1" spans="1:8" ht="15" customHeight="1" x14ac:dyDescent="0.25">
      <c r="A1" s="48" t="s">
        <v>0</v>
      </c>
      <c r="B1" s="48"/>
      <c r="C1" s="48"/>
      <c r="D1" s="48"/>
      <c r="E1" s="48"/>
      <c r="F1" s="48"/>
      <c r="G1" s="48"/>
      <c r="H1" s="49"/>
    </row>
    <row r="2" spans="1:8" ht="16.5" customHeight="1" x14ac:dyDescent="0.25">
      <c r="A2" s="50" t="s">
        <v>1</v>
      </c>
      <c r="B2" s="50"/>
      <c r="C2" s="50"/>
      <c r="D2" s="50"/>
      <c r="E2" s="50"/>
      <c r="F2" s="50"/>
      <c r="G2" s="50"/>
      <c r="H2" s="51"/>
    </row>
    <row r="3" spans="1:8" ht="48" customHeight="1" x14ac:dyDescent="0.25">
      <c r="A3" s="17" t="s">
        <v>2</v>
      </c>
      <c r="B3" s="17" t="s">
        <v>3</v>
      </c>
      <c r="C3" s="17" t="s">
        <v>4</v>
      </c>
      <c r="D3" s="17" t="s">
        <v>5</v>
      </c>
      <c r="E3" s="17" t="s">
        <v>6</v>
      </c>
      <c r="F3" s="17" t="s">
        <v>7</v>
      </c>
      <c r="G3" s="17" t="s">
        <v>8</v>
      </c>
      <c r="H3" s="17" t="s">
        <v>9</v>
      </c>
    </row>
    <row r="4" spans="1:8" ht="17.25" customHeight="1" x14ac:dyDescent="0.25">
      <c r="A4" s="18">
        <v>6014</v>
      </c>
      <c r="B4" s="18">
        <v>1</v>
      </c>
      <c r="C4" s="19">
        <v>3193</v>
      </c>
      <c r="D4" s="37" t="s">
        <v>21</v>
      </c>
      <c r="E4" s="19" t="s">
        <v>12</v>
      </c>
      <c r="F4" s="20">
        <v>185</v>
      </c>
      <c r="G4" s="8"/>
      <c r="H4" s="6" t="s">
        <v>84</v>
      </c>
    </row>
    <row r="5" spans="1:8" ht="15.75" customHeight="1" x14ac:dyDescent="0.25">
      <c r="A5" s="18">
        <v>6014</v>
      </c>
      <c r="B5" s="18">
        <v>1</v>
      </c>
      <c r="C5" s="19">
        <v>3194</v>
      </c>
      <c r="D5" s="37" t="s">
        <v>13</v>
      </c>
      <c r="E5" s="19" t="s">
        <v>12</v>
      </c>
      <c r="F5" s="20">
        <v>55</v>
      </c>
      <c r="G5" s="8"/>
      <c r="H5" s="6" t="s">
        <v>84</v>
      </c>
    </row>
    <row r="6" spans="1:8" x14ac:dyDescent="0.25">
      <c r="A6" s="18">
        <v>6014</v>
      </c>
      <c r="B6" s="18">
        <v>1</v>
      </c>
      <c r="C6" s="19">
        <v>3195</v>
      </c>
      <c r="D6" s="37" t="s">
        <v>13</v>
      </c>
      <c r="E6" s="19" t="s">
        <v>20</v>
      </c>
      <c r="F6" s="20">
        <v>102</v>
      </c>
      <c r="G6" s="9"/>
      <c r="H6" s="6" t="s">
        <v>84</v>
      </c>
    </row>
    <row r="7" spans="1:8" x14ac:dyDescent="0.25">
      <c r="A7" s="18">
        <v>6014</v>
      </c>
      <c r="B7" s="18">
        <v>1</v>
      </c>
      <c r="C7" s="19">
        <v>3198</v>
      </c>
      <c r="D7" s="37" t="s">
        <v>21</v>
      </c>
      <c r="E7" s="19" t="s">
        <v>12</v>
      </c>
      <c r="F7" s="20">
        <v>191</v>
      </c>
      <c r="G7" s="8"/>
      <c r="H7" s="6" t="s">
        <v>84</v>
      </c>
    </row>
    <row r="8" spans="1:8" x14ac:dyDescent="0.25">
      <c r="A8" s="18">
        <v>6014</v>
      </c>
      <c r="B8" s="18">
        <v>1</v>
      </c>
      <c r="C8" s="19">
        <v>19737</v>
      </c>
      <c r="D8" s="37" t="s">
        <v>61</v>
      </c>
      <c r="E8" s="19" t="s">
        <v>12</v>
      </c>
      <c r="F8" s="20">
        <v>187</v>
      </c>
      <c r="G8" s="8"/>
      <c r="H8" s="6" t="s">
        <v>84</v>
      </c>
    </row>
    <row r="9" spans="1:8" x14ac:dyDescent="0.25">
      <c r="A9" s="18">
        <v>6014</v>
      </c>
      <c r="B9" s="18">
        <v>1</v>
      </c>
      <c r="C9" s="19">
        <v>19739</v>
      </c>
      <c r="D9" s="37" t="s">
        <v>11</v>
      </c>
      <c r="E9" s="19" t="s">
        <v>22</v>
      </c>
      <c r="F9" s="20">
        <v>223</v>
      </c>
      <c r="G9" s="8"/>
      <c r="H9" s="6" t="s">
        <v>84</v>
      </c>
    </row>
    <row r="10" spans="1:8" x14ac:dyDescent="0.25">
      <c r="A10" s="18">
        <v>6014</v>
      </c>
      <c r="B10" s="18">
        <v>1</v>
      </c>
      <c r="C10" s="19">
        <v>19742</v>
      </c>
      <c r="D10" s="37" t="s">
        <v>11</v>
      </c>
      <c r="E10" s="19" t="s">
        <v>22</v>
      </c>
      <c r="F10" s="20">
        <v>242</v>
      </c>
      <c r="G10" s="8"/>
      <c r="H10" s="6" t="s">
        <v>84</v>
      </c>
    </row>
    <row r="11" spans="1:8" x14ac:dyDescent="0.25">
      <c r="A11" s="18">
        <v>6014</v>
      </c>
      <c r="B11" s="18">
        <v>1</v>
      </c>
      <c r="C11" s="19">
        <v>19744</v>
      </c>
      <c r="D11" s="37" t="s">
        <v>11</v>
      </c>
      <c r="E11" s="19" t="s">
        <v>20</v>
      </c>
      <c r="F11" s="20">
        <v>241</v>
      </c>
      <c r="G11" s="8"/>
      <c r="H11" s="6" t="s">
        <v>84</v>
      </c>
    </row>
    <row r="12" spans="1:8" x14ac:dyDescent="0.25">
      <c r="A12" s="24"/>
      <c r="B12" s="24"/>
      <c r="C12" s="24"/>
      <c r="D12" s="24"/>
      <c r="E12" s="34" t="s">
        <v>15</v>
      </c>
      <c r="F12" s="33">
        <f>SUM(F4:F11)</f>
        <v>1426</v>
      </c>
      <c r="G12" s="24"/>
      <c r="H12" s="24"/>
    </row>
    <row r="14" spans="1:8" x14ac:dyDescent="0.25">
      <c r="A14" s="55" t="s">
        <v>47</v>
      </c>
      <c r="B14" s="55"/>
      <c r="C14" s="55"/>
      <c r="D14" s="16"/>
    </row>
    <row r="15" spans="1:8" x14ac:dyDescent="0.25">
      <c r="A15" s="38"/>
      <c r="B15" s="39">
        <v>3194</v>
      </c>
      <c r="C15" s="40">
        <v>3195</v>
      </c>
      <c r="D15" s="16"/>
    </row>
    <row r="16" spans="1:8" x14ac:dyDescent="0.25">
      <c r="A16" s="41" t="s">
        <v>48</v>
      </c>
      <c r="B16" s="39">
        <v>1</v>
      </c>
      <c r="C16" s="40">
        <v>1</v>
      </c>
      <c r="D16" s="16"/>
    </row>
    <row r="17" spans="1:4" x14ac:dyDescent="0.25">
      <c r="A17" s="41" t="s">
        <v>49</v>
      </c>
      <c r="B17" s="39">
        <v>0</v>
      </c>
      <c r="C17" s="40">
        <v>1</v>
      </c>
      <c r="D17" s="16"/>
    </row>
    <row r="18" spans="1:4" x14ac:dyDescent="0.25">
      <c r="A18" s="38" t="s">
        <v>50</v>
      </c>
      <c r="B18" s="39">
        <v>1</v>
      </c>
      <c r="C18" s="39">
        <v>1</v>
      </c>
      <c r="D18" s="16"/>
    </row>
    <row r="19" spans="1:4" x14ac:dyDescent="0.25">
      <c r="A19" s="38" t="s">
        <v>51</v>
      </c>
      <c r="B19" s="39">
        <v>1</v>
      </c>
      <c r="C19" s="39">
        <v>1</v>
      </c>
      <c r="D19" s="16"/>
    </row>
    <row r="20" spans="1:4" x14ac:dyDescent="0.25">
      <c r="A20" s="38" t="s">
        <v>52</v>
      </c>
      <c r="B20" s="39">
        <v>0</v>
      </c>
      <c r="C20" s="39">
        <v>0</v>
      </c>
      <c r="D20" s="16"/>
    </row>
    <row r="21" spans="1:4" x14ac:dyDescent="0.25">
      <c r="A21" s="38" t="s">
        <v>53</v>
      </c>
      <c r="B21" s="39">
        <v>1</v>
      </c>
      <c r="C21" s="39">
        <v>1</v>
      </c>
      <c r="D21" s="16"/>
    </row>
    <row r="22" spans="1:4" x14ac:dyDescent="0.25">
      <c r="A22" s="38" t="s">
        <v>54</v>
      </c>
      <c r="B22" s="39">
        <v>1</v>
      </c>
      <c r="C22" s="39">
        <v>1</v>
      </c>
      <c r="D22" s="16"/>
    </row>
    <row r="23" spans="1:4" x14ac:dyDescent="0.25">
      <c r="A23" s="38" t="s">
        <v>55</v>
      </c>
      <c r="B23" s="39">
        <v>1</v>
      </c>
      <c r="C23" s="39">
        <v>1</v>
      </c>
      <c r="D23" s="16"/>
    </row>
    <row r="24" spans="1:4" x14ac:dyDescent="0.25">
      <c r="A24" s="38" t="s">
        <v>56</v>
      </c>
      <c r="B24" s="39">
        <v>1</v>
      </c>
      <c r="C24" s="39">
        <v>1</v>
      </c>
      <c r="D24" s="16"/>
    </row>
    <row r="25" spans="1:4" x14ac:dyDescent="0.25">
      <c r="A25" s="16"/>
      <c r="B25" s="16"/>
      <c r="C25" s="16"/>
      <c r="D25" s="16"/>
    </row>
    <row r="26" spans="1:4" x14ac:dyDescent="0.25">
      <c r="A26" s="16"/>
      <c r="B26" s="16"/>
      <c r="C26" s="16"/>
      <c r="D26" s="16"/>
    </row>
    <row r="27" spans="1:4" x14ac:dyDescent="0.25">
      <c r="A27" s="42" t="s">
        <v>57</v>
      </c>
      <c r="B27" s="39">
        <v>1</v>
      </c>
      <c r="C27" s="38"/>
      <c r="D27" s="16"/>
    </row>
    <row r="28" spans="1:4" x14ac:dyDescent="0.25">
      <c r="A28" s="42" t="s">
        <v>58</v>
      </c>
      <c r="B28" s="43">
        <v>0</v>
      </c>
      <c r="C28" s="44"/>
      <c r="D28" s="16"/>
    </row>
    <row r="29" spans="1:4" x14ac:dyDescent="0.25">
      <c r="A29" s="42" t="s">
        <v>59</v>
      </c>
      <c r="B29" s="45" t="s">
        <v>62</v>
      </c>
      <c r="C29" s="46"/>
      <c r="D29" s="47"/>
    </row>
    <row r="30" spans="1:4" x14ac:dyDescent="0.25">
      <c r="A30" s="16"/>
      <c r="B30" s="16"/>
      <c r="C30" s="16"/>
      <c r="D30" s="16"/>
    </row>
  </sheetData>
  <mergeCells count="3">
    <mergeCell ref="A1:H1"/>
    <mergeCell ref="A2:H2"/>
    <mergeCell ref="A14:C14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5"/>
  <sheetViews>
    <sheetView workbookViewId="0">
      <selection activeCell="H4" sqref="H4:H17"/>
    </sheetView>
  </sheetViews>
  <sheetFormatPr defaultColWidth="9.140625" defaultRowHeight="15" x14ac:dyDescent="0.25"/>
  <cols>
    <col min="1" max="1" width="9.7109375" style="7" customWidth="1"/>
    <col min="2" max="2" width="9" style="7" customWidth="1"/>
    <col min="3" max="3" width="9.5703125" style="7" customWidth="1"/>
    <col min="4" max="4" width="17.140625" style="7" customWidth="1"/>
    <col min="5" max="5" width="22.5703125" style="7" customWidth="1"/>
    <col min="6" max="6" width="9.140625" style="7" customWidth="1"/>
    <col min="7" max="7" width="13.42578125" style="7" customWidth="1"/>
    <col min="8" max="8" width="9.85546875" style="7" customWidth="1"/>
    <col min="9" max="16384" width="9.140625" style="7"/>
  </cols>
  <sheetData>
    <row r="1" spans="1:8" ht="15" customHeight="1" x14ac:dyDescent="0.25">
      <c r="A1" s="48" t="s">
        <v>0</v>
      </c>
      <c r="B1" s="48"/>
      <c r="C1" s="48"/>
      <c r="D1" s="48"/>
      <c r="E1" s="48"/>
      <c r="F1" s="48"/>
      <c r="G1" s="48"/>
      <c r="H1" s="49"/>
    </row>
    <row r="2" spans="1:8" ht="16.5" customHeight="1" x14ac:dyDescent="0.25">
      <c r="A2" s="50" t="s">
        <v>1</v>
      </c>
      <c r="B2" s="50"/>
      <c r="C2" s="50"/>
      <c r="D2" s="50"/>
      <c r="E2" s="50"/>
      <c r="F2" s="50"/>
      <c r="G2" s="50"/>
      <c r="H2" s="51"/>
    </row>
    <row r="3" spans="1:8" ht="48" customHeight="1" x14ac:dyDescent="0.25">
      <c r="A3" s="17" t="s">
        <v>2</v>
      </c>
      <c r="B3" s="17" t="s">
        <v>3</v>
      </c>
      <c r="C3" s="17" t="s">
        <v>4</v>
      </c>
      <c r="D3" s="17" t="s">
        <v>5</v>
      </c>
      <c r="E3" s="17" t="s">
        <v>6</v>
      </c>
      <c r="F3" s="17" t="s">
        <v>7</v>
      </c>
      <c r="G3" s="17" t="s">
        <v>8</v>
      </c>
      <c r="H3" s="17" t="s">
        <v>9</v>
      </c>
    </row>
    <row r="4" spans="1:8" ht="17.25" customHeight="1" x14ac:dyDescent="0.25">
      <c r="A4" s="18">
        <v>6086</v>
      </c>
      <c r="B4" s="18">
        <v>1</v>
      </c>
      <c r="C4" s="37">
        <v>3280</v>
      </c>
      <c r="D4" s="19" t="s">
        <v>13</v>
      </c>
      <c r="E4" s="19" t="s">
        <v>24</v>
      </c>
      <c r="F4" s="20">
        <v>150</v>
      </c>
      <c r="G4" s="8"/>
      <c r="H4" s="6" t="s">
        <v>84</v>
      </c>
    </row>
    <row r="5" spans="1:8" ht="15.75" customHeight="1" x14ac:dyDescent="0.25">
      <c r="A5" s="18">
        <v>6086</v>
      </c>
      <c r="B5" s="18">
        <v>1</v>
      </c>
      <c r="C5" s="37">
        <v>11734</v>
      </c>
      <c r="D5" s="19" t="s">
        <v>11</v>
      </c>
      <c r="E5" s="19" t="s">
        <v>12</v>
      </c>
      <c r="F5" s="20">
        <v>244</v>
      </c>
      <c r="G5" s="8"/>
      <c r="H5" s="6" t="s">
        <v>84</v>
      </c>
    </row>
    <row r="6" spans="1:8" x14ac:dyDescent="0.25">
      <c r="A6" s="18">
        <v>6086</v>
      </c>
      <c r="B6" s="18">
        <v>1</v>
      </c>
      <c r="C6" s="37">
        <v>11735</v>
      </c>
      <c r="D6" s="19" t="s">
        <v>14</v>
      </c>
      <c r="E6" s="19" t="s">
        <v>20</v>
      </c>
      <c r="F6" s="20">
        <v>400</v>
      </c>
      <c r="G6" s="9"/>
      <c r="H6" s="6" t="s">
        <v>84</v>
      </c>
    </row>
    <row r="7" spans="1:8" x14ac:dyDescent="0.25">
      <c r="A7" s="18">
        <v>6086</v>
      </c>
      <c r="B7" s="18">
        <v>1</v>
      </c>
      <c r="C7" s="37">
        <v>15524</v>
      </c>
      <c r="D7" s="19" t="s">
        <v>13</v>
      </c>
      <c r="E7" s="19" t="s">
        <v>24</v>
      </c>
      <c r="F7" s="20">
        <v>257</v>
      </c>
      <c r="G7" s="8"/>
      <c r="H7" s="6" t="s">
        <v>84</v>
      </c>
    </row>
    <row r="8" spans="1:8" x14ac:dyDescent="0.25">
      <c r="A8" s="18">
        <v>6086</v>
      </c>
      <c r="B8" s="18">
        <v>1</v>
      </c>
      <c r="C8" s="37">
        <v>11733</v>
      </c>
      <c r="D8" s="19" t="s">
        <v>25</v>
      </c>
      <c r="E8" s="19" t="s">
        <v>12</v>
      </c>
      <c r="F8" s="20">
        <v>285</v>
      </c>
      <c r="G8" s="8"/>
      <c r="H8" s="6" t="s">
        <v>84</v>
      </c>
    </row>
    <row r="9" spans="1:8" s="16" customFormat="1" x14ac:dyDescent="0.25">
      <c r="A9" s="18">
        <v>6086</v>
      </c>
      <c r="B9" s="18">
        <v>1</v>
      </c>
      <c r="C9" s="37">
        <v>3271</v>
      </c>
      <c r="D9" s="19" t="s">
        <v>45</v>
      </c>
      <c r="E9" s="19" t="s">
        <v>12</v>
      </c>
      <c r="F9" s="20">
        <v>178</v>
      </c>
      <c r="G9" s="8"/>
      <c r="H9" s="6" t="s">
        <v>84</v>
      </c>
    </row>
    <row r="10" spans="1:8" x14ac:dyDescent="0.25">
      <c r="A10" s="18">
        <v>6086</v>
      </c>
      <c r="B10" s="18">
        <v>1</v>
      </c>
      <c r="C10" s="37">
        <v>3273</v>
      </c>
      <c r="D10" s="19" t="s">
        <v>21</v>
      </c>
      <c r="E10" s="19" t="s">
        <v>12</v>
      </c>
      <c r="F10" s="20">
        <v>172</v>
      </c>
      <c r="G10" s="8"/>
      <c r="H10" s="6" t="s">
        <v>84</v>
      </c>
    </row>
    <row r="11" spans="1:8" x14ac:dyDescent="0.25">
      <c r="A11" s="18">
        <v>6086</v>
      </c>
      <c r="B11" s="18">
        <v>2</v>
      </c>
      <c r="C11" s="19">
        <v>3284</v>
      </c>
      <c r="D11" s="19" t="s">
        <v>26</v>
      </c>
      <c r="E11" s="19" t="s">
        <v>27</v>
      </c>
      <c r="F11" s="20">
        <v>28</v>
      </c>
      <c r="G11" s="8"/>
      <c r="H11" s="6" t="s">
        <v>84</v>
      </c>
    </row>
    <row r="12" spans="1:8" x14ac:dyDescent="0.25">
      <c r="A12" s="18">
        <v>6086</v>
      </c>
      <c r="B12" s="18">
        <v>2</v>
      </c>
      <c r="C12" s="19">
        <v>120231</v>
      </c>
      <c r="D12" s="19" t="s">
        <v>11</v>
      </c>
      <c r="E12" s="19" t="s">
        <v>12</v>
      </c>
      <c r="F12" s="20">
        <v>183</v>
      </c>
      <c r="G12" s="8"/>
      <c r="H12" s="6" t="s">
        <v>84</v>
      </c>
    </row>
    <row r="13" spans="1:8" x14ac:dyDescent="0.25">
      <c r="A13" s="18">
        <v>6086</v>
      </c>
      <c r="B13" s="18">
        <v>2</v>
      </c>
      <c r="C13" s="19">
        <v>120234</v>
      </c>
      <c r="D13" s="19" t="s">
        <v>11</v>
      </c>
      <c r="E13" s="19" t="s">
        <v>12</v>
      </c>
      <c r="F13" s="20">
        <v>184</v>
      </c>
      <c r="G13" s="8"/>
      <c r="H13" s="6" t="s">
        <v>84</v>
      </c>
    </row>
    <row r="14" spans="1:8" x14ac:dyDescent="0.25">
      <c r="A14" s="18">
        <v>6086</v>
      </c>
      <c r="B14" s="18">
        <v>2</v>
      </c>
      <c r="C14" s="19">
        <v>120235</v>
      </c>
      <c r="D14" s="19" t="s">
        <v>11</v>
      </c>
      <c r="E14" s="19" t="s">
        <v>12</v>
      </c>
      <c r="F14" s="20">
        <v>130</v>
      </c>
      <c r="G14" s="9"/>
      <c r="H14" s="6" t="s">
        <v>84</v>
      </c>
    </row>
    <row r="15" spans="1:8" x14ac:dyDescent="0.25">
      <c r="A15" s="18">
        <v>6086</v>
      </c>
      <c r="B15" s="18">
        <v>2</v>
      </c>
      <c r="C15" s="19">
        <v>120233</v>
      </c>
      <c r="D15" s="19" t="s">
        <v>11</v>
      </c>
      <c r="E15" s="19" t="s">
        <v>12</v>
      </c>
      <c r="F15" s="20">
        <v>252</v>
      </c>
      <c r="G15" s="8"/>
      <c r="H15" s="6" t="s">
        <v>84</v>
      </c>
    </row>
    <row r="16" spans="1:8" x14ac:dyDescent="0.25">
      <c r="A16" s="18">
        <v>6086</v>
      </c>
      <c r="B16" s="18">
        <v>2</v>
      </c>
      <c r="C16" s="19">
        <v>120332</v>
      </c>
      <c r="D16" s="19" t="s">
        <v>21</v>
      </c>
      <c r="E16" s="19" t="s">
        <v>12</v>
      </c>
      <c r="F16" s="20">
        <v>71</v>
      </c>
      <c r="G16" s="8"/>
      <c r="H16" s="6" t="s">
        <v>84</v>
      </c>
    </row>
    <row r="17" spans="1:8" x14ac:dyDescent="0.25">
      <c r="A17" s="18">
        <v>6086</v>
      </c>
      <c r="B17" s="18">
        <v>2</v>
      </c>
      <c r="C17" s="19">
        <v>120236</v>
      </c>
      <c r="D17" s="19" t="s">
        <v>13</v>
      </c>
      <c r="E17" s="19" t="s">
        <v>12</v>
      </c>
      <c r="F17" s="20">
        <v>205</v>
      </c>
      <c r="G17" s="8"/>
      <c r="H17" s="6" t="s">
        <v>84</v>
      </c>
    </row>
    <row r="18" spans="1:8" x14ac:dyDescent="0.25">
      <c r="A18" s="32"/>
      <c r="B18" s="32"/>
      <c r="C18" s="32"/>
      <c r="D18" s="32"/>
      <c r="E18" s="34" t="s">
        <v>15</v>
      </c>
      <c r="F18" s="33">
        <f>SUM(F4:F17)</f>
        <v>2739</v>
      </c>
      <c r="G18" s="32"/>
      <c r="H18" s="32"/>
    </row>
    <row r="20" spans="1:8" x14ac:dyDescent="0.25">
      <c r="A20" s="56" t="s">
        <v>47</v>
      </c>
      <c r="B20" s="57"/>
      <c r="C20" s="57"/>
      <c r="D20" s="58"/>
    </row>
    <row r="21" spans="1:8" x14ac:dyDescent="0.25">
      <c r="A21" s="38"/>
      <c r="B21" s="39">
        <v>3280</v>
      </c>
      <c r="C21" s="40">
        <v>15524</v>
      </c>
      <c r="D21" s="40">
        <v>120236</v>
      </c>
    </row>
    <row r="22" spans="1:8" x14ac:dyDescent="0.25">
      <c r="A22" s="41" t="s">
        <v>48</v>
      </c>
      <c r="B22" s="39">
        <v>2</v>
      </c>
      <c r="C22" s="40">
        <v>2</v>
      </c>
      <c r="D22" s="40">
        <v>2</v>
      </c>
    </row>
    <row r="23" spans="1:8" x14ac:dyDescent="0.25">
      <c r="A23" s="41" t="s">
        <v>49</v>
      </c>
      <c r="B23" s="39">
        <v>0</v>
      </c>
      <c r="C23" s="40">
        <v>2</v>
      </c>
      <c r="D23" s="40">
        <v>1</v>
      </c>
    </row>
    <row r="24" spans="1:8" x14ac:dyDescent="0.25">
      <c r="A24" s="38" t="s">
        <v>50</v>
      </c>
      <c r="B24" s="39">
        <v>2</v>
      </c>
      <c r="C24" s="39">
        <v>2</v>
      </c>
      <c r="D24" s="40">
        <v>3</v>
      </c>
    </row>
    <row r="25" spans="1:8" x14ac:dyDescent="0.25">
      <c r="A25" s="38" t="s">
        <v>51</v>
      </c>
      <c r="B25" s="39">
        <v>2</v>
      </c>
      <c r="C25" s="39">
        <v>3</v>
      </c>
      <c r="D25" s="40">
        <v>3</v>
      </c>
    </row>
    <row r="26" spans="1:8" x14ac:dyDescent="0.25">
      <c r="A26" s="38" t="s">
        <v>52</v>
      </c>
      <c r="B26" s="39">
        <v>1</v>
      </c>
      <c r="C26" s="39">
        <v>1</v>
      </c>
      <c r="D26" s="40">
        <v>3</v>
      </c>
    </row>
    <row r="27" spans="1:8" x14ac:dyDescent="0.25">
      <c r="A27" s="38" t="s">
        <v>53</v>
      </c>
      <c r="B27" s="39">
        <v>1</v>
      </c>
      <c r="C27" s="39">
        <v>2</v>
      </c>
      <c r="D27" s="40">
        <v>2</v>
      </c>
    </row>
    <row r="28" spans="1:8" x14ac:dyDescent="0.25">
      <c r="A28" s="38" t="s">
        <v>54</v>
      </c>
      <c r="B28" s="39">
        <v>1</v>
      </c>
      <c r="C28" s="39">
        <v>1</v>
      </c>
      <c r="D28" s="40">
        <v>1</v>
      </c>
    </row>
    <row r="29" spans="1:8" x14ac:dyDescent="0.25">
      <c r="A29" s="38" t="s">
        <v>55</v>
      </c>
      <c r="B29" s="39">
        <v>2</v>
      </c>
      <c r="C29" s="39">
        <v>2</v>
      </c>
      <c r="D29" s="40">
        <v>2</v>
      </c>
    </row>
    <row r="30" spans="1:8" x14ac:dyDescent="0.25">
      <c r="A30" s="38" t="s">
        <v>56</v>
      </c>
      <c r="B30" s="39">
        <v>2</v>
      </c>
      <c r="C30" s="39">
        <v>2</v>
      </c>
      <c r="D30" s="40">
        <v>2</v>
      </c>
    </row>
    <row r="31" spans="1:8" x14ac:dyDescent="0.25">
      <c r="A31" s="16"/>
      <c r="B31" s="16"/>
      <c r="C31" s="16"/>
      <c r="D31" s="16"/>
    </row>
    <row r="32" spans="1:8" x14ac:dyDescent="0.25">
      <c r="A32" s="16"/>
      <c r="B32" s="16"/>
      <c r="C32" s="16"/>
      <c r="D32" s="16"/>
    </row>
    <row r="33" spans="1:4" x14ac:dyDescent="0.25">
      <c r="A33" s="42" t="s">
        <v>57</v>
      </c>
      <c r="B33" s="39">
        <v>2</v>
      </c>
      <c r="C33" s="38"/>
      <c r="D33" s="16"/>
    </row>
    <row r="34" spans="1:4" x14ac:dyDescent="0.25">
      <c r="A34" s="42" t="s">
        <v>58</v>
      </c>
      <c r="B34" s="43">
        <v>2</v>
      </c>
      <c r="C34" s="44"/>
      <c r="D34" s="16"/>
    </row>
    <row r="35" spans="1:4" x14ac:dyDescent="0.25">
      <c r="A35" s="42" t="s">
        <v>59</v>
      </c>
      <c r="B35" s="45" t="s">
        <v>63</v>
      </c>
      <c r="C35" s="46"/>
      <c r="D35" s="47"/>
    </row>
  </sheetData>
  <mergeCells count="3">
    <mergeCell ref="A1:H1"/>
    <mergeCell ref="A2:H2"/>
    <mergeCell ref="A20:D20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5"/>
  <sheetViews>
    <sheetView workbookViewId="0">
      <selection activeCell="H4" sqref="H4"/>
    </sheetView>
  </sheetViews>
  <sheetFormatPr defaultColWidth="9.140625" defaultRowHeight="15" x14ac:dyDescent="0.25"/>
  <cols>
    <col min="1" max="1" width="9.7109375" style="10" customWidth="1"/>
    <col min="2" max="2" width="9" style="10" customWidth="1"/>
    <col min="3" max="3" width="9.5703125" style="10" customWidth="1"/>
    <col min="4" max="4" width="26.140625" style="10" customWidth="1"/>
    <col min="5" max="5" width="17.140625" style="10" customWidth="1"/>
    <col min="6" max="6" width="9.140625" style="10" customWidth="1"/>
    <col min="7" max="7" width="13.42578125" style="10" customWidth="1"/>
    <col min="8" max="8" width="9.85546875" style="10" customWidth="1"/>
    <col min="9" max="16384" width="9.140625" style="10"/>
  </cols>
  <sheetData>
    <row r="1" spans="1:8" ht="15" customHeight="1" x14ac:dyDescent="0.25">
      <c r="A1" s="48" t="s">
        <v>0</v>
      </c>
      <c r="B1" s="48"/>
      <c r="C1" s="48"/>
      <c r="D1" s="48"/>
      <c r="E1" s="48"/>
      <c r="F1" s="48"/>
      <c r="G1" s="48"/>
      <c r="H1" s="49"/>
    </row>
    <row r="2" spans="1:8" ht="16.5" customHeight="1" x14ac:dyDescent="0.25">
      <c r="A2" s="50" t="s">
        <v>1</v>
      </c>
      <c r="B2" s="50"/>
      <c r="C2" s="50"/>
      <c r="D2" s="50"/>
      <c r="E2" s="50"/>
      <c r="F2" s="50"/>
      <c r="G2" s="50"/>
      <c r="H2" s="51"/>
    </row>
    <row r="3" spans="1:8" ht="48" customHeight="1" x14ac:dyDescent="0.25">
      <c r="A3" s="17" t="s">
        <v>2</v>
      </c>
      <c r="B3" s="17" t="s">
        <v>3</v>
      </c>
      <c r="C3" s="17" t="s">
        <v>4</v>
      </c>
      <c r="D3" s="17" t="s">
        <v>5</v>
      </c>
      <c r="E3" s="17" t="s">
        <v>6</v>
      </c>
      <c r="F3" s="17" t="s">
        <v>7</v>
      </c>
      <c r="G3" s="17" t="s">
        <v>8</v>
      </c>
      <c r="H3" s="17" t="s">
        <v>9</v>
      </c>
    </row>
    <row r="4" spans="1:8" ht="17.25" customHeight="1" x14ac:dyDescent="0.25">
      <c r="A4" s="12">
        <v>6135</v>
      </c>
      <c r="B4" s="12">
        <v>1</v>
      </c>
      <c r="C4" s="13"/>
      <c r="D4" s="13" t="s">
        <v>13</v>
      </c>
      <c r="E4" s="19" t="s">
        <v>12</v>
      </c>
      <c r="F4" s="14">
        <v>196</v>
      </c>
      <c r="G4" s="8"/>
      <c r="H4" s="6" t="s">
        <v>84</v>
      </c>
    </row>
    <row r="5" spans="1:8" ht="15.75" customHeight="1" x14ac:dyDescent="0.25">
      <c r="A5" s="2"/>
      <c r="B5" s="5"/>
      <c r="C5" s="5"/>
      <c r="D5" s="4"/>
      <c r="E5" s="35" t="s">
        <v>15</v>
      </c>
      <c r="F5" s="21">
        <f>SUM(F4)</f>
        <v>196</v>
      </c>
      <c r="G5" s="8"/>
      <c r="H5" s="5"/>
    </row>
    <row r="6" spans="1:8" ht="28.5" customHeight="1" x14ac:dyDescent="0.25">
      <c r="A6" s="52" t="s">
        <v>28</v>
      </c>
      <c r="B6" s="53"/>
      <c r="C6" s="53"/>
      <c r="D6" s="53"/>
      <c r="E6" s="53"/>
      <c r="F6" s="53"/>
      <c r="G6" s="53"/>
      <c r="H6" s="54"/>
    </row>
    <row r="7" spans="1:8" x14ac:dyDescent="0.25">
      <c r="A7" s="3"/>
      <c r="B7" s="3"/>
      <c r="C7" s="3"/>
      <c r="D7" s="3"/>
      <c r="E7" s="3"/>
      <c r="F7" s="3"/>
      <c r="G7" s="3"/>
      <c r="H7" s="3"/>
    </row>
    <row r="9" spans="1:8" x14ac:dyDescent="0.25">
      <c r="A9" s="55" t="s">
        <v>47</v>
      </c>
      <c r="B9" s="55"/>
      <c r="C9" s="55"/>
      <c r="D9" s="16"/>
    </row>
    <row r="10" spans="1:8" x14ac:dyDescent="0.25">
      <c r="A10" s="38"/>
      <c r="B10" s="39" t="s">
        <v>64</v>
      </c>
      <c r="C10" s="40" t="s">
        <v>65</v>
      </c>
      <c r="D10" s="16"/>
    </row>
    <row r="11" spans="1:8" x14ac:dyDescent="0.25">
      <c r="A11" s="41" t="s">
        <v>48</v>
      </c>
      <c r="B11" s="39">
        <v>1</v>
      </c>
      <c r="C11" s="40">
        <v>1</v>
      </c>
      <c r="D11" s="16"/>
    </row>
    <row r="12" spans="1:8" x14ac:dyDescent="0.25">
      <c r="A12" s="41" t="s">
        <v>49</v>
      </c>
      <c r="B12" s="39">
        <v>0</v>
      </c>
      <c r="C12" s="40">
        <v>1</v>
      </c>
      <c r="D12" s="16"/>
    </row>
    <row r="13" spans="1:8" x14ac:dyDescent="0.25">
      <c r="A13" s="38" t="s">
        <v>50</v>
      </c>
      <c r="B13" s="39">
        <v>1</v>
      </c>
      <c r="C13" s="39">
        <v>1</v>
      </c>
      <c r="D13" s="16"/>
    </row>
    <row r="14" spans="1:8" x14ac:dyDescent="0.25">
      <c r="A14" s="38" t="s">
        <v>51</v>
      </c>
      <c r="B14" s="39">
        <v>1</v>
      </c>
      <c r="C14" s="39">
        <v>1</v>
      </c>
      <c r="D14" s="16"/>
    </row>
    <row r="15" spans="1:8" x14ac:dyDescent="0.25">
      <c r="A15" s="38" t="s">
        <v>52</v>
      </c>
      <c r="B15" s="39">
        <v>0</v>
      </c>
      <c r="C15" s="39">
        <v>0</v>
      </c>
      <c r="D15" s="16"/>
    </row>
    <row r="16" spans="1:8" x14ac:dyDescent="0.25">
      <c r="A16" s="38" t="s">
        <v>53</v>
      </c>
      <c r="B16" s="39">
        <v>1</v>
      </c>
      <c r="C16" s="39">
        <v>1</v>
      </c>
      <c r="D16" s="16"/>
    </row>
    <row r="17" spans="1:4" x14ac:dyDescent="0.25">
      <c r="A17" s="38" t="s">
        <v>54</v>
      </c>
      <c r="B17" s="39">
        <v>1</v>
      </c>
      <c r="C17" s="39">
        <v>1</v>
      </c>
      <c r="D17" s="16"/>
    </row>
    <row r="18" spans="1:4" x14ac:dyDescent="0.25">
      <c r="A18" s="38" t="s">
        <v>55</v>
      </c>
      <c r="B18" s="39">
        <v>1</v>
      </c>
      <c r="C18" s="39">
        <v>1</v>
      </c>
      <c r="D18" s="16"/>
    </row>
    <row r="19" spans="1:4" x14ac:dyDescent="0.25">
      <c r="A19" s="38" t="s">
        <v>56</v>
      </c>
      <c r="B19" s="39">
        <v>0</v>
      </c>
      <c r="C19" s="39">
        <v>1</v>
      </c>
      <c r="D19" s="16"/>
    </row>
    <row r="20" spans="1:4" x14ac:dyDescent="0.25">
      <c r="A20" s="16"/>
      <c r="B20" s="16"/>
      <c r="C20" s="16"/>
      <c r="D20" s="16"/>
    </row>
    <row r="21" spans="1:4" x14ac:dyDescent="0.25">
      <c r="A21" s="16"/>
      <c r="B21" s="16"/>
      <c r="C21" s="16"/>
      <c r="D21" s="16"/>
    </row>
    <row r="22" spans="1:4" x14ac:dyDescent="0.25">
      <c r="A22" s="42" t="s">
        <v>57</v>
      </c>
      <c r="B22" s="39">
        <v>0</v>
      </c>
      <c r="C22" s="38"/>
      <c r="D22" s="16"/>
    </row>
    <row r="23" spans="1:4" x14ac:dyDescent="0.25">
      <c r="A23" s="42" t="s">
        <v>58</v>
      </c>
      <c r="B23" s="43">
        <v>0</v>
      </c>
      <c r="C23" s="44"/>
      <c r="D23" s="16"/>
    </row>
    <row r="24" spans="1:4" x14ac:dyDescent="0.25">
      <c r="A24" s="42" t="s">
        <v>59</v>
      </c>
      <c r="B24" s="45" t="s">
        <v>66</v>
      </c>
      <c r="C24" s="46"/>
      <c r="D24" s="26"/>
    </row>
    <row r="25" spans="1:4" x14ac:dyDescent="0.25">
      <c r="A25" s="16"/>
      <c r="B25" s="16"/>
      <c r="C25" s="16"/>
      <c r="D25" s="16"/>
    </row>
  </sheetData>
  <mergeCells count="4">
    <mergeCell ref="A1:H1"/>
    <mergeCell ref="A2:H2"/>
    <mergeCell ref="A6:H6"/>
    <mergeCell ref="A9:C9"/>
  </mergeCells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2"/>
  <sheetViews>
    <sheetView workbookViewId="0">
      <selection activeCell="H4" sqref="H4:H14"/>
    </sheetView>
  </sheetViews>
  <sheetFormatPr defaultColWidth="9.140625" defaultRowHeight="15" x14ac:dyDescent="0.25"/>
  <cols>
    <col min="1" max="1" width="9.7109375" style="7" customWidth="1"/>
    <col min="2" max="2" width="9" style="7" customWidth="1"/>
    <col min="3" max="3" width="9.5703125" style="7" customWidth="1"/>
    <col min="4" max="4" width="16.5703125" style="7" customWidth="1"/>
    <col min="5" max="5" width="17.140625" style="7" customWidth="1"/>
    <col min="6" max="6" width="9.140625" style="7" customWidth="1"/>
    <col min="7" max="7" width="13.42578125" style="7" customWidth="1"/>
    <col min="8" max="8" width="9.85546875" style="7" customWidth="1"/>
    <col min="9" max="16384" width="9.140625" style="7"/>
  </cols>
  <sheetData>
    <row r="1" spans="1:8" ht="15" customHeight="1" x14ac:dyDescent="0.25">
      <c r="A1" s="48" t="s">
        <v>0</v>
      </c>
      <c r="B1" s="48"/>
      <c r="C1" s="48"/>
      <c r="D1" s="48"/>
      <c r="E1" s="48"/>
      <c r="F1" s="48"/>
      <c r="G1" s="48"/>
      <c r="H1" s="49"/>
    </row>
    <row r="2" spans="1:8" ht="16.5" customHeight="1" x14ac:dyDescent="0.25">
      <c r="A2" s="50" t="s">
        <v>1</v>
      </c>
      <c r="B2" s="50"/>
      <c r="C2" s="50"/>
      <c r="D2" s="50"/>
      <c r="E2" s="50"/>
      <c r="F2" s="50"/>
      <c r="G2" s="50"/>
      <c r="H2" s="51"/>
    </row>
    <row r="3" spans="1:8" ht="48" customHeight="1" x14ac:dyDescent="0.25">
      <c r="A3" s="17" t="s">
        <v>2</v>
      </c>
      <c r="B3" s="17" t="s">
        <v>3</v>
      </c>
      <c r="C3" s="17" t="s">
        <v>4</v>
      </c>
      <c r="D3" s="17" t="s">
        <v>5</v>
      </c>
      <c r="E3" s="17" t="s">
        <v>6</v>
      </c>
      <c r="F3" s="17" t="s">
        <v>7</v>
      </c>
      <c r="G3" s="17" t="s">
        <v>8</v>
      </c>
      <c r="H3" s="17" t="s">
        <v>9</v>
      </c>
    </row>
    <row r="4" spans="1:8" ht="17.25" customHeight="1" x14ac:dyDescent="0.25">
      <c r="A4" s="12">
        <v>6147</v>
      </c>
      <c r="B4" s="12">
        <v>1</v>
      </c>
      <c r="C4" s="37" t="s">
        <v>29</v>
      </c>
      <c r="D4" s="13" t="s">
        <v>30</v>
      </c>
      <c r="E4" s="11" t="s">
        <v>22</v>
      </c>
      <c r="F4" s="14">
        <v>77</v>
      </c>
      <c r="G4" s="8"/>
      <c r="H4" s="6" t="s">
        <v>84</v>
      </c>
    </row>
    <row r="5" spans="1:8" ht="15.75" customHeight="1" x14ac:dyDescent="0.25">
      <c r="A5" s="12">
        <v>6147</v>
      </c>
      <c r="B5" s="12">
        <v>1</v>
      </c>
      <c r="C5" s="37" t="s">
        <v>31</v>
      </c>
      <c r="D5" s="13" t="s">
        <v>30</v>
      </c>
      <c r="E5" s="11" t="s">
        <v>22</v>
      </c>
      <c r="F5" s="14">
        <v>77</v>
      </c>
      <c r="G5" s="8"/>
      <c r="H5" s="6" t="s">
        <v>84</v>
      </c>
    </row>
    <row r="6" spans="1:8" x14ac:dyDescent="0.25">
      <c r="A6" s="12">
        <v>6147</v>
      </c>
      <c r="B6" s="12">
        <v>1</v>
      </c>
      <c r="C6" s="37" t="s">
        <v>32</v>
      </c>
      <c r="D6" s="13" t="s">
        <v>11</v>
      </c>
      <c r="E6" s="11" t="s">
        <v>22</v>
      </c>
      <c r="F6" s="14">
        <v>129</v>
      </c>
      <c r="G6" s="9"/>
      <c r="H6" s="6" t="s">
        <v>84</v>
      </c>
    </row>
    <row r="7" spans="1:8" x14ac:dyDescent="0.25">
      <c r="A7" s="12">
        <v>6147</v>
      </c>
      <c r="B7" s="12">
        <v>1</v>
      </c>
      <c r="C7" s="37" t="s">
        <v>33</v>
      </c>
      <c r="D7" s="13" t="s">
        <v>25</v>
      </c>
      <c r="E7" s="11" t="s">
        <v>22</v>
      </c>
      <c r="F7" s="14">
        <v>192</v>
      </c>
      <c r="G7" s="8"/>
      <c r="H7" s="6" t="s">
        <v>84</v>
      </c>
    </row>
    <row r="8" spans="1:8" x14ac:dyDescent="0.25">
      <c r="A8" s="12">
        <v>6147</v>
      </c>
      <c r="B8" s="12">
        <v>1</v>
      </c>
      <c r="C8" s="37" t="s">
        <v>34</v>
      </c>
      <c r="D8" s="13" t="s">
        <v>13</v>
      </c>
      <c r="E8" s="11" t="s">
        <v>12</v>
      </c>
      <c r="F8" s="14">
        <v>92</v>
      </c>
      <c r="G8" s="8"/>
      <c r="H8" s="6" t="s">
        <v>84</v>
      </c>
    </row>
    <row r="9" spans="1:8" x14ac:dyDescent="0.25">
      <c r="A9" s="12">
        <v>6147</v>
      </c>
      <c r="B9" s="12">
        <v>1</v>
      </c>
      <c r="C9" s="37" t="s">
        <v>35</v>
      </c>
      <c r="D9" s="13" t="s">
        <v>13</v>
      </c>
      <c r="E9" s="11" t="s">
        <v>12</v>
      </c>
      <c r="F9" s="14">
        <v>93</v>
      </c>
      <c r="G9" s="8"/>
      <c r="H9" s="6" t="s">
        <v>84</v>
      </c>
    </row>
    <row r="10" spans="1:8" x14ac:dyDescent="0.25">
      <c r="A10" s="12">
        <v>6147</v>
      </c>
      <c r="B10" s="12">
        <v>1</v>
      </c>
      <c r="C10" s="37" t="s">
        <v>36</v>
      </c>
      <c r="D10" s="13" t="s">
        <v>11</v>
      </c>
      <c r="E10" s="11" t="s">
        <v>22</v>
      </c>
      <c r="F10" s="14">
        <v>122</v>
      </c>
      <c r="G10" s="8"/>
      <c r="H10" s="6" t="s">
        <v>84</v>
      </c>
    </row>
    <row r="11" spans="1:8" x14ac:dyDescent="0.25">
      <c r="A11" s="12">
        <v>6147</v>
      </c>
      <c r="B11" s="12">
        <v>1</v>
      </c>
      <c r="C11" s="37" t="s">
        <v>37</v>
      </c>
      <c r="D11" s="13" t="s">
        <v>30</v>
      </c>
      <c r="E11" s="11" t="s">
        <v>22</v>
      </c>
      <c r="F11" s="14">
        <v>131</v>
      </c>
      <c r="G11" s="8"/>
      <c r="H11" s="6" t="s">
        <v>84</v>
      </c>
    </row>
    <row r="12" spans="1:8" x14ac:dyDescent="0.25">
      <c r="A12" s="12">
        <v>6147</v>
      </c>
      <c r="B12" s="12">
        <v>1</v>
      </c>
      <c r="C12" s="37" t="s">
        <v>38</v>
      </c>
      <c r="D12" s="13" t="s">
        <v>39</v>
      </c>
      <c r="E12" s="11" t="s">
        <v>22</v>
      </c>
      <c r="F12" s="14">
        <v>933</v>
      </c>
      <c r="G12" s="8"/>
      <c r="H12" s="6" t="s">
        <v>84</v>
      </c>
    </row>
    <row r="13" spans="1:8" x14ac:dyDescent="0.25">
      <c r="A13" s="12">
        <v>6147</v>
      </c>
      <c r="B13" s="12">
        <v>1</v>
      </c>
      <c r="C13" s="37" t="s">
        <v>40</v>
      </c>
      <c r="D13" s="13" t="s">
        <v>23</v>
      </c>
      <c r="E13" s="11" t="s">
        <v>12</v>
      </c>
      <c r="F13" s="14">
        <v>143</v>
      </c>
      <c r="G13" s="8"/>
      <c r="H13" s="6" t="s">
        <v>84</v>
      </c>
    </row>
    <row r="14" spans="1:8" x14ac:dyDescent="0.25">
      <c r="A14" s="12">
        <v>6147</v>
      </c>
      <c r="B14" s="12">
        <v>1</v>
      </c>
      <c r="C14" s="37" t="s">
        <v>41</v>
      </c>
      <c r="D14" s="13" t="s">
        <v>11</v>
      </c>
      <c r="E14" s="11" t="s">
        <v>22</v>
      </c>
      <c r="F14" s="14">
        <v>132</v>
      </c>
      <c r="G14" s="9"/>
      <c r="H14" s="6" t="s">
        <v>84</v>
      </c>
    </row>
    <row r="15" spans="1:8" x14ac:dyDescent="0.25">
      <c r="A15" s="24"/>
      <c r="B15" s="24"/>
      <c r="C15" s="24"/>
      <c r="D15" s="24"/>
      <c r="E15" s="34" t="s">
        <v>15</v>
      </c>
      <c r="F15" s="33">
        <f>SUM(F4:F14)</f>
        <v>2121</v>
      </c>
      <c r="G15" s="24"/>
      <c r="H15" s="24"/>
    </row>
    <row r="17" spans="1:4" x14ac:dyDescent="0.25">
      <c r="A17" s="55" t="s">
        <v>47</v>
      </c>
      <c r="B17" s="55"/>
      <c r="C17" s="55"/>
    </row>
    <row r="18" spans="1:4" x14ac:dyDescent="0.25">
      <c r="A18" s="38"/>
      <c r="B18" s="39" t="s">
        <v>34</v>
      </c>
      <c r="C18" s="40" t="s">
        <v>35</v>
      </c>
    </row>
    <row r="19" spans="1:4" x14ac:dyDescent="0.25">
      <c r="A19" s="41" t="s">
        <v>48</v>
      </c>
      <c r="B19" s="39">
        <v>1</v>
      </c>
      <c r="C19" s="39">
        <v>1</v>
      </c>
    </row>
    <row r="20" spans="1:4" x14ac:dyDescent="0.25">
      <c r="A20" s="41" t="s">
        <v>49</v>
      </c>
      <c r="B20" s="39">
        <v>0</v>
      </c>
      <c r="C20" s="39">
        <v>0</v>
      </c>
    </row>
    <row r="21" spans="1:4" x14ac:dyDescent="0.25">
      <c r="A21" s="38" t="s">
        <v>50</v>
      </c>
      <c r="B21" s="39">
        <v>1</v>
      </c>
      <c r="C21" s="39">
        <v>1</v>
      </c>
    </row>
    <row r="22" spans="1:4" x14ac:dyDescent="0.25">
      <c r="A22" s="38" t="s">
        <v>51</v>
      </c>
      <c r="B22" s="39">
        <v>1</v>
      </c>
      <c r="C22" s="39">
        <v>1</v>
      </c>
    </row>
    <row r="23" spans="1:4" x14ac:dyDescent="0.25">
      <c r="A23" s="38" t="s">
        <v>52</v>
      </c>
      <c r="B23" s="39">
        <v>0</v>
      </c>
      <c r="C23" s="39">
        <v>0</v>
      </c>
    </row>
    <row r="24" spans="1:4" x14ac:dyDescent="0.25">
      <c r="A24" s="38" t="s">
        <v>53</v>
      </c>
      <c r="B24" s="39">
        <v>1</v>
      </c>
      <c r="C24" s="39">
        <v>1</v>
      </c>
    </row>
    <row r="25" spans="1:4" x14ac:dyDescent="0.25">
      <c r="A25" s="38" t="s">
        <v>54</v>
      </c>
      <c r="B25" s="39">
        <v>1</v>
      </c>
      <c r="C25" s="39">
        <v>1</v>
      </c>
    </row>
    <row r="26" spans="1:4" x14ac:dyDescent="0.25">
      <c r="A26" s="38" t="s">
        <v>55</v>
      </c>
      <c r="B26" s="39">
        <v>1</v>
      </c>
      <c r="C26" s="39">
        <v>1</v>
      </c>
    </row>
    <row r="27" spans="1:4" x14ac:dyDescent="0.25">
      <c r="A27" s="38" t="s">
        <v>56</v>
      </c>
      <c r="B27" s="39">
        <v>1</v>
      </c>
      <c r="C27" s="39">
        <v>1</v>
      </c>
    </row>
    <row r="28" spans="1:4" x14ac:dyDescent="0.25">
      <c r="A28" s="16"/>
      <c r="B28" s="16"/>
      <c r="C28" s="16"/>
    </row>
    <row r="29" spans="1:4" x14ac:dyDescent="0.25">
      <c r="A29" s="16"/>
      <c r="B29" s="16"/>
      <c r="C29" s="16"/>
    </row>
    <row r="30" spans="1:4" x14ac:dyDescent="0.25">
      <c r="A30" s="42" t="s">
        <v>57</v>
      </c>
      <c r="B30" s="39">
        <v>2</v>
      </c>
      <c r="C30" s="38"/>
    </row>
    <row r="31" spans="1:4" x14ac:dyDescent="0.25">
      <c r="A31" s="42" t="s">
        <v>58</v>
      </c>
      <c r="B31" s="43">
        <v>1</v>
      </c>
      <c r="C31" s="44"/>
    </row>
    <row r="32" spans="1:4" x14ac:dyDescent="0.25">
      <c r="A32" s="42" t="s">
        <v>59</v>
      </c>
      <c r="B32" s="59" t="s">
        <v>63</v>
      </c>
      <c r="C32" s="60"/>
      <c r="D32" s="61"/>
    </row>
  </sheetData>
  <mergeCells count="4">
    <mergeCell ref="A1:H1"/>
    <mergeCell ref="A2:H2"/>
    <mergeCell ref="A17:C17"/>
    <mergeCell ref="B32:D32"/>
  </mergeCell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4"/>
  <sheetViews>
    <sheetView workbookViewId="0">
      <selection activeCell="H5" sqref="H5"/>
    </sheetView>
  </sheetViews>
  <sheetFormatPr defaultColWidth="9.140625" defaultRowHeight="15" x14ac:dyDescent="0.25"/>
  <cols>
    <col min="1" max="1" width="10.7109375" style="7" customWidth="1"/>
    <col min="2" max="2" width="9" style="7" customWidth="1"/>
    <col min="3" max="3" width="9.5703125" style="7" customWidth="1"/>
    <col min="4" max="4" width="13.28515625" style="7" customWidth="1"/>
    <col min="5" max="5" width="20.7109375" style="7" customWidth="1"/>
    <col min="6" max="6" width="9.140625" style="7" customWidth="1"/>
    <col min="7" max="7" width="13.42578125" style="7" customWidth="1"/>
    <col min="8" max="8" width="9.85546875" style="7" customWidth="1"/>
    <col min="9" max="16384" width="9.140625" style="7"/>
  </cols>
  <sheetData>
    <row r="1" spans="1:8" ht="15" customHeight="1" x14ac:dyDescent="0.25">
      <c r="A1" s="48" t="s">
        <v>0</v>
      </c>
      <c r="B1" s="48"/>
      <c r="C1" s="48"/>
      <c r="D1" s="48"/>
      <c r="E1" s="48"/>
      <c r="F1" s="48"/>
      <c r="G1" s="48"/>
      <c r="H1" s="49"/>
    </row>
    <row r="2" spans="1:8" ht="16.5" customHeight="1" x14ac:dyDescent="0.25">
      <c r="A2" s="50" t="s">
        <v>1</v>
      </c>
      <c r="B2" s="50"/>
      <c r="C2" s="50"/>
      <c r="D2" s="50"/>
      <c r="E2" s="50"/>
      <c r="F2" s="50"/>
      <c r="G2" s="50"/>
      <c r="H2" s="51"/>
    </row>
    <row r="3" spans="1:8" ht="48" customHeight="1" x14ac:dyDescent="0.25">
      <c r="A3" s="17" t="s">
        <v>2</v>
      </c>
      <c r="B3" s="17" t="s">
        <v>3</v>
      </c>
      <c r="C3" s="17" t="s">
        <v>4</v>
      </c>
      <c r="D3" s="17" t="s">
        <v>5</v>
      </c>
      <c r="E3" s="17" t="s">
        <v>6</v>
      </c>
      <c r="F3" s="17" t="s">
        <v>7</v>
      </c>
      <c r="G3" s="17" t="s">
        <v>8</v>
      </c>
      <c r="H3" s="17" t="s">
        <v>9</v>
      </c>
    </row>
    <row r="4" spans="1:8" ht="17.25" customHeight="1" x14ac:dyDescent="0.25">
      <c r="A4" s="18">
        <v>6370</v>
      </c>
      <c r="B4" s="18">
        <v>1</v>
      </c>
      <c r="C4" s="19">
        <v>73075</v>
      </c>
      <c r="D4" s="19" t="s">
        <v>67</v>
      </c>
      <c r="E4" s="19" t="s">
        <v>24</v>
      </c>
      <c r="F4" s="20">
        <v>371</v>
      </c>
      <c r="G4" s="8"/>
      <c r="H4" s="6" t="s">
        <v>84</v>
      </c>
    </row>
    <row r="5" spans="1:8" ht="15.75" customHeight="1" x14ac:dyDescent="0.25">
      <c r="A5" s="18">
        <v>6370</v>
      </c>
      <c r="B5" s="18">
        <v>1</v>
      </c>
      <c r="C5" s="19">
        <v>73075</v>
      </c>
      <c r="D5" s="19" t="s">
        <v>68</v>
      </c>
      <c r="E5" s="19" t="s">
        <v>24</v>
      </c>
      <c r="F5" s="20">
        <v>371</v>
      </c>
      <c r="G5" s="8"/>
      <c r="H5" s="6" t="s">
        <v>84</v>
      </c>
    </row>
    <row r="6" spans="1:8" s="16" customFormat="1" x14ac:dyDescent="0.25">
      <c r="A6" s="27"/>
      <c r="B6" s="27"/>
      <c r="C6" s="28"/>
      <c r="D6" s="28"/>
      <c r="E6" s="34" t="s">
        <v>15</v>
      </c>
      <c r="F6" s="31">
        <f>SUM(F4:F5)</f>
        <v>742</v>
      </c>
      <c r="G6" s="29"/>
      <c r="H6" s="30"/>
    </row>
    <row r="7" spans="1:8" s="16" customFormat="1" x14ac:dyDescent="0.25">
      <c r="A7" s="62" t="s">
        <v>42</v>
      </c>
      <c r="B7" s="63"/>
      <c r="C7" s="63"/>
      <c r="D7" s="63"/>
      <c r="E7" s="63"/>
      <c r="F7" s="63"/>
      <c r="G7" s="63"/>
      <c r="H7" s="64"/>
    </row>
    <row r="8" spans="1:8" s="16" customFormat="1" x14ac:dyDescent="0.25">
      <c r="B8" s="26"/>
      <c r="C8" s="26"/>
    </row>
    <row r="9" spans="1:8" s="16" customFormat="1" x14ac:dyDescent="0.25">
      <c r="A9" s="55" t="s">
        <v>47</v>
      </c>
      <c r="B9" s="55"/>
      <c r="C9" s="55"/>
    </row>
    <row r="10" spans="1:8" x14ac:dyDescent="0.25">
      <c r="A10" s="38"/>
      <c r="B10" s="39" t="s">
        <v>64</v>
      </c>
      <c r="C10" s="40" t="s">
        <v>65</v>
      </c>
    </row>
    <row r="11" spans="1:8" x14ac:dyDescent="0.25">
      <c r="A11" s="41" t="s">
        <v>48</v>
      </c>
      <c r="B11" s="39">
        <v>4</v>
      </c>
      <c r="C11" s="40">
        <v>4</v>
      </c>
    </row>
    <row r="12" spans="1:8" x14ac:dyDescent="0.25">
      <c r="A12" s="41" t="s">
        <v>49</v>
      </c>
      <c r="B12" s="39">
        <v>0</v>
      </c>
      <c r="C12" s="40">
        <v>2</v>
      </c>
    </row>
    <row r="13" spans="1:8" x14ac:dyDescent="0.25">
      <c r="A13" s="38" t="s">
        <v>50</v>
      </c>
      <c r="B13" s="39">
        <v>4</v>
      </c>
      <c r="C13" s="39">
        <v>4</v>
      </c>
    </row>
    <row r="14" spans="1:8" x14ac:dyDescent="0.25">
      <c r="A14" s="38" t="s">
        <v>51</v>
      </c>
      <c r="B14" s="39">
        <v>4</v>
      </c>
      <c r="C14" s="39">
        <v>4</v>
      </c>
    </row>
    <row r="15" spans="1:8" x14ac:dyDescent="0.25">
      <c r="A15" s="38" t="s">
        <v>52</v>
      </c>
      <c r="B15" s="39">
        <v>3</v>
      </c>
      <c r="C15" s="39">
        <v>3</v>
      </c>
    </row>
    <row r="16" spans="1:8" x14ac:dyDescent="0.25">
      <c r="A16" s="38" t="s">
        <v>53</v>
      </c>
      <c r="B16" s="39">
        <v>4</v>
      </c>
      <c r="C16" s="39">
        <v>4</v>
      </c>
    </row>
    <row r="17" spans="1:4" x14ac:dyDescent="0.25">
      <c r="A17" s="38" t="s">
        <v>69</v>
      </c>
      <c r="B17" s="39">
        <v>1</v>
      </c>
      <c r="C17" s="39">
        <v>1</v>
      </c>
    </row>
    <row r="18" spans="1:4" x14ac:dyDescent="0.25">
      <c r="A18" s="38" t="s">
        <v>55</v>
      </c>
      <c r="B18" s="39">
        <v>4</v>
      </c>
      <c r="C18" s="39">
        <v>4</v>
      </c>
    </row>
    <row r="19" spans="1:4" x14ac:dyDescent="0.25">
      <c r="A19" s="38" t="s">
        <v>56</v>
      </c>
      <c r="B19" s="39">
        <v>4</v>
      </c>
      <c r="C19" s="39">
        <v>4</v>
      </c>
    </row>
    <row r="20" spans="1:4" x14ac:dyDescent="0.25">
      <c r="A20" s="16"/>
      <c r="B20" s="16"/>
      <c r="C20" s="16"/>
    </row>
    <row r="21" spans="1:4" x14ac:dyDescent="0.25">
      <c r="A21" s="16"/>
      <c r="B21" s="16"/>
      <c r="C21" s="16"/>
    </row>
    <row r="22" spans="1:4" x14ac:dyDescent="0.25">
      <c r="A22" s="42" t="s">
        <v>57</v>
      </c>
      <c r="B22" s="39">
        <v>0</v>
      </c>
      <c r="C22" s="38"/>
    </row>
    <row r="23" spans="1:4" x14ac:dyDescent="0.25">
      <c r="A23" s="42" t="s">
        <v>58</v>
      </c>
      <c r="B23" s="43">
        <v>0</v>
      </c>
      <c r="C23" s="44"/>
    </row>
    <row r="24" spans="1:4" x14ac:dyDescent="0.25">
      <c r="A24" s="42" t="s">
        <v>59</v>
      </c>
      <c r="B24" s="65" t="s">
        <v>63</v>
      </c>
      <c r="C24" s="66"/>
      <c r="D24" s="67"/>
    </row>
  </sheetData>
  <mergeCells count="5">
    <mergeCell ref="A1:H1"/>
    <mergeCell ref="A2:H2"/>
    <mergeCell ref="A7:H7"/>
    <mergeCell ref="A9:C9"/>
    <mergeCell ref="B24:D24"/>
  </mergeCells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H5" sqref="H5"/>
    </sheetView>
  </sheetViews>
  <sheetFormatPr defaultColWidth="9.140625" defaultRowHeight="15" x14ac:dyDescent="0.25"/>
  <cols>
    <col min="1" max="1" width="10.7109375" style="7" customWidth="1"/>
    <col min="2" max="2" width="9" style="7" customWidth="1"/>
    <col min="3" max="3" width="9.5703125" style="7" customWidth="1"/>
    <col min="4" max="4" width="13.5703125" style="7" customWidth="1"/>
    <col min="5" max="5" width="20.7109375" style="7" customWidth="1"/>
    <col min="6" max="6" width="9.140625" style="7" customWidth="1"/>
    <col min="7" max="7" width="13.42578125" style="7" customWidth="1"/>
    <col min="8" max="8" width="9.85546875" style="7" customWidth="1"/>
    <col min="9" max="16384" width="9.140625" style="7"/>
  </cols>
  <sheetData>
    <row r="1" spans="1:8" ht="15" customHeight="1" x14ac:dyDescent="0.25">
      <c r="A1" s="48" t="s">
        <v>0</v>
      </c>
      <c r="B1" s="48"/>
      <c r="C1" s="48"/>
      <c r="D1" s="48"/>
      <c r="E1" s="48"/>
      <c r="F1" s="48"/>
      <c r="G1" s="48"/>
      <c r="H1" s="49"/>
    </row>
    <row r="2" spans="1:8" ht="16.5" customHeight="1" x14ac:dyDescent="0.25">
      <c r="A2" s="50" t="s">
        <v>1</v>
      </c>
      <c r="B2" s="50"/>
      <c r="C2" s="50"/>
      <c r="D2" s="50"/>
      <c r="E2" s="50"/>
      <c r="F2" s="50"/>
      <c r="G2" s="50"/>
      <c r="H2" s="51"/>
    </row>
    <row r="3" spans="1:8" ht="48" customHeight="1" x14ac:dyDescent="0.25">
      <c r="A3" s="17" t="s">
        <v>2</v>
      </c>
      <c r="B3" s="17" t="s">
        <v>3</v>
      </c>
      <c r="C3" s="17" t="s">
        <v>4</v>
      </c>
      <c r="D3" s="17" t="s">
        <v>5</v>
      </c>
      <c r="E3" s="17" t="s">
        <v>6</v>
      </c>
      <c r="F3" s="17" t="s">
        <v>7</v>
      </c>
      <c r="G3" s="17" t="s">
        <v>8</v>
      </c>
      <c r="H3" s="17" t="s">
        <v>9</v>
      </c>
    </row>
    <row r="4" spans="1:8" ht="17.25" customHeight="1" x14ac:dyDescent="0.25">
      <c r="A4" s="18">
        <v>6371</v>
      </c>
      <c r="B4" s="18">
        <v>1</v>
      </c>
      <c r="C4" s="19">
        <v>74092</v>
      </c>
      <c r="D4" s="19" t="s">
        <v>70</v>
      </c>
      <c r="E4" s="19" t="s">
        <v>24</v>
      </c>
      <c r="F4" s="20">
        <v>371</v>
      </c>
      <c r="G4" s="8"/>
      <c r="H4" s="6" t="s">
        <v>84</v>
      </c>
    </row>
    <row r="5" spans="1:8" ht="15.75" customHeight="1" x14ac:dyDescent="0.25">
      <c r="A5" s="18">
        <v>6371</v>
      </c>
      <c r="B5" s="18">
        <v>1</v>
      </c>
      <c r="C5" s="19">
        <v>74092</v>
      </c>
      <c r="D5" s="19" t="s">
        <v>71</v>
      </c>
      <c r="E5" s="19" t="s">
        <v>24</v>
      </c>
      <c r="F5" s="20">
        <v>371</v>
      </c>
      <c r="G5" s="8"/>
      <c r="H5" s="6" t="s">
        <v>84</v>
      </c>
    </row>
    <row r="6" spans="1:8" s="16" customFormat="1" x14ac:dyDescent="0.25">
      <c r="A6" s="18"/>
      <c r="B6" s="18"/>
      <c r="C6" s="19"/>
      <c r="D6" s="19"/>
      <c r="E6" s="34" t="s">
        <v>15</v>
      </c>
      <c r="F6" s="23">
        <f>SUM(F4:F5)</f>
        <v>742</v>
      </c>
      <c r="G6" s="8"/>
      <c r="H6" s="6"/>
    </row>
    <row r="7" spans="1:8" x14ac:dyDescent="0.25">
      <c r="A7" s="62" t="s">
        <v>42</v>
      </c>
      <c r="B7" s="63"/>
      <c r="C7" s="63"/>
      <c r="D7" s="63"/>
      <c r="E7" s="63"/>
      <c r="F7" s="63"/>
      <c r="G7" s="63"/>
      <c r="H7" s="64"/>
    </row>
    <row r="10" spans="1:8" x14ac:dyDescent="0.25">
      <c r="A10" s="55" t="s">
        <v>47</v>
      </c>
      <c r="B10" s="55"/>
      <c r="C10" s="55"/>
      <c r="D10" s="16"/>
    </row>
    <row r="11" spans="1:8" x14ac:dyDescent="0.25">
      <c r="A11" s="38"/>
      <c r="B11" s="39" t="s">
        <v>64</v>
      </c>
      <c r="C11" s="40" t="s">
        <v>65</v>
      </c>
      <c r="D11" s="16"/>
    </row>
    <row r="12" spans="1:8" x14ac:dyDescent="0.25">
      <c r="A12" s="41" t="s">
        <v>48</v>
      </c>
      <c r="B12" s="39">
        <v>4</v>
      </c>
      <c r="C12" s="40">
        <v>4</v>
      </c>
      <c r="D12" s="16"/>
    </row>
    <row r="13" spans="1:8" x14ac:dyDescent="0.25">
      <c r="A13" s="41" t="s">
        <v>49</v>
      </c>
      <c r="B13" s="39">
        <v>0</v>
      </c>
      <c r="C13" s="40">
        <v>2</v>
      </c>
      <c r="D13" s="16"/>
    </row>
    <row r="14" spans="1:8" x14ac:dyDescent="0.25">
      <c r="A14" s="38" t="s">
        <v>50</v>
      </c>
      <c r="B14" s="39">
        <v>4</v>
      </c>
      <c r="C14" s="39">
        <v>4</v>
      </c>
      <c r="D14" s="16"/>
    </row>
    <row r="15" spans="1:8" x14ac:dyDescent="0.25">
      <c r="A15" s="38" t="s">
        <v>51</v>
      </c>
      <c r="B15" s="39">
        <v>4</v>
      </c>
      <c r="C15" s="39">
        <v>4</v>
      </c>
      <c r="D15" s="16"/>
    </row>
    <row r="16" spans="1:8" x14ac:dyDescent="0.25">
      <c r="A16" s="38" t="s">
        <v>52</v>
      </c>
      <c r="B16" s="39">
        <v>3</v>
      </c>
      <c r="C16" s="39">
        <v>3</v>
      </c>
      <c r="D16" s="16"/>
    </row>
    <row r="17" spans="1:4" x14ac:dyDescent="0.25">
      <c r="A17" s="38" t="s">
        <v>53</v>
      </c>
      <c r="B17" s="39">
        <v>4</v>
      </c>
      <c r="C17" s="39">
        <v>4</v>
      </c>
      <c r="D17" s="16"/>
    </row>
    <row r="18" spans="1:4" x14ac:dyDescent="0.25">
      <c r="A18" s="38" t="s">
        <v>69</v>
      </c>
      <c r="B18" s="39">
        <v>1</v>
      </c>
      <c r="C18" s="39">
        <v>1</v>
      </c>
      <c r="D18" s="16"/>
    </row>
    <row r="19" spans="1:4" x14ac:dyDescent="0.25">
      <c r="A19" s="38" t="s">
        <v>55</v>
      </c>
      <c r="B19" s="39">
        <v>4</v>
      </c>
      <c r="C19" s="39">
        <v>4</v>
      </c>
      <c r="D19" s="16"/>
    </row>
    <row r="20" spans="1:4" x14ac:dyDescent="0.25">
      <c r="A20" s="38" t="s">
        <v>56</v>
      </c>
      <c r="B20" s="39">
        <v>4</v>
      </c>
      <c r="C20" s="39">
        <v>4</v>
      </c>
      <c r="D20" s="16"/>
    </row>
    <row r="21" spans="1:4" x14ac:dyDescent="0.25">
      <c r="A21" s="16"/>
      <c r="B21" s="16"/>
      <c r="C21" s="16"/>
      <c r="D21" s="16"/>
    </row>
    <row r="22" spans="1:4" x14ac:dyDescent="0.25">
      <c r="A22" s="16"/>
      <c r="B22" s="16"/>
      <c r="C22" s="16"/>
      <c r="D22" s="16"/>
    </row>
    <row r="23" spans="1:4" x14ac:dyDescent="0.25">
      <c r="A23" s="42" t="s">
        <v>57</v>
      </c>
      <c r="B23" s="39">
        <v>0</v>
      </c>
      <c r="C23" s="38"/>
      <c r="D23" s="16"/>
    </row>
    <row r="24" spans="1:4" x14ac:dyDescent="0.25">
      <c r="A24" s="42" t="s">
        <v>58</v>
      </c>
      <c r="B24" s="43">
        <v>0</v>
      </c>
      <c r="C24" s="44"/>
      <c r="D24" s="16"/>
    </row>
    <row r="25" spans="1:4" x14ac:dyDescent="0.25">
      <c r="A25" s="42" t="s">
        <v>59</v>
      </c>
      <c r="B25" s="65" t="s">
        <v>63</v>
      </c>
      <c r="C25" s="66"/>
      <c r="D25" s="67"/>
    </row>
    <row r="26" spans="1:4" x14ac:dyDescent="0.25">
      <c r="A26" s="16"/>
      <c r="B26" s="16"/>
      <c r="C26" s="16"/>
      <c r="D26" s="16"/>
    </row>
  </sheetData>
  <mergeCells count="5">
    <mergeCell ref="A1:H1"/>
    <mergeCell ref="A2:H2"/>
    <mergeCell ref="A7:H7"/>
    <mergeCell ref="A10:C10"/>
    <mergeCell ref="B25:D25"/>
  </mergeCells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1"/>
  <sheetViews>
    <sheetView workbookViewId="0">
      <selection activeCell="H10" sqref="H10"/>
    </sheetView>
  </sheetViews>
  <sheetFormatPr defaultColWidth="9.140625" defaultRowHeight="15" x14ac:dyDescent="0.25"/>
  <cols>
    <col min="1" max="1" width="10.7109375" style="10" customWidth="1"/>
    <col min="2" max="2" width="9" style="10" customWidth="1"/>
    <col min="3" max="3" width="9.5703125" style="10" customWidth="1"/>
    <col min="4" max="4" width="14.85546875" style="10" customWidth="1"/>
    <col min="5" max="5" width="20.7109375" style="10" customWidth="1"/>
    <col min="6" max="6" width="9.140625" style="10" customWidth="1"/>
    <col min="7" max="7" width="13.42578125" style="10" customWidth="1"/>
    <col min="8" max="8" width="9.85546875" style="10" customWidth="1"/>
    <col min="9" max="16384" width="9.140625" style="10"/>
  </cols>
  <sheetData>
    <row r="1" spans="1:8" ht="15" customHeight="1" x14ac:dyDescent="0.25">
      <c r="A1" s="48" t="s">
        <v>0</v>
      </c>
      <c r="B1" s="48"/>
      <c r="C1" s="48"/>
      <c r="D1" s="48"/>
      <c r="E1" s="48"/>
      <c r="F1" s="48"/>
      <c r="G1" s="48"/>
      <c r="H1" s="49"/>
    </row>
    <row r="2" spans="1:8" ht="16.5" customHeight="1" x14ac:dyDescent="0.25">
      <c r="A2" s="50" t="s">
        <v>1</v>
      </c>
      <c r="B2" s="50"/>
      <c r="C2" s="50"/>
      <c r="D2" s="50"/>
      <c r="E2" s="50"/>
      <c r="F2" s="50"/>
      <c r="G2" s="50"/>
      <c r="H2" s="51"/>
    </row>
    <row r="3" spans="1:8" ht="48" customHeight="1" x14ac:dyDescent="0.25">
      <c r="A3" s="17" t="s">
        <v>2</v>
      </c>
      <c r="B3" s="17" t="s">
        <v>3</v>
      </c>
      <c r="C3" s="17" t="s">
        <v>4</v>
      </c>
      <c r="D3" s="17" t="s">
        <v>5</v>
      </c>
      <c r="E3" s="17" t="s">
        <v>6</v>
      </c>
      <c r="F3" s="17" t="s">
        <v>7</v>
      </c>
      <c r="G3" s="17" t="s">
        <v>8</v>
      </c>
      <c r="H3" s="17" t="s">
        <v>9</v>
      </c>
    </row>
    <row r="4" spans="1:8" ht="17.25" customHeight="1" x14ac:dyDescent="0.25">
      <c r="A4" s="18">
        <v>6373</v>
      </c>
      <c r="B4" s="18">
        <v>1</v>
      </c>
      <c r="C4" s="19">
        <v>19676</v>
      </c>
      <c r="D4" s="19" t="s">
        <v>13</v>
      </c>
      <c r="E4" s="19" t="s">
        <v>24</v>
      </c>
      <c r="F4" s="20">
        <v>158</v>
      </c>
      <c r="G4" s="8"/>
      <c r="H4" s="6" t="s">
        <v>84</v>
      </c>
    </row>
    <row r="5" spans="1:8" ht="15.75" customHeight="1" x14ac:dyDescent="0.25">
      <c r="A5" s="18">
        <v>6373</v>
      </c>
      <c r="B5" s="18">
        <v>1</v>
      </c>
      <c r="C5" s="19">
        <v>19677</v>
      </c>
      <c r="D5" s="19" t="s">
        <v>72</v>
      </c>
      <c r="E5" s="19" t="s">
        <v>24</v>
      </c>
      <c r="F5" s="20">
        <v>530</v>
      </c>
      <c r="G5" s="8"/>
      <c r="H5" s="6" t="s">
        <v>84</v>
      </c>
    </row>
    <row r="6" spans="1:8" x14ac:dyDescent="0.25">
      <c r="A6" s="18">
        <v>6373</v>
      </c>
      <c r="B6" s="18">
        <v>1</v>
      </c>
      <c r="C6" s="19">
        <v>19678</v>
      </c>
      <c r="D6" s="19" t="s">
        <v>73</v>
      </c>
      <c r="E6" s="19" t="s">
        <v>24</v>
      </c>
      <c r="F6" s="20">
        <v>79</v>
      </c>
      <c r="G6" s="9"/>
      <c r="H6" s="6" t="s">
        <v>84</v>
      </c>
    </row>
    <row r="7" spans="1:8" x14ac:dyDescent="0.25">
      <c r="A7" s="18">
        <v>6373</v>
      </c>
      <c r="B7" s="18">
        <v>1</v>
      </c>
      <c r="C7" s="19">
        <v>19680</v>
      </c>
      <c r="D7" s="19" t="s">
        <v>11</v>
      </c>
      <c r="E7" s="19" t="s">
        <v>24</v>
      </c>
      <c r="F7" s="20">
        <v>41</v>
      </c>
      <c r="G7" s="8"/>
      <c r="H7" s="6" t="s">
        <v>84</v>
      </c>
    </row>
    <row r="8" spans="1:8" x14ac:dyDescent="0.25">
      <c r="A8" s="18">
        <v>6373</v>
      </c>
      <c r="B8" s="18">
        <v>1</v>
      </c>
      <c r="C8" s="19">
        <v>19681</v>
      </c>
      <c r="D8" s="19" t="s">
        <v>72</v>
      </c>
      <c r="E8" s="19" t="s">
        <v>24</v>
      </c>
      <c r="F8" s="20">
        <v>531</v>
      </c>
      <c r="G8" s="8"/>
      <c r="H8" s="6" t="s">
        <v>84</v>
      </c>
    </row>
    <row r="9" spans="1:8" x14ac:dyDescent="0.25">
      <c r="A9" s="18">
        <v>6373</v>
      </c>
      <c r="B9" s="18">
        <v>1</v>
      </c>
      <c r="C9" s="19">
        <v>19682</v>
      </c>
      <c r="D9" s="19" t="s">
        <v>74</v>
      </c>
      <c r="E9" s="19" t="s">
        <v>24</v>
      </c>
      <c r="F9" s="20">
        <v>77</v>
      </c>
      <c r="G9" s="8"/>
      <c r="H9" s="6" t="s">
        <v>84</v>
      </c>
    </row>
    <row r="10" spans="1:8" x14ac:dyDescent="0.25">
      <c r="A10" s="18">
        <v>6373</v>
      </c>
      <c r="B10" s="18">
        <v>1</v>
      </c>
      <c r="C10" s="19">
        <v>19683</v>
      </c>
      <c r="D10" s="19" t="s">
        <v>13</v>
      </c>
      <c r="E10" s="19" t="s">
        <v>24</v>
      </c>
      <c r="F10" s="20">
        <v>163</v>
      </c>
      <c r="G10" s="8"/>
      <c r="H10" s="6" t="s">
        <v>84</v>
      </c>
    </row>
    <row r="11" spans="1:8" x14ac:dyDescent="0.25">
      <c r="A11" s="2"/>
      <c r="B11" s="5"/>
      <c r="C11" s="5"/>
      <c r="D11" s="1"/>
      <c r="E11" s="35" t="s">
        <v>15</v>
      </c>
      <c r="F11" s="22">
        <f>SUM(F4:F10)</f>
        <v>1579</v>
      </c>
      <c r="G11" s="8"/>
      <c r="H11" s="5"/>
    </row>
    <row r="12" spans="1:8" ht="29.25" customHeight="1" x14ac:dyDescent="0.25">
      <c r="A12" s="52" t="s">
        <v>43</v>
      </c>
      <c r="B12" s="53"/>
      <c r="C12" s="53"/>
      <c r="D12" s="53"/>
      <c r="E12" s="53"/>
      <c r="F12" s="53"/>
      <c r="G12" s="53"/>
      <c r="H12" s="54"/>
    </row>
    <row r="13" spans="1:8" x14ac:dyDescent="0.25">
      <c r="A13" s="3"/>
      <c r="B13" s="3"/>
      <c r="C13" s="3"/>
      <c r="D13" s="3"/>
      <c r="E13" s="3"/>
      <c r="F13" s="3"/>
      <c r="G13" s="3"/>
      <c r="H13" s="3"/>
    </row>
    <row r="15" spans="1:8" x14ac:dyDescent="0.25">
      <c r="A15" s="55" t="s">
        <v>47</v>
      </c>
      <c r="B15" s="55"/>
      <c r="C15" s="55"/>
      <c r="D15" s="16"/>
    </row>
    <row r="16" spans="1:8" x14ac:dyDescent="0.25">
      <c r="A16" s="38"/>
      <c r="B16" s="39" t="s">
        <v>64</v>
      </c>
      <c r="C16" s="40" t="s">
        <v>65</v>
      </c>
      <c r="D16" s="16"/>
    </row>
    <row r="17" spans="1:4" x14ac:dyDescent="0.25">
      <c r="A17" s="41" t="s">
        <v>48</v>
      </c>
      <c r="B17" s="39">
        <v>3</v>
      </c>
      <c r="C17" s="40">
        <v>1</v>
      </c>
      <c r="D17" s="16"/>
    </row>
    <row r="18" spans="1:4" x14ac:dyDescent="0.25">
      <c r="A18" s="41" t="s">
        <v>49</v>
      </c>
      <c r="B18" s="39">
        <v>0</v>
      </c>
      <c r="C18" s="40">
        <v>1</v>
      </c>
      <c r="D18" s="16"/>
    </row>
    <row r="19" spans="1:4" x14ac:dyDescent="0.25">
      <c r="A19" s="38" t="s">
        <v>50</v>
      </c>
      <c r="B19" s="39">
        <v>2</v>
      </c>
      <c r="C19" s="39">
        <v>2</v>
      </c>
      <c r="D19" s="16"/>
    </row>
    <row r="20" spans="1:4" x14ac:dyDescent="0.25">
      <c r="A20" s="38" t="s">
        <v>51</v>
      </c>
      <c r="B20" s="39">
        <v>2</v>
      </c>
      <c r="C20" s="39">
        <v>2</v>
      </c>
      <c r="D20" s="16"/>
    </row>
    <row r="21" spans="1:4" x14ac:dyDescent="0.25">
      <c r="A21" s="38" t="s">
        <v>52</v>
      </c>
      <c r="B21" s="39">
        <v>3</v>
      </c>
      <c r="C21" s="39">
        <v>3</v>
      </c>
      <c r="D21" s="16"/>
    </row>
    <row r="22" spans="1:4" x14ac:dyDescent="0.25">
      <c r="A22" s="38" t="s">
        <v>53</v>
      </c>
      <c r="B22" s="39">
        <v>2</v>
      </c>
      <c r="C22" s="39">
        <v>2</v>
      </c>
      <c r="D22" s="16"/>
    </row>
    <row r="23" spans="1:4" x14ac:dyDescent="0.25">
      <c r="A23" s="38" t="s">
        <v>69</v>
      </c>
      <c r="B23" s="39">
        <v>1</v>
      </c>
      <c r="C23" s="39">
        <v>1</v>
      </c>
      <c r="D23" s="16"/>
    </row>
    <row r="24" spans="1:4" x14ac:dyDescent="0.25">
      <c r="A24" s="38" t="s">
        <v>55</v>
      </c>
      <c r="B24" s="39">
        <v>3</v>
      </c>
      <c r="C24" s="39">
        <v>1</v>
      </c>
      <c r="D24" s="16"/>
    </row>
    <row r="25" spans="1:4" x14ac:dyDescent="0.25">
      <c r="A25" s="38" t="s">
        <v>56</v>
      </c>
      <c r="B25" s="39">
        <v>3</v>
      </c>
      <c r="C25" s="39">
        <v>1</v>
      </c>
      <c r="D25" s="16"/>
    </row>
    <row r="26" spans="1:4" x14ac:dyDescent="0.25">
      <c r="A26" s="16"/>
      <c r="B26" s="16"/>
      <c r="C26" s="16"/>
      <c r="D26" s="16"/>
    </row>
    <row r="27" spans="1:4" x14ac:dyDescent="0.25">
      <c r="A27" s="16"/>
      <c r="B27" s="16"/>
      <c r="C27" s="16"/>
      <c r="D27" s="16"/>
    </row>
    <row r="28" spans="1:4" x14ac:dyDescent="0.25">
      <c r="A28" s="42" t="s">
        <v>57</v>
      </c>
      <c r="B28" s="39">
        <v>0</v>
      </c>
      <c r="C28" s="38"/>
      <c r="D28" s="16"/>
    </row>
    <row r="29" spans="1:4" x14ac:dyDescent="0.25">
      <c r="A29" s="42" t="s">
        <v>58</v>
      </c>
      <c r="B29" s="43">
        <v>0</v>
      </c>
      <c r="C29" s="44"/>
      <c r="D29" s="16"/>
    </row>
    <row r="30" spans="1:4" x14ac:dyDescent="0.25">
      <c r="A30" s="42" t="s">
        <v>59</v>
      </c>
      <c r="B30" s="65" t="s">
        <v>63</v>
      </c>
      <c r="C30" s="66"/>
      <c r="D30" s="67"/>
    </row>
    <row r="31" spans="1:4" x14ac:dyDescent="0.25">
      <c r="A31" s="16"/>
      <c r="B31" s="16"/>
      <c r="C31" s="16"/>
      <c r="D31" s="16"/>
    </row>
  </sheetData>
  <mergeCells count="5">
    <mergeCell ref="A1:H1"/>
    <mergeCell ref="A2:H2"/>
    <mergeCell ref="A12:H12"/>
    <mergeCell ref="A15:C15"/>
    <mergeCell ref="B30:D30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27"/>
  <sheetViews>
    <sheetView workbookViewId="0">
      <selection activeCell="H8" sqref="H8"/>
    </sheetView>
  </sheetViews>
  <sheetFormatPr defaultColWidth="9.140625" defaultRowHeight="15" x14ac:dyDescent="0.25"/>
  <cols>
    <col min="1" max="1" width="10.7109375" style="16" customWidth="1"/>
    <col min="2" max="2" width="9" style="16" customWidth="1"/>
    <col min="3" max="3" width="9.5703125" style="16" customWidth="1"/>
    <col min="4" max="4" width="14.42578125" style="16" customWidth="1"/>
    <col min="5" max="5" width="20.7109375" style="16" customWidth="1"/>
    <col min="6" max="6" width="9.140625" style="16" customWidth="1"/>
    <col min="7" max="7" width="13.42578125" style="16" customWidth="1"/>
    <col min="8" max="8" width="9.85546875" style="16" customWidth="1"/>
    <col min="9" max="16384" width="9.140625" style="16"/>
  </cols>
  <sheetData>
    <row r="1" spans="1:18" ht="15" customHeight="1" x14ac:dyDescent="0.25">
      <c r="A1" s="48" t="s">
        <v>44</v>
      </c>
      <c r="B1" s="48"/>
      <c r="C1" s="48"/>
      <c r="D1" s="48"/>
      <c r="E1" s="48"/>
      <c r="F1" s="48"/>
      <c r="G1" s="48"/>
      <c r="H1" s="49"/>
    </row>
    <row r="2" spans="1:18" ht="16.5" customHeight="1" x14ac:dyDescent="0.25">
      <c r="A2" s="50" t="s">
        <v>1</v>
      </c>
      <c r="B2" s="50"/>
      <c r="C2" s="50"/>
      <c r="D2" s="50"/>
      <c r="E2" s="50"/>
      <c r="F2" s="50"/>
      <c r="G2" s="50"/>
      <c r="H2" s="51"/>
    </row>
    <row r="3" spans="1:18" ht="48" customHeight="1" x14ac:dyDescent="0.25">
      <c r="A3" s="17" t="s">
        <v>2</v>
      </c>
      <c r="B3" s="17" t="s">
        <v>3</v>
      </c>
      <c r="C3" s="17" t="s">
        <v>4</v>
      </c>
      <c r="D3" s="17" t="s">
        <v>5</v>
      </c>
      <c r="E3" s="17" t="s">
        <v>6</v>
      </c>
      <c r="F3" s="17" t="s">
        <v>7</v>
      </c>
      <c r="G3" s="17" t="s">
        <v>8</v>
      </c>
      <c r="H3" s="17" t="s">
        <v>9</v>
      </c>
    </row>
    <row r="4" spans="1:18" ht="17.25" customHeight="1" x14ac:dyDescent="0.25">
      <c r="A4" s="18">
        <v>6381</v>
      </c>
      <c r="B4" s="18">
        <v>1</v>
      </c>
      <c r="C4" s="19">
        <v>18417</v>
      </c>
      <c r="D4" s="19" t="s">
        <v>75</v>
      </c>
      <c r="E4" s="19" t="s">
        <v>20</v>
      </c>
      <c r="F4" s="36">
        <v>292</v>
      </c>
      <c r="G4" s="8"/>
      <c r="H4" s="6" t="s">
        <v>84</v>
      </c>
    </row>
    <row r="5" spans="1:18" ht="15.75" customHeight="1" x14ac:dyDescent="0.25">
      <c r="A5" s="18">
        <v>6381</v>
      </c>
      <c r="B5" s="18">
        <v>1</v>
      </c>
      <c r="C5" s="19">
        <v>19866</v>
      </c>
      <c r="D5" s="19" t="s">
        <v>13</v>
      </c>
      <c r="E5" s="19" t="s">
        <v>24</v>
      </c>
      <c r="F5" s="36">
        <v>225</v>
      </c>
      <c r="G5" s="8"/>
      <c r="H5" s="6" t="s">
        <v>84</v>
      </c>
    </row>
    <row r="6" spans="1:18" x14ac:dyDescent="0.25">
      <c r="A6" s="18">
        <v>6381</v>
      </c>
      <c r="B6" s="18">
        <v>1</v>
      </c>
      <c r="C6" s="19">
        <v>19867</v>
      </c>
      <c r="D6" s="19" t="s">
        <v>76</v>
      </c>
      <c r="E6" s="19" t="s">
        <v>24</v>
      </c>
      <c r="F6" s="36">
        <v>225</v>
      </c>
      <c r="G6" s="9"/>
      <c r="H6" s="6" t="s">
        <v>84</v>
      </c>
    </row>
    <row r="7" spans="1:18" x14ac:dyDescent="0.25">
      <c r="A7" s="18">
        <v>6381</v>
      </c>
      <c r="B7" s="18">
        <v>1</v>
      </c>
      <c r="C7" s="19">
        <v>19868</v>
      </c>
      <c r="D7" s="19" t="s">
        <v>13</v>
      </c>
      <c r="E7" s="19" t="s">
        <v>24</v>
      </c>
      <c r="F7" s="36">
        <v>195</v>
      </c>
      <c r="G7" s="8"/>
      <c r="H7" s="6" t="s">
        <v>84</v>
      </c>
    </row>
    <row r="8" spans="1:18" x14ac:dyDescent="0.25">
      <c r="A8" s="18">
        <v>6381</v>
      </c>
      <c r="B8" s="18">
        <v>1</v>
      </c>
      <c r="C8" s="19">
        <v>19869</v>
      </c>
      <c r="D8" s="19" t="s">
        <v>76</v>
      </c>
      <c r="E8" s="19" t="s">
        <v>24</v>
      </c>
      <c r="F8" s="36">
        <v>195</v>
      </c>
      <c r="G8" s="8"/>
      <c r="H8" s="6" t="s">
        <v>84</v>
      </c>
    </row>
    <row r="9" spans="1:18" x14ac:dyDescent="0.25">
      <c r="A9" s="2"/>
      <c r="B9" s="5"/>
      <c r="C9" s="5"/>
      <c r="D9" s="4"/>
      <c r="E9" s="34" t="s">
        <v>15</v>
      </c>
      <c r="F9" s="22">
        <f>SUM(F4:F8)</f>
        <v>1132</v>
      </c>
      <c r="G9" s="8"/>
      <c r="H9" s="5"/>
    </row>
    <row r="10" spans="1:18" ht="15" customHeight="1" x14ac:dyDescent="0.25">
      <c r="A10" s="62" t="s">
        <v>42</v>
      </c>
      <c r="B10" s="63"/>
      <c r="C10" s="63"/>
      <c r="D10" s="63"/>
      <c r="E10" s="63"/>
      <c r="F10" s="63"/>
      <c r="G10" s="63"/>
      <c r="H10" s="64"/>
    </row>
    <row r="11" spans="1:18" x14ac:dyDescent="0.25">
      <c r="A11" s="3"/>
      <c r="B11" s="3"/>
      <c r="C11" s="3"/>
      <c r="D11" s="3"/>
      <c r="E11" s="3"/>
      <c r="F11" s="3"/>
      <c r="G11" s="3"/>
      <c r="H11" s="3"/>
    </row>
    <row r="12" spans="1:18" x14ac:dyDescent="0.25">
      <c r="A12" s="55" t="s">
        <v>47</v>
      </c>
      <c r="B12" s="55"/>
      <c r="C12" s="55"/>
    </row>
    <row r="13" spans="1:18" x14ac:dyDescent="0.25">
      <c r="A13" s="38"/>
      <c r="B13" s="39" t="s">
        <v>64</v>
      </c>
      <c r="C13" s="40" t="s">
        <v>65</v>
      </c>
    </row>
    <row r="14" spans="1:18" x14ac:dyDescent="0.25">
      <c r="A14" s="41" t="s">
        <v>48</v>
      </c>
      <c r="B14" s="39">
        <v>5</v>
      </c>
      <c r="C14" s="40">
        <v>5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</row>
    <row r="15" spans="1:18" x14ac:dyDescent="0.25">
      <c r="A15" s="41" t="s">
        <v>49</v>
      </c>
      <c r="B15" s="39">
        <v>0</v>
      </c>
      <c r="C15" s="40">
        <v>0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</row>
    <row r="16" spans="1:18" x14ac:dyDescent="0.25">
      <c r="A16" s="38" t="s">
        <v>50</v>
      </c>
      <c r="B16" s="39">
        <v>3</v>
      </c>
      <c r="C16" s="39">
        <v>3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</row>
    <row r="17" spans="1:4" x14ac:dyDescent="0.25">
      <c r="A17" s="38" t="s">
        <v>51</v>
      </c>
      <c r="B17" s="39">
        <v>3</v>
      </c>
      <c r="C17" s="39">
        <v>3</v>
      </c>
    </row>
    <row r="18" spans="1:4" x14ac:dyDescent="0.25">
      <c r="A18" s="38" t="s">
        <v>52</v>
      </c>
      <c r="B18" s="39">
        <v>8</v>
      </c>
      <c r="C18" s="39">
        <v>8</v>
      </c>
    </row>
    <row r="19" spans="1:4" x14ac:dyDescent="0.25">
      <c r="A19" s="38" t="s">
        <v>53</v>
      </c>
      <c r="B19" s="39">
        <v>3</v>
      </c>
      <c r="C19" s="39">
        <v>3</v>
      </c>
    </row>
    <row r="20" spans="1:4" x14ac:dyDescent="0.25">
      <c r="A20" s="38" t="s">
        <v>69</v>
      </c>
      <c r="B20" s="39">
        <v>1</v>
      </c>
      <c r="C20" s="39">
        <v>1</v>
      </c>
    </row>
    <row r="21" spans="1:4" x14ac:dyDescent="0.25">
      <c r="A21" s="38" t="s">
        <v>55</v>
      </c>
      <c r="B21" s="39">
        <v>5</v>
      </c>
      <c r="C21" s="39">
        <v>5</v>
      </c>
    </row>
    <row r="22" spans="1:4" x14ac:dyDescent="0.25">
      <c r="A22" s="38" t="s">
        <v>56</v>
      </c>
      <c r="B22" s="39">
        <v>5</v>
      </c>
      <c r="C22" s="39">
        <v>5</v>
      </c>
    </row>
    <row r="25" spans="1:4" x14ac:dyDescent="0.25">
      <c r="A25" s="42" t="s">
        <v>57</v>
      </c>
      <c r="B25" s="39">
        <v>0</v>
      </c>
      <c r="C25" s="38"/>
    </row>
    <row r="26" spans="1:4" x14ac:dyDescent="0.25">
      <c r="A26" s="42" t="s">
        <v>58</v>
      </c>
      <c r="B26" s="43">
        <v>0</v>
      </c>
      <c r="C26" s="44"/>
    </row>
    <row r="27" spans="1:4" x14ac:dyDescent="0.25">
      <c r="A27" s="42" t="s">
        <v>59</v>
      </c>
      <c r="B27" s="65" t="s">
        <v>63</v>
      </c>
      <c r="C27" s="66"/>
      <c r="D27" s="67"/>
    </row>
  </sheetData>
  <mergeCells count="5">
    <mergeCell ref="A1:H1"/>
    <mergeCell ref="A2:H2"/>
    <mergeCell ref="A10:H10"/>
    <mergeCell ref="A12:C12"/>
    <mergeCell ref="B27:D27"/>
  </mergeCells>
  <pageMargins left="0.7" right="0.7" top="0.75" bottom="0.75" header="0.3" footer="0.3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4"/>
  <sheetViews>
    <sheetView workbookViewId="0">
      <selection activeCell="H14" sqref="H14"/>
    </sheetView>
  </sheetViews>
  <sheetFormatPr defaultColWidth="9.140625" defaultRowHeight="15" x14ac:dyDescent="0.25"/>
  <cols>
    <col min="1" max="1" width="10.7109375" style="7" customWidth="1"/>
    <col min="2" max="2" width="9" style="7" customWidth="1"/>
    <col min="3" max="3" width="9.5703125" style="7" customWidth="1"/>
    <col min="4" max="4" width="11.7109375" style="7" customWidth="1"/>
    <col min="5" max="5" width="17.140625" style="7" customWidth="1"/>
    <col min="6" max="6" width="9.140625" style="7" customWidth="1"/>
    <col min="7" max="7" width="13.42578125" style="7" customWidth="1"/>
    <col min="8" max="8" width="9.85546875" style="7" customWidth="1"/>
    <col min="9" max="16384" width="9.140625" style="7"/>
  </cols>
  <sheetData>
    <row r="1" spans="1:8" ht="15" customHeight="1" x14ac:dyDescent="0.25">
      <c r="A1" s="48" t="s">
        <v>0</v>
      </c>
      <c r="B1" s="48"/>
      <c r="C1" s="48"/>
      <c r="D1" s="48"/>
      <c r="E1" s="48"/>
      <c r="F1" s="48"/>
      <c r="G1" s="48"/>
      <c r="H1" s="49"/>
    </row>
    <row r="2" spans="1:8" ht="16.5" customHeight="1" x14ac:dyDescent="0.25">
      <c r="A2" s="50" t="s">
        <v>1</v>
      </c>
      <c r="B2" s="50"/>
      <c r="C2" s="50"/>
      <c r="D2" s="50"/>
      <c r="E2" s="50"/>
      <c r="F2" s="50"/>
      <c r="G2" s="50"/>
      <c r="H2" s="51"/>
    </row>
    <row r="3" spans="1:8" ht="48" customHeight="1" x14ac:dyDescent="0.25">
      <c r="A3" s="17" t="s">
        <v>2</v>
      </c>
      <c r="B3" s="17" t="s">
        <v>3</v>
      </c>
      <c r="C3" s="17" t="s">
        <v>4</v>
      </c>
      <c r="D3" s="17" t="s">
        <v>5</v>
      </c>
      <c r="E3" s="17" t="s">
        <v>6</v>
      </c>
      <c r="F3" s="17" t="s">
        <v>7</v>
      </c>
      <c r="G3" s="17" t="s">
        <v>8</v>
      </c>
      <c r="H3" s="17" t="s">
        <v>9</v>
      </c>
    </row>
    <row r="4" spans="1:8" ht="17.25" customHeight="1" x14ac:dyDescent="0.25">
      <c r="A4" s="18">
        <v>6411</v>
      </c>
      <c r="B4" s="18">
        <v>1</v>
      </c>
      <c r="C4" s="19">
        <v>3243</v>
      </c>
      <c r="D4" s="19" t="s">
        <v>21</v>
      </c>
      <c r="E4" s="19" t="s">
        <v>12</v>
      </c>
      <c r="F4" s="20">
        <v>211</v>
      </c>
      <c r="G4" s="8"/>
      <c r="H4" s="6" t="s">
        <v>84</v>
      </c>
    </row>
    <row r="5" spans="1:8" ht="15.75" customHeight="1" x14ac:dyDescent="0.25">
      <c r="A5" s="18">
        <v>6411</v>
      </c>
      <c r="B5" s="18">
        <v>1</v>
      </c>
      <c r="C5" s="19">
        <v>3246</v>
      </c>
      <c r="D5" s="19" t="s">
        <v>13</v>
      </c>
      <c r="E5" s="19" t="s">
        <v>12</v>
      </c>
      <c r="F5" s="20">
        <v>65</v>
      </c>
      <c r="G5" s="8"/>
      <c r="H5" s="6" t="s">
        <v>84</v>
      </c>
    </row>
    <row r="6" spans="1:8" x14ac:dyDescent="0.25">
      <c r="A6" s="18">
        <v>6411</v>
      </c>
      <c r="B6" s="18">
        <v>1</v>
      </c>
      <c r="C6" s="19">
        <v>3247</v>
      </c>
      <c r="D6" s="19" t="s">
        <v>13</v>
      </c>
      <c r="E6" s="19" t="s">
        <v>12</v>
      </c>
      <c r="F6" s="20">
        <v>76</v>
      </c>
      <c r="G6" s="9"/>
      <c r="H6" s="6" t="s">
        <v>84</v>
      </c>
    </row>
    <row r="7" spans="1:8" x14ac:dyDescent="0.25">
      <c r="A7" s="18">
        <v>6411</v>
      </c>
      <c r="B7" s="18">
        <v>1</v>
      </c>
      <c r="C7" s="19">
        <v>19788</v>
      </c>
      <c r="D7" s="19" t="s">
        <v>77</v>
      </c>
      <c r="E7" s="19" t="s">
        <v>22</v>
      </c>
      <c r="F7" s="20">
        <v>59</v>
      </c>
      <c r="G7" s="8"/>
      <c r="H7" s="6" t="s">
        <v>84</v>
      </c>
    </row>
    <row r="8" spans="1:8" x14ac:dyDescent="0.25">
      <c r="A8" s="18">
        <v>6411</v>
      </c>
      <c r="B8" s="18">
        <v>1</v>
      </c>
      <c r="C8" s="19">
        <v>19789</v>
      </c>
      <c r="D8" s="19" t="s">
        <v>11</v>
      </c>
      <c r="E8" s="19" t="s">
        <v>12</v>
      </c>
      <c r="F8" s="20">
        <v>122</v>
      </c>
      <c r="G8" s="8"/>
      <c r="H8" s="6" t="s">
        <v>84</v>
      </c>
    </row>
    <row r="9" spans="1:8" x14ac:dyDescent="0.25">
      <c r="A9" s="18">
        <v>6411</v>
      </c>
      <c r="B9" s="18">
        <v>1</v>
      </c>
      <c r="C9" s="19">
        <v>19792</v>
      </c>
      <c r="D9" s="19" t="s">
        <v>11</v>
      </c>
      <c r="E9" s="19" t="s">
        <v>22</v>
      </c>
      <c r="F9" s="20">
        <v>205</v>
      </c>
      <c r="G9" s="8"/>
      <c r="H9" s="6" t="s">
        <v>84</v>
      </c>
    </row>
    <row r="10" spans="1:8" x14ac:dyDescent="0.25">
      <c r="A10" s="18">
        <v>6411</v>
      </c>
      <c r="B10" s="18">
        <v>1</v>
      </c>
      <c r="C10" s="19">
        <v>19794</v>
      </c>
      <c r="D10" s="19" t="s">
        <v>11</v>
      </c>
      <c r="E10" s="19" t="s">
        <v>22</v>
      </c>
      <c r="F10" s="20">
        <v>398</v>
      </c>
      <c r="G10" s="8"/>
      <c r="H10" s="6" t="s">
        <v>84</v>
      </c>
    </row>
    <row r="11" spans="1:8" x14ac:dyDescent="0.25">
      <c r="A11" s="18">
        <v>6411</v>
      </c>
      <c r="B11" s="18">
        <v>1</v>
      </c>
      <c r="C11" s="19">
        <v>19796</v>
      </c>
      <c r="D11" s="19" t="s">
        <v>11</v>
      </c>
      <c r="E11" s="19" t="s">
        <v>22</v>
      </c>
      <c r="F11" s="20">
        <v>23</v>
      </c>
      <c r="G11" s="8"/>
      <c r="H11" s="6" t="s">
        <v>84</v>
      </c>
    </row>
    <row r="12" spans="1:8" x14ac:dyDescent="0.25">
      <c r="A12" s="18">
        <v>6411</v>
      </c>
      <c r="B12" s="18">
        <v>1</v>
      </c>
      <c r="C12" s="19">
        <v>19797</v>
      </c>
      <c r="D12" s="19" t="s">
        <v>11</v>
      </c>
      <c r="E12" s="19" t="s">
        <v>22</v>
      </c>
      <c r="F12" s="20">
        <v>148</v>
      </c>
      <c r="G12" s="8"/>
      <c r="H12" s="6" t="s">
        <v>84</v>
      </c>
    </row>
    <row r="13" spans="1:8" x14ac:dyDescent="0.25">
      <c r="A13" s="18">
        <v>6411</v>
      </c>
      <c r="B13" s="18">
        <v>1</v>
      </c>
      <c r="C13" s="19">
        <v>19798</v>
      </c>
      <c r="D13" s="19" t="s">
        <v>11</v>
      </c>
      <c r="E13" s="19" t="s">
        <v>22</v>
      </c>
      <c r="F13" s="20">
        <v>26</v>
      </c>
      <c r="G13" s="9"/>
      <c r="H13" s="6" t="s">
        <v>84</v>
      </c>
    </row>
    <row r="14" spans="1:8" x14ac:dyDescent="0.25">
      <c r="A14" s="18">
        <v>6411</v>
      </c>
      <c r="B14" s="18">
        <v>1</v>
      </c>
      <c r="C14" s="19">
        <v>19799</v>
      </c>
      <c r="D14" s="19" t="s">
        <v>11</v>
      </c>
      <c r="E14" s="19" t="s">
        <v>12</v>
      </c>
      <c r="F14" s="20">
        <v>14</v>
      </c>
      <c r="G14" s="8"/>
      <c r="H14" s="6" t="s">
        <v>84</v>
      </c>
    </row>
    <row r="15" spans="1:8" x14ac:dyDescent="0.25">
      <c r="A15" s="18"/>
      <c r="B15" s="18"/>
      <c r="C15" s="19"/>
      <c r="D15" s="19"/>
      <c r="E15" s="19"/>
      <c r="F15" s="20"/>
      <c r="G15" s="8"/>
      <c r="H15" s="6"/>
    </row>
    <row r="16" spans="1:8" x14ac:dyDescent="0.25">
      <c r="A16" s="24"/>
      <c r="B16" s="24"/>
      <c r="C16" s="24"/>
      <c r="D16" s="24"/>
      <c r="E16" s="34" t="s">
        <v>15</v>
      </c>
      <c r="F16" s="25">
        <f>SUM(F4:F15)</f>
        <v>1347</v>
      </c>
      <c r="G16" s="24"/>
      <c r="H16" s="24"/>
    </row>
    <row r="18" spans="1:4" x14ac:dyDescent="0.25">
      <c r="A18" s="55" t="s">
        <v>47</v>
      </c>
      <c r="B18" s="55"/>
      <c r="C18" s="55"/>
      <c r="D18" s="16"/>
    </row>
    <row r="19" spans="1:4" x14ac:dyDescent="0.25">
      <c r="A19" s="38"/>
      <c r="B19" s="39">
        <v>3246</v>
      </c>
      <c r="C19" s="40">
        <v>3247</v>
      </c>
      <c r="D19" s="16"/>
    </row>
    <row r="20" spans="1:4" x14ac:dyDescent="0.25">
      <c r="A20" s="41" t="s">
        <v>48</v>
      </c>
      <c r="B20" s="39">
        <v>1</v>
      </c>
      <c r="C20" s="40">
        <v>1</v>
      </c>
      <c r="D20" s="16"/>
    </row>
    <row r="21" spans="1:4" x14ac:dyDescent="0.25">
      <c r="A21" s="41" t="s">
        <v>49</v>
      </c>
      <c r="B21" s="39">
        <v>0</v>
      </c>
      <c r="C21" s="40">
        <v>1</v>
      </c>
      <c r="D21" s="16"/>
    </row>
    <row r="22" spans="1:4" x14ac:dyDescent="0.25">
      <c r="A22" s="38" t="s">
        <v>50</v>
      </c>
      <c r="B22" s="39">
        <v>1</v>
      </c>
      <c r="C22" s="39">
        <v>1</v>
      </c>
      <c r="D22" s="16"/>
    </row>
    <row r="23" spans="1:4" x14ac:dyDescent="0.25">
      <c r="A23" s="38" t="s">
        <v>51</v>
      </c>
      <c r="B23" s="39">
        <v>1</v>
      </c>
      <c r="C23" s="39">
        <v>1</v>
      </c>
      <c r="D23" s="16"/>
    </row>
    <row r="24" spans="1:4" x14ac:dyDescent="0.25">
      <c r="A24" s="38" t="s">
        <v>52</v>
      </c>
      <c r="B24" s="39">
        <v>0</v>
      </c>
      <c r="C24" s="39">
        <v>0</v>
      </c>
      <c r="D24" s="16"/>
    </row>
    <row r="25" spans="1:4" x14ac:dyDescent="0.25">
      <c r="A25" s="38" t="s">
        <v>53</v>
      </c>
      <c r="B25" s="39">
        <v>1</v>
      </c>
      <c r="C25" s="39">
        <v>1</v>
      </c>
      <c r="D25" s="16"/>
    </row>
    <row r="26" spans="1:4" x14ac:dyDescent="0.25">
      <c r="A26" s="38" t="s">
        <v>54</v>
      </c>
      <c r="B26" s="39">
        <v>1</v>
      </c>
      <c r="C26" s="39">
        <v>1</v>
      </c>
      <c r="D26" s="16"/>
    </row>
    <row r="27" spans="1:4" x14ac:dyDescent="0.25">
      <c r="A27" s="38" t="s">
        <v>55</v>
      </c>
      <c r="B27" s="39">
        <v>1</v>
      </c>
      <c r="C27" s="39">
        <v>1</v>
      </c>
      <c r="D27" s="16"/>
    </row>
    <row r="28" spans="1:4" x14ac:dyDescent="0.25">
      <c r="A28" s="38" t="s">
        <v>56</v>
      </c>
      <c r="B28" s="39">
        <v>1</v>
      </c>
      <c r="C28" s="39">
        <v>1</v>
      </c>
      <c r="D28" s="16"/>
    </row>
    <row r="29" spans="1:4" x14ac:dyDescent="0.25">
      <c r="A29" s="16"/>
      <c r="B29" s="16"/>
      <c r="C29" s="16"/>
      <c r="D29" s="16"/>
    </row>
    <row r="30" spans="1:4" x14ac:dyDescent="0.25">
      <c r="A30" s="16"/>
      <c r="B30" s="16"/>
      <c r="C30" s="16"/>
      <c r="D30" s="16"/>
    </row>
    <row r="31" spans="1:4" x14ac:dyDescent="0.25">
      <c r="A31" s="42" t="s">
        <v>57</v>
      </c>
      <c r="B31" s="39">
        <v>2</v>
      </c>
      <c r="C31" s="38"/>
      <c r="D31" s="16"/>
    </row>
    <row r="32" spans="1:4" x14ac:dyDescent="0.25">
      <c r="A32" s="42" t="s">
        <v>58</v>
      </c>
      <c r="B32" s="43">
        <v>1</v>
      </c>
      <c r="C32" s="44"/>
      <c r="D32" s="16"/>
    </row>
    <row r="33" spans="1:4" x14ac:dyDescent="0.25">
      <c r="A33" s="42" t="s">
        <v>59</v>
      </c>
      <c r="B33" s="65" t="s">
        <v>63</v>
      </c>
      <c r="C33" s="66"/>
      <c r="D33" s="67"/>
    </row>
    <row r="34" spans="1:4" x14ac:dyDescent="0.25">
      <c r="A34" s="16"/>
      <c r="B34" s="16"/>
      <c r="C34" s="16"/>
      <c r="D34" s="16"/>
    </row>
  </sheetData>
  <mergeCells count="4">
    <mergeCell ref="A1:H1"/>
    <mergeCell ref="A2:H2"/>
    <mergeCell ref="A18:C18"/>
    <mergeCell ref="B33:D33"/>
  </mergeCells>
  <pageMargins left="0.7" right="0.7" top="0.75" bottom="0.75" header="0.3" footer="0.3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2"/>
  <sheetViews>
    <sheetView workbookViewId="0">
      <selection activeCell="H12" sqref="H12"/>
    </sheetView>
  </sheetViews>
  <sheetFormatPr defaultColWidth="9.140625" defaultRowHeight="15" x14ac:dyDescent="0.25"/>
  <cols>
    <col min="1" max="1" width="10.7109375" style="7" customWidth="1"/>
    <col min="2" max="2" width="9" style="7" customWidth="1"/>
    <col min="3" max="3" width="9.5703125" style="7" customWidth="1"/>
    <col min="4" max="4" width="13.85546875" style="7" customWidth="1"/>
    <col min="5" max="5" width="19.140625" style="7" customWidth="1"/>
    <col min="6" max="6" width="9.140625" style="7" customWidth="1"/>
    <col min="7" max="7" width="13.42578125" style="7" customWidth="1"/>
    <col min="8" max="8" width="9.85546875" style="7" customWidth="1"/>
    <col min="9" max="16384" width="9.140625" style="7"/>
  </cols>
  <sheetData>
    <row r="1" spans="1:8" ht="15" customHeight="1" x14ac:dyDescent="0.25">
      <c r="A1" s="48" t="s">
        <v>0</v>
      </c>
      <c r="B1" s="48"/>
      <c r="C1" s="48"/>
      <c r="D1" s="48"/>
      <c r="E1" s="48"/>
      <c r="F1" s="48"/>
      <c r="G1" s="48"/>
      <c r="H1" s="49"/>
    </row>
    <row r="2" spans="1:8" ht="16.5" customHeight="1" x14ac:dyDescent="0.25">
      <c r="A2" s="50" t="s">
        <v>1</v>
      </c>
      <c r="B2" s="50"/>
      <c r="C2" s="50"/>
      <c r="D2" s="50"/>
      <c r="E2" s="50"/>
      <c r="F2" s="50"/>
      <c r="G2" s="50"/>
      <c r="H2" s="51"/>
    </row>
    <row r="3" spans="1:8" ht="48" customHeight="1" x14ac:dyDescent="0.25">
      <c r="A3" s="17" t="s">
        <v>2</v>
      </c>
      <c r="B3" s="17" t="s">
        <v>3</v>
      </c>
      <c r="C3" s="17" t="s">
        <v>4</v>
      </c>
      <c r="D3" s="17" t="s">
        <v>5</v>
      </c>
      <c r="E3" s="17" t="s">
        <v>6</v>
      </c>
      <c r="F3" s="17" t="s">
        <v>7</v>
      </c>
      <c r="G3" s="17" t="s">
        <v>8</v>
      </c>
      <c r="H3" s="17" t="s">
        <v>9</v>
      </c>
    </row>
    <row r="4" spans="1:8" ht="17.25" customHeight="1" x14ac:dyDescent="0.25">
      <c r="A4" s="18">
        <v>6412</v>
      </c>
      <c r="B4" s="18">
        <v>1</v>
      </c>
      <c r="C4" s="19">
        <v>19619</v>
      </c>
      <c r="D4" s="19" t="s">
        <v>78</v>
      </c>
      <c r="E4" s="19" t="s">
        <v>20</v>
      </c>
      <c r="F4" s="20">
        <v>213</v>
      </c>
      <c r="G4" s="8"/>
      <c r="H4" s="6" t="s">
        <v>84</v>
      </c>
    </row>
    <row r="5" spans="1:8" ht="15.75" customHeight="1" x14ac:dyDescent="0.25">
      <c r="A5" s="18">
        <v>6412</v>
      </c>
      <c r="B5" s="18">
        <v>1</v>
      </c>
      <c r="C5" s="19">
        <v>19620</v>
      </c>
      <c r="D5" s="19" t="s">
        <v>79</v>
      </c>
      <c r="E5" s="19" t="s">
        <v>24</v>
      </c>
      <c r="F5" s="20">
        <v>122</v>
      </c>
      <c r="G5" s="8"/>
      <c r="H5" s="6" t="s">
        <v>84</v>
      </c>
    </row>
    <row r="6" spans="1:8" x14ac:dyDescent="0.25">
      <c r="A6" s="18">
        <v>6412</v>
      </c>
      <c r="B6" s="18">
        <v>1</v>
      </c>
      <c r="C6" s="19">
        <v>19621</v>
      </c>
      <c r="D6" s="19" t="s">
        <v>80</v>
      </c>
      <c r="E6" s="19" t="s">
        <v>24</v>
      </c>
      <c r="F6" s="20">
        <v>111</v>
      </c>
      <c r="G6" s="9"/>
      <c r="H6" s="6" t="s">
        <v>84</v>
      </c>
    </row>
    <row r="7" spans="1:8" x14ac:dyDescent="0.25">
      <c r="A7" s="18">
        <v>6412</v>
      </c>
      <c r="B7" s="18">
        <v>1</v>
      </c>
      <c r="C7" s="19">
        <v>19622</v>
      </c>
      <c r="D7" s="19" t="s">
        <v>81</v>
      </c>
      <c r="E7" s="19" t="s">
        <v>24</v>
      </c>
      <c r="F7" s="20">
        <v>197</v>
      </c>
      <c r="G7" s="8"/>
      <c r="H7" s="6" t="s">
        <v>84</v>
      </c>
    </row>
    <row r="8" spans="1:8" x14ac:dyDescent="0.25">
      <c r="A8" s="18">
        <v>6412</v>
      </c>
      <c r="B8" s="18">
        <v>1</v>
      </c>
      <c r="C8" s="19">
        <v>19623</v>
      </c>
      <c r="D8" s="19" t="s">
        <v>82</v>
      </c>
      <c r="E8" s="19" t="s">
        <v>24</v>
      </c>
      <c r="F8" s="20">
        <v>130</v>
      </c>
      <c r="G8" s="8"/>
      <c r="H8" s="6" t="s">
        <v>84</v>
      </c>
    </row>
    <row r="9" spans="1:8" x14ac:dyDescent="0.25">
      <c r="A9" s="18">
        <v>6412</v>
      </c>
      <c r="B9" s="18">
        <v>1</v>
      </c>
      <c r="C9" s="19">
        <v>19624</v>
      </c>
      <c r="D9" s="19" t="s">
        <v>79</v>
      </c>
      <c r="E9" s="19" t="s">
        <v>24</v>
      </c>
      <c r="F9" s="20">
        <v>117</v>
      </c>
      <c r="G9" s="8"/>
      <c r="H9" s="6" t="s">
        <v>84</v>
      </c>
    </row>
    <row r="10" spans="1:8" x14ac:dyDescent="0.25">
      <c r="A10" s="18">
        <v>6412</v>
      </c>
      <c r="B10" s="18">
        <v>1</v>
      </c>
      <c r="C10" s="19">
        <v>19625</v>
      </c>
      <c r="D10" s="19" t="s">
        <v>13</v>
      </c>
      <c r="E10" s="19" t="s">
        <v>24</v>
      </c>
      <c r="F10" s="20">
        <v>111</v>
      </c>
      <c r="G10" s="8"/>
      <c r="H10" s="6" t="s">
        <v>84</v>
      </c>
    </row>
    <row r="11" spans="1:8" x14ac:dyDescent="0.25">
      <c r="A11" s="18">
        <v>6412</v>
      </c>
      <c r="B11" s="18">
        <v>1</v>
      </c>
      <c r="C11" s="19">
        <v>19626</v>
      </c>
      <c r="D11" s="19" t="s">
        <v>83</v>
      </c>
      <c r="E11" s="19" t="s">
        <v>24</v>
      </c>
      <c r="F11" s="20">
        <v>197</v>
      </c>
      <c r="G11" s="8"/>
      <c r="H11" s="6" t="s">
        <v>84</v>
      </c>
    </row>
    <row r="12" spans="1:8" s="16" customFormat="1" x14ac:dyDescent="0.25">
      <c r="A12" s="18">
        <v>6412</v>
      </c>
      <c r="B12" s="18">
        <v>1</v>
      </c>
      <c r="C12" s="19">
        <v>19627</v>
      </c>
      <c r="D12" s="19" t="s">
        <v>82</v>
      </c>
      <c r="E12" s="19" t="s">
        <v>24</v>
      </c>
      <c r="F12" s="20">
        <v>130</v>
      </c>
      <c r="G12" s="8"/>
      <c r="H12" s="6" t="s">
        <v>84</v>
      </c>
    </row>
    <row r="13" spans="1:8" s="16" customFormat="1" x14ac:dyDescent="0.25">
      <c r="A13" s="18"/>
      <c r="B13" s="18"/>
      <c r="C13" s="19"/>
      <c r="D13" s="19"/>
      <c r="E13" s="34" t="s">
        <v>15</v>
      </c>
      <c r="F13" s="23">
        <f>SUM(F4:F12)</f>
        <v>1328</v>
      </c>
      <c r="G13" s="8"/>
      <c r="H13" s="5"/>
    </row>
    <row r="14" spans="1:8" x14ac:dyDescent="0.25">
      <c r="A14" s="62" t="s">
        <v>42</v>
      </c>
      <c r="B14" s="63"/>
      <c r="C14" s="63"/>
      <c r="D14" s="63"/>
      <c r="E14" s="63"/>
      <c r="F14" s="63"/>
      <c r="G14" s="63"/>
      <c r="H14" s="64"/>
    </row>
    <row r="17" spans="1:4" x14ac:dyDescent="0.25">
      <c r="A17" s="55" t="s">
        <v>47</v>
      </c>
      <c r="B17" s="55"/>
      <c r="C17" s="55"/>
      <c r="D17" s="16"/>
    </row>
    <row r="18" spans="1:4" x14ac:dyDescent="0.25">
      <c r="A18" s="38"/>
      <c r="B18" s="39" t="s">
        <v>64</v>
      </c>
      <c r="C18" s="40" t="s">
        <v>65</v>
      </c>
      <c r="D18" s="16"/>
    </row>
    <row r="19" spans="1:4" x14ac:dyDescent="0.25">
      <c r="A19" s="41" t="s">
        <v>48</v>
      </c>
      <c r="B19" s="39">
        <v>4</v>
      </c>
      <c r="C19" s="40">
        <v>3</v>
      </c>
      <c r="D19" s="16"/>
    </row>
    <row r="20" spans="1:4" x14ac:dyDescent="0.25">
      <c r="A20" s="41" t="s">
        <v>49</v>
      </c>
      <c r="B20" s="39">
        <v>0</v>
      </c>
      <c r="C20" s="40">
        <v>1</v>
      </c>
      <c r="D20" s="16"/>
    </row>
    <row r="21" spans="1:4" x14ac:dyDescent="0.25">
      <c r="A21" s="38" t="s">
        <v>50</v>
      </c>
      <c r="B21" s="39">
        <v>3</v>
      </c>
      <c r="C21" s="39">
        <v>3</v>
      </c>
      <c r="D21" s="16"/>
    </row>
    <row r="22" spans="1:4" x14ac:dyDescent="0.25">
      <c r="A22" s="38" t="s">
        <v>51</v>
      </c>
      <c r="B22" s="39">
        <v>3</v>
      </c>
      <c r="C22" s="39">
        <v>3</v>
      </c>
      <c r="D22" s="16"/>
    </row>
    <row r="23" spans="1:4" x14ac:dyDescent="0.25">
      <c r="A23" s="38" t="s">
        <v>52</v>
      </c>
      <c r="B23" s="39">
        <v>4</v>
      </c>
      <c r="C23" s="39">
        <v>4</v>
      </c>
      <c r="D23" s="16"/>
    </row>
    <row r="24" spans="1:4" x14ac:dyDescent="0.25">
      <c r="A24" s="38" t="s">
        <v>53</v>
      </c>
      <c r="B24" s="39">
        <v>3</v>
      </c>
      <c r="C24" s="39">
        <v>3</v>
      </c>
      <c r="D24" s="16"/>
    </row>
    <row r="25" spans="1:4" x14ac:dyDescent="0.25">
      <c r="A25" s="38" t="s">
        <v>69</v>
      </c>
      <c r="B25" s="39">
        <v>1</v>
      </c>
      <c r="C25" s="39">
        <v>1</v>
      </c>
      <c r="D25" s="16"/>
    </row>
    <row r="26" spans="1:4" x14ac:dyDescent="0.25">
      <c r="A26" s="38" t="s">
        <v>55</v>
      </c>
      <c r="B26" s="39">
        <v>4</v>
      </c>
      <c r="C26" s="39">
        <v>3</v>
      </c>
      <c r="D26" s="16"/>
    </row>
    <row r="27" spans="1:4" x14ac:dyDescent="0.25">
      <c r="A27" s="38" t="s">
        <v>56</v>
      </c>
      <c r="B27" s="39">
        <v>4</v>
      </c>
      <c r="C27" s="39">
        <v>3</v>
      </c>
      <c r="D27" s="16"/>
    </row>
    <row r="28" spans="1:4" x14ac:dyDescent="0.25">
      <c r="A28" s="16"/>
      <c r="B28" s="16"/>
      <c r="C28" s="16"/>
      <c r="D28" s="16"/>
    </row>
    <row r="29" spans="1:4" x14ac:dyDescent="0.25">
      <c r="A29" s="16"/>
      <c r="B29" s="16"/>
      <c r="C29" s="16"/>
      <c r="D29" s="16"/>
    </row>
    <row r="30" spans="1:4" x14ac:dyDescent="0.25">
      <c r="A30" s="42" t="s">
        <v>57</v>
      </c>
      <c r="B30" s="39">
        <v>0</v>
      </c>
      <c r="C30" s="38"/>
      <c r="D30" s="16"/>
    </row>
    <row r="31" spans="1:4" x14ac:dyDescent="0.25">
      <c r="A31" s="42" t="s">
        <v>58</v>
      </c>
      <c r="B31" s="43">
        <v>0</v>
      </c>
      <c r="C31" s="44"/>
      <c r="D31" s="16"/>
    </row>
    <row r="32" spans="1:4" x14ac:dyDescent="0.25">
      <c r="A32" s="42" t="s">
        <v>59</v>
      </c>
      <c r="B32" s="65" t="s">
        <v>63</v>
      </c>
      <c r="C32" s="66"/>
      <c r="D32" s="67"/>
    </row>
  </sheetData>
  <mergeCells count="5">
    <mergeCell ref="A1:H1"/>
    <mergeCell ref="A2:H2"/>
    <mergeCell ref="A14:H14"/>
    <mergeCell ref="A17:C17"/>
    <mergeCell ref="B32:D32"/>
  </mergeCells>
  <pageMargins left="0.7" right="0.7" top="0.75" bottom="0.75" header="0.3" footer="0.3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2"/>
  <sheetViews>
    <sheetView tabSelected="1" workbookViewId="0">
      <selection activeCell="H4" sqref="H4"/>
    </sheetView>
  </sheetViews>
  <sheetFormatPr defaultRowHeight="15" x14ac:dyDescent="0.25"/>
  <cols>
    <col min="1" max="1" width="9.7109375" customWidth="1"/>
    <col min="2" max="2" width="9" customWidth="1"/>
    <col min="3" max="3" width="9.5703125" customWidth="1"/>
    <col min="4" max="4" width="15.42578125" customWidth="1"/>
    <col min="5" max="5" width="17.140625" customWidth="1"/>
    <col min="6" max="6" width="9.140625" customWidth="1"/>
    <col min="7" max="7" width="13.42578125" style="7" customWidth="1"/>
    <col min="8" max="8" width="9.85546875" customWidth="1"/>
  </cols>
  <sheetData>
    <row r="1" spans="1:8" ht="15" customHeight="1" x14ac:dyDescent="0.25">
      <c r="A1" s="48" t="s">
        <v>0</v>
      </c>
      <c r="B1" s="48"/>
      <c r="C1" s="48"/>
      <c r="D1" s="48"/>
      <c r="E1" s="48"/>
      <c r="F1" s="48"/>
      <c r="G1" s="48"/>
      <c r="H1" s="49"/>
    </row>
    <row r="2" spans="1:8" ht="16.5" customHeight="1" x14ac:dyDescent="0.25">
      <c r="A2" s="50" t="s">
        <v>1</v>
      </c>
      <c r="B2" s="50"/>
      <c r="C2" s="50"/>
      <c r="D2" s="50"/>
      <c r="E2" s="50"/>
      <c r="F2" s="50"/>
      <c r="G2" s="50"/>
      <c r="H2" s="51"/>
    </row>
    <row r="3" spans="1:8" ht="48" customHeight="1" x14ac:dyDescent="0.25">
      <c r="A3" s="17" t="s">
        <v>2</v>
      </c>
      <c r="B3" s="17" t="s">
        <v>3</v>
      </c>
      <c r="C3" s="17" t="s">
        <v>4</v>
      </c>
      <c r="D3" s="17" t="s">
        <v>5</v>
      </c>
      <c r="E3" s="17" t="s">
        <v>6</v>
      </c>
      <c r="F3" s="17" t="s">
        <v>7</v>
      </c>
      <c r="G3" s="17" t="s">
        <v>8</v>
      </c>
      <c r="H3" s="17" t="s">
        <v>9</v>
      </c>
    </row>
    <row r="4" spans="1:8" ht="17.25" customHeight="1" x14ac:dyDescent="0.25">
      <c r="A4" s="18">
        <v>6423</v>
      </c>
      <c r="B4" s="18">
        <v>1</v>
      </c>
      <c r="C4" s="19">
        <v>14463</v>
      </c>
      <c r="D4" s="19" t="s">
        <v>13</v>
      </c>
      <c r="E4" s="19" t="s">
        <v>12</v>
      </c>
      <c r="F4" s="20">
        <v>44</v>
      </c>
      <c r="G4" s="8"/>
      <c r="H4" s="6" t="s">
        <v>84</v>
      </c>
    </row>
    <row r="5" spans="1:8" x14ac:dyDescent="0.25">
      <c r="A5" s="24"/>
      <c r="B5" s="24"/>
      <c r="C5" s="24"/>
      <c r="D5" s="24"/>
      <c r="E5" s="34" t="s">
        <v>15</v>
      </c>
      <c r="F5" s="25">
        <v>44</v>
      </c>
      <c r="G5" s="24"/>
      <c r="H5" s="24"/>
    </row>
    <row r="7" spans="1:8" x14ac:dyDescent="0.25">
      <c r="A7" s="55" t="s">
        <v>47</v>
      </c>
      <c r="B7" s="55"/>
      <c r="C7" s="55"/>
      <c r="D7" s="16"/>
    </row>
    <row r="8" spans="1:8" x14ac:dyDescent="0.25">
      <c r="A8" s="38"/>
      <c r="B8" s="39" t="s">
        <v>64</v>
      </c>
      <c r="C8" s="40"/>
      <c r="D8" s="16"/>
    </row>
    <row r="9" spans="1:8" x14ac:dyDescent="0.25">
      <c r="A9" s="41" t="s">
        <v>48</v>
      </c>
      <c r="B9" s="39">
        <v>1</v>
      </c>
      <c r="C9" s="40"/>
      <c r="D9" s="16"/>
    </row>
    <row r="10" spans="1:8" x14ac:dyDescent="0.25">
      <c r="A10" s="41" t="s">
        <v>49</v>
      </c>
      <c r="B10" s="39">
        <v>0</v>
      </c>
      <c r="C10" s="40"/>
      <c r="D10" s="16"/>
    </row>
    <row r="11" spans="1:8" x14ac:dyDescent="0.25">
      <c r="A11" s="38" t="s">
        <v>50</v>
      </c>
      <c r="B11" s="39">
        <v>1</v>
      </c>
      <c r="C11" s="39"/>
      <c r="D11" s="16"/>
    </row>
    <row r="12" spans="1:8" x14ac:dyDescent="0.25">
      <c r="A12" s="38" t="s">
        <v>51</v>
      </c>
      <c r="B12" s="39">
        <v>1</v>
      </c>
      <c r="C12" s="39"/>
      <c r="D12" s="16"/>
    </row>
    <row r="13" spans="1:8" x14ac:dyDescent="0.25">
      <c r="A13" s="38" t="s">
        <v>52</v>
      </c>
      <c r="B13" s="39">
        <v>0</v>
      </c>
      <c r="C13" s="39"/>
      <c r="D13" s="16"/>
    </row>
    <row r="14" spans="1:8" x14ac:dyDescent="0.25">
      <c r="A14" s="38" t="s">
        <v>53</v>
      </c>
      <c r="B14" s="39">
        <v>1</v>
      </c>
      <c r="C14" s="39"/>
      <c r="D14" s="16"/>
    </row>
    <row r="15" spans="1:8" x14ac:dyDescent="0.25">
      <c r="A15" s="38" t="s">
        <v>54</v>
      </c>
      <c r="B15" s="39">
        <v>1</v>
      </c>
      <c r="C15" s="39"/>
      <c r="D15" s="16"/>
    </row>
    <row r="16" spans="1:8" x14ac:dyDescent="0.25">
      <c r="A16" s="38" t="s">
        <v>55</v>
      </c>
      <c r="B16" s="39">
        <v>1</v>
      </c>
      <c r="C16" s="39"/>
      <c r="D16" s="16"/>
    </row>
    <row r="17" spans="1:4" x14ac:dyDescent="0.25">
      <c r="A17" s="38" t="s">
        <v>56</v>
      </c>
      <c r="B17" s="39">
        <v>1</v>
      </c>
      <c r="C17" s="39"/>
      <c r="D17" s="16"/>
    </row>
    <row r="18" spans="1:4" x14ac:dyDescent="0.25">
      <c r="A18" s="16"/>
      <c r="B18" s="16"/>
      <c r="C18" s="16"/>
      <c r="D18" s="16"/>
    </row>
    <row r="19" spans="1:4" x14ac:dyDescent="0.25">
      <c r="A19" s="16"/>
      <c r="B19" s="16"/>
      <c r="C19" s="16"/>
      <c r="D19" s="16"/>
    </row>
    <row r="20" spans="1:4" x14ac:dyDescent="0.25">
      <c r="A20" s="42" t="s">
        <v>57</v>
      </c>
      <c r="B20" s="39">
        <v>0</v>
      </c>
      <c r="C20" s="38"/>
      <c r="D20" s="16"/>
    </row>
    <row r="21" spans="1:4" x14ac:dyDescent="0.25">
      <c r="A21" s="42" t="s">
        <v>58</v>
      </c>
      <c r="B21" s="43">
        <v>0</v>
      </c>
      <c r="C21" s="44"/>
      <c r="D21" s="16"/>
    </row>
    <row r="22" spans="1:4" x14ac:dyDescent="0.25">
      <c r="A22" s="42" t="s">
        <v>59</v>
      </c>
      <c r="B22" s="65" t="s">
        <v>63</v>
      </c>
      <c r="C22" s="66"/>
      <c r="D22" s="67"/>
    </row>
  </sheetData>
  <mergeCells count="4">
    <mergeCell ref="A1:H1"/>
    <mergeCell ref="A2:H2"/>
    <mergeCell ref="A7:C7"/>
    <mergeCell ref="B22:D22"/>
  </mergeCells>
  <pageMargins left="0.7" right="0.7" top="0.75" bottom="0.75" header="0.3" footer="0.3"/>
  <pageSetup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39D55-C132-49E0-850D-07F46E69583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B43733C617904C85E87075094A409A" ma:contentTypeVersion="6" ma:contentTypeDescription="Create a new document." ma:contentTypeScope="" ma:versionID="73e35a35c2c7f214fbb5e56dbb63a6c9">
  <xsd:schema xmlns:xsd="http://www.w3.org/2001/XMLSchema" xmlns:xs="http://www.w3.org/2001/XMLSchema" xmlns:p="http://schemas.microsoft.com/office/2006/metadata/properties" xmlns:ns2="df973e7e-d561-4bdc-82b8-7e03e279031b" xmlns:ns3="f983c02f-8e4c-413e-8233-61a43bac8b22" targetNamespace="http://schemas.microsoft.com/office/2006/metadata/properties" ma:root="true" ma:fieldsID="4865145f4f5b251e151e367a266d7e2a" ns2:_="" ns3:_="">
    <xsd:import namespace="df973e7e-d561-4bdc-82b8-7e03e279031b"/>
    <xsd:import namespace="f983c02f-8e4c-413e-8233-61a43bac8b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973e7e-d561-4bdc-82b8-7e03e2790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3c02f-8e4c-413e-8233-61a43bac8b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0157406-00B4-4337-8B88-E3DC149AB9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57B272-FA0D-48F7-93D4-150FEB04A06C}"/>
</file>

<file path=customXml/itemProps3.xml><?xml version="1.0" encoding="utf-8"?>
<ds:datastoreItem xmlns:ds="http://schemas.openxmlformats.org/officeDocument/2006/customXml" ds:itemID="{F2530F4C-2C37-4F3C-90EC-A05C24BC5DA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BLDG 60B1</vt:lpstr>
      <vt:lpstr>BLDG 60B2</vt:lpstr>
      <vt:lpstr>BLDG 6009</vt:lpstr>
      <vt:lpstr>BLDG 6014</vt:lpstr>
      <vt:lpstr>BLDG 6086</vt:lpstr>
      <vt:lpstr>BLDG 6135</vt:lpstr>
      <vt:lpstr>BLDG 6147</vt:lpstr>
      <vt:lpstr>BLDG 6370</vt:lpstr>
      <vt:lpstr>BLDG 6371</vt:lpstr>
      <vt:lpstr>BLDG 6373</vt:lpstr>
      <vt:lpstr>BLDG 6381</vt:lpstr>
      <vt:lpstr>BLDG 6411</vt:lpstr>
      <vt:lpstr>BLDG 6412</vt:lpstr>
      <vt:lpstr>BLDG 6423 </vt:lpstr>
      <vt:lpstr>Sheet1</vt:lpstr>
    </vt:vector>
  </TitlesOfParts>
  <Manager/>
  <Company>NMCI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Lacidonia, Roxanne L CIV NAVFAC, N40080</dc:creator>
  <cp:keywords/>
  <dc:description/>
  <cp:lastModifiedBy>Biza, Ivan D CIV USN (USA)</cp:lastModifiedBy>
  <cp:revision/>
  <dcterms:created xsi:type="dcterms:W3CDTF">2017-04-14T18:23:25Z</dcterms:created>
  <dcterms:modified xsi:type="dcterms:W3CDTF">2025-09-04T07:48:22Z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0x01010030B43733C617904C85E87075094A409A</vt:lpwstr>
  </property>
  <property fmtid="{D5CDD505-2E9C-101B-9397-08002B2CF9AE}" pid="3" name="Order">
    <vt:r8>431700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TemplateUrl">
    <vt:lpwstr/>
  </property>
  <property fmtid="{D5CDD505-2E9C-101B-9397-08002B2CF9AE}" pid="11" name="ComplianceAssetId">
    <vt:lpwstr/>
  </property>
</Properties>
</file>