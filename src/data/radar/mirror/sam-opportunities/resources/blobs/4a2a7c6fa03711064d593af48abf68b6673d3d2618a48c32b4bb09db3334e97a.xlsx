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Section 1\01. Section 1\Valerie Gregorio\FY 26 Orders\POTS 26-002633 BD Biosciences - US\"/>
    </mc:Choice>
  </mc:AlternateContent>
  <xr:revisionPtr revIDLastSave="0" documentId="8_{07B57F1A-A09F-4348-8D03-648D8149EE62}" xr6:coauthVersionLast="47" xr6:coauthVersionMax="47" xr10:uidLastSave="{00000000-0000-0000-0000-000000000000}"/>
  <bookViews>
    <workbookView xWindow="564" yWindow="2820" windowWidth="17280" windowHeight="9960" activeTab="5" xr2:uid="{F4742115-EC43-49CC-84E1-C575D170DBF9}"/>
  </bookViews>
  <sheets>
    <sheet name="QC" sheetId="2" r:id="rId1"/>
    <sheet name="PD" sheetId="1" r:id="rId2"/>
    <sheet name="Ping additional" sheetId="3" r:id="rId3"/>
    <sheet name="Rgt &amp; kit_Rhapsody" sheetId="5" r:id="rId4"/>
    <sheet name="Consumable-Parts" sheetId="4" r:id="rId5"/>
    <sheet name="5 year_2026-2030 final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5" i="10" l="1"/>
  <c r="E155" i="10"/>
  <c r="F155" i="10" s="1"/>
  <c r="G155" i="10" s="1"/>
  <c r="H155" i="10" s="1"/>
  <c r="D155" i="10"/>
  <c r="F149" i="10"/>
  <c r="G149" i="10" s="1"/>
  <c r="H149" i="10" s="1"/>
  <c r="I149" i="10" s="1"/>
  <c r="J149" i="10" s="1"/>
  <c r="F148" i="10"/>
  <c r="G148" i="10" s="1"/>
  <c r="H148" i="10" s="1"/>
  <c r="I148" i="10" s="1"/>
  <c r="J148" i="10" s="1"/>
  <c r="F147" i="10"/>
  <c r="G147" i="10" s="1"/>
  <c r="H147" i="10" s="1"/>
  <c r="I147" i="10" s="1"/>
  <c r="J147" i="10" s="1"/>
  <c r="F146" i="10"/>
  <c r="G146" i="10" s="1"/>
  <c r="H146" i="10" s="1"/>
  <c r="I146" i="10" s="1"/>
  <c r="J146" i="10" s="1"/>
  <c r="F145" i="10"/>
  <c r="G145" i="10" s="1"/>
  <c r="H145" i="10" s="1"/>
  <c r="I145" i="10" s="1"/>
  <c r="J145" i="10" s="1"/>
  <c r="F144" i="10"/>
  <c r="G144" i="10" s="1"/>
  <c r="H144" i="10" s="1"/>
  <c r="I144" i="10" s="1"/>
  <c r="J144" i="10" s="1"/>
  <c r="F143" i="10"/>
  <c r="G143" i="10" s="1"/>
  <c r="H143" i="10" s="1"/>
  <c r="I143" i="10" s="1"/>
  <c r="J143" i="10" s="1"/>
  <c r="F142" i="10"/>
  <c r="G142" i="10" s="1"/>
  <c r="H142" i="10" s="1"/>
  <c r="I142" i="10" s="1"/>
  <c r="J142" i="10" s="1"/>
  <c r="F141" i="10"/>
  <c r="G141" i="10" s="1"/>
  <c r="H141" i="10" s="1"/>
  <c r="I141" i="10" s="1"/>
  <c r="J141" i="10" s="1"/>
  <c r="F140" i="10"/>
  <c r="G140" i="10" s="1"/>
  <c r="H140" i="10" s="1"/>
  <c r="I140" i="10" s="1"/>
  <c r="J140" i="10" s="1"/>
  <c r="F139" i="10"/>
  <c r="G139" i="10" s="1"/>
  <c r="H139" i="10" s="1"/>
  <c r="I139" i="10" s="1"/>
  <c r="J139" i="10" s="1"/>
  <c r="F138" i="10"/>
  <c r="G138" i="10" s="1"/>
  <c r="H138" i="10" s="1"/>
  <c r="I138" i="10" s="1"/>
  <c r="J138" i="10" s="1"/>
  <c r="F137" i="10"/>
  <c r="G137" i="10" s="1"/>
  <c r="H137" i="10" s="1"/>
  <c r="I137" i="10" s="1"/>
  <c r="J137" i="10" s="1"/>
  <c r="F136" i="10"/>
  <c r="G136" i="10" s="1"/>
  <c r="H136" i="10" s="1"/>
  <c r="I136" i="10" s="1"/>
  <c r="J136" i="10" s="1"/>
  <c r="F135" i="10"/>
  <c r="G135" i="10" s="1"/>
  <c r="H135" i="10" s="1"/>
  <c r="I135" i="10" s="1"/>
  <c r="J135" i="10" s="1"/>
  <c r="F134" i="10"/>
  <c r="G134" i="10" s="1"/>
  <c r="H134" i="10" s="1"/>
  <c r="I134" i="10" s="1"/>
  <c r="J134" i="10" s="1"/>
  <c r="F133" i="10"/>
  <c r="G133" i="10" s="1"/>
  <c r="H133" i="10" s="1"/>
  <c r="I133" i="10" s="1"/>
  <c r="J133" i="10" s="1"/>
  <c r="F132" i="10"/>
  <c r="G132" i="10" s="1"/>
  <c r="H132" i="10" s="1"/>
  <c r="I132" i="10" s="1"/>
  <c r="J132" i="10" s="1"/>
  <c r="F131" i="10"/>
  <c r="G131" i="10" s="1"/>
  <c r="H131" i="10" s="1"/>
  <c r="I131" i="10" s="1"/>
  <c r="J131" i="10" s="1"/>
  <c r="F130" i="10"/>
  <c r="G130" i="10" s="1"/>
  <c r="H130" i="10" s="1"/>
  <c r="I130" i="10" s="1"/>
  <c r="J130" i="10" s="1"/>
  <c r="F129" i="10"/>
  <c r="G129" i="10" s="1"/>
  <c r="H129" i="10" s="1"/>
  <c r="I129" i="10" s="1"/>
  <c r="J129" i="10" s="1"/>
  <c r="F128" i="10"/>
  <c r="G128" i="10" s="1"/>
  <c r="H128" i="10" s="1"/>
  <c r="I128" i="10" s="1"/>
  <c r="J128" i="10" s="1"/>
  <c r="F127" i="10"/>
  <c r="G127" i="10" s="1"/>
  <c r="H127" i="10" s="1"/>
  <c r="I127" i="10" s="1"/>
  <c r="J127" i="10" s="1"/>
  <c r="F126" i="10"/>
  <c r="G126" i="10" s="1"/>
  <c r="H126" i="10" s="1"/>
  <c r="I126" i="10" s="1"/>
  <c r="J126" i="10" s="1"/>
  <c r="F125" i="10"/>
  <c r="G125" i="10" s="1"/>
  <c r="H125" i="10" s="1"/>
  <c r="I125" i="10" s="1"/>
  <c r="J125" i="10" s="1"/>
  <c r="F124" i="10"/>
  <c r="G124" i="10" s="1"/>
  <c r="H124" i="10" s="1"/>
  <c r="I124" i="10" s="1"/>
  <c r="J124" i="10" s="1"/>
  <c r="F123" i="10"/>
  <c r="G123" i="10" s="1"/>
  <c r="H123" i="10" s="1"/>
  <c r="I123" i="10" s="1"/>
  <c r="J123" i="10" s="1"/>
  <c r="F122" i="10"/>
  <c r="G122" i="10" s="1"/>
  <c r="H122" i="10" s="1"/>
  <c r="I122" i="10" s="1"/>
  <c r="J122" i="10" s="1"/>
  <c r="F121" i="10"/>
  <c r="G121" i="10" s="1"/>
  <c r="H121" i="10" s="1"/>
  <c r="I121" i="10" s="1"/>
  <c r="J121" i="10" s="1"/>
  <c r="F120" i="10"/>
  <c r="G120" i="10" s="1"/>
  <c r="H120" i="10" s="1"/>
  <c r="I120" i="10" s="1"/>
  <c r="J120" i="10" s="1"/>
  <c r="F119" i="10"/>
  <c r="G119" i="10" s="1"/>
  <c r="H119" i="10" s="1"/>
  <c r="I119" i="10" s="1"/>
  <c r="J119" i="10" s="1"/>
  <c r="F118" i="10"/>
  <c r="G118" i="10" s="1"/>
  <c r="H118" i="10" s="1"/>
  <c r="I118" i="10" s="1"/>
  <c r="J118" i="10" s="1"/>
  <c r="F117" i="10"/>
  <c r="G117" i="10" s="1"/>
  <c r="H117" i="10" s="1"/>
  <c r="I117" i="10" s="1"/>
  <c r="J117" i="10" s="1"/>
  <c r="F116" i="10"/>
  <c r="G116" i="10" s="1"/>
  <c r="H116" i="10" s="1"/>
  <c r="I116" i="10" s="1"/>
  <c r="J116" i="10" s="1"/>
  <c r="F115" i="10"/>
  <c r="G115" i="10" s="1"/>
  <c r="H115" i="10" s="1"/>
  <c r="I115" i="10" s="1"/>
  <c r="J115" i="10" s="1"/>
  <c r="F114" i="10"/>
  <c r="G114" i="10" s="1"/>
  <c r="H114" i="10" s="1"/>
  <c r="I114" i="10" s="1"/>
  <c r="J114" i="10" s="1"/>
  <c r="F113" i="10"/>
  <c r="G113" i="10" s="1"/>
  <c r="H113" i="10" s="1"/>
  <c r="I113" i="10" s="1"/>
  <c r="J113" i="10" s="1"/>
  <c r="F112" i="10"/>
  <c r="G112" i="10" s="1"/>
  <c r="H112" i="10" s="1"/>
  <c r="I112" i="10" s="1"/>
  <c r="J112" i="10" s="1"/>
  <c r="F111" i="10"/>
  <c r="G111" i="10" s="1"/>
  <c r="H111" i="10" s="1"/>
  <c r="I111" i="10" s="1"/>
  <c r="J111" i="10" s="1"/>
  <c r="F110" i="10"/>
  <c r="G110" i="10" s="1"/>
  <c r="H110" i="10" s="1"/>
  <c r="I110" i="10" s="1"/>
  <c r="J110" i="10" s="1"/>
  <c r="F109" i="10"/>
  <c r="G109" i="10" s="1"/>
  <c r="H109" i="10" s="1"/>
  <c r="I109" i="10" s="1"/>
  <c r="J109" i="10" s="1"/>
  <c r="F108" i="10"/>
  <c r="G108" i="10" s="1"/>
  <c r="H108" i="10" s="1"/>
  <c r="I108" i="10" s="1"/>
  <c r="J108" i="10" s="1"/>
  <c r="F107" i="10"/>
  <c r="G107" i="10" s="1"/>
  <c r="H107" i="10" s="1"/>
  <c r="I107" i="10" s="1"/>
  <c r="J107" i="10" s="1"/>
  <c r="F106" i="10"/>
  <c r="G106" i="10" s="1"/>
  <c r="H106" i="10" s="1"/>
  <c r="I106" i="10" s="1"/>
  <c r="J106" i="10" s="1"/>
  <c r="F105" i="10"/>
  <c r="G105" i="10" s="1"/>
  <c r="H105" i="10" s="1"/>
  <c r="I105" i="10" s="1"/>
  <c r="J105" i="10" s="1"/>
  <c r="F104" i="10"/>
  <c r="G104" i="10" s="1"/>
  <c r="H104" i="10" s="1"/>
  <c r="I104" i="10" s="1"/>
  <c r="J104" i="10" s="1"/>
  <c r="F103" i="10"/>
  <c r="G103" i="10" s="1"/>
  <c r="H103" i="10" s="1"/>
  <c r="I103" i="10" s="1"/>
  <c r="J103" i="10" s="1"/>
  <c r="F102" i="10"/>
  <c r="G102" i="10" s="1"/>
  <c r="H102" i="10" s="1"/>
  <c r="I102" i="10" s="1"/>
  <c r="J102" i="10" s="1"/>
  <c r="F101" i="10"/>
  <c r="G101" i="10" s="1"/>
  <c r="H101" i="10" s="1"/>
  <c r="I101" i="10" s="1"/>
  <c r="J101" i="10" s="1"/>
  <c r="F100" i="10"/>
  <c r="G100" i="10" s="1"/>
  <c r="H100" i="10" s="1"/>
  <c r="I100" i="10" s="1"/>
  <c r="J100" i="10" s="1"/>
  <c r="F99" i="10"/>
  <c r="G99" i="10" s="1"/>
  <c r="H99" i="10" s="1"/>
  <c r="I99" i="10" s="1"/>
  <c r="J99" i="10" s="1"/>
  <c r="F98" i="10"/>
  <c r="G98" i="10" s="1"/>
  <c r="H98" i="10" s="1"/>
  <c r="I98" i="10" s="1"/>
  <c r="J98" i="10" s="1"/>
  <c r="F97" i="10"/>
  <c r="G97" i="10" s="1"/>
  <c r="H97" i="10" s="1"/>
  <c r="I97" i="10" s="1"/>
  <c r="J97" i="10" s="1"/>
  <c r="F96" i="10"/>
  <c r="G96" i="10" s="1"/>
  <c r="H96" i="10" s="1"/>
  <c r="I96" i="10" s="1"/>
  <c r="J96" i="10" s="1"/>
  <c r="F95" i="10"/>
  <c r="G95" i="10" s="1"/>
  <c r="H95" i="10" s="1"/>
  <c r="I95" i="10" s="1"/>
  <c r="J95" i="10" s="1"/>
  <c r="F94" i="10"/>
  <c r="G94" i="10" s="1"/>
  <c r="H94" i="10" s="1"/>
  <c r="I94" i="10" s="1"/>
  <c r="J94" i="10" s="1"/>
  <c r="F93" i="10"/>
  <c r="G93" i="10" s="1"/>
  <c r="H93" i="10" s="1"/>
  <c r="I93" i="10" s="1"/>
  <c r="J93" i="10" s="1"/>
  <c r="F92" i="10"/>
  <c r="G92" i="10" s="1"/>
  <c r="H92" i="10" s="1"/>
  <c r="I92" i="10" s="1"/>
  <c r="J92" i="10" s="1"/>
  <c r="F91" i="10"/>
  <c r="G91" i="10" s="1"/>
  <c r="H91" i="10" s="1"/>
  <c r="I91" i="10" s="1"/>
  <c r="J91" i="10" s="1"/>
  <c r="F90" i="10"/>
  <c r="G90" i="10" s="1"/>
  <c r="H90" i="10" s="1"/>
  <c r="I90" i="10" s="1"/>
  <c r="J90" i="10" s="1"/>
  <c r="F89" i="10"/>
  <c r="G89" i="10" s="1"/>
  <c r="H89" i="10" s="1"/>
  <c r="I89" i="10" s="1"/>
  <c r="J89" i="10" s="1"/>
  <c r="F88" i="10"/>
  <c r="G88" i="10" s="1"/>
  <c r="H88" i="10" s="1"/>
  <c r="I88" i="10" s="1"/>
  <c r="J88" i="10" s="1"/>
  <c r="F87" i="10"/>
  <c r="G87" i="10" s="1"/>
  <c r="H87" i="10" s="1"/>
  <c r="I87" i="10" s="1"/>
  <c r="J87" i="10" s="1"/>
  <c r="F86" i="10"/>
  <c r="G86" i="10" s="1"/>
  <c r="H86" i="10" s="1"/>
  <c r="I86" i="10" s="1"/>
  <c r="J86" i="10" s="1"/>
  <c r="F85" i="10"/>
  <c r="G85" i="10" s="1"/>
  <c r="H85" i="10" s="1"/>
  <c r="I85" i="10" s="1"/>
  <c r="J85" i="10" s="1"/>
  <c r="F84" i="10"/>
  <c r="G84" i="10" s="1"/>
  <c r="H84" i="10" s="1"/>
  <c r="I84" i="10" s="1"/>
  <c r="J84" i="10" s="1"/>
  <c r="F83" i="10"/>
  <c r="G83" i="10" s="1"/>
  <c r="H83" i="10" s="1"/>
  <c r="I83" i="10" s="1"/>
  <c r="J83" i="10" s="1"/>
  <c r="F82" i="10"/>
  <c r="G82" i="10" s="1"/>
  <c r="H82" i="10" s="1"/>
  <c r="I82" i="10" s="1"/>
  <c r="J82" i="10" s="1"/>
  <c r="F81" i="10"/>
  <c r="G81" i="10" s="1"/>
  <c r="H81" i="10" s="1"/>
  <c r="I81" i="10" s="1"/>
  <c r="J81" i="10" s="1"/>
  <c r="F80" i="10"/>
  <c r="G80" i="10" s="1"/>
  <c r="H80" i="10" s="1"/>
  <c r="I80" i="10" s="1"/>
  <c r="J80" i="10" s="1"/>
  <c r="F79" i="10"/>
  <c r="G79" i="10" s="1"/>
  <c r="H79" i="10" s="1"/>
  <c r="I79" i="10" s="1"/>
  <c r="J79" i="10" s="1"/>
  <c r="F78" i="10"/>
  <c r="G78" i="10" s="1"/>
  <c r="H78" i="10" s="1"/>
  <c r="I78" i="10" s="1"/>
  <c r="J78" i="10" s="1"/>
  <c r="F77" i="10"/>
  <c r="G77" i="10" s="1"/>
  <c r="H77" i="10" s="1"/>
  <c r="I77" i="10" s="1"/>
  <c r="J77" i="10" s="1"/>
  <c r="F76" i="10"/>
  <c r="G76" i="10" s="1"/>
  <c r="H76" i="10" s="1"/>
  <c r="I76" i="10" s="1"/>
  <c r="J76" i="10" s="1"/>
  <c r="F75" i="10"/>
  <c r="G75" i="10" s="1"/>
  <c r="H75" i="10" s="1"/>
  <c r="I75" i="10" s="1"/>
  <c r="J75" i="10" s="1"/>
  <c r="F74" i="10"/>
  <c r="G74" i="10" s="1"/>
  <c r="H74" i="10" s="1"/>
  <c r="I74" i="10" s="1"/>
  <c r="J74" i="10" s="1"/>
  <c r="F73" i="10"/>
  <c r="G73" i="10" s="1"/>
  <c r="H73" i="10" s="1"/>
  <c r="I73" i="10" s="1"/>
  <c r="J73" i="10" s="1"/>
  <c r="F72" i="10"/>
  <c r="G72" i="10" s="1"/>
  <c r="H72" i="10" s="1"/>
  <c r="I72" i="10" s="1"/>
  <c r="J72" i="10" s="1"/>
  <c r="F71" i="10"/>
  <c r="G71" i="10" s="1"/>
  <c r="H71" i="10" s="1"/>
  <c r="I71" i="10" s="1"/>
  <c r="J71" i="10" s="1"/>
  <c r="F70" i="10"/>
  <c r="G70" i="10" s="1"/>
  <c r="H70" i="10" s="1"/>
  <c r="I70" i="10" s="1"/>
  <c r="J70" i="10" s="1"/>
  <c r="F69" i="10"/>
  <c r="G69" i="10" s="1"/>
  <c r="H69" i="10" s="1"/>
  <c r="I69" i="10" s="1"/>
  <c r="J69" i="10" s="1"/>
  <c r="F68" i="10"/>
  <c r="G68" i="10" s="1"/>
  <c r="H68" i="10" s="1"/>
  <c r="I68" i="10" s="1"/>
  <c r="J68" i="10" s="1"/>
  <c r="F67" i="10"/>
  <c r="G67" i="10" s="1"/>
  <c r="H67" i="10" s="1"/>
  <c r="I67" i="10" s="1"/>
  <c r="J67" i="10" s="1"/>
  <c r="F66" i="10"/>
  <c r="G66" i="10" s="1"/>
  <c r="H66" i="10" s="1"/>
  <c r="I66" i="10" s="1"/>
  <c r="J66" i="10" s="1"/>
  <c r="F65" i="10"/>
  <c r="G65" i="10" s="1"/>
  <c r="H65" i="10" s="1"/>
  <c r="I65" i="10" s="1"/>
  <c r="J65" i="10" s="1"/>
  <c r="F64" i="10"/>
  <c r="G64" i="10" s="1"/>
  <c r="H64" i="10" s="1"/>
  <c r="I64" i="10" s="1"/>
  <c r="J64" i="10" s="1"/>
  <c r="F63" i="10"/>
  <c r="G63" i="10" s="1"/>
  <c r="H63" i="10" s="1"/>
  <c r="I63" i="10" s="1"/>
  <c r="J63" i="10" s="1"/>
  <c r="F62" i="10"/>
  <c r="G62" i="10" s="1"/>
  <c r="H62" i="10" s="1"/>
  <c r="I62" i="10" s="1"/>
  <c r="J62" i="10" s="1"/>
  <c r="F61" i="10"/>
  <c r="G61" i="10" s="1"/>
  <c r="H61" i="10" s="1"/>
  <c r="I61" i="10" s="1"/>
  <c r="J61" i="10" s="1"/>
  <c r="F60" i="10"/>
  <c r="G60" i="10" s="1"/>
  <c r="H60" i="10" s="1"/>
  <c r="I60" i="10" s="1"/>
  <c r="J60" i="10" s="1"/>
  <c r="F59" i="10"/>
  <c r="G59" i="10" s="1"/>
  <c r="H59" i="10" s="1"/>
  <c r="I59" i="10" s="1"/>
  <c r="J59" i="10" s="1"/>
  <c r="F58" i="10"/>
  <c r="G58" i="10" s="1"/>
  <c r="H58" i="10" s="1"/>
  <c r="I58" i="10" s="1"/>
  <c r="J58" i="10" s="1"/>
  <c r="F57" i="10"/>
  <c r="G57" i="10" s="1"/>
  <c r="H57" i="10" s="1"/>
  <c r="I57" i="10" s="1"/>
  <c r="J57" i="10" s="1"/>
  <c r="F56" i="10"/>
  <c r="G56" i="10" s="1"/>
  <c r="H56" i="10" s="1"/>
  <c r="I56" i="10" s="1"/>
  <c r="J56" i="10" s="1"/>
  <c r="F55" i="10"/>
  <c r="G55" i="10" s="1"/>
  <c r="H55" i="10" s="1"/>
  <c r="I55" i="10" s="1"/>
  <c r="J55" i="10" s="1"/>
  <c r="F54" i="10"/>
  <c r="G54" i="10" s="1"/>
  <c r="H54" i="10" s="1"/>
  <c r="I54" i="10" s="1"/>
  <c r="J54" i="10" s="1"/>
  <c r="F53" i="10"/>
  <c r="G53" i="10" s="1"/>
  <c r="H53" i="10" s="1"/>
  <c r="I53" i="10" s="1"/>
  <c r="J53" i="10" s="1"/>
  <c r="F52" i="10"/>
  <c r="G52" i="10" s="1"/>
  <c r="H52" i="10" s="1"/>
  <c r="I52" i="10" s="1"/>
  <c r="J52" i="10" s="1"/>
  <c r="F51" i="10"/>
  <c r="G51" i="10" s="1"/>
  <c r="H51" i="10" s="1"/>
  <c r="I51" i="10" s="1"/>
  <c r="J51" i="10" s="1"/>
  <c r="F50" i="10"/>
  <c r="G50" i="10" s="1"/>
  <c r="H50" i="10" s="1"/>
  <c r="I50" i="10" s="1"/>
  <c r="J50" i="10" s="1"/>
  <c r="F49" i="10"/>
  <c r="G49" i="10" s="1"/>
  <c r="H49" i="10" s="1"/>
  <c r="I49" i="10" s="1"/>
  <c r="J49" i="10" s="1"/>
  <c r="F48" i="10"/>
  <c r="G48" i="10" s="1"/>
  <c r="H48" i="10" s="1"/>
  <c r="I48" i="10" s="1"/>
  <c r="J48" i="10" s="1"/>
  <c r="F47" i="10"/>
  <c r="G47" i="10" s="1"/>
  <c r="H47" i="10" s="1"/>
  <c r="I47" i="10" s="1"/>
  <c r="J47" i="10" s="1"/>
  <c r="F46" i="10"/>
  <c r="G46" i="10" s="1"/>
  <c r="H46" i="10" s="1"/>
  <c r="I46" i="10" s="1"/>
  <c r="J46" i="10" s="1"/>
  <c r="F45" i="10"/>
  <c r="G45" i="10" s="1"/>
  <c r="H45" i="10" s="1"/>
  <c r="I45" i="10" s="1"/>
  <c r="J45" i="10" s="1"/>
  <c r="F44" i="10"/>
  <c r="G44" i="10" s="1"/>
  <c r="H44" i="10" s="1"/>
  <c r="I44" i="10" s="1"/>
  <c r="J44" i="10" s="1"/>
  <c r="F43" i="10"/>
  <c r="G43" i="10" s="1"/>
  <c r="H43" i="10" s="1"/>
  <c r="I43" i="10" s="1"/>
  <c r="J43" i="10" s="1"/>
  <c r="F42" i="10"/>
  <c r="G42" i="10" s="1"/>
  <c r="H42" i="10" s="1"/>
  <c r="I42" i="10" s="1"/>
  <c r="J42" i="10" s="1"/>
  <c r="F41" i="10"/>
  <c r="G41" i="10" s="1"/>
  <c r="H41" i="10" s="1"/>
  <c r="I41" i="10" s="1"/>
  <c r="J41" i="10" s="1"/>
  <c r="F40" i="10"/>
  <c r="G40" i="10" s="1"/>
  <c r="H40" i="10" s="1"/>
  <c r="I40" i="10" s="1"/>
  <c r="J40" i="10" s="1"/>
  <c r="F39" i="10"/>
  <c r="G39" i="10" s="1"/>
  <c r="H39" i="10" s="1"/>
  <c r="I39" i="10" s="1"/>
  <c r="J39" i="10" s="1"/>
  <c r="F38" i="10"/>
  <c r="G38" i="10" s="1"/>
  <c r="H38" i="10" s="1"/>
  <c r="I38" i="10" s="1"/>
  <c r="J38" i="10" s="1"/>
  <c r="F37" i="10"/>
  <c r="G37" i="10" s="1"/>
  <c r="H37" i="10" s="1"/>
  <c r="I37" i="10" s="1"/>
  <c r="J37" i="10" s="1"/>
  <c r="F36" i="10"/>
  <c r="G36" i="10" s="1"/>
  <c r="H36" i="10" s="1"/>
  <c r="I36" i="10" s="1"/>
  <c r="J36" i="10" s="1"/>
  <c r="F35" i="10"/>
  <c r="G35" i="10" s="1"/>
  <c r="H35" i="10" s="1"/>
  <c r="I35" i="10" s="1"/>
  <c r="J35" i="10" s="1"/>
  <c r="F34" i="10"/>
  <c r="G34" i="10" s="1"/>
  <c r="H34" i="10" s="1"/>
  <c r="I34" i="10" s="1"/>
  <c r="J34" i="10" s="1"/>
  <c r="F33" i="10"/>
  <c r="G33" i="10" s="1"/>
  <c r="H33" i="10" s="1"/>
  <c r="I33" i="10" s="1"/>
  <c r="J33" i="10" s="1"/>
  <c r="F32" i="10"/>
  <c r="G32" i="10" s="1"/>
  <c r="H32" i="10" s="1"/>
  <c r="I32" i="10" s="1"/>
  <c r="J32" i="10" s="1"/>
  <c r="F31" i="10"/>
  <c r="G31" i="10" s="1"/>
  <c r="H31" i="10" s="1"/>
  <c r="I31" i="10" s="1"/>
  <c r="J31" i="10" s="1"/>
  <c r="F30" i="10"/>
  <c r="G30" i="10" s="1"/>
  <c r="H30" i="10" s="1"/>
  <c r="I30" i="10" s="1"/>
  <c r="J30" i="10" s="1"/>
  <c r="F29" i="10"/>
  <c r="G29" i="10" s="1"/>
  <c r="H29" i="10" s="1"/>
  <c r="I29" i="10" s="1"/>
  <c r="J29" i="10" s="1"/>
  <c r="F28" i="10"/>
  <c r="G28" i="10" s="1"/>
  <c r="H28" i="10" s="1"/>
  <c r="I28" i="10" s="1"/>
  <c r="J28" i="10" s="1"/>
  <c r="F27" i="10"/>
  <c r="G27" i="10" s="1"/>
  <c r="H27" i="10" s="1"/>
  <c r="I27" i="10" s="1"/>
  <c r="J27" i="10" s="1"/>
  <c r="F26" i="10"/>
  <c r="G26" i="10" s="1"/>
  <c r="H26" i="10" s="1"/>
  <c r="I26" i="10" s="1"/>
  <c r="J26" i="10" s="1"/>
  <c r="F25" i="10"/>
  <c r="G25" i="10" s="1"/>
  <c r="H25" i="10" s="1"/>
  <c r="I25" i="10" s="1"/>
  <c r="J25" i="10" s="1"/>
  <c r="F24" i="10"/>
  <c r="G24" i="10" s="1"/>
  <c r="H24" i="10" s="1"/>
  <c r="I24" i="10" s="1"/>
  <c r="J24" i="10" s="1"/>
  <c r="F23" i="10"/>
  <c r="G23" i="10" s="1"/>
  <c r="H23" i="10" s="1"/>
  <c r="I23" i="10" s="1"/>
  <c r="J23" i="10" s="1"/>
  <c r="F22" i="10"/>
  <c r="G22" i="10" s="1"/>
  <c r="H22" i="10" s="1"/>
  <c r="I22" i="10" s="1"/>
  <c r="J22" i="10" s="1"/>
  <c r="F21" i="10"/>
  <c r="G21" i="10" s="1"/>
  <c r="H21" i="10" s="1"/>
  <c r="I21" i="10" s="1"/>
  <c r="J21" i="10" s="1"/>
  <c r="F20" i="10"/>
  <c r="G20" i="10" s="1"/>
  <c r="H20" i="10" s="1"/>
  <c r="I20" i="10" s="1"/>
  <c r="J20" i="10" s="1"/>
  <c r="F19" i="10"/>
  <c r="G19" i="10" s="1"/>
  <c r="H19" i="10" s="1"/>
  <c r="I19" i="10" s="1"/>
  <c r="J19" i="10" s="1"/>
  <c r="F18" i="10"/>
  <c r="G18" i="10" s="1"/>
  <c r="H18" i="10" s="1"/>
  <c r="I18" i="10" s="1"/>
  <c r="J18" i="10" s="1"/>
  <c r="F17" i="10"/>
  <c r="G17" i="10" s="1"/>
  <c r="H17" i="10" s="1"/>
  <c r="I17" i="10" s="1"/>
  <c r="J17" i="10" s="1"/>
  <c r="F16" i="10"/>
  <c r="G16" i="10" s="1"/>
  <c r="H16" i="10" s="1"/>
  <c r="I16" i="10" s="1"/>
  <c r="J16" i="10" s="1"/>
  <c r="F15" i="10"/>
  <c r="G15" i="10" s="1"/>
  <c r="H15" i="10" s="1"/>
  <c r="I15" i="10" s="1"/>
  <c r="J15" i="10" s="1"/>
  <c r="F14" i="10"/>
  <c r="G14" i="10" s="1"/>
  <c r="H14" i="10" s="1"/>
  <c r="I14" i="10" s="1"/>
  <c r="J14" i="10" s="1"/>
  <c r="F13" i="10"/>
  <c r="G13" i="10" s="1"/>
  <c r="H13" i="10" s="1"/>
  <c r="I13" i="10" s="1"/>
  <c r="J13" i="10" s="1"/>
  <c r="F12" i="10"/>
  <c r="G12" i="10" s="1"/>
  <c r="H12" i="10" s="1"/>
  <c r="I12" i="10" s="1"/>
  <c r="J12" i="10" s="1"/>
  <c r="F11" i="10"/>
  <c r="G11" i="10" s="1"/>
  <c r="H11" i="10" s="1"/>
  <c r="I11" i="10" s="1"/>
  <c r="J11" i="10" s="1"/>
  <c r="F10" i="10"/>
  <c r="G10" i="10" s="1"/>
  <c r="H10" i="10" s="1"/>
  <c r="I10" i="10" s="1"/>
  <c r="J10" i="10" s="1"/>
  <c r="F9" i="10"/>
  <c r="G9" i="10" s="1"/>
  <c r="H9" i="10" s="1"/>
  <c r="I9" i="10" s="1"/>
  <c r="J9" i="10" s="1"/>
  <c r="F8" i="10"/>
  <c r="G8" i="10" s="1"/>
  <c r="H8" i="10" s="1"/>
  <c r="I8" i="10" s="1"/>
  <c r="J8" i="10" s="1"/>
  <c r="F7" i="10"/>
  <c r="G7" i="10" s="1"/>
  <c r="H7" i="10" s="1"/>
  <c r="I7" i="10" s="1"/>
  <c r="J7" i="10" s="1"/>
  <c r="F6" i="10"/>
  <c r="G6" i="10" s="1"/>
  <c r="H6" i="10" s="1"/>
  <c r="I6" i="10" s="1"/>
  <c r="J6" i="10" s="1"/>
  <c r="F5" i="10"/>
  <c r="G5" i="10" s="1"/>
  <c r="H5" i="10" s="1"/>
  <c r="I5" i="10" s="1"/>
  <c r="J5" i="10" s="1"/>
  <c r="F4" i="10"/>
  <c r="G4" i="10" s="1"/>
  <c r="H4" i="10" s="1"/>
  <c r="I4" i="10" s="1"/>
  <c r="J4" i="10" s="1"/>
  <c r="F3" i="10"/>
  <c r="G3" i="10" s="1"/>
  <c r="H3" i="10" s="1"/>
  <c r="I3" i="10" s="1"/>
  <c r="J3" i="10" s="1"/>
  <c r="K3" i="10" l="1"/>
  <c r="K114" i="10"/>
  <c r="K127" i="10"/>
  <c r="F150" i="10"/>
  <c r="G150" i="10" s="1"/>
  <c r="H150" i="10" s="1"/>
  <c r="I150" i="10" s="1"/>
  <c r="J150" i="10" s="1"/>
  <c r="G31" i="5" l="1"/>
  <c r="G30" i="5"/>
  <c r="G29" i="5"/>
  <c r="G27" i="5"/>
  <c r="G26" i="5"/>
  <c r="G24" i="5"/>
  <c r="G23" i="5"/>
  <c r="G22" i="5"/>
  <c r="G21" i="5"/>
  <c r="G20" i="5"/>
  <c r="G19" i="5"/>
  <c r="G17" i="5"/>
  <c r="G16" i="5"/>
  <c r="G15" i="5"/>
  <c r="G14" i="5"/>
  <c r="G13" i="5"/>
  <c r="G12" i="5"/>
  <c r="G10" i="5"/>
  <c r="G9" i="5"/>
  <c r="G8" i="5"/>
  <c r="G7" i="5"/>
  <c r="G6" i="5"/>
  <c r="G5" i="5"/>
  <c r="G4" i="5"/>
  <c r="G3" i="5"/>
  <c r="G2" i="5"/>
  <c r="G70" i="2" l="1"/>
  <c r="G20" i="2"/>
  <c r="G28" i="2"/>
  <c r="G29" i="2"/>
  <c r="G30" i="2"/>
  <c r="G31" i="2"/>
  <c r="G47" i="2"/>
  <c r="G49" i="2"/>
  <c r="G53" i="2"/>
  <c r="G56" i="2"/>
  <c r="G57" i="2"/>
  <c r="G58" i="2"/>
  <c r="G67" i="2"/>
  <c r="G5" i="2"/>
  <c r="G10" i="2"/>
  <c r="G12" i="2"/>
  <c r="G13" i="2"/>
  <c r="G16" i="2"/>
  <c r="G39" i="2"/>
  <c r="G44" i="2"/>
  <c r="G45" i="2"/>
  <c r="G51" i="2"/>
  <c r="G52" i="2"/>
  <c r="G54" i="2"/>
  <c r="G15" i="2"/>
  <c r="G41" i="2"/>
  <c r="G4" i="2"/>
  <c r="G17" i="2"/>
  <c r="G50" i="2"/>
  <c r="G42" i="2"/>
  <c r="G22" i="2"/>
  <c r="E8" i="2"/>
  <c r="G8" i="2" s="1"/>
  <c r="E11" i="2"/>
  <c r="G11" i="2" s="1"/>
  <c r="E14" i="2"/>
  <c r="G14" i="2" s="1"/>
  <c r="E18" i="2"/>
  <c r="G18" i="2" s="1"/>
  <c r="E19" i="2"/>
  <c r="G19" i="2" s="1"/>
  <c r="E20" i="2"/>
  <c r="E23" i="2"/>
  <c r="G23" i="2" s="1"/>
  <c r="E27" i="2"/>
  <c r="G27" i="2" s="1"/>
  <c r="E28" i="2"/>
  <c r="E29" i="2"/>
  <c r="E30" i="2"/>
  <c r="E31" i="2"/>
  <c r="E35" i="2"/>
  <c r="G35" i="2" s="1"/>
  <c r="E37" i="2"/>
  <c r="G37" i="2" s="1"/>
  <c r="E38" i="2"/>
  <c r="G38" i="2" s="1"/>
  <c r="E43" i="2"/>
  <c r="G43" i="2" s="1"/>
  <c r="E46" i="2"/>
  <c r="G46" i="2" s="1"/>
  <c r="E47" i="2"/>
  <c r="E48" i="2"/>
  <c r="G48" i="2" s="1"/>
  <c r="E49" i="2"/>
  <c r="E53" i="2"/>
  <c r="E56" i="2"/>
  <c r="E57" i="2"/>
  <c r="E58" i="2"/>
  <c r="E59" i="2"/>
  <c r="G59" i="2" s="1"/>
  <c r="E61" i="2"/>
  <c r="G61" i="2" s="1"/>
  <c r="E62" i="2"/>
  <c r="G62" i="2" s="1"/>
  <c r="E65" i="2"/>
  <c r="G65" i="2" s="1"/>
  <c r="E66" i="2"/>
  <c r="G66" i="2" s="1"/>
  <c r="E67" i="2"/>
  <c r="E68" i="2"/>
  <c r="G68" i="2" s="1"/>
  <c r="E5" i="2"/>
  <c r="E10" i="2"/>
  <c r="E12" i="2"/>
  <c r="E13" i="2"/>
  <c r="E16" i="2"/>
  <c r="E26" i="2"/>
  <c r="G26" i="2" s="1"/>
  <c r="E32" i="2"/>
  <c r="G32" i="2" s="1"/>
  <c r="E33" i="2"/>
  <c r="G33" i="2" s="1"/>
  <c r="E34" i="2"/>
  <c r="G34" i="2" s="1"/>
  <c r="E36" i="2"/>
  <c r="G36" i="2" s="1"/>
  <c r="E39" i="2"/>
  <c r="E40" i="2"/>
  <c r="G40" i="2" s="1"/>
  <c r="E44" i="2"/>
  <c r="E45" i="2"/>
  <c r="E51" i="2"/>
  <c r="E52" i="2"/>
  <c r="E54" i="2"/>
  <c r="E60" i="2"/>
  <c r="G60" i="2" s="1"/>
  <c r="E63" i="2"/>
  <c r="G63" i="2" s="1"/>
  <c r="E64" i="2"/>
  <c r="G64" i="2" s="1"/>
  <c r="E2" i="2"/>
  <c r="G2" i="2" s="1"/>
  <c r="E3" i="2"/>
  <c r="G3" i="2" s="1"/>
  <c r="E15" i="2"/>
  <c r="E24" i="2"/>
  <c r="G24" i="2" s="1"/>
  <c r="E41" i="2"/>
  <c r="E4" i="2"/>
  <c r="E17" i="2"/>
  <c r="E50" i="2"/>
  <c r="E42" i="2"/>
  <c r="E7" i="2"/>
  <c r="G7" i="2" s="1"/>
  <c r="E55" i="2"/>
  <c r="G55" i="2" s="1"/>
  <c r="E25" i="2"/>
  <c r="G25" i="2" s="1"/>
  <c r="E9" i="2"/>
  <c r="G9" i="2" s="1"/>
  <c r="E21" i="2"/>
  <c r="G21" i="2" s="1"/>
  <c r="E22" i="2"/>
  <c r="E6" i="2"/>
  <c r="G6" i="2" s="1"/>
  <c r="F58" i="1" l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12" i="1"/>
  <c r="F6" i="1"/>
  <c r="F11" i="1"/>
  <c r="F39" i="1"/>
  <c r="F41" i="1"/>
  <c r="F5" i="1"/>
  <c r="F36" i="1"/>
  <c r="F37" i="1"/>
  <c r="F35" i="1"/>
  <c r="F34" i="1"/>
  <c r="F40" i="1"/>
  <c r="F38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0" i="1"/>
  <c r="F9" i="1"/>
  <c r="F8" i="1"/>
  <c r="F7" i="1"/>
  <c r="F4" i="1"/>
  <c r="F3" i="1"/>
  <c r="F2" i="1"/>
  <c r="F60" i="1" l="1"/>
</calcChain>
</file>

<file path=xl/sharedStrings.xml><?xml version="1.0" encoding="utf-8"?>
<sst xmlns="http://schemas.openxmlformats.org/spreadsheetml/2006/main" count="481" uniqueCount="252">
  <si>
    <t>Cat.</t>
  </si>
  <si>
    <t>Total Price</t>
  </si>
  <si>
    <t>PE LAG3</t>
  </si>
  <si>
    <t>PE CD62L</t>
  </si>
  <si>
    <t>PE-Cy7 human CD69</t>
  </si>
  <si>
    <t>APC-R700 LAG3</t>
  </si>
  <si>
    <t>Total</t>
  </si>
  <si>
    <t>FITC Human CD3 (50 Tests)</t>
  </si>
  <si>
    <t>FITC Human CD4 (100 Tests)</t>
  </si>
  <si>
    <t>FITC Human CD14 (100 Tests)</t>
  </si>
  <si>
    <t>FITC Human CCR7 (100 Tests)</t>
  </si>
  <si>
    <t>BD Human BV711 PD1 (50 Tests)</t>
  </si>
  <si>
    <t>PE Human CCR7 (100Tests)</t>
  </si>
  <si>
    <t>PE Human CD16 (100Tests)</t>
  </si>
  <si>
    <t>PE Human CD19 (50 Tests)</t>
  </si>
  <si>
    <t>PE Human CD22 (100 Tests)</t>
  </si>
  <si>
    <t>PE Human CD56 (50 Tests)</t>
  </si>
  <si>
    <t>7-AAD (2mL)</t>
  </si>
  <si>
    <t>PE-Cy7 Human CD3 (100 Tests)</t>
  </si>
  <si>
    <t>PE-Cy7 Human CD56 (100 Tests)</t>
  </si>
  <si>
    <t>PE-Cy7 Human CD14 (100 Tests)</t>
  </si>
  <si>
    <t>PE-Cy7 Human CD45RA (100 Tests)</t>
  </si>
  <si>
    <t>APC Human CD4 (100 Tests)</t>
  </si>
  <si>
    <t>APC Human CD8 (100 Tests)</t>
  </si>
  <si>
    <t>APC Human CD56 (100 Tests)</t>
  </si>
  <si>
    <t>APC Human CD34 (100 Tests)</t>
  </si>
  <si>
    <t>APC Human CD19 (100 Tests)</t>
  </si>
  <si>
    <t>APC Human CD69 (100 Tests)</t>
  </si>
  <si>
    <t>APC-Cy7 Human CD45 (100 Tests)</t>
  </si>
  <si>
    <t>APC-Cy7 Human CD8 (100 Tests)</t>
  </si>
  <si>
    <t>APC-R700 Human CD8 (50 Tests)</t>
  </si>
  <si>
    <t>FITC Human CD45 (100 Tests)</t>
  </si>
  <si>
    <t>PE Human CD34 (50 Tests)</t>
  </si>
  <si>
    <t>BV421 Human CD3 (100 Tests)</t>
  </si>
  <si>
    <t>BV421 Human CD14 (100 Tests)</t>
  </si>
  <si>
    <t>BV421 Human CD13 (100 Tests)</t>
  </si>
  <si>
    <t>BV510 Human CD8 (100 Tests)</t>
  </si>
  <si>
    <t>BD510 Human CD25 (100 Tests)</t>
  </si>
  <si>
    <t>BV510 Human CD45 (100 Tests)</t>
  </si>
  <si>
    <t>BV605 Human CD3 (100 Tests)</t>
  </si>
  <si>
    <t>BV421 Human PD1 (50 Tests)</t>
  </si>
  <si>
    <t>BD Horizon™ BV510  Human CD4</t>
  </si>
  <si>
    <t>BD510 Human CD3 (50uG)</t>
  </si>
  <si>
    <t>CD45RA-APC</t>
  </si>
  <si>
    <t>CD127-AlexaFluor647</t>
  </si>
  <si>
    <t>CD95-BV480</t>
  </si>
  <si>
    <t>CD57-PE</t>
  </si>
  <si>
    <t>CD57-FITC</t>
  </si>
  <si>
    <t>CD16-V450</t>
  </si>
  <si>
    <t>CD14-BV510</t>
  </si>
  <si>
    <t>CD11c-BV786</t>
  </si>
  <si>
    <t>CD19-FITC</t>
  </si>
  <si>
    <t>CD25-APC</t>
  </si>
  <si>
    <t>CD8-R718</t>
  </si>
  <si>
    <t>CD15-BV421</t>
  </si>
  <si>
    <t>CD38-BV711</t>
  </si>
  <si>
    <t>CD64 BV650</t>
  </si>
  <si>
    <t>TCRgd-BV480</t>
  </si>
  <si>
    <t>BV421  Human CD45RO</t>
  </si>
  <si>
    <t>BD Biosciences (One-year supply)</t>
  </si>
  <si>
    <t>Price/Unit</t>
  </si>
  <si>
    <t>CD27-BV605</t>
  </si>
  <si>
    <t>BD™ CD14 FITC</t>
  </si>
  <si>
    <t>BD Pharmingen™ FITC Mouse anti-SSEA-4</t>
  </si>
  <si>
    <t>BD Pharmingen™ FITC Mouse IgG3, κ Isotype Control</t>
  </si>
  <si>
    <t>BD™ CD45 APC-Cy™7</t>
  </si>
  <si>
    <t>BD Horizon™ BV510 Mouse Anti-Human CD4</t>
  </si>
  <si>
    <t>BD Horizon™ V450 Mouse Anti-Human CD3</t>
  </si>
  <si>
    <t>BD™ PE-Cy™7 Mouse Anti-Human CD56</t>
  </si>
  <si>
    <t>BD™ CD4 FITC</t>
  </si>
  <si>
    <t>BD™ APC Mouse Anti-Human CD4</t>
  </si>
  <si>
    <t>BD™ CD34 PE</t>
  </si>
  <si>
    <t>BD™ CD38 PE</t>
  </si>
  <si>
    <t>BD™ CD56 FITC</t>
  </si>
  <si>
    <t>BD™ CD3 PE-Cy™7</t>
  </si>
  <si>
    <t>BD™ FC Beads PerCP</t>
  </si>
  <si>
    <t>BD™ FC Beads PerCP-Cy™5.5</t>
  </si>
  <si>
    <t>BD™ CS&amp;T RUO Beads</t>
  </si>
  <si>
    <t>BD™ CD16 PE</t>
  </si>
  <si>
    <t>BD™ CD19 APC</t>
  </si>
  <si>
    <t>BD Horizon™ BV421 Mouse Anti-Human CD3</t>
  </si>
  <si>
    <t>BD™ CD33 PE</t>
  </si>
  <si>
    <t>BD Pharmingen™ PE Mouse Anti-Human CD62L</t>
  </si>
  <si>
    <t>BD Pharmingen™ PE-Cy™7 Mouse Anti-Human CD62L</t>
  </si>
  <si>
    <t>FC Bead Dilution Buffer</t>
  </si>
  <si>
    <t>BD Pharmingen™ FITC Mouse Anti-Human CD31</t>
  </si>
  <si>
    <t>BD™ Anti-HLA-DR PE-Cy™7</t>
  </si>
  <si>
    <t>BD™ CD45 FITC</t>
  </si>
  <si>
    <t>BD™ FC Beads V450</t>
  </si>
  <si>
    <t>BD FACS™ Sheath Fluid</t>
  </si>
  <si>
    <t>BD Pharmingen™ APC Mouse Anti-Human CD54</t>
  </si>
  <si>
    <t>BD™ CD8 APC-Cy™7</t>
  </si>
  <si>
    <t>BD™ CD56 APC</t>
  </si>
  <si>
    <t>BD™ CD3 FITC</t>
  </si>
  <si>
    <t>BD™ CD15 FITC</t>
  </si>
  <si>
    <t>BD Pharmingen™ Alexa Fluor® 647 Mouse anti-Human TRA-1-81 Antigen</t>
  </si>
  <si>
    <t>BD Horizon™ BV510 Mouse Anti-Human CD45</t>
  </si>
  <si>
    <t>BD™ FC Beads APC-Cy7</t>
  </si>
  <si>
    <t>BD™ CD3 PE</t>
  </si>
  <si>
    <t>BD Pharmingen™ FITC Mouse Anti-Human CD11c</t>
  </si>
  <si>
    <t>BD Pharmingen™ FITC Mouse IgG1, κ Isotype Control</t>
  </si>
  <si>
    <t>FITC Mouse Anti-Human CD80</t>
  </si>
  <si>
    <t>FITC Mouse Anti-Human CD86</t>
  </si>
  <si>
    <t>BD Pharmingen™ PE Mouse IgG2b κ Isotype Control</t>
  </si>
  <si>
    <t>BD™ CD19 PE</t>
  </si>
  <si>
    <t xml:space="preserve">PE-Cy™7 Mouse IgG1 κ Isotype Control </t>
  </si>
  <si>
    <t>BD Pharmingen™ PE-Cy™7 Mouse Anti-Human HLA-ABC</t>
  </si>
  <si>
    <t>BD™ CD14 APC</t>
  </si>
  <si>
    <t>BD Horizon™ BV510 Mouse Anti-Human CD8</t>
  </si>
  <si>
    <t>BD Pharmingen™ 7-AAD</t>
  </si>
  <si>
    <t>BD GolgiPlug Protein Trnsp Inhb 1mL</t>
  </si>
  <si>
    <t>BD Protein Transport Inhibitor Soln 0.7mL</t>
  </si>
  <si>
    <t>BD Fixation/Permeabilization Solution 125mL</t>
  </si>
  <si>
    <t>BD Perm/Wash Buffer 100mL</t>
  </si>
  <si>
    <t>BD™ CD20 PE</t>
  </si>
  <si>
    <t>BD Pharmingen™ PE-Cy™7 Mouse Anti-Human CD14</t>
  </si>
  <si>
    <t>BD Pharmingen™ PE-Cy™7 Mouse Anti-Human CD20</t>
  </si>
  <si>
    <t>BD Pharmingen™ Alexa Fluor® 647 Mouse IgM, κ Isotype Control</t>
  </si>
  <si>
    <t>BD™ FC Beads APC-H7</t>
  </si>
  <si>
    <t>BD™ CD34 APC</t>
  </si>
  <si>
    <t>BD™ FC Beads FITC</t>
  </si>
  <si>
    <t>BD™ FC Beads PE</t>
  </si>
  <si>
    <t>BD™ FC Beads PE-Cy™7</t>
  </si>
  <si>
    <t>BD™ FC Beads APC-R700</t>
  </si>
  <si>
    <t>BD™ FC Beads BV510</t>
  </si>
  <si>
    <t>BD™ FC Beads V500-C</t>
  </si>
  <si>
    <t>BD™ FC Beads BV786</t>
  </si>
  <si>
    <t>BD™ CompBeads Anti-Mouse Ig, κ/Negative Control Compensation Particles Set</t>
  </si>
  <si>
    <t>BD™ CD45 PerCP-Cy™5.5</t>
  </si>
  <si>
    <t>Item Description</t>
  </si>
  <si>
    <t>Catalog #</t>
  </si>
  <si>
    <t>Unit Price</t>
  </si>
  <si>
    <t>BD Item # (One-year supply)</t>
  </si>
  <si>
    <t>Ordered Qty. in 2025</t>
  </si>
  <si>
    <t>Estimated Qty. (2x)</t>
  </si>
  <si>
    <t>Estimated Qty (2x)</t>
  </si>
  <si>
    <t>Total amounts</t>
  </si>
  <si>
    <t>Name</t>
  </si>
  <si>
    <t>Vendor</t>
  </si>
  <si>
    <t>Brand</t>
  </si>
  <si>
    <t>Cat#</t>
  </si>
  <si>
    <t>Price/1ea</t>
  </si>
  <si>
    <t>Estimated Qty for 1 year</t>
  </si>
  <si>
    <t>BD OptiBuild™ BV605 Mouse Anti-Human TIM-3 (CD366)</t>
  </si>
  <si>
    <t>BD</t>
  </si>
  <si>
    <t>BD OptiBuild</t>
  </si>
  <si>
    <t>BD OptiBuild™ BV650 Mouse Anti-Human CD183</t>
  </si>
  <si>
    <t>BD Horizon™ BV711 Mouse Anti-Human CD69</t>
  </si>
  <si>
    <t>BD Horizon</t>
  </si>
  <si>
    <t>BD OptiBuild™ BV750 Mouse Anti-Human CD27</t>
  </si>
  <si>
    <t>BD Horizon™ BV786 Mouse Anti-Human CD62L (L-Selectin)</t>
  </si>
  <si>
    <t>BD Pharmingen™ PE Mouse Anti-Human CD57</t>
  </si>
  <si>
    <t>BD Pharmingen</t>
  </si>
  <si>
    <t>BD™ PerCP Mouse Anti-Human CD45</t>
  </si>
  <si>
    <t>BD™</t>
  </si>
  <si>
    <t>BD Pharmingen™ PE-Cy™7 Mouse anti-Human CD279 (PD-1)</t>
  </si>
  <si>
    <t>BD Pharmingen™ APC Mouse Anti-Human CD45RA</t>
  </si>
  <si>
    <t>BD Pharmingen™ Alexa Fluor® 647 Mouse anti-Human CD127</t>
  </si>
  <si>
    <t>BD Horizon™ APC-R700 Mouse Anti-Human LAG-3 (CD223)</t>
  </si>
  <si>
    <t>BD OptiBuild™ BV421 Mouse Anti-Human CD15</t>
  </si>
  <si>
    <t>BD Horizon™ V450 Mouse Anti-Human CD16</t>
  </si>
  <si>
    <t>BD Horizon™ BV510 Mouse Anti-Human CD14</t>
  </si>
  <si>
    <t>BD OptiBuild™ BV605 Mouse Anti-Human CD27</t>
  </si>
  <si>
    <t>BD Horizon™ BV786 Mouse Anti-Human CD11c</t>
  </si>
  <si>
    <t>BD™ CD19 FITC</t>
  </si>
  <si>
    <t>BD Pharmingen™ APC Mouse Anti-Human CD25</t>
  </si>
  <si>
    <t>BD Horizon™ R718 Mouse Anti-Human CD8</t>
  </si>
  <si>
    <t>BD Horizon™ BV711 Mouse Anti-Human CD38</t>
  </si>
  <si>
    <t>BD OptiBuild™ BV650 Mouse Anti-Human CD64</t>
  </si>
  <si>
    <t>BD Horizon™ BV480 Mouse Anti-Human CD38</t>
  </si>
  <si>
    <t>Instrument</t>
  </si>
  <si>
    <t>Part Name</t>
  </si>
  <si>
    <t>BD Part number</t>
  </si>
  <si>
    <t>FACSLyric</t>
  </si>
  <si>
    <t>Cytometer 40-Tube Rack</t>
  </si>
  <si>
    <t>Cytometer 30-Tube Rack</t>
  </si>
  <si>
    <t>Sheath Filter Bypass Tube</t>
  </si>
  <si>
    <t>Sheath Filter Assembly</t>
  </si>
  <si>
    <t>Barcode Scanner, with Stand</t>
  </si>
  <si>
    <t>Waste Tank 10L</t>
  </si>
  <si>
    <t>Tubing, Polyurethane, 0.125 ID x 0.250 OD, Clear</t>
  </si>
  <si>
    <t>Sheath Tank Filter Element</t>
  </si>
  <si>
    <t>LWA</t>
  </si>
  <si>
    <t>LWA Cell Wash Tank (2L)</t>
  </si>
  <si>
    <t>LWA Spindle Cleanse Tank (2L)</t>
  </si>
  <si>
    <t>LWA Fix Tank</t>
  </si>
  <si>
    <t>LWA Lyse Tank</t>
  </si>
  <si>
    <t>LWA Waste Level Sensor (Sw 120-240Vac 1/4Barb)</t>
  </si>
  <si>
    <t>Note: Same as sheet of contents from Ping additional Rgt 1-12-2026</t>
  </si>
  <si>
    <t>Qty total</t>
  </si>
  <si>
    <t>2026 Pricing</t>
  </si>
  <si>
    <t>2025 List</t>
  </si>
  <si>
    <t>Discount</t>
  </si>
  <si>
    <t>2026 NIH Price</t>
  </si>
  <si>
    <t>Notes</t>
  </si>
  <si>
    <t>BD Rhapsod Enhanced Cartridge Reagent kit 3</t>
  </si>
  <si>
    <t>Current Kit</t>
  </si>
  <si>
    <t>Rhapsody cDNA Kit</t>
  </si>
  <si>
    <t>BD Rhapsody WTA Amplification Kit</t>
  </si>
  <si>
    <t>End of Life June 2026</t>
  </si>
  <si>
    <t>Rhapsody Targeted mRNA AbSeq Kit 4 Pack</t>
  </si>
  <si>
    <t>Ab-O Single Cell Sample Multiplexing Kit</t>
  </si>
  <si>
    <t>BD AbSeq Immune Discovery Panel CTT LYO</t>
  </si>
  <si>
    <t>625970 </t>
  </si>
  <si>
    <t>Legacy Not SMART</t>
  </si>
  <si>
    <t>Rhapsody Immune Response Panel HS </t>
  </si>
  <si>
    <t>Stain Buffer FBS 500mL   </t>
  </si>
  <si>
    <t>BD Rhapsody™ 8-Lane Cartridge</t>
  </si>
  <si>
    <t>Current</t>
  </si>
  <si>
    <t>BD OMICS-One™ WTA Next Amplification Kit</t>
  </si>
  <si>
    <t>New 12/2025 replaces 633801</t>
  </si>
  <si>
    <t>BD Rhapsody™ Targeted mRNA and AbSeq Amplification Kit</t>
  </si>
  <si>
    <t>Part # from 665913 bundle</t>
  </si>
  <si>
    <t>BD Rhapsody™ ATAC-Seq Tagmentation and Supplemental Reagents Kit</t>
  </si>
  <si>
    <t>New 2025</t>
  </si>
  <si>
    <t>BD Rhapsody™ ATAC-Seq Amplification Kit</t>
  </si>
  <si>
    <t>BD Rhapsody™ Multiomic ATAC-Seq Amplification Kit</t>
  </si>
  <si>
    <t>BD Rhapsody™ TCR/BCR Next Amplification Kit, Human</t>
  </si>
  <si>
    <t>BD® OMICS-One B-cell Protein Panel</t>
  </si>
  <si>
    <t>BD® OMICS-One T-cell Protein Panel</t>
  </si>
  <si>
    <t>BD® OMICS-One Tumor Protein Panel</t>
  </si>
  <si>
    <t>BD® OMICS-One NK-Cell Protein Panel</t>
  </si>
  <si>
    <t>BD® OMICS-One APC/Myeloid-Cell Protein Panel</t>
  </si>
  <si>
    <t>BD® OMICS-One Immune Profiler Protein Panel</t>
  </si>
  <si>
    <t>DRAQ7 1.0ml</t>
  </si>
  <si>
    <t>viability for scanner</t>
  </si>
  <si>
    <t>Calcein AM 1mg</t>
  </si>
  <si>
    <t>BD® OMICS-Guard Sample Preservation Buffer</t>
  </si>
  <si>
    <t>Not using</t>
  </si>
  <si>
    <t>BD® AbSeq Enhancer Kit</t>
  </si>
  <si>
    <t>BD Pharmingen™ Human BD Fc Block™ Reagent</t>
  </si>
  <si>
    <t>Estimated Qty</t>
  </si>
  <si>
    <t>Consumables</t>
  </si>
  <si>
    <t>Reagents and Kits</t>
  </si>
  <si>
    <t>Corrected</t>
  </si>
  <si>
    <t>Antibodies</t>
  </si>
  <si>
    <t>Total cost/year</t>
  </si>
  <si>
    <t>Qty</t>
  </si>
  <si>
    <t>Note</t>
  </si>
  <si>
    <t>8% increase per year</t>
  </si>
  <si>
    <t>Option yr-2         (2028)</t>
  </si>
  <si>
    <t>Option yr-1  (2027)</t>
  </si>
  <si>
    <t>Option yr-3    (2029)</t>
  </si>
  <si>
    <t>Option yr-4         ( 2030)</t>
  </si>
  <si>
    <t>Base year        (2026)</t>
  </si>
  <si>
    <t xml:space="preserve">Total price for 5-year(base year + 4 option years) plan </t>
  </si>
  <si>
    <t xml:space="preserve"> 5-year plan spending</t>
  </si>
  <si>
    <t>Cost/type</t>
  </si>
  <si>
    <t>Total cost /Fiscal year</t>
  </si>
  <si>
    <t>Material category\Total cost</t>
  </si>
  <si>
    <t>Cost/Category</t>
  </si>
  <si>
    <t>Total cost for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</si>
</sst>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404041"/>
      <name val="Arial"/>
      <family val="2"/>
    </font>
    <font>
      <sz val="12"/>
      <color rgb="FF40404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404041"/>
      <name val="Calibri"/>
      <family val="2"/>
    </font>
    <font>
      <sz val="11"/>
      <color rgb="FF000000"/>
      <name val="Aptos Narrow"/>
    </font>
    <font>
      <sz val="10"/>
      <color rgb="FF000000"/>
      <name val="Arial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Fill="1" applyBorder="1"/>
    <xf numFmtId="0" fontId="0" fillId="0" borderId="1" xfId="0" applyFill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164" fontId="2" fillId="0" borderId="1" xfId="0" applyNumberFormat="1" applyFont="1" applyBorder="1"/>
    <xf numFmtId="164" fontId="0" fillId="0" borderId="1" xfId="0" applyNumberFormat="1" applyBorder="1"/>
    <xf numFmtId="164" fontId="1" fillId="0" borderId="1" xfId="1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9" fillId="4" borderId="3" xfId="0" applyFont="1" applyFill="1" applyBorder="1"/>
    <xf numFmtId="0" fontId="9" fillId="4" borderId="3" xfId="0" applyFont="1" applyFill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9" fontId="9" fillId="0" borderId="0" xfId="0" applyNumberFormat="1" applyFont="1"/>
    <xf numFmtId="8" fontId="9" fillId="0" borderId="0" xfId="0" applyNumberFormat="1" applyFont="1"/>
    <xf numFmtId="0" fontId="0" fillId="0" borderId="0" xfId="0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9" fillId="5" borderId="3" xfId="0" applyFont="1" applyFill="1" applyBorder="1"/>
    <xf numFmtId="0" fontId="9" fillId="6" borderId="0" xfId="0" applyFont="1" applyFill="1"/>
    <xf numFmtId="0" fontId="9" fillId="6" borderId="0" xfId="0" applyFont="1" applyFill="1" applyAlignment="1">
      <alignment horizontal="left"/>
    </xf>
    <xf numFmtId="9" fontId="9" fillId="6" borderId="0" xfId="0" applyNumberFormat="1" applyFont="1" applyFill="1"/>
    <xf numFmtId="8" fontId="9" fillId="6" borderId="0" xfId="0" applyNumberFormat="1" applyFont="1" applyFill="1"/>
    <xf numFmtId="164" fontId="9" fillId="0" borderId="0" xfId="0" applyNumberFormat="1" applyFont="1"/>
    <xf numFmtId="164" fontId="9" fillId="6" borderId="0" xfId="0" applyNumberFormat="1" applyFont="1" applyFill="1"/>
    <xf numFmtId="0" fontId="0" fillId="6" borderId="0" xfId="0" applyFill="1"/>
    <xf numFmtId="0" fontId="0" fillId="3" borderId="1" xfId="0" applyFill="1" applyBorder="1" applyAlignment="1">
      <alignment horizontal="center" vertical="center"/>
    </xf>
    <xf numFmtId="0" fontId="5" fillId="0" borderId="0" xfId="0" applyFont="1"/>
    <xf numFmtId="0" fontId="0" fillId="2" borderId="2" xfId="0" applyFill="1" applyBorder="1" applyAlignment="1">
      <alignment horizontal="center" vertical="center"/>
    </xf>
    <xf numFmtId="0" fontId="11" fillId="0" borderId="0" xfId="0" applyFont="1" applyFill="1" applyAlignment="1">
      <alignment horizontal="left"/>
    </xf>
    <xf numFmtId="0" fontId="12" fillId="0" borderId="0" xfId="0" applyFont="1"/>
    <xf numFmtId="0" fontId="12" fillId="0" borderId="0" xfId="0" applyFont="1" applyFill="1" applyAlignment="1">
      <alignment horizontal="left"/>
    </xf>
    <xf numFmtId="0" fontId="12" fillId="0" borderId="0" xfId="0" applyFont="1" applyFill="1" applyAlignment="1">
      <alignment horizontal="center"/>
    </xf>
    <xf numFmtId="0" fontId="11" fillId="0" borderId="0" xfId="0" applyFont="1"/>
    <xf numFmtId="164" fontId="11" fillId="0" borderId="0" xfId="0" applyNumberFormat="1" applyFont="1"/>
    <xf numFmtId="0" fontId="12" fillId="8" borderId="0" xfId="0" applyFont="1" applyFill="1" applyAlignment="1">
      <alignment horizontal="center"/>
    </xf>
    <xf numFmtId="0" fontId="12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164" fontId="12" fillId="0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/>
    <xf numFmtId="0" fontId="12" fillId="0" borderId="1" xfId="0" applyFont="1" applyBorder="1"/>
    <xf numFmtId="164" fontId="12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64" fontId="12" fillId="7" borderId="1" xfId="0" applyNumberFormat="1" applyFont="1" applyFill="1" applyBorder="1"/>
    <xf numFmtId="164" fontId="11" fillId="7" borderId="0" xfId="0" applyNumberFormat="1" applyFont="1" applyFill="1"/>
    <xf numFmtId="0" fontId="11" fillId="0" borderId="1" xfId="0" applyFont="1" applyBorder="1" applyAlignment="1">
      <alignment horizontal="center"/>
    </xf>
    <xf numFmtId="0" fontId="12" fillId="0" borderId="6" xfId="0" applyFont="1" applyFill="1" applyBorder="1" applyAlignment="1">
      <alignment horizontal="left"/>
    </xf>
    <xf numFmtId="0" fontId="12" fillId="0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164" fontId="12" fillId="0" borderId="6" xfId="0" applyNumberFormat="1" applyFont="1" applyFill="1" applyBorder="1" applyAlignment="1">
      <alignment horizontal="center" vertical="center"/>
    </xf>
    <xf numFmtId="164" fontId="12" fillId="7" borderId="6" xfId="0" applyNumberFormat="1" applyFont="1" applyFill="1" applyBorder="1"/>
    <xf numFmtId="164" fontId="12" fillId="0" borderId="6" xfId="0" applyNumberFormat="1" applyFont="1" applyBorder="1"/>
    <xf numFmtId="0" fontId="12" fillId="0" borderId="6" xfId="0" applyFont="1" applyBorder="1"/>
    <xf numFmtId="0" fontId="11" fillId="7" borderId="7" xfId="0" applyFont="1" applyFill="1" applyBorder="1" applyAlignment="1">
      <alignment wrapText="1"/>
    </xf>
    <xf numFmtId="0" fontId="11" fillId="0" borderId="7" xfId="0" applyFont="1" applyBorder="1" applyAlignment="1">
      <alignment wrapText="1"/>
    </xf>
    <xf numFmtId="0" fontId="2" fillId="0" borderId="0" xfId="0" applyFont="1" applyAlignment="1">
      <alignment vertical="center"/>
    </xf>
    <xf numFmtId="164" fontId="12" fillId="0" borderId="6" xfId="0" applyNumberFormat="1" applyFont="1" applyFill="1" applyBorder="1" applyAlignment="1">
      <alignment horizontal="center"/>
    </xf>
    <xf numFmtId="0" fontId="12" fillId="0" borderId="10" xfId="0" applyFont="1" applyFill="1" applyBorder="1" applyAlignment="1">
      <alignment horizontal="left"/>
    </xf>
    <xf numFmtId="0" fontId="12" fillId="0" borderId="10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164" fontId="12" fillId="0" borderId="10" xfId="0" applyNumberFormat="1" applyFont="1" applyFill="1" applyBorder="1" applyAlignment="1">
      <alignment horizontal="center"/>
    </xf>
    <xf numFmtId="164" fontId="12" fillId="7" borderId="10" xfId="0" applyNumberFormat="1" applyFont="1" applyFill="1" applyBorder="1"/>
    <xf numFmtId="164" fontId="12" fillId="0" borderId="10" xfId="0" applyNumberFormat="1" applyFont="1" applyBorder="1"/>
    <xf numFmtId="0" fontId="12" fillId="0" borderId="10" xfId="0" applyFont="1" applyBorder="1"/>
    <xf numFmtId="0" fontId="12" fillId="0" borderId="10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164" fontId="12" fillId="0" borderId="10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left"/>
    </xf>
    <xf numFmtId="0" fontId="12" fillId="0" borderId="11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164" fontId="12" fillId="0" borderId="11" xfId="0" applyNumberFormat="1" applyFont="1" applyFill="1" applyBorder="1" applyAlignment="1">
      <alignment horizontal="center"/>
    </xf>
    <xf numFmtId="164" fontId="12" fillId="7" borderId="11" xfId="0" applyNumberFormat="1" applyFont="1" applyFill="1" applyBorder="1"/>
    <xf numFmtId="164" fontId="12" fillId="0" borderId="11" xfId="0" applyNumberFormat="1" applyFont="1" applyBorder="1"/>
    <xf numFmtId="0" fontId="12" fillId="0" borderId="11" xfId="0" applyFont="1" applyBorder="1"/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14" fontId="11" fillId="0" borderId="4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10" xfId="0" applyFont="1" applyFill="1" applyBorder="1" applyAlignment="1">
      <alignment vertical="center"/>
    </xf>
    <xf numFmtId="0" fontId="11" fillId="0" borderId="11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164" fontId="11" fillId="0" borderId="7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718E-C631-4FF8-BE03-32B912C4400B}">
  <sheetPr>
    <tabColor rgb="FFC00000"/>
  </sheetPr>
  <dimension ref="A1:G142"/>
  <sheetViews>
    <sheetView workbookViewId="0">
      <pane ySplit="1" topLeftCell="A46" activePane="bottomLeft" state="frozen"/>
      <selection pane="bottomLeft" sqref="A1:G68"/>
    </sheetView>
  </sheetViews>
  <sheetFormatPr defaultRowHeight="14.4" x14ac:dyDescent="0.3"/>
  <cols>
    <col min="1" max="1" width="26.6640625" bestFit="1" customWidth="1"/>
    <col min="2" max="2" width="71.5546875" bestFit="1" customWidth="1"/>
    <col min="3" max="3" width="10.5546875" customWidth="1"/>
    <col min="4" max="4" width="19.44140625" bestFit="1" customWidth="1"/>
    <col min="5" max="5" width="18.44140625" bestFit="1" customWidth="1"/>
    <col min="6" max="6" width="9.6640625" bestFit="1" customWidth="1"/>
    <col min="7" max="7" width="11.109375" bestFit="1" customWidth="1"/>
  </cols>
  <sheetData>
    <row r="1" spans="1:7" ht="21.75" customHeight="1" x14ac:dyDescent="0.3">
      <c r="A1" s="1" t="s">
        <v>132</v>
      </c>
      <c r="B1" s="15" t="s">
        <v>129</v>
      </c>
      <c r="C1" s="15" t="s">
        <v>130</v>
      </c>
      <c r="D1" s="15" t="s">
        <v>133</v>
      </c>
      <c r="E1" s="15" t="s">
        <v>134</v>
      </c>
      <c r="F1" s="16" t="s">
        <v>131</v>
      </c>
      <c r="G1" s="16" t="s">
        <v>1</v>
      </c>
    </row>
    <row r="2" spans="1:7" x14ac:dyDescent="0.3">
      <c r="A2" s="8">
        <v>1</v>
      </c>
      <c r="B2" t="s">
        <v>68</v>
      </c>
      <c r="C2" s="10">
        <v>335791</v>
      </c>
      <c r="D2">
        <v>3</v>
      </c>
      <c r="E2">
        <f t="shared" ref="E2:E33" si="0">D2*2</f>
        <v>6</v>
      </c>
      <c r="F2" s="11">
        <v>674</v>
      </c>
      <c r="G2" s="11">
        <f t="shared" ref="G2:G33" si="1">E2*F2</f>
        <v>4044</v>
      </c>
    </row>
    <row r="3" spans="1:7" x14ac:dyDescent="0.3">
      <c r="A3" s="8">
        <v>2</v>
      </c>
      <c r="B3" t="s">
        <v>86</v>
      </c>
      <c r="C3" s="10">
        <v>335813</v>
      </c>
      <c r="D3">
        <v>3</v>
      </c>
      <c r="E3">
        <f t="shared" si="0"/>
        <v>6</v>
      </c>
      <c r="F3" s="11">
        <v>674</v>
      </c>
      <c r="G3" s="11">
        <f t="shared" si="1"/>
        <v>4044</v>
      </c>
    </row>
    <row r="4" spans="1:7" x14ac:dyDescent="0.3">
      <c r="A4" s="8">
        <v>3</v>
      </c>
      <c r="B4" t="s">
        <v>69</v>
      </c>
      <c r="C4" s="10">
        <v>340133</v>
      </c>
      <c r="D4">
        <v>4</v>
      </c>
      <c r="E4">
        <f t="shared" si="0"/>
        <v>8</v>
      </c>
      <c r="F4" s="11">
        <v>540</v>
      </c>
      <c r="G4" s="11">
        <f t="shared" si="1"/>
        <v>4320</v>
      </c>
    </row>
    <row r="5" spans="1:7" x14ac:dyDescent="0.3">
      <c r="A5" s="8">
        <v>4</v>
      </c>
      <c r="B5" t="s">
        <v>70</v>
      </c>
      <c r="C5" s="10">
        <v>340443</v>
      </c>
      <c r="D5">
        <v>2</v>
      </c>
      <c r="E5">
        <f t="shared" si="0"/>
        <v>4</v>
      </c>
      <c r="F5" s="11">
        <v>664</v>
      </c>
      <c r="G5" s="11">
        <f t="shared" si="1"/>
        <v>2656</v>
      </c>
    </row>
    <row r="6" spans="1:7" x14ac:dyDescent="0.3">
      <c r="A6" s="8">
        <v>5</v>
      </c>
      <c r="B6" t="s">
        <v>98</v>
      </c>
      <c r="C6" s="10">
        <v>340662</v>
      </c>
      <c r="D6">
        <v>1</v>
      </c>
      <c r="E6">
        <f t="shared" si="0"/>
        <v>2</v>
      </c>
      <c r="F6" s="11">
        <v>628</v>
      </c>
      <c r="G6" s="11">
        <f t="shared" si="1"/>
        <v>1256</v>
      </c>
    </row>
    <row r="7" spans="1:7" x14ac:dyDescent="0.3">
      <c r="A7" s="8">
        <v>6</v>
      </c>
      <c r="B7" t="s">
        <v>87</v>
      </c>
      <c r="C7" s="10">
        <v>340664</v>
      </c>
      <c r="D7">
        <v>8</v>
      </c>
      <c r="E7">
        <f t="shared" si="0"/>
        <v>16</v>
      </c>
      <c r="F7" s="11">
        <v>540</v>
      </c>
      <c r="G7" s="11">
        <f t="shared" si="1"/>
        <v>8640</v>
      </c>
    </row>
    <row r="8" spans="1:7" x14ac:dyDescent="0.3">
      <c r="A8" s="8">
        <v>7</v>
      </c>
      <c r="B8" t="s">
        <v>119</v>
      </c>
      <c r="C8" s="10">
        <v>340667</v>
      </c>
      <c r="D8">
        <v>1</v>
      </c>
      <c r="E8">
        <f t="shared" si="0"/>
        <v>2</v>
      </c>
      <c r="F8" s="11">
        <v>658</v>
      </c>
      <c r="G8" s="11">
        <f t="shared" si="1"/>
        <v>1316</v>
      </c>
    </row>
    <row r="9" spans="1:7" x14ac:dyDescent="0.3">
      <c r="A9" s="8">
        <v>8</v>
      </c>
      <c r="B9" t="s">
        <v>71</v>
      </c>
      <c r="C9" s="10">
        <v>340669</v>
      </c>
      <c r="D9">
        <v>16</v>
      </c>
      <c r="E9">
        <f t="shared" si="0"/>
        <v>32</v>
      </c>
      <c r="F9" s="11">
        <v>616</v>
      </c>
      <c r="G9" s="11">
        <f t="shared" si="1"/>
        <v>19712</v>
      </c>
    </row>
    <row r="10" spans="1:7" x14ac:dyDescent="0.3">
      <c r="A10" s="8">
        <v>9</v>
      </c>
      <c r="B10" t="s">
        <v>72</v>
      </c>
      <c r="C10" s="10">
        <v>340676</v>
      </c>
      <c r="D10">
        <v>2</v>
      </c>
      <c r="E10">
        <f t="shared" si="0"/>
        <v>4</v>
      </c>
      <c r="F10" s="11">
        <v>606</v>
      </c>
      <c r="G10" s="11">
        <f t="shared" si="1"/>
        <v>2424</v>
      </c>
    </row>
    <row r="11" spans="1:7" x14ac:dyDescent="0.3">
      <c r="A11" s="8">
        <v>10</v>
      </c>
      <c r="B11" t="s">
        <v>81</v>
      </c>
      <c r="C11" s="12">
        <v>340679</v>
      </c>
      <c r="D11">
        <v>1</v>
      </c>
      <c r="E11">
        <f t="shared" si="0"/>
        <v>2</v>
      </c>
      <c r="F11" s="11">
        <v>602</v>
      </c>
      <c r="G11" s="11">
        <f t="shared" si="1"/>
        <v>1204</v>
      </c>
    </row>
    <row r="12" spans="1:7" x14ac:dyDescent="0.3">
      <c r="A12" s="8">
        <v>11</v>
      </c>
      <c r="B12" t="s">
        <v>62</v>
      </c>
      <c r="C12" s="10">
        <v>340682</v>
      </c>
      <c r="D12">
        <v>2</v>
      </c>
      <c r="E12">
        <f t="shared" si="0"/>
        <v>4</v>
      </c>
      <c r="F12" s="11">
        <v>524</v>
      </c>
      <c r="G12" s="11">
        <f t="shared" si="1"/>
        <v>2096</v>
      </c>
    </row>
    <row r="13" spans="1:7" x14ac:dyDescent="0.3">
      <c r="A13" s="8">
        <v>12</v>
      </c>
      <c r="B13" t="s">
        <v>107</v>
      </c>
      <c r="C13" s="10">
        <v>340684</v>
      </c>
      <c r="D13">
        <v>2</v>
      </c>
      <c r="E13">
        <f t="shared" si="0"/>
        <v>4</v>
      </c>
      <c r="F13" s="11">
        <v>648</v>
      </c>
      <c r="G13" s="11">
        <f t="shared" si="1"/>
        <v>2592</v>
      </c>
    </row>
    <row r="14" spans="1:7" x14ac:dyDescent="0.3">
      <c r="A14" s="8">
        <v>13</v>
      </c>
      <c r="B14" t="s">
        <v>94</v>
      </c>
      <c r="C14" s="10">
        <v>340703</v>
      </c>
      <c r="D14">
        <v>1</v>
      </c>
      <c r="E14">
        <f t="shared" si="0"/>
        <v>2</v>
      </c>
      <c r="F14" s="11">
        <v>524</v>
      </c>
      <c r="G14" s="11">
        <f t="shared" si="1"/>
        <v>1048</v>
      </c>
    </row>
    <row r="15" spans="1:7" x14ac:dyDescent="0.3">
      <c r="A15" s="8">
        <v>14</v>
      </c>
      <c r="B15" t="s">
        <v>78</v>
      </c>
      <c r="C15" s="10">
        <v>340705</v>
      </c>
      <c r="D15">
        <v>3</v>
      </c>
      <c r="E15">
        <f t="shared" si="0"/>
        <v>6</v>
      </c>
      <c r="F15" s="11">
        <v>602</v>
      </c>
      <c r="G15" s="11">
        <f t="shared" si="1"/>
        <v>3612</v>
      </c>
    </row>
    <row r="16" spans="1:7" x14ac:dyDescent="0.3">
      <c r="A16" s="8">
        <v>15</v>
      </c>
      <c r="B16" t="s">
        <v>104</v>
      </c>
      <c r="C16" s="10">
        <v>340720</v>
      </c>
      <c r="D16">
        <v>2</v>
      </c>
      <c r="E16">
        <f t="shared" si="0"/>
        <v>4</v>
      </c>
      <c r="F16" s="14">
        <v>344</v>
      </c>
      <c r="G16" s="11">
        <f t="shared" si="1"/>
        <v>1376</v>
      </c>
    </row>
    <row r="17" spans="1:7" x14ac:dyDescent="0.3">
      <c r="A17" s="8">
        <v>16</v>
      </c>
      <c r="B17" t="s">
        <v>79</v>
      </c>
      <c r="C17" s="10">
        <v>340722</v>
      </c>
      <c r="D17">
        <v>4</v>
      </c>
      <c r="E17">
        <f t="shared" si="0"/>
        <v>8</v>
      </c>
      <c r="F17" s="11">
        <v>658</v>
      </c>
      <c r="G17" s="11">
        <f t="shared" si="1"/>
        <v>5264</v>
      </c>
    </row>
    <row r="18" spans="1:7" x14ac:dyDescent="0.3">
      <c r="A18" s="8">
        <v>17</v>
      </c>
      <c r="B18" t="s">
        <v>73</v>
      </c>
      <c r="C18" s="10">
        <v>340723</v>
      </c>
      <c r="D18">
        <v>1</v>
      </c>
      <c r="E18">
        <f t="shared" si="0"/>
        <v>2</v>
      </c>
      <c r="F18" s="11">
        <v>298</v>
      </c>
      <c r="G18" s="11">
        <f t="shared" si="1"/>
        <v>596</v>
      </c>
    </row>
    <row r="19" spans="1:7" x14ac:dyDescent="0.3">
      <c r="A19" s="8">
        <v>18</v>
      </c>
      <c r="B19" t="s">
        <v>128</v>
      </c>
      <c r="C19" s="10">
        <v>340952</v>
      </c>
      <c r="D19">
        <v>1</v>
      </c>
      <c r="E19">
        <f t="shared" si="0"/>
        <v>2</v>
      </c>
      <c r="F19" s="11">
        <v>402</v>
      </c>
      <c r="G19" s="11">
        <f t="shared" si="1"/>
        <v>804</v>
      </c>
    </row>
    <row r="20" spans="1:7" x14ac:dyDescent="0.3">
      <c r="A20" s="8">
        <v>19</v>
      </c>
      <c r="B20" t="s">
        <v>92</v>
      </c>
      <c r="C20" s="10">
        <v>341026</v>
      </c>
      <c r="D20">
        <v>1</v>
      </c>
      <c r="E20">
        <f t="shared" si="0"/>
        <v>2</v>
      </c>
      <c r="F20" s="11">
        <v>648</v>
      </c>
      <c r="G20" s="11">
        <f t="shared" si="1"/>
        <v>1296</v>
      </c>
    </row>
    <row r="21" spans="1:7" x14ac:dyDescent="0.3">
      <c r="A21" s="8">
        <v>20</v>
      </c>
      <c r="B21" t="s">
        <v>74</v>
      </c>
      <c r="C21" s="10">
        <v>341101</v>
      </c>
      <c r="D21">
        <v>17</v>
      </c>
      <c r="E21">
        <f t="shared" si="0"/>
        <v>34</v>
      </c>
      <c r="F21" s="11">
        <v>688</v>
      </c>
      <c r="G21" s="11">
        <f t="shared" si="1"/>
        <v>23392</v>
      </c>
    </row>
    <row r="22" spans="1:7" x14ac:dyDescent="0.3">
      <c r="A22" s="8">
        <v>21</v>
      </c>
      <c r="B22" s="13" t="s">
        <v>89</v>
      </c>
      <c r="C22" s="10">
        <v>342003</v>
      </c>
      <c r="D22" s="13">
        <v>23</v>
      </c>
      <c r="E22">
        <f t="shared" si="0"/>
        <v>46</v>
      </c>
      <c r="F22" s="11">
        <v>58</v>
      </c>
      <c r="G22" s="11">
        <f t="shared" si="1"/>
        <v>2668</v>
      </c>
    </row>
    <row r="23" spans="1:7" x14ac:dyDescent="0.3">
      <c r="A23" s="8">
        <v>22</v>
      </c>
      <c r="B23" t="s">
        <v>114</v>
      </c>
      <c r="C23" s="10">
        <v>346581</v>
      </c>
      <c r="D23">
        <v>1</v>
      </c>
      <c r="E23">
        <f t="shared" si="0"/>
        <v>2</v>
      </c>
      <c r="F23" s="11">
        <v>340</v>
      </c>
      <c r="G23" s="11">
        <f t="shared" si="1"/>
        <v>680</v>
      </c>
    </row>
    <row r="24" spans="1:7" x14ac:dyDescent="0.3">
      <c r="A24" s="8">
        <v>23</v>
      </c>
      <c r="B24" t="s">
        <v>91</v>
      </c>
      <c r="C24" s="10">
        <v>348803</v>
      </c>
      <c r="D24">
        <v>3</v>
      </c>
      <c r="E24">
        <f t="shared" si="0"/>
        <v>6</v>
      </c>
      <c r="F24" s="11">
        <v>674</v>
      </c>
      <c r="G24" s="11">
        <f t="shared" si="1"/>
        <v>4044</v>
      </c>
    </row>
    <row r="25" spans="1:7" x14ac:dyDescent="0.3">
      <c r="A25" s="8">
        <v>24</v>
      </c>
      <c r="B25" t="s">
        <v>65</v>
      </c>
      <c r="C25" s="10">
        <v>348805</v>
      </c>
      <c r="D25">
        <v>12</v>
      </c>
      <c r="E25">
        <f t="shared" si="0"/>
        <v>24</v>
      </c>
      <c r="F25" s="11">
        <v>688</v>
      </c>
      <c r="G25" s="11">
        <f t="shared" si="1"/>
        <v>16512</v>
      </c>
    </row>
    <row r="26" spans="1:7" x14ac:dyDescent="0.3">
      <c r="A26" s="8">
        <v>25</v>
      </c>
      <c r="B26" t="s">
        <v>93</v>
      </c>
      <c r="C26" s="10">
        <v>349201</v>
      </c>
      <c r="D26">
        <v>2</v>
      </c>
      <c r="E26">
        <f t="shared" si="0"/>
        <v>4</v>
      </c>
      <c r="F26" s="11">
        <v>308</v>
      </c>
      <c r="G26" s="11">
        <f t="shared" si="1"/>
        <v>1232</v>
      </c>
    </row>
    <row r="27" spans="1:7" x14ac:dyDescent="0.3">
      <c r="A27" s="8">
        <v>26</v>
      </c>
      <c r="B27" t="s">
        <v>127</v>
      </c>
      <c r="C27" s="10">
        <v>552843</v>
      </c>
      <c r="D27">
        <v>1</v>
      </c>
      <c r="E27">
        <f t="shared" si="0"/>
        <v>2</v>
      </c>
      <c r="F27" s="11">
        <v>262</v>
      </c>
      <c r="G27" s="11">
        <f t="shared" si="1"/>
        <v>524</v>
      </c>
    </row>
    <row r="28" spans="1:7" x14ac:dyDescent="0.3">
      <c r="A28" s="8">
        <v>27</v>
      </c>
      <c r="B28" t="s">
        <v>112</v>
      </c>
      <c r="C28" s="10">
        <v>554722</v>
      </c>
      <c r="D28">
        <v>1</v>
      </c>
      <c r="E28">
        <f t="shared" si="0"/>
        <v>2</v>
      </c>
      <c r="F28" s="11">
        <v>164</v>
      </c>
      <c r="G28" s="11">
        <f t="shared" si="1"/>
        <v>328</v>
      </c>
    </row>
    <row r="29" spans="1:7" x14ac:dyDescent="0.3">
      <c r="A29" s="8">
        <v>28</v>
      </c>
      <c r="B29" t="s">
        <v>113</v>
      </c>
      <c r="C29" s="10">
        <v>554723</v>
      </c>
      <c r="D29">
        <v>1</v>
      </c>
      <c r="E29">
        <f t="shared" si="0"/>
        <v>2</v>
      </c>
      <c r="F29" s="11">
        <v>164</v>
      </c>
      <c r="G29" s="11">
        <f t="shared" si="1"/>
        <v>328</v>
      </c>
    </row>
    <row r="30" spans="1:7" x14ac:dyDescent="0.3">
      <c r="A30" s="8">
        <v>29</v>
      </c>
      <c r="B30" t="s">
        <v>111</v>
      </c>
      <c r="C30" s="10">
        <v>554724</v>
      </c>
      <c r="D30">
        <v>1</v>
      </c>
      <c r="E30">
        <f t="shared" si="0"/>
        <v>2</v>
      </c>
      <c r="F30" s="11">
        <v>78</v>
      </c>
      <c r="G30" s="11">
        <f t="shared" si="1"/>
        <v>156</v>
      </c>
    </row>
    <row r="31" spans="1:7" x14ac:dyDescent="0.3">
      <c r="A31" s="8">
        <v>30</v>
      </c>
      <c r="B31" t="s">
        <v>110</v>
      </c>
      <c r="C31" s="10">
        <v>555029</v>
      </c>
      <c r="D31">
        <v>1</v>
      </c>
      <c r="E31">
        <f t="shared" si="0"/>
        <v>2</v>
      </c>
      <c r="F31" s="11">
        <v>78</v>
      </c>
      <c r="G31" s="11">
        <f t="shared" si="1"/>
        <v>156</v>
      </c>
    </row>
    <row r="32" spans="1:7" x14ac:dyDescent="0.3">
      <c r="A32" s="8">
        <v>31</v>
      </c>
      <c r="B32" t="s">
        <v>85</v>
      </c>
      <c r="C32" s="10">
        <v>555445</v>
      </c>
      <c r="D32">
        <v>2</v>
      </c>
      <c r="E32">
        <f t="shared" si="0"/>
        <v>4</v>
      </c>
      <c r="F32" s="11">
        <v>198</v>
      </c>
      <c r="G32" s="11">
        <f t="shared" si="1"/>
        <v>792</v>
      </c>
    </row>
    <row r="33" spans="1:7" x14ac:dyDescent="0.3">
      <c r="A33" s="8">
        <v>32</v>
      </c>
      <c r="B33" t="s">
        <v>82</v>
      </c>
      <c r="C33" s="10">
        <v>555544</v>
      </c>
      <c r="D33">
        <v>2</v>
      </c>
      <c r="E33">
        <f t="shared" si="0"/>
        <v>4</v>
      </c>
      <c r="F33" s="11">
        <v>278</v>
      </c>
      <c r="G33" s="11">
        <f t="shared" si="1"/>
        <v>1112</v>
      </c>
    </row>
    <row r="34" spans="1:7" x14ac:dyDescent="0.3">
      <c r="A34" s="8">
        <v>33</v>
      </c>
      <c r="B34" t="s">
        <v>64</v>
      </c>
      <c r="C34" s="10">
        <v>555578</v>
      </c>
      <c r="D34">
        <v>2</v>
      </c>
      <c r="E34">
        <f t="shared" ref="E34:E65" si="2">D34*2</f>
        <v>4</v>
      </c>
      <c r="F34" s="11">
        <v>188</v>
      </c>
      <c r="G34" s="11">
        <f t="shared" ref="G34:G65" si="3">E34*F34</f>
        <v>752</v>
      </c>
    </row>
    <row r="35" spans="1:7" x14ac:dyDescent="0.3">
      <c r="A35" s="8">
        <v>34</v>
      </c>
      <c r="B35" t="s">
        <v>102</v>
      </c>
      <c r="C35" s="10">
        <v>555657</v>
      </c>
      <c r="D35">
        <v>1</v>
      </c>
      <c r="E35">
        <f t="shared" si="2"/>
        <v>2</v>
      </c>
      <c r="F35" s="14">
        <v>348</v>
      </c>
      <c r="G35" s="11">
        <f t="shared" si="3"/>
        <v>696</v>
      </c>
    </row>
    <row r="36" spans="1:7" x14ac:dyDescent="0.3">
      <c r="A36" s="8">
        <v>35</v>
      </c>
      <c r="B36" t="s">
        <v>103</v>
      </c>
      <c r="C36" s="10">
        <v>555743</v>
      </c>
      <c r="D36">
        <v>2</v>
      </c>
      <c r="E36">
        <f t="shared" si="2"/>
        <v>4</v>
      </c>
      <c r="F36" s="14">
        <v>198</v>
      </c>
      <c r="G36" s="11">
        <f t="shared" si="3"/>
        <v>792</v>
      </c>
    </row>
    <row r="37" spans="1:7" x14ac:dyDescent="0.3">
      <c r="A37" s="8">
        <v>36</v>
      </c>
      <c r="B37" t="s">
        <v>100</v>
      </c>
      <c r="C37" s="10">
        <v>555748</v>
      </c>
      <c r="D37">
        <v>1</v>
      </c>
      <c r="E37">
        <f t="shared" si="2"/>
        <v>2</v>
      </c>
      <c r="F37" s="14">
        <v>164</v>
      </c>
      <c r="G37" s="11">
        <f t="shared" si="3"/>
        <v>328</v>
      </c>
    </row>
    <row r="38" spans="1:7" x14ac:dyDescent="0.3">
      <c r="A38" s="8">
        <v>37</v>
      </c>
      <c r="B38" t="s">
        <v>101</v>
      </c>
      <c r="C38" s="10">
        <v>557226</v>
      </c>
      <c r="D38">
        <v>1</v>
      </c>
      <c r="E38">
        <f t="shared" si="2"/>
        <v>2</v>
      </c>
      <c r="F38" s="14">
        <v>242</v>
      </c>
      <c r="G38" s="11">
        <f t="shared" si="3"/>
        <v>484</v>
      </c>
    </row>
    <row r="39" spans="1:7" x14ac:dyDescent="0.3">
      <c r="A39" s="8">
        <v>38</v>
      </c>
      <c r="B39" t="s">
        <v>115</v>
      </c>
      <c r="C39" s="10">
        <v>557742</v>
      </c>
      <c r="D39">
        <v>2</v>
      </c>
      <c r="E39">
        <f t="shared" si="2"/>
        <v>4</v>
      </c>
      <c r="F39" s="11">
        <v>372</v>
      </c>
      <c r="G39" s="11">
        <f t="shared" si="3"/>
        <v>1488</v>
      </c>
    </row>
    <row r="40" spans="1:7" x14ac:dyDescent="0.3">
      <c r="A40" s="8">
        <v>39</v>
      </c>
      <c r="B40" t="s">
        <v>105</v>
      </c>
      <c r="C40" s="10">
        <v>557872</v>
      </c>
      <c r="D40">
        <v>2</v>
      </c>
      <c r="E40">
        <f t="shared" si="2"/>
        <v>4</v>
      </c>
      <c r="F40" s="11">
        <v>258</v>
      </c>
      <c r="G40" s="11">
        <f t="shared" si="3"/>
        <v>1032</v>
      </c>
    </row>
    <row r="41" spans="1:7" x14ac:dyDescent="0.3">
      <c r="A41" s="8">
        <v>40</v>
      </c>
      <c r="B41" t="s">
        <v>90</v>
      </c>
      <c r="C41" s="10">
        <v>559771</v>
      </c>
      <c r="D41">
        <v>3</v>
      </c>
      <c r="E41">
        <f t="shared" si="2"/>
        <v>6</v>
      </c>
      <c r="F41" s="11">
        <v>366</v>
      </c>
      <c r="G41" s="11">
        <f t="shared" si="3"/>
        <v>2196</v>
      </c>
    </row>
    <row r="42" spans="1:7" x14ac:dyDescent="0.3">
      <c r="A42" s="8">
        <v>41</v>
      </c>
      <c r="B42" t="s">
        <v>109</v>
      </c>
      <c r="C42" s="10">
        <v>559925</v>
      </c>
      <c r="D42">
        <v>6</v>
      </c>
      <c r="E42">
        <f t="shared" si="2"/>
        <v>12</v>
      </c>
      <c r="F42" s="11">
        <v>80</v>
      </c>
      <c r="G42" s="11">
        <f t="shared" si="3"/>
        <v>960</v>
      </c>
    </row>
    <row r="43" spans="1:7" x14ac:dyDescent="0.3">
      <c r="A43" s="8">
        <v>42</v>
      </c>
      <c r="B43" t="s">
        <v>95</v>
      </c>
      <c r="C43" s="10">
        <v>560124</v>
      </c>
      <c r="D43">
        <v>1</v>
      </c>
      <c r="E43">
        <f t="shared" si="2"/>
        <v>2</v>
      </c>
      <c r="F43" s="11">
        <v>484</v>
      </c>
      <c r="G43" s="11">
        <f t="shared" si="3"/>
        <v>968</v>
      </c>
    </row>
    <row r="44" spans="1:7" x14ac:dyDescent="0.3">
      <c r="A44" s="8">
        <v>43</v>
      </c>
      <c r="B44" t="s">
        <v>63</v>
      </c>
      <c r="C44" s="10">
        <v>560126</v>
      </c>
      <c r="D44">
        <v>2</v>
      </c>
      <c r="E44">
        <f t="shared" si="2"/>
        <v>4</v>
      </c>
      <c r="F44" s="11">
        <v>360</v>
      </c>
      <c r="G44" s="11">
        <f t="shared" si="3"/>
        <v>1440</v>
      </c>
    </row>
    <row r="45" spans="1:7" x14ac:dyDescent="0.3">
      <c r="A45" s="8">
        <v>44</v>
      </c>
      <c r="B45" t="s">
        <v>67</v>
      </c>
      <c r="C45" s="10">
        <v>560365</v>
      </c>
      <c r="D45">
        <v>2</v>
      </c>
      <c r="E45">
        <f t="shared" si="2"/>
        <v>4</v>
      </c>
      <c r="F45" s="11">
        <v>344</v>
      </c>
      <c r="G45" s="11">
        <f t="shared" si="3"/>
        <v>1376</v>
      </c>
    </row>
    <row r="46" spans="1:7" x14ac:dyDescent="0.3">
      <c r="A46" s="8">
        <v>45</v>
      </c>
      <c r="B46" t="s">
        <v>116</v>
      </c>
      <c r="C46" s="10">
        <v>560735</v>
      </c>
      <c r="D46">
        <v>1</v>
      </c>
      <c r="E46">
        <f t="shared" si="2"/>
        <v>2</v>
      </c>
      <c r="F46" s="11">
        <v>234</v>
      </c>
      <c r="G46" s="11">
        <f t="shared" si="3"/>
        <v>468</v>
      </c>
    </row>
    <row r="47" spans="1:7" x14ac:dyDescent="0.3">
      <c r="A47" s="8">
        <v>46</v>
      </c>
      <c r="B47" t="s">
        <v>117</v>
      </c>
      <c r="C47" s="10">
        <v>560806</v>
      </c>
      <c r="D47">
        <v>1</v>
      </c>
      <c r="E47">
        <f t="shared" si="2"/>
        <v>2</v>
      </c>
      <c r="F47" s="11">
        <v>306</v>
      </c>
      <c r="G47" s="11">
        <f t="shared" si="3"/>
        <v>612</v>
      </c>
    </row>
    <row r="48" spans="1:7" x14ac:dyDescent="0.3">
      <c r="A48" s="8">
        <v>47</v>
      </c>
      <c r="B48" t="s">
        <v>106</v>
      </c>
      <c r="C48" s="10">
        <v>561349</v>
      </c>
      <c r="D48">
        <v>1</v>
      </c>
      <c r="E48">
        <f t="shared" si="2"/>
        <v>2</v>
      </c>
      <c r="F48" s="11">
        <v>258</v>
      </c>
      <c r="G48" s="11">
        <f t="shared" si="3"/>
        <v>516</v>
      </c>
    </row>
    <row r="49" spans="1:7" x14ac:dyDescent="0.3">
      <c r="A49" s="8">
        <v>48</v>
      </c>
      <c r="B49" t="s">
        <v>99</v>
      </c>
      <c r="C49" s="10">
        <v>561355</v>
      </c>
      <c r="D49">
        <v>1</v>
      </c>
      <c r="E49">
        <f t="shared" si="2"/>
        <v>2</v>
      </c>
      <c r="F49" s="14">
        <v>170</v>
      </c>
      <c r="G49" s="11">
        <f t="shared" si="3"/>
        <v>340</v>
      </c>
    </row>
    <row r="50" spans="1:7" x14ac:dyDescent="0.3">
      <c r="A50" s="8">
        <v>49</v>
      </c>
      <c r="B50" t="s">
        <v>66</v>
      </c>
      <c r="C50" s="10">
        <v>562970</v>
      </c>
      <c r="D50">
        <v>4</v>
      </c>
      <c r="E50">
        <f t="shared" si="2"/>
        <v>8</v>
      </c>
      <c r="F50" s="11">
        <v>454</v>
      </c>
      <c r="G50" s="11">
        <f t="shared" si="3"/>
        <v>3632</v>
      </c>
    </row>
    <row r="51" spans="1:7" x14ac:dyDescent="0.3">
      <c r="A51" s="8">
        <v>50</v>
      </c>
      <c r="B51" t="s">
        <v>96</v>
      </c>
      <c r="C51" s="10">
        <v>563204</v>
      </c>
      <c r="D51">
        <v>2</v>
      </c>
      <c r="E51">
        <f t="shared" si="2"/>
        <v>4</v>
      </c>
      <c r="F51" s="11">
        <v>432</v>
      </c>
      <c r="G51" s="11">
        <f t="shared" si="3"/>
        <v>1728</v>
      </c>
    </row>
    <row r="52" spans="1:7" x14ac:dyDescent="0.3">
      <c r="A52" s="8">
        <v>51</v>
      </c>
      <c r="B52" t="s">
        <v>80</v>
      </c>
      <c r="C52" s="10">
        <v>563798</v>
      </c>
      <c r="D52">
        <v>2</v>
      </c>
      <c r="E52">
        <f t="shared" si="2"/>
        <v>4</v>
      </c>
      <c r="F52" s="11">
        <v>416</v>
      </c>
      <c r="G52" s="11">
        <f t="shared" si="3"/>
        <v>1664</v>
      </c>
    </row>
    <row r="53" spans="1:7" x14ac:dyDescent="0.3">
      <c r="A53" s="8">
        <v>52</v>
      </c>
      <c r="B53" t="s">
        <v>108</v>
      </c>
      <c r="C53" s="10">
        <v>563919</v>
      </c>
      <c r="D53">
        <v>1</v>
      </c>
      <c r="E53">
        <f t="shared" si="2"/>
        <v>2</v>
      </c>
      <c r="F53" s="11">
        <v>278</v>
      </c>
      <c r="G53" s="11">
        <f t="shared" si="3"/>
        <v>556</v>
      </c>
    </row>
    <row r="54" spans="1:7" x14ac:dyDescent="0.3">
      <c r="A54" s="8">
        <v>53</v>
      </c>
      <c r="B54" t="s">
        <v>83</v>
      </c>
      <c r="C54" s="10">
        <v>565535</v>
      </c>
      <c r="D54">
        <v>2</v>
      </c>
      <c r="E54">
        <f t="shared" si="2"/>
        <v>4</v>
      </c>
      <c r="F54" s="11">
        <v>322</v>
      </c>
      <c r="G54" s="11">
        <f t="shared" si="3"/>
        <v>1288</v>
      </c>
    </row>
    <row r="55" spans="1:7" x14ac:dyDescent="0.3">
      <c r="A55" s="8">
        <v>54</v>
      </c>
      <c r="B55" t="s">
        <v>77</v>
      </c>
      <c r="C55" s="10">
        <v>661415</v>
      </c>
      <c r="D55">
        <v>9</v>
      </c>
      <c r="E55">
        <f t="shared" si="2"/>
        <v>18</v>
      </c>
      <c r="F55" s="11">
        <v>340</v>
      </c>
      <c r="G55" s="11">
        <f t="shared" si="3"/>
        <v>6120</v>
      </c>
    </row>
    <row r="56" spans="1:7" x14ac:dyDescent="0.3">
      <c r="A56" s="8">
        <v>55</v>
      </c>
      <c r="B56" t="s">
        <v>84</v>
      </c>
      <c r="C56" s="10">
        <v>661614</v>
      </c>
      <c r="D56">
        <v>1</v>
      </c>
      <c r="E56">
        <f t="shared" si="2"/>
        <v>2</v>
      </c>
      <c r="F56" s="11">
        <v>114</v>
      </c>
      <c r="G56" s="11">
        <f t="shared" si="3"/>
        <v>228</v>
      </c>
    </row>
    <row r="57" spans="1:7" x14ac:dyDescent="0.3">
      <c r="A57" s="8">
        <v>56</v>
      </c>
      <c r="B57" t="s">
        <v>120</v>
      </c>
      <c r="C57" s="10">
        <v>661615</v>
      </c>
      <c r="D57">
        <v>1</v>
      </c>
      <c r="E57">
        <f t="shared" si="2"/>
        <v>2</v>
      </c>
      <c r="F57" s="11">
        <v>242</v>
      </c>
      <c r="G57" s="11">
        <f t="shared" si="3"/>
        <v>484</v>
      </c>
    </row>
    <row r="58" spans="1:7" x14ac:dyDescent="0.3">
      <c r="A58" s="8">
        <v>57</v>
      </c>
      <c r="B58" t="s">
        <v>121</v>
      </c>
      <c r="C58" s="10">
        <v>661616</v>
      </c>
      <c r="D58">
        <v>1</v>
      </c>
      <c r="E58">
        <f t="shared" si="2"/>
        <v>2</v>
      </c>
      <c r="F58" s="11">
        <v>242</v>
      </c>
      <c r="G58" s="11">
        <f t="shared" si="3"/>
        <v>484</v>
      </c>
    </row>
    <row r="59" spans="1:7" x14ac:dyDescent="0.3">
      <c r="A59" s="8">
        <v>58</v>
      </c>
      <c r="B59" t="s">
        <v>122</v>
      </c>
      <c r="C59" s="10">
        <v>661617</v>
      </c>
      <c r="D59">
        <v>1</v>
      </c>
      <c r="E59">
        <f t="shared" si="2"/>
        <v>2</v>
      </c>
      <c r="F59" s="11">
        <v>242</v>
      </c>
      <c r="G59" s="11">
        <f t="shared" si="3"/>
        <v>484</v>
      </c>
    </row>
    <row r="60" spans="1:7" x14ac:dyDescent="0.3">
      <c r="A60" s="8">
        <v>59</v>
      </c>
      <c r="B60" t="s">
        <v>75</v>
      </c>
      <c r="C60" s="10">
        <v>661618</v>
      </c>
      <c r="D60">
        <v>2</v>
      </c>
      <c r="E60">
        <f t="shared" si="2"/>
        <v>4</v>
      </c>
      <c r="F60" s="11">
        <v>242</v>
      </c>
      <c r="G60" s="11">
        <f t="shared" si="3"/>
        <v>968</v>
      </c>
    </row>
    <row r="61" spans="1:7" x14ac:dyDescent="0.3">
      <c r="A61" s="8">
        <v>60</v>
      </c>
      <c r="B61" t="s">
        <v>76</v>
      </c>
      <c r="C61" s="10">
        <v>661619</v>
      </c>
      <c r="D61">
        <v>1</v>
      </c>
      <c r="E61">
        <f t="shared" si="2"/>
        <v>2</v>
      </c>
      <c r="F61" s="11">
        <v>242</v>
      </c>
      <c r="G61" s="11">
        <f t="shared" si="3"/>
        <v>484</v>
      </c>
    </row>
    <row r="62" spans="1:7" x14ac:dyDescent="0.3">
      <c r="A62" s="8">
        <v>61</v>
      </c>
      <c r="B62" t="s">
        <v>118</v>
      </c>
      <c r="C62" s="10">
        <v>661621</v>
      </c>
      <c r="D62">
        <v>1</v>
      </c>
      <c r="E62">
        <f t="shared" si="2"/>
        <v>2</v>
      </c>
      <c r="F62" s="11">
        <v>242</v>
      </c>
      <c r="G62" s="11">
        <f t="shared" si="3"/>
        <v>484</v>
      </c>
    </row>
    <row r="63" spans="1:7" x14ac:dyDescent="0.3">
      <c r="A63" s="8">
        <v>62</v>
      </c>
      <c r="B63" t="s">
        <v>97</v>
      </c>
      <c r="C63" s="10">
        <v>661622</v>
      </c>
      <c r="D63">
        <v>2</v>
      </c>
      <c r="E63">
        <f t="shared" si="2"/>
        <v>4</v>
      </c>
      <c r="F63" s="11">
        <v>242</v>
      </c>
      <c r="G63" s="11">
        <f t="shared" si="3"/>
        <v>968</v>
      </c>
    </row>
    <row r="64" spans="1:7" x14ac:dyDescent="0.3">
      <c r="A64" s="8">
        <v>63</v>
      </c>
      <c r="B64" t="s">
        <v>88</v>
      </c>
      <c r="C64" s="10">
        <v>661623</v>
      </c>
      <c r="D64">
        <v>2</v>
      </c>
      <c r="E64">
        <f t="shared" si="2"/>
        <v>4</v>
      </c>
      <c r="F64" s="11">
        <v>242</v>
      </c>
      <c r="G64" s="11">
        <f t="shared" si="3"/>
        <v>968</v>
      </c>
    </row>
    <row r="65" spans="1:7" x14ac:dyDescent="0.3">
      <c r="A65" s="8">
        <v>64</v>
      </c>
      <c r="B65" t="s">
        <v>125</v>
      </c>
      <c r="C65" s="10">
        <v>661624</v>
      </c>
      <c r="D65">
        <v>1</v>
      </c>
      <c r="E65">
        <f t="shared" si="2"/>
        <v>2</v>
      </c>
      <c r="F65" s="11">
        <v>242</v>
      </c>
      <c r="G65" s="11">
        <f t="shared" si="3"/>
        <v>484</v>
      </c>
    </row>
    <row r="66" spans="1:7" x14ac:dyDescent="0.3">
      <c r="A66" s="8">
        <v>65</v>
      </c>
      <c r="B66" t="s">
        <v>123</v>
      </c>
      <c r="C66" s="10">
        <v>661625</v>
      </c>
      <c r="D66">
        <v>1</v>
      </c>
      <c r="E66">
        <f t="shared" ref="E66:E68" si="4">D66*2</f>
        <v>2</v>
      </c>
      <c r="F66" s="11">
        <v>242</v>
      </c>
      <c r="G66" s="11">
        <f t="shared" ref="G66:G68" si="5">E66*F66</f>
        <v>484</v>
      </c>
    </row>
    <row r="67" spans="1:7" x14ac:dyDescent="0.3">
      <c r="A67" s="8">
        <v>66</v>
      </c>
      <c r="B67" t="s">
        <v>124</v>
      </c>
      <c r="C67" s="10">
        <v>661628</v>
      </c>
      <c r="D67">
        <v>1</v>
      </c>
      <c r="E67">
        <f t="shared" si="4"/>
        <v>2</v>
      </c>
      <c r="F67" s="11">
        <v>274</v>
      </c>
      <c r="G67" s="11">
        <f t="shared" si="5"/>
        <v>548</v>
      </c>
    </row>
    <row r="68" spans="1:7" x14ac:dyDescent="0.3">
      <c r="A68" s="8">
        <v>67</v>
      </c>
      <c r="B68" t="s">
        <v>126</v>
      </c>
      <c r="C68" s="10">
        <v>661630</v>
      </c>
      <c r="D68">
        <v>1</v>
      </c>
      <c r="E68">
        <f t="shared" si="4"/>
        <v>2</v>
      </c>
      <c r="F68" s="11">
        <v>242</v>
      </c>
      <c r="G68" s="11">
        <f t="shared" si="5"/>
        <v>484</v>
      </c>
    </row>
    <row r="69" spans="1:7" x14ac:dyDescent="0.3">
      <c r="A69" s="8"/>
      <c r="C69" s="10"/>
      <c r="F69" s="14"/>
      <c r="G69" s="11"/>
    </row>
    <row r="70" spans="1:7" x14ac:dyDescent="0.3">
      <c r="A70" s="8"/>
      <c r="C70" s="10"/>
      <c r="E70" s="23" t="s">
        <v>136</v>
      </c>
      <c r="F70" s="11"/>
      <c r="G70" s="17">
        <f>SUM(G2:G69)</f>
        <v>157212</v>
      </c>
    </row>
    <row r="71" spans="1:7" x14ac:dyDescent="0.3">
      <c r="A71" s="8"/>
      <c r="C71" s="10"/>
      <c r="F71" s="11"/>
      <c r="G71" s="11"/>
    </row>
    <row r="72" spans="1:7" x14ac:dyDescent="0.3">
      <c r="A72" s="8"/>
      <c r="C72" s="10"/>
      <c r="D72" s="13"/>
      <c r="E72" s="13"/>
      <c r="F72" s="11"/>
      <c r="G72" s="11"/>
    </row>
    <row r="73" spans="1:7" x14ac:dyDescent="0.3">
      <c r="A73" s="8"/>
      <c r="C73" s="10"/>
      <c r="F73" s="11"/>
      <c r="G73" s="11"/>
    </row>
    <row r="74" spans="1:7" x14ac:dyDescent="0.3">
      <c r="A74" s="8"/>
      <c r="C74" s="10"/>
      <c r="F74" s="11"/>
      <c r="G74" s="11"/>
    </row>
    <row r="75" spans="1:7" x14ac:dyDescent="0.3">
      <c r="A75" s="8"/>
      <c r="C75" s="10"/>
      <c r="F75" s="11"/>
      <c r="G75" s="11"/>
    </row>
    <row r="76" spans="1:7" x14ac:dyDescent="0.3">
      <c r="A76" s="8"/>
      <c r="C76" s="10"/>
      <c r="F76" s="11"/>
      <c r="G76" s="11"/>
    </row>
    <row r="77" spans="1:7" x14ac:dyDescent="0.3">
      <c r="A77" s="8"/>
      <c r="C77" s="10"/>
      <c r="F77" s="11"/>
      <c r="G77" s="11"/>
    </row>
    <row r="78" spans="1:7" x14ac:dyDescent="0.3">
      <c r="A78" s="8"/>
      <c r="C78" s="10"/>
      <c r="F78" s="11"/>
      <c r="G78" s="11"/>
    </row>
    <row r="79" spans="1:7" x14ac:dyDescent="0.3">
      <c r="A79" s="8"/>
      <c r="C79" s="10"/>
      <c r="F79" s="11"/>
      <c r="G79" s="11"/>
    </row>
    <row r="80" spans="1:7" x14ac:dyDescent="0.3">
      <c r="A80" s="8"/>
      <c r="C80" s="10"/>
      <c r="F80" s="11"/>
      <c r="G80" s="11"/>
    </row>
    <row r="81" spans="1:7" x14ac:dyDescent="0.3">
      <c r="A81" s="8"/>
      <c r="C81" s="10"/>
      <c r="F81" s="11"/>
      <c r="G81" s="11"/>
    </row>
    <row r="82" spans="1:7" x14ac:dyDescent="0.3">
      <c r="A82" s="8"/>
      <c r="C82" s="10"/>
      <c r="F82" s="11"/>
      <c r="G82" s="11"/>
    </row>
    <row r="83" spans="1:7" x14ac:dyDescent="0.3">
      <c r="A83" s="8"/>
      <c r="C83" s="10"/>
      <c r="F83" s="11"/>
      <c r="G83" s="11"/>
    </row>
    <row r="84" spans="1:7" x14ac:dyDescent="0.3">
      <c r="A84" s="8"/>
      <c r="C84" s="10"/>
      <c r="F84" s="11"/>
      <c r="G84" s="11"/>
    </row>
    <row r="85" spans="1:7" x14ac:dyDescent="0.3">
      <c r="A85" s="8"/>
      <c r="C85" s="10"/>
      <c r="F85" s="11"/>
      <c r="G85" s="11"/>
    </row>
    <row r="86" spans="1:7" x14ac:dyDescent="0.3">
      <c r="A86" s="8"/>
      <c r="C86" s="10"/>
      <c r="F86" s="11"/>
      <c r="G86" s="11"/>
    </row>
    <row r="87" spans="1:7" x14ac:dyDescent="0.3">
      <c r="A87" s="8"/>
      <c r="C87" s="10"/>
      <c r="F87" s="11"/>
      <c r="G87" s="11"/>
    </row>
    <row r="88" spans="1:7" x14ac:dyDescent="0.3">
      <c r="A88" s="8"/>
      <c r="C88" s="10"/>
      <c r="F88" s="11"/>
      <c r="G88" s="11"/>
    </row>
    <row r="89" spans="1:7" x14ac:dyDescent="0.3">
      <c r="A89" s="8"/>
      <c r="C89" s="10"/>
      <c r="F89" s="11"/>
      <c r="G89" s="11"/>
    </row>
    <row r="90" spans="1:7" x14ac:dyDescent="0.3">
      <c r="A90" s="8"/>
      <c r="C90" s="10"/>
      <c r="F90" s="11"/>
      <c r="G90" s="11"/>
    </row>
    <row r="91" spans="1:7" x14ac:dyDescent="0.3">
      <c r="A91" s="8"/>
      <c r="C91" s="10"/>
      <c r="F91" s="11"/>
      <c r="G91" s="11"/>
    </row>
    <row r="92" spans="1:7" x14ac:dyDescent="0.3">
      <c r="A92" s="8"/>
      <c r="C92" s="10"/>
      <c r="F92" s="11"/>
      <c r="G92" s="11"/>
    </row>
    <row r="93" spans="1:7" x14ac:dyDescent="0.3">
      <c r="A93" s="8"/>
      <c r="C93" s="10"/>
      <c r="F93" s="11"/>
      <c r="G93" s="11"/>
    </row>
    <row r="94" spans="1:7" x14ac:dyDescent="0.3">
      <c r="A94" s="8"/>
      <c r="C94" s="10"/>
      <c r="F94" s="11"/>
      <c r="G94" s="11"/>
    </row>
    <row r="95" spans="1:7" x14ac:dyDescent="0.3">
      <c r="A95" s="8"/>
      <c r="C95" s="10"/>
      <c r="F95" s="11"/>
      <c r="G95" s="11"/>
    </row>
    <row r="96" spans="1:7" x14ac:dyDescent="0.3">
      <c r="A96" s="8"/>
      <c r="C96" s="10"/>
      <c r="F96" s="11"/>
      <c r="G96" s="11"/>
    </row>
    <row r="97" spans="1:7" x14ac:dyDescent="0.3">
      <c r="A97" s="8"/>
      <c r="C97" s="10"/>
      <c r="F97" s="11"/>
      <c r="G97" s="11"/>
    </row>
    <row r="98" spans="1:7" x14ac:dyDescent="0.3">
      <c r="A98" s="8"/>
      <c r="C98" s="10"/>
      <c r="F98" s="11"/>
      <c r="G98" s="11"/>
    </row>
    <row r="99" spans="1:7" x14ac:dyDescent="0.3">
      <c r="A99" s="8"/>
      <c r="C99" s="10"/>
      <c r="F99" s="11"/>
      <c r="G99" s="11"/>
    </row>
    <row r="100" spans="1:7" x14ac:dyDescent="0.3">
      <c r="A100" s="8"/>
      <c r="C100" s="10"/>
      <c r="F100" s="11"/>
      <c r="G100" s="11"/>
    </row>
    <row r="101" spans="1:7" x14ac:dyDescent="0.3">
      <c r="A101" s="8"/>
      <c r="C101" s="10"/>
      <c r="F101" s="11"/>
      <c r="G101" s="11"/>
    </row>
    <row r="102" spans="1:7" x14ac:dyDescent="0.3">
      <c r="A102" s="8"/>
      <c r="C102" s="10"/>
      <c r="F102" s="11"/>
      <c r="G102" s="11"/>
    </row>
    <row r="103" spans="1:7" x14ac:dyDescent="0.3">
      <c r="A103" s="8"/>
      <c r="C103" s="10"/>
      <c r="F103" s="11"/>
      <c r="G103" s="11"/>
    </row>
    <row r="104" spans="1:7" x14ac:dyDescent="0.3">
      <c r="A104" s="8"/>
      <c r="C104" s="10"/>
      <c r="F104" s="11"/>
      <c r="G104" s="11"/>
    </row>
    <row r="105" spans="1:7" x14ac:dyDescent="0.3">
      <c r="A105" s="8"/>
      <c r="C105" s="10"/>
      <c r="F105" s="11"/>
      <c r="G105" s="11"/>
    </row>
    <row r="106" spans="1:7" x14ac:dyDescent="0.3">
      <c r="A106" s="8"/>
      <c r="C106" s="10"/>
      <c r="F106" s="11"/>
      <c r="G106" s="11"/>
    </row>
    <row r="107" spans="1:7" x14ac:dyDescent="0.3">
      <c r="A107" s="8"/>
      <c r="C107" s="10"/>
      <c r="F107" s="11"/>
      <c r="G107" s="11"/>
    </row>
    <row r="108" spans="1:7" x14ac:dyDescent="0.3">
      <c r="A108" s="8"/>
      <c r="C108" s="10"/>
      <c r="F108" s="11"/>
      <c r="G108" s="11"/>
    </row>
    <row r="109" spans="1:7" x14ac:dyDescent="0.3">
      <c r="A109" s="8"/>
      <c r="C109" s="10"/>
      <c r="F109" s="11"/>
      <c r="G109" s="11"/>
    </row>
    <row r="110" spans="1:7" x14ac:dyDescent="0.3">
      <c r="A110" s="8"/>
      <c r="C110" s="10"/>
      <c r="F110" s="11"/>
      <c r="G110" s="11"/>
    </row>
    <row r="111" spans="1:7" x14ac:dyDescent="0.3">
      <c r="A111" s="8"/>
      <c r="B111" s="9"/>
      <c r="C111" s="10"/>
      <c r="F111" s="11"/>
      <c r="G111" s="11"/>
    </row>
    <row r="112" spans="1:7" x14ac:dyDescent="0.3">
      <c r="A112" s="8"/>
      <c r="C112" s="10"/>
      <c r="F112" s="11"/>
      <c r="G112" s="11"/>
    </row>
    <row r="113" spans="1:7" x14ac:dyDescent="0.3">
      <c r="A113" s="8"/>
      <c r="C113" s="10"/>
      <c r="F113" s="11"/>
      <c r="G113" s="11"/>
    </row>
    <row r="114" spans="1:7" x14ac:dyDescent="0.3">
      <c r="A114" s="8"/>
      <c r="C114" s="10"/>
      <c r="F114" s="11"/>
      <c r="G114" s="11"/>
    </row>
    <row r="115" spans="1:7" x14ac:dyDescent="0.3">
      <c r="A115" s="8"/>
      <c r="C115" s="10"/>
      <c r="F115" s="11"/>
      <c r="G115" s="11"/>
    </row>
    <row r="116" spans="1:7" x14ac:dyDescent="0.3">
      <c r="A116" s="8"/>
      <c r="C116" s="10"/>
      <c r="F116" s="11"/>
      <c r="G116" s="11"/>
    </row>
    <row r="117" spans="1:7" x14ac:dyDescent="0.3">
      <c r="A117" s="8"/>
      <c r="C117" s="10"/>
      <c r="F117" s="11"/>
      <c r="G117" s="11"/>
    </row>
    <row r="118" spans="1:7" x14ac:dyDescent="0.3">
      <c r="A118" s="8"/>
      <c r="C118" s="10"/>
      <c r="F118" s="11"/>
      <c r="G118" s="11"/>
    </row>
    <row r="119" spans="1:7" x14ac:dyDescent="0.3">
      <c r="A119" s="8"/>
      <c r="C119" s="10"/>
      <c r="F119" s="11"/>
      <c r="G119" s="11"/>
    </row>
    <row r="120" spans="1:7" x14ac:dyDescent="0.3">
      <c r="A120" s="8"/>
      <c r="C120" s="10"/>
      <c r="F120" s="11"/>
      <c r="G120" s="11"/>
    </row>
    <row r="121" spans="1:7" x14ac:dyDescent="0.3">
      <c r="A121" s="8"/>
      <c r="C121" s="10"/>
      <c r="F121" s="11"/>
      <c r="G121" s="11"/>
    </row>
    <row r="122" spans="1:7" x14ac:dyDescent="0.3">
      <c r="A122" s="8"/>
      <c r="C122" s="10"/>
      <c r="F122" s="11"/>
      <c r="G122" s="11"/>
    </row>
    <row r="123" spans="1:7" x14ac:dyDescent="0.3">
      <c r="A123" s="8"/>
      <c r="C123" s="10"/>
      <c r="F123" s="11"/>
      <c r="G123" s="11"/>
    </row>
    <row r="124" spans="1:7" x14ac:dyDescent="0.3">
      <c r="A124" s="8"/>
      <c r="C124" s="10"/>
      <c r="F124" s="11"/>
      <c r="G124" s="11"/>
    </row>
    <row r="125" spans="1:7" x14ac:dyDescent="0.3">
      <c r="A125" s="8"/>
      <c r="C125" s="10"/>
      <c r="F125" s="11"/>
      <c r="G125" s="11"/>
    </row>
    <row r="126" spans="1:7" x14ac:dyDescent="0.3">
      <c r="A126" s="8"/>
      <c r="C126" s="10"/>
      <c r="F126" s="11"/>
      <c r="G126" s="11"/>
    </row>
    <row r="127" spans="1:7" x14ac:dyDescent="0.3">
      <c r="A127" s="8"/>
      <c r="C127" s="10"/>
      <c r="F127" s="11"/>
      <c r="G127" s="11"/>
    </row>
    <row r="128" spans="1:7" x14ac:dyDescent="0.3">
      <c r="A128" s="8"/>
      <c r="C128" s="10"/>
      <c r="F128" s="11"/>
      <c r="G128" s="11"/>
    </row>
    <row r="129" spans="1:7" x14ac:dyDescent="0.3">
      <c r="A129" s="8"/>
      <c r="C129" s="10"/>
      <c r="F129" s="11"/>
      <c r="G129" s="11"/>
    </row>
    <row r="130" spans="1:7" x14ac:dyDescent="0.3">
      <c r="A130" s="8"/>
      <c r="C130" s="10"/>
      <c r="F130" s="11"/>
      <c r="G130" s="11"/>
    </row>
    <row r="131" spans="1:7" x14ac:dyDescent="0.3">
      <c r="A131" s="8"/>
      <c r="C131" s="10"/>
      <c r="F131" s="11"/>
      <c r="G131" s="11"/>
    </row>
    <row r="132" spans="1:7" x14ac:dyDescent="0.3">
      <c r="A132" s="8"/>
      <c r="C132" s="10"/>
      <c r="F132" s="11"/>
      <c r="G132" s="11"/>
    </row>
    <row r="133" spans="1:7" x14ac:dyDescent="0.3">
      <c r="A133" s="8"/>
      <c r="C133" s="10"/>
      <c r="F133" s="11"/>
      <c r="G133" s="11"/>
    </row>
    <row r="134" spans="1:7" x14ac:dyDescent="0.3">
      <c r="A134" s="8"/>
      <c r="C134" s="10"/>
      <c r="F134" s="11"/>
      <c r="G134" s="11"/>
    </row>
    <row r="135" spans="1:7" x14ac:dyDescent="0.3">
      <c r="A135" s="8"/>
      <c r="C135" s="10"/>
      <c r="F135" s="11"/>
      <c r="G135" s="11"/>
    </row>
    <row r="136" spans="1:7" x14ac:dyDescent="0.3">
      <c r="A136" s="8"/>
      <c r="C136" s="10"/>
      <c r="F136" s="11"/>
      <c r="G136" s="11"/>
    </row>
    <row r="137" spans="1:7" x14ac:dyDescent="0.3">
      <c r="A137" s="8"/>
      <c r="C137" s="10"/>
      <c r="F137" s="11"/>
      <c r="G137" s="11"/>
    </row>
    <row r="138" spans="1:7" x14ac:dyDescent="0.3">
      <c r="A138" s="8"/>
      <c r="C138" s="10"/>
      <c r="F138" s="11"/>
      <c r="G138" s="11"/>
    </row>
    <row r="139" spans="1:7" x14ac:dyDescent="0.3">
      <c r="A139" s="8"/>
      <c r="C139" s="10"/>
      <c r="F139" s="11"/>
      <c r="G139" s="11"/>
    </row>
    <row r="140" spans="1:7" x14ac:dyDescent="0.3">
      <c r="A140" s="8"/>
      <c r="C140" s="10"/>
      <c r="F140" s="11"/>
      <c r="G140" s="11"/>
    </row>
    <row r="141" spans="1:7" x14ac:dyDescent="0.3">
      <c r="A141" s="8"/>
      <c r="C141" s="10"/>
      <c r="F141" s="11"/>
      <c r="G141" s="11"/>
    </row>
    <row r="142" spans="1:7" x14ac:dyDescent="0.3">
      <c r="A142" s="8"/>
      <c r="C142" s="10"/>
      <c r="F142" s="11"/>
      <c r="G142" s="11"/>
    </row>
  </sheetData>
  <sortState xmlns:xlrd2="http://schemas.microsoft.com/office/spreadsheetml/2017/richdata2" ref="A2:G68">
    <sortCondition ref="A8:A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41FA-8CF4-4775-9208-6B3417C20E1B}">
  <sheetPr>
    <tabColor rgb="FF00B050"/>
  </sheetPr>
  <dimension ref="A1:F60"/>
  <sheetViews>
    <sheetView zoomScaleNormal="100" workbookViewId="0">
      <pane ySplit="1" topLeftCell="A36" activePane="bottomLeft" state="frozen"/>
      <selection pane="bottomLeft" activeCell="D1" sqref="D1"/>
    </sheetView>
  </sheetViews>
  <sheetFormatPr defaultRowHeight="14.4" x14ac:dyDescent="0.3"/>
  <cols>
    <col min="1" max="1" width="32.109375" bestFit="1" customWidth="1"/>
    <col min="2" max="2" width="44.44140625" bestFit="1" customWidth="1"/>
    <col min="4" max="4" width="17.88671875" customWidth="1"/>
    <col min="5" max="5" width="14.44140625" customWidth="1"/>
    <col min="6" max="6" width="18.6640625" customWidth="1"/>
  </cols>
  <sheetData>
    <row r="1" spans="1:6" ht="21" customHeight="1" x14ac:dyDescent="0.3">
      <c r="A1" s="1" t="s">
        <v>59</v>
      </c>
      <c r="B1" s="2"/>
      <c r="C1" s="1" t="s">
        <v>0</v>
      </c>
      <c r="D1" s="1" t="s">
        <v>135</v>
      </c>
      <c r="E1" s="1" t="s">
        <v>60</v>
      </c>
      <c r="F1" s="1" t="s">
        <v>1</v>
      </c>
    </row>
    <row r="2" spans="1:6" x14ac:dyDescent="0.3">
      <c r="A2" s="2">
        <v>1</v>
      </c>
      <c r="B2" s="6" t="s">
        <v>8</v>
      </c>
      <c r="C2" s="6">
        <v>340133</v>
      </c>
      <c r="D2" s="21">
        <v>12</v>
      </c>
      <c r="E2" s="18">
        <v>540</v>
      </c>
      <c r="F2" s="18">
        <f t="shared" ref="F2:F40" si="0">E2*D2</f>
        <v>6480</v>
      </c>
    </row>
    <row r="3" spans="1:6" x14ac:dyDescent="0.3">
      <c r="A3" s="2">
        <v>2</v>
      </c>
      <c r="B3" s="6" t="s">
        <v>9</v>
      </c>
      <c r="C3" s="6">
        <v>340682</v>
      </c>
      <c r="D3" s="21">
        <v>12</v>
      </c>
      <c r="E3" s="18">
        <v>524</v>
      </c>
      <c r="F3" s="18">
        <f t="shared" si="0"/>
        <v>6288</v>
      </c>
    </row>
    <row r="4" spans="1:6" x14ac:dyDescent="0.3">
      <c r="A4" s="2">
        <v>3</v>
      </c>
      <c r="B4" s="6" t="s">
        <v>10</v>
      </c>
      <c r="C4" s="6">
        <v>561271</v>
      </c>
      <c r="D4" s="21">
        <v>7</v>
      </c>
      <c r="E4" s="18">
        <v>302</v>
      </c>
      <c r="F4" s="18">
        <f t="shared" si="0"/>
        <v>2114</v>
      </c>
    </row>
    <row r="5" spans="1:6" x14ac:dyDescent="0.3">
      <c r="A5" s="2">
        <v>4</v>
      </c>
      <c r="B5" s="6" t="s">
        <v>7</v>
      </c>
      <c r="C5" s="6">
        <v>349201</v>
      </c>
      <c r="D5" s="21">
        <v>3</v>
      </c>
      <c r="E5" s="18">
        <v>308</v>
      </c>
      <c r="F5" s="18">
        <f t="shared" si="0"/>
        <v>924</v>
      </c>
    </row>
    <row r="6" spans="1:6" x14ac:dyDescent="0.3">
      <c r="A6" s="2">
        <v>5</v>
      </c>
      <c r="B6" s="6" t="s">
        <v>31</v>
      </c>
      <c r="C6" s="6">
        <v>340664</v>
      </c>
      <c r="D6" s="21">
        <v>7</v>
      </c>
      <c r="E6" s="18">
        <v>540</v>
      </c>
      <c r="F6" s="18">
        <f t="shared" si="0"/>
        <v>3780</v>
      </c>
    </row>
    <row r="7" spans="1:6" x14ac:dyDescent="0.3">
      <c r="A7" s="2">
        <v>6</v>
      </c>
      <c r="B7" s="6" t="s">
        <v>13</v>
      </c>
      <c r="C7" s="6">
        <v>340705</v>
      </c>
      <c r="D7" s="21">
        <v>12</v>
      </c>
      <c r="E7" s="18">
        <v>602</v>
      </c>
      <c r="F7" s="18">
        <f t="shared" si="0"/>
        <v>7224</v>
      </c>
    </row>
    <row r="8" spans="1:6" x14ac:dyDescent="0.3">
      <c r="A8" s="2">
        <v>7</v>
      </c>
      <c r="B8" s="6" t="s">
        <v>14</v>
      </c>
      <c r="C8" s="6">
        <v>340720</v>
      </c>
      <c r="D8" s="21">
        <v>12</v>
      </c>
      <c r="E8" s="18">
        <v>344</v>
      </c>
      <c r="F8" s="18">
        <f t="shared" si="0"/>
        <v>4128</v>
      </c>
    </row>
    <row r="9" spans="1:6" x14ac:dyDescent="0.3">
      <c r="A9" s="2">
        <v>8</v>
      </c>
      <c r="B9" s="6" t="s">
        <v>15</v>
      </c>
      <c r="C9" s="6">
        <v>347577</v>
      </c>
      <c r="D9" s="21">
        <v>12</v>
      </c>
      <c r="E9" s="18">
        <v>602</v>
      </c>
      <c r="F9" s="18">
        <f t="shared" si="0"/>
        <v>7224</v>
      </c>
    </row>
    <row r="10" spans="1:6" x14ac:dyDescent="0.3">
      <c r="A10" s="2">
        <v>9</v>
      </c>
      <c r="B10" s="6" t="s">
        <v>16</v>
      </c>
      <c r="C10" s="6">
        <v>340724</v>
      </c>
      <c r="D10" s="21">
        <v>12</v>
      </c>
      <c r="E10" s="18">
        <v>340</v>
      </c>
      <c r="F10" s="18">
        <f t="shared" si="0"/>
        <v>4080</v>
      </c>
    </row>
    <row r="11" spans="1:6" x14ac:dyDescent="0.3">
      <c r="A11" s="2">
        <v>10</v>
      </c>
      <c r="B11" s="6" t="s">
        <v>12</v>
      </c>
      <c r="C11" s="6">
        <v>560765</v>
      </c>
      <c r="D11" s="21">
        <v>2</v>
      </c>
      <c r="E11" s="18">
        <v>382</v>
      </c>
      <c r="F11" s="18">
        <f t="shared" si="0"/>
        <v>764</v>
      </c>
    </row>
    <row r="12" spans="1:6" x14ac:dyDescent="0.3">
      <c r="A12" s="2">
        <v>11</v>
      </c>
      <c r="B12" s="6" t="s">
        <v>32</v>
      </c>
      <c r="C12" s="6">
        <v>340669</v>
      </c>
      <c r="D12" s="21">
        <v>7</v>
      </c>
      <c r="E12" s="18">
        <v>616</v>
      </c>
      <c r="F12" s="18">
        <f t="shared" si="0"/>
        <v>4312</v>
      </c>
    </row>
    <row r="13" spans="1:6" x14ac:dyDescent="0.3">
      <c r="A13" s="2">
        <v>12</v>
      </c>
      <c r="B13" s="6" t="s">
        <v>2</v>
      </c>
      <c r="C13" s="6">
        <v>565616</v>
      </c>
      <c r="D13" s="21">
        <v>1</v>
      </c>
      <c r="E13" s="18">
        <v>354</v>
      </c>
      <c r="F13" s="18">
        <v>354</v>
      </c>
    </row>
    <row r="14" spans="1:6" x14ac:dyDescent="0.3">
      <c r="A14" s="2">
        <v>13</v>
      </c>
      <c r="B14" s="6" t="s">
        <v>3</v>
      </c>
      <c r="C14" s="6">
        <v>555544</v>
      </c>
      <c r="D14" s="21">
        <v>1</v>
      </c>
      <c r="E14" s="18">
        <v>278</v>
      </c>
      <c r="F14" s="18">
        <f t="shared" ref="F14" si="1">E14*D14</f>
        <v>278</v>
      </c>
    </row>
    <row r="15" spans="1:6" x14ac:dyDescent="0.3">
      <c r="A15" s="2">
        <v>14</v>
      </c>
      <c r="B15" s="6" t="s">
        <v>17</v>
      </c>
      <c r="C15" s="6">
        <v>559925</v>
      </c>
      <c r="D15" s="21">
        <v>20</v>
      </c>
      <c r="E15" s="18">
        <v>80</v>
      </c>
      <c r="F15" s="18">
        <f t="shared" si="0"/>
        <v>1600</v>
      </c>
    </row>
    <row r="16" spans="1:6" x14ac:dyDescent="0.3">
      <c r="A16" s="2">
        <v>15</v>
      </c>
      <c r="B16" s="6" t="s">
        <v>18</v>
      </c>
      <c r="C16" s="6">
        <v>341101</v>
      </c>
      <c r="D16" s="21">
        <v>12</v>
      </c>
      <c r="E16" s="18">
        <v>688</v>
      </c>
      <c r="F16" s="18">
        <f t="shared" si="0"/>
        <v>8256</v>
      </c>
    </row>
    <row r="17" spans="1:6" x14ac:dyDescent="0.3">
      <c r="A17" s="2">
        <v>16</v>
      </c>
      <c r="B17" s="6" t="s">
        <v>19</v>
      </c>
      <c r="C17" s="6">
        <v>335791</v>
      </c>
      <c r="D17" s="21">
        <v>19</v>
      </c>
      <c r="E17" s="18">
        <v>674</v>
      </c>
      <c r="F17" s="18">
        <f t="shared" si="0"/>
        <v>12806</v>
      </c>
    </row>
    <row r="18" spans="1:6" x14ac:dyDescent="0.3">
      <c r="A18" s="2">
        <v>17</v>
      </c>
      <c r="B18" s="6" t="s">
        <v>20</v>
      </c>
      <c r="C18" s="6">
        <v>557742</v>
      </c>
      <c r="D18" s="21">
        <v>7</v>
      </c>
      <c r="E18" s="18">
        <v>372</v>
      </c>
      <c r="F18" s="18">
        <f t="shared" si="0"/>
        <v>2604</v>
      </c>
    </row>
    <row r="19" spans="1:6" x14ac:dyDescent="0.3">
      <c r="A19" s="2">
        <v>18</v>
      </c>
      <c r="B19" s="6" t="s">
        <v>21</v>
      </c>
      <c r="C19" s="6">
        <v>337167</v>
      </c>
      <c r="D19" s="21">
        <v>7</v>
      </c>
      <c r="E19" s="18">
        <v>770</v>
      </c>
      <c r="F19" s="18">
        <f t="shared" si="0"/>
        <v>5390</v>
      </c>
    </row>
    <row r="20" spans="1:6" x14ac:dyDescent="0.3">
      <c r="A20" s="2">
        <v>19</v>
      </c>
      <c r="B20" s="6" t="s">
        <v>4</v>
      </c>
      <c r="C20" s="6">
        <v>557745</v>
      </c>
      <c r="D20" s="21">
        <v>1</v>
      </c>
      <c r="E20" s="18">
        <v>372</v>
      </c>
      <c r="F20" s="18">
        <f t="shared" si="0"/>
        <v>372</v>
      </c>
    </row>
    <row r="21" spans="1:6" x14ac:dyDescent="0.3">
      <c r="A21" s="2">
        <v>20</v>
      </c>
      <c r="B21" s="6" t="s">
        <v>22</v>
      </c>
      <c r="C21" s="6">
        <v>340443</v>
      </c>
      <c r="D21" s="21">
        <v>12</v>
      </c>
      <c r="E21" s="18">
        <v>664</v>
      </c>
      <c r="F21" s="18">
        <f t="shared" si="0"/>
        <v>7968</v>
      </c>
    </row>
    <row r="22" spans="1:6" x14ac:dyDescent="0.3">
      <c r="A22" s="2">
        <v>21</v>
      </c>
      <c r="B22" s="6" t="s">
        <v>23</v>
      </c>
      <c r="C22" s="6">
        <v>340659</v>
      </c>
      <c r="D22" s="21">
        <v>12</v>
      </c>
      <c r="E22" s="18">
        <v>664</v>
      </c>
      <c r="F22" s="18">
        <f t="shared" si="0"/>
        <v>7968</v>
      </c>
    </row>
    <row r="23" spans="1:6" x14ac:dyDescent="0.3">
      <c r="A23" s="2">
        <v>22</v>
      </c>
      <c r="B23" s="6" t="s">
        <v>24</v>
      </c>
      <c r="C23" s="6">
        <v>341026</v>
      </c>
      <c r="D23" s="21">
        <v>7</v>
      </c>
      <c r="E23" s="18">
        <v>648</v>
      </c>
      <c r="F23" s="18">
        <f t="shared" si="0"/>
        <v>4536</v>
      </c>
    </row>
    <row r="24" spans="1:6" x14ac:dyDescent="0.3">
      <c r="A24" s="2">
        <v>23</v>
      </c>
      <c r="B24" s="6" t="s">
        <v>25</v>
      </c>
      <c r="C24" s="6">
        <v>340667</v>
      </c>
      <c r="D24" s="21">
        <v>7</v>
      </c>
      <c r="E24" s="18">
        <v>658</v>
      </c>
      <c r="F24" s="18">
        <f t="shared" si="0"/>
        <v>4606</v>
      </c>
    </row>
    <row r="25" spans="1:6" x14ac:dyDescent="0.3">
      <c r="A25" s="2">
        <v>24</v>
      </c>
      <c r="B25" s="6" t="s">
        <v>26</v>
      </c>
      <c r="C25" s="6">
        <v>340722</v>
      </c>
      <c r="D25" s="21">
        <v>12</v>
      </c>
      <c r="E25" s="18">
        <v>658</v>
      </c>
      <c r="F25" s="18">
        <f t="shared" si="0"/>
        <v>7896</v>
      </c>
    </row>
    <row r="26" spans="1:6" x14ac:dyDescent="0.3">
      <c r="A26" s="2">
        <v>25</v>
      </c>
      <c r="B26" s="6" t="s">
        <v>27</v>
      </c>
      <c r="C26" s="6">
        <v>555533</v>
      </c>
      <c r="D26" s="21">
        <v>5</v>
      </c>
      <c r="E26" s="18">
        <v>354</v>
      </c>
      <c r="F26" s="18">
        <f t="shared" si="0"/>
        <v>1770</v>
      </c>
    </row>
    <row r="27" spans="1:6" x14ac:dyDescent="0.3">
      <c r="A27" s="2">
        <v>26</v>
      </c>
      <c r="B27" s="6" t="s">
        <v>28</v>
      </c>
      <c r="C27" s="6">
        <v>348805</v>
      </c>
      <c r="D27" s="21">
        <v>12</v>
      </c>
      <c r="E27" s="18">
        <v>688</v>
      </c>
      <c r="F27" s="18">
        <f t="shared" si="0"/>
        <v>8256</v>
      </c>
    </row>
    <row r="28" spans="1:6" x14ac:dyDescent="0.3">
      <c r="A28" s="2">
        <v>27</v>
      </c>
      <c r="B28" s="6" t="s">
        <v>29</v>
      </c>
      <c r="C28" s="6">
        <v>348803</v>
      </c>
      <c r="D28" s="21">
        <v>12</v>
      </c>
      <c r="E28" s="18">
        <v>674</v>
      </c>
      <c r="F28" s="18">
        <f t="shared" si="0"/>
        <v>8088</v>
      </c>
    </row>
    <row r="29" spans="1:6" x14ac:dyDescent="0.3">
      <c r="A29" s="2">
        <v>28</v>
      </c>
      <c r="B29" s="6" t="s">
        <v>30</v>
      </c>
      <c r="C29" s="6">
        <v>565192</v>
      </c>
      <c r="D29" s="21">
        <v>7</v>
      </c>
      <c r="E29" s="18">
        <v>316</v>
      </c>
      <c r="F29" s="18">
        <f t="shared" si="0"/>
        <v>2212</v>
      </c>
    </row>
    <row r="30" spans="1:6" x14ac:dyDescent="0.3">
      <c r="A30" s="2">
        <v>29</v>
      </c>
      <c r="B30" s="6" t="s">
        <v>5</v>
      </c>
      <c r="C30" s="6">
        <v>565774</v>
      </c>
      <c r="D30" s="21">
        <v>3</v>
      </c>
      <c r="E30" s="18">
        <v>376</v>
      </c>
      <c r="F30" s="18">
        <f t="shared" si="0"/>
        <v>1128</v>
      </c>
    </row>
    <row r="31" spans="1:6" x14ac:dyDescent="0.3">
      <c r="A31" s="2">
        <v>30</v>
      </c>
      <c r="B31" s="6" t="s">
        <v>33</v>
      </c>
      <c r="C31" s="6">
        <v>563798</v>
      </c>
      <c r="D31" s="21">
        <v>12</v>
      </c>
      <c r="E31" s="18">
        <v>416</v>
      </c>
      <c r="F31" s="18">
        <f t="shared" si="0"/>
        <v>4992</v>
      </c>
    </row>
    <row r="32" spans="1:6" x14ac:dyDescent="0.3">
      <c r="A32" s="2">
        <v>31</v>
      </c>
      <c r="B32" s="6" t="s">
        <v>34</v>
      </c>
      <c r="C32" s="6">
        <v>563743</v>
      </c>
      <c r="D32" s="21">
        <v>12</v>
      </c>
      <c r="E32" s="18">
        <v>426</v>
      </c>
      <c r="F32" s="18">
        <f t="shared" si="0"/>
        <v>5112</v>
      </c>
    </row>
    <row r="33" spans="1:6" x14ac:dyDescent="0.3">
      <c r="A33" s="2">
        <v>32</v>
      </c>
      <c r="B33" s="6" t="s">
        <v>35</v>
      </c>
      <c r="C33" s="6">
        <v>562596</v>
      </c>
      <c r="D33" s="21">
        <v>3</v>
      </c>
      <c r="E33" s="18">
        <v>426</v>
      </c>
      <c r="F33" s="18">
        <f t="shared" si="0"/>
        <v>1278</v>
      </c>
    </row>
    <row r="34" spans="1:6" x14ac:dyDescent="0.3">
      <c r="A34" s="2">
        <v>33</v>
      </c>
      <c r="B34" s="6" t="s">
        <v>40</v>
      </c>
      <c r="C34" s="7">
        <v>562516</v>
      </c>
      <c r="D34" s="21">
        <v>7</v>
      </c>
      <c r="E34" s="18">
        <v>306</v>
      </c>
      <c r="F34" s="18">
        <f t="shared" ref="F34:F37" si="2">E34*D34</f>
        <v>2142</v>
      </c>
    </row>
    <row r="35" spans="1:6" x14ac:dyDescent="0.3">
      <c r="A35" s="2">
        <v>34</v>
      </c>
      <c r="B35" s="6" t="s">
        <v>36</v>
      </c>
      <c r="C35" s="7">
        <v>563919</v>
      </c>
      <c r="D35" s="21">
        <v>7</v>
      </c>
      <c r="E35" s="18">
        <v>278</v>
      </c>
      <c r="F35" s="18">
        <f t="shared" si="2"/>
        <v>1946</v>
      </c>
    </row>
    <row r="36" spans="1:6" x14ac:dyDescent="0.3">
      <c r="A36" s="2">
        <v>35</v>
      </c>
      <c r="B36" s="6" t="s">
        <v>37</v>
      </c>
      <c r="C36" s="7">
        <v>563352</v>
      </c>
      <c r="D36" s="21">
        <v>7</v>
      </c>
      <c r="E36" s="18">
        <v>432</v>
      </c>
      <c r="F36" s="18">
        <f t="shared" si="2"/>
        <v>3024</v>
      </c>
    </row>
    <row r="37" spans="1:6" x14ac:dyDescent="0.3">
      <c r="A37" s="5">
        <v>36</v>
      </c>
      <c r="B37" s="6" t="s">
        <v>41</v>
      </c>
      <c r="C37" s="6">
        <v>562970</v>
      </c>
      <c r="D37" s="21">
        <v>7</v>
      </c>
      <c r="E37" s="18">
        <v>454</v>
      </c>
      <c r="F37" s="18">
        <f t="shared" si="2"/>
        <v>3178</v>
      </c>
    </row>
    <row r="38" spans="1:6" x14ac:dyDescent="0.3">
      <c r="A38" s="5">
        <v>37</v>
      </c>
      <c r="B38" s="6" t="s">
        <v>38</v>
      </c>
      <c r="C38" s="6">
        <v>563204</v>
      </c>
      <c r="D38" s="21">
        <v>12</v>
      </c>
      <c r="E38" s="18">
        <v>432</v>
      </c>
      <c r="F38" s="18">
        <f t="shared" si="0"/>
        <v>5184</v>
      </c>
    </row>
    <row r="39" spans="1:6" x14ac:dyDescent="0.3">
      <c r="A39" s="5">
        <v>38</v>
      </c>
      <c r="B39" s="6" t="s">
        <v>42</v>
      </c>
      <c r="C39" s="7">
        <v>569250</v>
      </c>
      <c r="D39" s="21">
        <v>3</v>
      </c>
      <c r="E39" s="18">
        <v>454</v>
      </c>
      <c r="F39" s="18">
        <f t="shared" si="0"/>
        <v>1362</v>
      </c>
    </row>
    <row r="40" spans="1:6" x14ac:dyDescent="0.3">
      <c r="A40" s="5">
        <v>39</v>
      </c>
      <c r="B40" s="6" t="s">
        <v>39</v>
      </c>
      <c r="C40" s="7">
        <v>563219</v>
      </c>
      <c r="D40" s="21">
        <v>7</v>
      </c>
      <c r="E40" s="18">
        <v>454</v>
      </c>
      <c r="F40" s="18">
        <f t="shared" si="0"/>
        <v>3178</v>
      </c>
    </row>
    <row r="41" spans="1:6" x14ac:dyDescent="0.3">
      <c r="A41" s="5">
        <v>39</v>
      </c>
      <c r="B41" s="6" t="s">
        <v>11</v>
      </c>
      <c r="C41" s="7">
        <v>564017</v>
      </c>
      <c r="D41" s="21">
        <v>2</v>
      </c>
      <c r="E41" s="18">
        <v>316</v>
      </c>
      <c r="F41" s="18">
        <f t="shared" ref="F41:F58" si="3">E41*D41</f>
        <v>632</v>
      </c>
    </row>
    <row r="42" spans="1:6" x14ac:dyDescent="0.3">
      <c r="A42" s="5">
        <v>40</v>
      </c>
      <c r="B42" s="6" t="s">
        <v>43</v>
      </c>
      <c r="C42" s="6">
        <v>561210</v>
      </c>
      <c r="D42" s="21">
        <v>7</v>
      </c>
      <c r="E42" s="18">
        <v>242</v>
      </c>
      <c r="F42" s="18">
        <f t="shared" si="3"/>
        <v>1694</v>
      </c>
    </row>
    <row r="43" spans="1:6" x14ac:dyDescent="0.3">
      <c r="A43" s="5">
        <v>41</v>
      </c>
      <c r="B43" s="6" t="s">
        <v>44</v>
      </c>
      <c r="C43" s="6">
        <v>558598</v>
      </c>
      <c r="D43" s="21">
        <v>7</v>
      </c>
      <c r="E43" s="18">
        <v>366</v>
      </c>
      <c r="F43" s="18">
        <f t="shared" si="3"/>
        <v>2562</v>
      </c>
    </row>
    <row r="44" spans="1:6" x14ac:dyDescent="0.3">
      <c r="A44" s="5">
        <v>42</v>
      </c>
      <c r="B44" s="6" t="s">
        <v>45</v>
      </c>
      <c r="C44" s="6">
        <v>746675</v>
      </c>
      <c r="D44" s="21">
        <v>7</v>
      </c>
      <c r="E44" s="18">
        <v>554</v>
      </c>
      <c r="F44" s="18">
        <f t="shared" si="3"/>
        <v>3878</v>
      </c>
    </row>
    <row r="45" spans="1:6" x14ac:dyDescent="0.3">
      <c r="A45" s="5">
        <v>43</v>
      </c>
      <c r="B45" s="6" t="s">
        <v>46</v>
      </c>
      <c r="C45" s="6">
        <v>560844</v>
      </c>
      <c r="D45" s="21">
        <v>7</v>
      </c>
      <c r="E45" s="18">
        <v>328</v>
      </c>
      <c r="F45" s="18">
        <f t="shared" si="3"/>
        <v>2296</v>
      </c>
    </row>
    <row r="46" spans="1:6" x14ac:dyDescent="0.3">
      <c r="A46" s="5">
        <v>44</v>
      </c>
      <c r="B46" s="6" t="s">
        <v>47</v>
      </c>
      <c r="C46" s="6">
        <v>347393</v>
      </c>
      <c r="D46" s="21">
        <v>7</v>
      </c>
      <c r="E46" s="18">
        <v>524</v>
      </c>
      <c r="F46" s="18">
        <f t="shared" si="3"/>
        <v>3668</v>
      </c>
    </row>
    <row r="47" spans="1:6" x14ac:dyDescent="0.3">
      <c r="A47" s="5">
        <v>45</v>
      </c>
      <c r="B47" s="6" t="s">
        <v>48</v>
      </c>
      <c r="C47" s="6">
        <v>560747</v>
      </c>
      <c r="D47" s="21">
        <v>7</v>
      </c>
      <c r="E47" s="18">
        <v>382</v>
      </c>
      <c r="F47" s="18">
        <f t="shared" si="3"/>
        <v>2674</v>
      </c>
    </row>
    <row r="48" spans="1:6" x14ac:dyDescent="0.3">
      <c r="A48" s="2">
        <v>46</v>
      </c>
      <c r="B48" s="6" t="s">
        <v>49</v>
      </c>
      <c r="C48" s="6">
        <v>563079</v>
      </c>
      <c r="D48" s="21">
        <v>7</v>
      </c>
      <c r="E48" s="18">
        <v>306</v>
      </c>
      <c r="F48" s="18">
        <f t="shared" si="3"/>
        <v>2142</v>
      </c>
    </row>
    <row r="49" spans="1:6" x14ac:dyDescent="0.3">
      <c r="A49" s="2">
        <v>47</v>
      </c>
      <c r="B49" s="6" t="s">
        <v>61</v>
      </c>
      <c r="C49" s="6">
        <v>562655</v>
      </c>
      <c r="D49" s="21">
        <v>7</v>
      </c>
      <c r="E49" s="18">
        <v>454</v>
      </c>
      <c r="F49" s="18">
        <f t="shared" si="3"/>
        <v>3178</v>
      </c>
    </row>
    <row r="50" spans="1:6" x14ac:dyDescent="0.3">
      <c r="A50" s="5">
        <v>48</v>
      </c>
      <c r="B50" s="6" t="s">
        <v>50</v>
      </c>
      <c r="C50" s="6">
        <v>568220</v>
      </c>
      <c r="D50" s="21">
        <v>7</v>
      </c>
      <c r="E50" s="18">
        <v>570</v>
      </c>
      <c r="F50" s="18">
        <f t="shared" si="3"/>
        <v>3990</v>
      </c>
    </row>
    <row r="51" spans="1:6" x14ac:dyDescent="0.3">
      <c r="A51" s="5">
        <v>49</v>
      </c>
      <c r="B51" s="6" t="s">
        <v>51</v>
      </c>
      <c r="C51" s="6">
        <v>340719</v>
      </c>
      <c r="D51" s="21">
        <v>7</v>
      </c>
      <c r="E51" s="18">
        <v>298</v>
      </c>
      <c r="F51" s="18">
        <f t="shared" si="3"/>
        <v>2086</v>
      </c>
    </row>
    <row r="52" spans="1:6" x14ac:dyDescent="0.3">
      <c r="A52" s="5">
        <v>51</v>
      </c>
      <c r="B52" s="6" t="s">
        <v>52</v>
      </c>
      <c r="C52" s="6">
        <v>567316</v>
      </c>
      <c r="D52" s="21">
        <v>7</v>
      </c>
      <c r="E52" s="18">
        <v>132</v>
      </c>
      <c r="F52" s="18">
        <f t="shared" si="3"/>
        <v>924</v>
      </c>
    </row>
    <row r="53" spans="1:6" x14ac:dyDescent="0.3">
      <c r="A53" s="5">
        <v>52</v>
      </c>
      <c r="B53" s="6" t="s">
        <v>53</v>
      </c>
      <c r="C53" s="6">
        <v>567354</v>
      </c>
      <c r="D53" s="21">
        <v>7</v>
      </c>
      <c r="E53" s="18">
        <v>306</v>
      </c>
      <c r="F53" s="18">
        <f t="shared" si="3"/>
        <v>2142</v>
      </c>
    </row>
    <row r="54" spans="1:6" x14ac:dyDescent="0.3">
      <c r="A54" s="5">
        <v>53</v>
      </c>
      <c r="B54" s="6" t="s">
        <v>54</v>
      </c>
      <c r="C54" s="6">
        <v>740086</v>
      </c>
      <c r="D54" s="21">
        <v>7</v>
      </c>
      <c r="E54" s="18">
        <v>554</v>
      </c>
      <c r="F54" s="18">
        <f t="shared" si="3"/>
        <v>3878</v>
      </c>
    </row>
    <row r="55" spans="1:6" x14ac:dyDescent="0.3">
      <c r="A55" s="5">
        <v>54</v>
      </c>
      <c r="B55" s="6" t="s">
        <v>55</v>
      </c>
      <c r="C55" s="6">
        <v>563965</v>
      </c>
      <c r="D55" s="21">
        <v>7</v>
      </c>
      <c r="E55" s="18">
        <v>442</v>
      </c>
      <c r="F55" s="18">
        <f t="shared" si="3"/>
        <v>3094</v>
      </c>
    </row>
    <row r="56" spans="1:6" x14ac:dyDescent="0.3">
      <c r="A56" s="5">
        <v>55</v>
      </c>
      <c r="B56" s="6" t="s">
        <v>56</v>
      </c>
      <c r="C56" s="6">
        <v>745316</v>
      </c>
      <c r="D56" s="21">
        <v>7</v>
      </c>
      <c r="E56" s="18">
        <v>554</v>
      </c>
      <c r="F56" s="18">
        <f t="shared" si="3"/>
        <v>3878</v>
      </c>
    </row>
    <row r="57" spans="1:6" x14ac:dyDescent="0.3">
      <c r="A57" s="5">
        <v>56</v>
      </c>
      <c r="B57" s="6" t="s">
        <v>57</v>
      </c>
      <c r="C57" s="6">
        <v>746498</v>
      </c>
      <c r="D57" s="21">
        <v>7</v>
      </c>
      <c r="E57" s="18">
        <v>554</v>
      </c>
      <c r="F57" s="18">
        <f t="shared" si="3"/>
        <v>3878</v>
      </c>
    </row>
    <row r="58" spans="1:6" x14ac:dyDescent="0.3">
      <c r="A58" s="4">
        <v>57</v>
      </c>
      <c r="B58" s="6" t="s">
        <v>58</v>
      </c>
      <c r="C58" s="6">
        <v>562641</v>
      </c>
      <c r="D58" s="21">
        <v>3</v>
      </c>
      <c r="E58" s="18">
        <v>426</v>
      </c>
      <c r="F58" s="18">
        <f t="shared" si="3"/>
        <v>1278</v>
      </c>
    </row>
    <row r="59" spans="1:6" x14ac:dyDescent="0.3">
      <c r="A59" s="2"/>
      <c r="B59" s="2"/>
      <c r="C59" s="2"/>
      <c r="D59" s="22"/>
      <c r="E59" s="2"/>
      <c r="F59" s="19"/>
    </row>
    <row r="60" spans="1:6" x14ac:dyDescent="0.3">
      <c r="A60" s="1" t="s">
        <v>6</v>
      </c>
      <c r="B60" s="2"/>
      <c r="C60" s="3"/>
      <c r="D60" s="22"/>
      <c r="E60" s="1" t="s">
        <v>136</v>
      </c>
      <c r="F60" s="20">
        <f>SUM(F2:F58)</f>
        <v>212674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D5B9-823F-42E8-A124-33D68CF2FEE2}">
  <sheetPr>
    <tabColor rgb="FFFFC000"/>
  </sheetPr>
  <dimension ref="A1:G27"/>
  <sheetViews>
    <sheetView workbookViewId="0">
      <selection activeCell="J25" sqref="J25"/>
    </sheetView>
  </sheetViews>
  <sheetFormatPr defaultRowHeight="14.4" x14ac:dyDescent="0.3"/>
  <cols>
    <col min="1" max="1" width="51.5546875" customWidth="1"/>
    <col min="2" max="2" width="15.109375" customWidth="1"/>
    <col min="3" max="3" width="15.6640625" customWidth="1"/>
    <col min="4" max="4" width="14" customWidth="1"/>
    <col min="5" max="5" width="14.5546875" customWidth="1"/>
    <col min="6" max="6" width="21.44140625" customWidth="1"/>
  </cols>
  <sheetData>
    <row r="1" spans="1:7" x14ac:dyDescent="0.3">
      <c r="A1" s="24" t="s">
        <v>137</v>
      </c>
      <c r="B1" s="24" t="s">
        <v>138</v>
      </c>
      <c r="C1" s="24" t="s">
        <v>139</v>
      </c>
      <c r="D1" s="24" t="s">
        <v>140</v>
      </c>
      <c r="E1" s="24" t="s">
        <v>141</v>
      </c>
      <c r="F1" s="24" t="s">
        <v>142</v>
      </c>
      <c r="G1" s="56" t="s">
        <v>234</v>
      </c>
    </row>
    <row r="2" spans="1:7" x14ac:dyDescent="0.3">
      <c r="A2" s="25" t="s">
        <v>143</v>
      </c>
      <c r="B2" s="25" t="s">
        <v>144</v>
      </c>
      <c r="C2" s="25" t="s">
        <v>145</v>
      </c>
      <c r="D2" s="25">
        <v>742856</v>
      </c>
      <c r="E2" s="25">
        <v>570</v>
      </c>
      <c r="F2" s="25">
        <v>4</v>
      </c>
    </row>
    <row r="3" spans="1:7" x14ac:dyDescent="0.3">
      <c r="A3" s="25" t="s">
        <v>146</v>
      </c>
      <c r="B3" s="25" t="s">
        <v>144</v>
      </c>
      <c r="C3" s="25" t="s">
        <v>145</v>
      </c>
      <c r="D3" s="25">
        <v>740603</v>
      </c>
      <c r="E3" s="25">
        <v>570</v>
      </c>
      <c r="F3" s="25">
        <v>4</v>
      </c>
    </row>
    <row r="4" spans="1:7" x14ac:dyDescent="0.3">
      <c r="A4" s="25" t="s">
        <v>147</v>
      </c>
      <c r="B4" s="25" t="s">
        <v>144</v>
      </c>
      <c r="C4" s="25" t="s">
        <v>148</v>
      </c>
      <c r="D4" s="25">
        <v>563836</v>
      </c>
      <c r="E4" s="25">
        <v>396</v>
      </c>
      <c r="F4" s="25">
        <v>4</v>
      </c>
    </row>
    <row r="5" spans="1:7" x14ac:dyDescent="0.3">
      <c r="A5" s="25" t="s">
        <v>149</v>
      </c>
      <c r="B5" s="25" t="s">
        <v>144</v>
      </c>
      <c r="C5" s="25" t="s">
        <v>145</v>
      </c>
      <c r="D5" s="25">
        <v>751671</v>
      </c>
      <c r="E5" s="25">
        <v>570</v>
      </c>
      <c r="F5" s="25">
        <v>4</v>
      </c>
    </row>
    <row r="6" spans="1:7" x14ac:dyDescent="0.3">
      <c r="A6" s="25" t="s">
        <v>150</v>
      </c>
      <c r="B6" s="25" t="s">
        <v>144</v>
      </c>
      <c r="C6" s="25" t="s">
        <v>148</v>
      </c>
      <c r="D6" s="25">
        <v>569695</v>
      </c>
      <c r="E6" s="25">
        <v>472</v>
      </c>
      <c r="F6" s="25">
        <v>4</v>
      </c>
    </row>
    <row r="7" spans="1:7" x14ac:dyDescent="0.3">
      <c r="A7" s="25" t="s">
        <v>151</v>
      </c>
      <c r="B7" s="25" t="s">
        <v>144</v>
      </c>
      <c r="C7" s="25" t="s">
        <v>152</v>
      </c>
      <c r="D7" s="25">
        <v>560844</v>
      </c>
      <c r="E7" s="25">
        <v>344</v>
      </c>
      <c r="F7" s="25">
        <v>6</v>
      </c>
    </row>
    <row r="8" spans="1:7" x14ac:dyDescent="0.3">
      <c r="A8" s="25" t="s">
        <v>153</v>
      </c>
      <c r="B8" s="25" t="s">
        <v>144</v>
      </c>
      <c r="C8" s="25" t="s">
        <v>154</v>
      </c>
      <c r="D8" s="25">
        <v>347464</v>
      </c>
      <c r="E8" s="25">
        <v>825</v>
      </c>
      <c r="F8" s="25">
        <v>6</v>
      </c>
    </row>
    <row r="9" spans="1:7" x14ac:dyDescent="0.3">
      <c r="A9" s="25" t="s">
        <v>155</v>
      </c>
      <c r="B9" s="25" t="s">
        <v>144</v>
      </c>
      <c r="C9" s="25" t="s">
        <v>152</v>
      </c>
      <c r="D9" s="25">
        <v>561272</v>
      </c>
      <c r="E9" s="25">
        <v>432</v>
      </c>
      <c r="F9" s="25">
        <v>4</v>
      </c>
    </row>
    <row r="10" spans="1:7" x14ac:dyDescent="0.3">
      <c r="A10" s="25" t="s">
        <v>156</v>
      </c>
      <c r="B10" s="25" t="s">
        <v>144</v>
      </c>
      <c r="C10" s="25" t="s">
        <v>152</v>
      </c>
      <c r="D10" s="25">
        <v>561210</v>
      </c>
      <c r="E10" s="25">
        <v>254</v>
      </c>
      <c r="F10" s="25">
        <v>4</v>
      </c>
    </row>
    <row r="11" spans="1:7" x14ac:dyDescent="0.3">
      <c r="A11" s="25" t="s">
        <v>157</v>
      </c>
      <c r="B11" s="25" t="s">
        <v>144</v>
      </c>
      <c r="C11" s="25" t="s">
        <v>152</v>
      </c>
      <c r="D11" s="25">
        <v>558598</v>
      </c>
      <c r="E11" s="25">
        <v>384</v>
      </c>
      <c r="F11" s="25">
        <v>4</v>
      </c>
    </row>
    <row r="12" spans="1:7" x14ac:dyDescent="0.3">
      <c r="A12" s="25" t="s">
        <v>158</v>
      </c>
      <c r="B12" s="25" t="s">
        <v>144</v>
      </c>
      <c r="C12" s="25" t="s">
        <v>148</v>
      </c>
      <c r="D12" s="25">
        <v>565774</v>
      </c>
      <c r="E12" s="25">
        <v>388</v>
      </c>
      <c r="F12" s="25">
        <v>4</v>
      </c>
    </row>
    <row r="13" spans="1:7" x14ac:dyDescent="0.3">
      <c r="A13" s="25" t="s">
        <v>159</v>
      </c>
      <c r="B13" s="25" t="s">
        <v>144</v>
      </c>
      <c r="C13" s="25" t="s">
        <v>145</v>
      </c>
      <c r="D13" s="25">
        <v>740086</v>
      </c>
      <c r="E13" s="25">
        <v>172</v>
      </c>
      <c r="F13" s="25">
        <v>4</v>
      </c>
    </row>
    <row r="14" spans="1:7" ht="15.6" x14ac:dyDescent="0.3">
      <c r="A14" s="25" t="s">
        <v>160</v>
      </c>
      <c r="B14" s="25" t="s">
        <v>144</v>
      </c>
      <c r="C14" s="25" t="s">
        <v>148</v>
      </c>
      <c r="D14" s="54">
        <v>563079</v>
      </c>
      <c r="E14" s="25">
        <v>402</v>
      </c>
      <c r="F14" s="25">
        <v>4</v>
      </c>
      <c r="G14" s="55">
        <v>644489</v>
      </c>
    </row>
    <row r="15" spans="1:7" x14ac:dyDescent="0.3">
      <c r="A15" s="25" t="s">
        <v>161</v>
      </c>
      <c r="B15" s="25" t="s">
        <v>144</v>
      </c>
      <c r="C15" s="25" t="s">
        <v>148</v>
      </c>
      <c r="D15" s="25">
        <v>563079</v>
      </c>
      <c r="E15" s="25">
        <v>316</v>
      </c>
      <c r="F15" s="25">
        <v>4</v>
      </c>
    </row>
    <row r="16" spans="1:7" x14ac:dyDescent="0.3">
      <c r="A16" s="25" t="s">
        <v>162</v>
      </c>
      <c r="B16" s="25" t="s">
        <v>144</v>
      </c>
      <c r="C16" s="25" t="s">
        <v>145</v>
      </c>
      <c r="D16" s="26">
        <v>751673</v>
      </c>
      <c r="E16" s="25">
        <v>570</v>
      </c>
      <c r="F16" s="25">
        <v>4</v>
      </c>
    </row>
    <row r="17" spans="1:6" ht="15" x14ac:dyDescent="0.3">
      <c r="A17" s="25" t="s">
        <v>163</v>
      </c>
      <c r="B17" s="25" t="s">
        <v>144</v>
      </c>
      <c r="C17" s="25" t="s">
        <v>148</v>
      </c>
      <c r="D17" s="27">
        <v>568220</v>
      </c>
      <c r="E17" s="25">
        <v>588</v>
      </c>
      <c r="F17" s="25">
        <v>4</v>
      </c>
    </row>
    <row r="18" spans="1:6" ht="15" x14ac:dyDescent="0.3">
      <c r="A18" s="25" t="s">
        <v>164</v>
      </c>
      <c r="B18" s="25" t="s">
        <v>144</v>
      </c>
      <c r="C18" s="25" t="s">
        <v>154</v>
      </c>
      <c r="D18" s="27">
        <v>340719</v>
      </c>
      <c r="E18" s="25">
        <v>315</v>
      </c>
      <c r="F18" s="25">
        <v>4</v>
      </c>
    </row>
    <row r="19" spans="1:6" ht="15" x14ac:dyDescent="0.3">
      <c r="A19" s="25" t="s">
        <v>68</v>
      </c>
      <c r="B19" s="25" t="s">
        <v>144</v>
      </c>
      <c r="C19" s="25" t="s">
        <v>154</v>
      </c>
      <c r="D19" s="27">
        <v>335791</v>
      </c>
      <c r="E19" s="25">
        <v>735</v>
      </c>
      <c r="F19" s="25">
        <v>4</v>
      </c>
    </row>
    <row r="20" spans="1:6" ht="15" x14ac:dyDescent="0.3">
      <c r="A20" s="25" t="s">
        <v>165</v>
      </c>
      <c r="B20" s="25" t="s">
        <v>144</v>
      </c>
      <c r="C20" s="25" t="s">
        <v>152</v>
      </c>
      <c r="D20" s="27">
        <v>567316</v>
      </c>
      <c r="E20" s="25">
        <v>138</v>
      </c>
      <c r="F20" s="25">
        <v>4</v>
      </c>
    </row>
    <row r="21" spans="1:6" x14ac:dyDescent="0.3">
      <c r="A21" s="25" t="s">
        <v>166</v>
      </c>
      <c r="B21" s="25" t="s">
        <v>144</v>
      </c>
      <c r="C21" s="25" t="s">
        <v>148</v>
      </c>
      <c r="D21" s="25">
        <v>567354</v>
      </c>
      <c r="E21" s="25">
        <v>322</v>
      </c>
      <c r="F21" s="25">
        <v>4</v>
      </c>
    </row>
    <row r="22" spans="1:6" x14ac:dyDescent="0.3">
      <c r="A22" s="25" t="s">
        <v>167</v>
      </c>
      <c r="B22" s="25" t="s">
        <v>144</v>
      </c>
      <c r="C22" s="25" t="s">
        <v>148</v>
      </c>
      <c r="D22" s="25">
        <v>563965</v>
      </c>
      <c r="E22" s="25">
        <v>456</v>
      </c>
      <c r="F22" s="25">
        <v>4</v>
      </c>
    </row>
    <row r="23" spans="1:6" x14ac:dyDescent="0.3">
      <c r="A23" s="25" t="s">
        <v>168</v>
      </c>
      <c r="B23" s="25" t="s">
        <v>144</v>
      </c>
      <c r="C23" s="25" t="s">
        <v>145</v>
      </c>
      <c r="D23" s="25">
        <v>745316</v>
      </c>
      <c r="E23" s="25">
        <v>570</v>
      </c>
      <c r="F23" s="25">
        <v>4</v>
      </c>
    </row>
    <row r="24" spans="1:6" x14ac:dyDescent="0.3">
      <c r="A24" s="25" t="s">
        <v>169</v>
      </c>
      <c r="B24" s="25" t="s">
        <v>144</v>
      </c>
      <c r="C24" s="25" t="s">
        <v>148</v>
      </c>
      <c r="D24" s="25">
        <v>566137</v>
      </c>
      <c r="E24" s="25">
        <v>456</v>
      </c>
      <c r="F24" s="25">
        <v>4</v>
      </c>
    </row>
    <row r="27" spans="1:6" x14ac:dyDescent="0.3">
      <c r="A27" s="35" t="s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DE14-72B0-4FC2-A360-EAE971720474}">
  <sheetPr>
    <tabColor rgb="FF00B0F0"/>
  </sheetPr>
  <dimension ref="A1:H31"/>
  <sheetViews>
    <sheetView topLeftCell="A10" workbookViewId="0">
      <selection activeCell="C37" sqref="C37"/>
    </sheetView>
  </sheetViews>
  <sheetFormatPr defaultRowHeight="14.4" x14ac:dyDescent="0.3"/>
  <cols>
    <col min="1" max="1" width="41.6640625" customWidth="1"/>
    <col min="2" max="2" width="15.6640625" customWidth="1"/>
    <col min="3" max="4" width="16.44140625" customWidth="1"/>
    <col min="5" max="5" width="15" customWidth="1"/>
    <col min="6" max="6" width="16" customWidth="1"/>
    <col min="7" max="7" width="18.33203125" customWidth="1"/>
    <col min="8" max="8" width="26" customWidth="1"/>
  </cols>
  <sheetData>
    <row r="1" spans="1:8" x14ac:dyDescent="0.3">
      <c r="A1" s="36" t="s">
        <v>137</v>
      </c>
      <c r="B1" s="38" t="s">
        <v>140</v>
      </c>
      <c r="C1" s="37" t="s">
        <v>231</v>
      </c>
      <c r="D1" s="37" t="s">
        <v>193</v>
      </c>
      <c r="E1" s="46" t="s">
        <v>191</v>
      </c>
      <c r="F1" s="37" t="s">
        <v>192</v>
      </c>
      <c r="G1" s="37" t="s">
        <v>193</v>
      </c>
      <c r="H1" s="39" t="s">
        <v>194</v>
      </c>
    </row>
    <row r="2" spans="1:8" x14ac:dyDescent="0.3">
      <c r="A2" s="39" t="s">
        <v>195</v>
      </c>
      <c r="B2" s="40">
        <v>667052</v>
      </c>
      <c r="C2" s="39">
        <v>1</v>
      </c>
      <c r="D2" s="51">
        <v>2600.1</v>
      </c>
      <c r="E2" s="39">
        <v>3210</v>
      </c>
      <c r="F2" s="41">
        <v>0.19</v>
      </c>
      <c r="G2" s="42">
        <f t="shared" ref="G2:G10" si="0">E2-(E2*F2)</f>
        <v>2600.1</v>
      </c>
      <c r="H2" s="39" t="s">
        <v>196</v>
      </c>
    </row>
    <row r="3" spans="1:8" x14ac:dyDescent="0.3">
      <c r="A3" s="39" t="s">
        <v>197</v>
      </c>
      <c r="B3" s="40">
        <v>633773</v>
      </c>
      <c r="C3" s="39">
        <v>1</v>
      </c>
      <c r="D3" s="51">
        <v>1255.5</v>
      </c>
      <c r="E3" s="39">
        <v>1550</v>
      </c>
      <c r="F3" s="41">
        <v>0.19</v>
      </c>
      <c r="G3" s="42">
        <f t="shared" si="0"/>
        <v>1255.5</v>
      </c>
      <c r="H3" s="39" t="s">
        <v>196</v>
      </c>
    </row>
    <row r="4" spans="1:8" x14ac:dyDescent="0.3">
      <c r="A4" s="47" t="s">
        <v>198</v>
      </c>
      <c r="B4" s="48">
        <v>633801</v>
      </c>
      <c r="C4" s="47">
        <v>1</v>
      </c>
      <c r="D4" s="52">
        <v>862.65</v>
      </c>
      <c r="E4" s="47">
        <v>1065</v>
      </c>
      <c r="F4" s="49">
        <v>0.19</v>
      </c>
      <c r="G4" s="50">
        <f t="shared" si="0"/>
        <v>862.65</v>
      </c>
      <c r="H4" s="39" t="s">
        <v>199</v>
      </c>
    </row>
    <row r="5" spans="1:8" x14ac:dyDescent="0.3">
      <c r="A5" s="47" t="s">
        <v>200</v>
      </c>
      <c r="B5" s="48">
        <v>665913</v>
      </c>
      <c r="C5" s="47">
        <v>1</v>
      </c>
      <c r="D5" s="52">
        <v>5098.95</v>
      </c>
      <c r="E5" s="47">
        <v>6295</v>
      </c>
      <c r="F5" s="49">
        <v>0.19</v>
      </c>
      <c r="G5" s="50">
        <f t="shared" si="0"/>
        <v>5098.95</v>
      </c>
      <c r="H5" s="39" t="s">
        <v>199</v>
      </c>
    </row>
    <row r="6" spans="1:8" x14ac:dyDescent="0.3">
      <c r="A6" s="39" t="s">
        <v>201</v>
      </c>
      <c r="B6" s="40">
        <v>633781</v>
      </c>
      <c r="C6" s="39">
        <v>1</v>
      </c>
      <c r="D6" s="51">
        <v>1085.4000000000001</v>
      </c>
      <c r="E6" s="39">
        <v>1340</v>
      </c>
      <c r="F6" s="41">
        <v>0.19</v>
      </c>
      <c r="G6" s="42">
        <f t="shared" si="0"/>
        <v>1085.4000000000001</v>
      </c>
      <c r="H6" s="39" t="s">
        <v>196</v>
      </c>
    </row>
    <row r="7" spans="1:8" x14ac:dyDescent="0.3">
      <c r="A7" s="39" t="s">
        <v>202</v>
      </c>
      <c r="B7" s="40" t="s">
        <v>203</v>
      </c>
      <c r="C7" s="39">
        <v>1</v>
      </c>
      <c r="D7" s="51">
        <v>1417.5</v>
      </c>
      <c r="E7" s="39">
        <v>1750</v>
      </c>
      <c r="F7" s="41">
        <v>0.19</v>
      </c>
      <c r="G7" s="42">
        <f t="shared" si="0"/>
        <v>1417.5</v>
      </c>
      <c r="H7" s="39" t="s">
        <v>204</v>
      </c>
    </row>
    <row r="8" spans="1:8" x14ac:dyDescent="0.3">
      <c r="A8" s="39" t="s">
        <v>205</v>
      </c>
      <c r="B8" s="40">
        <v>633750</v>
      </c>
      <c r="C8" s="39">
        <v>1</v>
      </c>
      <c r="D8" s="51">
        <v>174.15</v>
      </c>
      <c r="E8" s="39">
        <v>215</v>
      </c>
      <c r="F8" s="41">
        <v>0.19</v>
      </c>
      <c r="G8" s="42">
        <f t="shared" si="0"/>
        <v>174.15</v>
      </c>
      <c r="H8" s="39" t="s">
        <v>196</v>
      </c>
    </row>
    <row r="9" spans="1:8" x14ac:dyDescent="0.3">
      <c r="A9" s="39" t="s">
        <v>206</v>
      </c>
      <c r="B9" s="40">
        <v>554656</v>
      </c>
      <c r="C9" s="39">
        <v>1</v>
      </c>
      <c r="D9" s="51">
        <v>93.960000000000008</v>
      </c>
      <c r="E9" s="39">
        <v>116</v>
      </c>
      <c r="F9" s="41">
        <v>0.19</v>
      </c>
      <c r="G9" s="42">
        <f t="shared" si="0"/>
        <v>93.960000000000008</v>
      </c>
      <c r="H9" s="39" t="s">
        <v>196</v>
      </c>
    </row>
    <row r="10" spans="1:8" x14ac:dyDescent="0.3">
      <c r="A10" s="39" t="s">
        <v>207</v>
      </c>
      <c r="B10" s="40">
        <v>666262</v>
      </c>
      <c r="C10" s="39">
        <v>1</v>
      </c>
      <c r="D10" s="51">
        <v>1620</v>
      </c>
      <c r="E10" s="39">
        <v>2000</v>
      </c>
      <c r="F10" s="41">
        <v>0.19</v>
      </c>
      <c r="G10" s="42">
        <f t="shared" si="0"/>
        <v>1620</v>
      </c>
      <c r="H10" s="39" t="s">
        <v>208</v>
      </c>
    </row>
    <row r="11" spans="1:8" x14ac:dyDescent="0.3">
      <c r="A11" s="39"/>
      <c r="B11" s="40"/>
      <c r="C11" s="39"/>
      <c r="D11" s="51"/>
      <c r="E11" s="39"/>
      <c r="F11" s="39"/>
      <c r="G11" s="42"/>
      <c r="H11" s="39"/>
    </row>
    <row r="12" spans="1:8" x14ac:dyDescent="0.3">
      <c r="A12" s="39" t="s">
        <v>209</v>
      </c>
      <c r="B12" s="40">
        <v>572620</v>
      </c>
      <c r="C12" s="39">
        <v>1</v>
      </c>
      <c r="D12" s="51">
        <v>890.19</v>
      </c>
      <c r="E12" s="39">
        <v>1099</v>
      </c>
      <c r="F12" s="41">
        <v>0.19</v>
      </c>
      <c r="G12" s="42">
        <f t="shared" ref="G12:G17" si="1">E12-(E12*F12)</f>
        <v>890.19</v>
      </c>
      <c r="H12" s="39" t="s">
        <v>210</v>
      </c>
    </row>
    <row r="13" spans="1:8" x14ac:dyDescent="0.3">
      <c r="A13" s="39" t="s">
        <v>211</v>
      </c>
      <c r="B13" s="40">
        <v>633774</v>
      </c>
      <c r="C13" s="39">
        <v>1</v>
      </c>
      <c r="D13" s="51">
        <v>1040.8499999999999</v>
      </c>
      <c r="E13" s="39">
        <v>1285</v>
      </c>
      <c r="F13" s="41">
        <v>0.19</v>
      </c>
      <c r="G13" s="42">
        <f t="shared" si="1"/>
        <v>1040.8499999999999</v>
      </c>
      <c r="H13" s="39" t="s">
        <v>212</v>
      </c>
    </row>
    <row r="14" spans="1:8" x14ac:dyDescent="0.3">
      <c r="A14" s="39" t="s">
        <v>213</v>
      </c>
      <c r="B14" s="40">
        <v>571201</v>
      </c>
      <c r="C14" s="39">
        <v>1</v>
      </c>
      <c r="D14" s="51">
        <v>3094</v>
      </c>
      <c r="E14" s="39">
        <v>3400</v>
      </c>
      <c r="F14" s="41">
        <v>0.09</v>
      </c>
      <c r="G14" s="42">
        <f t="shared" si="1"/>
        <v>3094</v>
      </c>
      <c r="H14" s="39" t="s">
        <v>214</v>
      </c>
    </row>
    <row r="15" spans="1:8" x14ac:dyDescent="0.3">
      <c r="A15" s="39" t="s">
        <v>215</v>
      </c>
      <c r="B15" s="40">
        <v>571356</v>
      </c>
      <c r="C15" s="39">
        <v>1</v>
      </c>
      <c r="D15" s="51">
        <v>2548</v>
      </c>
      <c r="E15" s="39">
        <v>2800</v>
      </c>
      <c r="F15" s="41">
        <v>0.09</v>
      </c>
      <c r="G15" s="42">
        <f t="shared" si="1"/>
        <v>2548</v>
      </c>
      <c r="H15" s="39" t="s">
        <v>214</v>
      </c>
    </row>
    <row r="16" spans="1:8" x14ac:dyDescent="0.3">
      <c r="A16" s="39" t="s">
        <v>216</v>
      </c>
      <c r="B16" s="40">
        <v>571361</v>
      </c>
      <c r="C16" s="39">
        <v>1</v>
      </c>
      <c r="D16" s="51">
        <v>2332</v>
      </c>
      <c r="E16" s="39">
        <v>2650</v>
      </c>
      <c r="F16" s="41">
        <v>0.12</v>
      </c>
      <c r="G16" s="42">
        <f t="shared" si="1"/>
        <v>2332</v>
      </c>
      <c r="H16" s="39" t="s">
        <v>214</v>
      </c>
    </row>
    <row r="17" spans="1:8" x14ac:dyDescent="0.3">
      <c r="A17" s="39" t="s">
        <v>217</v>
      </c>
      <c r="B17" s="40">
        <v>667058</v>
      </c>
      <c r="C17" s="39"/>
      <c r="D17" s="51">
        <v>1040.8499999999999</v>
      </c>
      <c r="E17" s="39">
        <v>1285</v>
      </c>
      <c r="F17" s="41">
        <v>0.19</v>
      </c>
      <c r="G17" s="42">
        <f t="shared" si="1"/>
        <v>1040.8499999999999</v>
      </c>
      <c r="H17" s="39" t="s">
        <v>214</v>
      </c>
    </row>
    <row r="18" spans="1:8" x14ac:dyDescent="0.3">
      <c r="A18" s="39"/>
      <c r="B18" s="40"/>
      <c r="C18" s="39"/>
      <c r="D18" s="51"/>
      <c r="E18" s="39"/>
      <c r="F18" s="39"/>
      <c r="G18" s="42"/>
      <c r="H18" s="39"/>
    </row>
    <row r="19" spans="1:8" x14ac:dyDescent="0.3">
      <c r="A19" s="39" t="s">
        <v>218</v>
      </c>
      <c r="B19" s="40">
        <v>572179</v>
      </c>
      <c r="C19" s="39">
        <v>1</v>
      </c>
      <c r="D19" s="51">
        <v>500.58</v>
      </c>
      <c r="E19" s="39">
        <v>618</v>
      </c>
      <c r="F19" s="41">
        <v>0.19</v>
      </c>
      <c r="G19" s="42">
        <f t="shared" ref="G19:G24" si="2">E19-(E19*F19)</f>
        <v>500.58</v>
      </c>
      <c r="H19" s="39" t="s">
        <v>214</v>
      </c>
    </row>
    <row r="20" spans="1:8" x14ac:dyDescent="0.3">
      <c r="A20" s="39" t="s">
        <v>219</v>
      </c>
      <c r="B20" s="40">
        <v>572178</v>
      </c>
      <c r="C20" s="39">
        <v>1</v>
      </c>
      <c r="D20" s="51">
        <v>500.58</v>
      </c>
      <c r="E20" s="39">
        <v>618</v>
      </c>
      <c r="F20" s="41">
        <v>0.19</v>
      </c>
      <c r="G20" s="42">
        <f t="shared" si="2"/>
        <v>500.58</v>
      </c>
      <c r="H20" s="39" t="s">
        <v>214</v>
      </c>
    </row>
    <row r="21" spans="1:8" x14ac:dyDescent="0.3">
      <c r="A21" s="39" t="s">
        <v>220</v>
      </c>
      <c r="B21" s="40">
        <v>572310</v>
      </c>
      <c r="C21" s="39">
        <v>1</v>
      </c>
      <c r="D21" s="51">
        <v>500.58</v>
      </c>
      <c r="E21" s="39">
        <v>618</v>
      </c>
      <c r="F21" s="41">
        <v>0.19</v>
      </c>
      <c r="G21" s="42">
        <f t="shared" si="2"/>
        <v>500.58</v>
      </c>
      <c r="H21" s="39" t="s">
        <v>214</v>
      </c>
    </row>
    <row r="22" spans="1:8" x14ac:dyDescent="0.3">
      <c r="A22" s="39" t="s">
        <v>221</v>
      </c>
      <c r="B22" s="40">
        <v>572434</v>
      </c>
      <c r="C22" s="39">
        <v>1</v>
      </c>
      <c r="D22" s="51">
        <v>486</v>
      </c>
      <c r="E22" s="39">
        <v>600</v>
      </c>
      <c r="F22" s="41">
        <v>0.19</v>
      </c>
      <c r="G22" s="42">
        <f t="shared" si="2"/>
        <v>486</v>
      </c>
      <c r="H22" s="39" t="s">
        <v>214</v>
      </c>
    </row>
    <row r="23" spans="1:8" x14ac:dyDescent="0.3">
      <c r="A23" s="39" t="s">
        <v>222</v>
      </c>
      <c r="B23" s="40">
        <v>572435</v>
      </c>
      <c r="C23" s="39">
        <v>1</v>
      </c>
      <c r="D23" s="51">
        <v>486</v>
      </c>
      <c r="E23" s="39">
        <v>600</v>
      </c>
      <c r="F23" s="41">
        <v>0.19</v>
      </c>
      <c r="G23" s="42">
        <f t="shared" si="2"/>
        <v>486</v>
      </c>
      <c r="H23" s="39" t="s">
        <v>214</v>
      </c>
    </row>
    <row r="24" spans="1:8" x14ac:dyDescent="0.3">
      <c r="A24" s="39" t="s">
        <v>223</v>
      </c>
      <c r="B24" s="40">
        <v>571970</v>
      </c>
      <c r="C24" s="39">
        <v>1</v>
      </c>
      <c r="D24" s="51">
        <v>500.58</v>
      </c>
      <c r="E24" s="39">
        <v>618</v>
      </c>
      <c r="F24" s="41">
        <v>0.19</v>
      </c>
      <c r="G24" s="42">
        <f t="shared" si="2"/>
        <v>500.58</v>
      </c>
      <c r="H24" s="39" t="s">
        <v>214</v>
      </c>
    </row>
    <row r="25" spans="1:8" x14ac:dyDescent="0.3">
      <c r="B25" s="43"/>
      <c r="D25" s="11"/>
      <c r="F25" s="41"/>
      <c r="G25" s="42"/>
    </row>
    <row r="26" spans="1:8" x14ac:dyDescent="0.3">
      <c r="A26" s="44" t="s">
        <v>224</v>
      </c>
      <c r="B26" s="45">
        <v>564904</v>
      </c>
      <c r="C26" s="39">
        <v>1</v>
      </c>
      <c r="D26" s="51">
        <v>364.5</v>
      </c>
      <c r="E26">
        <v>450</v>
      </c>
      <c r="F26" s="41">
        <v>0.19</v>
      </c>
      <c r="G26" s="42">
        <f>E26-(E26*F26)</f>
        <v>364.5</v>
      </c>
      <c r="H26" t="s">
        <v>225</v>
      </c>
    </row>
    <row r="27" spans="1:8" x14ac:dyDescent="0.3">
      <c r="A27" s="44" t="s">
        <v>226</v>
      </c>
      <c r="B27" s="45">
        <v>564061</v>
      </c>
      <c r="C27" s="39">
        <v>1</v>
      </c>
      <c r="D27" s="51">
        <v>145.80000000000001</v>
      </c>
      <c r="E27">
        <v>180</v>
      </c>
      <c r="F27" s="41">
        <v>0.19</v>
      </c>
      <c r="G27" s="42">
        <f>E27-(E27*F27)</f>
        <v>145.80000000000001</v>
      </c>
      <c r="H27" t="s">
        <v>225</v>
      </c>
    </row>
    <row r="28" spans="1:8" x14ac:dyDescent="0.3">
      <c r="B28" s="43"/>
      <c r="F28" s="41"/>
      <c r="G28" s="42"/>
    </row>
    <row r="29" spans="1:8" x14ac:dyDescent="0.3">
      <c r="A29" s="53" t="s">
        <v>227</v>
      </c>
      <c r="B29" s="53">
        <v>570911</v>
      </c>
      <c r="C29" s="47"/>
      <c r="D29" s="47">
        <v>187.92000000000002</v>
      </c>
      <c r="E29" s="53">
        <v>232</v>
      </c>
      <c r="F29" s="49">
        <v>0.19</v>
      </c>
      <c r="G29" s="50">
        <f>E29-(E29*F29)</f>
        <v>187.92000000000002</v>
      </c>
      <c r="H29" s="53" t="s">
        <v>228</v>
      </c>
    </row>
    <row r="30" spans="1:8" x14ac:dyDescent="0.3">
      <c r="A30" s="53" t="s">
        <v>229</v>
      </c>
      <c r="B30" s="53">
        <v>570750</v>
      </c>
      <c r="C30" s="47"/>
      <c r="D30" s="47">
        <v>417.96</v>
      </c>
      <c r="E30" s="53">
        <v>516</v>
      </c>
      <c r="F30" s="49">
        <v>0.19</v>
      </c>
      <c r="G30" s="50">
        <f>E30-(E30*F30)</f>
        <v>417.96</v>
      </c>
      <c r="H30" s="53" t="s">
        <v>228</v>
      </c>
    </row>
    <row r="31" spans="1:8" x14ac:dyDescent="0.3">
      <c r="A31" s="53" t="s">
        <v>230</v>
      </c>
      <c r="B31" s="53">
        <v>564219</v>
      </c>
      <c r="C31" s="47"/>
      <c r="D31" s="47">
        <v>90.72</v>
      </c>
      <c r="E31" s="53">
        <v>112</v>
      </c>
      <c r="F31" s="49">
        <v>0.19</v>
      </c>
      <c r="G31" s="50">
        <f>E31-(E31*F31)</f>
        <v>90.72</v>
      </c>
      <c r="H31" s="53" t="s">
        <v>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FB2F-23D0-4096-A94D-6830A6C5365C}">
  <sheetPr>
    <tabColor rgb="FFFFFF00"/>
  </sheetPr>
  <dimension ref="A1:E14"/>
  <sheetViews>
    <sheetView workbookViewId="0">
      <selection activeCell="G25" sqref="G25"/>
    </sheetView>
  </sheetViews>
  <sheetFormatPr defaultRowHeight="14.4" x14ac:dyDescent="0.3"/>
  <cols>
    <col min="1" max="1" width="17.44140625" customWidth="1"/>
    <col min="2" max="2" width="36" customWidth="1"/>
    <col min="3" max="3" width="16.33203125" customWidth="1"/>
  </cols>
  <sheetData>
    <row r="1" spans="1:5" ht="15.6" x14ac:dyDescent="0.3">
      <c r="A1" s="28" t="s">
        <v>170</v>
      </c>
      <c r="B1" s="29" t="s">
        <v>171</v>
      </c>
      <c r="C1" s="30" t="s">
        <v>172</v>
      </c>
      <c r="D1" s="23" t="s">
        <v>190</v>
      </c>
      <c r="E1" s="15" t="s">
        <v>237</v>
      </c>
    </row>
    <row r="2" spans="1:5" ht="15.6" x14ac:dyDescent="0.3">
      <c r="A2" s="31" t="s">
        <v>173</v>
      </c>
      <c r="B2" s="32" t="s">
        <v>174</v>
      </c>
      <c r="C2" s="33">
        <v>651319</v>
      </c>
      <c r="D2" s="11">
        <v>40</v>
      </c>
      <c r="E2" s="63">
        <v>4</v>
      </c>
    </row>
    <row r="3" spans="1:5" ht="15.6" x14ac:dyDescent="0.3">
      <c r="A3" s="31" t="s">
        <v>173</v>
      </c>
      <c r="B3" s="32" t="s">
        <v>175</v>
      </c>
      <c r="C3" s="34">
        <v>651314</v>
      </c>
      <c r="D3" s="11">
        <v>40</v>
      </c>
      <c r="E3" s="63">
        <v>4</v>
      </c>
    </row>
    <row r="4" spans="1:5" ht="15.6" x14ac:dyDescent="0.3">
      <c r="A4" s="31" t="s">
        <v>173</v>
      </c>
      <c r="B4" s="32" t="s">
        <v>176</v>
      </c>
      <c r="C4" s="33">
        <v>652941</v>
      </c>
      <c r="D4" s="11">
        <v>326.7</v>
      </c>
      <c r="E4" s="63">
        <v>4</v>
      </c>
    </row>
    <row r="5" spans="1:5" ht="15.6" x14ac:dyDescent="0.3">
      <c r="A5" s="31" t="s">
        <v>173</v>
      </c>
      <c r="B5" s="32" t="s">
        <v>177</v>
      </c>
      <c r="C5" s="33">
        <v>651451</v>
      </c>
      <c r="D5" s="11">
        <v>302.5</v>
      </c>
      <c r="E5" s="63">
        <v>4</v>
      </c>
    </row>
    <row r="6" spans="1:5" ht="15.6" x14ac:dyDescent="0.3">
      <c r="A6" s="31" t="s">
        <v>173</v>
      </c>
      <c r="B6" s="32" t="s">
        <v>178</v>
      </c>
      <c r="C6" s="33">
        <v>663058</v>
      </c>
      <c r="D6" s="11">
        <v>975</v>
      </c>
      <c r="E6" s="63">
        <v>4</v>
      </c>
    </row>
    <row r="7" spans="1:5" ht="15.6" x14ac:dyDescent="0.3">
      <c r="A7" s="31" t="s">
        <v>173</v>
      </c>
      <c r="B7" s="32" t="s">
        <v>179</v>
      </c>
      <c r="C7" s="33">
        <v>340261</v>
      </c>
      <c r="D7" s="11">
        <v>95</v>
      </c>
      <c r="E7" s="63">
        <v>4</v>
      </c>
    </row>
    <row r="8" spans="1:5" ht="15.6" x14ac:dyDescent="0.3">
      <c r="A8" s="31" t="s">
        <v>173</v>
      </c>
      <c r="B8" s="32" t="s">
        <v>180</v>
      </c>
      <c r="C8" s="33">
        <v>348963</v>
      </c>
      <c r="D8" s="11">
        <v>0.25</v>
      </c>
      <c r="E8" s="63">
        <v>4</v>
      </c>
    </row>
    <row r="9" spans="1:5" ht="15.6" x14ac:dyDescent="0.3">
      <c r="A9" s="31" t="s">
        <v>173</v>
      </c>
      <c r="B9" s="32" t="s">
        <v>181</v>
      </c>
      <c r="C9" s="33">
        <v>652531</v>
      </c>
      <c r="D9" s="11">
        <v>15</v>
      </c>
      <c r="E9" s="63">
        <v>4</v>
      </c>
    </row>
    <row r="10" spans="1:5" ht="15.6" x14ac:dyDescent="0.3">
      <c r="A10" s="31" t="s">
        <v>182</v>
      </c>
      <c r="B10" s="32" t="s">
        <v>183</v>
      </c>
      <c r="C10" s="33">
        <v>33721507</v>
      </c>
      <c r="D10" s="11">
        <v>538.92999999999995</v>
      </c>
      <c r="E10" s="63">
        <v>4</v>
      </c>
    </row>
    <row r="11" spans="1:5" ht="15.6" x14ac:dyDescent="0.3">
      <c r="A11" s="31" t="s">
        <v>182</v>
      </c>
      <c r="B11" s="32" t="s">
        <v>184</v>
      </c>
      <c r="C11" s="33">
        <v>33721607</v>
      </c>
      <c r="D11" s="11">
        <v>288.2</v>
      </c>
      <c r="E11" s="63">
        <v>4</v>
      </c>
    </row>
    <row r="12" spans="1:5" ht="15.6" x14ac:dyDescent="0.3">
      <c r="A12" s="31" t="s">
        <v>182</v>
      </c>
      <c r="B12" s="32" t="s">
        <v>185</v>
      </c>
      <c r="C12" s="33">
        <v>34647307</v>
      </c>
      <c r="D12" s="11">
        <v>395</v>
      </c>
      <c r="E12" s="63">
        <v>4</v>
      </c>
    </row>
    <row r="13" spans="1:5" ht="15.6" x14ac:dyDescent="0.3">
      <c r="A13" s="31" t="s">
        <v>182</v>
      </c>
      <c r="B13" s="32" t="s">
        <v>186</v>
      </c>
      <c r="C13" s="33">
        <v>33635207</v>
      </c>
      <c r="D13" s="11">
        <v>395</v>
      </c>
      <c r="E13" s="63">
        <v>4</v>
      </c>
    </row>
    <row r="14" spans="1:5" ht="15.6" x14ac:dyDescent="0.3">
      <c r="A14" s="31" t="s">
        <v>182</v>
      </c>
      <c r="B14" s="32" t="s">
        <v>187</v>
      </c>
      <c r="C14" s="33">
        <v>648471</v>
      </c>
      <c r="D14" s="11">
        <v>3200</v>
      </c>
      <c r="E14" s="6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E3C9-4954-4FCB-8EE4-09DB8F1595AC}">
  <dimension ref="A1:M160"/>
  <sheetViews>
    <sheetView tabSelected="1" topLeftCell="A147" workbookViewId="0">
      <selection activeCell="G162" sqref="G162"/>
    </sheetView>
  </sheetViews>
  <sheetFormatPr defaultColWidth="9.109375" defaultRowHeight="14.4" x14ac:dyDescent="0.3"/>
  <cols>
    <col min="1" max="1" width="15.5546875" style="13" customWidth="1"/>
    <col min="2" max="2" width="39.109375" style="13" customWidth="1"/>
    <col min="3" max="3" width="21.33203125" style="13" customWidth="1"/>
    <col min="4" max="4" width="13.109375" style="13" customWidth="1"/>
    <col min="5" max="5" width="13.44140625" style="13" customWidth="1"/>
    <col min="6" max="6" width="16.44140625" style="13" customWidth="1"/>
    <col min="7" max="7" width="16.109375" style="13" customWidth="1"/>
    <col min="8" max="8" width="16.44140625" style="13" customWidth="1"/>
    <col min="9" max="9" width="16.88671875" style="13" customWidth="1"/>
    <col min="10" max="11" width="14.44140625" style="13" customWidth="1"/>
    <col min="12" max="12" width="18" style="13" customWidth="1"/>
    <col min="13" max="16384" width="9.109375" style="13"/>
  </cols>
  <sheetData>
    <row r="1" spans="1:13" ht="29.25" customHeight="1" thickBot="1" x14ac:dyDescent="0.35">
      <c r="A1" s="116">
        <v>46042</v>
      </c>
      <c r="B1" s="131" t="s">
        <v>129</v>
      </c>
      <c r="C1" s="131" t="s">
        <v>130</v>
      </c>
      <c r="D1" s="132" t="s">
        <v>189</v>
      </c>
      <c r="E1" s="133" t="s">
        <v>131</v>
      </c>
      <c r="F1" s="115" t="s">
        <v>245</v>
      </c>
      <c r="G1" s="115"/>
      <c r="H1" s="115"/>
      <c r="I1" s="115"/>
      <c r="J1" s="115"/>
      <c r="K1" s="119" t="s">
        <v>247</v>
      </c>
      <c r="L1" s="115" t="s">
        <v>238</v>
      </c>
    </row>
    <row r="2" spans="1:13" ht="33" customHeight="1" thickBot="1" x14ac:dyDescent="0.35">
      <c r="A2" s="116"/>
      <c r="B2" s="131"/>
      <c r="C2" s="131"/>
      <c r="D2" s="132"/>
      <c r="E2" s="133"/>
      <c r="F2" s="84" t="s">
        <v>244</v>
      </c>
      <c r="G2" s="85" t="s">
        <v>241</v>
      </c>
      <c r="H2" s="85" t="s">
        <v>240</v>
      </c>
      <c r="I2" s="85" t="s">
        <v>242</v>
      </c>
      <c r="J2" s="85" t="s">
        <v>243</v>
      </c>
      <c r="K2" s="120"/>
      <c r="L2" s="115"/>
    </row>
    <row r="3" spans="1:13" ht="15.6" x14ac:dyDescent="0.3">
      <c r="A3" s="125" t="s">
        <v>235</v>
      </c>
      <c r="B3" s="77" t="s">
        <v>68</v>
      </c>
      <c r="C3" s="78">
        <v>335791</v>
      </c>
      <c r="D3" s="79">
        <v>20</v>
      </c>
      <c r="E3" s="80">
        <v>735</v>
      </c>
      <c r="F3" s="81">
        <f t="shared" ref="F3:F34" si="0">E3*D3</f>
        <v>14700</v>
      </c>
      <c r="G3" s="82">
        <f>F3+F3*0.8%</f>
        <v>14817.6</v>
      </c>
      <c r="H3" s="82">
        <f>G3+G3*0.8%</f>
        <v>14936.140800000001</v>
      </c>
      <c r="I3" s="82">
        <f>H3+H3*0.8%</f>
        <v>15055.629926400001</v>
      </c>
      <c r="J3" s="82">
        <f>I3+I3*0.8%</f>
        <v>15176.0749658112</v>
      </c>
      <c r="K3" s="82">
        <f>SUM(F3:F113)</f>
        <v>294614</v>
      </c>
      <c r="L3" s="83" t="s">
        <v>239</v>
      </c>
    </row>
    <row r="4" spans="1:13" ht="15.6" x14ac:dyDescent="0.3">
      <c r="A4" s="125"/>
      <c r="B4" s="64" t="s">
        <v>86</v>
      </c>
      <c r="C4" s="65">
        <v>335813</v>
      </c>
      <c r="D4" s="66">
        <v>5</v>
      </c>
      <c r="E4" s="70">
        <v>674</v>
      </c>
      <c r="F4" s="74">
        <f t="shared" si="0"/>
        <v>3370</v>
      </c>
      <c r="G4" s="68">
        <f t="shared" ref="G4:J19" si="1">F4+F4*0.8%</f>
        <v>3396.96</v>
      </c>
      <c r="H4" s="68">
        <f t="shared" si="1"/>
        <v>3424.1356799999999</v>
      </c>
      <c r="I4" s="68">
        <f t="shared" si="1"/>
        <v>3451.5287654399999</v>
      </c>
      <c r="J4" s="68">
        <f t="shared" si="1"/>
        <v>3479.1409955635199</v>
      </c>
      <c r="K4" s="68"/>
      <c r="L4" s="69"/>
    </row>
    <row r="5" spans="1:13" ht="15.6" x14ac:dyDescent="0.3">
      <c r="A5" s="125"/>
      <c r="B5" s="64" t="s">
        <v>21</v>
      </c>
      <c r="C5" s="65">
        <v>337167</v>
      </c>
      <c r="D5" s="66">
        <v>5</v>
      </c>
      <c r="E5" s="70">
        <v>770</v>
      </c>
      <c r="F5" s="74">
        <f t="shared" si="0"/>
        <v>3850</v>
      </c>
      <c r="G5" s="68">
        <f t="shared" si="1"/>
        <v>3880.8</v>
      </c>
      <c r="H5" s="68">
        <f t="shared" si="1"/>
        <v>3911.8464000000004</v>
      </c>
      <c r="I5" s="68">
        <f t="shared" si="1"/>
        <v>3943.1411712000004</v>
      </c>
      <c r="J5" s="68">
        <f t="shared" si="1"/>
        <v>3974.6863005696005</v>
      </c>
      <c r="K5" s="68"/>
      <c r="L5" s="69"/>
    </row>
    <row r="6" spans="1:13" ht="15.6" x14ac:dyDescent="0.3">
      <c r="A6" s="125"/>
      <c r="B6" s="64" t="s">
        <v>69</v>
      </c>
      <c r="C6" s="65">
        <v>340133</v>
      </c>
      <c r="D6" s="66">
        <v>13</v>
      </c>
      <c r="E6" s="70">
        <v>540</v>
      </c>
      <c r="F6" s="74">
        <f t="shared" si="0"/>
        <v>7020</v>
      </c>
      <c r="G6" s="68">
        <f t="shared" si="1"/>
        <v>7076.16</v>
      </c>
      <c r="H6" s="68">
        <f t="shared" si="1"/>
        <v>7132.7692799999995</v>
      </c>
      <c r="I6" s="68">
        <f t="shared" si="1"/>
        <v>7189.8314342399999</v>
      </c>
      <c r="J6" s="68">
        <f t="shared" si="1"/>
        <v>7247.3500857139197</v>
      </c>
      <c r="K6" s="68"/>
      <c r="L6" s="69"/>
    </row>
    <row r="7" spans="1:13" ht="15.6" x14ac:dyDescent="0.3">
      <c r="A7" s="125"/>
      <c r="B7" s="64" t="s">
        <v>70</v>
      </c>
      <c r="C7" s="65">
        <v>340443</v>
      </c>
      <c r="D7" s="66">
        <v>12</v>
      </c>
      <c r="E7" s="70">
        <v>664</v>
      </c>
      <c r="F7" s="74">
        <f t="shared" si="0"/>
        <v>7968</v>
      </c>
      <c r="G7" s="68">
        <f t="shared" si="1"/>
        <v>8031.7439999999997</v>
      </c>
      <c r="H7" s="68">
        <f t="shared" si="1"/>
        <v>8095.9979519999997</v>
      </c>
      <c r="I7" s="68">
        <f t="shared" si="1"/>
        <v>8160.7659356159993</v>
      </c>
      <c r="J7" s="68">
        <f t="shared" si="1"/>
        <v>8226.0520631009276</v>
      </c>
      <c r="K7" s="68"/>
      <c r="L7" s="69"/>
    </row>
    <row r="8" spans="1:13" ht="15.6" x14ac:dyDescent="0.3">
      <c r="A8" s="125"/>
      <c r="B8" s="64" t="s">
        <v>23</v>
      </c>
      <c r="C8" s="65">
        <v>340659</v>
      </c>
      <c r="D8" s="66">
        <v>8</v>
      </c>
      <c r="E8" s="70">
        <v>664</v>
      </c>
      <c r="F8" s="74">
        <f t="shared" si="0"/>
        <v>5312</v>
      </c>
      <c r="G8" s="68">
        <f t="shared" si="1"/>
        <v>5354.4960000000001</v>
      </c>
      <c r="H8" s="68">
        <f t="shared" si="1"/>
        <v>5397.3319680000004</v>
      </c>
      <c r="I8" s="68">
        <f t="shared" si="1"/>
        <v>5440.5106237440004</v>
      </c>
      <c r="J8" s="68">
        <f t="shared" si="1"/>
        <v>5484.0347087339524</v>
      </c>
      <c r="K8" s="68"/>
      <c r="L8" s="69"/>
    </row>
    <row r="9" spans="1:13" ht="15.6" x14ac:dyDescent="0.3">
      <c r="A9" s="125"/>
      <c r="B9" s="64" t="s">
        <v>98</v>
      </c>
      <c r="C9" s="65">
        <v>340662</v>
      </c>
      <c r="D9" s="66">
        <v>2</v>
      </c>
      <c r="E9" s="70">
        <v>628</v>
      </c>
      <c r="F9" s="74">
        <f t="shared" si="0"/>
        <v>1256</v>
      </c>
      <c r="G9" s="68">
        <f t="shared" si="1"/>
        <v>1266.048</v>
      </c>
      <c r="H9" s="68">
        <f t="shared" si="1"/>
        <v>1276.1763840000001</v>
      </c>
      <c r="I9" s="68">
        <f t="shared" si="1"/>
        <v>1286.3857950720001</v>
      </c>
      <c r="J9" s="68">
        <f t="shared" si="1"/>
        <v>1296.676881432576</v>
      </c>
      <c r="K9" s="68"/>
      <c r="L9" s="69"/>
      <c r="M9" s="86"/>
    </row>
    <row r="10" spans="1:13" ht="15.6" x14ac:dyDescent="0.3">
      <c r="A10" s="125"/>
      <c r="B10" s="64" t="s">
        <v>87</v>
      </c>
      <c r="C10" s="65">
        <v>340664</v>
      </c>
      <c r="D10" s="66">
        <v>16</v>
      </c>
      <c r="E10" s="70">
        <v>540</v>
      </c>
      <c r="F10" s="74">
        <f t="shared" si="0"/>
        <v>8640</v>
      </c>
      <c r="G10" s="68">
        <f t="shared" si="1"/>
        <v>8709.1200000000008</v>
      </c>
      <c r="H10" s="68">
        <f t="shared" si="1"/>
        <v>8778.7929600000007</v>
      </c>
      <c r="I10" s="68">
        <f t="shared" si="1"/>
        <v>8849.02330368</v>
      </c>
      <c r="J10" s="68">
        <f t="shared" si="1"/>
        <v>8919.8154901094404</v>
      </c>
      <c r="K10" s="68"/>
      <c r="L10" s="69"/>
    </row>
    <row r="11" spans="1:13" ht="15.6" x14ac:dyDescent="0.3">
      <c r="A11" s="125"/>
      <c r="B11" s="64" t="s">
        <v>119</v>
      </c>
      <c r="C11" s="65">
        <v>340667</v>
      </c>
      <c r="D11" s="66">
        <v>7</v>
      </c>
      <c r="E11" s="70">
        <v>658</v>
      </c>
      <c r="F11" s="74">
        <f t="shared" si="0"/>
        <v>4606</v>
      </c>
      <c r="G11" s="68">
        <f t="shared" si="1"/>
        <v>4642.848</v>
      </c>
      <c r="H11" s="68">
        <f t="shared" si="1"/>
        <v>4679.9907839999996</v>
      </c>
      <c r="I11" s="68">
        <f t="shared" si="1"/>
        <v>4717.4307102719995</v>
      </c>
      <c r="J11" s="68">
        <f t="shared" si="1"/>
        <v>4755.1701559541752</v>
      </c>
      <c r="K11" s="68"/>
      <c r="L11" s="69"/>
    </row>
    <row r="12" spans="1:13" ht="15.6" x14ac:dyDescent="0.3">
      <c r="A12" s="125"/>
      <c r="B12" s="64" t="s">
        <v>71</v>
      </c>
      <c r="C12" s="65">
        <v>340669</v>
      </c>
      <c r="D12" s="66">
        <v>28</v>
      </c>
      <c r="E12" s="70">
        <v>616</v>
      </c>
      <c r="F12" s="74">
        <f t="shared" si="0"/>
        <v>17248</v>
      </c>
      <c r="G12" s="68">
        <f t="shared" si="1"/>
        <v>17385.984</v>
      </c>
      <c r="H12" s="68">
        <f t="shared" si="1"/>
        <v>17525.071872</v>
      </c>
      <c r="I12" s="68">
        <f t="shared" si="1"/>
        <v>17665.272446976</v>
      </c>
      <c r="J12" s="68">
        <f t="shared" si="1"/>
        <v>17806.594626551807</v>
      </c>
      <c r="K12" s="68"/>
      <c r="L12" s="69"/>
    </row>
    <row r="13" spans="1:13" ht="15.6" x14ac:dyDescent="0.3">
      <c r="A13" s="125"/>
      <c r="B13" s="64" t="s">
        <v>72</v>
      </c>
      <c r="C13" s="65">
        <v>340676</v>
      </c>
      <c r="D13" s="66">
        <v>3</v>
      </c>
      <c r="E13" s="70">
        <v>606</v>
      </c>
      <c r="F13" s="74">
        <f t="shared" si="0"/>
        <v>1818</v>
      </c>
      <c r="G13" s="68">
        <f t="shared" si="1"/>
        <v>1832.5440000000001</v>
      </c>
      <c r="H13" s="68">
        <f t="shared" si="1"/>
        <v>1847.2043520000002</v>
      </c>
      <c r="I13" s="68">
        <f t="shared" si="1"/>
        <v>1861.9819868160002</v>
      </c>
      <c r="J13" s="68">
        <f t="shared" si="1"/>
        <v>1876.8778427105283</v>
      </c>
      <c r="K13" s="68"/>
      <c r="L13" s="69"/>
    </row>
    <row r="14" spans="1:13" ht="15.6" x14ac:dyDescent="0.3">
      <c r="A14" s="125"/>
      <c r="B14" s="64" t="s">
        <v>81</v>
      </c>
      <c r="C14" s="65">
        <v>340679</v>
      </c>
      <c r="D14" s="66">
        <v>2</v>
      </c>
      <c r="E14" s="70">
        <v>602</v>
      </c>
      <c r="F14" s="74">
        <f t="shared" si="0"/>
        <v>1204</v>
      </c>
      <c r="G14" s="68">
        <f t="shared" si="1"/>
        <v>1213.6320000000001</v>
      </c>
      <c r="H14" s="68">
        <f t="shared" si="1"/>
        <v>1223.341056</v>
      </c>
      <c r="I14" s="68">
        <f t="shared" si="1"/>
        <v>1233.1277844480001</v>
      </c>
      <c r="J14" s="68">
        <f t="shared" si="1"/>
        <v>1242.992806723584</v>
      </c>
      <c r="K14" s="68"/>
      <c r="L14" s="69"/>
    </row>
    <row r="15" spans="1:13" ht="15.6" x14ac:dyDescent="0.3">
      <c r="A15" s="125"/>
      <c r="B15" s="64" t="s">
        <v>62</v>
      </c>
      <c r="C15" s="65">
        <v>340682</v>
      </c>
      <c r="D15" s="66">
        <v>10</v>
      </c>
      <c r="E15" s="70">
        <v>524</v>
      </c>
      <c r="F15" s="74">
        <f t="shared" si="0"/>
        <v>5240</v>
      </c>
      <c r="G15" s="68">
        <f t="shared" si="1"/>
        <v>5281.92</v>
      </c>
      <c r="H15" s="68">
        <f t="shared" si="1"/>
        <v>5324.1753600000002</v>
      </c>
      <c r="I15" s="68">
        <f t="shared" si="1"/>
        <v>5366.7687628800004</v>
      </c>
      <c r="J15" s="68">
        <f t="shared" si="1"/>
        <v>5409.7029129830407</v>
      </c>
      <c r="K15" s="68"/>
      <c r="L15" s="69"/>
    </row>
    <row r="16" spans="1:13" ht="15.6" x14ac:dyDescent="0.3">
      <c r="A16" s="125"/>
      <c r="B16" s="64" t="s">
        <v>107</v>
      </c>
      <c r="C16" s="65">
        <v>340684</v>
      </c>
      <c r="D16" s="66">
        <v>4</v>
      </c>
      <c r="E16" s="70">
        <v>648</v>
      </c>
      <c r="F16" s="74">
        <f t="shared" si="0"/>
        <v>2592</v>
      </c>
      <c r="G16" s="68">
        <f t="shared" si="1"/>
        <v>2612.7359999999999</v>
      </c>
      <c r="H16" s="68">
        <f t="shared" si="1"/>
        <v>2633.6378879999997</v>
      </c>
      <c r="I16" s="68">
        <f t="shared" si="1"/>
        <v>2654.7069911039998</v>
      </c>
      <c r="J16" s="68">
        <f t="shared" si="1"/>
        <v>2675.9446470328317</v>
      </c>
      <c r="K16" s="68"/>
      <c r="L16" s="69"/>
    </row>
    <row r="17" spans="1:12" ht="15.6" x14ac:dyDescent="0.3">
      <c r="A17" s="125"/>
      <c r="B17" s="64" t="s">
        <v>94</v>
      </c>
      <c r="C17" s="65">
        <v>340703</v>
      </c>
      <c r="D17" s="66">
        <v>2</v>
      </c>
      <c r="E17" s="70">
        <v>524</v>
      </c>
      <c r="F17" s="74">
        <f t="shared" si="0"/>
        <v>1048</v>
      </c>
      <c r="G17" s="68">
        <f t="shared" si="1"/>
        <v>1056.384</v>
      </c>
      <c r="H17" s="68">
        <f t="shared" si="1"/>
        <v>1064.8350720000001</v>
      </c>
      <c r="I17" s="68">
        <f t="shared" si="1"/>
        <v>1073.353752576</v>
      </c>
      <c r="J17" s="68">
        <f t="shared" si="1"/>
        <v>1081.940582596608</v>
      </c>
      <c r="K17" s="68"/>
      <c r="L17" s="69"/>
    </row>
    <row r="18" spans="1:12" ht="15.6" x14ac:dyDescent="0.3">
      <c r="A18" s="125"/>
      <c r="B18" s="64" t="s">
        <v>78</v>
      </c>
      <c r="C18" s="65">
        <v>340705</v>
      </c>
      <c r="D18" s="66">
        <v>12</v>
      </c>
      <c r="E18" s="70">
        <v>602</v>
      </c>
      <c r="F18" s="74">
        <f t="shared" si="0"/>
        <v>7224</v>
      </c>
      <c r="G18" s="68">
        <f t="shared" si="1"/>
        <v>7281.7920000000004</v>
      </c>
      <c r="H18" s="68">
        <f t="shared" si="1"/>
        <v>7340.0463360000003</v>
      </c>
      <c r="I18" s="68">
        <f t="shared" si="1"/>
        <v>7398.7667066880003</v>
      </c>
      <c r="J18" s="68">
        <f t="shared" si="1"/>
        <v>7457.9568403415042</v>
      </c>
      <c r="K18" s="68"/>
      <c r="L18" s="69"/>
    </row>
    <row r="19" spans="1:12" ht="15.6" x14ac:dyDescent="0.3">
      <c r="A19" s="125"/>
      <c r="B19" s="64" t="s">
        <v>51</v>
      </c>
      <c r="C19" s="65">
        <v>340719</v>
      </c>
      <c r="D19" s="66">
        <v>8</v>
      </c>
      <c r="E19" s="70">
        <v>298</v>
      </c>
      <c r="F19" s="74">
        <f t="shared" si="0"/>
        <v>2384</v>
      </c>
      <c r="G19" s="68">
        <f t="shared" si="1"/>
        <v>2403.0720000000001</v>
      </c>
      <c r="H19" s="68">
        <f t="shared" si="1"/>
        <v>2422.2965760000002</v>
      </c>
      <c r="I19" s="68">
        <f t="shared" si="1"/>
        <v>2441.6749486080002</v>
      </c>
      <c r="J19" s="68">
        <f t="shared" si="1"/>
        <v>2461.2083481968643</v>
      </c>
      <c r="K19" s="68"/>
      <c r="L19" s="69"/>
    </row>
    <row r="20" spans="1:12" ht="15.6" x14ac:dyDescent="0.3">
      <c r="A20" s="125"/>
      <c r="B20" s="64" t="s">
        <v>104</v>
      </c>
      <c r="C20" s="65">
        <v>340720</v>
      </c>
      <c r="D20" s="66">
        <v>12</v>
      </c>
      <c r="E20" s="70">
        <v>344</v>
      </c>
      <c r="F20" s="74">
        <f t="shared" si="0"/>
        <v>4128</v>
      </c>
      <c r="G20" s="68">
        <f t="shared" ref="G20:J35" si="2">F20+F20*0.8%</f>
        <v>4161.0240000000003</v>
      </c>
      <c r="H20" s="68">
        <f t="shared" si="2"/>
        <v>4194.3121920000003</v>
      </c>
      <c r="I20" s="68">
        <f t="shared" si="2"/>
        <v>4227.8666895360002</v>
      </c>
      <c r="J20" s="68">
        <f t="shared" si="2"/>
        <v>4261.689623052288</v>
      </c>
      <c r="K20" s="68"/>
      <c r="L20" s="69"/>
    </row>
    <row r="21" spans="1:12" ht="15.6" x14ac:dyDescent="0.3">
      <c r="A21" s="125"/>
      <c r="B21" s="64" t="s">
        <v>79</v>
      </c>
      <c r="C21" s="65">
        <v>340722</v>
      </c>
      <c r="D21" s="66">
        <v>12</v>
      </c>
      <c r="E21" s="70">
        <v>658</v>
      </c>
      <c r="F21" s="74">
        <f t="shared" si="0"/>
        <v>7896</v>
      </c>
      <c r="G21" s="68">
        <f t="shared" si="2"/>
        <v>7959.1679999999997</v>
      </c>
      <c r="H21" s="68">
        <f t="shared" si="2"/>
        <v>8022.8413439999995</v>
      </c>
      <c r="I21" s="68">
        <f t="shared" si="2"/>
        <v>8087.0240747519993</v>
      </c>
      <c r="J21" s="68">
        <f t="shared" si="2"/>
        <v>8151.7202673500151</v>
      </c>
      <c r="K21" s="68"/>
      <c r="L21" s="69"/>
    </row>
    <row r="22" spans="1:12" ht="15.6" x14ac:dyDescent="0.3">
      <c r="A22" s="125"/>
      <c r="B22" s="64" t="s">
        <v>73</v>
      </c>
      <c r="C22" s="65">
        <v>340723</v>
      </c>
      <c r="D22" s="66">
        <v>2</v>
      </c>
      <c r="E22" s="70">
        <v>298</v>
      </c>
      <c r="F22" s="74">
        <f t="shared" si="0"/>
        <v>596</v>
      </c>
      <c r="G22" s="68">
        <f t="shared" si="2"/>
        <v>600.76800000000003</v>
      </c>
      <c r="H22" s="68">
        <f t="shared" si="2"/>
        <v>605.57414400000005</v>
      </c>
      <c r="I22" s="68">
        <f t="shared" si="2"/>
        <v>610.41873715200006</v>
      </c>
      <c r="J22" s="68">
        <f t="shared" si="2"/>
        <v>615.30208704921608</v>
      </c>
      <c r="K22" s="68"/>
      <c r="L22" s="69"/>
    </row>
    <row r="23" spans="1:12" ht="15.6" x14ac:dyDescent="0.3">
      <c r="A23" s="125"/>
      <c r="B23" s="64" t="s">
        <v>16</v>
      </c>
      <c r="C23" s="65">
        <v>340724</v>
      </c>
      <c r="D23" s="66">
        <v>8</v>
      </c>
      <c r="E23" s="70">
        <v>340</v>
      </c>
      <c r="F23" s="74">
        <f t="shared" si="0"/>
        <v>2720</v>
      </c>
      <c r="G23" s="68">
        <f t="shared" si="2"/>
        <v>2741.76</v>
      </c>
      <c r="H23" s="68">
        <f t="shared" si="2"/>
        <v>2763.6940800000002</v>
      </c>
      <c r="I23" s="68">
        <f t="shared" si="2"/>
        <v>2785.8036326400002</v>
      </c>
      <c r="J23" s="68">
        <f t="shared" si="2"/>
        <v>2808.0900617011202</v>
      </c>
      <c r="K23" s="68"/>
      <c r="L23" s="69"/>
    </row>
    <row r="24" spans="1:12" ht="15.6" x14ac:dyDescent="0.3">
      <c r="A24" s="125"/>
      <c r="B24" s="64" t="s">
        <v>128</v>
      </c>
      <c r="C24" s="65">
        <v>340952</v>
      </c>
      <c r="D24" s="66">
        <v>2</v>
      </c>
      <c r="E24" s="70">
        <v>402</v>
      </c>
      <c r="F24" s="74">
        <f t="shared" si="0"/>
        <v>804</v>
      </c>
      <c r="G24" s="68">
        <f t="shared" si="2"/>
        <v>810.43200000000002</v>
      </c>
      <c r="H24" s="68">
        <f t="shared" si="2"/>
        <v>816.91545600000006</v>
      </c>
      <c r="I24" s="68">
        <f t="shared" si="2"/>
        <v>823.45077964800009</v>
      </c>
      <c r="J24" s="68">
        <f t="shared" si="2"/>
        <v>830.03838588518408</v>
      </c>
      <c r="K24" s="68"/>
      <c r="L24" s="69"/>
    </row>
    <row r="25" spans="1:12" ht="15.6" x14ac:dyDescent="0.3">
      <c r="A25" s="125"/>
      <c r="B25" s="64" t="s">
        <v>92</v>
      </c>
      <c r="C25" s="65">
        <v>341026</v>
      </c>
      <c r="D25" s="66">
        <v>6</v>
      </c>
      <c r="E25" s="70">
        <v>648</v>
      </c>
      <c r="F25" s="74">
        <f t="shared" si="0"/>
        <v>3888</v>
      </c>
      <c r="G25" s="68">
        <f t="shared" si="2"/>
        <v>3919.1039999999998</v>
      </c>
      <c r="H25" s="68">
        <f t="shared" si="2"/>
        <v>3950.4568319999998</v>
      </c>
      <c r="I25" s="68">
        <f t="shared" si="2"/>
        <v>3982.0604866559997</v>
      </c>
      <c r="J25" s="68">
        <f t="shared" si="2"/>
        <v>4013.9169705492477</v>
      </c>
      <c r="K25" s="68"/>
      <c r="L25" s="69"/>
    </row>
    <row r="26" spans="1:12" ht="15.6" x14ac:dyDescent="0.3">
      <c r="A26" s="125"/>
      <c r="B26" s="64" t="s">
        <v>74</v>
      </c>
      <c r="C26" s="65">
        <v>341101</v>
      </c>
      <c r="D26" s="66">
        <v>30</v>
      </c>
      <c r="E26" s="70">
        <v>688</v>
      </c>
      <c r="F26" s="74">
        <f t="shared" si="0"/>
        <v>20640</v>
      </c>
      <c r="G26" s="68">
        <f t="shared" si="2"/>
        <v>20805.12</v>
      </c>
      <c r="H26" s="68">
        <f t="shared" si="2"/>
        <v>20971.560959999999</v>
      </c>
      <c r="I26" s="68">
        <f t="shared" si="2"/>
        <v>21139.333447679997</v>
      </c>
      <c r="J26" s="68">
        <f t="shared" si="2"/>
        <v>21308.448115261439</v>
      </c>
      <c r="K26" s="68"/>
      <c r="L26" s="69"/>
    </row>
    <row r="27" spans="1:12" ht="15.6" x14ac:dyDescent="0.3">
      <c r="A27" s="125"/>
      <c r="B27" s="64" t="s">
        <v>89</v>
      </c>
      <c r="C27" s="65">
        <v>342003</v>
      </c>
      <c r="D27" s="66">
        <v>30</v>
      </c>
      <c r="E27" s="70">
        <v>58</v>
      </c>
      <c r="F27" s="74">
        <f t="shared" si="0"/>
        <v>1740</v>
      </c>
      <c r="G27" s="68">
        <f t="shared" si="2"/>
        <v>1753.92</v>
      </c>
      <c r="H27" s="68">
        <f t="shared" si="2"/>
        <v>1767.95136</v>
      </c>
      <c r="I27" s="68">
        <f t="shared" si="2"/>
        <v>1782.0949708800001</v>
      </c>
      <c r="J27" s="68">
        <f t="shared" si="2"/>
        <v>1796.3517306470401</v>
      </c>
      <c r="K27" s="68"/>
      <c r="L27" s="69"/>
    </row>
    <row r="28" spans="1:12" ht="15.6" x14ac:dyDescent="0.3">
      <c r="A28" s="125"/>
      <c r="B28" s="64" t="s">
        <v>114</v>
      </c>
      <c r="C28" s="65">
        <v>346581</v>
      </c>
      <c r="D28" s="66">
        <v>2</v>
      </c>
      <c r="E28" s="70">
        <v>340</v>
      </c>
      <c r="F28" s="74">
        <f t="shared" si="0"/>
        <v>680</v>
      </c>
      <c r="G28" s="68">
        <f t="shared" si="2"/>
        <v>685.44</v>
      </c>
      <c r="H28" s="68">
        <f t="shared" si="2"/>
        <v>690.92352000000005</v>
      </c>
      <c r="I28" s="68">
        <f t="shared" si="2"/>
        <v>696.45090816000004</v>
      </c>
      <c r="J28" s="68">
        <f t="shared" si="2"/>
        <v>702.02251542528006</v>
      </c>
      <c r="K28" s="68"/>
      <c r="L28" s="69"/>
    </row>
    <row r="29" spans="1:12" ht="15.6" x14ac:dyDescent="0.3">
      <c r="A29" s="125"/>
      <c r="B29" s="64" t="s">
        <v>47</v>
      </c>
      <c r="C29" s="65">
        <v>347393</v>
      </c>
      <c r="D29" s="66">
        <v>4</v>
      </c>
      <c r="E29" s="70">
        <v>524</v>
      </c>
      <c r="F29" s="74">
        <f t="shared" si="0"/>
        <v>2096</v>
      </c>
      <c r="G29" s="68">
        <f t="shared" si="2"/>
        <v>2112.768</v>
      </c>
      <c r="H29" s="68">
        <f t="shared" si="2"/>
        <v>2129.6701440000002</v>
      </c>
      <c r="I29" s="68">
        <f t="shared" si="2"/>
        <v>2146.7075051520001</v>
      </c>
      <c r="J29" s="68">
        <f t="shared" si="2"/>
        <v>2163.881165193216</v>
      </c>
      <c r="K29" s="68"/>
      <c r="L29" s="69"/>
    </row>
    <row r="30" spans="1:12" ht="15.6" x14ac:dyDescent="0.3">
      <c r="A30" s="125"/>
      <c r="B30" s="71" t="s">
        <v>153</v>
      </c>
      <c r="C30" s="72">
        <v>347464</v>
      </c>
      <c r="D30" s="73">
        <v>4</v>
      </c>
      <c r="E30" s="67">
        <v>825</v>
      </c>
      <c r="F30" s="74">
        <f t="shared" si="0"/>
        <v>3300</v>
      </c>
      <c r="G30" s="68">
        <f t="shared" si="2"/>
        <v>3326.4</v>
      </c>
      <c r="H30" s="68">
        <f t="shared" si="2"/>
        <v>3353.0111999999999</v>
      </c>
      <c r="I30" s="68">
        <f t="shared" si="2"/>
        <v>3379.8352896000001</v>
      </c>
      <c r="J30" s="68">
        <f t="shared" si="2"/>
        <v>3406.8739719168002</v>
      </c>
      <c r="K30" s="68"/>
      <c r="L30" s="69"/>
    </row>
    <row r="31" spans="1:12" ht="15.6" x14ac:dyDescent="0.3">
      <c r="A31" s="125"/>
      <c r="B31" s="64" t="s">
        <v>15</v>
      </c>
      <c r="C31" s="65">
        <v>347577</v>
      </c>
      <c r="D31" s="66">
        <v>8</v>
      </c>
      <c r="E31" s="70">
        <v>602</v>
      </c>
      <c r="F31" s="74">
        <f t="shared" si="0"/>
        <v>4816</v>
      </c>
      <c r="G31" s="68">
        <f t="shared" si="2"/>
        <v>4854.5280000000002</v>
      </c>
      <c r="H31" s="68">
        <f t="shared" si="2"/>
        <v>4893.3642239999999</v>
      </c>
      <c r="I31" s="68">
        <f t="shared" si="2"/>
        <v>4932.5111377920002</v>
      </c>
      <c r="J31" s="68">
        <f t="shared" si="2"/>
        <v>4971.9712268943358</v>
      </c>
      <c r="K31" s="68"/>
      <c r="L31" s="69"/>
    </row>
    <row r="32" spans="1:12" ht="15.6" x14ac:dyDescent="0.3">
      <c r="A32" s="125"/>
      <c r="B32" s="64" t="s">
        <v>91</v>
      </c>
      <c r="C32" s="65">
        <v>348803</v>
      </c>
      <c r="D32" s="66">
        <v>12</v>
      </c>
      <c r="E32" s="70">
        <v>674</v>
      </c>
      <c r="F32" s="74">
        <f t="shared" si="0"/>
        <v>8088</v>
      </c>
      <c r="G32" s="68">
        <f t="shared" si="2"/>
        <v>8152.7039999999997</v>
      </c>
      <c r="H32" s="68">
        <f t="shared" si="2"/>
        <v>8217.9256320000004</v>
      </c>
      <c r="I32" s="68">
        <f t="shared" si="2"/>
        <v>8283.6690370560009</v>
      </c>
      <c r="J32" s="68">
        <f t="shared" si="2"/>
        <v>8349.9383893524482</v>
      </c>
      <c r="K32" s="68"/>
      <c r="L32" s="69"/>
    </row>
    <row r="33" spans="1:12" ht="15.6" x14ac:dyDescent="0.3">
      <c r="A33" s="125"/>
      <c r="B33" s="64" t="s">
        <v>65</v>
      </c>
      <c r="C33" s="65">
        <v>348805</v>
      </c>
      <c r="D33" s="66">
        <v>26</v>
      </c>
      <c r="E33" s="70">
        <v>688</v>
      </c>
      <c r="F33" s="74">
        <f t="shared" si="0"/>
        <v>17888</v>
      </c>
      <c r="G33" s="68">
        <f t="shared" si="2"/>
        <v>18031.103999999999</v>
      </c>
      <c r="H33" s="68">
        <f t="shared" si="2"/>
        <v>18175.352832</v>
      </c>
      <c r="I33" s="68">
        <f t="shared" si="2"/>
        <v>18320.755654656001</v>
      </c>
      <c r="J33" s="68">
        <f t="shared" si="2"/>
        <v>18467.321699893248</v>
      </c>
      <c r="K33" s="68"/>
      <c r="L33" s="69"/>
    </row>
    <row r="34" spans="1:12" ht="15.6" x14ac:dyDescent="0.3">
      <c r="A34" s="125"/>
      <c r="B34" s="64" t="s">
        <v>93</v>
      </c>
      <c r="C34" s="65">
        <v>349201</v>
      </c>
      <c r="D34" s="66">
        <v>5</v>
      </c>
      <c r="E34" s="70">
        <v>308</v>
      </c>
      <c r="F34" s="74">
        <f t="shared" si="0"/>
        <v>1540</v>
      </c>
      <c r="G34" s="68">
        <f t="shared" si="2"/>
        <v>1552.32</v>
      </c>
      <c r="H34" s="68">
        <f t="shared" si="2"/>
        <v>1564.73856</v>
      </c>
      <c r="I34" s="68">
        <f t="shared" si="2"/>
        <v>1577.25646848</v>
      </c>
      <c r="J34" s="68">
        <f t="shared" si="2"/>
        <v>1589.8745202278399</v>
      </c>
      <c r="K34" s="68"/>
      <c r="L34" s="69"/>
    </row>
    <row r="35" spans="1:12" ht="15.6" x14ac:dyDescent="0.3">
      <c r="A35" s="125"/>
      <c r="B35" s="64" t="s">
        <v>127</v>
      </c>
      <c r="C35" s="65">
        <v>552843</v>
      </c>
      <c r="D35" s="66">
        <v>2</v>
      </c>
      <c r="E35" s="70">
        <v>262</v>
      </c>
      <c r="F35" s="74">
        <f t="shared" ref="F35:F66" si="3">E35*D35</f>
        <v>524</v>
      </c>
      <c r="G35" s="68">
        <f t="shared" si="2"/>
        <v>528.19200000000001</v>
      </c>
      <c r="H35" s="68">
        <f t="shared" si="2"/>
        <v>532.41753600000004</v>
      </c>
      <c r="I35" s="68">
        <f t="shared" si="2"/>
        <v>536.67687628800002</v>
      </c>
      <c r="J35" s="68">
        <f t="shared" si="2"/>
        <v>540.97029129830401</v>
      </c>
      <c r="K35" s="68"/>
      <c r="L35" s="69"/>
    </row>
    <row r="36" spans="1:12" ht="15.6" x14ac:dyDescent="0.3">
      <c r="A36" s="125"/>
      <c r="B36" s="64" t="s">
        <v>112</v>
      </c>
      <c r="C36" s="65">
        <v>554722</v>
      </c>
      <c r="D36" s="66">
        <v>2</v>
      </c>
      <c r="E36" s="70">
        <v>164</v>
      </c>
      <c r="F36" s="74">
        <f t="shared" si="3"/>
        <v>328</v>
      </c>
      <c r="G36" s="68">
        <f t="shared" ref="G36:J51" si="4">F36+F36*0.8%</f>
        <v>330.62400000000002</v>
      </c>
      <c r="H36" s="68">
        <f t="shared" si="4"/>
        <v>333.26899200000003</v>
      </c>
      <c r="I36" s="68">
        <f t="shared" si="4"/>
        <v>335.93514393600003</v>
      </c>
      <c r="J36" s="68">
        <f t="shared" si="4"/>
        <v>338.62262508748802</v>
      </c>
      <c r="K36" s="68"/>
      <c r="L36" s="69"/>
    </row>
    <row r="37" spans="1:12" ht="15.6" x14ac:dyDescent="0.3">
      <c r="A37" s="125"/>
      <c r="B37" s="64" t="s">
        <v>113</v>
      </c>
      <c r="C37" s="65">
        <v>554723</v>
      </c>
      <c r="D37" s="66">
        <v>2</v>
      </c>
      <c r="E37" s="70">
        <v>164</v>
      </c>
      <c r="F37" s="74">
        <f t="shared" si="3"/>
        <v>328</v>
      </c>
      <c r="G37" s="68">
        <f t="shared" si="4"/>
        <v>330.62400000000002</v>
      </c>
      <c r="H37" s="68">
        <f t="shared" si="4"/>
        <v>333.26899200000003</v>
      </c>
      <c r="I37" s="68">
        <f t="shared" si="4"/>
        <v>335.93514393600003</v>
      </c>
      <c r="J37" s="68">
        <f t="shared" si="4"/>
        <v>338.62262508748802</v>
      </c>
      <c r="K37" s="68"/>
      <c r="L37" s="69"/>
    </row>
    <row r="38" spans="1:12" ht="15.6" x14ac:dyDescent="0.3">
      <c r="A38" s="125"/>
      <c r="B38" s="64" t="s">
        <v>111</v>
      </c>
      <c r="C38" s="65">
        <v>554724</v>
      </c>
      <c r="D38" s="66">
        <v>2</v>
      </c>
      <c r="E38" s="70">
        <v>78</v>
      </c>
      <c r="F38" s="74">
        <f t="shared" si="3"/>
        <v>156</v>
      </c>
      <c r="G38" s="68">
        <f t="shared" si="4"/>
        <v>157.24799999999999</v>
      </c>
      <c r="H38" s="68">
        <f t="shared" si="4"/>
        <v>158.50598399999998</v>
      </c>
      <c r="I38" s="68">
        <f t="shared" si="4"/>
        <v>159.77403187199999</v>
      </c>
      <c r="J38" s="68">
        <f t="shared" si="4"/>
        <v>161.052224126976</v>
      </c>
      <c r="K38" s="68"/>
      <c r="L38" s="69"/>
    </row>
    <row r="39" spans="1:12" ht="15.6" x14ac:dyDescent="0.3">
      <c r="A39" s="125"/>
      <c r="B39" s="64" t="s">
        <v>110</v>
      </c>
      <c r="C39" s="65">
        <v>555029</v>
      </c>
      <c r="D39" s="66">
        <v>2</v>
      </c>
      <c r="E39" s="70">
        <v>78</v>
      </c>
      <c r="F39" s="74">
        <f t="shared" si="3"/>
        <v>156</v>
      </c>
      <c r="G39" s="68">
        <f t="shared" si="4"/>
        <v>157.24799999999999</v>
      </c>
      <c r="H39" s="68">
        <f t="shared" si="4"/>
        <v>158.50598399999998</v>
      </c>
      <c r="I39" s="68">
        <f t="shared" si="4"/>
        <v>159.77403187199999</v>
      </c>
      <c r="J39" s="68">
        <f t="shared" si="4"/>
        <v>161.052224126976</v>
      </c>
      <c r="K39" s="68"/>
      <c r="L39" s="69"/>
    </row>
    <row r="40" spans="1:12" ht="15.6" x14ac:dyDescent="0.3">
      <c r="A40" s="125"/>
      <c r="B40" s="64" t="s">
        <v>85</v>
      </c>
      <c r="C40" s="65">
        <v>555445</v>
      </c>
      <c r="D40" s="66">
        <v>4</v>
      </c>
      <c r="E40" s="70">
        <v>198</v>
      </c>
      <c r="F40" s="74">
        <f t="shared" si="3"/>
        <v>792</v>
      </c>
      <c r="G40" s="68">
        <f t="shared" si="4"/>
        <v>798.33600000000001</v>
      </c>
      <c r="H40" s="68">
        <f t="shared" si="4"/>
        <v>804.72268800000006</v>
      </c>
      <c r="I40" s="68">
        <f t="shared" si="4"/>
        <v>811.16046950400005</v>
      </c>
      <c r="J40" s="68">
        <f t="shared" si="4"/>
        <v>817.64975326003207</v>
      </c>
      <c r="K40" s="68"/>
      <c r="L40" s="69"/>
    </row>
    <row r="41" spans="1:12" ht="15.6" x14ac:dyDescent="0.3">
      <c r="A41" s="125"/>
      <c r="B41" s="64" t="s">
        <v>27</v>
      </c>
      <c r="C41" s="65">
        <v>555533</v>
      </c>
      <c r="D41" s="66">
        <v>5</v>
      </c>
      <c r="E41" s="70">
        <v>354</v>
      </c>
      <c r="F41" s="74">
        <f t="shared" si="3"/>
        <v>1770</v>
      </c>
      <c r="G41" s="68">
        <f t="shared" si="4"/>
        <v>1784.16</v>
      </c>
      <c r="H41" s="68">
        <f t="shared" si="4"/>
        <v>1798.4332800000002</v>
      </c>
      <c r="I41" s="68">
        <f t="shared" si="4"/>
        <v>1812.8207462400003</v>
      </c>
      <c r="J41" s="68">
        <f t="shared" si="4"/>
        <v>1827.3233122099202</v>
      </c>
      <c r="K41" s="68"/>
      <c r="L41" s="69"/>
    </row>
    <row r="42" spans="1:12" ht="15.6" x14ac:dyDescent="0.3">
      <c r="A42" s="125"/>
      <c r="B42" s="64" t="s">
        <v>82</v>
      </c>
      <c r="C42" s="65">
        <v>555544</v>
      </c>
      <c r="D42" s="66">
        <v>5</v>
      </c>
      <c r="E42" s="70">
        <v>278</v>
      </c>
      <c r="F42" s="74">
        <f t="shared" si="3"/>
        <v>1390</v>
      </c>
      <c r="G42" s="68">
        <f t="shared" si="4"/>
        <v>1401.12</v>
      </c>
      <c r="H42" s="68">
        <f t="shared" si="4"/>
        <v>1412.3289599999998</v>
      </c>
      <c r="I42" s="68">
        <f t="shared" si="4"/>
        <v>1423.6275916799998</v>
      </c>
      <c r="J42" s="68">
        <f t="shared" si="4"/>
        <v>1435.0166124134398</v>
      </c>
      <c r="K42" s="68"/>
      <c r="L42" s="69"/>
    </row>
    <row r="43" spans="1:12" ht="15.6" x14ac:dyDescent="0.3">
      <c r="A43" s="125"/>
      <c r="B43" s="64" t="s">
        <v>64</v>
      </c>
      <c r="C43" s="65">
        <v>555578</v>
      </c>
      <c r="D43" s="66">
        <v>4</v>
      </c>
      <c r="E43" s="70">
        <v>188</v>
      </c>
      <c r="F43" s="74">
        <f t="shared" si="3"/>
        <v>752</v>
      </c>
      <c r="G43" s="68">
        <f t="shared" si="4"/>
        <v>758.01599999999996</v>
      </c>
      <c r="H43" s="68">
        <f t="shared" si="4"/>
        <v>764.08012799999995</v>
      </c>
      <c r="I43" s="68">
        <f t="shared" si="4"/>
        <v>770.19276902399997</v>
      </c>
      <c r="J43" s="68">
        <f t="shared" si="4"/>
        <v>776.35431117619203</v>
      </c>
      <c r="K43" s="68"/>
      <c r="L43" s="69"/>
    </row>
    <row r="44" spans="1:12" ht="15.6" x14ac:dyDescent="0.3">
      <c r="A44" s="125"/>
      <c r="B44" s="64" t="s">
        <v>102</v>
      </c>
      <c r="C44" s="65">
        <v>555657</v>
      </c>
      <c r="D44" s="66">
        <v>2</v>
      </c>
      <c r="E44" s="70">
        <v>348</v>
      </c>
      <c r="F44" s="74">
        <f t="shared" si="3"/>
        <v>696</v>
      </c>
      <c r="G44" s="68">
        <f t="shared" si="4"/>
        <v>701.56799999999998</v>
      </c>
      <c r="H44" s="68">
        <f t="shared" si="4"/>
        <v>707.18054399999994</v>
      </c>
      <c r="I44" s="68">
        <f t="shared" si="4"/>
        <v>712.83798835199991</v>
      </c>
      <c r="J44" s="68">
        <f t="shared" si="4"/>
        <v>718.54069225881597</v>
      </c>
      <c r="K44" s="68"/>
      <c r="L44" s="69"/>
    </row>
    <row r="45" spans="1:12" ht="15.6" x14ac:dyDescent="0.3">
      <c r="A45" s="125"/>
      <c r="B45" s="64" t="s">
        <v>103</v>
      </c>
      <c r="C45" s="65">
        <v>555743</v>
      </c>
      <c r="D45" s="66">
        <v>4</v>
      </c>
      <c r="E45" s="70">
        <v>198</v>
      </c>
      <c r="F45" s="74">
        <f t="shared" si="3"/>
        <v>792</v>
      </c>
      <c r="G45" s="68">
        <f t="shared" si="4"/>
        <v>798.33600000000001</v>
      </c>
      <c r="H45" s="68">
        <f t="shared" si="4"/>
        <v>804.72268800000006</v>
      </c>
      <c r="I45" s="68">
        <f t="shared" si="4"/>
        <v>811.16046950400005</v>
      </c>
      <c r="J45" s="68">
        <f t="shared" si="4"/>
        <v>817.64975326003207</v>
      </c>
      <c r="K45" s="68"/>
      <c r="L45" s="69"/>
    </row>
    <row r="46" spans="1:12" ht="15.6" x14ac:dyDescent="0.3">
      <c r="A46" s="125"/>
      <c r="B46" s="64" t="s">
        <v>100</v>
      </c>
      <c r="C46" s="65">
        <v>555748</v>
      </c>
      <c r="D46" s="66">
        <v>2</v>
      </c>
      <c r="E46" s="70">
        <v>164</v>
      </c>
      <c r="F46" s="74">
        <f t="shared" si="3"/>
        <v>328</v>
      </c>
      <c r="G46" s="68">
        <f t="shared" si="4"/>
        <v>330.62400000000002</v>
      </c>
      <c r="H46" s="68">
        <f t="shared" si="4"/>
        <v>333.26899200000003</v>
      </c>
      <c r="I46" s="68">
        <f t="shared" si="4"/>
        <v>335.93514393600003</v>
      </c>
      <c r="J46" s="68">
        <f t="shared" si="4"/>
        <v>338.62262508748802</v>
      </c>
      <c r="K46" s="68"/>
      <c r="L46" s="69"/>
    </row>
    <row r="47" spans="1:12" ht="15.6" x14ac:dyDescent="0.3">
      <c r="A47" s="125"/>
      <c r="B47" s="64" t="s">
        <v>101</v>
      </c>
      <c r="C47" s="65">
        <v>557226</v>
      </c>
      <c r="D47" s="66">
        <v>2</v>
      </c>
      <c r="E47" s="70">
        <v>242</v>
      </c>
      <c r="F47" s="74">
        <f t="shared" si="3"/>
        <v>484</v>
      </c>
      <c r="G47" s="68">
        <f t="shared" si="4"/>
        <v>487.87200000000001</v>
      </c>
      <c r="H47" s="68">
        <f t="shared" si="4"/>
        <v>491.77497600000004</v>
      </c>
      <c r="I47" s="68">
        <f t="shared" si="4"/>
        <v>495.70917580800005</v>
      </c>
      <c r="J47" s="68">
        <f t="shared" si="4"/>
        <v>499.67484921446407</v>
      </c>
      <c r="K47" s="68"/>
      <c r="L47" s="69"/>
    </row>
    <row r="48" spans="1:12" ht="15.6" x14ac:dyDescent="0.3">
      <c r="A48" s="125"/>
      <c r="B48" s="64" t="s">
        <v>115</v>
      </c>
      <c r="C48" s="65">
        <v>557742</v>
      </c>
      <c r="D48" s="66">
        <v>8</v>
      </c>
      <c r="E48" s="70">
        <v>372</v>
      </c>
      <c r="F48" s="74">
        <f t="shared" si="3"/>
        <v>2976</v>
      </c>
      <c r="G48" s="68">
        <f t="shared" si="4"/>
        <v>2999.808</v>
      </c>
      <c r="H48" s="68">
        <f t="shared" si="4"/>
        <v>3023.8064639999998</v>
      </c>
      <c r="I48" s="68">
        <f t="shared" si="4"/>
        <v>3047.9969157119999</v>
      </c>
      <c r="J48" s="68">
        <f t="shared" si="4"/>
        <v>3072.3808910376961</v>
      </c>
      <c r="K48" s="68"/>
      <c r="L48" s="69"/>
    </row>
    <row r="49" spans="1:12" ht="15.6" x14ac:dyDescent="0.3">
      <c r="A49" s="125"/>
      <c r="B49" s="64" t="s">
        <v>4</v>
      </c>
      <c r="C49" s="65">
        <v>557745</v>
      </c>
      <c r="D49" s="66">
        <v>1</v>
      </c>
      <c r="E49" s="70">
        <v>372</v>
      </c>
      <c r="F49" s="74">
        <f t="shared" si="3"/>
        <v>372</v>
      </c>
      <c r="G49" s="68">
        <f t="shared" si="4"/>
        <v>374.976</v>
      </c>
      <c r="H49" s="68">
        <f t="shared" si="4"/>
        <v>377.97580799999997</v>
      </c>
      <c r="I49" s="68">
        <f t="shared" si="4"/>
        <v>380.99961446399999</v>
      </c>
      <c r="J49" s="68">
        <f t="shared" si="4"/>
        <v>384.04761137971201</v>
      </c>
      <c r="K49" s="68"/>
      <c r="L49" s="69"/>
    </row>
    <row r="50" spans="1:12" ht="15.6" x14ac:dyDescent="0.3">
      <c r="A50" s="125"/>
      <c r="B50" s="64" t="s">
        <v>105</v>
      </c>
      <c r="C50" s="65">
        <v>557872</v>
      </c>
      <c r="D50" s="66">
        <v>4</v>
      </c>
      <c r="E50" s="70">
        <v>258</v>
      </c>
      <c r="F50" s="74">
        <f t="shared" si="3"/>
        <v>1032</v>
      </c>
      <c r="G50" s="68">
        <f t="shared" si="4"/>
        <v>1040.2560000000001</v>
      </c>
      <c r="H50" s="68">
        <f t="shared" si="4"/>
        <v>1048.5780480000001</v>
      </c>
      <c r="I50" s="68">
        <f t="shared" si="4"/>
        <v>1056.966672384</v>
      </c>
      <c r="J50" s="68">
        <f t="shared" si="4"/>
        <v>1065.422405763072</v>
      </c>
      <c r="K50" s="68"/>
      <c r="L50" s="69"/>
    </row>
    <row r="51" spans="1:12" ht="15.6" x14ac:dyDescent="0.3">
      <c r="A51" s="125"/>
      <c r="B51" s="64" t="s">
        <v>44</v>
      </c>
      <c r="C51" s="65">
        <v>558598</v>
      </c>
      <c r="D51" s="66">
        <v>10</v>
      </c>
      <c r="E51" s="70">
        <v>366</v>
      </c>
      <c r="F51" s="74">
        <f t="shared" si="3"/>
        <v>3660</v>
      </c>
      <c r="G51" s="68">
        <f t="shared" si="4"/>
        <v>3689.28</v>
      </c>
      <c r="H51" s="68">
        <f t="shared" si="4"/>
        <v>3718.7942400000002</v>
      </c>
      <c r="I51" s="68">
        <f t="shared" si="4"/>
        <v>3748.5445939200004</v>
      </c>
      <c r="J51" s="68">
        <f t="shared" si="4"/>
        <v>3778.5329506713601</v>
      </c>
      <c r="K51" s="68"/>
      <c r="L51" s="69"/>
    </row>
    <row r="52" spans="1:12" ht="15.6" x14ac:dyDescent="0.3">
      <c r="A52" s="125"/>
      <c r="B52" s="64" t="s">
        <v>109</v>
      </c>
      <c r="C52" s="65">
        <v>559925</v>
      </c>
      <c r="D52" s="66">
        <v>22</v>
      </c>
      <c r="E52" s="70">
        <v>80</v>
      </c>
      <c r="F52" s="74">
        <f t="shared" si="3"/>
        <v>1760</v>
      </c>
      <c r="G52" s="68">
        <f t="shared" ref="G52:J67" si="5">F52+F52*0.8%</f>
        <v>1774.08</v>
      </c>
      <c r="H52" s="68">
        <f t="shared" si="5"/>
        <v>1788.2726399999999</v>
      </c>
      <c r="I52" s="68">
        <f t="shared" si="5"/>
        <v>1802.5788211199999</v>
      </c>
      <c r="J52" s="68">
        <f t="shared" si="5"/>
        <v>1816.9994516889599</v>
      </c>
      <c r="K52" s="68"/>
      <c r="L52" s="69"/>
    </row>
    <row r="53" spans="1:12" ht="15.6" x14ac:dyDescent="0.3">
      <c r="A53" s="125"/>
      <c r="B53" s="64" t="s">
        <v>95</v>
      </c>
      <c r="C53" s="65">
        <v>560124</v>
      </c>
      <c r="D53" s="66">
        <v>2</v>
      </c>
      <c r="E53" s="70">
        <v>484</v>
      </c>
      <c r="F53" s="74">
        <f t="shared" si="3"/>
        <v>968</v>
      </c>
      <c r="G53" s="68">
        <f t="shared" si="5"/>
        <v>975.74400000000003</v>
      </c>
      <c r="H53" s="68">
        <f t="shared" si="5"/>
        <v>983.54995200000008</v>
      </c>
      <c r="I53" s="68">
        <f t="shared" si="5"/>
        <v>991.41835161600011</v>
      </c>
      <c r="J53" s="68">
        <f t="shared" si="5"/>
        <v>999.34969842892815</v>
      </c>
      <c r="K53" s="68"/>
      <c r="L53" s="69"/>
    </row>
    <row r="54" spans="1:12" ht="15.6" x14ac:dyDescent="0.3">
      <c r="A54" s="125"/>
      <c r="B54" s="64" t="s">
        <v>63</v>
      </c>
      <c r="C54" s="65">
        <v>560126</v>
      </c>
      <c r="D54" s="66">
        <v>3</v>
      </c>
      <c r="E54" s="70">
        <v>360</v>
      </c>
      <c r="F54" s="74">
        <f t="shared" si="3"/>
        <v>1080</v>
      </c>
      <c r="G54" s="68">
        <f t="shared" si="5"/>
        <v>1088.6400000000001</v>
      </c>
      <c r="H54" s="68">
        <f t="shared" si="5"/>
        <v>1097.3491200000001</v>
      </c>
      <c r="I54" s="68">
        <f t="shared" si="5"/>
        <v>1106.12791296</v>
      </c>
      <c r="J54" s="68">
        <f t="shared" si="5"/>
        <v>1114.97693626368</v>
      </c>
      <c r="K54" s="68"/>
      <c r="L54" s="69"/>
    </row>
    <row r="55" spans="1:12" ht="15.6" x14ac:dyDescent="0.3">
      <c r="A55" s="125"/>
      <c r="B55" s="64" t="s">
        <v>67</v>
      </c>
      <c r="C55" s="65">
        <v>560365</v>
      </c>
      <c r="D55" s="66">
        <v>3</v>
      </c>
      <c r="E55" s="70">
        <v>344</v>
      </c>
      <c r="F55" s="74">
        <f t="shared" si="3"/>
        <v>1032</v>
      </c>
      <c r="G55" s="68">
        <f t="shared" si="5"/>
        <v>1040.2560000000001</v>
      </c>
      <c r="H55" s="68">
        <f t="shared" si="5"/>
        <v>1048.5780480000001</v>
      </c>
      <c r="I55" s="68">
        <f t="shared" si="5"/>
        <v>1056.966672384</v>
      </c>
      <c r="J55" s="68">
        <f t="shared" si="5"/>
        <v>1065.422405763072</v>
      </c>
      <c r="K55" s="68"/>
      <c r="L55" s="69"/>
    </row>
    <row r="56" spans="1:12" ht="15.6" x14ac:dyDescent="0.3">
      <c r="A56" s="125"/>
      <c r="B56" s="64" t="s">
        <v>116</v>
      </c>
      <c r="C56" s="65">
        <v>560735</v>
      </c>
      <c r="D56" s="66">
        <v>2</v>
      </c>
      <c r="E56" s="70">
        <v>234</v>
      </c>
      <c r="F56" s="74">
        <f t="shared" si="3"/>
        <v>468</v>
      </c>
      <c r="G56" s="68">
        <f t="shared" si="5"/>
        <v>471.74400000000003</v>
      </c>
      <c r="H56" s="68">
        <f t="shared" si="5"/>
        <v>475.51795200000004</v>
      </c>
      <c r="I56" s="68">
        <f t="shared" si="5"/>
        <v>479.32209561600001</v>
      </c>
      <c r="J56" s="68">
        <f t="shared" si="5"/>
        <v>483.156672380928</v>
      </c>
      <c r="K56" s="68"/>
      <c r="L56" s="69"/>
    </row>
    <row r="57" spans="1:12" ht="15.6" x14ac:dyDescent="0.3">
      <c r="A57" s="125"/>
      <c r="B57" s="64" t="s">
        <v>48</v>
      </c>
      <c r="C57" s="65">
        <v>560747</v>
      </c>
      <c r="D57" s="66">
        <v>5</v>
      </c>
      <c r="E57" s="70">
        <v>382</v>
      </c>
      <c r="F57" s="74">
        <f t="shared" si="3"/>
        <v>1910</v>
      </c>
      <c r="G57" s="68">
        <f t="shared" si="5"/>
        <v>1925.28</v>
      </c>
      <c r="H57" s="68">
        <f t="shared" si="5"/>
        <v>1940.6822399999999</v>
      </c>
      <c r="I57" s="68">
        <f t="shared" si="5"/>
        <v>1956.2076979199999</v>
      </c>
      <c r="J57" s="68">
        <f t="shared" si="5"/>
        <v>1971.8573595033599</v>
      </c>
      <c r="K57" s="68"/>
      <c r="L57" s="69"/>
    </row>
    <row r="58" spans="1:12" ht="15.6" x14ac:dyDescent="0.3">
      <c r="A58" s="125"/>
      <c r="B58" s="64" t="s">
        <v>12</v>
      </c>
      <c r="C58" s="65">
        <v>560765</v>
      </c>
      <c r="D58" s="66">
        <v>2</v>
      </c>
      <c r="E58" s="70">
        <v>382</v>
      </c>
      <c r="F58" s="74">
        <f t="shared" si="3"/>
        <v>764</v>
      </c>
      <c r="G58" s="68">
        <f t="shared" si="5"/>
        <v>770.11199999999997</v>
      </c>
      <c r="H58" s="68">
        <f t="shared" si="5"/>
        <v>776.27289599999995</v>
      </c>
      <c r="I58" s="68">
        <f t="shared" si="5"/>
        <v>782.4830791679999</v>
      </c>
      <c r="J58" s="68">
        <f t="shared" si="5"/>
        <v>788.74294380134393</v>
      </c>
      <c r="K58" s="68"/>
      <c r="L58" s="69"/>
    </row>
    <row r="59" spans="1:12" ht="15.6" x14ac:dyDescent="0.3">
      <c r="A59" s="125"/>
      <c r="B59" s="64" t="s">
        <v>117</v>
      </c>
      <c r="C59" s="65">
        <v>560806</v>
      </c>
      <c r="D59" s="66">
        <v>2</v>
      </c>
      <c r="E59" s="70">
        <v>306</v>
      </c>
      <c r="F59" s="74">
        <f t="shared" si="3"/>
        <v>612</v>
      </c>
      <c r="G59" s="68">
        <f t="shared" si="5"/>
        <v>616.89599999999996</v>
      </c>
      <c r="H59" s="68">
        <f t="shared" si="5"/>
        <v>621.83116799999993</v>
      </c>
      <c r="I59" s="68">
        <f t="shared" si="5"/>
        <v>626.80581734399993</v>
      </c>
      <c r="J59" s="68">
        <f t="shared" si="5"/>
        <v>631.82026388275199</v>
      </c>
      <c r="K59" s="68"/>
      <c r="L59" s="69"/>
    </row>
    <row r="60" spans="1:12" ht="15.6" x14ac:dyDescent="0.3">
      <c r="A60" s="125"/>
      <c r="B60" s="64" t="s">
        <v>46</v>
      </c>
      <c r="C60" s="65">
        <v>560844</v>
      </c>
      <c r="D60" s="66">
        <v>8</v>
      </c>
      <c r="E60" s="70">
        <v>328</v>
      </c>
      <c r="F60" s="74">
        <f t="shared" si="3"/>
        <v>2624</v>
      </c>
      <c r="G60" s="68">
        <f t="shared" si="5"/>
        <v>2644.9920000000002</v>
      </c>
      <c r="H60" s="68">
        <f t="shared" si="5"/>
        <v>2666.1519360000002</v>
      </c>
      <c r="I60" s="68">
        <f t="shared" si="5"/>
        <v>2687.4811514880003</v>
      </c>
      <c r="J60" s="68">
        <f t="shared" si="5"/>
        <v>2708.9810006999041</v>
      </c>
      <c r="K60" s="68"/>
      <c r="L60" s="69"/>
    </row>
    <row r="61" spans="1:12" ht="15.6" x14ac:dyDescent="0.3">
      <c r="A61" s="125"/>
      <c r="B61" s="64" t="s">
        <v>43</v>
      </c>
      <c r="C61" s="65">
        <v>561210</v>
      </c>
      <c r="D61" s="66">
        <v>8</v>
      </c>
      <c r="E61" s="70">
        <v>242</v>
      </c>
      <c r="F61" s="74">
        <f t="shared" si="3"/>
        <v>1936</v>
      </c>
      <c r="G61" s="68">
        <f t="shared" si="5"/>
        <v>1951.4880000000001</v>
      </c>
      <c r="H61" s="68">
        <f t="shared" si="5"/>
        <v>1967.0999040000002</v>
      </c>
      <c r="I61" s="68">
        <f t="shared" si="5"/>
        <v>1982.8367032320002</v>
      </c>
      <c r="J61" s="68">
        <f t="shared" si="5"/>
        <v>1998.6993968578563</v>
      </c>
      <c r="K61" s="68"/>
      <c r="L61" s="69"/>
    </row>
    <row r="62" spans="1:12" ht="15.6" x14ac:dyDescent="0.3">
      <c r="A62" s="125"/>
      <c r="B62" s="64" t="s">
        <v>10</v>
      </c>
      <c r="C62" s="65">
        <v>561271</v>
      </c>
      <c r="D62" s="66">
        <v>5</v>
      </c>
      <c r="E62" s="70">
        <v>302</v>
      </c>
      <c r="F62" s="74">
        <f t="shared" si="3"/>
        <v>1510</v>
      </c>
      <c r="G62" s="68">
        <f t="shared" si="5"/>
        <v>1522.08</v>
      </c>
      <c r="H62" s="68">
        <f t="shared" si="5"/>
        <v>1534.2566399999998</v>
      </c>
      <c r="I62" s="68">
        <f t="shared" si="5"/>
        <v>1546.5306931199998</v>
      </c>
      <c r="J62" s="68">
        <f t="shared" si="5"/>
        <v>1558.9029386649597</v>
      </c>
      <c r="K62" s="68"/>
      <c r="L62" s="69"/>
    </row>
    <row r="63" spans="1:12" ht="15.6" x14ac:dyDescent="0.3">
      <c r="A63" s="125"/>
      <c r="B63" s="71" t="s">
        <v>155</v>
      </c>
      <c r="C63" s="72">
        <v>561272</v>
      </c>
      <c r="D63" s="73">
        <v>3</v>
      </c>
      <c r="E63" s="67">
        <v>432</v>
      </c>
      <c r="F63" s="74">
        <f t="shared" si="3"/>
        <v>1296</v>
      </c>
      <c r="G63" s="68">
        <f t="shared" si="5"/>
        <v>1306.3679999999999</v>
      </c>
      <c r="H63" s="68">
        <f t="shared" si="5"/>
        <v>1316.8189439999999</v>
      </c>
      <c r="I63" s="68">
        <f t="shared" si="5"/>
        <v>1327.3534955519999</v>
      </c>
      <c r="J63" s="68">
        <f t="shared" si="5"/>
        <v>1337.9723235164158</v>
      </c>
      <c r="K63" s="68"/>
      <c r="L63" s="69"/>
    </row>
    <row r="64" spans="1:12" ht="15.6" x14ac:dyDescent="0.3">
      <c r="A64" s="125"/>
      <c r="B64" s="64" t="s">
        <v>106</v>
      </c>
      <c r="C64" s="65">
        <v>561349</v>
      </c>
      <c r="D64" s="66">
        <v>2</v>
      </c>
      <c r="E64" s="70">
        <v>258</v>
      </c>
      <c r="F64" s="74">
        <f t="shared" si="3"/>
        <v>516</v>
      </c>
      <c r="G64" s="68">
        <f t="shared" si="5"/>
        <v>520.12800000000004</v>
      </c>
      <c r="H64" s="68">
        <f t="shared" si="5"/>
        <v>524.28902400000004</v>
      </c>
      <c r="I64" s="68">
        <f t="shared" si="5"/>
        <v>528.48333619200002</v>
      </c>
      <c r="J64" s="68">
        <f t="shared" si="5"/>
        <v>532.711202881536</v>
      </c>
      <c r="K64" s="68"/>
      <c r="L64" s="69"/>
    </row>
    <row r="65" spans="1:12" ht="15.6" x14ac:dyDescent="0.3">
      <c r="A65" s="125"/>
      <c r="B65" s="64" t="s">
        <v>99</v>
      </c>
      <c r="C65" s="65">
        <v>561355</v>
      </c>
      <c r="D65" s="66">
        <v>2</v>
      </c>
      <c r="E65" s="70">
        <v>170</v>
      </c>
      <c r="F65" s="74">
        <f t="shared" si="3"/>
        <v>340</v>
      </c>
      <c r="G65" s="68">
        <f t="shared" si="5"/>
        <v>342.72</v>
      </c>
      <c r="H65" s="68">
        <f t="shared" si="5"/>
        <v>345.46176000000003</v>
      </c>
      <c r="I65" s="68">
        <f t="shared" si="5"/>
        <v>348.22545408000002</v>
      </c>
      <c r="J65" s="68">
        <f t="shared" si="5"/>
        <v>351.01125771264003</v>
      </c>
      <c r="K65" s="68"/>
      <c r="L65" s="69"/>
    </row>
    <row r="66" spans="1:12" ht="15.6" x14ac:dyDescent="0.3">
      <c r="A66" s="125"/>
      <c r="B66" s="64" t="s">
        <v>40</v>
      </c>
      <c r="C66" s="65">
        <v>562516</v>
      </c>
      <c r="D66" s="66">
        <v>5</v>
      </c>
      <c r="E66" s="70">
        <v>306</v>
      </c>
      <c r="F66" s="74">
        <f t="shared" si="3"/>
        <v>1530</v>
      </c>
      <c r="G66" s="68">
        <f t="shared" si="5"/>
        <v>1542.24</v>
      </c>
      <c r="H66" s="68">
        <f t="shared" si="5"/>
        <v>1554.5779199999999</v>
      </c>
      <c r="I66" s="68">
        <f t="shared" si="5"/>
        <v>1567.0145433600001</v>
      </c>
      <c r="J66" s="68">
        <f t="shared" si="5"/>
        <v>1579.55065970688</v>
      </c>
      <c r="K66" s="68"/>
      <c r="L66" s="69"/>
    </row>
    <row r="67" spans="1:12" ht="15.6" x14ac:dyDescent="0.3">
      <c r="A67" s="125"/>
      <c r="B67" s="64" t="s">
        <v>35</v>
      </c>
      <c r="C67" s="65">
        <v>562596</v>
      </c>
      <c r="D67" s="66">
        <v>2</v>
      </c>
      <c r="E67" s="70">
        <v>426</v>
      </c>
      <c r="F67" s="74">
        <f t="shared" ref="F67:F98" si="6">E67*D67</f>
        <v>852</v>
      </c>
      <c r="G67" s="68">
        <f t="shared" si="5"/>
        <v>858.81600000000003</v>
      </c>
      <c r="H67" s="68">
        <f t="shared" si="5"/>
        <v>865.68652800000007</v>
      </c>
      <c r="I67" s="68">
        <f t="shared" si="5"/>
        <v>872.61202022400005</v>
      </c>
      <c r="J67" s="68">
        <f t="shared" si="5"/>
        <v>879.59291638579202</v>
      </c>
      <c r="K67" s="68"/>
      <c r="L67" s="69"/>
    </row>
    <row r="68" spans="1:12" ht="15.6" x14ac:dyDescent="0.3">
      <c r="A68" s="125"/>
      <c r="B68" s="64" t="s">
        <v>58</v>
      </c>
      <c r="C68" s="65">
        <v>562641</v>
      </c>
      <c r="D68" s="66">
        <v>2</v>
      </c>
      <c r="E68" s="70">
        <v>426</v>
      </c>
      <c r="F68" s="74">
        <f t="shared" si="6"/>
        <v>852</v>
      </c>
      <c r="G68" s="68">
        <f t="shared" ref="G68:J83" si="7">F68+F68*0.8%</f>
        <v>858.81600000000003</v>
      </c>
      <c r="H68" s="68">
        <f t="shared" si="7"/>
        <v>865.68652800000007</v>
      </c>
      <c r="I68" s="68">
        <f t="shared" si="7"/>
        <v>872.61202022400005</v>
      </c>
      <c r="J68" s="68">
        <f t="shared" si="7"/>
        <v>879.59291638579202</v>
      </c>
      <c r="K68" s="68"/>
      <c r="L68" s="69"/>
    </row>
    <row r="69" spans="1:12" ht="15.6" x14ac:dyDescent="0.3">
      <c r="A69" s="125"/>
      <c r="B69" s="64" t="s">
        <v>61</v>
      </c>
      <c r="C69" s="65">
        <v>562655</v>
      </c>
      <c r="D69" s="66">
        <v>5</v>
      </c>
      <c r="E69" s="70">
        <v>454</v>
      </c>
      <c r="F69" s="74">
        <f t="shared" si="6"/>
        <v>2270</v>
      </c>
      <c r="G69" s="68">
        <f t="shared" si="7"/>
        <v>2288.16</v>
      </c>
      <c r="H69" s="68">
        <f t="shared" si="7"/>
        <v>2306.4652799999999</v>
      </c>
      <c r="I69" s="68">
        <f t="shared" si="7"/>
        <v>2324.9170022399999</v>
      </c>
      <c r="J69" s="68">
        <f t="shared" si="7"/>
        <v>2343.5163382579199</v>
      </c>
      <c r="K69" s="68"/>
      <c r="L69" s="69"/>
    </row>
    <row r="70" spans="1:12" ht="15.6" x14ac:dyDescent="0.3">
      <c r="A70" s="125"/>
      <c r="B70" s="64" t="s">
        <v>66</v>
      </c>
      <c r="C70" s="65">
        <v>562970</v>
      </c>
      <c r="D70" s="66">
        <v>12</v>
      </c>
      <c r="E70" s="70">
        <v>454</v>
      </c>
      <c r="F70" s="74">
        <f t="shared" si="6"/>
        <v>5448</v>
      </c>
      <c r="G70" s="68">
        <f t="shared" si="7"/>
        <v>5491.5839999999998</v>
      </c>
      <c r="H70" s="68">
        <f t="shared" si="7"/>
        <v>5535.5166719999997</v>
      </c>
      <c r="I70" s="68">
        <f t="shared" si="7"/>
        <v>5579.8008053759995</v>
      </c>
      <c r="J70" s="68">
        <f t="shared" si="7"/>
        <v>5624.4392118190071</v>
      </c>
      <c r="K70" s="68"/>
      <c r="L70" s="69"/>
    </row>
    <row r="71" spans="1:12" ht="15.6" x14ac:dyDescent="0.3">
      <c r="A71" s="125"/>
      <c r="B71" s="64" t="s">
        <v>49</v>
      </c>
      <c r="C71" s="65">
        <v>563079</v>
      </c>
      <c r="D71" s="66">
        <v>8</v>
      </c>
      <c r="E71" s="70">
        <v>306</v>
      </c>
      <c r="F71" s="74">
        <f t="shared" si="6"/>
        <v>2448</v>
      </c>
      <c r="G71" s="68">
        <f t="shared" si="7"/>
        <v>2467.5839999999998</v>
      </c>
      <c r="H71" s="68">
        <f t="shared" si="7"/>
        <v>2487.3246719999997</v>
      </c>
      <c r="I71" s="68">
        <f t="shared" si="7"/>
        <v>2507.2232693759997</v>
      </c>
      <c r="J71" s="68">
        <f t="shared" si="7"/>
        <v>2527.281055531008</v>
      </c>
      <c r="K71" s="68"/>
      <c r="L71" s="69"/>
    </row>
    <row r="72" spans="1:12" ht="15.6" x14ac:dyDescent="0.3">
      <c r="A72" s="125"/>
      <c r="B72" s="71" t="s">
        <v>160</v>
      </c>
      <c r="C72" s="65">
        <v>644489</v>
      </c>
      <c r="D72" s="66">
        <v>3</v>
      </c>
      <c r="E72" s="67">
        <v>402</v>
      </c>
      <c r="F72" s="74">
        <f t="shared" si="6"/>
        <v>1206</v>
      </c>
      <c r="G72" s="68">
        <f t="shared" si="7"/>
        <v>1215.6479999999999</v>
      </c>
      <c r="H72" s="68">
        <f t="shared" si="7"/>
        <v>1225.3731839999998</v>
      </c>
      <c r="I72" s="68">
        <f t="shared" si="7"/>
        <v>1235.1761694719999</v>
      </c>
      <c r="J72" s="68">
        <f t="shared" si="7"/>
        <v>1245.0575788277758</v>
      </c>
      <c r="K72" s="68"/>
      <c r="L72" s="69"/>
    </row>
    <row r="73" spans="1:12" ht="15.6" x14ac:dyDescent="0.3">
      <c r="A73" s="125"/>
      <c r="B73" s="64" t="s">
        <v>96</v>
      </c>
      <c r="C73" s="65">
        <v>563204</v>
      </c>
      <c r="D73" s="66">
        <v>10</v>
      </c>
      <c r="E73" s="70">
        <v>432</v>
      </c>
      <c r="F73" s="74">
        <f t="shared" si="6"/>
        <v>4320</v>
      </c>
      <c r="G73" s="68">
        <f t="shared" si="7"/>
        <v>4354.5600000000004</v>
      </c>
      <c r="H73" s="68">
        <f t="shared" si="7"/>
        <v>4389.3964800000003</v>
      </c>
      <c r="I73" s="68">
        <f t="shared" si="7"/>
        <v>4424.51165184</v>
      </c>
      <c r="J73" s="68">
        <f t="shared" si="7"/>
        <v>4459.9077450547202</v>
      </c>
      <c r="K73" s="68"/>
      <c r="L73" s="69"/>
    </row>
    <row r="74" spans="1:12" ht="15.6" x14ac:dyDescent="0.3">
      <c r="A74" s="125"/>
      <c r="B74" s="64" t="s">
        <v>39</v>
      </c>
      <c r="C74" s="65">
        <v>563219</v>
      </c>
      <c r="D74" s="66">
        <v>5</v>
      </c>
      <c r="E74" s="70">
        <v>454</v>
      </c>
      <c r="F74" s="74">
        <f t="shared" si="6"/>
        <v>2270</v>
      </c>
      <c r="G74" s="68">
        <f t="shared" si="7"/>
        <v>2288.16</v>
      </c>
      <c r="H74" s="68">
        <f t="shared" si="7"/>
        <v>2306.4652799999999</v>
      </c>
      <c r="I74" s="68">
        <f t="shared" si="7"/>
        <v>2324.9170022399999</v>
      </c>
      <c r="J74" s="68">
        <f t="shared" si="7"/>
        <v>2343.5163382579199</v>
      </c>
      <c r="K74" s="68"/>
      <c r="L74" s="69"/>
    </row>
    <row r="75" spans="1:12" ht="15.6" x14ac:dyDescent="0.3">
      <c r="A75" s="125"/>
      <c r="B75" s="64" t="s">
        <v>37</v>
      </c>
      <c r="C75" s="65">
        <v>563352</v>
      </c>
      <c r="D75" s="66">
        <v>5</v>
      </c>
      <c r="E75" s="70">
        <v>432</v>
      </c>
      <c r="F75" s="74">
        <f t="shared" si="6"/>
        <v>2160</v>
      </c>
      <c r="G75" s="68">
        <f t="shared" si="7"/>
        <v>2177.2800000000002</v>
      </c>
      <c r="H75" s="68">
        <f t="shared" si="7"/>
        <v>2194.6982400000002</v>
      </c>
      <c r="I75" s="68">
        <f t="shared" si="7"/>
        <v>2212.25582592</v>
      </c>
      <c r="J75" s="68">
        <f t="shared" si="7"/>
        <v>2229.9538725273601</v>
      </c>
      <c r="K75" s="68"/>
      <c r="L75" s="69"/>
    </row>
    <row r="76" spans="1:12" ht="15.6" x14ac:dyDescent="0.3">
      <c r="A76" s="125"/>
      <c r="B76" s="64" t="s">
        <v>34</v>
      </c>
      <c r="C76" s="65">
        <v>563743</v>
      </c>
      <c r="D76" s="66">
        <v>8</v>
      </c>
      <c r="E76" s="70">
        <v>426</v>
      </c>
      <c r="F76" s="74">
        <f t="shared" si="6"/>
        <v>3408</v>
      </c>
      <c r="G76" s="68">
        <f t="shared" si="7"/>
        <v>3435.2640000000001</v>
      </c>
      <c r="H76" s="68">
        <f t="shared" si="7"/>
        <v>3462.7461120000003</v>
      </c>
      <c r="I76" s="68">
        <f t="shared" si="7"/>
        <v>3490.4480808960002</v>
      </c>
      <c r="J76" s="68">
        <f t="shared" si="7"/>
        <v>3518.3716655431681</v>
      </c>
      <c r="K76" s="68"/>
      <c r="L76" s="69"/>
    </row>
    <row r="77" spans="1:12" ht="15.6" x14ac:dyDescent="0.3">
      <c r="A77" s="125"/>
      <c r="B77" s="64" t="s">
        <v>80</v>
      </c>
      <c r="C77" s="65">
        <v>563798</v>
      </c>
      <c r="D77" s="66">
        <v>12</v>
      </c>
      <c r="E77" s="70">
        <v>416</v>
      </c>
      <c r="F77" s="74">
        <f t="shared" si="6"/>
        <v>4992</v>
      </c>
      <c r="G77" s="68">
        <f t="shared" si="7"/>
        <v>5031.9359999999997</v>
      </c>
      <c r="H77" s="68">
        <f t="shared" si="7"/>
        <v>5072.1914879999995</v>
      </c>
      <c r="I77" s="68">
        <f t="shared" si="7"/>
        <v>5112.7690199039998</v>
      </c>
      <c r="J77" s="68">
        <f t="shared" si="7"/>
        <v>5153.671172063232</v>
      </c>
      <c r="K77" s="68"/>
      <c r="L77" s="69"/>
    </row>
    <row r="78" spans="1:12" ht="15.6" x14ac:dyDescent="0.3">
      <c r="A78" s="125"/>
      <c r="B78" s="71" t="s">
        <v>147</v>
      </c>
      <c r="C78" s="72">
        <v>563836</v>
      </c>
      <c r="D78" s="73">
        <v>3</v>
      </c>
      <c r="E78" s="67">
        <v>396</v>
      </c>
      <c r="F78" s="74">
        <f t="shared" si="6"/>
        <v>1188</v>
      </c>
      <c r="G78" s="68">
        <f t="shared" si="7"/>
        <v>1197.5039999999999</v>
      </c>
      <c r="H78" s="68">
        <f t="shared" si="7"/>
        <v>1207.084032</v>
      </c>
      <c r="I78" s="68">
        <f t="shared" si="7"/>
        <v>1216.7407042560001</v>
      </c>
      <c r="J78" s="68">
        <f t="shared" si="7"/>
        <v>1226.4746298900482</v>
      </c>
      <c r="K78" s="68"/>
      <c r="L78" s="69"/>
    </row>
    <row r="79" spans="1:12" ht="15.6" x14ac:dyDescent="0.3">
      <c r="A79" s="125"/>
      <c r="B79" s="64" t="s">
        <v>108</v>
      </c>
      <c r="C79" s="65">
        <v>563919</v>
      </c>
      <c r="D79" s="66">
        <v>6</v>
      </c>
      <c r="E79" s="70">
        <v>278</v>
      </c>
      <c r="F79" s="74">
        <f t="shared" si="6"/>
        <v>1668</v>
      </c>
      <c r="G79" s="68">
        <f t="shared" si="7"/>
        <v>1681.3440000000001</v>
      </c>
      <c r="H79" s="68">
        <f t="shared" si="7"/>
        <v>1694.794752</v>
      </c>
      <c r="I79" s="68">
        <f t="shared" si="7"/>
        <v>1708.3531100160001</v>
      </c>
      <c r="J79" s="68">
        <f t="shared" si="7"/>
        <v>1722.019934896128</v>
      </c>
      <c r="K79" s="68"/>
      <c r="L79" s="69"/>
    </row>
    <row r="80" spans="1:12" ht="15.6" x14ac:dyDescent="0.3">
      <c r="A80" s="125"/>
      <c r="B80" s="64" t="s">
        <v>55</v>
      </c>
      <c r="C80" s="65">
        <v>563965</v>
      </c>
      <c r="D80" s="66">
        <v>8</v>
      </c>
      <c r="E80" s="67">
        <v>456</v>
      </c>
      <c r="F80" s="74">
        <f t="shared" si="6"/>
        <v>3648</v>
      </c>
      <c r="G80" s="68">
        <f t="shared" si="7"/>
        <v>3677.1840000000002</v>
      </c>
      <c r="H80" s="68">
        <f t="shared" si="7"/>
        <v>3706.6014720000003</v>
      </c>
      <c r="I80" s="68">
        <f t="shared" si="7"/>
        <v>3736.2542837760002</v>
      </c>
      <c r="J80" s="68">
        <f t="shared" si="7"/>
        <v>3766.1443180462084</v>
      </c>
      <c r="K80" s="68"/>
      <c r="L80" s="69"/>
    </row>
    <row r="81" spans="1:12" ht="15.6" x14ac:dyDescent="0.3">
      <c r="A81" s="125"/>
      <c r="B81" s="64" t="s">
        <v>11</v>
      </c>
      <c r="C81" s="65">
        <v>564017</v>
      </c>
      <c r="D81" s="66">
        <v>2</v>
      </c>
      <c r="E81" s="70">
        <v>316</v>
      </c>
      <c r="F81" s="74">
        <f t="shared" si="6"/>
        <v>632</v>
      </c>
      <c r="G81" s="68">
        <f t="shared" si="7"/>
        <v>637.05600000000004</v>
      </c>
      <c r="H81" s="68">
        <f t="shared" si="7"/>
        <v>642.15244800000005</v>
      </c>
      <c r="I81" s="68">
        <f t="shared" si="7"/>
        <v>647.28966758400009</v>
      </c>
      <c r="J81" s="68">
        <f t="shared" si="7"/>
        <v>652.46798492467212</v>
      </c>
      <c r="K81" s="68"/>
      <c r="L81" s="69"/>
    </row>
    <row r="82" spans="1:12" ht="15.6" x14ac:dyDescent="0.3">
      <c r="A82" s="125"/>
      <c r="B82" s="64" t="s">
        <v>30</v>
      </c>
      <c r="C82" s="65">
        <v>565192</v>
      </c>
      <c r="D82" s="66">
        <v>5</v>
      </c>
      <c r="E82" s="70">
        <v>316</v>
      </c>
      <c r="F82" s="74">
        <f t="shared" si="6"/>
        <v>1580</v>
      </c>
      <c r="G82" s="68">
        <f t="shared" si="7"/>
        <v>1592.64</v>
      </c>
      <c r="H82" s="68">
        <f t="shared" si="7"/>
        <v>1605.38112</v>
      </c>
      <c r="I82" s="68">
        <f t="shared" si="7"/>
        <v>1618.22416896</v>
      </c>
      <c r="J82" s="68">
        <f t="shared" si="7"/>
        <v>1631.1699623116801</v>
      </c>
      <c r="K82" s="68"/>
      <c r="L82" s="69"/>
    </row>
    <row r="83" spans="1:12" ht="15.6" x14ac:dyDescent="0.3">
      <c r="A83" s="125"/>
      <c r="B83" s="64" t="s">
        <v>83</v>
      </c>
      <c r="C83" s="65">
        <v>565535</v>
      </c>
      <c r="D83" s="66">
        <v>3</v>
      </c>
      <c r="E83" s="70">
        <v>322</v>
      </c>
      <c r="F83" s="74">
        <f t="shared" si="6"/>
        <v>966</v>
      </c>
      <c r="G83" s="68">
        <f t="shared" si="7"/>
        <v>973.72799999999995</v>
      </c>
      <c r="H83" s="68">
        <f t="shared" si="7"/>
        <v>981.51782399999991</v>
      </c>
      <c r="I83" s="68">
        <f t="shared" si="7"/>
        <v>989.36996659199986</v>
      </c>
      <c r="J83" s="68">
        <f t="shared" si="7"/>
        <v>997.28492632473581</v>
      </c>
      <c r="K83" s="68"/>
      <c r="L83" s="69"/>
    </row>
    <row r="84" spans="1:12" ht="15.6" x14ac:dyDescent="0.3">
      <c r="A84" s="125"/>
      <c r="B84" s="64" t="s">
        <v>2</v>
      </c>
      <c r="C84" s="65">
        <v>565616</v>
      </c>
      <c r="D84" s="66">
        <v>1</v>
      </c>
      <c r="E84" s="70">
        <v>354</v>
      </c>
      <c r="F84" s="74">
        <f t="shared" si="6"/>
        <v>354</v>
      </c>
      <c r="G84" s="68">
        <f t="shared" ref="G84:J99" si="8">F84+F84*0.8%</f>
        <v>356.83199999999999</v>
      </c>
      <c r="H84" s="68">
        <f t="shared" si="8"/>
        <v>359.68665599999997</v>
      </c>
      <c r="I84" s="68">
        <f t="shared" si="8"/>
        <v>362.56414924799998</v>
      </c>
      <c r="J84" s="68">
        <f t="shared" si="8"/>
        <v>365.46466244198399</v>
      </c>
      <c r="K84" s="68"/>
      <c r="L84" s="69"/>
    </row>
    <row r="85" spans="1:12" ht="15.6" x14ac:dyDescent="0.3">
      <c r="A85" s="125"/>
      <c r="B85" s="64" t="s">
        <v>5</v>
      </c>
      <c r="C85" s="65">
        <v>565774</v>
      </c>
      <c r="D85" s="66">
        <v>5</v>
      </c>
      <c r="E85" s="67">
        <v>388</v>
      </c>
      <c r="F85" s="74">
        <f t="shared" si="6"/>
        <v>1940</v>
      </c>
      <c r="G85" s="68">
        <f t="shared" si="8"/>
        <v>1955.52</v>
      </c>
      <c r="H85" s="68">
        <f t="shared" si="8"/>
        <v>1971.16416</v>
      </c>
      <c r="I85" s="68">
        <f t="shared" si="8"/>
        <v>1986.93347328</v>
      </c>
      <c r="J85" s="68">
        <f t="shared" si="8"/>
        <v>2002.8289410662401</v>
      </c>
      <c r="K85" s="68"/>
      <c r="L85" s="69"/>
    </row>
    <row r="86" spans="1:12" ht="15.6" x14ac:dyDescent="0.3">
      <c r="A86" s="125"/>
      <c r="B86" s="71" t="s">
        <v>169</v>
      </c>
      <c r="C86" s="72">
        <v>566137</v>
      </c>
      <c r="D86" s="73">
        <v>3</v>
      </c>
      <c r="E86" s="67">
        <v>456</v>
      </c>
      <c r="F86" s="74">
        <f t="shared" si="6"/>
        <v>1368</v>
      </c>
      <c r="G86" s="68">
        <f t="shared" si="8"/>
        <v>1378.944</v>
      </c>
      <c r="H86" s="68">
        <f t="shared" si="8"/>
        <v>1389.9755519999999</v>
      </c>
      <c r="I86" s="68">
        <f t="shared" si="8"/>
        <v>1401.095356416</v>
      </c>
      <c r="J86" s="68">
        <f t="shared" si="8"/>
        <v>1412.3041192673279</v>
      </c>
      <c r="K86" s="68"/>
      <c r="L86" s="69"/>
    </row>
    <row r="87" spans="1:12" ht="15.6" x14ac:dyDescent="0.3">
      <c r="A87" s="125"/>
      <c r="B87" s="64" t="s">
        <v>52</v>
      </c>
      <c r="C87" s="65">
        <v>567316</v>
      </c>
      <c r="D87" s="66">
        <v>8</v>
      </c>
      <c r="E87" s="67">
        <v>138</v>
      </c>
      <c r="F87" s="74">
        <f t="shared" si="6"/>
        <v>1104</v>
      </c>
      <c r="G87" s="68">
        <f t="shared" si="8"/>
        <v>1112.8320000000001</v>
      </c>
      <c r="H87" s="68">
        <f t="shared" si="8"/>
        <v>1121.7346560000001</v>
      </c>
      <c r="I87" s="68">
        <f t="shared" si="8"/>
        <v>1130.7085332480001</v>
      </c>
      <c r="J87" s="68">
        <f t="shared" si="8"/>
        <v>1139.7542015139841</v>
      </c>
      <c r="K87" s="68"/>
      <c r="L87" s="69"/>
    </row>
    <row r="88" spans="1:12" ht="15.6" x14ac:dyDescent="0.3">
      <c r="A88" s="125"/>
      <c r="B88" s="64" t="s">
        <v>53</v>
      </c>
      <c r="C88" s="65">
        <v>567354</v>
      </c>
      <c r="D88" s="66">
        <v>8</v>
      </c>
      <c r="E88" s="67">
        <v>322</v>
      </c>
      <c r="F88" s="74">
        <f t="shared" si="6"/>
        <v>2576</v>
      </c>
      <c r="G88" s="68">
        <f t="shared" si="8"/>
        <v>2596.6080000000002</v>
      </c>
      <c r="H88" s="68">
        <f t="shared" si="8"/>
        <v>2617.3808640000002</v>
      </c>
      <c r="I88" s="68">
        <f t="shared" si="8"/>
        <v>2638.3199109120001</v>
      </c>
      <c r="J88" s="68">
        <f t="shared" si="8"/>
        <v>2659.4264701992961</v>
      </c>
      <c r="K88" s="68"/>
      <c r="L88" s="69"/>
    </row>
    <row r="89" spans="1:12" ht="15.6" x14ac:dyDescent="0.3">
      <c r="A89" s="125"/>
      <c r="B89" s="64" t="s">
        <v>50</v>
      </c>
      <c r="C89" s="65">
        <v>568220</v>
      </c>
      <c r="D89" s="66">
        <v>9</v>
      </c>
      <c r="E89" s="67">
        <v>588</v>
      </c>
      <c r="F89" s="74">
        <f t="shared" si="6"/>
        <v>5292</v>
      </c>
      <c r="G89" s="68">
        <f t="shared" si="8"/>
        <v>5334.3360000000002</v>
      </c>
      <c r="H89" s="68">
        <f t="shared" si="8"/>
        <v>5377.0106880000003</v>
      </c>
      <c r="I89" s="68">
        <f t="shared" si="8"/>
        <v>5420.0267735040006</v>
      </c>
      <c r="J89" s="68">
        <f t="shared" si="8"/>
        <v>5463.3869876920326</v>
      </c>
      <c r="K89" s="68"/>
      <c r="L89" s="69"/>
    </row>
    <row r="90" spans="1:12" ht="15.6" x14ac:dyDescent="0.3">
      <c r="A90" s="125"/>
      <c r="B90" s="64" t="s">
        <v>42</v>
      </c>
      <c r="C90" s="65">
        <v>569250</v>
      </c>
      <c r="D90" s="66">
        <v>2</v>
      </c>
      <c r="E90" s="70">
        <v>454</v>
      </c>
      <c r="F90" s="74">
        <f t="shared" si="6"/>
        <v>908</v>
      </c>
      <c r="G90" s="68">
        <f t="shared" si="8"/>
        <v>915.26400000000001</v>
      </c>
      <c r="H90" s="68">
        <f t="shared" si="8"/>
        <v>922.58611199999996</v>
      </c>
      <c r="I90" s="68">
        <f t="shared" si="8"/>
        <v>929.966800896</v>
      </c>
      <c r="J90" s="68">
        <f t="shared" si="8"/>
        <v>937.40653530316797</v>
      </c>
      <c r="K90" s="68"/>
      <c r="L90" s="69"/>
    </row>
    <row r="91" spans="1:12" ht="15.6" x14ac:dyDescent="0.3">
      <c r="A91" s="125"/>
      <c r="B91" s="71" t="s">
        <v>150</v>
      </c>
      <c r="C91" s="72">
        <v>569695</v>
      </c>
      <c r="D91" s="73">
        <v>3</v>
      </c>
      <c r="E91" s="67">
        <v>472</v>
      </c>
      <c r="F91" s="74">
        <f t="shared" si="6"/>
        <v>1416</v>
      </c>
      <c r="G91" s="68">
        <f t="shared" si="8"/>
        <v>1427.328</v>
      </c>
      <c r="H91" s="68">
        <f t="shared" si="8"/>
        <v>1438.7466239999999</v>
      </c>
      <c r="I91" s="68">
        <f t="shared" si="8"/>
        <v>1450.2565969919999</v>
      </c>
      <c r="J91" s="68">
        <f t="shared" si="8"/>
        <v>1461.858649767936</v>
      </c>
      <c r="K91" s="68"/>
      <c r="L91" s="69"/>
    </row>
    <row r="92" spans="1:12" ht="15.6" x14ac:dyDescent="0.3">
      <c r="A92" s="125"/>
      <c r="B92" s="64" t="s">
        <v>77</v>
      </c>
      <c r="C92" s="65">
        <v>661415</v>
      </c>
      <c r="D92" s="66">
        <v>12</v>
      </c>
      <c r="E92" s="70">
        <v>340</v>
      </c>
      <c r="F92" s="74">
        <f t="shared" si="6"/>
        <v>4080</v>
      </c>
      <c r="G92" s="68">
        <f t="shared" si="8"/>
        <v>4112.6400000000003</v>
      </c>
      <c r="H92" s="68">
        <f t="shared" si="8"/>
        <v>4145.5411200000008</v>
      </c>
      <c r="I92" s="68">
        <f t="shared" si="8"/>
        <v>4178.7054489600005</v>
      </c>
      <c r="J92" s="68">
        <f t="shared" si="8"/>
        <v>4212.1350925516808</v>
      </c>
      <c r="K92" s="68"/>
      <c r="L92" s="69"/>
    </row>
    <row r="93" spans="1:12" ht="15.6" x14ac:dyDescent="0.3">
      <c r="A93" s="125"/>
      <c r="B93" s="64" t="s">
        <v>84</v>
      </c>
      <c r="C93" s="65">
        <v>661614</v>
      </c>
      <c r="D93" s="66">
        <v>2</v>
      </c>
      <c r="E93" s="70">
        <v>114</v>
      </c>
      <c r="F93" s="74">
        <f t="shared" si="6"/>
        <v>228</v>
      </c>
      <c r="G93" s="68">
        <f t="shared" si="8"/>
        <v>229.82400000000001</v>
      </c>
      <c r="H93" s="68">
        <f t="shared" si="8"/>
        <v>231.66259200000002</v>
      </c>
      <c r="I93" s="68">
        <f t="shared" si="8"/>
        <v>233.51589273600001</v>
      </c>
      <c r="J93" s="68">
        <f t="shared" si="8"/>
        <v>235.38401987788802</v>
      </c>
      <c r="K93" s="68"/>
      <c r="L93" s="69"/>
    </row>
    <row r="94" spans="1:12" ht="15.6" x14ac:dyDescent="0.3">
      <c r="A94" s="125"/>
      <c r="B94" s="64" t="s">
        <v>120</v>
      </c>
      <c r="C94" s="65">
        <v>661615</v>
      </c>
      <c r="D94" s="66">
        <v>2</v>
      </c>
      <c r="E94" s="70">
        <v>242</v>
      </c>
      <c r="F94" s="74">
        <f t="shared" si="6"/>
        <v>484</v>
      </c>
      <c r="G94" s="68">
        <f t="shared" si="8"/>
        <v>487.87200000000001</v>
      </c>
      <c r="H94" s="68">
        <f t="shared" si="8"/>
        <v>491.77497600000004</v>
      </c>
      <c r="I94" s="68">
        <f t="shared" si="8"/>
        <v>495.70917580800005</v>
      </c>
      <c r="J94" s="68">
        <f t="shared" si="8"/>
        <v>499.67484921446407</v>
      </c>
      <c r="K94" s="68"/>
      <c r="L94" s="69"/>
    </row>
    <row r="95" spans="1:12" ht="15.6" x14ac:dyDescent="0.3">
      <c r="A95" s="125"/>
      <c r="B95" s="64" t="s">
        <v>121</v>
      </c>
      <c r="C95" s="65">
        <v>661616</v>
      </c>
      <c r="D95" s="66">
        <v>2</v>
      </c>
      <c r="E95" s="70">
        <v>242</v>
      </c>
      <c r="F95" s="74">
        <f t="shared" si="6"/>
        <v>484</v>
      </c>
      <c r="G95" s="68">
        <f t="shared" si="8"/>
        <v>487.87200000000001</v>
      </c>
      <c r="H95" s="68">
        <f t="shared" si="8"/>
        <v>491.77497600000004</v>
      </c>
      <c r="I95" s="68">
        <f t="shared" si="8"/>
        <v>495.70917580800005</v>
      </c>
      <c r="J95" s="68">
        <f t="shared" si="8"/>
        <v>499.67484921446407</v>
      </c>
      <c r="K95" s="68"/>
      <c r="L95" s="69"/>
    </row>
    <row r="96" spans="1:12" ht="15.6" x14ac:dyDescent="0.3">
      <c r="A96" s="125"/>
      <c r="B96" s="64" t="s">
        <v>122</v>
      </c>
      <c r="C96" s="65">
        <v>661617</v>
      </c>
      <c r="D96" s="66">
        <v>2</v>
      </c>
      <c r="E96" s="70">
        <v>242</v>
      </c>
      <c r="F96" s="74">
        <f t="shared" si="6"/>
        <v>484</v>
      </c>
      <c r="G96" s="68">
        <f t="shared" si="8"/>
        <v>487.87200000000001</v>
      </c>
      <c r="H96" s="68">
        <f t="shared" si="8"/>
        <v>491.77497600000004</v>
      </c>
      <c r="I96" s="68">
        <f t="shared" si="8"/>
        <v>495.70917580800005</v>
      </c>
      <c r="J96" s="68">
        <f t="shared" si="8"/>
        <v>499.67484921446407</v>
      </c>
      <c r="K96" s="68"/>
      <c r="L96" s="69"/>
    </row>
    <row r="97" spans="1:12" ht="15.6" x14ac:dyDescent="0.3">
      <c r="A97" s="125"/>
      <c r="B97" s="64" t="s">
        <v>75</v>
      </c>
      <c r="C97" s="65">
        <v>661618</v>
      </c>
      <c r="D97" s="66">
        <v>3</v>
      </c>
      <c r="E97" s="70">
        <v>242</v>
      </c>
      <c r="F97" s="74">
        <f t="shared" si="6"/>
        <v>726</v>
      </c>
      <c r="G97" s="68">
        <f t="shared" si="8"/>
        <v>731.80799999999999</v>
      </c>
      <c r="H97" s="68">
        <f t="shared" si="8"/>
        <v>737.662464</v>
      </c>
      <c r="I97" s="68">
        <f t="shared" si="8"/>
        <v>743.56376371199997</v>
      </c>
      <c r="J97" s="68">
        <f t="shared" si="8"/>
        <v>749.512273821696</v>
      </c>
      <c r="K97" s="68"/>
      <c r="L97" s="69"/>
    </row>
    <row r="98" spans="1:12" ht="15.6" x14ac:dyDescent="0.3">
      <c r="A98" s="125"/>
      <c r="B98" s="64" t="s">
        <v>76</v>
      </c>
      <c r="C98" s="65">
        <v>661619</v>
      </c>
      <c r="D98" s="66">
        <v>2</v>
      </c>
      <c r="E98" s="70">
        <v>242</v>
      </c>
      <c r="F98" s="74">
        <f t="shared" si="6"/>
        <v>484</v>
      </c>
      <c r="G98" s="68">
        <f t="shared" si="8"/>
        <v>487.87200000000001</v>
      </c>
      <c r="H98" s="68">
        <f t="shared" si="8"/>
        <v>491.77497600000004</v>
      </c>
      <c r="I98" s="68">
        <f t="shared" si="8"/>
        <v>495.70917580800005</v>
      </c>
      <c r="J98" s="68">
        <f t="shared" si="8"/>
        <v>499.67484921446407</v>
      </c>
      <c r="K98" s="68"/>
      <c r="L98" s="69"/>
    </row>
    <row r="99" spans="1:12" ht="15.6" x14ac:dyDescent="0.3">
      <c r="A99" s="125"/>
      <c r="B99" s="64" t="s">
        <v>118</v>
      </c>
      <c r="C99" s="65">
        <v>661621</v>
      </c>
      <c r="D99" s="66">
        <v>2</v>
      </c>
      <c r="E99" s="70">
        <v>242</v>
      </c>
      <c r="F99" s="74">
        <f t="shared" ref="F99:F130" si="9">E99*D99</f>
        <v>484</v>
      </c>
      <c r="G99" s="68">
        <f t="shared" si="8"/>
        <v>487.87200000000001</v>
      </c>
      <c r="H99" s="68">
        <f t="shared" si="8"/>
        <v>491.77497600000004</v>
      </c>
      <c r="I99" s="68">
        <f t="shared" si="8"/>
        <v>495.70917580800005</v>
      </c>
      <c r="J99" s="68">
        <f t="shared" si="8"/>
        <v>499.67484921446407</v>
      </c>
      <c r="K99" s="68"/>
      <c r="L99" s="69"/>
    </row>
    <row r="100" spans="1:12" ht="15.6" x14ac:dyDescent="0.3">
      <c r="A100" s="125"/>
      <c r="B100" s="64" t="s">
        <v>97</v>
      </c>
      <c r="C100" s="65">
        <v>661622</v>
      </c>
      <c r="D100" s="66">
        <v>4</v>
      </c>
      <c r="E100" s="70">
        <v>242</v>
      </c>
      <c r="F100" s="74">
        <f t="shared" si="9"/>
        <v>968</v>
      </c>
      <c r="G100" s="68">
        <f t="shared" ref="G100:J115" si="10">F100+F100*0.8%</f>
        <v>975.74400000000003</v>
      </c>
      <c r="H100" s="68">
        <f t="shared" si="10"/>
        <v>983.54995200000008</v>
      </c>
      <c r="I100" s="68">
        <f t="shared" si="10"/>
        <v>991.41835161600011</v>
      </c>
      <c r="J100" s="68">
        <f t="shared" si="10"/>
        <v>999.34969842892815</v>
      </c>
      <c r="K100" s="68"/>
      <c r="L100" s="69"/>
    </row>
    <row r="101" spans="1:12" ht="15.6" x14ac:dyDescent="0.3">
      <c r="A101" s="125"/>
      <c r="B101" s="64" t="s">
        <v>88</v>
      </c>
      <c r="C101" s="65">
        <v>661623</v>
      </c>
      <c r="D101" s="66">
        <v>4</v>
      </c>
      <c r="E101" s="70">
        <v>242</v>
      </c>
      <c r="F101" s="74">
        <f t="shared" si="9"/>
        <v>968</v>
      </c>
      <c r="G101" s="68">
        <f t="shared" si="10"/>
        <v>975.74400000000003</v>
      </c>
      <c r="H101" s="68">
        <f t="shared" si="10"/>
        <v>983.54995200000008</v>
      </c>
      <c r="I101" s="68">
        <f t="shared" si="10"/>
        <v>991.41835161600011</v>
      </c>
      <c r="J101" s="68">
        <f t="shared" si="10"/>
        <v>999.34969842892815</v>
      </c>
      <c r="K101" s="68"/>
      <c r="L101" s="69"/>
    </row>
    <row r="102" spans="1:12" ht="15.6" x14ac:dyDescent="0.3">
      <c r="A102" s="125"/>
      <c r="B102" s="64" t="s">
        <v>125</v>
      </c>
      <c r="C102" s="65">
        <v>661624</v>
      </c>
      <c r="D102" s="66">
        <v>2</v>
      </c>
      <c r="E102" s="70">
        <v>242</v>
      </c>
      <c r="F102" s="74">
        <f t="shared" si="9"/>
        <v>484</v>
      </c>
      <c r="G102" s="68">
        <f t="shared" si="10"/>
        <v>487.87200000000001</v>
      </c>
      <c r="H102" s="68">
        <f t="shared" si="10"/>
        <v>491.77497600000004</v>
      </c>
      <c r="I102" s="68">
        <f t="shared" si="10"/>
        <v>495.70917580800005</v>
      </c>
      <c r="J102" s="68">
        <f t="shared" si="10"/>
        <v>499.67484921446407</v>
      </c>
      <c r="K102" s="68"/>
      <c r="L102" s="69"/>
    </row>
    <row r="103" spans="1:12" ht="15.6" x14ac:dyDescent="0.3">
      <c r="A103" s="125"/>
      <c r="B103" s="64" t="s">
        <v>123</v>
      </c>
      <c r="C103" s="65">
        <v>661625</v>
      </c>
      <c r="D103" s="66">
        <v>2</v>
      </c>
      <c r="E103" s="70">
        <v>242</v>
      </c>
      <c r="F103" s="74">
        <f t="shared" si="9"/>
        <v>484</v>
      </c>
      <c r="G103" s="68">
        <f t="shared" si="10"/>
        <v>487.87200000000001</v>
      </c>
      <c r="H103" s="68">
        <f t="shared" si="10"/>
        <v>491.77497600000004</v>
      </c>
      <c r="I103" s="68">
        <f t="shared" si="10"/>
        <v>495.70917580800005</v>
      </c>
      <c r="J103" s="68">
        <f t="shared" si="10"/>
        <v>499.67484921446407</v>
      </c>
      <c r="K103" s="68"/>
      <c r="L103" s="69"/>
    </row>
    <row r="104" spans="1:12" ht="15.6" x14ac:dyDescent="0.3">
      <c r="A104" s="125"/>
      <c r="B104" s="64" t="s">
        <v>124</v>
      </c>
      <c r="C104" s="65">
        <v>661628</v>
      </c>
      <c r="D104" s="66">
        <v>2</v>
      </c>
      <c r="E104" s="70">
        <v>274</v>
      </c>
      <c r="F104" s="74">
        <f t="shared" si="9"/>
        <v>548</v>
      </c>
      <c r="G104" s="68">
        <f t="shared" si="10"/>
        <v>552.38400000000001</v>
      </c>
      <c r="H104" s="68">
        <f t="shared" si="10"/>
        <v>556.80307200000004</v>
      </c>
      <c r="I104" s="68">
        <f t="shared" si="10"/>
        <v>561.25749657599999</v>
      </c>
      <c r="J104" s="68">
        <f t="shared" si="10"/>
        <v>565.74755654860803</v>
      </c>
      <c r="K104" s="68"/>
      <c r="L104" s="69"/>
    </row>
    <row r="105" spans="1:12" ht="15.6" x14ac:dyDescent="0.3">
      <c r="A105" s="125"/>
      <c r="B105" s="64" t="s">
        <v>126</v>
      </c>
      <c r="C105" s="65">
        <v>661630</v>
      </c>
      <c r="D105" s="66">
        <v>2</v>
      </c>
      <c r="E105" s="70">
        <v>242</v>
      </c>
      <c r="F105" s="74">
        <f t="shared" si="9"/>
        <v>484</v>
      </c>
      <c r="G105" s="68">
        <f t="shared" si="10"/>
        <v>487.87200000000001</v>
      </c>
      <c r="H105" s="68">
        <f t="shared" si="10"/>
        <v>491.77497600000004</v>
      </c>
      <c r="I105" s="68">
        <f t="shared" si="10"/>
        <v>495.70917580800005</v>
      </c>
      <c r="J105" s="68">
        <f t="shared" si="10"/>
        <v>499.67484921446407</v>
      </c>
      <c r="K105" s="68"/>
      <c r="L105" s="69"/>
    </row>
    <row r="106" spans="1:12" ht="15.6" x14ac:dyDescent="0.3">
      <c r="A106" s="125"/>
      <c r="B106" s="64" t="s">
        <v>54</v>
      </c>
      <c r="C106" s="65">
        <v>740086</v>
      </c>
      <c r="D106" s="66">
        <v>8</v>
      </c>
      <c r="E106" s="67">
        <v>172</v>
      </c>
      <c r="F106" s="74">
        <f t="shared" si="9"/>
        <v>1376</v>
      </c>
      <c r="G106" s="68">
        <f t="shared" si="10"/>
        <v>1387.008</v>
      </c>
      <c r="H106" s="68">
        <f t="shared" si="10"/>
        <v>1398.1040640000001</v>
      </c>
      <c r="I106" s="68">
        <f t="shared" si="10"/>
        <v>1409.2888965120001</v>
      </c>
      <c r="J106" s="68">
        <f t="shared" si="10"/>
        <v>1420.5632076840961</v>
      </c>
      <c r="K106" s="68"/>
      <c r="L106" s="69"/>
    </row>
    <row r="107" spans="1:12" ht="15.6" x14ac:dyDescent="0.3">
      <c r="A107" s="125"/>
      <c r="B107" s="71" t="s">
        <v>146</v>
      </c>
      <c r="C107" s="72">
        <v>740603</v>
      </c>
      <c r="D107" s="73">
        <v>2</v>
      </c>
      <c r="E107" s="67">
        <v>570</v>
      </c>
      <c r="F107" s="74">
        <f t="shared" si="9"/>
        <v>1140</v>
      </c>
      <c r="G107" s="68">
        <f t="shared" si="10"/>
        <v>1149.1199999999999</v>
      </c>
      <c r="H107" s="68">
        <f t="shared" si="10"/>
        <v>1158.31296</v>
      </c>
      <c r="I107" s="68">
        <f t="shared" si="10"/>
        <v>1167.5794636799999</v>
      </c>
      <c r="J107" s="68">
        <f t="shared" si="10"/>
        <v>1176.9200993894399</v>
      </c>
      <c r="K107" s="68"/>
      <c r="L107" s="69"/>
    </row>
    <row r="108" spans="1:12" ht="15.6" x14ac:dyDescent="0.3">
      <c r="A108" s="125"/>
      <c r="B108" s="71" t="s">
        <v>143</v>
      </c>
      <c r="C108" s="65">
        <v>742856</v>
      </c>
      <c r="D108" s="66">
        <v>2</v>
      </c>
      <c r="E108" s="67">
        <v>570</v>
      </c>
      <c r="F108" s="74">
        <f t="shared" si="9"/>
        <v>1140</v>
      </c>
      <c r="G108" s="68">
        <f t="shared" si="10"/>
        <v>1149.1199999999999</v>
      </c>
      <c r="H108" s="68">
        <f t="shared" si="10"/>
        <v>1158.31296</v>
      </c>
      <c r="I108" s="68">
        <f t="shared" si="10"/>
        <v>1167.5794636799999</v>
      </c>
      <c r="J108" s="68">
        <f t="shared" si="10"/>
        <v>1176.9200993894399</v>
      </c>
      <c r="K108" s="68"/>
      <c r="L108" s="69"/>
    </row>
    <row r="109" spans="1:12" ht="15.6" x14ac:dyDescent="0.3">
      <c r="A109" s="125"/>
      <c r="B109" s="64" t="s">
        <v>56</v>
      </c>
      <c r="C109" s="65">
        <v>745316</v>
      </c>
      <c r="D109" s="66">
        <v>8</v>
      </c>
      <c r="E109" s="67">
        <v>570</v>
      </c>
      <c r="F109" s="74">
        <f t="shared" si="9"/>
        <v>4560</v>
      </c>
      <c r="G109" s="68">
        <f t="shared" si="10"/>
        <v>4596.4799999999996</v>
      </c>
      <c r="H109" s="68">
        <f t="shared" si="10"/>
        <v>4633.2518399999999</v>
      </c>
      <c r="I109" s="68">
        <f t="shared" si="10"/>
        <v>4670.3178547199996</v>
      </c>
      <c r="J109" s="68">
        <f t="shared" si="10"/>
        <v>4707.6803975577595</v>
      </c>
      <c r="K109" s="68"/>
      <c r="L109" s="69"/>
    </row>
    <row r="110" spans="1:12" ht="15.6" x14ac:dyDescent="0.3">
      <c r="A110" s="125"/>
      <c r="B110" s="64" t="s">
        <v>57</v>
      </c>
      <c r="C110" s="65">
        <v>746498</v>
      </c>
      <c r="D110" s="66">
        <v>5</v>
      </c>
      <c r="E110" s="70">
        <v>554</v>
      </c>
      <c r="F110" s="74">
        <f t="shared" si="9"/>
        <v>2770</v>
      </c>
      <c r="G110" s="68">
        <f t="shared" si="10"/>
        <v>2792.16</v>
      </c>
      <c r="H110" s="68">
        <f t="shared" si="10"/>
        <v>2814.49728</v>
      </c>
      <c r="I110" s="68">
        <f t="shared" si="10"/>
        <v>2837.0132582400001</v>
      </c>
      <c r="J110" s="68">
        <f t="shared" si="10"/>
        <v>2859.7093643059202</v>
      </c>
      <c r="K110" s="68"/>
      <c r="L110" s="69"/>
    </row>
    <row r="111" spans="1:12" ht="15.6" x14ac:dyDescent="0.3">
      <c r="A111" s="125"/>
      <c r="B111" s="64" t="s">
        <v>45</v>
      </c>
      <c r="C111" s="65">
        <v>746675</v>
      </c>
      <c r="D111" s="66">
        <v>5</v>
      </c>
      <c r="E111" s="70">
        <v>554</v>
      </c>
      <c r="F111" s="74">
        <f t="shared" si="9"/>
        <v>2770</v>
      </c>
      <c r="G111" s="68">
        <f t="shared" si="10"/>
        <v>2792.16</v>
      </c>
      <c r="H111" s="68">
        <f t="shared" si="10"/>
        <v>2814.49728</v>
      </c>
      <c r="I111" s="68">
        <f t="shared" si="10"/>
        <v>2837.0132582400001</v>
      </c>
      <c r="J111" s="68">
        <f t="shared" si="10"/>
        <v>2859.7093643059202</v>
      </c>
      <c r="K111" s="68"/>
      <c r="L111" s="69"/>
    </row>
    <row r="112" spans="1:12" ht="15.6" x14ac:dyDescent="0.3">
      <c r="A112" s="125"/>
      <c r="B112" s="71" t="s">
        <v>149</v>
      </c>
      <c r="C112" s="72">
        <v>751671</v>
      </c>
      <c r="D112" s="73">
        <v>3</v>
      </c>
      <c r="E112" s="67">
        <v>570</v>
      </c>
      <c r="F112" s="74">
        <f t="shared" si="9"/>
        <v>1710</v>
      </c>
      <c r="G112" s="68">
        <f t="shared" si="10"/>
        <v>1723.68</v>
      </c>
      <c r="H112" s="68">
        <f t="shared" si="10"/>
        <v>1737.4694400000001</v>
      </c>
      <c r="I112" s="68">
        <f t="shared" si="10"/>
        <v>1751.3691955200002</v>
      </c>
      <c r="J112" s="68">
        <f t="shared" si="10"/>
        <v>1765.3801490841602</v>
      </c>
      <c r="K112" s="68"/>
      <c r="L112" s="69"/>
    </row>
    <row r="113" spans="1:12" ht="16.2" thickBot="1" x14ac:dyDescent="0.35">
      <c r="A113" s="126"/>
      <c r="B113" s="95" t="s">
        <v>162</v>
      </c>
      <c r="C113" s="96">
        <v>751673</v>
      </c>
      <c r="D113" s="97">
        <v>3</v>
      </c>
      <c r="E113" s="98">
        <v>570</v>
      </c>
      <c r="F113" s="92">
        <f t="shared" si="9"/>
        <v>1710</v>
      </c>
      <c r="G113" s="93">
        <f t="shared" si="10"/>
        <v>1723.68</v>
      </c>
      <c r="H113" s="93">
        <f t="shared" si="10"/>
        <v>1737.4694400000001</v>
      </c>
      <c r="I113" s="93">
        <f t="shared" si="10"/>
        <v>1751.3691955200002</v>
      </c>
      <c r="J113" s="93">
        <f t="shared" si="10"/>
        <v>1765.3801490841602</v>
      </c>
      <c r="K113" s="93"/>
      <c r="L113" s="94"/>
    </row>
    <row r="114" spans="1:12" ht="15.6" x14ac:dyDescent="0.3">
      <c r="A114" s="127" t="s">
        <v>232</v>
      </c>
      <c r="B114" s="77" t="s">
        <v>174</v>
      </c>
      <c r="C114" s="78">
        <v>651319</v>
      </c>
      <c r="D114" s="79">
        <v>4</v>
      </c>
      <c r="E114" s="87">
        <v>40</v>
      </c>
      <c r="F114" s="81">
        <f t="shared" si="9"/>
        <v>160</v>
      </c>
      <c r="G114" s="82">
        <f t="shared" si="10"/>
        <v>161.28</v>
      </c>
      <c r="H114" s="82">
        <f t="shared" si="10"/>
        <v>162.57024000000001</v>
      </c>
      <c r="I114" s="82">
        <f t="shared" si="10"/>
        <v>163.87080192000002</v>
      </c>
      <c r="J114" s="82">
        <f t="shared" si="10"/>
        <v>165.18176833536003</v>
      </c>
      <c r="K114" s="82">
        <f>SUM(F114:F126)</f>
        <v>26446.32</v>
      </c>
      <c r="L114" s="83"/>
    </row>
    <row r="115" spans="1:12" ht="15.6" x14ac:dyDescent="0.3">
      <c r="A115" s="128"/>
      <c r="B115" s="64" t="s">
        <v>175</v>
      </c>
      <c r="C115" s="65">
        <v>651314</v>
      </c>
      <c r="D115" s="66">
        <v>4</v>
      </c>
      <c r="E115" s="70">
        <v>40</v>
      </c>
      <c r="F115" s="74">
        <f t="shared" si="9"/>
        <v>160</v>
      </c>
      <c r="G115" s="68">
        <f t="shared" si="10"/>
        <v>161.28</v>
      </c>
      <c r="H115" s="68">
        <f t="shared" si="10"/>
        <v>162.57024000000001</v>
      </c>
      <c r="I115" s="68">
        <f t="shared" si="10"/>
        <v>163.87080192000002</v>
      </c>
      <c r="J115" s="68">
        <f t="shared" si="10"/>
        <v>165.18176833536003</v>
      </c>
      <c r="K115" s="68"/>
      <c r="L115" s="69"/>
    </row>
    <row r="116" spans="1:12" ht="15.6" x14ac:dyDescent="0.3">
      <c r="A116" s="128"/>
      <c r="B116" s="64" t="s">
        <v>176</v>
      </c>
      <c r="C116" s="65">
        <v>652941</v>
      </c>
      <c r="D116" s="66">
        <v>4</v>
      </c>
      <c r="E116" s="70">
        <v>326.7</v>
      </c>
      <c r="F116" s="74">
        <f t="shared" si="9"/>
        <v>1306.8</v>
      </c>
      <c r="G116" s="68">
        <f t="shared" ref="G116:J131" si="11">F116+F116*0.8%</f>
        <v>1317.2544</v>
      </c>
      <c r="H116" s="68">
        <f t="shared" si="11"/>
        <v>1327.7924352</v>
      </c>
      <c r="I116" s="68">
        <f t="shared" si="11"/>
        <v>1338.4147746816</v>
      </c>
      <c r="J116" s="68">
        <f t="shared" si="11"/>
        <v>1349.1220928790528</v>
      </c>
      <c r="K116" s="68"/>
      <c r="L116" s="69"/>
    </row>
    <row r="117" spans="1:12" ht="15.6" x14ac:dyDescent="0.3">
      <c r="A117" s="128"/>
      <c r="B117" s="64" t="s">
        <v>177</v>
      </c>
      <c r="C117" s="65">
        <v>651451</v>
      </c>
      <c r="D117" s="66">
        <v>4</v>
      </c>
      <c r="E117" s="70">
        <v>302.5</v>
      </c>
      <c r="F117" s="74">
        <f t="shared" si="9"/>
        <v>1210</v>
      </c>
      <c r="G117" s="68">
        <f t="shared" si="11"/>
        <v>1219.68</v>
      </c>
      <c r="H117" s="68">
        <f t="shared" si="11"/>
        <v>1229.4374400000002</v>
      </c>
      <c r="I117" s="68">
        <f t="shared" si="11"/>
        <v>1239.2729395200001</v>
      </c>
      <c r="J117" s="68">
        <f t="shared" si="11"/>
        <v>1249.1871230361601</v>
      </c>
      <c r="K117" s="68"/>
      <c r="L117" s="69"/>
    </row>
    <row r="118" spans="1:12" ht="15.6" x14ac:dyDescent="0.3">
      <c r="A118" s="128"/>
      <c r="B118" s="64" t="s">
        <v>178</v>
      </c>
      <c r="C118" s="65">
        <v>663058</v>
      </c>
      <c r="D118" s="66">
        <v>4</v>
      </c>
      <c r="E118" s="70">
        <v>975</v>
      </c>
      <c r="F118" s="74">
        <f t="shared" si="9"/>
        <v>3900</v>
      </c>
      <c r="G118" s="68">
        <f t="shared" si="11"/>
        <v>3931.2</v>
      </c>
      <c r="H118" s="68">
        <f t="shared" si="11"/>
        <v>3962.6495999999997</v>
      </c>
      <c r="I118" s="68">
        <f t="shared" si="11"/>
        <v>3994.3507967999999</v>
      </c>
      <c r="J118" s="68">
        <f t="shared" si="11"/>
        <v>4026.3056031743999</v>
      </c>
      <c r="K118" s="68"/>
      <c r="L118" s="69"/>
    </row>
    <row r="119" spans="1:12" ht="15.6" x14ac:dyDescent="0.3">
      <c r="A119" s="128"/>
      <c r="B119" s="64" t="s">
        <v>179</v>
      </c>
      <c r="C119" s="65">
        <v>340261</v>
      </c>
      <c r="D119" s="66">
        <v>4</v>
      </c>
      <c r="E119" s="70">
        <v>95</v>
      </c>
      <c r="F119" s="74">
        <f t="shared" si="9"/>
        <v>380</v>
      </c>
      <c r="G119" s="68">
        <f t="shared" si="11"/>
        <v>383.04</v>
      </c>
      <c r="H119" s="68">
        <f t="shared" si="11"/>
        <v>386.10432000000003</v>
      </c>
      <c r="I119" s="68">
        <f t="shared" si="11"/>
        <v>389.19315456000004</v>
      </c>
      <c r="J119" s="68">
        <f t="shared" si="11"/>
        <v>392.30669979648002</v>
      </c>
      <c r="K119" s="68"/>
      <c r="L119" s="69"/>
    </row>
    <row r="120" spans="1:12" ht="15.6" x14ac:dyDescent="0.3">
      <c r="A120" s="128"/>
      <c r="B120" s="64" t="s">
        <v>180</v>
      </c>
      <c r="C120" s="65">
        <v>348963</v>
      </c>
      <c r="D120" s="66">
        <v>4</v>
      </c>
      <c r="E120" s="70">
        <v>0.25</v>
      </c>
      <c r="F120" s="74">
        <f t="shared" si="9"/>
        <v>1</v>
      </c>
      <c r="G120" s="68">
        <f t="shared" si="11"/>
        <v>1.008</v>
      </c>
      <c r="H120" s="68">
        <f t="shared" si="11"/>
        <v>1.0160640000000001</v>
      </c>
      <c r="I120" s="68">
        <f t="shared" si="11"/>
        <v>1.0241925120000002</v>
      </c>
      <c r="J120" s="68">
        <f t="shared" si="11"/>
        <v>1.0323860520960002</v>
      </c>
      <c r="K120" s="68"/>
      <c r="L120" s="69"/>
    </row>
    <row r="121" spans="1:12" ht="15.6" x14ac:dyDescent="0.3">
      <c r="A121" s="128"/>
      <c r="B121" s="64" t="s">
        <v>181</v>
      </c>
      <c r="C121" s="65">
        <v>652531</v>
      </c>
      <c r="D121" s="66">
        <v>4</v>
      </c>
      <c r="E121" s="70">
        <v>15</v>
      </c>
      <c r="F121" s="74">
        <f t="shared" si="9"/>
        <v>60</v>
      </c>
      <c r="G121" s="68">
        <f t="shared" si="11"/>
        <v>60.48</v>
      </c>
      <c r="H121" s="68">
        <f t="shared" si="11"/>
        <v>60.963839999999998</v>
      </c>
      <c r="I121" s="68">
        <f t="shared" si="11"/>
        <v>61.45155072</v>
      </c>
      <c r="J121" s="68">
        <f t="shared" si="11"/>
        <v>61.943163125760002</v>
      </c>
      <c r="K121" s="68"/>
      <c r="L121" s="69"/>
    </row>
    <row r="122" spans="1:12" ht="15.6" x14ac:dyDescent="0.3">
      <c r="A122" s="128"/>
      <c r="B122" s="64" t="s">
        <v>183</v>
      </c>
      <c r="C122" s="65">
        <v>33721507</v>
      </c>
      <c r="D122" s="66">
        <v>4</v>
      </c>
      <c r="E122" s="70">
        <v>538.92999999999995</v>
      </c>
      <c r="F122" s="74">
        <f t="shared" si="9"/>
        <v>2155.7199999999998</v>
      </c>
      <c r="G122" s="68">
        <f t="shared" si="11"/>
        <v>2172.9657599999996</v>
      </c>
      <c r="H122" s="68">
        <f t="shared" si="11"/>
        <v>2190.3494860799997</v>
      </c>
      <c r="I122" s="68">
        <f t="shared" si="11"/>
        <v>2207.8722819686395</v>
      </c>
      <c r="J122" s="68">
        <f t="shared" si="11"/>
        <v>2225.5352602243888</v>
      </c>
      <c r="K122" s="68"/>
      <c r="L122" s="69"/>
    </row>
    <row r="123" spans="1:12" ht="15.6" x14ac:dyDescent="0.3">
      <c r="A123" s="128"/>
      <c r="B123" s="64" t="s">
        <v>184</v>
      </c>
      <c r="C123" s="65">
        <v>33721607</v>
      </c>
      <c r="D123" s="66">
        <v>4</v>
      </c>
      <c r="E123" s="70">
        <v>288.2</v>
      </c>
      <c r="F123" s="74">
        <f t="shared" si="9"/>
        <v>1152.8</v>
      </c>
      <c r="G123" s="68">
        <f t="shared" si="11"/>
        <v>1162.0224000000001</v>
      </c>
      <c r="H123" s="68">
        <f t="shared" si="11"/>
        <v>1171.3185792000002</v>
      </c>
      <c r="I123" s="68">
        <f t="shared" si="11"/>
        <v>1180.6891278336002</v>
      </c>
      <c r="J123" s="68">
        <f t="shared" si="11"/>
        <v>1190.134640856269</v>
      </c>
      <c r="K123" s="68"/>
      <c r="L123" s="69"/>
    </row>
    <row r="124" spans="1:12" ht="15.6" x14ac:dyDescent="0.3">
      <c r="A124" s="128"/>
      <c r="B124" s="64" t="s">
        <v>185</v>
      </c>
      <c r="C124" s="65">
        <v>34647307</v>
      </c>
      <c r="D124" s="66">
        <v>4</v>
      </c>
      <c r="E124" s="70">
        <v>395</v>
      </c>
      <c r="F124" s="74">
        <f t="shared" si="9"/>
        <v>1580</v>
      </c>
      <c r="G124" s="68">
        <f t="shared" si="11"/>
        <v>1592.64</v>
      </c>
      <c r="H124" s="68">
        <f t="shared" si="11"/>
        <v>1605.38112</v>
      </c>
      <c r="I124" s="68">
        <f t="shared" si="11"/>
        <v>1618.22416896</v>
      </c>
      <c r="J124" s="68">
        <f t="shared" si="11"/>
        <v>1631.1699623116801</v>
      </c>
      <c r="K124" s="68"/>
      <c r="L124" s="69"/>
    </row>
    <row r="125" spans="1:12" ht="15.6" x14ac:dyDescent="0.3">
      <c r="A125" s="128"/>
      <c r="B125" s="64" t="s">
        <v>186</v>
      </c>
      <c r="C125" s="65">
        <v>33635207</v>
      </c>
      <c r="D125" s="66">
        <v>4</v>
      </c>
      <c r="E125" s="70">
        <v>395</v>
      </c>
      <c r="F125" s="74">
        <f t="shared" si="9"/>
        <v>1580</v>
      </c>
      <c r="G125" s="68">
        <f t="shared" si="11"/>
        <v>1592.64</v>
      </c>
      <c r="H125" s="68">
        <f t="shared" si="11"/>
        <v>1605.38112</v>
      </c>
      <c r="I125" s="68">
        <f t="shared" si="11"/>
        <v>1618.22416896</v>
      </c>
      <c r="J125" s="68">
        <f t="shared" si="11"/>
        <v>1631.1699623116801</v>
      </c>
      <c r="K125" s="68"/>
      <c r="L125" s="69"/>
    </row>
    <row r="126" spans="1:12" ht="16.2" thickBot="1" x14ac:dyDescent="0.35">
      <c r="A126" s="129"/>
      <c r="B126" s="88" t="s">
        <v>187</v>
      </c>
      <c r="C126" s="89">
        <v>648471</v>
      </c>
      <c r="D126" s="90">
        <v>4</v>
      </c>
      <c r="E126" s="91">
        <v>3200</v>
      </c>
      <c r="F126" s="92">
        <f t="shared" si="9"/>
        <v>12800</v>
      </c>
      <c r="G126" s="93">
        <f t="shared" si="11"/>
        <v>12902.4</v>
      </c>
      <c r="H126" s="93">
        <f t="shared" si="11"/>
        <v>13005.619199999999</v>
      </c>
      <c r="I126" s="93">
        <f t="shared" si="11"/>
        <v>13109.664153599999</v>
      </c>
      <c r="J126" s="93">
        <f t="shared" si="11"/>
        <v>13214.541466828799</v>
      </c>
      <c r="K126" s="93"/>
      <c r="L126" s="94"/>
    </row>
    <row r="127" spans="1:12" ht="15.6" x14ac:dyDescent="0.3">
      <c r="A127" s="130" t="s">
        <v>233</v>
      </c>
      <c r="B127" s="99" t="s">
        <v>195</v>
      </c>
      <c r="C127" s="100">
        <v>667052</v>
      </c>
      <c r="D127" s="101">
        <v>1</v>
      </c>
      <c r="E127" s="102">
        <v>2600.1</v>
      </c>
      <c r="F127" s="103">
        <f t="shared" si="9"/>
        <v>2600.1</v>
      </c>
      <c r="G127" s="104">
        <f t="shared" si="11"/>
        <v>2620.9007999999999</v>
      </c>
      <c r="H127" s="104">
        <f t="shared" si="11"/>
        <v>2641.8680064</v>
      </c>
      <c r="I127" s="104">
        <f t="shared" si="11"/>
        <v>2663.0029504511999</v>
      </c>
      <c r="J127" s="104">
        <f t="shared" si="11"/>
        <v>2684.3069740548094</v>
      </c>
      <c r="K127" s="104">
        <f>SUM(F127:F149)</f>
        <v>28638.720000000005</v>
      </c>
      <c r="L127" s="105"/>
    </row>
    <row r="128" spans="1:12" ht="15.6" x14ac:dyDescent="0.3">
      <c r="A128" s="128"/>
      <c r="B128" s="64" t="s">
        <v>197</v>
      </c>
      <c r="C128" s="65">
        <v>633773</v>
      </c>
      <c r="D128" s="66">
        <v>1</v>
      </c>
      <c r="E128" s="70">
        <v>1255.5</v>
      </c>
      <c r="F128" s="74">
        <f t="shared" si="9"/>
        <v>1255.5</v>
      </c>
      <c r="G128" s="68">
        <f t="shared" si="11"/>
        <v>1265.5440000000001</v>
      </c>
      <c r="H128" s="68">
        <f t="shared" si="11"/>
        <v>1275.6683520000001</v>
      </c>
      <c r="I128" s="68">
        <f t="shared" si="11"/>
        <v>1285.8736988160001</v>
      </c>
      <c r="J128" s="68">
        <f t="shared" si="11"/>
        <v>1296.1606884065282</v>
      </c>
      <c r="K128" s="68"/>
      <c r="L128" s="69"/>
    </row>
    <row r="129" spans="1:12" ht="15.6" x14ac:dyDescent="0.3">
      <c r="A129" s="128"/>
      <c r="B129" s="64" t="s">
        <v>198</v>
      </c>
      <c r="C129" s="65">
        <v>633801</v>
      </c>
      <c r="D129" s="66">
        <v>1</v>
      </c>
      <c r="E129" s="70">
        <v>862.65</v>
      </c>
      <c r="F129" s="74">
        <f t="shared" si="9"/>
        <v>862.65</v>
      </c>
      <c r="G129" s="68">
        <f t="shared" si="11"/>
        <v>869.55119999999999</v>
      </c>
      <c r="H129" s="68">
        <f t="shared" si="11"/>
        <v>876.50760960000002</v>
      </c>
      <c r="I129" s="68">
        <f t="shared" si="11"/>
        <v>883.5196704768</v>
      </c>
      <c r="J129" s="68">
        <f t="shared" si="11"/>
        <v>890.58782784061441</v>
      </c>
      <c r="K129" s="68"/>
      <c r="L129" s="69"/>
    </row>
    <row r="130" spans="1:12" ht="15.6" x14ac:dyDescent="0.3">
      <c r="A130" s="128"/>
      <c r="B130" s="64" t="s">
        <v>200</v>
      </c>
      <c r="C130" s="65">
        <v>665913</v>
      </c>
      <c r="D130" s="66">
        <v>1</v>
      </c>
      <c r="E130" s="70">
        <v>5098.95</v>
      </c>
      <c r="F130" s="74">
        <f t="shared" si="9"/>
        <v>5098.95</v>
      </c>
      <c r="G130" s="68">
        <f t="shared" si="11"/>
        <v>5139.7415999999994</v>
      </c>
      <c r="H130" s="68">
        <f t="shared" si="11"/>
        <v>5180.8595327999992</v>
      </c>
      <c r="I130" s="68">
        <f t="shared" si="11"/>
        <v>5222.3064090623993</v>
      </c>
      <c r="J130" s="68">
        <f t="shared" si="11"/>
        <v>5264.0848603348986</v>
      </c>
      <c r="K130" s="68"/>
      <c r="L130" s="69"/>
    </row>
    <row r="131" spans="1:12" ht="15.6" x14ac:dyDescent="0.3">
      <c r="A131" s="128"/>
      <c r="B131" s="64" t="s">
        <v>201</v>
      </c>
      <c r="C131" s="65">
        <v>633781</v>
      </c>
      <c r="D131" s="66">
        <v>1</v>
      </c>
      <c r="E131" s="70">
        <v>1085.4000000000001</v>
      </c>
      <c r="F131" s="74">
        <f t="shared" ref="F131:F149" si="12">E131*D131</f>
        <v>1085.4000000000001</v>
      </c>
      <c r="G131" s="68">
        <f t="shared" si="11"/>
        <v>1094.0832</v>
      </c>
      <c r="H131" s="68">
        <f t="shared" si="11"/>
        <v>1102.8358656</v>
      </c>
      <c r="I131" s="68">
        <f t="shared" si="11"/>
        <v>1111.6585525248001</v>
      </c>
      <c r="J131" s="68">
        <f t="shared" si="11"/>
        <v>1120.5518209449986</v>
      </c>
      <c r="K131" s="68"/>
      <c r="L131" s="69"/>
    </row>
    <row r="132" spans="1:12" ht="15.6" x14ac:dyDescent="0.3">
      <c r="A132" s="128"/>
      <c r="B132" s="64" t="s">
        <v>202</v>
      </c>
      <c r="C132" s="65" t="s">
        <v>203</v>
      </c>
      <c r="D132" s="66">
        <v>1</v>
      </c>
      <c r="E132" s="70">
        <v>1417.5</v>
      </c>
      <c r="F132" s="74">
        <f t="shared" si="12"/>
        <v>1417.5</v>
      </c>
      <c r="G132" s="68">
        <f t="shared" ref="G132:J147" si="13">F132+F132*0.8%</f>
        <v>1428.84</v>
      </c>
      <c r="H132" s="68">
        <f t="shared" si="13"/>
        <v>1440.27072</v>
      </c>
      <c r="I132" s="68">
        <f t="shared" si="13"/>
        <v>1451.79288576</v>
      </c>
      <c r="J132" s="68">
        <f t="shared" si="13"/>
        <v>1463.40722884608</v>
      </c>
      <c r="K132" s="68"/>
      <c r="L132" s="69"/>
    </row>
    <row r="133" spans="1:12" ht="15.6" x14ac:dyDescent="0.3">
      <c r="A133" s="128"/>
      <c r="B133" s="64" t="s">
        <v>205</v>
      </c>
      <c r="C133" s="65">
        <v>633750</v>
      </c>
      <c r="D133" s="66">
        <v>1</v>
      </c>
      <c r="E133" s="70">
        <v>174.15</v>
      </c>
      <c r="F133" s="74">
        <f t="shared" si="12"/>
        <v>174.15</v>
      </c>
      <c r="G133" s="68">
        <f t="shared" si="13"/>
        <v>175.54320000000001</v>
      </c>
      <c r="H133" s="68">
        <f t="shared" si="13"/>
        <v>176.94754560000001</v>
      </c>
      <c r="I133" s="68">
        <f t="shared" si="13"/>
        <v>178.36312596480002</v>
      </c>
      <c r="J133" s="68">
        <f t="shared" si="13"/>
        <v>179.79003097251842</v>
      </c>
      <c r="K133" s="68"/>
      <c r="L133" s="69"/>
    </row>
    <row r="134" spans="1:12" ht="15.6" x14ac:dyDescent="0.3">
      <c r="A134" s="128"/>
      <c r="B134" s="64" t="s">
        <v>206</v>
      </c>
      <c r="C134" s="65">
        <v>554656</v>
      </c>
      <c r="D134" s="66">
        <v>1</v>
      </c>
      <c r="E134" s="70">
        <v>93.960000000000008</v>
      </c>
      <c r="F134" s="74">
        <f t="shared" si="12"/>
        <v>93.960000000000008</v>
      </c>
      <c r="G134" s="68">
        <f t="shared" si="13"/>
        <v>94.711680000000001</v>
      </c>
      <c r="H134" s="68">
        <f t="shared" si="13"/>
        <v>95.469373439999998</v>
      </c>
      <c r="I134" s="68">
        <f t="shared" si="13"/>
        <v>96.233128427520001</v>
      </c>
      <c r="J134" s="68">
        <f t="shared" si="13"/>
        <v>97.002993454940167</v>
      </c>
      <c r="K134" s="68"/>
      <c r="L134" s="69"/>
    </row>
    <row r="135" spans="1:12" ht="15.6" x14ac:dyDescent="0.3">
      <c r="A135" s="128"/>
      <c r="B135" s="64" t="s">
        <v>207</v>
      </c>
      <c r="C135" s="65">
        <v>666262</v>
      </c>
      <c r="D135" s="66">
        <v>1</v>
      </c>
      <c r="E135" s="70">
        <v>1620</v>
      </c>
      <c r="F135" s="74">
        <f t="shared" si="12"/>
        <v>1620</v>
      </c>
      <c r="G135" s="68">
        <f t="shared" si="13"/>
        <v>1632.96</v>
      </c>
      <c r="H135" s="68">
        <f t="shared" si="13"/>
        <v>1646.02368</v>
      </c>
      <c r="I135" s="68">
        <f t="shared" si="13"/>
        <v>1659.1918694400001</v>
      </c>
      <c r="J135" s="68">
        <f t="shared" si="13"/>
        <v>1672.4654043955202</v>
      </c>
      <c r="K135" s="68"/>
      <c r="L135" s="69"/>
    </row>
    <row r="136" spans="1:12" ht="15.6" x14ac:dyDescent="0.3">
      <c r="A136" s="128"/>
      <c r="B136" s="64" t="s">
        <v>209</v>
      </c>
      <c r="C136" s="65">
        <v>572620</v>
      </c>
      <c r="D136" s="66">
        <v>1</v>
      </c>
      <c r="E136" s="70">
        <v>890.19</v>
      </c>
      <c r="F136" s="74">
        <f t="shared" si="12"/>
        <v>890.19</v>
      </c>
      <c r="G136" s="68">
        <f t="shared" si="13"/>
        <v>897.31152000000009</v>
      </c>
      <c r="H136" s="68">
        <f t="shared" si="13"/>
        <v>904.49001216000011</v>
      </c>
      <c r="I136" s="68">
        <f t="shared" si="13"/>
        <v>911.72593225728008</v>
      </c>
      <c r="J136" s="68">
        <f t="shared" si="13"/>
        <v>919.01973971533835</v>
      </c>
      <c r="K136" s="68"/>
      <c r="L136" s="69"/>
    </row>
    <row r="137" spans="1:12" ht="15.6" x14ac:dyDescent="0.3">
      <c r="A137" s="128"/>
      <c r="B137" s="64" t="s">
        <v>211</v>
      </c>
      <c r="C137" s="65">
        <v>633774</v>
      </c>
      <c r="D137" s="66">
        <v>1</v>
      </c>
      <c r="E137" s="70">
        <v>1040.8499999999999</v>
      </c>
      <c r="F137" s="74">
        <f t="shared" si="12"/>
        <v>1040.8499999999999</v>
      </c>
      <c r="G137" s="68">
        <f t="shared" si="13"/>
        <v>1049.1768</v>
      </c>
      <c r="H137" s="68">
        <f t="shared" si="13"/>
        <v>1057.5702143999999</v>
      </c>
      <c r="I137" s="68">
        <f t="shared" si="13"/>
        <v>1066.0307761151998</v>
      </c>
      <c r="J137" s="68">
        <f t="shared" si="13"/>
        <v>1074.5590223241215</v>
      </c>
      <c r="K137" s="68"/>
      <c r="L137" s="69"/>
    </row>
    <row r="138" spans="1:12" ht="15.6" x14ac:dyDescent="0.3">
      <c r="A138" s="128"/>
      <c r="B138" s="64" t="s">
        <v>213</v>
      </c>
      <c r="C138" s="65">
        <v>571201</v>
      </c>
      <c r="D138" s="66">
        <v>1</v>
      </c>
      <c r="E138" s="70">
        <v>3094</v>
      </c>
      <c r="F138" s="74">
        <f t="shared" si="12"/>
        <v>3094</v>
      </c>
      <c r="G138" s="68">
        <f t="shared" si="13"/>
        <v>3118.752</v>
      </c>
      <c r="H138" s="68">
        <f t="shared" si="13"/>
        <v>3143.7020159999997</v>
      </c>
      <c r="I138" s="68">
        <f t="shared" si="13"/>
        <v>3168.8516321279999</v>
      </c>
      <c r="J138" s="68">
        <f t="shared" si="13"/>
        <v>3194.2024451850239</v>
      </c>
      <c r="K138" s="68"/>
      <c r="L138" s="69"/>
    </row>
    <row r="139" spans="1:12" ht="15.6" x14ac:dyDescent="0.3">
      <c r="A139" s="128"/>
      <c r="B139" s="64" t="s">
        <v>215</v>
      </c>
      <c r="C139" s="65">
        <v>571356</v>
      </c>
      <c r="D139" s="66">
        <v>1</v>
      </c>
      <c r="E139" s="70">
        <v>2548</v>
      </c>
      <c r="F139" s="74">
        <f t="shared" si="12"/>
        <v>2548</v>
      </c>
      <c r="G139" s="68">
        <f t="shared" si="13"/>
        <v>2568.384</v>
      </c>
      <c r="H139" s="68">
        <f t="shared" si="13"/>
        <v>2588.9310719999999</v>
      </c>
      <c r="I139" s="68">
        <f t="shared" si="13"/>
        <v>2609.6425205759997</v>
      </c>
      <c r="J139" s="68">
        <f t="shared" si="13"/>
        <v>2630.5196607406078</v>
      </c>
      <c r="K139" s="68"/>
      <c r="L139" s="69"/>
    </row>
    <row r="140" spans="1:12" ht="15.6" x14ac:dyDescent="0.3">
      <c r="A140" s="128"/>
      <c r="B140" s="64" t="s">
        <v>216</v>
      </c>
      <c r="C140" s="65">
        <v>571361</v>
      </c>
      <c r="D140" s="66">
        <v>1</v>
      </c>
      <c r="E140" s="70">
        <v>2332</v>
      </c>
      <c r="F140" s="74">
        <f t="shared" si="12"/>
        <v>2332</v>
      </c>
      <c r="G140" s="68">
        <f t="shared" si="13"/>
        <v>2350.6559999999999</v>
      </c>
      <c r="H140" s="68">
        <f t="shared" si="13"/>
        <v>2369.4612480000001</v>
      </c>
      <c r="I140" s="68">
        <f t="shared" si="13"/>
        <v>2388.416937984</v>
      </c>
      <c r="J140" s="68">
        <f t="shared" si="13"/>
        <v>2407.5242734878721</v>
      </c>
      <c r="K140" s="68"/>
      <c r="L140" s="69"/>
    </row>
    <row r="141" spans="1:12" ht="15.6" x14ac:dyDescent="0.3">
      <c r="A141" s="128"/>
      <c r="B141" s="64" t="s">
        <v>217</v>
      </c>
      <c r="C141" s="65">
        <v>667058</v>
      </c>
      <c r="D141" s="66">
        <v>1</v>
      </c>
      <c r="E141" s="70">
        <v>1040.8499999999999</v>
      </c>
      <c r="F141" s="74">
        <f t="shared" si="12"/>
        <v>1040.8499999999999</v>
      </c>
      <c r="G141" s="68">
        <f t="shared" si="13"/>
        <v>1049.1768</v>
      </c>
      <c r="H141" s="68">
        <f t="shared" si="13"/>
        <v>1057.5702143999999</v>
      </c>
      <c r="I141" s="68">
        <f t="shared" si="13"/>
        <v>1066.0307761151998</v>
      </c>
      <c r="J141" s="68">
        <f t="shared" si="13"/>
        <v>1074.5590223241215</v>
      </c>
      <c r="K141" s="68"/>
      <c r="L141" s="69"/>
    </row>
    <row r="142" spans="1:12" ht="15.6" x14ac:dyDescent="0.3">
      <c r="A142" s="128"/>
      <c r="B142" s="64" t="s">
        <v>218</v>
      </c>
      <c r="C142" s="65">
        <v>572179</v>
      </c>
      <c r="D142" s="66">
        <v>1</v>
      </c>
      <c r="E142" s="70">
        <v>500.58</v>
      </c>
      <c r="F142" s="74">
        <f t="shared" si="12"/>
        <v>500.58</v>
      </c>
      <c r="G142" s="68">
        <f t="shared" si="13"/>
        <v>504.58463999999998</v>
      </c>
      <c r="H142" s="68">
        <f t="shared" si="13"/>
        <v>508.62131711999996</v>
      </c>
      <c r="I142" s="68">
        <f t="shared" si="13"/>
        <v>512.69028765695998</v>
      </c>
      <c r="J142" s="68">
        <f t="shared" si="13"/>
        <v>516.79180995821571</v>
      </c>
      <c r="K142" s="68"/>
      <c r="L142" s="69"/>
    </row>
    <row r="143" spans="1:12" ht="15.6" x14ac:dyDescent="0.3">
      <c r="A143" s="128"/>
      <c r="B143" s="64" t="s">
        <v>219</v>
      </c>
      <c r="C143" s="65">
        <v>572178</v>
      </c>
      <c r="D143" s="66">
        <v>1</v>
      </c>
      <c r="E143" s="70">
        <v>500.58</v>
      </c>
      <c r="F143" s="74">
        <f t="shared" si="12"/>
        <v>500.58</v>
      </c>
      <c r="G143" s="68">
        <f t="shared" si="13"/>
        <v>504.58463999999998</v>
      </c>
      <c r="H143" s="68">
        <f t="shared" si="13"/>
        <v>508.62131711999996</v>
      </c>
      <c r="I143" s="68">
        <f t="shared" si="13"/>
        <v>512.69028765695998</v>
      </c>
      <c r="J143" s="68">
        <f t="shared" si="13"/>
        <v>516.79180995821571</v>
      </c>
      <c r="K143" s="68"/>
      <c r="L143" s="69"/>
    </row>
    <row r="144" spans="1:12" ht="15.6" x14ac:dyDescent="0.3">
      <c r="A144" s="128"/>
      <c r="B144" s="64" t="s">
        <v>220</v>
      </c>
      <c r="C144" s="65">
        <v>572310</v>
      </c>
      <c r="D144" s="66">
        <v>1</v>
      </c>
      <c r="E144" s="70">
        <v>500.58</v>
      </c>
      <c r="F144" s="74">
        <f t="shared" si="12"/>
        <v>500.58</v>
      </c>
      <c r="G144" s="68">
        <f t="shared" si="13"/>
        <v>504.58463999999998</v>
      </c>
      <c r="H144" s="68">
        <f t="shared" si="13"/>
        <v>508.62131711999996</v>
      </c>
      <c r="I144" s="68">
        <f t="shared" si="13"/>
        <v>512.69028765695998</v>
      </c>
      <c r="J144" s="68">
        <f t="shared" si="13"/>
        <v>516.79180995821571</v>
      </c>
      <c r="K144" s="68"/>
      <c r="L144" s="69"/>
    </row>
    <row r="145" spans="1:12" ht="15.6" x14ac:dyDescent="0.3">
      <c r="A145" s="128"/>
      <c r="B145" s="64" t="s">
        <v>221</v>
      </c>
      <c r="C145" s="65">
        <v>572434</v>
      </c>
      <c r="D145" s="66">
        <v>1</v>
      </c>
      <c r="E145" s="70">
        <v>486</v>
      </c>
      <c r="F145" s="74">
        <f t="shared" si="12"/>
        <v>486</v>
      </c>
      <c r="G145" s="68">
        <f t="shared" si="13"/>
        <v>489.88799999999998</v>
      </c>
      <c r="H145" s="68">
        <f t="shared" si="13"/>
        <v>493.80710399999998</v>
      </c>
      <c r="I145" s="68">
        <f t="shared" si="13"/>
        <v>497.75756083199997</v>
      </c>
      <c r="J145" s="68">
        <f t="shared" si="13"/>
        <v>501.73962131865596</v>
      </c>
      <c r="K145" s="68"/>
      <c r="L145" s="69"/>
    </row>
    <row r="146" spans="1:12" ht="15.6" x14ac:dyDescent="0.3">
      <c r="A146" s="128"/>
      <c r="B146" s="64" t="s">
        <v>222</v>
      </c>
      <c r="C146" s="65">
        <v>572435</v>
      </c>
      <c r="D146" s="66">
        <v>1</v>
      </c>
      <c r="E146" s="70">
        <v>486</v>
      </c>
      <c r="F146" s="74">
        <f t="shared" si="12"/>
        <v>486</v>
      </c>
      <c r="G146" s="68">
        <f t="shared" si="13"/>
        <v>489.88799999999998</v>
      </c>
      <c r="H146" s="68">
        <f t="shared" si="13"/>
        <v>493.80710399999998</v>
      </c>
      <c r="I146" s="68">
        <f t="shared" si="13"/>
        <v>497.75756083199997</v>
      </c>
      <c r="J146" s="68">
        <f t="shared" si="13"/>
        <v>501.73962131865596</v>
      </c>
      <c r="K146" s="68"/>
      <c r="L146" s="69"/>
    </row>
    <row r="147" spans="1:12" ht="15.6" x14ac:dyDescent="0.3">
      <c r="A147" s="128"/>
      <c r="B147" s="64" t="s">
        <v>223</v>
      </c>
      <c r="C147" s="65">
        <v>571970</v>
      </c>
      <c r="D147" s="66">
        <v>1</v>
      </c>
      <c r="E147" s="70">
        <v>500.58</v>
      </c>
      <c r="F147" s="74">
        <f t="shared" si="12"/>
        <v>500.58</v>
      </c>
      <c r="G147" s="68">
        <f t="shared" si="13"/>
        <v>504.58463999999998</v>
      </c>
      <c r="H147" s="68">
        <f t="shared" si="13"/>
        <v>508.62131711999996</v>
      </c>
      <c r="I147" s="68">
        <f t="shared" si="13"/>
        <v>512.69028765695998</v>
      </c>
      <c r="J147" s="68">
        <f t="shared" si="13"/>
        <v>516.79180995821571</v>
      </c>
      <c r="K147" s="68"/>
      <c r="L147" s="69"/>
    </row>
    <row r="148" spans="1:12" ht="15.6" x14ac:dyDescent="0.3">
      <c r="A148" s="128"/>
      <c r="B148" s="64" t="s">
        <v>224</v>
      </c>
      <c r="C148" s="65">
        <v>564904</v>
      </c>
      <c r="D148" s="66">
        <v>1</v>
      </c>
      <c r="E148" s="70">
        <v>364.5</v>
      </c>
      <c r="F148" s="74">
        <f t="shared" si="12"/>
        <v>364.5</v>
      </c>
      <c r="G148" s="68">
        <f t="shared" ref="G148:J150" si="14">F148+F148*0.8%</f>
        <v>367.416</v>
      </c>
      <c r="H148" s="68">
        <f t="shared" si="14"/>
        <v>370.35532799999999</v>
      </c>
      <c r="I148" s="68">
        <f t="shared" si="14"/>
        <v>373.318170624</v>
      </c>
      <c r="J148" s="68">
        <f t="shared" si="14"/>
        <v>376.30471598899203</v>
      </c>
      <c r="K148" s="68"/>
      <c r="L148" s="69"/>
    </row>
    <row r="149" spans="1:12" ht="16.2" thickBot="1" x14ac:dyDescent="0.35">
      <c r="A149" s="129"/>
      <c r="B149" s="88" t="s">
        <v>226</v>
      </c>
      <c r="C149" s="89">
        <v>564061</v>
      </c>
      <c r="D149" s="90">
        <v>1</v>
      </c>
      <c r="E149" s="91">
        <v>145.80000000000001</v>
      </c>
      <c r="F149" s="92">
        <f t="shared" si="12"/>
        <v>145.80000000000001</v>
      </c>
      <c r="G149" s="93">
        <f t="shared" si="14"/>
        <v>146.96640000000002</v>
      </c>
      <c r="H149" s="93">
        <f t="shared" si="14"/>
        <v>148.14213120000002</v>
      </c>
      <c r="I149" s="93">
        <f t="shared" si="14"/>
        <v>149.32726824960002</v>
      </c>
      <c r="J149" s="93">
        <f t="shared" si="14"/>
        <v>150.52188639559682</v>
      </c>
      <c r="K149" s="93"/>
      <c r="L149" s="94"/>
    </row>
    <row r="150" spans="1:12" ht="15.6" x14ac:dyDescent="0.3">
      <c r="A150" s="57" t="s">
        <v>236</v>
      </c>
      <c r="B150" s="59"/>
      <c r="C150" s="60"/>
      <c r="D150" s="60"/>
      <c r="E150" s="60"/>
      <c r="F150" s="75">
        <f>SUM(F3:F149)</f>
        <v>349699.04000000004</v>
      </c>
      <c r="G150" s="62">
        <f t="shared" si="14"/>
        <v>352496.63232000003</v>
      </c>
      <c r="H150" s="62">
        <f t="shared" si="14"/>
        <v>355316.60537856002</v>
      </c>
      <c r="I150" s="62">
        <f t="shared" si="14"/>
        <v>358159.13822158851</v>
      </c>
      <c r="J150" s="62">
        <f t="shared" si="14"/>
        <v>361024.41132736125</v>
      </c>
      <c r="K150" s="62"/>
      <c r="L150" s="58"/>
    </row>
    <row r="152" spans="1:12" ht="15.6" x14ac:dyDescent="0.3">
      <c r="C152" s="61" t="s">
        <v>246</v>
      </c>
      <c r="D152" s="58"/>
      <c r="E152" s="58"/>
      <c r="F152" s="58"/>
      <c r="G152" s="58"/>
    </row>
    <row r="153" spans="1:12" ht="21.75" customHeight="1" x14ac:dyDescent="0.3">
      <c r="B153" s="117" t="s">
        <v>249</v>
      </c>
      <c r="C153" s="123" t="s">
        <v>250</v>
      </c>
      <c r="D153" s="121" t="s">
        <v>248</v>
      </c>
      <c r="E153" s="121"/>
      <c r="F153" s="121"/>
      <c r="G153" s="121"/>
      <c r="H153" s="122"/>
      <c r="I153" s="134" t="s">
        <v>251</v>
      </c>
      <c r="K153" s="14"/>
    </row>
    <row r="154" spans="1:12" ht="21" customHeight="1" x14ac:dyDescent="0.3">
      <c r="B154" s="118"/>
      <c r="C154" s="124"/>
      <c r="D154" s="106">
        <v>2026</v>
      </c>
      <c r="E154" s="107">
        <v>2027</v>
      </c>
      <c r="F154" s="107">
        <v>2028</v>
      </c>
      <c r="G154" s="107">
        <v>2029</v>
      </c>
      <c r="H154" s="107">
        <v>2030</v>
      </c>
      <c r="I154" s="134"/>
    </row>
    <row r="155" spans="1:12" ht="18.75" customHeight="1" x14ac:dyDescent="0.3">
      <c r="B155" s="76" t="s">
        <v>235</v>
      </c>
      <c r="C155" s="108">
        <v>294614</v>
      </c>
      <c r="D155" s="112">
        <f>SUM(C155:C157)</f>
        <v>349699.04000000004</v>
      </c>
      <c r="E155" s="112">
        <f>D155+D155*0.8%</f>
        <v>352496.63232000003</v>
      </c>
      <c r="F155" s="112">
        <f>E155+E155*0.8%</f>
        <v>355316.60537856002</v>
      </c>
      <c r="G155" s="112">
        <f>F155+F155*0.8%</f>
        <v>358159.13822158851</v>
      </c>
      <c r="H155" s="112">
        <f>G155+G155*0.8%</f>
        <v>361024.41132736125</v>
      </c>
      <c r="I155" s="109">
        <f>SUM(D155:H157)</f>
        <v>1776695.8272475097</v>
      </c>
    </row>
    <row r="156" spans="1:12" ht="19.5" customHeight="1" x14ac:dyDescent="0.3">
      <c r="B156" s="76" t="s">
        <v>232</v>
      </c>
      <c r="C156" s="108">
        <v>26446.32</v>
      </c>
      <c r="D156" s="113"/>
      <c r="E156" s="113"/>
      <c r="F156" s="113"/>
      <c r="G156" s="113"/>
      <c r="H156" s="113"/>
      <c r="I156" s="110"/>
    </row>
    <row r="157" spans="1:12" ht="19.5" customHeight="1" x14ac:dyDescent="0.3">
      <c r="B157" s="76" t="s">
        <v>233</v>
      </c>
      <c r="C157" s="108">
        <v>28638.720000000005</v>
      </c>
      <c r="D157" s="114"/>
      <c r="E157" s="114"/>
      <c r="F157" s="114"/>
      <c r="G157" s="114"/>
      <c r="H157" s="114"/>
      <c r="I157" s="111"/>
    </row>
    <row r="160" spans="1:12" x14ac:dyDescent="0.3">
      <c r="I160" s="14"/>
    </row>
  </sheetData>
  <mergeCells count="21">
    <mergeCell ref="D155:D157"/>
    <mergeCell ref="L1:L2"/>
    <mergeCell ref="A1:A2"/>
    <mergeCell ref="B153:B154"/>
    <mergeCell ref="K1:K2"/>
    <mergeCell ref="D153:H153"/>
    <mergeCell ref="C153:C154"/>
    <mergeCell ref="A3:A113"/>
    <mergeCell ref="A114:A126"/>
    <mergeCell ref="A127:A149"/>
    <mergeCell ref="F1:J1"/>
    <mergeCell ref="B1:B2"/>
    <mergeCell ref="C1:C2"/>
    <mergeCell ref="D1:D2"/>
    <mergeCell ref="E1:E2"/>
    <mergeCell ref="I153:I154"/>
    <mergeCell ref="I155:I157"/>
    <mergeCell ref="E155:E157"/>
    <mergeCell ref="F155:F157"/>
    <mergeCell ref="G155:G157"/>
    <mergeCell ref="H155:H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QC</vt:lpstr>
      <vt:lpstr>PD</vt:lpstr>
      <vt:lpstr>Ping additional</vt:lpstr>
      <vt:lpstr>Rgt &amp; kit_Rhapsody</vt:lpstr>
      <vt:lpstr>Consumable-Parts</vt:lpstr>
      <vt:lpstr>5 year_2026-2030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Yihua (NIH/CC) [C]</dc:creator>
  <cp:lastModifiedBy>Gregorio, Valerie (NIH/OD) [E]</cp:lastModifiedBy>
  <dcterms:created xsi:type="dcterms:W3CDTF">2025-12-05T15:57:30Z</dcterms:created>
  <dcterms:modified xsi:type="dcterms:W3CDTF">2026-02-25T21:00:54Z</dcterms:modified>
</cp:coreProperties>
</file>