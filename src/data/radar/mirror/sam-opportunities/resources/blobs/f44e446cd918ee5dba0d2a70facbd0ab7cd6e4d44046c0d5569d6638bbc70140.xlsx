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ll.joscelyn\OneDrive - US Navy-flankspeed\JHJ\TBD CNAL ACRS\Working\"/>
    </mc:Choice>
  </mc:AlternateContent>
  <bookViews>
    <workbookView xWindow="0" yWindow="210" windowWidth="25125" windowHeight="12660"/>
  </bookViews>
  <sheets>
    <sheet name="Sheet1" sheetId="1" r:id="rId1"/>
  </sheets>
  <externalReferences>
    <externalReference r:id="rId2"/>
  </externalReferences>
  <definedNames>
    <definedName name="LaborCategori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1" i="1" l="1"/>
  <c r="C51" i="1"/>
  <c r="C39" i="1"/>
  <c r="C24" i="1"/>
</calcChain>
</file>

<file path=xl/sharedStrings.xml><?xml version="1.0" encoding="utf-8"?>
<sst xmlns="http://schemas.openxmlformats.org/spreadsheetml/2006/main" count="90" uniqueCount="45">
  <si>
    <r>
      <t>CNAL Labor</t>
    </r>
    <r>
      <rPr>
        <sz val="18"/>
        <rFont val="Arial"/>
        <family val="2"/>
      </rPr>
      <t xml:space="preserve"> (Norfolk, VA)</t>
    </r>
  </si>
  <si>
    <t>Labor Categories</t>
  </si>
  <si>
    <t>Total Hours</t>
  </si>
  <si>
    <t>Program Manager (on-site)</t>
  </si>
  <si>
    <t>Project Manager (on-site)</t>
  </si>
  <si>
    <t>Project Engineer, Electronics (GS-13)</t>
  </si>
  <si>
    <t>Senior Field Engineer, Electronics (GS-13)</t>
  </si>
  <si>
    <t>Field Engineer, Electronics (GS-12)</t>
  </si>
  <si>
    <r>
      <t xml:space="preserve">Ship’s Systems Analyst, </t>
    </r>
    <r>
      <rPr>
        <b/>
        <sz val="12"/>
        <rFont val="Arial"/>
        <family val="2"/>
      </rPr>
      <t>Nuclear</t>
    </r>
    <r>
      <rPr>
        <sz val="12"/>
        <rFont val="Arial"/>
        <family val="2"/>
      </rPr>
      <t xml:space="preserve"> (GS-13)</t>
    </r>
  </si>
  <si>
    <r>
      <t xml:space="preserve">Ship’s Systems Analyst, </t>
    </r>
    <r>
      <rPr>
        <b/>
        <sz val="12"/>
        <rFont val="Arial"/>
        <family val="2"/>
      </rPr>
      <t>Non-Nuclear</t>
    </r>
    <r>
      <rPr>
        <sz val="12"/>
        <rFont val="Arial"/>
        <family val="2"/>
      </rPr>
      <t xml:space="preserve"> (GS-13)</t>
    </r>
  </si>
  <si>
    <t>Overhaul Specalist (GS-12)</t>
  </si>
  <si>
    <t>Computer Programmer/Analyst (GS-12)</t>
  </si>
  <si>
    <t>Senior Engineering Technician (GS-13)</t>
  </si>
  <si>
    <t>Junior Analyst (GS-11)</t>
  </si>
  <si>
    <t>Engineering Technician (GS-12)</t>
  </si>
  <si>
    <t>Senior Production Controller (GS-13)</t>
  </si>
  <si>
    <t>Supply Management Specialist (GS-12)</t>
  </si>
  <si>
    <t>Material Specialist (GS-11)</t>
  </si>
  <si>
    <t>Senior Logistic Management Specialist (GS-13)</t>
  </si>
  <si>
    <t>Logistic Management Specialist GS-13)</t>
  </si>
  <si>
    <r>
      <t xml:space="preserve">CNAP Labor </t>
    </r>
    <r>
      <rPr>
        <sz val="18"/>
        <rFont val="Arial"/>
        <family val="2"/>
      </rPr>
      <t>(San Diego, CA)</t>
    </r>
  </si>
  <si>
    <t>Project Engineer (GS-13)</t>
  </si>
  <si>
    <t>Program Analyst (GS-12)</t>
  </si>
  <si>
    <t>Ship’s Systems Analyst (GS-12)</t>
  </si>
  <si>
    <t>Senior Engineering Technician (GS-12)</t>
  </si>
  <si>
    <t>Supply Management Specialist (GS-11)</t>
  </si>
  <si>
    <t xml:space="preserve">Senior Logistic Management Specialist (GS-12) </t>
  </si>
  <si>
    <t>Logistics Management Specialist (GS-11)</t>
  </si>
  <si>
    <r>
      <t xml:space="preserve">CNAP Labor </t>
    </r>
    <r>
      <rPr>
        <sz val="18"/>
        <rFont val="Arial"/>
        <family val="2"/>
      </rPr>
      <t>(Washington)</t>
    </r>
  </si>
  <si>
    <t>Senior Logistic Management Specialist (GS-12)</t>
  </si>
  <si>
    <t>Computer Programmer / Analyst</t>
  </si>
  <si>
    <r>
      <t xml:space="preserve">CNAP Labor </t>
    </r>
    <r>
      <rPr>
        <sz val="18"/>
        <rFont val="Arial"/>
        <family val="2"/>
      </rPr>
      <t>(Japan)</t>
    </r>
  </si>
  <si>
    <t>Ordering Period 1</t>
  </si>
  <si>
    <t>Ordering Period 2</t>
  </si>
  <si>
    <t>Ordering Period 3</t>
  </si>
  <si>
    <t>Ordering Period 4</t>
  </si>
  <si>
    <t>FAR 52.217-8</t>
  </si>
  <si>
    <t>CNAL LABOR HOURS PER YEAR:</t>
  </si>
  <si>
    <t>CNAP LABOR HOURS PER YEAR:</t>
  </si>
  <si>
    <t>Labor Rates</t>
  </si>
  <si>
    <t>Hours Are Provided As Historical Information Only</t>
  </si>
  <si>
    <t>Per Year</t>
  </si>
  <si>
    <t>This is not a Level Of Effort Contract</t>
  </si>
  <si>
    <t>And Do Not Bind The Government.</t>
  </si>
  <si>
    <t>Ordering Period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</si>
</sst>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center" vertical="center"/>
    </xf>
    <xf numFmtId="49" fontId="7" fillId="4" borderId="7" xfId="0" applyNumberFormat="1" applyFont="1" applyFill="1" applyBorder="1" applyAlignment="1" applyProtection="1">
      <alignment horizontal="left" vertical="center" wrapText="1" indent="1"/>
      <protection locked="0"/>
    </xf>
    <xf numFmtId="0" fontId="4" fillId="4" borderId="5" xfId="0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 applyProtection="1">
      <alignment horizontal="left" vertical="center" wrapText="1" indent="1"/>
      <protection locked="0"/>
    </xf>
    <xf numFmtId="0" fontId="4" fillId="5" borderId="5" xfId="0" applyFont="1" applyFill="1" applyBorder="1" applyAlignment="1">
      <alignment horizontal="center" vertical="center" wrapText="1"/>
    </xf>
    <xf numFmtId="49" fontId="7" fillId="5" borderId="7" xfId="0" applyNumberFormat="1" applyFont="1" applyFill="1" applyBorder="1" applyAlignment="1" applyProtection="1">
      <alignment horizontal="left" vertical="center" wrapText="1" indent="1"/>
      <protection locked="0"/>
    </xf>
    <xf numFmtId="0" fontId="5" fillId="2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44" fontId="3" fillId="0" borderId="0" xfId="0" applyNumberFormat="1" applyFont="1" applyAlignment="1">
      <alignment horizontal="left" vertical="center" indent="1"/>
    </xf>
    <xf numFmtId="0" fontId="5" fillId="3" borderId="3" xfId="0" applyFont="1" applyFill="1" applyBorder="1" applyAlignment="1">
      <alignment horizontal="center" vertical="center"/>
    </xf>
    <xf numFmtId="0" fontId="0" fillId="0" borderId="6" xfId="0" applyBorder="1"/>
    <xf numFmtId="0" fontId="10" fillId="3" borderId="9" xfId="0" applyFont="1" applyFill="1" applyBorder="1" applyAlignment="1">
      <alignment horizontal="centerContinuous"/>
    </xf>
    <xf numFmtId="0" fontId="11" fillId="3" borderId="10" xfId="0" applyFont="1" applyFill="1" applyBorder="1" applyAlignment="1">
      <alignment horizontal="centerContinuous"/>
    </xf>
    <xf numFmtId="0" fontId="11" fillId="3" borderId="11" xfId="0" applyFont="1" applyFill="1" applyBorder="1" applyAlignment="1">
      <alignment horizontal="centerContinuous"/>
    </xf>
    <xf numFmtId="0" fontId="12" fillId="0" borderId="0" xfId="0" applyFont="1"/>
    <xf numFmtId="0" fontId="13" fillId="0" borderId="0" xfId="0" applyFont="1"/>
    <xf numFmtId="0" fontId="9" fillId="0" borderId="8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0" fillId="0" borderId="10" xfId="0" applyBorder="1"/>
    <xf numFmtId="0" fontId="9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ircraft%20Carrier%20Engineering%20and%20Planning%20Support%20(ACEPS)_Base%20IDIQ_I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Labor IGCE"/>
      <sheetName val="Travel IGCE"/>
      <sheetName val="Material IG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1"/>
  <sheetViews>
    <sheetView tabSelected="1" workbookViewId="0">
      <selection activeCell="G17" sqref="G17"/>
    </sheetView>
  </sheetViews>
  <sheetFormatPr defaultRowHeight="15" x14ac:dyDescent="0.25"/>
  <cols>
    <col min="2" max="2" width="55.28515625" customWidth="1"/>
    <col min="3" max="3" width="18.140625" customWidth="1"/>
    <col min="4" max="9" width="12.7109375" customWidth="1"/>
  </cols>
  <sheetData>
    <row r="1" spans="2:9" ht="15.75" x14ac:dyDescent="0.25">
      <c r="B1" s="21" t="s">
        <v>42</v>
      </c>
    </row>
    <row r="2" spans="2:9" x14ac:dyDescent="0.25">
      <c r="B2" s="20" t="s">
        <v>40</v>
      </c>
    </row>
    <row r="3" spans="2:9" ht="15.75" thickBot="1" x14ac:dyDescent="0.3">
      <c r="B3" s="20" t="s">
        <v>43</v>
      </c>
    </row>
    <row r="4" spans="2:9" ht="15.75" thickBot="1" x14ac:dyDescent="0.3">
      <c r="B4" s="1" t="s">
        <v>0</v>
      </c>
      <c r="C4" s="2"/>
    </row>
    <row r="5" spans="2:9" ht="21.75" thickBot="1" x14ac:dyDescent="0.4">
      <c r="B5" s="3"/>
      <c r="C5" s="15" t="s">
        <v>41</v>
      </c>
      <c r="D5" s="17" t="s">
        <v>39</v>
      </c>
      <c r="E5" s="18"/>
      <c r="F5" s="18"/>
      <c r="G5" s="18"/>
      <c r="H5" s="18"/>
      <c r="I5" s="19"/>
    </row>
    <row r="6" spans="2:9" ht="31.5" x14ac:dyDescent="0.25">
      <c r="B6" s="4" t="s">
        <v>1</v>
      </c>
      <c r="C6" s="5" t="s">
        <v>2</v>
      </c>
      <c r="D6" s="22" t="s">
        <v>32</v>
      </c>
      <c r="E6" s="25" t="s">
        <v>33</v>
      </c>
      <c r="F6" s="23" t="s">
        <v>34</v>
      </c>
      <c r="G6" s="25" t="s">
        <v>35</v>
      </c>
      <c r="H6" s="23" t="s">
        <v>44</v>
      </c>
      <c r="I6" s="25" t="s">
        <v>36</v>
      </c>
    </row>
    <row r="7" spans="2:9" x14ac:dyDescent="0.25">
      <c r="B7" s="6" t="s">
        <v>3</v>
      </c>
      <c r="C7" s="7">
        <v>1200</v>
      </c>
      <c r="D7" s="16"/>
      <c r="E7" s="16"/>
      <c r="F7" s="16"/>
      <c r="G7" s="16"/>
      <c r="H7" s="16"/>
      <c r="I7" s="16"/>
    </row>
    <row r="8" spans="2:9" x14ac:dyDescent="0.25">
      <c r="B8" s="6" t="s">
        <v>4</v>
      </c>
      <c r="C8" s="7">
        <v>600</v>
      </c>
      <c r="D8" s="16"/>
      <c r="E8" s="16"/>
      <c r="F8" s="16"/>
      <c r="G8" s="16"/>
      <c r="H8" s="16"/>
      <c r="I8" s="16"/>
    </row>
    <row r="9" spans="2:9" x14ac:dyDescent="0.25">
      <c r="B9" s="8" t="s">
        <v>5</v>
      </c>
      <c r="C9" s="9">
        <v>16496</v>
      </c>
      <c r="D9" s="16"/>
      <c r="E9" s="16"/>
      <c r="F9" s="16"/>
      <c r="G9" s="16"/>
      <c r="H9" s="16"/>
      <c r="I9" s="16"/>
    </row>
    <row r="10" spans="2:9" x14ac:dyDescent="0.25">
      <c r="B10" s="8" t="s">
        <v>6</v>
      </c>
      <c r="C10" s="9">
        <v>1912</v>
      </c>
      <c r="D10" s="16"/>
      <c r="E10" s="16"/>
      <c r="F10" s="16"/>
      <c r="G10" s="16"/>
      <c r="H10" s="16"/>
      <c r="I10" s="16"/>
    </row>
    <row r="11" spans="2:9" x14ac:dyDescent="0.25">
      <c r="B11" s="8" t="s">
        <v>7</v>
      </c>
      <c r="C11" s="9">
        <v>5736</v>
      </c>
      <c r="D11" s="16"/>
      <c r="E11" s="16"/>
      <c r="F11" s="16"/>
      <c r="G11" s="16"/>
      <c r="H11" s="16"/>
      <c r="I11" s="16"/>
    </row>
    <row r="12" spans="2:9" ht="15.75" x14ac:dyDescent="0.25">
      <c r="B12" s="10" t="s">
        <v>8</v>
      </c>
      <c r="C12" s="9">
        <v>7948</v>
      </c>
      <c r="D12" s="16"/>
      <c r="E12" s="16"/>
      <c r="F12" s="16"/>
      <c r="G12" s="16"/>
      <c r="H12" s="16"/>
      <c r="I12" s="16"/>
    </row>
    <row r="13" spans="2:9" ht="18.75" customHeight="1" x14ac:dyDescent="0.25">
      <c r="B13" s="10" t="s">
        <v>9</v>
      </c>
      <c r="C13" s="9">
        <v>28176</v>
      </c>
      <c r="D13" s="16"/>
      <c r="E13" s="16"/>
      <c r="F13" s="16"/>
      <c r="G13" s="16"/>
      <c r="H13" s="16"/>
      <c r="I13" s="16"/>
    </row>
    <row r="14" spans="2:9" x14ac:dyDescent="0.25">
      <c r="B14" s="10" t="s">
        <v>10</v>
      </c>
      <c r="C14" s="9">
        <v>5736</v>
      </c>
      <c r="D14" s="16"/>
      <c r="E14" s="16"/>
      <c r="F14" s="16"/>
      <c r="G14" s="16"/>
      <c r="H14" s="16"/>
      <c r="I14" s="16"/>
    </row>
    <row r="15" spans="2:9" x14ac:dyDescent="0.25">
      <c r="B15" s="10" t="s">
        <v>11</v>
      </c>
      <c r="C15" s="9">
        <v>2712</v>
      </c>
      <c r="D15" s="16"/>
      <c r="E15" s="16"/>
      <c r="F15" s="16"/>
      <c r="G15" s="16"/>
      <c r="H15" s="16"/>
      <c r="I15" s="16"/>
    </row>
    <row r="16" spans="2:9" x14ac:dyDescent="0.25">
      <c r="B16" s="10" t="s">
        <v>12</v>
      </c>
      <c r="C16" s="9">
        <v>17958</v>
      </c>
      <c r="D16" s="16"/>
      <c r="E16" s="16"/>
      <c r="F16" s="16"/>
      <c r="G16" s="16"/>
      <c r="H16" s="16"/>
      <c r="I16" s="16"/>
    </row>
    <row r="17" spans="2:9" x14ac:dyDescent="0.25">
      <c r="B17" s="10" t="s">
        <v>13</v>
      </c>
      <c r="C17" s="9">
        <v>1912</v>
      </c>
      <c r="D17" s="16"/>
      <c r="E17" s="16"/>
      <c r="F17" s="16"/>
      <c r="G17" s="16"/>
      <c r="H17" s="16"/>
      <c r="I17" s="16"/>
    </row>
    <row r="18" spans="2:9" x14ac:dyDescent="0.25">
      <c r="B18" s="10" t="s">
        <v>14</v>
      </c>
      <c r="C18" s="9">
        <v>15346</v>
      </c>
      <c r="D18" s="16"/>
      <c r="E18" s="16"/>
      <c r="F18" s="16"/>
      <c r="G18" s="16"/>
      <c r="H18" s="16"/>
      <c r="I18" s="16"/>
    </row>
    <row r="19" spans="2:9" x14ac:dyDescent="0.25">
      <c r="B19" s="10" t="s">
        <v>15</v>
      </c>
      <c r="C19" s="9">
        <v>15296</v>
      </c>
      <c r="D19" s="16"/>
      <c r="E19" s="16"/>
      <c r="F19" s="16"/>
      <c r="G19" s="16"/>
      <c r="H19" s="16"/>
      <c r="I19" s="16"/>
    </row>
    <row r="20" spans="2:9" x14ac:dyDescent="0.25">
      <c r="B20" s="10" t="s">
        <v>16</v>
      </c>
      <c r="C20" s="9">
        <v>1912</v>
      </c>
      <c r="D20" s="16"/>
      <c r="E20" s="16"/>
      <c r="F20" s="16"/>
      <c r="G20" s="16"/>
      <c r="H20" s="16"/>
      <c r="I20" s="16"/>
    </row>
    <row r="21" spans="2:9" x14ac:dyDescent="0.25">
      <c r="B21" s="10" t="s">
        <v>17</v>
      </c>
      <c r="C21" s="9">
        <v>11472</v>
      </c>
      <c r="D21" s="16"/>
      <c r="E21" s="16"/>
      <c r="F21" s="16"/>
      <c r="G21" s="16"/>
      <c r="H21" s="16"/>
      <c r="I21" s="16"/>
    </row>
    <row r="22" spans="2:9" ht="18" customHeight="1" x14ac:dyDescent="0.25">
      <c r="B22" s="10" t="s">
        <v>18</v>
      </c>
      <c r="C22" s="9">
        <v>25256</v>
      </c>
      <c r="D22" s="16"/>
      <c r="E22" s="16"/>
      <c r="F22" s="16"/>
      <c r="G22" s="16"/>
      <c r="H22" s="16"/>
      <c r="I22" s="16"/>
    </row>
    <row r="23" spans="2:9" x14ac:dyDescent="0.25">
      <c r="B23" s="10" t="s">
        <v>19</v>
      </c>
      <c r="C23" s="9">
        <v>4824</v>
      </c>
      <c r="D23" s="16"/>
      <c r="E23" s="16"/>
      <c r="F23" s="16"/>
      <c r="G23" s="16"/>
      <c r="H23" s="16"/>
      <c r="I23" s="16"/>
    </row>
    <row r="24" spans="2:9" ht="15.75" thickBot="1" x14ac:dyDescent="0.3">
      <c r="B24" s="11" t="s">
        <v>37</v>
      </c>
      <c r="C24" s="12">
        <f>SUM(C7:C23)</f>
        <v>164492</v>
      </c>
    </row>
    <row r="25" spans="2:9" ht="15.75" thickBot="1" x14ac:dyDescent="0.3">
      <c r="B25" s="13"/>
      <c r="C25" s="14"/>
    </row>
    <row r="26" spans="2:9" ht="15.75" thickBot="1" x14ac:dyDescent="0.3">
      <c r="B26" s="1" t="s">
        <v>20</v>
      </c>
      <c r="C26" s="2"/>
    </row>
    <row r="27" spans="2:9" ht="21.75" thickBot="1" x14ac:dyDescent="0.4">
      <c r="B27" s="3"/>
      <c r="C27" s="15" t="s">
        <v>41</v>
      </c>
      <c r="D27" s="17" t="s">
        <v>39</v>
      </c>
      <c r="E27" s="18"/>
      <c r="F27" s="18"/>
      <c r="G27" s="18"/>
      <c r="H27" s="18"/>
      <c r="I27" s="19"/>
    </row>
    <row r="28" spans="2:9" ht="31.5" x14ac:dyDescent="0.25">
      <c r="B28" s="4" t="s">
        <v>1</v>
      </c>
      <c r="C28" s="5" t="s">
        <v>2</v>
      </c>
      <c r="D28" s="22" t="s">
        <v>32</v>
      </c>
      <c r="E28" s="25" t="s">
        <v>33</v>
      </c>
      <c r="F28" s="23" t="s">
        <v>34</v>
      </c>
      <c r="G28" s="25" t="s">
        <v>35</v>
      </c>
      <c r="H28" s="23" t="s">
        <v>44</v>
      </c>
      <c r="I28" s="25" t="s">
        <v>36</v>
      </c>
    </row>
    <row r="29" spans="2:9" x14ac:dyDescent="0.25">
      <c r="B29" s="6" t="s">
        <v>3</v>
      </c>
      <c r="C29" s="7">
        <v>720</v>
      </c>
      <c r="D29" s="16"/>
      <c r="E29" s="16"/>
      <c r="F29" s="16"/>
      <c r="G29" s="16"/>
      <c r="H29" s="16"/>
      <c r="I29" s="16"/>
    </row>
    <row r="30" spans="2:9" x14ac:dyDescent="0.25">
      <c r="B30" s="6" t="s">
        <v>4</v>
      </c>
      <c r="C30" s="7">
        <v>360</v>
      </c>
      <c r="D30" s="16"/>
      <c r="E30" s="16"/>
      <c r="F30" s="16"/>
      <c r="G30" s="16"/>
      <c r="H30" s="16"/>
      <c r="I30" s="16"/>
    </row>
    <row r="31" spans="2:9" x14ac:dyDescent="0.25">
      <c r="B31" s="10" t="s">
        <v>21</v>
      </c>
      <c r="C31" s="9">
        <v>16384</v>
      </c>
      <c r="D31" s="16"/>
      <c r="E31" s="16"/>
      <c r="F31" s="16"/>
      <c r="G31" s="16"/>
      <c r="H31" s="16"/>
      <c r="I31" s="16"/>
    </row>
    <row r="32" spans="2:9" x14ac:dyDescent="0.25">
      <c r="B32" s="10" t="s">
        <v>22</v>
      </c>
      <c r="C32" s="9">
        <v>2212</v>
      </c>
      <c r="D32" s="16"/>
      <c r="E32" s="16"/>
      <c r="F32" s="16"/>
      <c r="G32" s="16"/>
      <c r="H32" s="16"/>
      <c r="I32" s="16"/>
    </row>
    <row r="33" spans="2:9" x14ac:dyDescent="0.25">
      <c r="B33" s="10" t="s">
        <v>23</v>
      </c>
      <c r="C33" s="9">
        <v>20596</v>
      </c>
      <c r="D33" s="16"/>
      <c r="E33" s="16"/>
      <c r="F33" s="16"/>
      <c r="G33" s="16"/>
      <c r="H33" s="16"/>
      <c r="I33" s="16"/>
    </row>
    <row r="34" spans="2:9" x14ac:dyDescent="0.25">
      <c r="B34" s="10" t="s">
        <v>24</v>
      </c>
      <c r="C34" s="9">
        <v>12560</v>
      </c>
      <c r="D34" s="16"/>
      <c r="E34" s="16"/>
      <c r="F34" s="16"/>
      <c r="G34" s="16"/>
      <c r="H34" s="16"/>
      <c r="I34" s="16"/>
    </row>
    <row r="35" spans="2:9" x14ac:dyDescent="0.25">
      <c r="B35" s="10" t="s">
        <v>25</v>
      </c>
      <c r="C35" s="9">
        <v>9148</v>
      </c>
      <c r="D35" s="16"/>
      <c r="E35" s="16"/>
      <c r="F35" s="16"/>
      <c r="G35" s="16"/>
      <c r="H35" s="16"/>
      <c r="I35" s="16"/>
    </row>
    <row r="36" spans="2:9" x14ac:dyDescent="0.25">
      <c r="B36" s="10" t="s">
        <v>17</v>
      </c>
      <c r="C36" s="9">
        <v>2412</v>
      </c>
      <c r="D36" s="16"/>
      <c r="E36" s="16"/>
      <c r="F36" s="16"/>
      <c r="G36" s="16"/>
      <c r="H36" s="16"/>
      <c r="I36" s="16"/>
    </row>
    <row r="37" spans="2:9" ht="18" customHeight="1" x14ac:dyDescent="0.25">
      <c r="B37" s="10" t="s">
        <v>26</v>
      </c>
      <c r="C37" s="9">
        <v>7236</v>
      </c>
      <c r="D37" s="16"/>
      <c r="E37" s="16"/>
      <c r="F37" s="16"/>
      <c r="G37" s="16"/>
      <c r="H37" s="16"/>
      <c r="I37" s="16"/>
    </row>
    <row r="38" spans="2:9" x14ac:dyDescent="0.25">
      <c r="B38" s="10" t="s">
        <v>27</v>
      </c>
      <c r="C38" s="9">
        <v>2412</v>
      </c>
      <c r="D38" s="16"/>
      <c r="E38" s="16"/>
      <c r="F38" s="16"/>
      <c r="G38" s="16"/>
      <c r="H38" s="16"/>
      <c r="I38" s="16"/>
    </row>
    <row r="39" spans="2:9" ht="15.75" thickBot="1" x14ac:dyDescent="0.3">
      <c r="B39" s="11" t="s">
        <v>38</v>
      </c>
      <c r="C39" s="12">
        <f>SUM(C29:C38)</f>
        <v>74040</v>
      </c>
    </row>
    <row r="40" spans="2:9" ht="15.75" thickBot="1" x14ac:dyDescent="0.3">
      <c r="B40" s="13"/>
      <c r="C40" s="14"/>
    </row>
    <row r="41" spans="2:9" ht="15.75" thickBot="1" x14ac:dyDescent="0.3">
      <c r="B41" s="1" t="s">
        <v>28</v>
      </c>
      <c r="C41" s="2"/>
    </row>
    <row r="42" spans="2:9" ht="21.75" thickBot="1" x14ac:dyDescent="0.4">
      <c r="B42" s="3"/>
      <c r="C42" s="15" t="s">
        <v>41</v>
      </c>
      <c r="D42" s="17" t="s">
        <v>39</v>
      </c>
      <c r="E42" s="18"/>
      <c r="F42" s="18"/>
      <c r="G42" s="18"/>
      <c r="H42" s="18"/>
      <c r="I42" s="19"/>
    </row>
    <row r="43" spans="2:9" ht="31.5" x14ac:dyDescent="0.25">
      <c r="B43" s="4" t="s">
        <v>1</v>
      </c>
      <c r="C43" s="5" t="s">
        <v>2</v>
      </c>
      <c r="D43" s="22" t="s">
        <v>32</v>
      </c>
      <c r="E43" s="25" t="s">
        <v>33</v>
      </c>
      <c r="F43" s="23" t="s">
        <v>34</v>
      </c>
      <c r="G43" s="25" t="s">
        <v>35</v>
      </c>
      <c r="H43" s="23" t="s">
        <v>44</v>
      </c>
      <c r="I43" s="25" t="s">
        <v>36</v>
      </c>
    </row>
    <row r="44" spans="2:9" x14ac:dyDescent="0.25">
      <c r="B44" s="6" t="s">
        <v>3</v>
      </c>
      <c r="C44" s="7">
        <v>400</v>
      </c>
      <c r="D44" s="16"/>
      <c r="E44" s="16"/>
      <c r="F44" s="16"/>
      <c r="G44" s="16"/>
      <c r="H44" s="16"/>
      <c r="I44" s="16"/>
    </row>
    <row r="45" spans="2:9" x14ac:dyDescent="0.25">
      <c r="B45" s="6" t="s">
        <v>4</v>
      </c>
      <c r="C45" s="7">
        <v>240</v>
      </c>
      <c r="D45" s="16"/>
      <c r="E45" s="16"/>
      <c r="F45" s="16"/>
      <c r="G45" s="16"/>
      <c r="H45" s="16"/>
      <c r="I45" s="16"/>
    </row>
    <row r="46" spans="2:9" x14ac:dyDescent="0.25">
      <c r="B46" s="10" t="s">
        <v>21</v>
      </c>
      <c r="C46" s="9">
        <v>4824</v>
      </c>
      <c r="D46" s="16"/>
      <c r="E46" s="16"/>
      <c r="F46" s="16"/>
      <c r="G46" s="16"/>
      <c r="H46" s="16"/>
      <c r="I46" s="16"/>
    </row>
    <row r="47" spans="2:9" x14ac:dyDescent="0.25">
      <c r="B47" s="10" t="s">
        <v>23</v>
      </c>
      <c r="C47" s="9">
        <v>12360</v>
      </c>
      <c r="D47" s="16"/>
      <c r="E47" s="16"/>
      <c r="F47" s="16"/>
      <c r="G47" s="16"/>
      <c r="H47" s="16"/>
      <c r="I47" s="16"/>
    </row>
    <row r="48" spans="2:9" x14ac:dyDescent="0.25">
      <c r="B48" s="10" t="s">
        <v>17</v>
      </c>
      <c r="C48" s="9">
        <v>12972</v>
      </c>
      <c r="D48" s="16"/>
      <c r="E48" s="16"/>
      <c r="F48" s="16"/>
      <c r="G48" s="16"/>
      <c r="H48" s="16"/>
      <c r="I48" s="16"/>
    </row>
    <row r="49" spans="2:9" ht="12.75" customHeight="1" x14ac:dyDescent="0.25">
      <c r="B49" s="10" t="s">
        <v>29</v>
      </c>
      <c r="C49" s="9">
        <v>2412</v>
      </c>
      <c r="D49" s="16"/>
      <c r="E49" s="16"/>
      <c r="F49" s="16"/>
      <c r="G49" s="16"/>
      <c r="H49" s="16"/>
      <c r="I49" s="16"/>
    </row>
    <row r="50" spans="2:9" x14ac:dyDescent="0.25">
      <c r="B50" s="10" t="s">
        <v>30</v>
      </c>
      <c r="C50" s="9">
        <v>2212</v>
      </c>
      <c r="D50" s="16"/>
      <c r="E50" s="16"/>
      <c r="F50" s="16"/>
      <c r="G50" s="16"/>
      <c r="H50" s="16"/>
      <c r="I50" s="16"/>
    </row>
    <row r="51" spans="2:9" ht="15.75" thickBot="1" x14ac:dyDescent="0.3">
      <c r="B51" s="11" t="s">
        <v>38</v>
      </c>
      <c r="C51" s="12">
        <f>SUM(C44:C50)</f>
        <v>35420</v>
      </c>
    </row>
    <row r="52" spans="2:9" ht="15.75" thickBot="1" x14ac:dyDescent="0.3">
      <c r="B52" s="13"/>
      <c r="C52" s="14"/>
    </row>
    <row r="53" spans="2:9" ht="15.75" thickBot="1" x14ac:dyDescent="0.3">
      <c r="B53" s="1" t="s">
        <v>31</v>
      </c>
      <c r="C53" s="2"/>
    </row>
    <row r="54" spans="2:9" ht="21.75" thickBot="1" x14ac:dyDescent="0.4">
      <c r="B54" s="3"/>
      <c r="C54" s="15" t="s">
        <v>41</v>
      </c>
      <c r="D54" s="17" t="s">
        <v>39</v>
      </c>
      <c r="E54" s="18"/>
      <c r="F54" s="18"/>
      <c r="G54" s="18"/>
      <c r="H54" s="18"/>
      <c r="I54" s="19"/>
    </row>
    <row r="55" spans="2:9" ht="31.5" x14ac:dyDescent="0.25">
      <c r="B55" s="4" t="s">
        <v>1</v>
      </c>
      <c r="C55" s="5" t="s">
        <v>2</v>
      </c>
      <c r="D55" s="22" t="s">
        <v>32</v>
      </c>
      <c r="E55" s="25" t="s">
        <v>33</v>
      </c>
      <c r="F55" s="23" t="s">
        <v>34</v>
      </c>
      <c r="G55" s="25" t="s">
        <v>35</v>
      </c>
      <c r="H55" s="23" t="s">
        <v>44</v>
      </c>
      <c r="I55" s="25" t="s">
        <v>36</v>
      </c>
    </row>
    <row r="56" spans="2:9" x14ac:dyDescent="0.25">
      <c r="B56" s="6" t="s">
        <v>3</v>
      </c>
      <c r="C56" s="7">
        <v>240</v>
      </c>
      <c r="D56" s="16"/>
      <c r="E56" s="16"/>
      <c r="F56" s="24"/>
      <c r="G56" s="16"/>
      <c r="H56" s="24"/>
      <c r="I56" s="16"/>
    </row>
    <row r="57" spans="2:9" x14ac:dyDescent="0.25">
      <c r="B57" s="6" t="s">
        <v>4</v>
      </c>
      <c r="C57" s="7">
        <v>120</v>
      </c>
      <c r="D57" s="16"/>
      <c r="E57" s="16"/>
      <c r="F57" s="24"/>
      <c r="G57" s="16"/>
      <c r="H57" s="24"/>
      <c r="I57" s="16"/>
    </row>
    <row r="58" spans="2:9" x14ac:dyDescent="0.25">
      <c r="B58" s="10" t="s">
        <v>10</v>
      </c>
      <c r="C58" s="9">
        <v>2412</v>
      </c>
      <c r="D58" s="16"/>
      <c r="E58" s="16"/>
      <c r="F58" s="24"/>
      <c r="G58" s="16"/>
      <c r="H58" s="24"/>
      <c r="I58" s="16"/>
    </row>
    <row r="59" spans="2:9" x14ac:dyDescent="0.25">
      <c r="B59" s="10" t="s">
        <v>24</v>
      </c>
      <c r="C59" s="9">
        <v>2412</v>
      </c>
      <c r="D59" s="16"/>
      <c r="E59" s="16"/>
      <c r="F59" s="24"/>
      <c r="G59" s="16"/>
      <c r="H59" s="24"/>
      <c r="I59" s="16"/>
    </row>
    <row r="60" spans="2:9" x14ac:dyDescent="0.25">
      <c r="B60" s="10" t="s">
        <v>17</v>
      </c>
      <c r="C60" s="9">
        <v>2412</v>
      </c>
      <c r="D60" s="16"/>
      <c r="E60" s="16"/>
      <c r="F60" s="24"/>
      <c r="G60" s="16"/>
      <c r="H60" s="24"/>
      <c r="I60" s="16"/>
    </row>
    <row r="61" spans="2:9" ht="15.75" thickBot="1" x14ac:dyDescent="0.3">
      <c r="B61" s="11" t="s">
        <v>38</v>
      </c>
      <c r="C61" s="12">
        <f>SUM(C56:C60)</f>
        <v>7596</v>
      </c>
    </row>
  </sheetData>
  <mergeCells count="4">
    <mergeCell ref="B53:B54"/>
    <mergeCell ref="B4:B5"/>
    <mergeCell ref="B26:B27"/>
    <mergeCell ref="B41:B42"/>
  </mergeCells>
  <dataValidations count="1">
    <dataValidation type="list" allowBlank="1" showInputMessage="1" showErrorMessage="1" sqref="B44:B50 B56:B60 B7:B23 B29:B38">
      <formula1>LaborCategories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jill.joscelyn</dc:creator>
  <cp:lastModifiedBy>jill.joscelyn</cp:lastModifiedBy>
  <dcterms:created xsi:type="dcterms:W3CDTF">2025-12-29T20:05:54Z</dcterms:created>
  <dcterms:modified xsi:type="dcterms:W3CDTF">2025-12-29T20:20:22Z</dcterms:modified>
</cp:coreProperties>
</file>