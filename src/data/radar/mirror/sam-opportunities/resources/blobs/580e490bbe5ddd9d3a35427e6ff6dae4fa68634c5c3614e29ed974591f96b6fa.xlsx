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usaf.dps.mil/teams/MATOC_ec0ada/Shared Documents/MATOC_Acquisition/"/>
    </mc:Choice>
  </mc:AlternateContent>
  <xr:revisionPtr revIDLastSave="0" documentId="8_{7D4E5D9C-BD59-4FF2-B098-9AE4FB7D9D5A}" xr6:coauthVersionLast="47" xr6:coauthVersionMax="47" xr10:uidLastSave="{00000000-0000-0000-0000-000000000000}"/>
  <bookViews>
    <workbookView xWindow="38290" yWindow="-110" windowWidth="38620" windowHeight="21100" xr2:uid="{5644B6C1-E780-48D8-8646-006C72AB32D9}"/>
  </bookViews>
  <sheets>
    <sheet name="Instructions" sheetId="2" r:id="rId1"/>
    <sheet name="Self Scoring Matrix"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D29" i="1"/>
  <c r="E29" i="1"/>
  <c r="C96" i="1"/>
  <c r="C85" i="1"/>
  <c r="C74" i="1"/>
  <c r="C63" i="1"/>
  <c r="C52" i="1"/>
  <c r="G96" i="1"/>
  <c r="E96" i="1"/>
  <c r="G85" i="1"/>
  <c r="E85" i="1"/>
  <c r="G74" i="1"/>
  <c r="E74" i="1"/>
  <c r="G63" i="1"/>
  <c r="E63" i="1"/>
  <c r="G52" i="1"/>
  <c r="E52" i="1"/>
  <c r="J91" i="1"/>
  <c r="J92" i="1"/>
  <c r="J93" i="1"/>
  <c r="J94" i="1"/>
  <c r="J90" i="1"/>
  <c r="J80" i="1"/>
  <c r="J81" i="1"/>
  <c r="J82" i="1"/>
  <c r="J83" i="1"/>
  <c r="J79" i="1"/>
  <c r="J69" i="1"/>
  <c r="J70" i="1"/>
  <c r="J71" i="1"/>
  <c r="J72" i="1"/>
  <c r="J68" i="1"/>
  <c r="J58" i="1"/>
  <c r="J59" i="1"/>
  <c r="J60" i="1"/>
  <c r="J61" i="1"/>
  <c r="J57" i="1"/>
  <c r="J47" i="1"/>
  <c r="J48" i="1"/>
  <c r="J49" i="1"/>
  <c r="J50" i="1"/>
  <c r="J46" i="1"/>
  <c r="K24" i="1"/>
  <c r="K27" i="1"/>
  <c r="J27" i="1"/>
  <c r="F27" i="1"/>
  <c r="H27" i="1" s="1"/>
  <c r="L27" i="1" s="1"/>
  <c r="K26" i="1"/>
  <c r="J26" i="1"/>
  <c r="F26" i="1"/>
  <c r="H26" i="1" s="1"/>
  <c r="L26" i="1" s="1"/>
  <c r="K25" i="1"/>
  <c r="J25" i="1"/>
  <c r="F25" i="1"/>
  <c r="H25" i="1" s="1"/>
  <c r="L25" i="1" s="1"/>
  <c r="C95" i="1"/>
  <c r="C84" i="1"/>
  <c r="C73" i="1"/>
  <c r="C62" i="1"/>
  <c r="C51" i="1"/>
  <c r="K32" i="1"/>
  <c r="G32" i="1"/>
  <c r="J32" i="1" s="1"/>
  <c r="F32" i="1"/>
  <c r="K22" i="1"/>
  <c r="J22" i="1"/>
  <c r="F22" i="1"/>
  <c r="K21" i="1"/>
  <c r="J21" i="1"/>
  <c r="F21" i="1"/>
  <c r="K20" i="1"/>
  <c r="J20" i="1"/>
  <c r="F20" i="1"/>
  <c r="K19" i="1"/>
  <c r="J19" i="1"/>
  <c r="F19" i="1"/>
  <c r="K18" i="1"/>
  <c r="J18" i="1"/>
  <c r="F18" i="1"/>
  <c r="K17" i="1"/>
  <c r="J17" i="1"/>
  <c r="F17" i="1"/>
  <c r="K14" i="1"/>
  <c r="J14" i="1"/>
  <c r="F14" i="1"/>
  <c r="K13" i="1"/>
  <c r="J13" i="1"/>
  <c r="F13" i="1"/>
  <c r="K12" i="1"/>
  <c r="J12" i="1"/>
  <c r="F12" i="1"/>
  <c r="K11" i="1"/>
  <c r="J11" i="1"/>
  <c r="F11" i="1"/>
  <c r="K10" i="1"/>
  <c r="J10" i="1"/>
  <c r="F10" i="1"/>
  <c r="K9" i="1"/>
  <c r="J9" i="1"/>
  <c r="F9" i="1"/>
  <c r="K8" i="1"/>
  <c r="J8" i="1"/>
  <c r="F29" i="1" l="1"/>
  <c r="H20" i="1"/>
  <c r="L20" i="1" s="1"/>
  <c r="H18" i="1"/>
  <c r="L18" i="1" s="1"/>
  <c r="H11" i="1"/>
  <c r="L11" i="1" s="1"/>
  <c r="H21" i="1"/>
  <c r="L21" i="1" s="1"/>
  <c r="H12" i="1"/>
  <c r="L12" i="1" s="1"/>
  <c r="H22" i="1"/>
  <c r="L22" i="1" s="1"/>
  <c r="H9" i="1"/>
  <c r="L9" i="1" s="1"/>
  <c r="J73" i="1"/>
  <c r="H13" i="1"/>
  <c r="L13" i="1" s="1"/>
  <c r="H32" i="1"/>
  <c r="L32" i="1" s="1"/>
  <c r="H19" i="1"/>
  <c r="L19" i="1" s="1"/>
  <c r="J62" i="1"/>
  <c r="J84" i="1"/>
  <c r="J51" i="1"/>
  <c r="J95" i="1"/>
  <c r="H8" i="1"/>
  <c r="L8" i="1" s="1"/>
  <c r="H10" i="1"/>
  <c r="L10" i="1" s="1"/>
  <c r="H14" i="1"/>
  <c r="L14" i="1" s="1"/>
  <c r="H17" i="1"/>
  <c r="L17" i="1" s="1"/>
  <c r="I96" i="1" l="1"/>
  <c r="J96" i="1"/>
  <c r="I85" i="1"/>
  <c r="J85" i="1"/>
  <c r="I74" i="1"/>
  <c r="J74" i="1"/>
  <c r="I63" i="1"/>
  <c r="J63" i="1"/>
  <c r="I52" i="1"/>
  <c r="J52" i="1"/>
  <c r="D37" i="1"/>
  <c r="D38" i="1" l="1"/>
  <c r="D40" i="1" s="1"/>
</calcChain>
</file>

<file path=xl/sharedStrings.xml><?xml version="1.0" encoding="utf-8"?>
<sst xmlns="http://schemas.openxmlformats.org/spreadsheetml/2006/main" count="198" uniqueCount="109">
  <si>
    <t>Instructions</t>
  </si>
  <si>
    <t>1. Only input data into the yellow cells of the Self Score Sheet tab.</t>
  </si>
  <si>
    <t>2. Please insert Offeror's name on Row 4.</t>
  </si>
  <si>
    <t>3. Offeror shall fill in Column D "Offeror Self-Score Points: Work performed by Prime"  and Column E "Offeror Self-Score Points: Work performed by Teaming Subcontractor" for the first 5 Categories, 3.2.2.1-3.2.2.3.</t>
  </si>
  <si>
    <t>4. Sum of Work Samples submitted for each Subcategory cannot break the max allowable points (Column F must be less than or equal to Column C for each subcategory).</t>
  </si>
  <si>
    <t xml:space="preserve">5. An Offeror may account for a sum of 20 points across the first three Categories: 3.2.2.1 Repair, 3.2.2.2 Replace, and 3.2.2.3 Spares.  Please note that points are referencing the value placed by the Offeror in columns D&amp;E, not the score calculated from those entries.  </t>
  </si>
  <si>
    <t>6. The total number of Work Samples submitted on behalf of a Teaming Subcontractor must be less than or equal to the number of Work Samples submitted for work performed by the Prime (Cell E29 must be less than or equal to Cell D29).</t>
  </si>
  <si>
    <t>7. All Offerors are to fill in the Project Management, Development, and Design Category (3.2.2.4) based off the projects/work samples submitted for sections 3.2.2.1-3.2.2.3.</t>
  </si>
  <si>
    <t>8. All Offerors are encouraged to fill out the CPARS/CPARS Equivalent Data Submission Category (3.2.2.5), columns A-I, based off the projects/work samples submitted from Categories 3.2.2.1-3.2.2.3.</t>
  </si>
  <si>
    <t>9. Offerors are allotted a maximum of five CPARS/CPARS Equivalent submissions (3.2.2.5).  It is up to the Offeror to determine best score feasible with the available five submissions. Note that the number of subcontractor CPAR submissions must be less than or equal to the number of CPARs submitted for the Prime.</t>
  </si>
  <si>
    <t>10. Points allotted from CPARS/CPARS Equivalent data are considered a bonus score; each entry will produce a calculated percentage bonus based off of the specific Subcategory it is associated with and the Offeror's ratings.</t>
  </si>
  <si>
    <t>8. All Offerors are encouraged to fill out the CPARS/CPARS Equivalent Data Submission Category (3.2.2.4), columns A-I, based off the projects/work samples submitted from Categories 3.2.2.1-3.2.2.3.</t>
  </si>
  <si>
    <t>11. If an Offeror is able to submit at least one CPARS/CPARS Equivalent response for each of the first three Categories (3.2.2.1 Repair, 3.2.2.2 Replace, 3.2.2.3 Spare), then the Offeror will receive a double bonus, doubling the points received for all CPAR submissions.</t>
  </si>
  <si>
    <t>Transformers IDIQ</t>
  </si>
  <si>
    <r>
      <t xml:space="preserve">Draft Attachment L-4 HTRO Scoring </t>
    </r>
    <r>
      <rPr>
        <b/>
        <sz val="14"/>
        <rFont val="Times New Roman"/>
        <family val="1"/>
      </rPr>
      <t>Matrix</t>
    </r>
  </si>
  <si>
    <r>
      <t xml:space="preserve">OFFEROR NAME: </t>
    </r>
    <r>
      <rPr>
        <b/>
        <sz val="14"/>
        <color theme="3" tint="0.39997558519241921"/>
        <rFont val="Times New Roman"/>
        <family val="1"/>
      </rPr>
      <t>[FILL IN OFFEROR NAME HERE]</t>
    </r>
  </si>
  <si>
    <t>Section L Paragraph</t>
  </si>
  <si>
    <t xml:space="preserve">Category                                           </t>
  </si>
  <si>
    <t>Maximum Self-Score Points</t>
  </si>
  <si>
    <t>Offeror Self-Score Points: Work performed by Prime              (1-5)</t>
  </si>
  <si>
    <t>Offeror Self-Score Points: Work performed by Teaming Subcontractor (1-5)</t>
  </si>
  <si>
    <t xml:space="preserve">Offeror Proposed Total Self-Score Points                    </t>
  </si>
  <si>
    <t>Self-Score Point Multiplication Factor</t>
  </si>
  <si>
    <t>Offeror's Initial Unweighted Score</t>
  </si>
  <si>
    <t>Weight Factor</t>
  </si>
  <si>
    <t>Single Project Weighted Score</t>
  </si>
  <si>
    <t xml:space="preserve">Max Weighted Score </t>
  </si>
  <si>
    <t>Offeror's Weighted Score before Bonus</t>
  </si>
  <si>
    <t>Repair</t>
  </si>
  <si>
    <t>3.2.2.1</t>
  </si>
  <si>
    <t xml:space="preserve">Number of Work Samples that include all labor, materials, equipment, transportation, supervision, and quality control to repair, repair by replace, or installation of the following systems: </t>
  </si>
  <si>
    <t>R1</t>
  </si>
  <si>
    <t>Complete On-Site Transformer Refurbishment (&gt;=161kV, &gt;=30MVA)</t>
  </si>
  <si>
    <t>R2</t>
  </si>
  <si>
    <t>Winding Repair &amp; On-Site Rewind (&gt;=161kV, &gt;=30MVA)</t>
  </si>
  <si>
    <t>R3</t>
  </si>
  <si>
    <t>Load Tap Changer (LTC) Rebuild (includ. Replacement of contacts and timing measurements) (&gt;=161kV, &gt;=30MVA)</t>
  </si>
  <si>
    <t>R4</t>
  </si>
  <si>
    <t>Cooling System &amp; Radiator Refurbishment (radiator cleaning, fan/pump evaluation, and flow indicator replacement) (&gt;=161kV, &gt;=30MVA)</t>
  </si>
  <si>
    <t>R5</t>
  </si>
  <si>
    <t>Transformer Tank &amp; Structural Steel Repair (&gt;=161kV, &gt;=30MVA)</t>
  </si>
  <si>
    <t>R6</t>
  </si>
  <si>
    <t>Surface Preparation and Coating Application (surface preparation and application of a multi-coat paint system compliant with SSPC standards on a power transformer) (&gt;=161kV, &gt;=30MVA)</t>
  </si>
  <si>
    <t>R7</t>
  </si>
  <si>
    <t>Replacing Lightning Arrestors in Substations (design, fabrication, and installation of custom mounting brackets and new station class lightning arresters on a &gt;=161kV, &gt;=30MVA transformer)</t>
  </si>
  <si>
    <t>Replace</t>
  </si>
  <si>
    <t>3.2.2.2</t>
  </si>
  <si>
    <t>A1</t>
  </si>
  <si>
    <t>New High-Voltage (&gt;=161kV) Bushing Replacement (full replacement of 161kV class (or higher) bushings) (&gt;=161kV, &gt;=30MVA)</t>
  </si>
  <si>
    <t>A2</t>
  </si>
  <si>
    <t>New Control Cabinet (Design, Fab, &amp; Install) (end-to-end experience designing, fabricating, installing, and testing a new NEMA 3R transformer control cabinet) (&gt;=161kV, &gt;=30MVA)</t>
  </si>
  <si>
    <t>A3</t>
  </si>
  <si>
    <t>New IED Programming &amp; SCADA Integration (programming and integrating a new IED (e.g., SEL-2414) with a SCADA system using DNP3 protocol) (&gt;=161kV, &gt;=30MVA)</t>
  </si>
  <si>
    <t>A4</t>
  </si>
  <si>
    <t>Installation of New Protective Devices (new pressure relief device and new station class lightning arresters on a &gt;=161kV transformer) (&gt;=161kV, &gt;=30MVA)</t>
  </si>
  <si>
    <t>A5</t>
  </si>
  <si>
    <t>Advanced Electrical Testing &amp; Diagnostics (performed and provided final reports for a suite of advanced diagnostics (must include SFRA, Insulation Power Factor, and DGA sampling/analysis)) (&gt;=161kV, &gt;=30MVA)</t>
  </si>
  <si>
    <t>A6</t>
  </si>
  <si>
    <t>Final Documentation &amp; Reporting (complete final documentation package, including as-built drawings, NETA-compliant test reports, and component O&amp;M manuals) (&gt;=161kV, &gt;=30MVA)</t>
  </si>
  <si>
    <t>Spare</t>
  </si>
  <si>
    <t>3.2.2.3</t>
  </si>
  <si>
    <t>S1</t>
  </si>
  <si>
    <t>New Transformer Manufacturing/Procurement (new &gt;=30 MVA, &gt;=161kV transformer the offeror has manufactured or served as prime contractor for the procurement of)</t>
  </si>
  <si>
    <t>S2</t>
  </si>
  <si>
    <t>Factory Acceptance Test (FAT) Management (developed and managed a complete Factory Acceptance Test (FAT) plan per IEEE C57.12.90)) (&gt;=161kV, &gt;=30MVA)</t>
  </si>
  <si>
    <t>S3</t>
  </si>
  <si>
    <t>New Transformer Design &amp; Submittal (creating and getting approval for a complete new transformer design submittal package, including outline drawings, schematics, and calculations) (&gt;=161kV, &gt;=30MVA)</t>
  </si>
  <si>
    <t>Total Sum of Self-Score Points Selected for Repair, Replace, and Spare cannot be greater than 20.
Total Sum of Teaming Subcontractor Points (Cell E29) cannot be greater than Total Sum of the Prime's Points (Cell D29).</t>
  </si>
  <si>
    <t>Total Self-Score Points</t>
  </si>
  <si>
    <t>Project Management, Development, and Design</t>
  </si>
  <si>
    <t>Acceptable Input (1-60)</t>
  </si>
  <si>
    <t>3.2.2.4</t>
  </si>
  <si>
    <t>Total dollar value of 161kV transformer projects supporting DoD Installations.</t>
  </si>
  <si>
    <t xml:space="preserve">Offeror is only to input data into the blue cells. </t>
  </si>
  <si>
    <t>Offeror's Weighted Score Before CPARS Bonus (Column L Sum)</t>
  </si>
  <si>
    <t>Offeror's Bonus Score based off CPARS Data (CPARS Sections Below)</t>
  </si>
  <si>
    <t>Offeror's Final Self Score</t>
  </si>
  <si>
    <r>
      <t>Government</t>
    </r>
    <r>
      <rPr>
        <b/>
        <sz val="12"/>
        <rFont val="Times New Roman"/>
        <family val="1"/>
      </rPr>
      <t>-V</t>
    </r>
    <r>
      <rPr>
        <b/>
        <sz val="12"/>
        <color theme="1"/>
        <rFont val="Times New Roman"/>
        <family val="1"/>
      </rPr>
      <t>alidated Score</t>
    </r>
  </si>
  <si>
    <t>3.2.2.5</t>
  </si>
  <si>
    <t>CPARS/CPARS Equivalent Data Submission</t>
  </si>
  <si>
    <t>Project 1</t>
  </si>
  <si>
    <t>Contract Title</t>
  </si>
  <si>
    <t>Subsection Associated with Project</t>
  </si>
  <si>
    <t>Quality</t>
  </si>
  <si>
    <t>Management</t>
  </si>
  <si>
    <t>Cost Control</t>
  </si>
  <si>
    <t>Small Business Subcontracting</t>
  </si>
  <si>
    <t>Regulatory Compliance</t>
  </si>
  <si>
    <t>Schedule</t>
  </si>
  <si>
    <t>Total Score from Provided Ratings</t>
  </si>
  <si>
    <t>Year</t>
  </si>
  <si>
    <t>WS Number/Project Title</t>
  </si>
  <si>
    <t>Select from Dropdown</t>
  </si>
  <si>
    <t>Average</t>
  </si>
  <si>
    <t>Project Details from Above Subsections</t>
  </si>
  <si>
    <t xml:space="preserve">Unweighted Score </t>
  </si>
  <si>
    <t>Weighted Score</t>
  </si>
  <si>
    <t>Bonus Awarded</t>
  </si>
  <si>
    <t>Project 2</t>
  </si>
  <si>
    <t>Project 3</t>
  </si>
  <si>
    <t>Project 4</t>
  </si>
  <si>
    <t>Project 5</t>
  </si>
  <si>
    <t>Exceptional</t>
  </si>
  <si>
    <t>Very Good</t>
  </si>
  <si>
    <t>Satisfactory</t>
  </si>
  <si>
    <t>Marginal</t>
  </si>
  <si>
    <t>Unsatisfactory</t>
  </si>
  <si>
    <t>N/A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</si>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</sst>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b/>
      <sz val="14"/>
      <color theme="1"/>
      <name val="Times New Roman"/>
      <family val="1"/>
    </font>
    <font>
      <b/>
      <sz val="14"/>
      <name val="Times New Roman"/>
      <family val="1"/>
    </font>
    <font>
      <b/>
      <sz val="14"/>
      <color theme="3" tint="0.39997558519241921"/>
      <name val="Times New Roman"/>
      <family val="1"/>
    </font>
    <font>
      <sz val="12"/>
      <color theme="1"/>
      <name val="Times New Roman"/>
      <family val="1"/>
    </font>
    <font>
      <b/>
      <sz val="12"/>
      <color theme="4" tint="-0.249977111117893"/>
      <name val="Times New Roman"/>
      <family val="1"/>
    </font>
    <font>
      <b/>
      <sz val="12"/>
      <name val="Times New Roman"/>
      <family val="1"/>
    </font>
    <font>
      <b/>
      <i/>
      <sz val="12"/>
      <color theme="4" tint="-0.249977111117893"/>
      <name val="Times New Roman"/>
      <family val="1"/>
    </font>
    <font>
      <sz val="11"/>
      <name val="Times New Roman"/>
      <family val="1"/>
    </font>
    <font>
      <b/>
      <sz val="11"/>
      <color theme="1"/>
      <name val="Times New Roman"/>
      <family val="1"/>
    </font>
    <font>
      <sz val="11"/>
      <color rgb="FF000000"/>
      <name val="Times New Roman"/>
      <family val="1"/>
    </font>
    <font>
      <sz val="11"/>
      <color theme="1"/>
      <name val="Times New Roman"/>
      <family val="1"/>
    </font>
    <font>
      <b/>
      <sz val="12"/>
      <color theme="1"/>
      <name val="Times New Roman"/>
      <family val="1"/>
    </font>
    <font>
      <sz val="12"/>
      <name val="Times New Roman"/>
      <family val="1"/>
    </font>
    <font>
      <b/>
      <sz val="16"/>
      <color theme="1"/>
      <name val="Times New Roman"/>
      <family val="1"/>
    </font>
    <font>
      <sz val="11"/>
      <color theme="0"/>
      <name val="Aptos Narrow"/>
      <family val="2"/>
      <scheme val="minor"/>
    </font>
    <font>
      <sz val="11"/>
      <color theme="0"/>
      <name val="Calibri"/>
      <family val="2"/>
    </font>
  </fonts>
  <fills count="7">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theme="1"/>
        <bgColor indexed="64"/>
      </patternFill>
    </fill>
  </fills>
  <borders count="51">
    <border>
      <left/>
      <right/>
      <top/>
      <bottom/>
      <diagonal/>
    </border>
    <border>
      <left style="medium">
        <color rgb="FF000000"/>
      </left>
      <right style="medium">
        <color indexed="64"/>
      </right>
      <top style="medium">
        <color rgb="FF000000"/>
      </top>
      <bottom/>
      <diagonal/>
    </border>
    <border>
      <left/>
      <right style="thin">
        <color indexed="64"/>
      </right>
      <top style="medium">
        <color rgb="FF000000"/>
      </top>
      <bottom/>
      <diagonal/>
    </border>
    <border>
      <left/>
      <right/>
      <top style="medium">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rgb="FF000000"/>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7">
    <xf numFmtId="0" fontId="0" fillId="0" borderId="0" xfId="0"/>
    <xf numFmtId="0" fontId="9" fillId="2" borderId="18" xfId="0" applyFont="1" applyFill="1" applyBorder="1" applyAlignment="1" applyProtection="1">
      <alignment horizontal="center" vertical="center" wrapText="1"/>
      <protection locked="0"/>
    </xf>
    <xf numFmtId="0" fontId="9" fillId="2" borderId="19" xfId="0" applyFont="1" applyFill="1" applyBorder="1" applyAlignment="1" applyProtection="1">
      <alignment horizontal="center" vertical="center" wrapText="1"/>
      <protection locked="0"/>
    </xf>
    <xf numFmtId="0" fontId="9" fillId="2" borderId="20" xfId="0" applyFont="1" applyFill="1" applyBorder="1" applyAlignment="1" applyProtection="1">
      <alignment horizontal="center" vertical="center" wrapText="1"/>
      <protection locked="0"/>
    </xf>
    <xf numFmtId="0" fontId="9" fillId="2" borderId="22" xfId="0" applyFont="1" applyFill="1" applyBorder="1" applyAlignment="1" applyProtection="1">
      <alignment horizontal="center" vertical="center" wrapText="1"/>
      <protection locked="0"/>
    </xf>
    <xf numFmtId="0" fontId="11" fillId="2" borderId="18" xfId="0" applyFont="1" applyFill="1" applyBorder="1" applyAlignment="1" applyProtection="1">
      <alignment horizontal="center" vertical="center" wrapText="1"/>
      <protection locked="0"/>
    </xf>
    <xf numFmtId="0" fontId="11" fillId="2" borderId="19" xfId="0" applyFont="1" applyFill="1" applyBorder="1" applyAlignment="1" applyProtection="1">
      <alignment horizontal="center" vertical="center" wrapText="1"/>
      <protection locked="0"/>
    </xf>
    <xf numFmtId="0" fontId="11" fillId="2" borderId="20" xfId="0" applyFont="1" applyFill="1" applyBorder="1" applyAlignment="1" applyProtection="1">
      <alignment horizontal="center" vertical="center" wrapText="1"/>
      <protection locked="0"/>
    </xf>
    <xf numFmtId="0" fontId="11" fillId="2" borderId="22" xfId="0" applyFont="1" applyFill="1" applyBorder="1" applyAlignment="1" applyProtection="1">
      <alignment horizontal="center" vertical="center" wrapText="1"/>
      <protection locked="0"/>
    </xf>
    <xf numFmtId="0" fontId="9" fillId="2" borderId="44" xfId="0" applyFont="1" applyFill="1" applyBorder="1" applyAlignment="1" applyProtection="1">
      <alignment horizontal="center" vertical="center" wrapText="1"/>
      <protection locked="0"/>
    </xf>
    <xf numFmtId="9" fontId="8" fillId="0" borderId="48" xfId="1" applyFont="1" applyBorder="1" applyAlignment="1" applyProtection="1">
      <alignment horizontal="center" vertical="center" wrapText="1"/>
    </xf>
    <xf numFmtId="9" fontId="8" fillId="0" borderId="0" xfId="1" applyFont="1" applyBorder="1" applyAlignment="1" applyProtection="1">
      <alignment horizontal="center" vertical="center" wrapText="1"/>
    </xf>
    <xf numFmtId="0" fontId="15" fillId="0" borderId="0" xfId="0" applyFont="1"/>
    <xf numFmtId="0" fontId="12" fillId="0" borderId="0" xfId="0" applyFont="1"/>
    <xf numFmtId="0" fontId="12" fillId="2" borderId="0" xfId="0" applyFont="1" applyFill="1"/>
    <xf numFmtId="0" fontId="0" fillId="0" borderId="0" xfId="0" applyAlignment="1" applyProtection="1">
      <alignment horizontal="center"/>
      <protection locked="0"/>
    </xf>
    <xf numFmtId="0" fontId="0" fillId="0" borderId="0" xfId="0" applyProtection="1">
      <protection locked="0"/>
    </xf>
    <xf numFmtId="0" fontId="2" fillId="0" borderId="0" xfId="0" applyFont="1" applyProtection="1">
      <protection locked="0"/>
    </xf>
    <xf numFmtId="14" fontId="0" fillId="0" borderId="0" xfId="0" applyNumberFormat="1" applyAlignment="1" applyProtection="1">
      <alignment horizontal="center"/>
      <protection locked="0"/>
    </xf>
    <xf numFmtId="1" fontId="0" fillId="0" borderId="0" xfId="0" applyNumberFormat="1" applyAlignment="1" applyProtection="1">
      <alignment horizontal="center"/>
      <protection locked="0"/>
    </xf>
    <xf numFmtId="0" fontId="5" fillId="0" borderId="0" xfId="0" applyFont="1" applyAlignment="1" applyProtection="1">
      <alignment vertical="center"/>
      <protection locked="0"/>
    </xf>
    <xf numFmtId="0" fontId="12" fillId="0" borderId="0" xfId="0" applyFont="1" applyAlignment="1" applyProtection="1">
      <alignment horizontal="center"/>
      <protection locked="0"/>
    </xf>
    <xf numFmtId="0" fontId="6" fillId="0" borderId="0" xfId="0"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16" fillId="0" borderId="0" xfId="0" applyFont="1" applyAlignment="1" applyProtection="1">
      <alignment horizontal="center"/>
      <protection locked="0"/>
    </xf>
    <xf numFmtId="0" fontId="17" fillId="0" borderId="0" xfId="0" applyFont="1" applyProtection="1">
      <protection locked="0"/>
    </xf>
    <xf numFmtId="0" fontId="16" fillId="0" borderId="0" xfId="0" applyFont="1" applyProtection="1">
      <protection locked="0"/>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4" borderId="10" xfId="0" applyFont="1" applyFill="1" applyBorder="1" applyAlignment="1">
      <alignment horizontal="center" vertical="center"/>
    </xf>
    <xf numFmtId="0" fontId="7" fillId="4" borderId="11" xfId="0" applyFont="1" applyFill="1" applyBorder="1" applyAlignment="1">
      <alignment horizontal="center" vertical="center" wrapText="1"/>
    </xf>
    <xf numFmtId="0" fontId="9" fillId="0" borderId="13" xfId="0" applyFont="1" applyBorder="1" applyAlignment="1">
      <alignment horizontal="center" vertical="center"/>
    </xf>
    <xf numFmtId="0" fontId="9" fillId="5" borderId="14" xfId="0" applyFont="1" applyFill="1" applyBorder="1" applyAlignment="1">
      <alignment horizontal="left" vertical="center" wrapText="1"/>
    </xf>
    <xf numFmtId="0" fontId="9" fillId="6" borderId="14" xfId="0" applyFont="1" applyFill="1" applyBorder="1" applyAlignment="1">
      <alignment horizontal="center" vertical="center" wrapText="1"/>
    </xf>
    <xf numFmtId="0" fontId="9" fillId="5" borderId="16" xfId="0" applyFont="1" applyFill="1" applyBorder="1" applyAlignment="1">
      <alignment horizontal="left" vertical="center" wrapText="1"/>
    </xf>
    <xf numFmtId="0" fontId="9" fillId="0" borderId="17" xfId="0" applyFont="1" applyBorder="1" applyAlignment="1">
      <alignment horizontal="center" vertical="center" wrapText="1"/>
    </xf>
    <xf numFmtId="0" fontId="9" fillId="0" borderId="26" xfId="0" applyFont="1" applyBorder="1" applyAlignment="1">
      <alignment horizontal="center" vertical="center"/>
    </xf>
    <xf numFmtId="0" fontId="9" fillId="0" borderId="28" xfId="0" applyFont="1" applyBorder="1" applyAlignment="1">
      <alignment vertical="center" wrapText="1"/>
    </xf>
    <xf numFmtId="0" fontId="7" fillId="4" borderId="10" xfId="0" applyFont="1" applyFill="1" applyBorder="1" applyAlignment="1">
      <alignment horizontal="center" vertical="center" wrapText="1"/>
    </xf>
    <xf numFmtId="0" fontId="9" fillId="0" borderId="23" xfId="0" applyFont="1" applyBorder="1" applyAlignment="1">
      <alignment horizontal="center" vertical="center"/>
    </xf>
    <xf numFmtId="0" fontId="9" fillId="0" borderId="0" xfId="0" applyFont="1" applyAlignment="1">
      <alignment horizontal="center" vertical="center"/>
    </xf>
    <xf numFmtId="0" fontId="11" fillId="0" borderId="17" xfId="0" applyFont="1" applyBorder="1" applyAlignment="1">
      <alignment horizontal="center" vertical="center" wrapText="1"/>
    </xf>
    <xf numFmtId="0" fontId="5" fillId="0" borderId="0" xfId="0" applyFont="1" applyAlignment="1">
      <alignment horizontal="center" vertical="center"/>
    </xf>
    <xf numFmtId="0" fontId="6" fillId="0" borderId="14"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28" xfId="0" applyFont="1" applyBorder="1" applyAlignment="1">
      <alignment horizontal="center" vertical="center" wrapText="1"/>
    </xf>
    <xf numFmtId="0" fontId="6" fillId="3" borderId="6"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3" borderId="9" xfId="0" applyFont="1" applyFill="1" applyBorder="1" applyAlignment="1">
      <alignment horizontal="center" vertical="center" wrapText="1"/>
    </xf>
    <xf numFmtId="0" fontId="8" fillId="4" borderId="11" xfId="0" applyFont="1" applyFill="1" applyBorder="1" applyAlignment="1">
      <alignment horizontal="center" vertical="center" wrapText="1"/>
    </xf>
    <xf numFmtId="1" fontId="8" fillId="4" borderId="11" xfId="0" applyNumberFormat="1" applyFont="1" applyFill="1" applyBorder="1" applyAlignment="1">
      <alignment horizontal="center" vertical="center" wrapText="1"/>
    </xf>
    <xf numFmtId="1" fontId="5" fillId="4" borderId="12" xfId="0" applyNumberFormat="1" applyFont="1" applyFill="1" applyBorder="1" applyAlignment="1">
      <alignment vertical="center"/>
    </xf>
    <xf numFmtId="1" fontId="10" fillId="3" borderId="14" xfId="0" applyNumberFormat="1" applyFont="1" applyFill="1" applyBorder="1" applyAlignment="1">
      <alignment horizontal="center" vertical="center"/>
    </xf>
    <xf numFmtId="2" fontId="9" fillId="0" borderId="20" xfId="0" applyNumberFormat="1" applyFont="1" applyBorder="1" applyAlignment="1">
      <alignment horizontal="center" vertical="center" wrapText="1"/>
    </xf>
    <xf numFmtId="1" fontId="9" fillId="0" borderId="16" xfId="0" applyNumberFormat="1" applyFont="1" applyBorder="1" applyAlignment="1">
      <alignment horizontal="center" vertical="center"/>
    </xf>
    <xf numFmtId="1" fontId="9" fillId="0" borderId="14" xfId="0" applyNumberFormat="1" applyFont="1" applyBorder="1" applyAlignment="1">
      <alignment horizontal="center" vertical="center"/>
    </xf>
    <xf numFmtId="1" fontId="10" fillId="3" borderId="21" xfId="0" applyNumberFormat="1" applyFont="1" applyFill="1" applyBorder="1" applyAlignment="1">
      <alignment horizontal="center" vertical="center"/>
    </xf>
    <xf numFmtId="0" fontId="9" fillId="6" borderId="15" xfId="0" applyFont="1" applyFill="1" applyBorder="1" applyAlignment="1">
      <alignment horizontal="center" vertical="center" wrapText="1"/>
    </xf>
    <xf numFmtId="0" fontId="9" fillId="6" borderId="27" xfId="0" applyFont="1" applyFill="1" applyBorder="1" applyAlignment="1">
      <alignment horizontal="center" vertical="center" wrapText="1"/>
    </xf>
    <xf numFmtId="1" fontId="10" fillId="3" borderId="27" xfId="0" applyNumberFormat="1" applyFont="1" applyFill="1" applyBorder="1" applyAlignment="1">
      <alignment horizontal="center" vertical="center"/>
    </xf>
    <xf numFmtId="1" fontId="7" fillId="4" borderId="11" xfId="0" applyNumberFormat="1" applyFont="1" applyFill="1" applyBorder="1" applyAlignment="1">
      <alignment horizontal="center" vertical="center" wrapText="1"/>
    </xf>
    <xf numFmtId="1" fontId="7" fillId="4" borderId="12" xfId="0" applyNumberFormat="1" applyFont="1" applyFill="1" applyBorder="1" applyAlignment="1">
      <alignment horizontal="center" vertical="center" wrapText="1"/>
    </xf>
    <xf numFmtId="0" fontId="8" fillId="4" borderId="10" xfId="0" applyFont="1" applyFill="1" applyBorder="1" applyAlignment="1">
      <alignment horizontal="center" vertical="center" wrapText="1"/>
    </xf>
    <xf numFmtId="0" fontId="5" fillId="4" borderId="12" xfId="0" applyFont="1" applyFill="1" applyBorder="1" applyAlignment="1">
      <alignment vertical="center"/>
    </xf>
    <xf numFmtId="2" fontId="9" fillId="0" borderId="26" xfId="0" applyNumberFormat="1" applyFont="1" applyBorder="1" applyAlignment="1">
      <alignment horizontal="center" vertical="center" wrapText="1"/>
    </xf>
    <xf numFmtId="1" fontId="10" fillId="3" borderId="32" xfId="0" applyNumberFormat="1" applyFont="1" applyFill="1" applyBorder="1" applyAlignment="1">
      <alignment horizontal="center" vertical="center"/>
    </xf>
    <xf numFmtId="1" fontId="6" fillId="0" borderId="31" xfId="0" applyNumberFormat="1" applyFont="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0" fillId="2" borderId="0" xfId="0" applyFont="1" applyFill="1" applyAlignment="1">
      <alignment wrapText="1"/>
    </xf>
    <xf numFmtId="0" fontId="9" fillId="0" borderId="0" xfId="0" applyFont="1" applyAlignment="1">
      <alignment horizontal="center" vertical="center" wrapText="1"/>
    </xf>
    <xf numFmtId="0" fontId="5" fillId="0" borderId="0" xfId="0" applyFont="1" applyAlignment="1">
      <alignment vertical="center"/>
    </xf>
    <xf numFmtId="0" fontId="12" fillId="0" borderId="0" xfId="0" applyFont="1" applyAlignment="1">
      <alignment horizontal="center"/>
    </xf>
    <xf numFmtId="0" fontId="9" fillId="0" borderId="0" xfId="0" applyFont="1" applyAlignment="1">
      <alignment horizontal="left" vertical="center" wrapText="1"/>
    </xf>
    <xf numFmtId="0" fontId="13" fillId="0" borderId="10" xfId="0" applyFont="1" applyBorder="1" applyAlignment="1">
      <alignment vertical="center"/>
    </xf>
    <xf numFmtId="0" fontId="13" fillId="0" borderId="11" xfId="0" applyFont="1" applyBorder="1" applyAlignment="1">
      <alignment vertical="center"/>
    </xf>
    <xf numFmtId="3" fontId="13" fillId="0" borderId="36" xfId="0" applyNumberFormat="1" applyFont="1" applyBorder="1" applyAlignment="1">
      <alignment vertical="center"/>
    </xf>
    <xf numFmtId="0" fontId="13" fillId="0" borderId="0" xfId="0" applyFont="1" applyAlignment="1">
      <alignment vertical="center"/>
    </xf>
    <xf numFmtId="3" fontId="13" fillId="0" borderId="0" xfId="0" applyNumberFormat="1" applyFont="1" applyAlignment="1">
      <alignment vertical="center"/>
    </xf>
    <xf numFmtId="0" fontId="13" fillId="0" borderId="11" xfId="0" applyFont="1" applyBorder="1" applyAlignment="1">
      <alignment horizontal="center" vertical="center"/>
    </xf>
    <xf numFmtId="0" fontId="13" fillId="0" borderId="0" xfId="0" applyFont="1" applyAlignment="1">
      <alignment horizontal="center" vertical="center"/>
    </xf>
    <xf numFmtId="0" fontId="13" fillId="3" borderId="10" xfId="0" applyFont="1" applyFill="1" applyBorder="1" applyAlignment="1">
      <alignment vertical="center"/>
    </xf>
    <xf numFmtId="0" fontId="13" fillId="3" borderId="11" xfId="0" applyFont="1" applyFill="1" applyBorder="1" applyAlignment="1">
      <alignment vertical="center"/>
    </xf>
    <xf numFmtId="3" fontId="13" fillId="3" borderId="36" xfId="0" applyNumberFormat="1" applyFont="1" applyFill="1" applyBorder="1" applyAlignment="1">
      <alignment vertical="center"/>
    </xf>
    <xf numFmtId="0" fontId="13" fillId="0" borderId="36" xfId="0" applyFont="1" applyBorder="1" applyAlignment="1">
      <alignment vertical="center"/>
    </xf>
    <xf numFmtId="0" fontId="7" fillId="4" borderId="17" xfId="0" applyFont="1" applyFill="1" applyBorder="1" applyAlignment="1">
      <alignment horizontal="center" vertical="center"/>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vertical="center" wrapText="1"/>
    </xf>
    <xf numFmtId="0" fontId="8" fillId="0" borderId="42"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5" xfId="0" applyFont="1" applyBorder="1" applyAlignment="1">
      <alignment horizontal="center" vertical="center" wrapText="1"/>
    </xf>
    <xf numFmtId="0" fontId="7" fillId="4" borderId="30" xfId="0" applyFont="1" applyFill="1" applyBorder="1" applyAlignment="1">
      <alignment horizontal="center" vertical="center"/>
    </xf>
    <xf numFmtId="0" fontId="7" fillId="4" borderId="43" xfId="0" applyFont="1" applyFill="1" applyBorder="1" applyAlignment="1">
      <alignment horizontal="center" vertical="center"/>
    </xf>
    <xf numFmtId="0" fontId="14" fillId="4" borderId="12" xfId="0" applyFont="1" applyFill="1" applyBorder="1" applyAlignment="1">
      <alignment horizontal="center" vertical="center"/>
    </xf>
    <xf numFmtId="0" fontId="12" fillId="6" borderId="47" xfId="0" applyFont="1" applyFill="1" applyBorder="1"/>
    <xf numFmtId="0" fontId="12" fillId="6" borderId="0" xfId="0" applyFont="1" applyFill="1"/>
    <xf numFmtId="0" fontId="9" fillId="6" borderId="39" xfId="0" applyFont="1" applyFill="1" applyBorder="1" applyAlignment="1">
      <alignment horizontal="center" vertical="center" wrapText="1"/>
    </xf>
    <xf numFmtId="0" fontId="14" fillId="0" borderId="24" xfId="0" applyFont="1" applyBorder="1" applyAlignment="1">
      <alignment horizontal="center" vertical="center"/>
    </xf>
    <xf numFmtId="40" fontId="14" fillId="0" borderId="25" xfId="0" applyNumberFormat="1" applyFont="1" applyBorder="1" applyAlignment="1">
      <alignment horizontal="center" vertical="center" wrapText="1"/>
    </xf>
    <xf numFmtId="0" fontId="14" fillId="6" borderId="33" xfId="0" applyFont="1" applyFill="1" applyBorder="1" applyAlignment="1">
      <alignment horizontal="center" vertical="center"/>
    </xf>
    <xf numFmtId="0" fontId="8" fillId="0" borderId="48" xfId="0" applyFont="1" applyBorder="1" applyAlignment="1">
      <alignment horizontal="center" vertical="center" wrapText="1"/>
    </xf>
    <xf numFmtId="0" fontId="8" fillId="0" borderId="48" xfId="0" applyFont="1" applyBorder="1" applyAlignment="1">
      <alignment vertical="center" wrapText="1"/>
    </xf>
    <xf numFmtId="0" fontId="8" fillId="0" borderId="34" xfId="0" applyFont="1" applyBorder="1" applyAlignment="1">
      <alignment horizontal="center" vertical="center" wrapText="1"/>
    </xf>
    <xf numFmtId="0" fontId="14" fillId="0" borderId="0" xfId="0" applyFont="1" applyAlignment="1">
      <alignment horizontal="center" vertical="center"/>
    </xf>
    <xf numFmtId="0" fontId="8" fillId="0" borderId="0" xfId="0" applyFont="1" applyAlignment="1">
      <alignment vertical="center" wrapText="1"/>
    </xf>
    <xf numFmtId="0" fontId="8" fillId="0" borderId="42" xfId="0" applyFont="1" applyBorder="1" applyAlignment="1">
      <alignment vertical="center" wrapText="1"/>
    </xf>
    <xf numFmtId="0" fontId="8" fillId="0" borderId="49" xfId="0" applyFont="1" applyBorder="1" applyAlignment="1">
      <alignment horizontal="center" vertical="center" wrapText="1"/>
    </xf>
    <xf numFmtId="0" fontId="14" fillId="4" borderId="50" xfId="0" applyFont="1" applyFill="1" applyBorder="1" applyAlignment="1">
      <alignment horizontal="center" vertical="center"/>
    </xf>
    <xf numFmtId="0" fontId="0" fillId="0" borderId="0" xfId="0" applyAlignment="1">
      <alignment horizontal="center"/>
    </xf>
    <xf numFmtId="0" fontId="5" fillId="4" borderId="28" xfId="0" applyFont="1" applyFill="1" applyBorder="1" applyAlignment="1">
      <alignment horizontal="center" vertical="center"/>
    </xf>
    <xf numFmtId="0" fontId="7" fillId="4" borderId="29"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5" fillId="4" borderId="31" xfId="0" applyFont="1" applyFill="1" applyBorder="1" applyAlignment="1">
      <alignment vertical="center"/>
    </xf>
    <xf numFmtId="40" fontId="14" fillId="0" borderId="27" xfId="0" applyNumberFormat="1" applyFont="1" applyBorder="1" applyAlignment="1">
      <alignment horizontal="center" vertical="center" wrapText="1"/>
    </xf>
    <xf numFmtId="0" fontId="7" fillId="4" borderId="35"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9" fillId="2" borderId="46" xfId="0" applyFont="1" applyFill="1" applyBorder="1" applyAlignment="1" applyProtection="1">
      <alignment horizontal="center" vertical="center" wrapText="1"/>
      <protection locked="0"/>
    </xf>
    <xf numFmtId="0" fontId="7" fillId="4" borderId="37" xfId="0" applyFont="1" applyFill="1" applyBorder="1" applyAlignment="1">
      <alignment horizontal="center" vertical="center"/>
    </xf>
    <xf numFmtId="0" fontId="11" fillId="0" borderId="0" xfId="0" applyFont="1" applyFill="1" applyBorder="1" applyAlignment="1"/>
    <xf numFmtId="0" fontId="7" fillId="4" borderId="37" xfId="0" applyFont="1" applyFill="1" applyBorder="1" applyAlignment="1">
      <alignment horizontal="center" vertical="center"/>
    </xf>
    <xf numFmtId="0" fontId="7" fillId="4" borderId="38" xfId="0" applyFont="1" applyFill="1" applyBorder="1" applyAlignment="1">
      <alignment horizontal="center" vertical="center"/>
    </xf>
    <xf numFmtId="0" fontId="2" fillId="0" borderId="0" xfId="0" applyFont="1" applyAlignment="1">
      <alignment horizontal="center"/>
    </xf>
    <xf numFmtId="0" fontId="2" fillId="2" borderId="0" xfId="0" applyFont="1" applyFill="1" applyAlignment="1" applyProtection="1">
      <alignment horizontal="center"/>
      <protection locked="0"/>
    </xf>
    <xf numFmtId="0" fontId="6" fillId="2" borderId="10" xfId="0" applyFont="1" applyFill="1" applyBorder="1" applyAlignment="1" applyProtection="1">
      <alignment horizontal="center" vertical="center" wrapText="1"/>
      <protection locked="0"/>
    </xf>
    <xf numFmtId="0" fontId="6" fillId="2" borderId="11" xfId="0" applyFont="1" applyFill="1" applyBorder="1" applyAlignment="1" applyProtection="1">
      <alignment horizontal="center" vertical="center" wrapText="1"/>
      <protection locked="0"/>
    </xf>
    <xf numFmtId="0" fontId="7" fillId="4" borderId="10"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9" fillId="2" borderId="39" xfId="0" applyFont="1" applyFill="1" applyBorder="1" applyAlignment="1" applyProtection="1">
      <alignment horizontal="center" vertical="center" wrapText="1"/>
      <protection locked="0"/>
    </xf>
    <xf numFmtId="0" fontId="9" fillId="2" borderId="45" xfId="0" applyFont="1" applyFill="1" applyBorder="1" applyAlignment="1" applyProtection="1">
      <alignment horizontal="center" vertical="center" wrapText="1"/>
      <protection locked="0"/>
    </xf>
    <xf numFmtId="0" fontId="9" fillId="2" borderId="46" xfId="0" applyFont="1" applyFill="1" applyBorder="1" applyAlignment="1" applyProtection="1">
      <alignment horizontal="center" vertical="center" wrapText="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0070-3546-4C86-A899-CCE5BC8EEF0B}">
  <dimension ref="A3:Q20"/>
  <sheetViews>
    <sheetView tabSelected="1" workbookViewId="0">
      <selection activeCell="A18" sqref="A18"/>
    </sheetView>
  </sheetViews>
  <sheetFormatPr defaultRowHeight="14.45"/>
  <cols>
    <col min="1" max="1" width="247.85546875" customWidth="1"/>
  </cols>
  <sheetData>
    <row r="3" spans="1:17" ht="20.100000000000001">
      <c r="A3" s="12" t="s">
        <v>0</v>
      </c>
      <c r="B3" s="13"/>
      <c r="C3" s="13"/>
      <c r="D3" s="13"/>
      <c r="E3" s="13"/>
      <c r="F3" s="13"/>
      <c r="G3" s="13"/>
      <c r="H3" s="13"/>
      <c r="I3" s="13"/>
      <c r="J3" s="13"/>
      <c r="K3" s="13"/>
      <c r="L3" s="13"/>
      <c r="M3" s="13"/>
      <c r="N3" s="13"/>
      <c r="O3" s="13"/>
      <c r="P3" s="13"/>
      <c r="Q3" s="13"/>
    </row>
    <row r="4" spans="1:17">
      <c r="A4" s="14" t="s">
        <v>1</v>
      </c>
      <c r="B4" s="13"/>
      <c r="C4" s="13"/>
      <c r="D4" s="13"/>
      <c r="E4" s="13"/>
      <c r="F4" s="13"/>
      <c r="G4" s="13"/>
      <c r="H4" s="13"/>
      <c r="I4" s="13"/>
      <c r="J4" s="13"/>
      <c r="K4" s="13"/>
      <c r="L4" s="13"/>
      <c r="M4" s="13"/>
      <c r="N4" s="13"/>
      <c r="O4" s="13"/>
      <c r="P4" s="13"/>
      <c r="Q4" s="13"/>
    </row>
    <row r="5" spans="1:17">
      <c r="A5" s="13" t="s">
        <v>2</v>
      </c>
      <c r="B5" s="13"/>
      <c r="C5" s="13"/>
      <c r="D5" s="13"/>
      <c r="E5" s="13"/>
      <c r="F5" s="13"/>
      <c r="G5" s="13"/>
      <c r="H5" s="13"/>
      <c r="I5" s="13"/>
      <c r="J5" s="13"/>
      <c r="K5" s="13"/>
      <c r="L5" s="13"/>
      <c r="M5" s="13"/>
      <c r="N5" s="13"/>
      <c r="O5" s="13"/>
      <c r="P5" s="13"/>
      <c r="Q5" s="13"/>
    </row>
    <row r="6" spans="1:17">
      <c r="A6" s="13" t="s">
        <v>3</v>
      </c>
      <c r="B6" s="13"/>
      <c r="C6" s="13"/>
      <c r="D6" s="13"/>
      <c r="E6" s="13"/>
      <c r="F6" s="13"/>
      <c r="G6" s="13"/>
      <c r="H6" s="13"/>
      <c r="I6" s="13"/>
      <c r="J6" s="13"/>
      <c r="K6" s="13"/>
      <c r="L6" s="13"/>
      <c r="M6" s="13"/>
      <c r="N6" s="13"/>
      <c r="O6" s="13"/>
      <c r="P6" s="13"/>
      <c r="Q6" s="13"/>
    </row>
    <row r="7" spans="1:17">
      <c r="A7" s="13" t="s">
        <v>4</v>
      </c>
      <c r="B7" s="13"/>
      <c r="C7" s="13"/>
      <c r="D7" s="13"/>
      <c r="E7" s="13"/>
      <c r="F7" s="13"/>
      <c r="G7" s="13"/>
      <c r="H7" s="13"/>
      <c r="I7" s="13"/>
      <c r="J7" s="13"/>
      <c r="K7" s="13"/>
      <c r="L7" s="13"/>
      <c r="M7" s="13"/>
      <c r="N7" s="13"/>
      <c r="O7" s="13"/>
      <c r="P7" s="13"/>
      <c r="Q7" s="13"/>
    </row>
    <row r="8" spans="1:17">
      <c r="A8" s="13" t="s">
        <v>5</v>
      </c>
      <c r="B8" s="13"/>
      <c r="C8" s="13"/>
      <c r="D8" s="13"/>
      <c r="E8" s="13"/>
      <c r="F8" s="13"/>
      <c r="G8" s="13"/>
      <c r="H8" s="13"/>
      <c r="I8" s="13"/>
      <c r="J8" s="13"/>
      <c r="K8" s="13"/>
      <c r="L8" s="13"/>
      <c r="M8" s="13"/>
      <c r="N8" s="13"/>
      <c r="O8" s="13"/>
      <c r="P8" s="13"/>
      <c r="Q8" s="13"/>
    </row>
    <row r="9" spans="1:17">
      <c r="A9" s="13" t="s">
        <v>6</v>
      </c>
      <c r="B9" s="13"/>
      <c r="C9" s="13"/>
      <c r="D9" s="13"/>
      <c r="E9" s="13"/>
      <c r="F9" s="13"/>
      <c r="G9" s="13"/>
      <c r="H9" s="13"/>
      <c r="I9" s="13"/>
      <c r="J9" s="13"/>
      <c r="K9" s="13"/>
      <c r="L9" s="13"/>
      <c r="M9" s="13"/>
      <c r="N9" s="13"/>
      <c r="O9" s="13"/>
      <c r="P9" s="13"/>
      <c r="Q9" s="13"/>
    </row>
    <row r="10" spans="1:17">
      <c r="A10" s="13" t="s">
        <v>7</v>
      </c>
      <c r="B10" s="13"/>
      <c r="C10" s="13"/>
      <c r="D10" s="13"/>
      <c r="E10" s="13"/>
      <c r="F10" s="13"/>
      <c r="G10" s="13"/>
      <c r="H10" s="13"/>
      <c r="I10" s="13"/>
      <c r="J10" s="13"/>
      <c r="K10" s="13"/>
      <c r="L10" s="13"/>
      <c r="M10" s="13"/>
      <c r="N10" s="13"/>
      <c r="O10" s="13"/>
      <c r="P10" s="13"/>
      <c r="Q10" s="13"/>
    </row>
    <row r="11" spans="1:17">
      <c r="A11" s="13" t="s">
        <v>8</v>
      </c>
      <c r="B11" s="13"/>
      <c r="C11" s="13"/>
      <c r="D11" s="13"/>
      <c r="E11" s="13"/>
      <c r="F11" s="13"/>
      <c r="G11" s="13"/>
      <c r="H11" s="13"/>
      <c r="I11" s="13"/>
      <c r="J11" s="13"/>
      <c r="K11" s="13"/>
      <c r="L11" s="13"/>
      <c r="M11" s="13"/>
      <c r="N11" s="13"/>
      <c r="O11" s="13"/>
      <c r="P11" s="13"/>
      <c r="Q11" s="13"/>
    </row>
    <row r="12" spans="1:17">
      <c r="A12" s="13" t="s">
        <v>9</v>
      </c>
      <c r="B12" s="13"/>
      <c r="C12" s="13"/>
      <c r="D12" s="13"/>
      <c r="E12" s="13"/>
      <c r="F12" s="13"/>
      <c r="G12" s="13"/>
      <c r="H12" s="13"/>
      <c r="I12" s="13"/>
      <c r="J12" s="13"/>
      <c r="K12" s="13"/>
      <c r="L12" s="13"/>
      <c r="M12" s="13"/>
      <c r="N12" s="13"/>
      <c r="O12" s="13"/>
      <c r="P12" s="13"/>
      <c r="Q12" s="13"/>
    </row>
    <row r="13" spans="1:17">
      <c r="A13" s="13" t="s">
        <v>10</v>
      </c>
      <c r="B13" s="13"/>
      <c r="C13" s="13"/>
      <c r="D13" s="13"/>
      <c r="E13" s="13"/>
      <c r="F13" s="13"/>
      <c r="G13" s="13"/>
      <c r="H13" s="13"/>
      <c r="I13" s="13"/>
      <c r="J13" s="13"/>
      <c r="K13" s="13"/>
      <c r="L13" s="13"/>
      <c r="M13" s="13"/>
      <c r="N13" s="13"/>
      <c r="O13" s="13"/>
      <c r="P13" s="13"/>
      <c r="Q13" s="13"/>
    </row>
    <row r="14" spans="1:17" ht="15">
      <c r="A14" s="124" t="s">
        <v>7</v>
      </c>
      <c r="B14" s="13"/>
      <c r="C14" s="13"/>
      <c r="D14" s="13"/>
      <c r="E14" s="13"/>
      <c r="F14" s="13"/>
      <c r="G14" s="13"/>
      <c r="H14" s="13"/>
      <c r="I14" s="13"/>
      <c r="J14" s="13"/>
      <c r="K14" s="13"/>
      <c r="L14" s="13"/>
      <c r="M14" s="13"/>
      <c r="N14" s="13"/>
      <c r="O14" s="13"/>
      <c r="P14" s="13"/>
      <c r="Q14" s="13"/>
    </row>
    <row r="15" spans="1:17" ht="15">
      <c r="A15" s="124" t="s">
        <v>11</v>
      </c>
    </row>
    <row r="16" spans="1:17" ht="15">
      <c r="A16" s="124" t="s">
        <v>9</v>
      </c>
    </row>
    <row r="17" spans="1:17" ht="15">
      <c r="A17" s="124" t="s">
        <v>10</v>
      </c>
    </row>
    <row r="18" spans="1:17" ht="15">
      <c r="A18" s="13" t="s">
        <v>12</v>
      </c>
      <c r="B18" s="13"/>
      <c r="C18" s="13"/>
      <c r="D18" s="13"/>
      <c r="E18" s="13"/>
      <c r="F18" s="13"/>
      <c r="G18" s="13"/>
      <c r="H18" s="13"/>
      <c r="I18" s="13"/>
      <c r="J18" s="13"/>
      <c r="K18" s="13"/>
      <c r="L18" s="13"/>
      <c r="M18" s="13"/>
      <c r="N18" s="13"/>
      <c r="O18" s="13"/>
      <c r="P18" s="13"/>
      <c r="Q18" s="13"/>
    </row>
    <row r="19" spans="1:17" ht="15"/>
    <row r="20" spans="1:17"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0CF7-DFF8-4647-AE93-0A07BE987A79}">
  <dimension ref="A1:U163"/>
  <sheetViews>
    <sheetView topLeftCell="A14" zoomScale="60" zoomScaleNormal="60" workbookViewId="0">
      <selection activeCell="H14" sqref="H14"/>
    </sheetView>
  </sheetViews>
  <sheetFormatPr defaultColWidth="9.140625" defaultRowHeight="14.45"/>
  <cols>
    <col min="1" max="1" width="11.5703125" style="15" customWidth="1"/>
    <col min="2" max="2" width="79" style="16" customWidth="1"/>
    <col min="3" max="3" width="14" style="16" customWidth="1"/>
    <col min="4" max="4" width="15.42578125" style="16" customWidth="1"/>
    <col min="5" max="6" width="15.7109375" style="16" customWidth="1"/>
    <col min="7" max="7" width="17.42578125" style="16" customWidth="1"/>
    <col min="8" max="8" width="16.42578125" style="16" customWidth="1"/>
    <col min="9" max="9" width="16.28515625" style="16" customWidth="1"/>
    <col min="10" max="10" width="16.5703125" style="16" customWidth="1"/>
    <col min="11" max="11" width="16.28515625" style="16" customWidth="1"/>
    <col min="12" max="12" width="16" style="16" customWidth="1"/>
    <col min="13" max="13" width="10.42578125" style="16" customWidth="1"/>
    <col min="14" max="14" width="9.85546875" style="16" customWidth="1"/>
    <col min="15" max="16384" width="9.140625" style="16"/>
  </cols>
  <sheetData>
    <row r="1" spans="1:21" ht="17.45">
      <c r="A1" s="127" t="s">
        <v>13</v>
      </c>
      <c r="B1" s="127"/>
      <c r="C1" s="127"/>
      <c r="D1" s="127"/>
      <c r="E1" s="127"/>
      <c r="F1" s="127"/>
      <c r="G1" s="127"/>
      <c r="H1" s="127"/>
      <c r="I1" s="127"/>
      <c r="J1" s="127"/>
      <c r="K1" s="127"/>
      <c r="L1" s="127"/>
      <c r="M1" s="15"/>
      <c r="N1" s="15"/>
      <c r="O1" s="15"/>
      <c r="P1" s="15"/>
    </row>
    <row r="2" spans="1:21" ht="17.45">
      <c r="A2" s="127"/>
      <c r="B2" s="127"/>
      <c r="C2" s="127"/>
      <c r="D2" s="127"/>
      <c r="E2" s="127"/>
      <c r="F2" s="127"/>
      <c r="G2" s="127"/>
      <c r="H2" s="127"/>
      <c r="I2" s="127"/>
      <c r="J2" s="127"/>
      <c r="K2" s="127"/>
      <c r="L2" s="127"/>
      <c r="M2" s="15"/>
      <c r="N2" s="15"/>
      <c r="O2" s="15"/>
      <c r="P2" s="15"/>
    </row>
    <row r="3" spans="1:21" ht="17.45">
      <c r="A3" s="127" t="s">
        <v>14</v>
      </c>
      <c r="B3" s="127"/>
      <c r="C3" s="127"/>
      <c r="D3" s="127"/>
      <c r="E3" s="127"/>
      <c r="F3" s="127"/>
      <c r="G3" s="127"/>
      <c r="H3" s="127"/>
      <c r="I3" s="127"/>
      <c r="J3" s="127"/>
      <c r="K3" s="127"/>
      <c r="L3" s="127"/>
      <c r="M3" s="15"/>
      <c r="N3" s="15"/>
      <c r="O3" s="15"/>
      <c r="P3" s="15"/>
    </row>
    <row r="4" spans="1:21" ht="18" thickBot="1">
      <c r="A4" s="128" t="s">
        <v>15</v>
      </c>
      <c r="B4" s="128"/>
      <c r="C4" s="128"/>
      <c r="D4" s="128"/>
      <c r="E4" s="128"/>
      <c r="F4" s="128"/>
      <c r="G4" s="128"/>
      <c r="H4" s="128"/>
      <c r="I4" s="128"/>
      <c r="J4" s="128"/>
      <c r="K4" s="128"/>
      <c r="L4" s="128"/>
      <c r="M4" s="17"/>
      <c r="N4" s="17"/>
      <c r="O4" s="15"/>
      <c r="P4" s="15"/>
      <c r="Q4" s="15"/>
      <c r="R4" s="15"/>
      <c r="S4" s="15"/>
      <c r="T4" s="15"/>
      <c r="U4" s="15"/>
    </row>
    <row r="5" spans="1:21" ht="105.6" thickBot="1">
      <c r="A5" s="27" t="s">
        <v>16</v>
      </c>
      <c r="B5" s="28" t="s">
        <v>17</v>
      </c>
      <c r="C5" s="29" t="s">
        <v>18</v>
      </c>
      <c r="D5" s="120" t="s">
        <v>19</v>
      </c>
      <c r="E5" s="121" t="s">
        <v>20</v>
      </c>
      <c r="F5" s="49" t="s">
        <v>21</v>
      </c>
      <c r="G5" s="50" t="s">
        <v>22</v>
      </c>
      <c r="H5" s="49" t="s">
        <v>23</v>
      </c>
      <c r="I5" s="51" t="s">
        <v>24</v>
      </c>
      <c r="J5" s="51" t="s">
        <v>25</v>
      </c>
      <c r="K5" s="51" t="s">
        <v>26</v>
      </c>
      <c r="L5" s="52" t="s">
        <v>27</v>
      </c>
      <c r="M5" s="15"/>
      <c r="N5" s="15"/>
      <c r="O5" s="15"/>
      <c r="P5" s="15"/>
      <c r="Q5" s="15"/>
      <c r="R5" s="15"/>
      <c r="S5" s="18"/>
      <c r="T5" s="15"/>
    </row>
    <row r="6" spans="1:21" ht="15.95" thickBot="1">
      <c r="A6" s="30"/>
      <c r="B6" s="31" t="s">
        <v>28</v>
      </c>
      <c r="C6" s="31"/>
      <c r="D6" s="31"/>
      <c r="E6" s="31"/>
      <c r="F6" s="53"/>
      <c r="G6" s="53"/>
      <c r="H6" s="54"/>
      <c r="I6" s="54"/>
      <c r="J6" s="54"/>
      <c r="K6" s="54"/>
      <c r="L6" s="55"/>
      <c r="M6" s="15"/>
      <c r="N6" s="15"/>
      <c r="O6" s="15"/>
      <c r="P6" s="15"/>
      <c r="Q6" s="15"/>
      <c r="R6" s="15"/>
      <c r="S6" s="18"/>
      <c r="T6" s="15"/>
    </row>
    <row r="7" spans="1:21" ht="42.6" thickBot="1">
      <c r="A7" s="32" t="s">
        <v>29</v>
      </c>
      <c r="B7" s="33" t="s">
        <v>30</v>
      </c>
      <c r="C7" s="34"/>
      <c r="D7" s="61"/>
      <c r="E7" s="61"/>
      <c r="F7" s="34"/>
      <c r="G7" s="34"/>
      <c r="H7" s="34"/>
      <c r="I7" s="34"/>
      <c r="J7" s="34"/>
      <c r="K7" s="34"/>
      <c r="L7" s="34"/>
      <c r="M7" s="15"/>
      <c r="N7" s="15"/>
      <c r="O7" s="15"/>
      <c r="P7" s="15"/>
      <c r="Q7" s="15"/>
      <c r="R7" s="15"/>
      <c r="S7" s="18"/>
      <c r="T7" s="15"/>
    </row>
    <row r="8" spans="1:21">
      <c r="A8" s="32" t="s">
        <v>31</v>
      </c>
      <c r="B8" s="35" t="s">
        <v>32</v>
      </c>
      <c r="C8" s="36">
        <v>5</v>
      </c>
      <c r="D8" s="1"/>
      <c r="E8" s="2"/>
      <c r="F8" s="56">
        <f>IF(SUM(D8:E8)&gt;C8,"See Instructions", SUM(D8:E8))</f>
        <v>0</v>
      </c>
      <c r="G8" s="57">
        <v>200</v>
      </c>
      <c r="H8" s="56">
        <f t="shared" ref="H8:H14" si="0">F8*G8</f>
        <v>0</v>
      </c>
      <c r="I8" s="58">
        <v>12</v>
      </c>
      <c r="J8" s="59">
        <f t="shared" ref="J8:J14" si="1">G8*I8</f>
        <v>2400</v>
      </c>
      <c r="K8" s="59">
        <f t="shared" ref="K8:K14" si="2">I8*1000</f>
        <v>12000</v>
      </c>
      <c r="L8" s="60">
        <f t="shared" ref="L8:L14" si="3">$H8*$I8</f>
        <v>0</v>
      </c>
      <c r="M8" s="15"/>
      <c r="N8" s="15"/>
      <c r="O8" s="15"/>
      <c r="P8" s="15"/>
      <c r="Q8" s="15"/>
      <c r="R8" s="15"/>
      <c r="S8" s="18"/>
      <c r="T8" s="15"/>
    </row>
    <row r="9" spans="1:21">
      <c r="A9" s="32" t="s">
        <v>33</v>
      </c>
      <c r="B9" s="35" t="s">
        <v>34</v>
      </c>
      <c r="C9" s="36">
        <v>5</v>
      </c>
      <c r="D9" s="3"/>
      <c r="E9" s="4"/>
      <c r="F9" s="56">
        <f t="shared" ref="F9:F14" si="4">IF(SUM(D9:E9)&gt;C9,"See Instructions", SUM(D9:E9))</f>
        <v>0</v>
      </c>
      <c r="G9" s="57">
        <v>200</v>
      </c>
      <c r="H9" s="56">
        <f t="shared" si="0"/>
        <v>0</v>
      </c>
      <c r="I9" s="58">
        <v>12</v>
      </c>
      <c r="J9" s="59">
        <f t="shared" si="1"/>
        <v>2400</v>
      </c>
      <c r="K9" s="59">
        <f t="shared" si="2"/>
        <v>12000</v>
      </c>
      <c r="L9" s="60">
        <f t="shared" si="3"/>
        <v>0</v>
      </c>
      <c r="M9" s="15"/>
      <c r="N9" s="15"/>
      <c r="O9" s="15"/>
      <c r="P9" s="15"/>
      <c r="Q9" s="15"/>
      <c r="R9" s="15"/>
      <c r="S9" s="18"/>
      <c r="T9" s="15"/>
    </row>
    <row r="10" spans="1:21" ht="27.95">
      <c r="A10" s="32" t="s">
        <v>35</v>
      </c>
      <c r="B10" s="35" t="s">
        <v>36</v>
      </c>
      <c r="C10" s="36">
        <v>5</v>
      </c>
      <c r="D10" s="3"/>
      <c r="E10" s="4"/>
      <c r="F10" s="56">
        <f t="shared" si="4"/>
        <v>0</v>
      </c>
      <c r="G10" s="57">
        <v>200</v>
      </c>
      <c r="H10" s="56">
        <f t="shared" si="0"/>
        <v>0</v>
      </c>
      <c r="I10" s="58">
        <v>4</v>
      </c>
      <c r="J10" s="59">
        <f t="shared" si="1"/>
        <v>800</v>
      </c>
      <c r="K10" s="59">
        <f t="shared" si="2"/>
        <v>4000</v>
      </c>
      <c r="L10" s="60">
        <f t="shared" si="3"/>
        <v>0</v>
      </c>
      <c r="M10" s="15"/>
      <c r="N10" s="15"/>
      <c r="O10" s="15"/>
      <c r="P10" s="15"/>
      <c r="Q10" s="15"/>
      <c r="R10" s="15"/>
      <c r="S10" s="18"/>
      <c r="T10" s="15"/>
    </row>
    <row r="11" spans="1:21" ht="27.95">
      <c r="A11" s="32" t="s">
        <v>37</v>
      </c>
      <c r="B11" s="35" t="s">
        <v>38</v>
      </c>
      <c r="C11" s="36">
        <v>5</v>
      </c>
      <c r="D11" s="3"/>
      <c r="E11" s="4"/>
      <c r="F11" s="56">
        <f t="shared" si="4"/>
        <v>0</v>
      </c>
      <c r="G11" s="57">
        <v>200</v>
      </c>
      <c r="H11" s="56">
        <f t="shared" si="0"/>
        <v>0</v>
      </c>
      <c r="I11" s="58">
        <v>7</v>
      </c>
      <c r="J11" s="59">
        <f t="shared" si="1"/>
        <v>1400</v>
      </c>
      <c r="K11" s="59">
        <f t="shared" si="2"/>
        <v>7000</v>
      </c>
      <c r="L11" s="60">
        <f t="shared" si="3"/>
        <v>0</v>
      </c>
      <c r="M11" s="15"/>
      <c r="N11" s="19"/>
      <c r="O11" s="15"/>
      <c r="P11" s="15"/>
      <c r="Q11" s="15"/>
      <c r="R11" s="15"/>
      <c r="S11" s="18"/>
      <c r="T11" s="15"/>
    </row>
    <row r="12" spans="1:21">
      <c r="A12" s="32" t="s">
        <v>39</v>
      </c>
      <c r="B12" s="35" t="s">
        <v>40</v>
      </c>
      <c r="C12" s="36">
        <v>5</v>
      </c>
      <c r="D12" s="3"/>
      <c r="E12" s="4"/>
      <c r="F12" s="56">
        <f t="shared" si="4"/>
        <v>0</v>
      </c>
      <c r="G12" s="57">
        <v>200</v>
      </c>
      <c r="H12" s="56">
        <f t="shared" si="0"/>
        <v>0</v>
      </c>
      <c r="I12" s="58">
        <v>4</v>
      </c>
      <c r="J12" s="59">
        <f t="shared" si="1"/>
        <v>800</v>
      </c>
      <c r="K12" s="59">
        <f t="shared" si="2"/>
        <v>4000</v>
      </c>
      <c r="L12" s="60">
        <f t="shared" si="3"/>
        <v>0</v>
      </c>
      <c r="M12" s="15"/>
      <c r="N12" s="15"/>
      <c r="O12" s="15"/>
      <c r="P12" s="15"/>
      <c r="Q12" s="15"/>
      <c r="R12" s="15"/>
      <c r="S12" s="18"/>
      <c r="T12" s="15"/>
    </row>
    <row r="13" spans="1:21" ht="45.75">
      <c r="A13" s="32" t="s">
        <v>41</v>
      </c>
      <c r="B13" s="35" t="s">
        <v>42</v>
      </c>
      <c r="C13" s="36">
        <v>5</v>
      </c>
      <c r="D13" s="3"/>
      <c r="E13" s="4"/>
      <c r="F13" s="56">
        <f t="shared" si="4"/>
        <v>0</v>
      </c>
      <c r="G13" s="57">
        <v>200</v>
      </c>
      <c r="H13" s="56">
        <f t="shared" si="0"/>
        <v>0</v>
      </c>
      <c r="I13" s="58">
        <v>4</v>
      </c>
      <c r="J13" s="59">
        <f t="shared" si="1"/>
        <v>800</v>
      </c>
      <c r="K13" s="59">
        <f t="shared" si="2"/>
        <v>4000</v>
      </c>
      <c r="L13" s="60">
        <f t="shared" si="3"/>
        <v>0</v>
      </c>
      <c r="M13" s="15"/>
      <c r="N13" s="15"/>
      <c r="O13" s="15"/>
      <c r="P13" s="15"/>
      <c r="Q13" s="15"/>
      <c r="R13" s="15"/>
      <c r="S13" s="18"/>
      <c r="T13" s="15"/>
    </row>
    <row r="14" spans="1:21" ht="42">
      <c r="A14" s="32" t="s">
        <v>43</v>
      </c>
      <c r="B14" s="35" t="s">
        <v>44</v>
      </c>
      <c r="C14" s="36">
        <v>5</v>
      </c>
      <c r="D14" s="3"/>
      <c r="E14" s="4"/>
      <c r="F14" s="56">
        <f t="shared" si="4"/>
        <v>0</v>
      </c>
      <c r="G14" s="57">
        <v>200</v>
      </c>
      <c r="H14" s="56">
        <f t="shared" si="0"/>
        <v>0</v>
      </c>
      <c r="I14" s="58">
        <v>22</v>
      </c>
      <c r="J14" s="59">
        <f t="shared" si="1"/>
        <v>4400</v>
      </c>
      <c r="K14" s="59">
        <f t="shared" si="2"/>
        <v>22000</v>
      </c>
      <c r="L14" s="60">
        <f t="shared" si="3"/>
        <v>0</v>
      </c>
      <c r="M14" s="15"/>
      <c r="N14" s="15"/>
      <c r="O14" s="15"/>
      <c r="P14" s="15"/>
      <c r="Q14" s="15"/>
      <c r="R14" s="15"/>
      <c r="S14" s="18"/>
      <c r="T14" s="15"/>
    </row>
    <row r="15" spans="1:21" ht="15.95" thickBot="1">
      <c r="A15" s="30"/>
      <c r="B15" s="31" t="s">
        <v>45</v>
      </c>
      <c r="C15" s="31"/>
      <c r="D15" s="31"/>
      <c r="E15" s="31"/>
      <c r="F15" s="53"/>
      <c r="G15" s="53"/>
      <c r="H15" s="54"/>
      <c r="I15" s="54"/>
      <c r="J15" s="54"/>
      <c r="K15" s="54"/>
      <c r="L15" s="55"/>
      <c r="M15" s="15"/>
      <c r="N15" s="15"/>
      <c r="O15" s="15"/>
      <c r="P15" s="15"/>
      <c r="Q15" s="15"/>
      <c r="R15" s="15"/>
      <c r="S15" s="15"/>
      <c r="T15" s="15"/>
    </row>
    <row r="16" spans="1:21" ht="42.6" thickBot="1">
      <c r="A16" s="37" t="s">
        <v>46</v>
      </c>
      <c r="B16" s="33" t="s">
        <v>30</v>
      </c>
      <c r="C16" s="34"/>
      <c r="D16" s="61"/>
      <c r="E16" s="61"/>
      <c r="F16" s="61"/>
      <c r="G16" s="34"/>
      <c r="H16" s="34"/>
      <c r="I16" s="34"/>
      <c r="J16" s="34"/>
      <c r="K16" s="34"/>
      <c r="L16" s="62"/>
      <c r="M16" s="15"/>
      <c r="N16" s="15"/>
      <c r="O16" s="15"/>
      <c r="P16" s="15"/>
      <c r="Q16" s="15"/>
      <c r="R16" s="15"/>
      <c r="S16" s="15"/>
      <c r="T16" s="15"/>
    </row>
    <row r="17" spans="1:20" ht="27.95">
      <c r="A17" s="37" t="s">
        <v>47</v>
      </c>
      <c r="B17" s="38" t="s">
        <v>48</v>
      </c>
      <c r="C17" s="36">
        <v>5</v>
      </c>
      <c r="D17" s="5"/>
      <c r="E17" s="6"/>
      <c r="F17" s="56">
        <f t="shared" ref="F17:F22" si="5">IF(SUM(D17:E17)&gt;C17,"See Instructions", SUM(D17:E17))</f>
        <v>0</v>
      </c>
      <c r="G17" s="57">
        <v>200</v>
      </c>
      <c r="H17" s="56">
        <f t="shared" ref="H17:H22" si="6">F17*G17</f>
        <v>0</v>
      </c>
      <c r="I17" s="59">
        <v>10</v>
      </c>
      <c r="J17" s="59">
        <f t="shared" ref="J17:J22" si="7">G17*I17</f>
        <v>2000</v>
      </c>
      <c r="K17" s="59">
        <f t="shared" ref="K17:K24" si="8">I17*1000</f>
        <v>10000</v>
      </c>
      <c r="L17" s="63">
        <f t="shared" ref="L17:L22" si="9">$H17*$I17</f>
        <v>0</v>
      </c>
      <c r="M17" s="15"/>
      <c r="N17" s="15"/>
      <c r="O17" s="15"/>
      <c r="P17" s="15"/>
      <c r="Q17" s="15"/>
      <c r="R17" s="15"/>
      <c r="S17" s="15"/>
      <c r="T17" s="15"/>
    </row>
    <row r="18" spans="1:20" ht="27.95">
      <c r="A18" s="37" t="s">
        <v>49</v>
      </c>
      <c r="B18" s="38" t="s">
        <v>50</v>
      </c>
      <c r="C18" s="36">
        <v>5</v>
      </c>
      <c r="D18" s="7"/>
      <c r="E18" s="8"/>
      <c r="F18" s="56">
        <f t="shared" si="5"/>
        <v>0</v>
      </c>
      <c r="G18" s="57">
        <v>200</v>
      </c>
      <c r="H18" s="56">
        <f t="shared" si="6"/>
        <v>0</v>
      </c>
      <c r="I18" s="59">
        <v>5</v>
      </c>
      <c r="J18" s="59">
        <f t="shared" si="7"/>
        <v>1000</v>
      </c>
      <c r="K18" s="59">
        <f t="shared" si="8"/>
        <v>5000</v>
      </c>
      <c r="L18" s="63">
        <f t="shared" si="9"/>
        <v>0</v>
      </c>
      <c r="M18" s="15"/>
      <c r="N18" s="15"/>
      <c r="O18" s="15"/>
      <c r="P18" s="15"/>
      <c r="Q18" s="15"/>
      <c r="R18" s="15"/>
      <c r="S18" s="15"/>
      <c r="T18" s="15"/>
    </row>
    <row r="19" spans="1:20" ht="27.95">
      <c r="A19" s="37" t="s">
        <v>51</v>
      </c>
      <c r="B19" s="38" t="s">
        <v>52</v>
      </c>
      <c r="C19" s="36">
        <v>5</v>
      </c>
      <c r="D19" s="7"/>
      <c r="E19" s="8"/>
      <c r="F19" s="56">
        <f t="shared" si="5"/>
        <v>0</v>
      </c>
      <c r="G19" s="57">
        <v>200</v>
      </c>
      <c r="H19" s="56">
        <f t="shared" si="6"/>
        <v>0</v>
      </c>
      <c r="I19" s="59">
        <v>5</v>
      </c>
      <c r="J19" s="59">
        <f t="shared" si="7"/>
        <v>1000</v>
      </c>
      <c r="K19" s="59">
        <f t="shared" si="8"/>
        <v>5000</v>
      </c>
      <c r="L19" s="63">
        <f t="shared" si="9"/>
        <v>0</v>
      </c>
      <c r="M19" s="15"/>
      <c r="N19" s="19"/>
      <c r="O19" s="15"/>
      <c r="P19" s="15"/>
      <c r="Q19" s="15"/>
      <c r="R19" s="15"/>
      <c r="S19" s="15"/>
      <c r="T19" s="15"/>
    </row>
    <row r="20" spans="1:20" ht="27.95">
      <c r="A20" s="37" t="s">
        <v>53</v>
      </c>
      <c r="B20" s="38" t="s">
        <v>54</v>
      </c>
      <c r="C20" s="36">
        <v>5</v>
      </c>
      <c r="D20" s="7"/>
      <c r="E20" s="8"/>
      <c r="F20" s="56">
        <f t="shared" si="5"/>
        <v>0</v>
      </c>
      <c r="G20" s="57">
        <v>200</v>
      </c>
      <c r="H20" s="56">
        <f t="shared" si="6"/>
        <v>0</v>
      </c>
      <c r="I20" s="59">
        <v>3</v>
      </c>
      <c r="J20" s="59">
        <f t="shared" si="7"/>
        <v>600</v>
      </c>
      <c r="K20" s="59">
        <f t="shared" si="8"/>
        <v>3000</v>
      </c>
      <c r="L20" s="63">
        <f t="shared" si="9"/>
        <v>0</v>
      </c>
      <c r="M20" s="15"/>
      <c r="N20" s="19"/>
      <c r="O20" s="15"/>
      <c r="P20" s="15"/>
      <c r="Q20" s="15"/>
      <c r="R20" s="15"/>
      <c r="S20" s="15"/>
      <c r="T20" s="15"/>
    </row>
    <row r="21" spans="1:20" ht="42">
      <c r="A21" s="37" t="s">
        <v>55</v>
      </c>
      <c r="B21" s="38" t="s">
        <v>56</v>
      </c>
      <c r="C21" s="36">
        <v>5</v>
      </c>
      <c r="D21" s="7"/>
      <c r="E21" s="8"/>
      <c r="F21" s="56">
        <f t="shared" si="5"/>
        <v>0</v>
      </c>
      <c r="G21" s="57">
        <v>200</v>
      </c>
      <c r="H21" s="56">
        <f t="shared" si="6"/>
        <v>0</v>
      </c>
      <c r="I21" s="59">
        <v>10</v>
      </c>
      <c r="J21" s="59">
        <f t="shared" si="7"/>
        <v>2000</v>
      </c>
      <c r="K21" s="59">
        <f t="shared" si="8"/>
        <v>10000</v>
      </c>
      <c r="L21" s="63">
        <f t="shared" si="9"/>
        <v>0</v>
      </c>
      <c r="M21" s="15"/>
      <c r="N21" s="15"/>
      <c r="O21" s="15"/>
      <c r="P21" s="15"/>
      <c r="Q21" s="15"/>
      <c r="R21" s="15"/>
      <c r="S21" s="15"/>
      <c r="T21" s="15"/>
    </row>
    <row r="22" spans="1:20" ht="28.5" thickBot="1">
      <c r="A22" s="37" t="s">
        <v>57</v>
      </c>
      <c r="B22" s="38" t="s">
        <v>58</v>
      </c>
      <c r="C22" s="36">
        <v>5</v>
      </c>
      <c r="D22" s="7"/>
      <c r="E22" s="8"/>
      <c r="F22" s="56">
        <f t="shared" si="5"/>
        <v>0</v>
      </c>
      <c r="G22" s="57">
        <v>200</v>
      </c>
      <c r="H22" s="56">
        <f t="shared" si="6"/>
        <v>0</v>
      </c>
      <c r="I22" s="59">
        <v>3</v>
      </c>
      <c r="J22" s="59">
        <f t="shared" si="7"/>
        <v>600</v>
      </c>
      <c r="K22" s="59">
        <f t="shared" si="8"/>
        <v>3000</v>
      </c>
      <c r="L22" s="63">
        <f t="shared" si="9"/>
        <v>0</v>
      </c>
      <c r="M22" s="15"/>
      <c r="N22" s="15"/>
      <c r="O22" s="15"/>
      <c r="P22" s="15"/>
      <c r="Q22" s="15"/>
      <c r="R22" s="15"/>
      <c r="S22" s="15"/>
      <c r="T22" s="15"/>
    </row>
    <row r="23" spans="1:20" ht="15">
      <c r="A23" s="39"/>
      <c r="B23" s="31" t="s">
        <v>59</v>
      </c>
      <c r="C23" s="31"/>
      <c r="D23" s="31"/>
      <c r="E23" s="31"/>
      <c r="F23" s="31"/>
      <c r="G23" s="31"/>
      <c r="H23" s="64"/>
      <c r="I23" s="64"/>
      <c r="J23" s="64"/>
      <c r="K23" s="64"/>
      <c r="L23" s="65"/>
      <c r="M23" s="15"/>
      <c r="N23" s="15"/>
      <c r="O23" s="15"/>
      <c r="P23" s="15"/>
      <c r="Q23" s="15"/>
      <c r="R23" s="15"/>
      <c r="S23" s="15"/>
      <c r="T23" s="15"/>
    </row>
    <row r="24" spans="1:20" ht="42.6" thickBot="1">
      <c r="A24" s="40" t="s">
        <v>60</v>
      </c>
      <c r="B24" s="33" t="s">
        <v>30</v>
      </c>
      <c r="C24" s="34"/>
      <c r="D24" s="61"/>
      <c r="E24" s="61"/>
      <c r="F24" s="61"/>
      <c r="G24" s="34"/>
      <c r="H24" s="34"/>
      <c r="I24" s="34">
        <v>5</v>
      </c>
      <c r="J24" s="34"/>
      <c r="K24" s="34">
        <f t="shared" si="8"/>
        <v>5000</v>
      </c>
      <c r="L24" s="62"/>
      <c r="M24" s="15"/>
      <c r="N24" s="15"/>
      <c r="O24" s="15"/>
      <c r="P24" s="15"/>
      <c r="Q24" s="15"/>
      <c r="R24" s="15"/>
      <c r="S24" s="15"/>
      <c r="T24" s="15"/>
    </row>
    <row r="25" spans="1:20" ht="27.95">
      <c r="A25" s="41" t="s">
        <v>61</v>
      </c>
      <c r="B25" s="38" t="s">
        <v>62</v>
      </c>
      <c r="C25" s="42">
        <v>5</v>
      </c>
      <c r="D25" s="5"/>
      <c r="E25" s="6"/>
      <c r="F25" s="56">
        <f t="shared" ref="F25:F27" si="10">IF(SUM(D25:E25)&gt;C25,"See Instructions", SUM(D25:E25))</f>
        <v>0</v>
      </c>
      <c r="G25" s="57">
        <v>200</v>
      </c>
      <c r="H25" s="56">
        <f t="shared" ref="H25:H27" si="11">F25*G25</f>
        <v>0</v>
      </c>
      <c r="I25" s="59">
        <v>20</v>
      </c>
      <c r="J25" s="59">
        <f t="shared" ref="J25:J27" si="12">G25*I25</f>
        <v>4000</v>
      </c>
      <c r="K25" s="59">
        <f t="shared" ref="K25:K27" si="13">I25*1000</f>
        <v>20000</v>
      </c>
      <c r="L25" s="63">
        <f t="shared" ref="L25:L27" si="14">$H25*$I25</f>
        <v>0</v>
      </c>
      <c r="M25" s="15"/>
      <c r="N25" s="15"/>
      <c r="O25" s="15"/>
      <c r="P25" s="15"/>
      <c r="Q25" s="15"/>
      <c r="R25" s="15"/>
      <c r="S25" s="15"/>
      <c r="T25" s="15"/>
    </row>
    <row r="26" spans="1:20" ht="27.95">
      <c r="A26" s="41" t="s">
        <v>63</v>
      </c>
      <c r="B26" s="38" t="s">
        <v>64</v>
      </c>
      <c r="C26" s="42">
        <v>5</v>
      </c>
      <c r="D26" s="7"/>
      <c r="E26" s="8"/>
      <c r="F26" s="56">
        <f t="shared" si="10"/>
        <v>0</v>
      </c>
      <c r="G26" s="57">
        <v>200</v>
      </c>
      <c r="H26" s="56">
        <f t="shared" si="11"/>
        <v>0</v>
      </c>
      <c r="I26" s="59">
        <v>5</v>
      </c>
      <c r="J26" s="59">
        <f t="shared" si="12"/>
        <v>1000</v>
      </c>
      <c r="K26" s="59">
        <f t="shared" si="13"/>
        <v>5000</v>
      </c>
      <c r="L26" s="63">
        <f t="shared" si="14"/>
        <v>0</v>
      </c>
      <c r="M26" s="15"/>
      <c r="N26" s="15"/>
      <c r="O26" s="15"/>
      <c r="P26" s="15"/>
      <c r="Q26" s="15"/>
      <c r="R26" s="15"/>
      <c r="S26" s="15"/>
      <c r="T26" s="15"/>
    </row>
    <row r="27" spans="1:20" ht="42.6" thickBot="1">
      <c r="A27" s="41" t="s">
        <v>65</v>
      </c>
      <c r="B27" s="38" t="s">
        <v>66</v>
      </c>
      <c r="C27" s="42">
        <v>5</v>
      </c>
      <c r="D27" s="7"/>
      <c r="E27" s="8"/>
      <c r="F27" s="56">
        <f t="shared" si="10"/>
        <v>0</v>
      </c>
      <c r="G27" s="57">
        <v>200</v>
      </c>
      <c r="H27" s="56">
        <f t="shared" si="11"/>
        <v>0</v>
      </c>
      <c r="I27" s="59">
        <v>4</v>
      </c>
      <c r="J27" s="59">
        <f t="shared" si="12"/>
        <v>800</v>
      </c>
      <c r="K27" s="59">
        <f t="shared" si="13"/>
        <v>4000</v>
      </c>
      <c r="L27" s="63">
        <f t="shared" si="14"/>
        <v>0</v>
      </c>
      <c r="M27" s="15"/>
      <c r="N27" s="15"/>
      <c r="O27" s="15"/>
      <c r="P27" s="15"/>
      <c r="Q27" s="15"/>
      <c r="R27" s="15"/>
      <c r="S27" s="15"/>
      <c r="T27" s="15"/>
    </row>
    <row r="28" spans="1:20" ht="15">
      <c r="A28" s="39"/>
      <c r="B28" s="31"/>
      <c r="C28" s="31"/>
      <c r="D28" s="31"/>
      <c r="E28" s="31"/>
      <c r="F28" s="31"/>
      <c r="G28" s="31"/>
      <c r="H28" s="64"/>
      <c r="I28" s="64"/>
      <c r="J28" s="64"/>
      <c r="K28" s="64"/>
      <c r="L28" s="65"/>
      <c r="M28" s="15"/>
      <c r="N28" s="15"/>
      <c r="O28" s="15"/>
      <c r="P28" s="15"/>
      <c r="Q28" s="15"/>
      <c r="R28" s="15"/>
      <c r="S28" s="15"/>
      <c r="T28" s="15"/>
    </row>
    <row r="29" spans="1:20" ht="60">
      <c r="A29" s="43"/>
      <c r="B29" s="44" t="s">
        <v>67</v>
      </c>
      <c r="C29" s="45" t="s">
        <v>68</v>
      </c>
      <c r="D29" s="70">
        <f t="shared" ref="D29:E29" si="15">SUM(D8:D14,D17:D22,D25:D27)</f>
        <v>0</v>
      </c>
      <c r="E29" s="70">
        <f t="shared" si="15"/>
        <v>0</v>
      </c>
      <c r="F29" s="70">
        <f>SUM(F8:F14,F17:F22,F25:F27)</f>
        <v>0</v>
      </c>
      <c r="G29" s="20"/>
      <c r="H29" s="21"/>
      <c r="I29" s="20"/>
      <c r="J29" s="20"/>
      <c r="K29" s="20"/>
      <c r="L29" s="15"/>
      <c r="M29" s="15"/>
      <c r="N29" s="15"/>
      <c r="O29" s="15"/>
      <c r="P29" s="15"/>
      <c r="Q29" s="15"/>
      <c r="R29" s="15"/>
      <c r="S29" s="15"/>
    </row>
    <row r="30" spans="1:20" ht="15.6">
      <c r="A30" s="43"/>
      <c r="B30" s="46"/>
      <c r="C30" s="46"/>
      <c r="D30" s="22"/>
      <c r="E30" s="22"/>
      <c r="F30" s="22"/>
      <c r="G30" s="20"/>
      <c r="H30" s="21"/>
      <c r="I30" s="20"/>
      <c r="J30" s="20"/>
      <c r="K30" s="20"/>
      <c r="L30" s="15"/>
      <c r="M30" s="15"/>
      <c r="N30" s="15"/>
      <c r="O30" s="15"/>
      <c r="P30" s="15"/>
      <c r="Q30" s="15"/>
      <c r="R30" s="15"/>
      <c r="S30" s="15"/>
    </row>
    <row r="31" spans="1:20" ht="15.6">
      <c r="A31" s="30"/>
      <c r="B31" s="31" t="s">
        <v>69</v>
      </c>
      <c r="C31" s="31"/>
      <c r="D31" s="129" t="s">
        <v>70</v>
      </c>
      <c r="E31" s="130"/>
      <c r="F31" s="66"/>
      <c r="G31" s="53"/>
      <c r="H31" s="53"/>
      <c r="I31" s="53"/>
      <c r="J31" s="53"/>
      <c r="K31" s="53"/>
      <c r="L31" s="67"/>
      <c r="M31" s="15"/>
      <c r="N31" s="15"/>
      <c r="O31" s="15"/>
      <c r="P31" s="15"/>
      <c r="Q31" s="15"/>
      <c r="R31" s="15"/>
      <c r="S31" s="18"/>
      <c r="T31" s="15"/>
    </row>
    <row r="32" spans="1:20" ht="15" thickBot="1">
      <c r="A32" s="32" t="s">
        <v>71</v>
      </c>
      <c r="B32" s="47" t="s">
        <v>72</v>
      </c>
      <c r="C32" s="48">
        <v>60</v>
      </c>
      <c r="D32" s="1"/>
      <c r="E32" s="2"/>
      <c r="F32" s="56">
        <f>IF(SUM(D32:E32)&gt;C32,"See Instructions", SUM(D32:E32))</f>
        <v>0</v>
      </c>
      <c r="G32" s="68">
        <f>1000/C32</f>
        <v>16.666666666666668</v>
      </c>
      <c r="H32" s="56">
        <f>F32*G32</f>
        <v>0</v>
      </c>
      <c r="I32" s="59">
        <v>3</v>
      </c>
      <c r="J32" s="59">
        <f>G32*I32</f>
        <v>50</v>
      </c>
      <c r="K32" s="59">
        <f>I32*1000</f>
        <v>3000</v>
      </c>
      <c r="L32" s="69">
        <f>$H32*$I32</f>
        <v>0</v>
      </c>
      <c r="M32" s="15"/>
      <c r="N32" s="15"/>
      <c r="O32" s="15"/>
      <c r="P32" s="15"/>
      <c r="Q32" s="15"/>
      <c r="R32" s="15"/>
      <c r="S32" s="18"/>
      <c r="T32" s="15"/>
    </row>
    <row r="33" spans="1:20" ht="15.95" thickBot="1">
      <c r="A33" s="30"/>
      <c r="B33" s="31"/>
      <c r="C33" s="31"/>
      <c r="D33" s="119"/>
      <c r="E33" s="119"/>
      <c r="F33" s="53"/>
      <c r="G33" s="53"/>
      <c r="H33" s="53"/>
      <c r="I33" s="53"/>
      <c r="J33" s="53"/>
      <c r="K33" s="53"/>
      <c r="L33" s="67"/>
      <c r="M33" s="15"/>
      <c r="N33" s="15"/>
      <c r="O33" s="15"/>
      <c r="P33" s="15"/>
      <c r="Q33" s="15"/>
      <c r="R33" s="15"/>
      <c r="S33" s="15"/>
    </row>
    <row r="34" spans="1:20" ht="15.6">
      <c r="A34" s="43"/>
      <c r="B34" s="71"/>
      <c r="C34" s="71"/>
      <c r="D34" s="71"/>
      <c r="E34" s="71"/>
      <c r="F34" s="72"/>
      <c r="G34" s="72"/>
      <c r="H34" s="72"/>
      <c r="I34" s="72"/>
      <c r="J34" s="72"/>
      <c r="K34" s="23"/>
      <c r="L34" s="20"/>
      <c r="M34" s="15"/>
      <c r="N34" s="15"/>
      <c r="O34" s="15"/>
      <c r="P34" s="15"/>
      <c r="Q34" s="15"/>
      <c r="R34" s="15"/>
      <c r="S34" s="15"/>
    </row>
    <row r="35" spans="1:20" ht="15.6">
      <c r="A35" s="43"/>
      <c r="B35" s="73" t="s">
        <v>73</v>
      </c>
      <c r="C35" s="74"/>
      <c r="D35" s="74"/>
      <c r="E35" s="74"/>
      <c r="F35" s="74"/>
      <c r="G35" s="75"/>
      <c r="H35" s="76"/>
      <c r="I35" s="75"/>
      <c r="J35" s="75"/>
      <c r="K35" s="21"/>
      <c r="L35" s="15"/>
      <c r="M35" s="15"/>
      <c r="N35" s="15"/>
      <c r="O35" s="15"/>
      <c r="P35" s="15"/>
      <c r="Q35" s="15"/>
      <c r="R35" s="15"/>
      <c r="S35" s="15"/>
    </row>
    <row r="36" spans="1:20" ht="15.95" thickBot="1">
      <c r="A36" s="76"/>
      <c r="B36" s="77"/>
      <c r="C36" s="74"/>
      <c r="D36" s="74"/>
      <c r="E36" s="74"/>
      <c r="F36" s="74"/>
      <c r="G36" s="75"/>
      <c r="H36" s="76"/>
      <c r="I36" s="75"/>
      <c r="J36" s="75"/>
      <c r="K36" s="21"/>
      <c r="L36" s="15"/>
      <c r="M36" s="15"/>
      <c r="N36" s="15"/>
      <c r="O36" s="15"/>
      <c r="P36" s="15"/>
      <c r="Q36" s="15"/>
      <c r="R36" s="15"/>
      <c r="S36" s="15"/>
    </row>
    <row r="37" spans="1:20" ht="15.6" thickBot="1">
      <c r="A37" s="76"/>
      <c r="B37" s="78" t="s">
        <v>74</v>
      </c>
      <c r="C37" s="79"/>
      <c r="D37" s="80">
        <f>IF(F29&gt;20,"Contractor has provided too many work samples.", IF(E29&gt;D29, "Contractor has submitted more Work Samples for Teaming Subcontractors than allowable.", SUM(L8:L14,L17:L22,L25:L27,L32)))</f>
        <v>0</v>
      </c>
      <c r="E37" s="81"/>
      <c r="F37" s="82"/>
      <c r="G37" s="76"/>
      <c r="H37" s="76"/>
      <c r="I37" s="76"/>
      <c r="J37" s="76"/>
      <c r="K37" s="21"/>
      <c r="L37" s="15"/>
      <c r="M37" s="15"/>
      <c r="N37" s="15"/>
      <c r="O37" s="15"/>
      <c r="P37" s="15"/>
      <c r="Q37" s="15"/>
      <c r="R37" s="15"/>
      <c r="S37" s="15"/>
    </row>
    <row r="38" spans="1:20" ht="15.6" thickBot="1">
      <c r="A38" s="76"/>
      <c r="B38" s="78" t="s">
        <v>75</v>
      </c>
      <c r="C38" s="79"/>
      <c r="D38" s="80">
        <f>IF(F29&gt;20,"Contractor has provided too many work samples.", IF(E29&gt;D29, "Contractor has submitted more Work Samples for Teaming Subcontractors than allowable.", SUM(J52,J63,J74,J85,J96)))</f>
        <v>0</v>
      </c>
      <c r="E38" s="81"/>
      <c r="F38" s="82"/>
      <c r="G38" s="76"/>
      <c r="H38" s="76"/>
      <c r="I38" s="76"/>
      <c r="J38" s="76"/>
      <c r="K38" s="21"/>
      <c r="L38" s="15"/>
      <c r="M38" s="15"/>
      <c r="N38" s="15"/>
      <c r="O38" s="15"/>
      <c r="P38" s="15"/>
      <c r="Q38" s="15"/>
      <c r="R38" s="15"/>
      <c r="S38" s="15"/>
    </row>
    <row r="39" spans="1:20" ht="15.6" thickBot="1">
      <c r="A39" s="76"/>
      <c r="B39" s="78"/>
      <c r="C39" s="83"/>
      <c r="D39" s="80"/>
      <c r="E39" s="84"/>
      <c r="F39" s="82"/>
      <c r="G39" s="76"/>
      <c r="H39" s="76"/>
      <c r="I39" s="76"/>
      <c r="J39" s="76"/>
      <c r="K39" s="21"/>
      <c r="L39" s="15"/>
      <c r="M39" s="15"/>
      <c r="N39" s="15"/>
      <c r="O39" s="15"/>
      <c r="P39" s="15"/>
      <c r="Q39" s="15"/>
      <c r="R39" s="15"/>
      <c r="S39" s="15"/>
    </row>
    <row r="40" spans="1:20" ht="15.6" thickBot="1">
      <c r="A40" s="76"/>
      <c r="B40" s="85" t="s">
        <v>76</v>
      </c>
      <c r="C40" s="86"/>
      <c r="D40" s="87">
        <f>IF(F29&gt;20,"Contractor has provided too many work samples.", IF(E29&gt;D29, "Contractor has submitted more Work Samples for Teaming Subcontractors than allowable.", SUM(D37:D39)))</f>
        <v>0</v>
      </c>
      <c r="E40" s="81"/>
      <c r="F40" s="82"/>
      <c r="G40" s="76"/>
      <c r="H40" s="76"/>
      <c r="I40" s="76"/>
      <c r="J40" s="76"/>
      <c r="K40" s="21"/>
      <c r="L40" s="15"/>
      <c r="M40" s="15"/>
      <c r="N40" s="15"/>
      <c r="O40" s="15"/>
      <c r="P40" s="15"/>
      <c r="Q40" s="15"/>
      <c r="R40" s="15"/>
      <c r="S40" s="15"/>
    </row>
    <row r="41" spans="1:20" ht="15.6" thickBot="1">
      <c r="A41" s="76"/>
      <c r="B41" s="78" t="s">
        <v>77</v>
      </c>
      <c r="C41" s="79"/>
      <c r="D41" s="88"/>
      <c r="E41" s="81"/>
      <c r="F41" s="81"/>
      <c r="G41" s="76"/>
      <c r="H41" s="76"/>
      <c r="I41" s="76"/>
      <c r="J41" s="76"/>
      <c r="K41" s="21"/>
      <c r="L41" s="15"/>
      <c r="M41" s="15"/>
      <c r="N41" s="15"/>
      <c r="O41" s="15"/>
      <c r="P41" s="15"/>
      <c r="Q41" s="15"/>
      <c r="R41" s="15"/>
      <c r="S41" s="15"/>
    </row>
    <row r="42" spans="1:20" ht="15">
      <c r="A42" s="76"/>
      <c r="B42" s="81"/>
      <c r="C42" s="81"/>
      <c r="D42" s="81"/>
      <c r="E42" s="81"/>
      <c r="F42" s="81"/>
      <c r="G42" s="76"/>
      <c r="H42" s="76"/>
      <c r="I42" s="76"/>
      <c r="J42" s="76"/>
      <c r="K42" s="21"/>
      <c r="L42" s="15"/>
      <c r="M42" s="15"/>
      <c r="N42" s="15"/>
      <c r="O42" s="15"/>
      <c r="P42" s="15"/>
      <c r="Q42" s="15"/>
      <c r="R42" s="15"/>
      <c r="S42" s="15"/>
    </row>
    <row r="43" spans="1:20" ht="15.6" thickBot="1">
      <c r="A43" s="89" t="s">
        <v>78</v>
      </c>
      <c r="B43" s="123" t="s">
        <v>79</v>
      </c>
      <c r="C43" s="125"/>
      <c r="D43" s="125"/>
      <c r="E43" s="125"/>
      <c r="F43" s="125"/>
      <c r="G43" s="125"/>
      <c r="H43" s="125"/>
      <c r="I43" s="125"/>
      <c r="J43" s="126"/>
      <c r="K43" s="15"/>
      <c r="L43" s="15"/>
      <c r="M43" s="15"/>
      <c r="N43" s="15"/>
      <c r="O43" s="15"/>
      <c r="P43" s="15"/>
      <c r="Q43" s="15"/>
      <c r="R43" s="15"/>
      <c r="S43" s="15"/>
      <c r="T43" s="15"/>
    </row>
    <row r="44" spans="1:20" ht="47.1" thickBot="1">
      <c r="A44" s="90" t="s">
        <v>80</v>
      </c>
      <c r="B44" s="91" t="s">
        <v>81</v>
      </c>
      <c r="C44" s="92" t="s">
        <v>82</v>
      </c>
      <c r="D44" s="93" t="s">
        <v>83</v>
      </c>
      <c r="E44" s="93" t="s">
        <v>84</v>
      </c>
      <c r="F44" s="93" t="s">
        <v>85</v>
      </c>
      <c r="G44" s="93" t="s">
        <v>86</v>
      </c>
      <c r="H44" s="94" t="s">
        <v>87</v>
      </c>
      <c r="I44" s="95" t="s">
        <v>88</v>
      </c>
      <c r="J44" s="95" t="s">
        <v>89</v>
      </c>
      <c r="K44" s="15"/>
      <c r="L44" s="15"/>
      <c r="M44" s="15"/>
      <c r="N44" s="15"/>
      <c r="O44" s="15"/>
      <c r="P44" s="15"/>
      <c r="Q44" s="15"/>
      <c r="R44" s="15"/>
      <c r="S44" s="15"/>
      <c r="T44" s="15"/>
    </row>
    <row r="45" spans="1:20" ht="15.95" thickBot="1">
      <c r="A45" s="96" t="s">
        <v>90</v>
      </c>
      <c r="B45" s="97" t="s">
        <v>91</v>
      </c>
      <c r="C45" s="131" t="s">
        <v>92</v>
      </c>
      <c r="D45" s="132"/>
      <c r="E45" s="132"/>
      <c r="F45" s="132"/>
      <c r="G45" s="132"/>
      <c r="H45" s="132"/>
      <c r="I45" s="133"/>
      <c r="J45" s="98"/>
      <c r="K45" s="15"/>
      <c r="L45" s="15"/>
      <c r="M45" s="15"/>
      <c r="N45" s="15"/>
      <c r="O45" s="15"/>
      <c r="P45" s="15"/>
      <c r="Q45" s="15"/>
      <c r="R45" s="15"/>
      <c r="S45" s="15"/>
      <c r="T45" s="15"/>
    </row>
    <row r="46" spans="1:20" ht="15.6">
      <c r="A46" s="9"/>
      <c r="B46" s="134"/>
      <c r="C46" s="135"/>
      <c r="D46" s="122"/>
      <c r="E46" s="122"/>
      <c r="F46" s="122"/>
      <c r="G46" s="122"/>
      <c r="H46" s="122"/>
      <c r="I46" s="122"/>
      <c r="J46" s="118">
        <f>_xlfn.IFNA(SUM(VLOOKUP(D46,$A$99:$B$105,2,FALSE),VLOOKUP(E46,$A$99:$B$105,2,FALSE),VLOOKUP(F46,$A$99:$B$105,2,FALSE),VLOOKUP(G46,$A$99:$B$105,2,FALSE),VLOOKUP(H46,$A$99:$B$105,2,FALSE),VLOOKUP(I46,$A$99:$B$105,2,FALSE))/(6-COUNTIF(D46:I46,"N/A")-COUNTBLANK(D46:I46)), 0)</f>
        <v>0</v>
      </c>
      <c r="K46" s="15"/>
      <c r="L46" s="15"/>
      <c r="M46" s="15"/>
      <c r="N46" s="15"/>
      <c r="O46" s="15"/>
      <c r="P46" s="15"/>
      <c r="Q46" s="15"/>
      <c r="R46" s="15"/>
      <c r="S46" s="15"/>
      <c r="T46" s="15"/>
    </row>
    <row r="47" spans="1:20" ht="15.6">
      <c r="A47" s="9"/>
      <c r="B47" s="135"/>
      <c r="C47" s="135"/>
      <c r="D47" s="9"/>
      <c r="E47" s="9"/>
      <c r="F47" s="9"/>
      <c r="G47" s="9"/>
      <c r="H47" s="9"/>
      <c r="I47" s="9"/>
      <c r="J47" s="118">
        <f t="shared" ref="J47:J50" si="16">_xlfn.IFNA(SUM(VLOOKUP(D47,$A$99:$B$105,2,FALSE),VLOOKUP(E47,$A$99:$B$105,2,FALSE),VLOOKUP(F47,$A$99:$B$105,2,FALSE),VLOOKUP(G47,$A$99:$B$105,2,FALSE),VLOOKUP(H47,$A$99:$B$105,2,FALSE),VLOOKUP(I47,$A$99:$B$105,2,FALSE))/(6-COUNTIF(D47:I47,"N/A")-COUNTBLANK(D47:I47)), 0)</f>
        <v>0</v>
      </c>
      <c r="K47" s="15"/>
      <c r="L47" s="15"/>
      <c r="M47" s="15"/>
      <c r="N47" s="15"/>
      <c r="O47" s="15"/>
      <c r="P47" s="15"/>
      <c r="Q47" s="15"/>
      <c r="R47" s="15"/>
      <c r="S47" s="15"/>
      <c r="T47" s="15"/>
    </row>
    <row r="48" spans="1:20" ht="15.75">
      <c r="A48" s="9"/>
      <c r="B48" s="135"/>
      <c r="C48" s="135"/>
      <c r="D48" s="9"/>
      <c r="E48" s="9"/>
      <c r="F48" s="9"/>
      <c r="G48" s="9"/>
      <c r="H48" s="9"/>
      <c r="I48" s="9"/>
      <c r="J48" s="118">
        <f t="shared" si="16"/>
        <v>0</v>
      </c>
      <c r="K48" s="15"/>
      <c r="L48" s="15"/>
      <c r="M48" s="15"/>
      <c r="N48" s="15"/>
      <c r="O48" s="15"/>
      <c r="P48" s="15"/>
      <c r="Q48" s="15"/>
      <c r="R48" s="15"/>
      <c r="S48" s="15"/>
      <c r="T48" s="15"/>
    </row>
    <row r="49" spans="1:20" ht="15.6">
      <c r="A49" s="9"/>
      <c r="B49" s="135"/>
      <c r="C49" s="135"/>
      <c r="D49" s="9"/>
      <c r="E49" s="9"/>
      <c r="F49" s="9"/>
      <c r="G49" s="9"/>
      <c r="H49" s="9"/>
      <c r="I49" s="9"/>
      <c r="J49" s="118">
        <f t="shared" si="16"/>
        <v>0</v>
      </c>
      <c r="K49" s="15"/>
      <c r="L49" s="15"/>
      <c r="M49" s="15"/>
      <c r="N49" s="15"/>
      <c r="O49" s="15"/>
      <c r="P49" s="15"/>
      <c r="Q49" s="15"/>
      <c r="R49" s="15"/>
      <c r="S49" s="15"/>
      <c r="T49" s="15"/>
    </row>
    <row r="50" spans="1:20" ht="15.6">
      <c r="A50" s="9"/>
      <c r="B50" s="136"/>
      <c r="C50" s="136"/>
      <c r="D50" s="9"/>
      <c r="E50" s="9"/>
      <c r="F50" s="9"/>
      <c r="G50" s="9"/>
      <c r="H50" s="9"/>
      <c r="I50" s="9"/>
      <c r="J50" s="118">
        <f t="shared" si="16"/>
        <v>0</v>
      </c>
      <c r="K50" s="15"/>
      <c r="L50" s="15"/>
      <c r="M50" s="15"/>
      <c r="N50" s="15"/>
      <c r="O50" s="15"/>
      <c r="P50" s="15"/>
      <c r="Q50" s="15"/>
      <c r="R50" s="15"/>
      <c r="S50" s="15"/>
      <c r="T50" s="15"/>
    </row>
    <row r="51" spans="1:20" ht="15.6">
      <c r="A51" s="99"/>
      <c r="B51" s="100"/>
      <c r="C51" s="100">
        <f>C46</f>
        <v>0</v>
      </c>
      <c r="D51" s="101"/>
      <c r="E51" s="101"/>
      <c r="F51" s="101"/>
      <c r="G51" s="101"/>
      <c r="H51" s="101"/>
      <c r="I51" s="102" t="s">
        <v>93</v>
      </c>
      <c r="J51" s="103">
        <f>IF(SUM(J46:J50)=0,0,SUM(J46:J50)/COUNTIF(J46:J50,"&lt;&gt;0"))</f>
        <v>0</v>
      </c>
      <c r="K51" s="15"/>
      <c r="L51" s="15"/>
      <c r="M51" s="15"/>
      <c r="N51" s="15"/>
      <c r="O51" s="15"/>
      <c r="P51" s="15"/>
      <c r="Q51" s="15"/>
      <c r="R51" s="15"/>
      <c r="S51" s="15"/>
      <c r="T51" s="15"/>
    </row>
    <row r="52" spans="1:20" ht="31.5" thickBot="1">
      <c r="A52" s="104"/>
      <c r="B52" s="105" t="s">
        <v>94</v>
      </c>
      <c r="C52" s="106" t="str">
        <f>IF(LEFT(C46,1)="R", "Repair",IF(LEFT(C46,1)="A","Replace",IF(LEFT(C46,1)="S","Spare","")))</f>
        <v/>
      </c>
      <c r="D52" s="106" t="s">
        <v>95</v>
      </c>
      <c r="E52" s="105" t="str">
        <f>_xlfn.IFNA(VLOOKUP(C46,$A$8:$G$27,7,FALSE),"")</f>
        <v/>
      </c>
      <c r="F52" s="105" t="s">
        <v>96</v>
      </c>
      <c r="G52" s="105" t="str">
        <f>_xlfn.IFNA(VLOOKUP(C46,$A$8:$J$27,10,FALSE),"")</f>
        <v/>
      </c>
      <c r="H52" s="105" t="s">
        <v>97</v>
      </c>
      <c r="I52" s="10">
        <f>J51/100</f>
        <v>0</v>
      </c>
      <c r="J52" s="107">
        <f>IF(AND(C46&lt;&gt;"",J51&lt;&gt;0),I52*G52,0)</f>
        <v>0</v>
      </c>
      <c r="K52" s="15"/>
      <c r="L52" s="15"/>
      <c r="M52" s="15"/>
      <c r="N52" s="15"/>
      <c r="O52" s="15"/>
      <c r="P52" s="15"/>
      <c r="Q52" s="15"/>
      <c r="R52" s="15"/>
      <c r="S52" s="15"/>
      <c r="T52" s="15"/>
    </row>
    <row r="53" spans="1:20" ht="15.6">
      <c r="A53" s="108"/>
      <c r="B53" s="72"/>
      <c r="C53" s="109"/>
      <c r="D53" s="109"/>
      <c r="E53" s="72"/>
      <c r="F53" s="72"/>
      <c r="G53" s="72"/>
      <c r="H53" s="72"/>
      <c r="I53" s="11"/>
      <c r="J53" s="72"/>
      <c r="K53" s="15"/>
      <c r="L53" s="15"/>
      <c r="M53" s="15"/>
      <c r="N53" s="15"/>
      <c r="O53" s="15"/>
      <c r="P53" s="15"/>
      <c r="Q53" s="15"/>
      <c r="R53" s="15"/>
      <c r="S53" s="15"/>
      <c r="T53" s="15"/>
    </row>
    <row r="54" spans="1:20" ht="15.95" thickBot="1">
      <c r="A54" s="108"/>
      <c r="B54" s="108"/>
      <c r="C54" s="108"/>
      <c r="D54" s="108"/>
      <c r="E54" s="108"/>
      <c r="F54" s="108"/>
      <c r="G54" s="108"/>
      <c r="H54" s="108"/>
      <c r="I54" s="108"/>
      <c r="J54" s="108"/>
      <c r="K54" s="15"/>
      <c r="L54" s="15"/>
      <c r="M54" s="15"/>
      <c r="N54" s="15"/>
      <c r="O54" s="15"/>
      <c r="P54" s="15"/>
      <c r="Q54" s="15"/>
      <c r="R54" s="15"/>
      <c r="S54" s="15"/>
      <c r="T54" s="15"/>
    </row>
    <row r="55" spans="1:20" ht="47.1" thickBot="1">
      <c r="A55" s="90" t="s">
        <v>98</v>
      </c>
      <c r="B55" s="91" t="s">
        <v>81</v>
      </c>
      <c r="C55" s="110" t="s">
        <v>82</v>
      </c>
      <c r="D55" s="110" t="s">
        <v>83</v>
      </c>
      <c r="E55" s="93" t="s">
        <v>84</v>
      </c>
      <c r="F55" s="93" t="s">
        <v>85</v>
      </c>
      <c r="G55" s="93" t="s">
        <v>86</v>
      </c>
      <c r="H55" s="93" t="s">
        <v>87</v>
      </c>
      <c r="I55" s="93" t="s">
        <v>88</v>
      </c>
      <c r="J55" s="111" t="s">
        <v>89</v>
      </c>
      <c r="K55" s="15"/>
      <c r="L55" s="15"/>
      <c r="M55" s="15"/>
      <c r="N55" s="15"/>
      <c r="O55" s="15"/>
      <c r="P55" s="15"/>
      <c r="Q55" s="15"/>
      <c r="R55" s="15"/>
      <c r="S55" s="15"/>
      <c r="T55" s="15"/>
    </row>
    <row r="56" spans="1:20" ht="15.95" thickBot="1">
      <c r="A56" s="96" t="s">
        <v>90</v>
      </c>
      <c r="B56" s="97" t="s">
        <v>91</v>
      </c>
      <c r="C56" s="131" t="s">
        <v>92</v>
      </c>
      <c r="D56" s="132"/>
      <c r="E56" s="132"/>
      <c r="F56" s="132"/>
      <c r="G56" s="132"/>
      <c r="H56" s="132"/>
      <c r="I56" s="133"/>
      <c r="J56" s="112"/>
      <c r="K56" s="15"/>
      <c r="L56" s="15"/>
      <c r="M56" s="15"/>
      <c r="N56" s="15"/>
      <c r="O56" s="15"/>
      <c r="P56" s="15"/>
      <c r="Q56" s="15"/>
      <c r="R56" s="15"/>
      <c r="S56" s="15"/>
      <c r="T56" s="15"/>
    </row>
    <row r="57" spans="1:20" ht="15.6">
      <c r="A57" s="9"/>
      <c r="B57" s="134"/>
      <c r="C57" s="134"/>
      <c r="D57" s="122"/>
      <c r="E57" s="122"/>
      <c r="F57" s="122"/>
      <c r="G57" s="122"/>
      <c r="H57" s="122"/>
      <c r="I57" s="122"/>
      <c r="J57" s="118">
        <f>_xlfn.IFNA(SUM(VLOOKUP(D57,$A$99:$B$105,2,FALSE),VLOOKUP(E57,$A$99:$B$105,2,FALSE),VLOOKUP(F57,$A$99:$B$105,2,FALSE),VLOOKUP(G57,$A$99:$B$105,2,FALSE),VLOOKUP(H57,$A$99:$B$105,2,FALSE),VLOOKUP(I57,$A$99:$B$105,2,FALSE))/(6-COUNTIF(D57:I57,"N/A")-COUNTBLANK(D57:I57)), 0)</f>
        <v>0</v>
      </c>
      <c r="K57" s="15"/>
      <c r="L57" s="15"/>
      <c r="M57" s="15"/>
      <c r="N57" s="15"/>
      <c r="O57" s="15"/>
      <c r="P57" s="15"/>
      <c r="Q57" s="15"/>
      <c r="R57" s="15"/>
      <c r="S57" s="15"/>
      <c r="T57" s="15"/>
    </row>
    <row r="58" spans="1:20" ht="15.6">
      <c r="A58" s="9"/>
      <c r="B58" s="135"/>
      <c r="C58" s="135"/>
      <c r="D58" s="9"/>
      <c r="E58" s="9"/>
      <c r="F58" s="9"/>
      <c r="G58" s="9"/>
      <c r="H58" s="9"/>
      <c r="I58" s="9"/>
      <c r="J58" s="118">
        <f t="shared" ref="J58:J61" si="17">_xlfn.IFNA(SUM(VLOOKUP(D58,$A$99:$B$105,2,FALSE),VLOOKUP(E58,$A$99:$B$105,2,FALSE),VLOOKUP(F58,$A$99:$B$105,2,FALSE),VLOOKUP(G58,$A$99:$B$105,2,FALSE),VLOOKUP(H58,$A$99:$B$105,2,FALSE),VLOOKUP(I58,$A$99:$B$105,2,FALSE))/(6-COUNTIF(D58:I58,"N/A")-COUNTBLANK(D58:I58)), 0)</f>
        <v>0</v>
      </c>
      <c r="K58" s="15"/>
      <c r="L58" s="15"/>
      <c r="M58" s="15"/>
      <c r="N58" s="15"/>
      <c r="O58" s="15"/>
      <c r="P58" s="15"/>
      <c r="Q58" s="15"/>
      <c r="R58" s="15"/>
      <c r="S58" s="15"/>
      <c r="T58" s="15"/>
    </row>
    <row r="59" spans="1:20" ht="15.6">
      <c r="A59" s="9"/>
      <c r="B59" s="135"/>
      <c r="C59" s="135"/>
      <c r="D59" s="9"/>
      <c r="E59" s="9"/>
      <c r="F59" s="9"/>
      <c r="G59" s="9"/>
      <c r="H59" s="9"/>
      <c r="I59" s="9"/>
      <c r="J59" s="118">
        <f t="shared" si="17"/>
        <v>0</v>
      </c>
      <c r="K59" s="15"/>
      <c r="L59" s="15"/>
      <c r="M59" s="15"/>
      <c r="N59" s="15"/>
      <c r="O59" s="15"/>
      <c r="P59" s="15"/>
      <c r="Q59" s="15"/>
      <c r="R59" s="15"/>
      <c r="S59" s="15"/>
      <c r="T59" s="15"/>
    </row>
    <row r="60" spans="1:20" ht="15.6">
      <c r="A60" s="9"/>
      <c r="B60" s="135"/>
      <c r="C60" s="135"/>
      <c r="D60" s="9"/>
      <c r="E60" s="9"/>
      <c r="F60" s="9"/>
      <c r="G60" s="9"/>
      <c r="H60" s="9"/>
      <c r="I60" s="9"/>
      <c r="J60" s="118">
        <f t="shared" si="17"/>
        <v>0</v>
      </c>
      <c r="K60" s="15"/>
      <c r="L60" s="15"/>
      <c r="M60" s="15"/>
      <c r="N60" s="15"/>
      <c r="O60" s="15"/>
      <c r="P60" s="15"/>
      <c r="Q60" s="15"/>
      <c r="R60" s="15"/>
      <c r="S60" s="15"/>
      <c r="T60" s="15"/>
    </row>
    <row r="61" spans="1:20" ht="15.6">
      <c r="A61" s="9"/>
      <c r="B61" s="136"/>
      <c r="C61" s="136"/>
      <c r="D61" s="9"/>
      <c r="E61" s="9"/>
      <c r="F61" s="9"/>
      <c r="G61" s="9"/>
      <c r="H61" s="9"/>
      <c r="I61" s="9"/>
      <c r="J61" s="118">
        <f t="shared" si="17"/>
        <v>0</v>
      </c>
      <c r="K61" s="15"/>
      <c r="L61" s="15"/>
      <c r="M61" s="15"/>
      <c r="N61" s="15"/>
      <c r="O61" s="15"/>
      <c r="P61" s="15"/>
      <c r="Q61" s="15"/>
      <c r="R61" s="15"/>
      <c r="S61" s="15"/>
      <c r="T61" s="15"/>
    </row>
    <row r="62" spans="1:20" ht="15.6">
      <c r="A62" s="99"/>
      <c r="B62" s="100"/>
      <c r="C62" s="100">
        <f>C57</f>
        <v>0</v>
      </c>
      <c r="D62" s="101"/>
      <c r="E62" s="101"/>
      <c r="F62" s="101"/>
      <c r="G62" s="101"/>
      <c r="H62" s="101"/>
      <c r="I62" s="102" t="s">
        <v>93</v>
      </c>
      <c r="J62" s="103">
        <f>IF(SUM(J57:J61)=0,0,SUM(J57:J61)/COUNTIF(J57:J61,"&lt;&gt;0"))</f>
        <v>0</v>
      </c>
      <c r="K62" s="15"/>
      <c r="L62" s="15"/>
      <c r="M62" s="15"/>
      <c r="N62" s="15"/>
      <c r="O62" s="15"/>
      <c r="P62" s="15"/>
      <c r="Q62" s="15"/>
      <c r="R62" s="15"/>
      <c r="S62" s="15"/>
      <c r="T62" s="15"/>
    </row>
    <row r="63" spans="1:20" ht="30.95">
      <c r="A63" s="104"/>
      <c r="B63" s="105" t="s">
        <v>94</v>
      </c>
      <c r="C63" s="106" t="str">
        <f>IF(LEFT(C57,1)="R", "Repair",IF(LEFT(C57,1)="A","Replace",IF(LEFT(C57,1)="S","Spare","")))</f>
        <v/>
      </c>
      <c r="D63" s="106" t="s">
        <v>95</v>
      </c>
      <c r="E63" s="105" t="str">
        <f>_xlfn.IFNA(VLOOKUP(C57,$A$8:$G$27,7,FALSE),"")</f>
        <v/>
      </c>
      <c r="F63" s="105" t="s">
        <v>96</v>
      </c>
      <c r="G63" s="105" t="str">
        <f>_xlfn.IFNA(VLOOKUP(C57,$A$8:$J$27,10,FALSE),"")</f>
        <v/>
      </c>
      <c r="H63" s="105" t="s">
        <v>97</v>
      </c>
      <c r="I63" s="10">
        <f>J62/100</f>
        <v>0</v>
      </c>
      <c r="J63" s="107">
        <f>IF(AND(C57&lt;&gt;"",J62&lt;&gt;0),I63*G63,0)</f>
        <v>0</v>
      </c>
      <c r="K63" s="15"/>
      <c r="L63" s="15"/>
      <c r="M63" s="15"/>
      <c r="N63" s="15"/>
      <c r="O63" s="15"/>
      <c r="P63" s="15"/>
      <c r="Q63" s="15"/>
      <c r="R63" s="15"/>
      <c r="S63" s="15"/>
      <c r="T63" s="15"/>
    </row>
    <row r="64" spans="1:20">
      <c r="A64" s="113"/>
      <c r="B64"/>
      <c r="C64"/>
      <c r="D64"/>
      <c r="E64" s="113"/>
      <c r="F64" s="113"/>
      <c r="G64" s="113"/>
      <c r="H64" s="113"/>
      <c r="I64" s="113"/>
      <c r="J64" s="113"/>
      <c r="K64" s="15"/>
      <c r="L64" s="15"/>
      <c r="M64" s="15"/>
      <c r="N64" s="15"/>
      <c r="O64" s="15"/>
      <c r="P64" s="15"/>
      <c r="Q64" s="15"/>
      <c r="R64" s="15"/>
      <c r="S64" s="15"/>
      <c r="T64" s="15"/>
    </row>
    <row r="65" spans="1:20" ht="15" thickBot="1">
      <c r="A65" s="113"/>
      <c r="B65"/>
      <c r="C65"/>
      <c r="D65"/>
      <c r="E65" s="113"/>
      <c r="F65" s="113"/>
      <c r="G65" s="113"/>
      <c r="H65" s="113"/>
      <c r="I65" s="113"/>
      <c r="J65" s="113"/>
      <c r="K65" s="15"/>
      <c r="L65" s="15"/>
      <c r="M65" s="15"/>
      <c r="N65" s="15"/>
      <c r="O65" s="15"/>
      <c r="P65" s="15"/>
      <c r="Q65" s="15"/>
      <c r="R65" s="15"/>
      <c r="S65" s="15"/>
      <c r="T65" s="15"/>
    </row>
    <row r="66" spans="1:20" ht="47.1" thickBot="1">
      <c r="A66" s="90" t="s">
        <v>99</v>
      </c>
      <c r="B66" s="91" t="s">
        <v>81</v>
      </c>
      <c r="C66" s="110" t="s">
        <v>82</v>
      </c>
      <c r="D66" s="110" t="s">
        <v>83</v>
      </c>
      <c r="E66" s="93" t="s">
        <v>84</v>
      </c>
      <c r="F66" s="93" t="s">
        <v>85</v>
      </c>
      <c r="G66" s="93" t="s">
        <v>86</v>
      </c>
      <c r="H66" s="94" t="s">
        <v>87</v>
      </c>
      <c r="I66" s="95" t="s">
        <v>88</v>
      </c>
      <c r="J66" s="95" t="s">
        <v>89</v>
      </c>
      <c r="K66" s="15"/>
      <c r="L66" s="15"/>
      <c r="M66" s="15"/>
      <c r="N66" s="15"/>
      <c r="O66" s="15"/>
      <c r="P66" s="15"/>
      <c r="Q66" s="15"/>
      <c r="R66" s="15"/>
      <c r="S66" s="15"/>
      <c r="T66" s="15"/>
    </row>
    <row r="67" spans="1:20" ht="15.95" thickBot="1">
      <c r="A67" s="96" t="s">
        <v>90</v>
      </c>
      <c r="B67" s="97" t="s">
        <v>91</v>
      </c>
      <c r="C67" s="131" t="s">
        <v>92</v>
      </c>
      <c r="D67" s="132"/>
      <c r="E67" s="132"/>
      <c r="F67" s="132"/>
      <c r="G67" s="132"/>
      <c r="H67" s="132"/>
      <c r="I67" s="133"/>
      <c r="J67" s="112"/>
      <c r="K67" s="15"/>
      <c r="L67" s="15"/>
      <c r="M67" s="15"/>
      <c r="N67" s="15"/>
      <c r="O67" s="15"/>
      <c r="P67" s="15"/>
      <c r="Q67" s="15"/>
      <c r="R67" s="15"/>
      <c r="S67" s="15"/>
      <c r="T67" s="15"/>
    </row>
    <row r="68" spans="1:20" ht="15.6">
      <c r="A68" s="9"/>
      <c r="B68" s="134"/>
      <c r="C68" s="134"/>
      <c r="D68" s="122"/>
      <c r="E68" s="122"/>
      <c r="F68" s="122"/>
      <c r="G68" s="122"/>
      <c r="H68" s="122"/>
      <c r="I68" s="122"/>
      <c r="J68" s="118">
        <f>_xlfn.IFNA(SUM(VLOOKUP(D68,$A$99:$B$105,2,FALSE),VLOOKUP(E68,$A$99:$B$105,2,FALSE),VLOOKUP(F68,$A$99:$B$105,2,FALSE),VLOOKUP(G68,$A$99:$B$105,2,FALSE),VLOOKUP(H68,$A$99:$B$105,2,FALSE),VLOOKUP(I68,$A$99:$B$105,2,FALSE))/(6-COUNTIF(D68:I68,"N/A")-COUNTBLANK(D68:I68)), 0)</f>
        <v>0</v>
      </c>
      <c r="K68" s="15"/>
      <c r="L68" s="15"/>
      <c r="M68" s="15"/>
      <c r="N68" s="15"/>
      <c r="O68" s="15"/>
      <c r="P68" s="15"/>
      <c r="Q68" s="15"/>
      <c r="R68" s="15"/>
      <c r="S68" s="15"/>
      <c r="T68" s="15"/>
    </row>
    <row r="69" spans="1:20" ht="15.6">
      <c r="A69" s="9"/>
      <c r="B69" s="135"/>
      <c r="C69" s="135"/>
      <c r="D69" s="9"/>
      <c r="E69" s="9"/>
      <c r="F69" s="9"/>
      <c r="G69" s="9"/>
      <c r="H69" s="9"/>
      <c r="I69" s="9"/>
      <c r="J69" s="118">
        <f t="shared" ref="J69:J72" si="18">_xlfn.IFNA(SUM(VLOOKUP(D69,$A$99:$B$105,2,FALSE),VLOOKUP(E69,$A$99:$B$105,2,FALSE),VLOOKUP(F69,$A$99:$B$105,2,FALSE),VLOOKUP(G69,$A$99:$B$105,2,FALSE),VLOOKUP(H69,$A$99:$B$105,2,FALSE),VLOOKUP(I69,$A$99:$B$105,2,FALSE))/(6-COUNTIF(D69:I69,"N/A")-COUNTBLANK(D69:I69)), 0)</f>
        <v>0</v>
      </c>
      <c r="K69" s="15"/>
      <c r="L69" s="15"/>
      <c r="M69" s="15"/>
      <c r="N69" s="15"/>
      <c r="O69" s="15"/>
      <c r="P69" s="15"/>
      <c r="Q69" s="15"/>
      <c r="R69" s="15"/>
      <c r="S69" s="15"/>
      <c r="T69" s="15"/>
    </row>
    <row r="70" spans="1:20" ht="15.6">
      <c r="A70" s="9"/>
      <c r="B70" s="135"/>
      <c r="C70" s="135"/>
      <c r="D70" s="9"/>
      <c r="E70" s="9"/>
      <c r="F70" s="9"/>
      <c r="G70" s="9"/>
      <c r="H70" s="9"/>
      <c r="I70" s="9"/>
      <c r="J70" s="118">
        <f t="shared" si="18"/>
        <v>0</v>
      </c>
      <c r="K70" s="15"/>
      <c r="L70" s="15"/>
      <c r="M70" s="15"/>
      <c r="N70" s="15"/>
      <c r="O70" s="15"/>
      <c r="P70" s="15"/>
      <c r="Q70" s="15"/>
      <c r="R70" s="15"/>
      <c r="S70" s="15"/>
      <c r="T70" s="15"/>
    </row>
    <row r="71" spans="1:20" ht="15.6">
      <c r="A71" s="9"/>
      <c r="B71" s="135"/>
      <c r="C71" s="135"/>
      <c r="D71" s="9"/>
      <c r="E71" s="9"/>
      <c r="F71" s="9"/>
      <c r="G71" s="9"/>
      <c r="H71" s="9"/>
      <c r="I71" s="9"/>
      <c r="J71" s="118">
        <f t="shared" si="18"/>
        <v>0</v>
      </c>
      <c r="K71" s="15"/>
      <c r="L71" s="15"/>
      <c r="M71" s="15"/>
      <c r="N71" s="15"/>
      <c r="O71" s="15"/>
      <c r="P71" s="15"/>
      <c r="Q71" s="15"/>
      <c r="R71" s="15"/>
      <c r="S71" s="15"/>
      <c r="T71" s="15"/>
    </row>
    <row r="72" spans="1:20" ht="15.6">
      <c r="A72" s="9"/>
      <c r="B72" s="136"/>
      <c r="C72" s="136"/>
      <c r="D72" s="9"/>
      <c r="E72" s="9"/>
      <c r="F72" s="9"/>
      <c r="G72" s="9"/>
      <c r="H72" s="9"/>
      <c r="I72" s="9"/>
      <c r="J72" s="118">
        <f t="shared" si="18"/>
        <v>0</v>
      </c>
      <c r="K72" s="15"/>
      <c r="L72" s="15"/>
      <c r="M72" s="15"/>
      <c r="N72" s="15"/>
      <c r="O72" s="15"/>
      <c r="P72" s="15"/>
      <c r="Q72" s="15"/>
      <c r="R72" s="15"/>
      <c r="S72" s="15"/>
      <c r="T72" s="15"/>
    </row>
    <row r="73" spans="1:20" ht="15.6">
      <c r="A73" s="99"/>
      <c r="B73" s="100"/>
      <c r="C73" s="100">
        <f>C68</f>
        <v>0</v>
      </c>
      <c r="D73" s="101"/>
      <c r="E73" s="101"/>
      <c r="F73" s="101"/>
      <c r="G73" s="101"/>
      <c r="H73" s="101"/>
      <c r="I73" s="102" t="s">
        <v>93</v>
      </c>
      <c r="J73" s="103">
        <f>IF(SUM(J68:J72)=0,0,SUM(J68:J72)/COUNTIF(J68:J72,"&lt;&gt;0"))</f>
        <v>0</v>
      </c>
      <c r="K73" s="15"/>
      <c r="L73" s="15"/>
      <c r="M73" s="15"/>
      <c r="N73" s="15"/>
      <c r="O73" s="15"/>
      <c r="P73" s="15"/>
      <c r="Q73" s="15"/>
      <c r="R73" s="15"/>
      <c r="S73" s="15"/>
      <c r="T73" s="15"/>
    </row>
    <row r="74" spans="1:20" ht="30.95">
      <c r="A74" s="104"/>
      <c r="B74" s="105" t="s">
        <v>94</v>
      </c>
      <c r="C74" s="106" t="str">
        <f>IF(LEFT(C68,1)="R", "Repair",IF(LEFT(C68,1)="A","Replace",IF(LEFT(C68,1)="S","Spare","")))</f>
        <v/>
      </c>
      <c r="D74" s="106" t="s">
        <v>95</v>
      </c>
      <c r="E74" s="105" t="str">
        <f>_xlfn.IFNA(VLOOKUP(C68,$A$8:$G$27,7,FALSE),"")</f>
        <v/>
      </c>
      <c r="F74" s="105" t="s">
        <v>96</v>
      </c>
      <c r="G74" s="105" t="str">
        <f>_xlfn.IFNA(VLOOKUP(C68,$A$8:$J$27,10,FALSE),"")</f>
        <v/>
      </c>
      <c r="H74" s="105" t="s">
        <v>97</v>
      </c>
      <c r="I74" s="10">
        <f>J73/100</f>
        <v>0</v>
      </c>
      <c r="J74" s="107">
        <f>IF(AND(C68&lt;&gt;"",J73&lt;&gt;0),I74*G74,0)</f>
        <v>0</v>
      </c>
      <c r="K74" s="15"/>
      <c r="L74" s="15"/>
      <c r="M74" s="15"/>
      <c r="N74" s="15"/>
      <c r="O74" s="15"/>
      <c r="P74" s="15"/>
      <c r="Q74" s="15"/>
      <c r="R74" s="15"/>
      <c r="S74" s="15"/>
      <c r="T74" s="15"/>
    </row>
    <row r="75" spans="1:20">
      <c r="A75" s="113"/>
      <c r="B75"/>
      <c r="C75"/>
      <c r="D75"/>
      <c r="E75" s="113"/>
      <c r="F75" s="113"/>
      <c r="G75" s="113"/>
      <c r="H75" s="113"/>
      <c r="I75" s="113"/>
      <c r="J75" s="113"/>
      <c r="K75" s="15"/>
      <c r="L75" s="15"/>
      <c r="M75" s="15"/>
      <c r="N75" s="15"/>
      <c r="O75" s="15"/>
      <c r="P75" s="15"/>
      <c r="Q75" s="15"/>
      <c r="R75" s="15"/>
      <c r="S75" s="15"/>
      <c r="T75" s="15"/>
    </row>
    <row r="76" spans="1:20" ht="15" thickBot="1">
      <c r="A76" s="113"/>
      <c r="B76"/>
      <c r="C76"/>
      <c r="D76"/>
      <c r="E76" s="113"/>
      <c r="F76" s="113"/>
      <c r="G76" s="113"/>
      <c r="H76" s="113"/>
      <c r="I76" s="113"/>
      <c r="J76" s="113"/>
      <c r="K76" s="15"/>
      <c r="L76" s="15"/>
      <c r="M76" s="15"/>
      <c r="N76" s="15"/>
      <c r="O76" s="15"/>
      <c r="P76" s="15"/>
      <c r="Q76" s="15"/>
      <c r="R76" s="15"/>
      <c r="S76" s="15"/>
      <c r="T76" s="15"/>
    </row>
    <row r="77" spans="1:20" ht="47.1" thickBot="1">
      <c r="A77" s="90" t="s">
        <v>100</v>
      </c>
      <c r="B77" s="91" t="s">
        <v>81</v>
      </c>
      <c r="C77" s="110" t="s">
        <v>82</v>
      </c>
      <c r="D77" s="110" t="s">
        <v>83</v>
      </c>
      <c r="E77" s="93" t="s">
        <v>84</v>
      </c>
      <c r="F77" s="93" t="s">
        <v>85</v>
      </c>
      <c r="G77" s="93" t="s">
        <v>86</v>
      </c>
      <c r="H77" s="94" t="s">
        <v>87</v>
      </c>
      <c r="I77" s="95" t="s">
        <v>88</v>
      </c>
      <c r="J77" s="95" t="s">
        <v>89</v>
      </c>
      <c r="K77" s="15"/>
      <c r="L77" s="15"/>
      <c r="M77" s="15"/>
      <c r="N77" s="15"/>
      <c r="O77" s="15"/>
      <c r="P77" s="15"/>
      <c r="Q77" s="15"/>
      <c r="R77" s="15"/>
      <c r="S77" s="15"/>
      <c r="T77" s="15"/>
    </row>
    <row r="78" spans="1:20" ht="15.95" thickBot="1">
      <c r="A78" s="96" t="s">
        <v>90</v>
      </c>
      <c r="B78" s="97" t="s">
        <v>91</v>
      </c>
      <c r="C78" s="131" t="s">
        <v>92</v>
      </c>
      <c r="D78" s="132"/>
      <c r="E78" s="132"/>
      <c r="F78" s="132"/>
      <c r="G78" s="132"/>
      <c r="H78" s="132"/>
      <c r="I78" s="133"/>
      <c r="J78" s="112"/>
      <c r="K78" s="15"/>
      <c r="L78" s="15"/>
      <c r="M78" s="15"/>
      <c r="N78" s="15"/>
      <c r="O78" s="15"/>
      <c r="P78" s="15"/>
      <c r="Q78" s="15"/>
      <c r="R78" s="15"/>
      <c r="S78" s="15"/>
      <c r="T78" s="15"/>
    </row>
    <row r="79" spans="1:20" ht="15.6">
      <c r="A79" s="9"/>
      <c r="B79" s="134"/>
      <c r="C79" s="134"/>
      <c r="D79" s="122"/>
      <c r="E79" s="122"/>
      <c r="F79" s="122"/>
      <c r="G79" s="122"/>
      <c r="H79" s="122"/>
      <c r="I79" s="122"/>
      <c r="J79" s="118">
        <f>_xlfn.IFNA(SUM(VLOOKUP(D79,$A$99:$B$105,2,FALSE),VLOOKUP(E79,$A$99:$B$105,2,FALSE),VLOOKUP(F79,$A$99:$B$105,2,FALSE),VLOOKUP(G79,$A$99:$B$105,2,FALSE),VLOOKUP(H79,$A$99:$B$105,2,FALSE),VLOOKUP(I79,$A$99:$B$105,2,FALSE))/(6-COUNTIF(D79:I79,"N/A")-COUNTBLANK(D79:I79)), 0)</f>
        <v>0</v>
      </c>
      <c r="K79" s="15"/>
      <c r="L79" s="15"/>
      <c r="M79" s="15"/>
      <c r="N79" s="15"/>
      <c r="O79" s="15"/>
      <c r="P79" s="15"/>
      <c r="Q79" s="15"/>
      <c r="R79" s="15"/>
      <c r="S79" s="15"/>
      <c r="T79" s="15"/>
    </row>
    <row r="80" spans="1:20" ht="15.6">
      <c r="A80" s="9"/>
      <c r="B80" s="135"/>
      <c r="C80" s="135"/>
      <c r="D80" s="9"/>
      <c r="E80" s="9"/>
      <c r="F80" s="9"/>
      <c r="G80" s="9"/>
      <c r="H80" s="9"/>
      <c r="I80" s="9"/>
      <c r="J80" s="118">
        <f t="shared" ref="J80:J83" si="19">_xlfn.IFNA(SUM(VLOOKUP(D80,$A$99:$B$105,2,FALSE),VLOOKUP(E80,$A$99:$B$105,2,FALSE),VLOOKUP(F80,$A$99:$B$105,2,FALSE),VLOOKUP(G80,$A$99:$B$105,2,FALSE),VLOOKUP(H80,$A$99:$B$105,2,FALSE),VLOOKUP(I80,$A$99:$B$105,2,FALSE))/(6-COUNTIF(D80:I80,"N/A")-COUNTBLANK(D80:I80)), 0)</f>
        <v>0</v>
      </c>
      <c r="K80" s="15"/>
      <c r="L80" s="15"/>
      <c r="M80" s="15"/>
      <c r="N80" s="15"/>
      <c r="O80" s="15"/>
      <c r="P80" s="15"/>
      <c r="Q80" s="15"/>
      <c r="R80" s="15"/>
      <c r="S80" s="15"/>
      <c r="T80" s="15"/>
    </row>
    <row r="81" spans="1:20" ht="15.6">
      <c r="A81" s="9"/>
      <c r="B81" s="135"/>
      <c r="C81" s="135"/>
      <c r="D81" s="9"/>
      <c r="E81" s="9"/>
      <c r="F81" s="9"/>
      <c r="G81" s="9"/>
      <c r="H81" s="9"/>
      <c r="I81" s="9"/>
      <c r="J81" s="118">
        <f t="shared" si="19"/>
        <v>0</v>
      </c>
      <c r="K81" s="15"/>
      <c r="L81" s="15"/>
      <c r="M81" s="15"/>
      <c r="N81" s="15"/>
      <c r="O81" s="15"/>
      <c r="P81" s="15"/>
      <c r="Q81" s="15"/>
      <c r="R81" s="15"/>
      <c r="S81" s="15"/>
      <c r="T81" s="15"/>
    </row>
    <row r="82" spans="1:20" ht="15.6">
      <c r="A82" s="9"/>
      <c r="B82" s="135"/>
      <c r="C82" s="135"/>
      <c r="D82" s="9"/>
      <c r="E82" s="9"/>
      <c r="F82" s="9"/>
      <c r="G82" s="9"/>
      <c r="H82" s="9"/>
      <c r="I82" s="9"/>
      <c r="J82" s="118">
        <f t="shared" si="19"/>
        <v>0</v>
      </c>
      <c r="K82" s="15"/>
      <c r="L82" s="15"/>
      <c r="M82" s="15"/>
      <c r="N82" s="15"/>
      <c r="O82" s="15"/>
      <c r="P82" s="15"/>
      <c r="Q82" s="15"/>
      <c r="R82" s="15"/>
      <c r="S82" s="15"/>
      <c r="T82" s="15"/>
    </row>
    <row r="83" spans="1:20" ht="15.6">
      <c r="A83" s="9"/>
      <c r="B83" s="136"/>
      <c r="C83" s="136"/>
      <c r="D83" s="9"/>
      <c r="E83" s="9"/>
      <c r="F83" s="9"/>
      <c r="G83" s="9"/>
      <c r="H83" s="9"/>
      <c r="I83" s="9"/>
      <c r="J83" s="118">
        <f t="shared" si="19"/>
        <v>0</v>
      </c>
      <c r="K83" s="15"/>
      <c r="L83" s="15"/>
      <c r="M83" s="15"/>
      <c r="N83" s="15"/>
      <c r="O83" s="15"/>
      <c r="P83" s="15"/>
      <c r="Q83" s="15"/>
      <c r="R83" s="15"/>
      <c r="S83" s="15"/>
      <c r="T83" s="15"/>
    </row>
    <row r="84" spans="1:20" ht="15.6">
      <c r="A84" s="99"/>
      <c r="B84" s="100"/>
      <c r="C84" s="100">
        <f>C79</f>
        <v>0</v>
      </c>
      <c r="D84" s="101"/>
      <c r="E84" s="101"/>
      <c r="F84" s="101"/>
      <c r="G84" s="101"/>
      <c r="H84" s="101"/>
      <c r="I84" s="102" t="s">
        <v>93</v>
      </c>
      <c r="J84" s="103">
        <f>IF(SUM(J79:J83)=0,0,SUM(J79:J83)/COUNTIF(J79:J83,"&lt;&gt;0"))</f>
        <v>0</v>
      </c>
      <c r="K84" s="15"/>
      <c r="L84" s="15"/>
      <c r="M84" s="15"/>
      <c r="N84" s="15"/>
      <c r="O84" s="15"/>
      <c r="P84" s="15"/>
      <c r="Q84" s="15"/>
      <c r="R84" s="15"/>
      <c r="S84" s="15"/>
      <c r="T84" s="15"/>
    </row>
    <row r="85" spans="1:20" ht="30.95">
      <c r="A85" s="104"/>
      <c r="B85" s="105" t="s">
        <v>94</v>
      </c>
      <c r="C85" s="106" t="str">
        <f>IF(LEFT(C79,1)="R", "Repair",IF(LEFT(C79,1)="A","Replace",IF(LEFT(C79,1)="S","Spare","")))</f>
        <v/>
      </c>
      <c r="D85" s="106" t="s">
        <v>95</v>
      </c>
      <c r="E85" s="105" t="str">
        <f>_xlfn.IFNA(VLOOKUP(C79,$A$8:$G$27,7,FALSE),"")</f>
        <v/>
      </c>
      <c r="F85" s="105" t="s">
        <v>96</v>
      </c>
      <c r="G85" s="105" t="str">
        <f>_xlfn.IFNA(VLOOKUP(C79,$A$8:$J$27,10,FALSE),"")</f>
        <v/>
      </c>
      <c r="H85" s="105" t="s">
        <v>97</v>
      </c>
      <c r="I85" s="10">
        <f>J84/100</f>
        <v>0</v>
      </c>
      <c r="J85" s="107">
        <f>IF(AND(C79&lt;&gt;"",J84&lt;&gt;0),I85*G85,0)</f>
        <v>0</v>
      </c>
      <c r="K85" s="15"/>
      <c r="L85" s="15"/>
      <c r="M85" s="15"/>
      <c r="N85" s="15"/>
      <c r="O85" s="15"/>
      <c r="P85" s="15"/>
      <c r="Q85" s="15"/>
      <c r="R85" s="15"/>
      <c r="S85" s="15"/>
      <c r="T85" s="15"/>
    </row>
    <row r="86" spans="1:20">
      <c r="A86" s="113"/>
      <c r="B86"/>
      <c r="C86"/>
      <c r="D86"/>
      <c r="E86" s="113"/>
      <c r="F86" s="113"/>
      <c r="G86" s="113"/>
      <c r="H86" s="113"/>
      <c r="I86" s="113"/>
      <c r="J86" s="113"/>
      <c r="K86" s="15"/>
      <c r="L86" s="15"/>
      <c r="M86" s="15"/>
      <c r="N86" s="15"/>
      <c r="O86" s="15"/>
      <c r="P86" s="15"/>
      <c r="Q86" s="15"/>
      <c r="R86" s="15"/>
      <c r="S86" s="15"/>
      <c r="T86" s="15"/>
    </row>
    <row r="87" spans="1:20" ht="15" thickBot="1">
      <c r="A87" s="113"/>
      <c r="B87"/>
      <c r="C87"/>
      <c r="D87"/>
      <c r="E87" s="113"/>
      <c r="F87" s="113"/>
      <c r="G87" s="113"/>
      <c r="H87" s="113"/>
      <c r="I87" s="113"/>
      <c r="J87" s="113"/>
      <c r="K87" s="15"/>
      <c r="L87" s="15"/>
      <c r="M87" s="15"/>
      <c r="N87" s="15"/>
      <c r="O87" s="15"/>
      <c r="P87" s="15"/>
      <c r="Q87" s="15"/>
      <c r="R87" s="15"/>
      <c r="S87" s="15"/>
      <c r="T87" s="15"/>
    </row>
    <row r="88" spans="1:20" ht="47.1" thickBot="1">
      <c r="A88" s="90" t="s">
        <v>101</v>
      </c>
      <c r="B88" s="91" t="s">
        <v>81</v>
      </c>
      <c r="C88" s="110" t="s">
        <v>82</v>
      </c>
      <c r="D88" s="110" t="s">
        <v>83</v>
      </c>
      <c r="E88" s="93" t="s">
        <v>84</v>
      </c>
      <c r="F88" s="93" t="s">
        <v>85</v>
      </c>
      <c r="G88" s="93" t="s">
        <v>86</v>
      </c>
      <c r="H88" s="94" t="s">
        <v>87</v>
      </c>
      <c r="I88" s="95" t="s">
        <v>88</v>
      </c>
      <c r="J88" s="95" t="s">
        <v>89</v>
      </c>
      <c r="K88" s="15"/>
      <c r="L88" s="15"/>
      <c r="M88" s="15"/>
      <c r="N88" s="15"/>
      <c r="O88" s="15"/>
      <c r="P88" s="15"/>
      <c r="Q88" s="15"/>
      <c r="R88" s="15"/>
      <c r="S88" s="15"/>
      <c r="T88" s="15"/>
    </row>
    <row r="89" spans="1:20" ht="15.95" thickBot="1">
      <c r="A89" s="96" t="s">
        <v>90</v>
      </c>
      <c r="B89" s="97" t="s">
        <v>91</v>
      </c>
      <c r="C89" s="131" t="s">
        <v>92</v>
      </c>
      <c r="D89" s="132"/>
      <c r="E89" s="132"/>
      <c r="F89" s="132"/>
      <c r="G89" s="132"/>
      <c r="H89" s="132"/>
      <c r="I89" s="133"/>
      <c r="J89" s="112"/>
      <c r="K89" s="15"/>
      <c r="L89" s="15"/>
      <c r="M89" s="15"/>
      <c r="N89" s="15"/>
      <c r="O89" s="15"/>
      <c r="P89" s="15"/>
      <c r="Q89" s="15"/>
      <c r="R89" s="15"/>
      <c r="S89" s="15"/>
      <c r="T89" s="15"/>
    </row>
    <row r="90" spans="1:20" ht="15.6">
      <c r="A90" s="9"/>
      <c r="B90" s="134"/>
      <c r="C90" s="134"/>
      <c r="D90" s="122"/>
      <c r="E90" s="122"/>
      <c r="F90" s="122"/>
      <c r="G90" s="122"/>
      <c r="H90" s="122"/>
      <c r="I90" s="122"/>
      <c r="J90" s="118">
        <f>_xlfn.IFNA(SUM(VLOOKUP(D90,$A$99:$B$105,2,FALSE),VLOOKUP(E90,$A$99:$B$105,2,FALSE),VLOOKUP(F90,$A$99:$B$105,2,FALSE),VLOOKUP(G90,$A$99:$B$105,2,FALSE),VLOOKUP(H90,$A$99:$B$105,2,FALSE),VLOOKUP(I90,$A$99:$B$105,2,FALSE))/(6-COUNTIF(D90:I90,"N/A")-COUNTBLANK(D90:I90)), 0)</f>
        <v>0</v>
      </c>
      <c r="K90" s="15"/>
      <c r="L90" s="15"/>
      <c r="M90" s="15"/>
      <c r="N90" s="15"/>
      <c r="O90" s="15"/>
      <c r="P90" s="15"/>
      <c r="Q90" s="15"/>
      <c r="R90" s="15"/>
      <c r="S90" s="15"/>
      <c r="T90" s="15"/>
    </row>
    <row r="91" spans="1:20" ht="15.6">
      <c r="A91" s="9"/>
      <c r="B91" s="135"/>
      <c r="C91" s="135"/>
      <c r="D91" s="9"/>
      <c r="E91" s="9"/>
      <c r="F91" s="9"/>
      <c r="G91" s="9"/>
      <c r="H91" s="9"/>
      <c r="I91" s="9"/>
      <c r="J91" s="118">
        <f t="shared" ref="J91:J94" si="20">_xlfn.IFNA(SUM(VLOOKUP(D91,$A$99:$B$105,2,FALSE),VLOOKUP(E91,$A$99:$B$105,2,FALSE),VLOOKUP(F91,$A$99:$B$105,2,FALSE),VLOOKUP(G91,$A$99:$B$105,2,FALSE),VLOOKUP(H91,$A$99:$B$105,2,FALSE),VLOOKUP(I91,$A$99:$B$105,2,FALSE))/(6-COUNTIF(D91:I91,"N/A")-COUNTBLANK(D91:I91)), 0)</f>
        <v>0</v>
      </c>
      <c r="K91" s="15"/>
      <c r="L91" s="15"/>
      <c r="M91" s="15"/>
      <c r="N91" s="15"/>
      <c r="O91" s="15"/>
      <c r="P91" s="15"/>
      <c r="Q91" s="15"/>
      <c r="R91" s="15"/>
      <c r="S91" s="15"/>
      <c r="T91" s="15"/>
    </row>
    <row r="92" spans="1:20" ht="15.6">
      <c r="A92" s="9"/>
      <c r="B92" s="135"/>
      <c r="C92" s="135"/>
      <c r="D92" s="9"/>
      <c r="E92" s="9"/>
      <c r="F92" s="9"/>
      <c r="G92" s="9"/>
      <c r="H92" s="9"/>
      <c r="I92" s="9"/>
      <c r="J92" s="118">
        <f t="shared" si="20"/>
        <v>0</v>
      </c>
      <c r="K92" s="15"/>
      <c r="L92" s="15"/>
      <c r="M92" s="15"/>
      <c r="N92" s="15"/>
      <c r="O92" s="15"/>
      <c r="P92" s="15"/>
      <c r="Q92" s="15"/>
      <c r="R92" s="15"/>
      <c r="S92" s="15"/>
      <c r="T92" s="15"/>
    </row>
    <row r="93" spans="1:20" ht="15.6">
      <c r="A93" s="9"/>
      <c r="B93" s="135"/>
      <c r="C93" s="135"/>
      <c r="D93" s="9"/>
      <c r="E93" s="9"/>
      <c r="F93" s="9"/>
      <c r="G93" s="9"/>
      <c r="H93" s="9"/>
      <c r="I93" s="9"/>
      <c r="J93" s="118">
        <f t="shared" si="20"/>
        <v>0</v>
      </c>
      <c r="K93" s="15"/>
      <c r="L93" s="15"/>
      <c r="M93" s="15"/>
      <c r="N93" s="15"/>
      <c r="O93" s="15"/>
      <c r="P93" s="15"/>
      <c r="Q93" s="15"/>
      <c r="R93" s="15"/>
      <c r="S93" s="15"/>
      <c r="T93" s="15"/>
    </row>
    <row r="94" spans="1:20" ht="15.6">
      <c r="A94" s="9"/>
      <c r="B94" s="136"/>
      <c r="C94" s="136"/>
      <c r="D94" s="9"/>
      <c r="E94" s="9"/>
      <c r="F94" s="9"/>
      <c r="G94" s="9"/>
      <c r="H94" s="9"/>
      <c r="I94" s="9"/>
      <c r="J94" s="118">
        <f t="shared" si="20"/>
        <v>0</v>
      </c>
      <c r="K94" s="15"/>
      <c r="L94" s="15"/>
      <c r="M94" s="15"/>
      <c r="N94" s="15"/>
      <c r="O94" s="15"/>
      <c r="P94" s="15"/>
      <c r="Q94" s="15"/>
      <c r="R94" s="15"/>
      <c r="S94" s="15"/>
      <c r="T94" s="15"/>
    </row>
    <row r="95" spans="1:20" ht="15.6">
      <c r="A95" s="99"/>
      <c r="B95" s="100"/>
      <c r="C95" s="100">
        <f>C90</f>
        <v>0</v>
      </c>
      <c r="D95" s="101"/>
      <c r="E95" s="101"/>
      <c r="F95" s="101"/>
      <c r="G95" s="101"/>
      <c r="H95" s="101"/>
      <c r="I95" s="102" t="s">
        <v>93</v>
      </c>
      <c r="J95" s="103">
        <f>IF(SUM(J90:J94)=0,0,SUM(J90:J94)/COUNTIF(J90:J94,"&lt;&gt;0"))</f>
        <v>0</v>
      </c>
      <c r="K95" s="15"/>
      <c r="L95" s="15"/>
      <c r="M95" s="15"/>
      <c r="N95" s="15"/>
      <c r="O95" s="15"/>
      <c r="P95" s="15"/>
      <c r="Q95" s="15"/>
      <c r="R95" s="15"/>
      <c r="S95" s="15"/>
      <c r="T95" s="15"/>
    </row>
    <row r="96" spans="1:20" ht="30.95">
      <c r="A96" s="104"/>
      <c r="B96" s="105" t="s">
        <v>94</v>
      </c>
      <c r="C96" s="106" t="str">
        <f>IF(LEFT(C90,1)="R", "Repair",IF(LEFT(C90,1)="A","Replace",IF(LEFT(C90,1)="S","Spare","")))</f>
        <v/>
      </c>
      <c r="D96" s="106" t="s">
        <v>95</v>
      </c>
      <c r="E96" s="105" t="str">
        <f>_xlfn.IFNA(VLOOKUP(C90,$A$8:$G$27,7,FALSE),"")</f>
        <v/>
      </c>
      <c r="F96" s="105" t="s">
        <v>96</v>
      </c>
      <c r="G96" s="105" t="str">
        <f>_xlfn.IFNA(VLOOKUP(C90,$A$8:$J$27,10,FALSE),"")</f>
        <v/>
      </c>
      <c r="H96" s="105" t="s">
        <v>97</v>
      </c>
      <c r="I96" s="10">
        <f>J95/100</f>
        <v>0</v>
      </c>
      <c r="J96" s="107">
        <f>IF(AND(C90&lt;&gt;"",J95&lt;&gt;0),I96*G96,0)</f>
        <v>0</v>
      </c>
      <c r="K96" s="15"/>
      <c r="L96" s="15"/>
      <c r="M96" s="15"/>
      <c r="N96" s="15"/>
      <c r="O96" s="15"/>
      <c r="P96" s="15"/>
      <c r="Q96" s="15"/>
      <c r="R96" s="15"/>
      <c r="S96" s="15"/>
      <c r="T96" s="15"/>
    </row>
    <row r="97" spans="1:20" ht="15.6">
      <c r="A97" s="114"/>
      <c r="B97" s="115"/>
      <c r="C97" s="115"/>
      <c r="D97" s="116"/>
      <c r="E97" s="116"/>
      <c r="F97" s="116"/>
      <c r="G97" s="116"/>
      <c r="H97" s="116"/>
      <c r="I97" s="116"/>
      <c r="J97" s="117"/>
      <c r="K97" s="15"/>
      <c r="L97" s="15"/>
      <c r="M97" s="15"/>
      <c r="N97" s="15"/>
      <c r="O97" s="15"/>
      <c r="P97" s="15"/>
      <c r="Q97" s="15"/>
      <c r="R97" s="15"/>
      <c r="S97" s="15"/>
      <c r="T97" s="15"/>
    </row>
    <row r="98" spans="1:20">
      <c r="G98" s="15"/>
      <c r="H98" s="15"/>
      <c r="I98" s="15"/>
      <c r="J98" s="15"/>
      <c r="K98" s="15"/>
      <c r="L98" s="15"/>
      <c r="M98" s="15"/>
      <c r="N98" s="15"/>
      <c r="O98" s="15"/>
      <c r="P98" s="15"/>
      <c r="Q98" s="15"/>
      <c r="R98" s="15"/>
      <c r="S98" s="15"/>
      <c r="T98" s="15"/>
    </row>
    <row r="99" spans="1:20">
      <c r="A99" s="24" t="s">
        <v>102</v>
      </c>
      <c r="B99" s="25">
        <v>50</v>
      </c>
      <c r="G99" s="15"/>
      <c r="H99" s="15"/>
      <c r="I99" s="15"/>
      <c r="J99" s="15"/>
      <c r="K99" s="15"/>
      <c r="L99" s="15"/>
      <c r="M99" s="15"/>
      <c r="N99" s="15"/>
      <c r="O99" s="15"/>
      <c r="P99" s="15"/>
      <c r="Q99" s="15"/>
      <c r="R99" s="15"/>
      <c r="S99" s="15"/>
      <c r="T99" s="15"/>
    </row>
    <row r="100" spans="1:20">
      <c r="A100" s="24" t="s">
        <v>103</v>
      </c>
      <c r="B100" s="25">
        <v>40</v>
      </c>
      <c r="G100" s="15"/>
      <c r="H100" s="15"/>
      <c r="I100" s="15"/>
      <c r="J100" s="15"/>
      <c r="K100" s="15"/>
      <c r="L100" s="15"/>
      <c r="M100" s="15"/>
      <c r="N100" s="15"/>
      <c r="O100" s="15"/>
      <c r="P100" s="15"/>
      <c r="Q100" s="15"/>
      <c r="R100" s="15"/>
      <c r="S100" s="15"/>
      <c r="T100" s="15"/>
    </row>
    <row r="101" spans="1:20">
      <c r="A101" s="24" t="s">
        <v>104</v>
      </c>
      <c r="B101" s="25">
        <v>20</v>
      </c>
      <c r="G101" s="15"/>
      <c r="H101" s="15"/>
      <c r="I101" s="15"/>
      <c r="J101" s="15"/>
      <c r="K101" s="15"/>
      <c r="L101" s="15"/>
      <c r="M101" s="15"/>
      <c r="N101" s="15"/>
      <c r="O101" s="15"/>
      <c r="P101" s="15"/>
      <c r="Q101" s="15"/>
      <c r="R101" s="15"/>
      <c r="S101" s="15"/>
      <c r="T101" s="15"/>
    </row>
    <row r="102" spans="1:20">
      <c r="A102" s="24" t="s">
        <v>105</v>
      </c>
      <c r="B102" s="25">
        <v>0</v>
      </c>
      <c r="G102" s="15"/>
      <c r="H102" s="15"/>
      <c r="I102" s="15"/>
      <c r="J102" s="15"/>
      <c r="K102" s="15"/>
      <c r="L102" s="15"/>
      <c r="M102" s="15"/>
      <c r="N102" s="15"/>
      <c r="O102" s="15"/>
      <c r="P102" s="15"/>
      <c r="Q102" s="15"/>
      <c r="R102" s="15"/>
      <c r="S102" s="15"/>
      <c r="T102" s="15"/>
    </row>
    <row r="103" spans="1:20">
      <c r="A103" s="24" t="s">
        <v>106</v>
      </c>
      <c r="B103" s="25">
        <v>-5</v>
      </c>
      <c r="G103" s="15"/>
      <c r="H103" s="15"/>
      <c r="I103" s="15"/>
      <c r="J103" s="15"/>
      <c r="K103" s="15"/>
      <c r="L103" s="15"/>
      <c r="M103" s="15"/>
      <c r="N103" s="15"/>
      <c r="O103" s="15"/>
      <c r="P103" s="15"/>
      <c r="Q103" s="15"/>
      <c r="R103" s="15"/>
      <c r="S103" s="15"/>
      <c r="T103" s="15"/>
    </row>
    <row r="104" spans="1:20">
      <c r="A104" s="24" t="s">
        <v>107</v>
      </c>
      <c r="B104" s="25">
        <v>0</v>
      </c>
      <c r="G104" s="15"/>
      <c r="H104" s="15"/>
      <c r="I104" s="15"/>
      <c r="J104" s="15"/>
      <c r="K104" s="15"/>
      <c r="L104" s="15"/>
      <c r="M104" s="15"/>
      <c r="N104" s="15"/>
      <c r="O104" s="15"/>
      <c r="P104" s="15"/>
      <c r="Q104" s="15"/>
      <c r="R104" s="15"/>
      <c r="S104" s="15"/>
      <c r="T104" s="15"/>
    </row>
    <row r="105" spans="1:20">
      <c r="A105" s="24" t="s">
        <v>108</v>
      </c>
      <c r="B105" s="25">
        <v>0</v>
      </c>
      <c r="G105" s="15"/>
      <c r="H105" s="15"/>
      <c r="I105" s="15"/>
      <c r="J105" s="15"/>
      <c r="K105" s="15"/>
      <c r="L105" s="15"/>
      <c r="M105" s="15"/>
      <c r="N105" s="15"/>
      <c r="O105" s="15"/>
      <c r="P105" s="15"/>
      <c r="Q105" s="15"/>
      <c r="R105" s="15"/>
      <c r="S105" s="15"/>
      <c r="T105" s="15"/>
    </row>
    <row r="106" spans="1:20">
      <c r="A106" s="24"/>
      <c r="B106" s="26"/>
      <c r="G106" s="15"/>
      <c r="H106" s="15"/>
      <c r="I106" s="15"/>
      <c r="J106" s="15"/>
      <c r="K106" s="15"/>
      <c r="L106" s="15"/>
      <c r="M106" s="15"/>
      <c r="N106" s="15"/>
      <c r="O106" s="15"/>
      <c r="P106" s="15"/>
      <c r="Q106" s="15"/>
      <c r="R106" s="15"/>
      <c r="S106" s="15"/>
      <c r="T106" s="15"/>
    </row>
    <row r="107" spans="1:20">
      <c r="A107" s="24" t="s">
        <v>31</v>
      </c>
      <c r="B107" s="26"/>
      <c r="G107" s="15"/>
      <c r="H107" s="15"/>
      <c r="I107" s="15"/>
      <c r="J107" s="15"/>
      <c r="K107" s="15"/>
      <c r="L107" s="15"/>
      <c r="M107" s="15"/>
      <c r="N107" s="15"/>
      <c r="O107" s="15"/>
      <c r="P107" s="15"/>
      <c r="Q107" s="15"/>
      <c r="R107" s="15"/>
      <c r="S107" s="15"/>
      <c r="T107" s="15"/>
    </row>
    <row r="108" spans="1:20">
      <c r="A108" s="24" t="s">
        <v>33</v>
      </c>
      <c r="B108" s="26"/>
      <c r="G108" s="15"/>
      <c r="H108" s="15"/>
      <c r="I108" s="15"/>
      <c r="J108" s="15"/>
      <c r="K108" s="15"/>
      <c r="L108" s="15"/>
      <c r="M108" s="15"/>
      <c r="N108" s="15"/>
      <c r="O108" s="15"/>
      <c r="P108" s="15"/>
      <c r="Q108" s="15"/>
      <c r="R108" s="15"/>
      <c r="S108" s="15"/>
      <c r="T108" s="15"/>
    </row>
    <row r="109" spans="1:20">
      <c r="A109" s="24" t="s">
        <v>35</v>
      </c>
      <c r="B109" s="26"/>
      <c r="G109" s="15"/>
      <c r="H109" s="15"/>
      <c r="I109" s="15"/>
      <c r="J109" s="15"/>
      <c r="K109" s="15"/>
      <c r="L109" s="15"/>
      <c r="M109" s="15"/>
      <c r="N109" s="15"/>
      <c r="O109" s="15"/>
      <c r="P109" s="15"/>
      <c r="Q109" s="15"/>
      <c r="R109" s="15"/>
      <c r="S109" s="15"/>
      <c r="T109" s="15"/>
    </row>
    <row r="110" spans="1:20">
      <c r="A110" s="24" t="s">
        <v>37</v>
      </c>
      <c r="B110" s="26"/>
      <c r="G110" s="15"/>
      <c r="H110" s="15"/>
      <c r="I110" s="15"/>
      <c r="J110" s="15"/>
      <c r="K110" s="15"/>
      <c r="L110" s="15"/>
      <c r="M110" s="15"/>
      <c r="N110" s="15"/>
      <c r="O110" s="15"/>
      <c r="P110" s="15"/>
      <c r="Q110" s="15"/>
      <c r="R110" s="15"/>
      <c r="S110" s="15"/>
      <c r="T110" s="15"/>
    </row>
    <row r="111" spans="1:20">
      <c r="A111" s="24" t="s">
        <v>39</v>
      </c>
      <c r="B111" s="26"/>
      <c r="G111" s="15"/>
      <c r="H111" s="15"/>
      <c r="I111" s="15"/>
      <c r="J111" s="15"/>
      <c r="K111" s="15"/>
      <c r="L111" s="15"/>
      <c r="M111" s="15"/>
      <c r="N111" s="15"/>
      <c r="O111" s="15"/>
      <c r="P111" s="15"/>
      <c r="Q111" s="15"/>
      <c r="R111" s="15"/>
      <c r="S111" s="15"/>
      <c r="T111" s="15"/>
    </row>
    <row r="112" spans="1:20">
      <c r="A112" s="24" t="s">
        <v>41</v>
      </c>
      <c r="B112" s="26"/>
      <c r="G112" s="15"/>
      <c r="H112" s="15"/>
      <c r="I112" s="15"/>
      <c r="J112" s="15"/>
      <c r="K112" s="15"/>
      <c r="L112" s="15"/>
      <c r="M112" s="15"/>
      <c r="N112" s="15"/>
      <c r="O112" s="15"/>
      <c r="P112" s="15"/>
      <c r="Q112" s="15"/>
      <c r="R112" s="15"/>
      <c r="S112" s="15"/>
      <c r="T112" s="15"/>
    </row>
    <row r="113" spans="1:20">
      <c r="A113" s="24" t="s">
        <v>43</v>
      </c>
      <c r="B113" s="26"/>
      <c r="G113" s="15"/>
      <c r="H113" s="15"/>
      <c r="I113" s="15"/>
      <c r="J113" s="15"/>
      <c r="K113" s="15"/>
      <c r="L113" s="15"/>
      <c r="M113" s="15"/>
      <c r="N113" s="15"/>
      <c r="O113" s="15"/>
      <c r="P113" s="15"/>
      <c r="Q113" s="15"/>
      <c r="R113" s="15"/>
      <c r="S113" s="15"/>
      <c r="T113" s="15"/>
    </row>
    <row r="114" spans="1:20">
      <c r="A114" s="24" t="s">
        <v>47</v>
      </c>
      <c r="B114" s="26"/>
      <c r="G114" s="15"/>
      <c r="H114" s="15"/>
      <c r="I114" s="15"/>
      <c r="J114" s="15"/>
      <c r="K114" s="15"/>
      <c r="L114" s="15"/>
      <c r="M114" s="15"/>
      <c r="N114" s="15"/>
      <c r="O114" s="15"/>
      <c r="P114" s="15"/>
      <c r="Q114" s="15"/>
      <c r="R114" s="15"/>
      <c r="S114" s="15"/>
      <c r="T114" s="15"/>
    </row>
    <row r="115" spans="1:20">
      <c r="A115" s="24" t="s">
        <v>49</v>
      </c>
      <c r="B115" s="26"/>
      <c r="G115" s="15"/>
      <c r="H115" s="15"/>
      <c r="I115" s="15"/>
      <c r="J115" s="15"/>
      <c r="K115" s="15"/>
      <c r="L115" s="15"/>
      <c r="M115" s="15"/>
      <c r="N115" s="15"/>
      <c r="O115" s="15"/>
      <c r="P115" s="15"/>
      <c r="Q115" s="15"/>
      <c r="R115" s="15"/>
      <c r="S115" s="15"/>
      <c r="T115" s="15"/>
    </row>
    <row r="116" spans="1:20">
      <c r="A116" s="24" t="s">
        <v>51</v>
      </c>
      <c r="B116" s="26"/>
      <c r="G116" s="15"/>
      <c r="H116" s="15"/>
      <c r="I116" s="15"/>
      <c r="J116" s="15"/>
      <c r="K116" s="15"/>
      <c r="L116" s="15"/>
      <c r="M116" s="15"/>
      <c r="N116" s="15"/>
      <c r="O116" s="15"/>
      <c r="P116" s="15"/>
      <c r="Q116" s="15"/>
      <c r="R116" s="15"/>
      <c r="S116" s="15"/>
      <c r="T116" s="15"/>
    </row>
    <row r="117" spans="1:20">
      <c r="A117" s="24" t="s">
        <v>53</v>
      </c>
      <c r="B117" s="26"/>
      <c r="G117" s="15"/>
      <c r="H117" s="15"/>
      <c r="I117" s="15"/>
      <c r="J117" s="15"/>
      <c r="K117" s="15"/>
      <c r="L117" s="15"/>
      <c r="M117" s="15"/>
      <c r="N117" s="15"/>
      <c r="O117" s="15"/>
      <c r="P117" s="15"/>
      <c r="Q117" s="15"/>
      <c r="R117" s="15"/>
      <c r="S117" s="15"/>
      <c r="T117" s="15"/>
    </row>
    <row r="118" spans="1:20">
      <c r="A118" s="24" t="s">
        <v>55</v>
      </c>
      <c r="B118" s="26"/>
      <c r="G118" s="15"/>
      <c r="H118" s="15"/>
      <c r="I118" s="15"/>
      <c r="J118" s="15"/>
      <c r="K118" s="15"/>
      <c r="L118" s="15"/>
      <c r="M118" s="15"/>
      <c r="N118" s="15"/>
      <c r="O118" s="15"/>
      <c r="P118" s="15"/>
      <c r="Q118" s="15"/>
      <c r="R118" s="15"/>
      <c r="S118" s="15"/>
      <c r="T118" s="15"/>
    </row>
    <row r="119" spans="1:20">
      <c r="A119" s="24" t="s">
        <v>57</v>
      </c>
      <c r="B119" s="26"/>
      <c r="G119" s="15"/>
      <c r="H119" s="15"/>
      <c r="I119" s="15"/>
      <c r="J119" s="15"/>
      <c r="K119" s="15"/>
      <c r="L119" s="15"/>
      <c r="M119" s="15"/>
      <c r="N119" s="15"/>
      <c r="O119" s="15"/>
      <c r="P119" s="15"/>
      <c r="Q119" s="15"/>
      <c r="R119" s="15"/>
      <c r="S119" s="15"/>
      <c r="T119" s="15"/>
    </row>
    <row r="120" spans="1:20">
      <c r="A120" s="24" t="s">
        <v>61</v>
      </c>
      <c r="B120" s="26"/>
      <c r="G120" s="15"/>
      <c r="H120" s="15"/>
      <c r="I120" s="15"/>
      <c r="J120" s="15"/>
      <c r="K120" s="15"/>
      <c r="L120" s="15"/>
      <c r="M120" s="15"/>
      <c r="N120" s="15"/>
      <c r="O120" s="15"/>
      <c r="P120" s="15"/>
      <c r="Q120" s="15"/>
      <c r="R120" s="15"/>
      <c r="S120" s="15"/>
      <c r="T120" s="15"/>
    </row>
    <row r="121" spans="1:20">
      <c r="A121" s="24" t="s">
        <v>63</v>
      </c>
      <c r="B121" s="26"/>
      <c r="G121" s="15"/>
      <c r="H121" s="15"/>
      <c r="I121" s="15"/>
      <c r="J121" s="15"/>
      <c r="K121" s="15"/>
      <c r="L121" s="15"/>
      <c r="M121" s="15"/>
      <c r="N121" s="15"/>
      <c r="O121" s="15"/>
      <c r="P121" s="15"/>
      <c r="Q121" s="15"/>
      <c r="R121" s="15"/>
      <c r="S121" s="15"/>
      <c r="T121" s="15"/>
    </row>
    <row r="122" spans="1:20">
      <c r="A122" s="24" t="s">
        <v>65</v>
      </c>
      <c r="B122" s="26"/>
      <c r="G122" s="15"/>
      <c r="H122" s="15"/>
      <c r="I122" s="15"/>
      <c r="J122" s="15"/>
      <c r="K122" s="15"/>
      <c r="L122" s="15"/>
      <c r="M122" s="15"/>
      <c r="N122" s="15"/>
      <c r="O122" s="15"/>
      <c r="P122" s="15"/>
      <c r="Q122" s="15"/>
      <c r="R122" s="15"/>
      <c r="S122" s="15"/>
      <c r="T122" s="15"/>
    </row>
    <row r="123" spans="1:20">
      <c r="G123" s="15"/>
      <c r="H123" s="15"/>
      <c r="I123" s="15"/>
      <c r="J123" s="15"/>
      <c r="K123" s="15"/>
      <c r="L123" s="15"/>
      <c r="M123" s="15"/>
      <c r="N123" s="15"/>
      <c r="O123" s="15"/>
      <c r="P123" s="15"/>
      <c r="Q123" s="15"/>
      <c r="R123" s="15"/>
      <c r="S123" s="15"/>
      <c r="T123" s="15"/>
    </row>
    <row r="124" spans="1:20">
      <c r="G124" s="15"/>
      <c r="H124" s="15"/>
      <c r="I124" s="15"/>
      <c r="J124" s="15"/>
      <c r="K124" s="15"/>
      <c r="L124" s="15"/>
      <c r="M124" s="15"/>
      <c r="N124" s="15"/>
      <c r="O124" s="15"/>
      <c r="P124" s="15"/>
      <c r="Q124" s="15"/>
      <c r="R124" s="15"/>
      <c r="S124" s="15"/>
      <c r="T124" s="15"/>
    </row>
    <row r="125" spans="1:20">
      <c r="G125" s="15"/>
      <c r="H125" s="15"/>
      <c r="I125" s="15"/>
      <c r="J125" s="15"/>
      <c r="K125" s="15"/>
      <c r="L125" s="15"/>
      <c r="M125" s="15"/>
      <c r="N125" s="15"/>
      <c r="O125" s="15"/>
      <c r="P125" s="15"/>
      <c r="Q125" s="15"/>
      <c r="R125" s="15"/>
      <c r="S125" s="15"/>
      <c r="T125" s="15"/>
    </row>
    <row r="126" spans="1:20">
      <c r="G126" s="15"/>
      <c r="H126" s="15"/>
      <c r="I126" s="15"/>
      <c r="J126" s="15"/>
      <c r="K126" s="15"/>
      <c r="L126" s="15"/>
      <c r="M126" s="15"/>
      <c r="N126" s="15"/>
      <c r="O126" s="15"/>
      <c r="P126" s="15"/>
      <c r="Q126" s="15"/>
      <c r="R126" s="15"/>
      <c r="S126" s="15"/>
      <c r="T126" s="15"/>
    </row>
    <row r="127" spans="1:20">
      <c r="G127" s="15"/>
      <c r="H127" s="15"/>
      <c r="I127" s="15"/>
      <c r="J127" s="15"/>
      <c r="K127" s="15"/>
      <c r="L127" s="15"/>
      <c r="M127" s="15"/>
      <c r="N127" s="15"/>
      <c r="O127" s="15"/>
      <c r="P127" s="15"/>
      <c r="Q127" s="15"/>
      <c r="R127" s="15"/>
      <c r="S127" s="15"/>
      <c r="T127" s="15"/>
    </row>
    <row r="128" spans="1:20">
      <c r="G128" s="15"/>
      <c r="H128" s="15"/>
      <c r="I128" s="15"/>
      <c r="J128" s="15"/>
      <c r="K128" s="15"/>
      <c r="L128" s="15"/>
      <c r="M128" s="15"/>
      <c r="N128" s="15"/>
      <c r="O128" s="15"/>
      <c r="P128" s="15"/>
      <c r="Q128" s="15"/>
      <c r="R128" s="15"/>
      <c r="S128" s="15"/>
      <c r="T128" s="15"/>
    </row>
    <row r="129" spans="7:20">
      <c r="G129" s="15"/>
      <c r="H129" s="15"/>
      <c r="I129" s="15"/>
      <c r="J129" s="15"/>
      <c r="K129" s="15"/>
      <c r="L129" s="15"/>
      <c r="M129" s="15"/>
      <c r="N129" s="15"/>
      <c r="O129" s="15"/>
      <c r="P129" s="15"/>
      <c r="Q129" s="15"/>
      <c r="R129" s="15"/>
      <c r="S129" s="15"/>
      <c r="T129" s="15"/>
    </row>
    <row r="130" spans="7:20">
      <c r="G130" s="15"/>
      <c r="H130" s="15"/>
      <c r="I130" s="15"/>
      <c r="J130" s="15"/>
      <c r="K130" s="15"/>
      <c r="L130" s="15"/>
      <c r="M130" s="15"/>
      <c r="N130" s="15"/>
      <c r="O130" s="15"/>
      <c r="P130" s="15"/>
      <c r="Q130" s="15"/>
      <c r="R130" s="15"/>
      <c r="S130" s="15"/>
      <c r="T130" s="15"/>
    </row>
    <row r="131" spans="7:20">
      <c r="G131" s="15"/>
      <c r="H131" s="15"/>
      <c r="I131" s="15"/>
      <c r="J131" s="15"/>
      <c r="K131" s="15"/>
      <c r="L131" s="15"/>
      <c r="M131" s="15"/>
      <c r="N131" s="15"/>
      <c r="O131" s="15"/>
      <c r="P131" s="15"/>
      <c r="Q131" s="15"/>
      <c r="R131" s="15"/>
      <c r="S131" s="15"/>
      <c r="T131" s="15"/>
    </row>
    <row r="132" spans="7:20">
      <c r="G132" s="15"/>
      <c r="H132" s="15"/>
      <c r="I132" s="15"/>
      <c r="J132" s="15"/>
      <c r="K132" s="15"/>
      <c r="L132" s="15"/>
      <c r="M132" s="15"/>
      <c r="N132" s="15"/>
      <c r="O132" s="15"/>
      <c r="P132" s="15"/>
      <c r="Q132" s="15"/>
      <c r="R132" s="15"/>
      <c r="S132" s="15"/>
      <c r="T132" s="15"/>
    </row>
    <row r="133" spans="7:20">
      <c r="G133" s="15"/>
      <c r="H133" s="15"/>
      <c r="I133" s="15"/>
      <c r="J133" s="15"/>
      <c r="K133" s="15"/>
      <c r="L133" s="15"/>
      <c r="M133" s="15"/>
      <c r="N133" s="15"/>
      <c r="O133" s="15"/>
      <c r="P133" s="15"/>
      <c r="Q133" s="15"/>
      <c r="R133" s="15"/>
      <c r="S133" s="15"/>
      <c r="T133" s="15"/>
    </row>
    <row r="134" spans="7:20">
      <c r="G134" s="15"/>
      <c r="H134" s="15"/>
      <c r="I134" s="15"/>
      <c r="J134" s="15"/>
      <c r="K134" s="15"/>
      <c r="L134" s="15"/>
      <c r="M134" s="15"/>
      <c r="N134" s="15"/>
      <c r="O134" s="15"/>
      <c r="P134" s="15"/>
      <c r="Q134" s="15"/>
      <c r="R134" s="15"/>
      <c r="S134" s="15"/>
      <c r="T134" s="15"/>
    </row>
    <row r="135" spans="7:20">
      <c r="G135" s="15"/>
      <c r="H135" s="15"/>
      <c r="I135" s="15"/>
      <c r="J135" s="15"/>
      <c r="K135" s="15"/>
      <c r="L135" s="15"/>
      <c r="M135" s="15"/>
      <c r="N135" s="15"/>
      <c r="O135" s="15"/>
      <c r="P135" s="15"/>
      <c r="Q135" s="15"/>
      <c r="R135" s="15"/>
      <c r="S135" s="15"/>
      <c r="T135" s="15"/>
    </row>
    <row r="136" spans="7:20">
      <c r="G136" s="15"/>
      <c r="H136" s="15"/>
      <c r="I136" s="15"/>
      <c r="J136" s="15"/>
      <c r="K136" s="15"/>
      <c r="L136" s="15"/>
      <c r="M136" s="15"/>
      <c r="N136" s="15"/>
      <c r="O136" s="15"/>
      <c r="P136" s="15"/>
      <c r="Q136" s="15"/>
      <c r="R136" s="15"/>
      <c r="S136" s="15"/>
      <c r="T136" s="15"/>
    </row>
    <row r="137" spans="7:20">
      <c r="G137" s="15"/>
      <c r="H137" s="15"/>
      <c r="I137" s="15"/>
      <c r="J137" s="15"/>
      <c r="K137" s="15"/>
      <c r="L137" s="15"/>
      <c r="M137" s="15"/>
      <c r="N137" s="15"/>
      <c r="O137" s="15"/>
      <c r="P137" s="15"/>
      <c r="Q137" s="15"/>
      <c r="R137" s="15"/>
      <c r="S137" s="15"/>
      <c r="T137" s="15"/>
    </row>
    <row r="138" spans="7:20">
      <c r="G138" s="15"/>
      <c r="H138" s="15"/>
      <c r="I138" s="15"/>
      <c r="J138" s="15"/>
      <c r="K138" s="15"/>
      <c r="L138" s="15"/>
      <c r="M138" s="15"/>
      <c r="N138" s="15"/>
      <c r="O138" s="15"/>
      <c r="P138" s="15"/>
      <c r="Q138" s="15"/>
      <c r="R138" s="15"/>
      <c r="S138" s="15"/>
      <c r="T138" s="15"/>
    </row>
    <row r="139" spans="7:20">
      <c r="G139" s="15"/>
      <c r="H139" s="15"/>
      <c r="I139" s="15"/>
      <c r="J139" s="15"/>
      <c r="K139" s="15"/>
      <c r="L139" s="15"/>
      <c r="M139" s="15"/>
      <c r="N139" s="15"/>
      <c r="O139" s="15"/>
      <c r="P139" s="15"/>
      <c r="Q139" s="15"/>
      <c r="R139" s="15"/>
      <c r="S139" s="15"/>
      <c r="T139" s="15"/>
    </row>
    <row r="140" spans="7:20">
      <c r="G140" s="15"/>
      <c r="H140" s="15"/>
      <c r="I140" s="15"/>
      <c r="J140" s="15"/>
      <c r="K140" s="15"/>
      <c r="L140" s="15"/>
      <c r="M140" s="15"/>
      <c r="N140" s="15"/>
      <c r="O140" s="15"/>
      <c r="P140" s="15"/>
      <c r="Q140" s="15"/>
      <c r="R140" s="15"/>
      <c r="S140" s="15"/>
      <c r="T140" s="15"/>
    </row>
    <row r="141" spans="7:20">
      <c r="G141" s="15"/>
      <c r="H141" s="15"/>
      <c r="I141" s="15"/>
      <c r="J141" s="15"/>
      <c r="K141" s="15"/>
      <c r="L141" s="15"/>
      <c r="M141" s="15"/>
      <c r="N141" s="15"/>
      <c r="O141" s="15"/>
      <c r="P141" s="15"/>
      <c r="Q141" s="15"/>
      <c r="R141" s="15"/>
      <c r="S141" s="15"/>
      <c r="T141" s="15"/>
    </row>
    <row r="142" spans="7:20">
      <c r="G142" s="15"/>
      <c r="H142" s="15"/>
      <c r="I142" s="15"/>
      <c r="J142" s="15"/>
      <c r="K142" s="15"/>
      <c r="L142" s="15"/>
      <c r="M142" s="15"/>
      <c r="N142" s="15"/>
      <c r="O142" s="15"/>
      <c r="P142" s="15"/>
      <c r="Q142" s="15"/>
      <c r="R142" s="15"/>
      <c r="S142" s="15"/>
      <c r="T142" s="15"/>
    </row>
    <row r="143" spans="7:20">
      <c r="G143" s="15"/>
      <c r="H143" s="15"/>
      <c r="I143" s="15"/>
      <c r="J143" s="15"/>
      <c r="K143" s="15"/>
      <c r="L143" s="15"/>
      <c r="M143" s="15"/>
      <c r="N143" s="15"/>
      <c r="O143" s="15"/>
      <c r="P143" s="15"/>
      <c r="Q143" s="15"/>
      <c r="R143" s="15"/>
      <c r="S143" s="15"/>
      <c r="T143" s="15"/>
    </row>
    <row r="144" spans="7:20">
      <c r="G144" s="15"/>
      <c r="H144" s="15"/>
      <c r="I144" s="15"/>
      <c r="J144" s="15"/>
      <c r="K144" s="15"/>
      <c r="L144" s="15"/>
      <c r="M144" s="15"/>
      <c r="N144" s="15"/>
      <c r="O144" s="15"/>
      <c r="P144" s="15"/>
      <c r="Q144" s="15"/>
      <c r="R144" s="15"/>
      <c r="S144" s="15"/>
      <c r="T144" s="15"/>
    </row>
    <row r="145" spans="7:20">
      <c r="G145" s="15"/>
      <c r="H145" s="15"/>
      <c r="I145" s="15"/>
      <c r="J145" s="15"/>
      <c r="K145" s="15"/>
      <c r="L145" s="15"/>
      <c r="M145" s="15"/>
      <c r="N145" s="15"/>
      <c r="O145" s="15"/>
      <c r="P145" s="15"/>
      <c r="Q145" s="15"/>
      <c r="R145" s="15"/>
      <c r="S145" s="15"/>
      <c r="T145" s="15"/>
    </row>
    <row r="146" spans="7:20">
      <c r="G146" s="15"/>
      <c r="H146" s="15"/>
      <c r="I146" s="15"/>
      <c r="J146" s="15"/>
      <c r="K146" s="15"/>
      <c r="L146" s="15"/>
      <c r="M146" s="15"/>
      <c r="N146" s="15"/>
      <c r="O146" s="15"/>
      <c r="P146" s="15"/>
      <c r="Q146" s="15"/>
      <c r="R146" s="15"/>
      <c r="S146" s="15"/>
      <c r="T146" s="15"/>
    </row>
    <row r="147" spans="7:20">
      <c r="G147" s="15"/>
      <c r="H147" s="15"/>
      <c r="I147" s="15"/>
      <c r="J147" s="15"/>
      <c r="K147" s="15"/>
      <c r="L147" s="15"/>
      <c r="M147" s="15"/>
      <c r="N147" s="15"/>
      <c r="O147" s="15"/>
      <c r="P147" s="15"/>
      <c r="Q147" s="15"/>
      <c r="R147" s="15"/>
      <c r="S147" s="15"/>
      <c r="T147" s="15"/>
    </row>
    <row r="148" spans="7:20">
      <c r="G148" s="15"/>
      <c r="H148" s="15"/>
      <c r="I148" s="15"/>
      <c r="J148" s="15"/>
      <c r="K148" s="15"/>
      <c r="L148" s="15"/>
      <c r="M148" s="15"/>
      <c r="N148" s="15"/>
      <c r="O148" s="15"/>
      <c r="P148" s="15"/>
      <c r="Q148" s="15"/>
      <c r="R148" s="15"/>
      <c r="S148" s="15"/>
      <c r="T148" s="15"/>
    </row>
    <row r="149" spans="7:20">
      <c r="G149" s="15"/>
      <c r="H149" s="15"/>
      <c r="I149" s="15"/>
      <c r="J149" s="15"/>
      <c r="K149" s="15"/>
      <c r="L149" s="15"/>
      <c r="M149" s="15"/>
      <c r="N149" s="15"/>
      <c r="O149" s="15"/>
      <c r="P149" s="15"/>
      <c r="Q149" s="15"/>
      <c r="R149" s="15"/>
      <c r="S149" s="15"/>
      <c r="T149" s="15"/>
    </row>
    <row r="150" spans="7:20">
      <c r="G150" s="15"/>
      <c r="H150" s="15"/>
      <c r="I150" s="15"/>
      <c r="J150" s="15"/>
      <c r="K150" s="15"/>
      <c r="L150" s="15"/>
      <c r="M150" s="15"/>
      <c r="N150" s="15"/>
      <c r="O150" s="15"/>
      <c r="P150" s="15"/>
      <c r="Q150" s="15"/>
      <c r="R150" s="15"/>
      <c r="S150" s="15"/>
      <c r="T150" s="15"/>
    </row>
    <row r="151" spans="7:20">
      <c r="G151" s="15"/>
      <c r="H151" s="15"/>
      <c r="I151" s="15"/>
      <c r="J151" s="15"/>
      <c r="K151" s="15"/>
      <c r="L151" s="15"/>
      <c r="M151" s="15"/>
      <c r="N151" s="15"/>
      <c r="O151" s="15"/>
      <c r="P151" s="15"/>
      <c r="Q151" s="15"/>
      <c r="R151" s="15"/>
      <c r="S151" s="15"/>
      <c r="T151" s="15"/>
    </row>
    <row r="152" spans="7:20">
      <c r="G152" s="15"/>
      <c r="H152" s="15"/>
      <c r="I152" s="15"/>
      <c r="J152" s="15"/>
      <c r="K152" s="15"/>
      <c r="L152" s="15"/>
      <c r="M152" s="15"/>
      <c r="N152" s="15"/>
      <c r="O152" s="15"/>
      <c r="P152" s="15"/>
      <c r="Q152" s="15"/>
      <c r="R152" s="15"/>
      <c r="S152" s="15"/>
      <c r="T152" s="15"/>
    </row>
    <row r="153" spans="7:20">
      <c r="G153" s="15"/>
      <c r="I153" s="15"/>
      <c r="J153" s="15"/>
      <c r="K153" s="15"/>
      <c r="L153" s="15"/>
      <c r="M153" s="15"/>
      <c r="N153" s="15"/>
      <c r="O153" s="15"/>
      <c r="P153" s="15"/>
      <c r="Q153" s="15"/>
      <c r="R153" s="15"/>
      <c r="S153" s="15"/>
      <c r="T153" s="15"/>
    </row>
    <row r="154" spans="7:20">
      <c r="G154" s="15"/>
      <c r="I154" s="15"/>
      <c r="J154" s="15"/>
      <c r="K154" s="15"/>
      <c r="L154" s="15"/>
      <c r="M154" s="15"/>
      <c r="N154" s="15"/>
      <c r="O154" s="15"/>
      <c r="P154" s="15"/>
      <c r="Q154" s="15"/>
      <c r="R154" s="15"/>
      <c r="S154" s="15"/>
      <c r="T154" s="15"/>
    </row>
    <row r="155" spans="7:20">
      <c r="G155" s="15"/>
      <c r="I155" s="15"/>
      <c r="J155" s="15"/>
      <c r="K155" s="15"/>
      <c r="L155" s="15"/>
      <c r="M155" s="15"/>
      <c r="N155" s="15"/>
      <c r="O155" s="15"/>
      <c r="P155" s="15"/>
      <c r="Q155" s="15"/>
      <c r="R155" s="15"/>
      <c r="S155" s="15"/>
      <c r="T155" s="15"/>
    </row>
    <row r="156" spans="7:20">
      <c r="G156" s="15"/>
      <c r="I156" s="15"/>
      <c r="J156" s="15"/>
      <c r="K156" s="15"/>
      <c r="L156" s="15"/>
      <c r="M156" s="15"/>
      <c r="N156" s="15"/>
      <c r="O156" s="15"/>
      <c r="P156" s="15"/>
      <c r="Q156" s="15"/>
      <c r="R156" s="15"/>
      <c r="S156" s="15"/>
      <c r="T156" s="15"/>
    </row>
    <row r="157" spans="7:20">
      <c r="G157" s="15"/>
      <c r="I157" s="15"/>
      <c r="J157" s="15"/>
      <c r="K157" s="15"/>
      <c r="L157" s="15"/>
      <c r="M157" s="15"/>
      <c r="N157" s="15"/>
      <c r="O157" s="15"/>
      <c r="P157" s="15"/>
      <c r="Q157" s="15"/>
      <c r="R157" s="15"/>
      <c r="S157" s="15"/>
      <c r="T157" s="15"/>
    </row>
    <row r="158" spans="7:20">
      <c r="G158" s="15"/>
      <c r="I158" s="15"/>
      <c r="J158" s="15"/>
      <c r="K158" s="15"/>
      <c r="L158" s="15"/>
      <c r="M158" s="15"/>
      <c r="N158" s="15"/>
      <c r="O158" s="15"/>
      <c r="P158" s="15"/>
      <c r="Q158" s="15"/>
      <c r="R158" s="15"/>
      <c r="S158" s="18"/>
      <c r="T158" s="18"/>
    </row>
    <row r="159" spans="7:20">
      <c r="G159" s="15"/>
      <c r="I159" s="15"/>
      <c r="J159" s="15"/>
      <c r="K159" s="15"/>
      <c r="L159" s="15"/>
      <c r="M159" s="15"/>
      <c r="N159" s="15"/>
      <c r="O159" s="15"/>
      <c r="P159" s="15"/>
      <c r="Q159" s="15"/>
      <c r="R159" s="15"/>
      <c r="S159" s="18"/>
      <c r="T159" s="15"/>
    </row>
    <row r="160" spans="7:20">
      <c r="G160" s="15"/>
      <c r="I160" s="15"/>
      <c r="J160" s="15"/>
      <c r="K160" s="15"/>
      <c r="L160" s="15"/>
      <c r="M160" s="15"/>
      <c r="N160" s="15"/>
      <c r="O160" s="15"/>
      <c r="P160" s="15"/>
      <c r="Q160" s="15"/>
      <c r="R160" s="15"/>
      <c r="S160" s="18"/>
      <c r="T160" s="15"/>
    </row>
    <row r="161" spans="7:20">
      <c r="G161" s="15"/>
      <c r="I161" s="15"/>
      <c r="J161" s="15"/>
      <c r="K161" s="15"/>
      <c r="L161" s="15"/>
      <c r="M161" s="15"/>
      <c r="N161" s="15"/>
      <c r="O161" s="15"/>
      <c r="P161" s="15"/>
      <c r="Q161" s="15"/>
      <c r="R161" s="15"/>
      <c r="S161" s="15"/>
      <c r="T161" s="15"/>
    </row>
    <row r="162" spans="7:20">
      <c r="G162" s="15"/>
      <c r="I162" s="15"/>
      <c r="J162" s="15"/>
      <c r="K162" s="15"/>
      <c r="L162" s="15"/>
      <c r="M162" s="15"/>
      <c r="N162" s="15"/>
      <c r="O162" s="15"/>
      <c r="P162" s="15"/>
      <c r="Q162" s="15"/>
      <c r="R162" s="15"/>
    </row>
    <row r="163" spans="7:20">
      <c r="G163" s="15"/>
      <c r="I163" s="15"/>
      <c r="J163" s="15"/>
      <c r="K163" s="15"/>
      <c r="L163" s="15"/>
    </row>
  </sheetData>
  <sheetProtection algorithmName="SHA-512" hashValue="EVVKKDwWNV5/qSXv6mj7NMVB4dD5FwRrQfQ9Lxg2xN9HuAg7YRRyzCn1jhgD0bjR9K3HE/mMYPFG/XgVENrt6Q==" saltValue="x2CO7ANGFwtAbjtnki84mg==" spinCount="100000" sheet="1" objects="1" scenarios="1"/>
  <mergeCells count="21">
    <mergeCell ref="C89:I89"/>
    <mergeCell ref="B90:B94"/>
    <mergeCell ref="C90:C94"/>
    <mergeCell ref="C67:I67"/>
    <mergeCell ref="B68:B72"/>
    <mergeCell ref="C68:C72"/>
    <mergeCell ref="C78:I78"/>
    <mergeCell ref="B79:B83"/>
    <mergeCell ref="C79:C83"/>
    <mergeCell ref="C45:I45"/>
    <mergeCell ref="B46:B50"/>
    <mergeCell ref="C46:C50"/>
    <mergeCell ref="C56:I56"/>
    <mergeCell ref="B57:B61"/>
    <mergeCell ref="C57:C61"/>
    <mergeCell ref="C43:J43"/>
    <mergeCell ref="A1:L1"/>
    <mergeCell ref="A2:L2"/>
    <mergeCell ref="A3:L3"/>
    <mergeCell ref="A4:L4"/>
    <mergeCell ref="D31:E31"/>
  </mergeCells>
  <dataValidations count="7">
    <dataValidation type="whole" allowBlank="1" showInputMessage="1" showErrorMessage="1" errorTitle="Incorrect Input" error="Input is unacceptable, please try again. " sqref="D17:E22 D8:E14 D25:E27 D32:E32" xr:uid="{975BE7F3-43E5-4BDE-B5BD-D951373BE5E3}">
      <formula1>0</formula1>
      <formula2>$C8</formula2>
    </dataValidation>
    <dataValidation type="whole" operator="lessThanOrEqual" allowBlank="1" showInputMessage="1" showErrorMessage="1" sqref="A46:A50 A90:A94 A79:A83 A68:A72 A57:A61" xr:uid="{578AEF54-E4DE-4436-8D76-3B67BCC56ABC}">
      <formula1>XFD45</formula1>
    </dataValidation>
    <dataValidation type="list" allowBlank="1" showInputMessage="1" showErrorMessage="1" sqref="H17:H22 H25:H27" xr:uid="{BAC133BD-3056-4B82-8023-7D0CCEEDC5E9}">
      <formula1>"0,250,500,750,900,1000"</formula1>
    </dataValidation>
    <dataValidation type="custom" operator="lessThan" allowBlank="1" showErrorMessage="1" errorTitle="Total Self-Score Error" error="Total Self-Score Points is greater than 20.  Please revise column D Rows 8-28 so that sum is no greater than 20. " sqref="D29:F29" xr:uid="{BBF5523D-BA59-400F-BA69-A8C31B3BC938}">
      <formula1>D29&lt;=20</formula1>
    </dataValidation>
    <dataValidation type="whole" operator="lessThanOrEqual" allowBlank="1" showInputMessage="1" showErrorMessage="1" sqref="F16 F35:F36 F7 F24" xr:uid="{BEF643E1-A5A4-4588-8C93-E369E8F3915A}">
      <formula1>C7</formula1>
    </dataValidation>
    <dataValidation type="list" allowBlank="1" showInputMessage="1" showErrorMessage="1" sqref="C46:C50 C57:C61 C68:C72 C79:C83 C90:C94" xr:uid="{BEBB49C0-57D0-409F-B6FD-75073BFF4A7F}">
      <formula1>$A$107:$A$122</formula1>
    </dataValidation>
    <dataValidation type="list" allowBlank="1" showInputMessage="1" showErrorMessage="1" sqref="D90:I94 D46:I50 D57:I61 D68:I72 D79:I83" xr:uid="{8E2E8E8F-3F3A-4F0E-A064-FF6B8BBE13B1}">
      <formula1>$A$99:$A$104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5F9C6A1937834EA363EBC0C1A687C1" ma:contentTypeVersion="3" ma:contentTypeDescription="Create a new document." ma:contentTypeScope="" ma:versionID="f28ded045e45a550206624a7e27a6e56">
  <xsd:schema xmlns:xsd="http://www.w3.org/2001/XMLSchema" xmlns:xs="http://www.w3.org/2001/XMLSchema" xmlns:p="http://schemas.microsoft.com/office/2006/metadata/properties" xmlns:ns2="1e692b00-7e37-4af1-a439-64e2cc3f2c7c" targetNamespace="http://schemas.microsoft.com/office/2006/metadata/properties" ma:root="true" ma:fieldsID="fb4c3c5420bff288cdfd097ebdc83b78" ns2:_="">
    <xsd:import namespace="1e692b00-7e37-4af1-a439-64e2cc3f2c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692b00-7e37-4af1-a439-64e2cc3f2c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AA79CA-887C-4632-AFDF-4344B70A720A}"/>
</file>

<file path=customXml/itemProps2.xml><?xml version="1.0" encoding="utf-8"?>
<ds:datastoreItem xmlns:ds="http://schemas.openxmlformats.org/officeDocument/2006/customXml" ds:itemID="{66B6FB0D-60B7-4A62-B370-8E2722AAA3C7}"/>
</file>

<file path=customXml/itemProps3.xml><?xml version="1.0" encoding="utf-8"?>
<ds:datastoreItem xmlns:ds="http://schemas.openxmlformats.org/officeDocument/2006/customXml" ds:itemID="{63A848AA-D293-433D-8DD1-4222FE0A253C}"/>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 Air Force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CUNNINGHAM, SHELLEY D CIV USAF AFMC AEDC/TSDCN</dc:creator>
  <cp:keywords/>
  <dc:description/>
  <cp:lastModifiedBy/>
  <cp:revision/>
  <dcterms:created xsi:type="dcterms:W3CDTF">2026-04-11T17:20:43Z</dcterms:created>
  <dcterms:modified xsi:type="dcterms:W3CDTF">2026-04-28T15:26:44Z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0x010100BD5F9C6A1937834EA363EBC0C1A687C1</vt:lpwstr>
  </property>
</Properties>
</file>