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Z:\Branch 4\1 Pre-award\Portsmouth_Lejeune_Jacksonville - Newborn Screening Services\Jacksonville\Combined Synopsis-Solicitation Newborn Screening Services NH Jacksonville\"/>
    </mc:Choice>
  </mc:AlternateContent>
  <xr:revisionPtr revIDLastSave="0" documentId="13_ncr:1_{8EBF288D-6AD1-446A-AD4B-BBD71D133A22}" xr6:coauthVersionLast="47" xr6:coauthVersionMax="47" xr10:uidLastSave="{00000000-0000-0000-0000-000000000000}"/>
  <bookViews>
    <workbookView xWindow="-120" yWindow="90" windowWidth="20730" windowHeight="10830" xr2:uid="{7D52264D-3A6B-4C46-B6CA-9F7FADFA6327}"/>
  </bookViews>
  <sheets>
    <sheet name="HT940626QB001 (RFQ)"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1" l="1"/>
  <c r="F42" i="1" l="1"/>
  <c r="F36" i="1"/>
  <c r="F30" i="1"/>
  <c r="F24" i="1"/>
  <c r="F18" i="1"/>
  <c r="F12" i="1"/>
  <c r="F43" i="1" l="1"/>
</calcChain>
</file>

<file path=xl/sharedStrings.xml><?xml version="1.0" encoding="utf-8"?>
<sst xmlns="http://schemas.openxmlformats.org/spreadsheetml/2006/main" count="127" uniqueCount="88">
  <si>
    <t>Vendor:</t>
  </si>
  <si>
    <t>UEI:</t>
  </si>
  <si>
    <t>CAGE CODE:</t>
  </si>
  <si>
    <t>POC:</t>
  </si>
  <si>
    <t>SLIN</t>
  </si>
  <si>
    <t>Description</t>
  </si>
  <si>
    <t xml:space="preserve">Quantity
</t>
  </si>
  <si>
    <t>Unit of Issue</t>
  </si>
  <si>
    <t>Unit Price</t>
  </si>
  <si>
    <t>Period Total Price</t>
  </si>
  <si>
    <t>0001</t>
  </si>
  <si>
    <t>1001</t>
  </si>
  <si>
    <t>2001</t>
  </si>
  <si>
    <t>Total Proposed Price</t>
  </si>
  <si>
    <t>Signature / Date</t>
  </si>
  <si>
    <t>Organization:</t>
  </si>
  <si>
    <t xml:space="preserve">Title: </t>
  </si>
  <si>
    <t>3001</t>
  </si>
  <si>
    <t>4001</t>
  </si>
  <si>
    <t>5001</t>
  </si>
  <si>
    <t xml:space="preserve">                                               Base Period</t>
  </si>
  <si>
    <t xml:space="preserve">                                     Option Period 1</t>
  </si>
  <si>
    <t xml:space="preserve">                                       Option Period 2</t>
  </si>
  <si>
    <t xml:space="preserve">                                       Option Period 3</t>
  </si>
  <si>
    <t xml:space="preserve">                                        Option Period 4</t>
  </si>
  <si>
    <t xml:space="preserve">                             FAR 52.217-8  Option Period 5</t>
  </si>
  <si>
    <t>Base Period Total</t>
  </si>
  <si>
    <t>Option Period 1 Total</t>
  </si>
  <si>
    <t>Option Period 2 Total</t>
  </si>
  <si>
    <t>Option Period 3 Total</t>
  </si>
  <si>
    <t>Option Period 4 Total</t>
  </si>
  <si>
    <t>Pricing Sheet for Newborn Screening Services
Naval Hospital Jacksonville, FL                                                                                                                                                                                                                                                                                                       Naval Hospital Guantanamo Bay, Cuba                                                                                                                             RFQ: HT940626QB001</t>
  </si>
  <si>
    <t>Each</t>
  </si>
  <si>
    <t>525</t>
  </si>
  <si>
    <t>0002</t>
  </si>
  <si>
    <t>15</t>
  </si>
  <si>
    <t>1002</t>
  </si>
  <si>
    <t>2002</t>
  </si>
  <si>
    <t>Newborn Screening Services: The contractor shall provide comprehensive newborn screening services for Naval Hospital Jacksonville, Florida,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2026 through 30 April 2027.</t>
  </si>
  <si>
    <t>Newborn Screening Services: The contractor shall provide comprehensive newborn screening services for Naval Hospital Guantanamo Bay, Cuba,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2026 through 30 April 2027.</t>
  </si>
  <si>
    <t>Newborn Screening Services: The contractor shall provide comprehensive newborn screening services for Naval Hospital Jacksonville, Florida,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2027 through 30 April 2028.</t>
  </si>
  <si>
    <t>Newborn Screening Services: The contractor shall provide comprehensive newborn screening services for Naval Hospital Jacksonville, Florida,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2029 through 30 April 2030.</t>
  </si>
  <si>
    <t>Newborn Screening Services: The contractor shall provide comprehensive newborn screening services for Naval Hospital Guantanamo Bay, Cuba,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2029 through 30 April 2030.</t>
  </si>
  <si>
    <t>Newborn Screening Services: The contractor shall provide comprehensive newborn screening services for Naval Hospital Jacksonville, Florida,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2030 through 30 April 2031.</t>
  </si>
  <si>
    <t>4002</t>
  </si>
  <si>
    <t>Newborn Screening Services: The contractor shall provide comprehensive newborn screening services for Naval Hospital Guantanamo Bay, Cuba,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2030 through 30 April 2031.</t>
  </si>
  <si>
    <t>Newborn Screening Services: The contractor shall provide comprehensive newborn screening services for Naval Hospital Guantanamo Bay, Cuba,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2031 through 31 October 2031.</t>
  </si>
  <si>
    <t>5002</t>
  </si>
  <si>
    <t>3002</t>
  </si>
  <si>
    <t>8</t>
  </si>
  <si>
    <t>265</t>
  </si>
  <si>
    <t>0003</t>
  </si>
  <si>
    <t>25</t>
  </si>
  <si>
    <t>0004</t>
  </si>
  <si>
    <t>5</t>
  </si>
  <si>
    <t>1003</t>
  </si>
  <si>
    <t>1004</t>
  </si>
  <si>
    <t>Newborn Screening Services: The contractor shall provide Newborn Screening Services (Cystic Fibrosis component) for Naval Hospital Jacksonville, Florida in accordance with terms and conditions in the Performance Work Statement. Period of Performance: 01 May 2026 through 30 April 2027.</t>
  </si>
  <si>
    <t>Newborn Screening Services: The contractor shall provide Newborn Screening Services (Cystic Fibrosis component) for Naval Hospital Guantanamo Bay, Cuba in accordance with terms and conditions in the Performance Work Statement. Period of Performance: 01 May 2026 through 30 April 2027.</t>
  </si>
  <si>
    <t>Newborn Screening Services: The contractor shall provide Newborn Screening Services (Cystic Fibrosis component) for Naval Hospital Jacksonville, Florida in accordance with terms and conditions in the Performance Work Statement. Period of Performance: 01 May 2027 through 30 April 2028.</t>
  </si>
  <si>
    <t>2003</t>
  </si>
  <si>
    <t>2004</t>
  </si>
  <si>
    <t>Newborn Screening Services: The contractor shall provide Newborn Screening Services (Cystic Fibrosis component) for Naval Hospital Jacksonville, Florida in accordance with terms and conditions in the Performance Work Statement. Period of Performance: 01 May 2029 through 30 April 2030.</t>
  </si>
  <si>
    <t>3003</t>
  </si>
  <si>
    <t>3004</t>
  </si>
  <si>
    <t>Newborn Screening Services: The contractor shall provide Newborn Screening Services (Cystic Fibrosis component) for Naval Hospital Guantanamo Bay, Cuba in accordance with terms and conditions in the Performance Work Statement. Period of Performance: 01 May 2029 through 30 April 2030.</t>
  </si>
  <si>
    <t>4003</t>
  </si>
  <si>
    <t>4004</t>
  </si>
  <si>
    <t>Newborn Screening Services: The contractor shall provide Newborn Screening Services (Cystic Fibrosis component) for Naval Hospital Jacksonville, Florida in accordance with terms and conditions in the Performance Work Statement.  Period of Performance: 01 May 2030 through 30 April 2031.</t>
  </si>
  <si>
    <t>Newborn Screening Services: The contractor shall provide Newborn Screening Services (Cystic Fibrosis component) for Naval Hospital Guantanamo Bay, Cuba in accordance with terms and conditions in the Performance Work Statement. Period of Performance: 01 May 2030 through 30 April 2031.</t>
  </si>
  <si>
    <t>5003</t>
  </si>
  <si>
    <t>5004</t>
  </si>
  <si>
    <t>Newborn Screening Services: The contractor shall provide comprehensive newborn screening services for Naval Hospital Guantanamo Bay, Cuba,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2031 through 31 October 2031.</t>
  </si>
  <si>
    <t>Newborn Screening Services: The contractor shall provide Newborn Screening Services (Cystic Fibrosis component) for Naval Hospital Guantanamo Bay, Cuba in accordance with terms and conditions in the Performance Work Statement.  Period of Performance: 01 May 2031 through 31 October 2031.</t>
  </si>
  <si>
    <t xml:space="preserve">How many conditions are tested per test panel? </t>
  </si>
  <si>
    <t>Provide a general breakdown of the price per panel to aid in the government's ability to conduct a price analysis to support the determination of price reasonablness (i.e. overhead, service facility and/or maintenance fees).  This request is not intented to be burdensome on the contractor and will not be treated as certifified cost and pricing data.</t>
  </si>
  <si>
    <t>Base price per panel:</t>
  </si>
  <si>
    <t>Remaining price:</t>
  </si>
  <si>
    <t>General breakdown of remaining price:</t>
  </si>
  <si>
    <t>Newborn Screening Services: The contractor shall provide Newborn Screening Services (Cystic Fibrosis component) for Naval Hospital Jacksonville, Florida in accordance with terms and conditions in the Performance Work Statement.  Period of Performance: 01 May 2031 through 31 October 2031.</t>
  </si>
  <si>
    <t>13</t>
  </si>
  <si>
    <t>3</t>
  </si>
  <si>
    <t>Newborn Screening Services: The contractor shall provide comprehensive newborn screening services for Naval Hospital Guantanamo Bay, Cuba, including the supply of blood specimen collection kits, laboratory analysis of dried blood spot samples, and timely electronic reporting of results. Services must cover all conditions required by the Department of Health and Human Services Recommended Uniform Screening Panel (RUSP).Period of Performance: 01 May 2027 through 30 April 2028.</t>
  </si>
  <si>
    <t>Newborn Screening Services: The contractor shall provide Newborn Screening Services (Cystic Fibrosis component) for Naval Hospital Guantanamo Bay, Cuba in accordance with terms and conditions in the Performance Work Statement. Period of Performance: 01 May 2027 through 30 April 2028.</t>
  </si>
  <si>
    <t>Newborn Screening Services: The contractor shall provide comprehensive newborn screening services for Naval Hospital Jacksonville, Florida,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2028 through 30 April 2029.</t>
  </si>
  <si>
    <t>Newborn Screening Services: The contractor shall provide Newborn Screening Services (Cystic Fibrosis component) for Naval Hospital Jacksonville, Florida in accordance with terms and conditions in the Performance Work Statement. Period of Performance: 01 May 2028 through 30 April 2029.</t>
  </si>
  <si>
    <t>Newborn Screening Services: The contractor shall provide comprehensive newborn screening services for Naval Hospital Guantanamo Bay, Cuba, including the supply of blood specimen collection kits, laboratory analysis of dried blood spot samples, and timely electronic reporting of results. Services must cover all conditions required by the Department of Health and Human Services Recommended Uniform Screening Panel (RUSP).  Period of Performance: 01 May 2028 through 30 April 2029.</t>
  </si>
  <si>
    <t>Newborn Screening Services: The contractor shall provide Newborn Screening Services (Cystic Fibrosis component) for Naval Hospital Guantanamo Bay, Cuba in accordance with terms and conditions in the Performance Work Statement.  Period of Performance: 01 May 2028 through 30 April 2029.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</si>
</sst>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quot;$&quot;#,##0.00"/>
  </numFmts>
  <fonts count="10" x14ac:knownFonts="1">
    <font>
      <sz val="11"/>
      <color theme="1"/>
      <name val="Aptos Narrow"/>
      <family val="2"/>
      <scheme val="minor"/>
    </font>
    <font>
      <sz val="11"/>
      <color theme="1"/>
      <name val="Aptos Narrow"/>
      <family val="2"/>
      <scheme val="minor"/>
    </font>
    <font>
      <b/>
      <sz val="16"/>
      <color rgb="FF000000"/>
      <name val="Times New Roman"/>
      <family val="1"/>
    </font>
    <font>
      <sz val="12"/>
      <color rgb="FF000000"/>
      <name val="Times New Roman"/>
      <family val="1"/>
    </font>
    <font>
      <sz val="12"/>
      <color theme="1"/>
      <name val="Aptos Narrow"/>
      <family val="2"/>
      <scheme val="minor"/>
    </font>
    <font>
      <b/>
      <sz val="12"/>
      <name val="Times New Roman"/>
      <family val="1"/>
    </font>
    <font>
      <sz val="12"/>
      <name val="Times New Roman"/>
      <family val="1"/>
    </font>
    <font>
      <sz val="10"/>
      <name val="Times New Roman"/>
      <family val="1"/>
    </font>
    <font>
      <sz val="12"/>
      <color theme="1"/>
      <name val="Times New Roman"/>
      <family val="1"/>
    </font>
    <font>
      <b/>
      <sz val="12"/>
      <color theme="1"/>
      <name val="Times New Roman"/>
      <family val="1"/>
    </font>
  </fonts>
  <fills count="6">
    <fill>
      <patternFill patternType="none"/>
    </fill>
    <fill>
      <patternFill patternType="gray125"/>
    </fill>
    <fill>
      <patternFill patternType="solid">
        <fgColor rgb="FFFFFFCC"/>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rgb="FF92D050"/>
        <bgColor indexed="64"/>
      </patternFill>
    </fill>
  </fills>
  <borders count="1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84">
    <xf numFmtId="0" fontId="0" fillId="0" borderId="0" xfId="0"/>
    <xf numFmtId="49" fontId="5" fillId="0" borderId="12" xfId="0" applyNumberFormat="1" applyFont="1" applyBorder="1" applyAlignment="1">
      <alignment horizontal="center" vertical="center"/>
    </xf>
    <xf numFmtId="0" fontId="5" fillId="0" borderId="12" xfId="0" applyFont="1" applyBorder="1" applyAlignment="1">
      <alignment horizontal="center" vertical="center" wrapText="1"/>
    </xf>
    <xf numFmtId="164" fontId="5" fillId="0" borderId="12" xfId="1" applyNumberFormat="1" applyFont="1" applyBorder="1" applyAlignment="1">
      <alignment horizontal="center" vertical="center" wrapText="1"/>
    </xf>
    <xf numFmtId="44" fontId="5" fillId="0" borderId="12" xfId="0" applyNumberFormat="1" applyFont="1" applyBorder="1" applyAlignment="1" applyProtection="1">
      <alignment horizontal="center" vertical="center" wrapText="1"/>
      <protection locked="0"/>
    </xf>
    <xf numFmtId="165" fontId="5" fillId="0" borderId="12" xfId="0" applyNumberFormat="1" applyFont="1" applyBorder="1" applyAlignment="1">
      <alignment horizontal="center" vertical="center" wrapText="1"/>
    </xf>
    <xf numFmtId="49" fontId="6" fillId="2" borderId="2" xfId="0" applyNumberFormat="1" applyFont="1" applyFill="1" applyBorder="1" applyAlignment="1">
      <alignment horizontal="centerContinuous" vertical="center"/>
    </xf>
    <xf numFmtId="165" fontId="9" fillId="0" borderId="1" xfId="0" applyNumberFormat="1" applyFont="1" applyBorder="1" applyAlignment="1">
      <alignment horizontal="center" vertical="center"/>
    </xf>
    <xf numFmtId="0" fontId="9" fillId="0" borderId="3" xfId="0" applyFont="1" applyBorder="1" applyAlignment="1">
      <alignment vertical="center"/>
    </xf>
    <xf numFmtId="0" fontId="9" fillId="0" borderId="10" xfId="0" applyFont="1" applyBorder="1" applyAlignment="1">
      <alignment vertical="center"/>
    </xf>
    <xf numFmtId="0" fontId="8" fillId="0" borderId="10" xfId="0" applyFont="1" applyBorder="1" applyAlignment="1">
      <alignment vertical="center"/>
    </xf>
    <xf numFmtId="0" fontId="8" fillId="0" borderId="7" xfId="0" applyFont="1" applyBorder="1" applyAlignment="1">
      <alignment horizontal="center" vertical="center"/>
    </xf>
    <xf numFmtId="0" fontId="8" fillId="0" borderId="0" xfId="0" applyFont="1" applyBorder="1" applyAlignment="1">
      <alignment vertical="center"/>
    </xf>
    <xf numFmtId="0" fontId="9" fillId="0" borderId="5" xfId="0" applyFont="1" applyBorder="1" applyAlignment="1">
      <alignment vertical="center"/>
    </xf>
    <xf numFmtId="0" fontId="9" fillId="0" borderId="7" xfId="0" applyFont="1" applyBorder="1" applyAlignment="1">
      <alignment horizontal="left" vertical="center"/>
    </xf>
    <xf numFmtId="0" fontId="9" fillId="0" borderId="0" xfId="0" applyFont="1" applyBorder="1" applyAlignment="1">
      <alignment horizontal="left" vertical="center"/>
    </xf>
    <xf numFmtId="0" fontId="9" fillId="0" borderId="9" xfId="0" applyFont="1" applyBorder="1" applyAlignment="1">
      <alignment vertical="center"/>
    </xf>
    <xf numFmtId="0" fontId="8" fillId="0" borderId="9" xfId="0" applyFont="1" applyBorder="1" applyAlignment="1">
      <alignment horizontal="center" vertical="center"/>
    </xf>
    <xf numFmtId="164" fontId="8" fillId="0" borderId="6" xfId="1" applyNumberFormat="1" applyFont="1" applyBorder="1" applyAlignment="1">
      <alignment horizontal="center" vertical="center" wrapText="1"/>
    </xf>
    <xf numFmtId="164" fontId="8" fillId="0" borderId="8" xfId="1" applyNumberFormat="1" applyFont="1" applyBorder="1" applyAlignment="1">
      <alignment horizontal="center" vertical="center" wrapText="1"/>
    </xf>
    <xf numFmtId="164" fontId="8" fillId="0" borderId="11" xfId="1" applyNumberFormat="1" applyFont="1" applyBorder="1" applyAlignment="1">
      <alignment horizontal="center" vertical="center" wrapText="1"/>
    </xf>
    <xf numFmtId="49" fontId="6" fillId="0" borderId="12" xfId="0" applyNumberFormat="1" applyFont="1" applyFill="1" applyBorder="1" applyAlignment="1">
      <alignment horizontal="center" vertical="center"/>
    </xf>
    <xf numFmtId="49" fontId="7" fillId="0" borderId="12" xfId="0" applyNumberFormat="1" applyFont="1" applyFill="1" applyBorder="1" applyAlignment="1">
      <alignment horizontal="left" vertical="center" wrapText="1"/>
    </xf>
    <xf numFmtId="49" fontId="6" fillId="4" borderId="12" xfId="0" applyNumberFormat="1" applyFont="1" applyFill="1" applyBorder="1" applyAlignment="1">
      <alignment horizontal="center" vertical="center"/>
    </xf>
    <xf numFmtId="165" fontId="6" fillId="0" borderId="12" xfId="0" applyNumberFormat="1" applyFont="1" applyFill="1" applyBorder="1" applyAlignment="1">
      <alignment horizontal="center" vertical="center"/>
    </xf>
    <xf numFmtId="165" fontId="5" fillId="0" borderId="12" xfId="0" applyNumberFormat="1" applyFont="1" applyFill="1" applyBorder="1" applyAlignment="1">
      <alignment horizontal="center" vertical="center"/>
    </xf>
    <xf numFmtId="165" fontId="6" fillId="5" borderId="12" xfId="0" applyNumberFormat="1" applyFont="1" applyFill="1" applyBorder="1" applyAlignment="1">
      <alignment horizontal="center" vertical="center"/>
    </xf>
    <xf numFmtId="49" fontId="6" fillId="5" borderId="12" xfId="0" applyNumberFormat="1" applyFont="1" applyFill="1" applyBorder="1" applyAlignment="1">
      <alignment horizontal="center" vertical="center"/>
    </xf>
    <xf numFmtId="49" fontId="5" fillId="5" borderId="12" xfId="0" applyNumberFormat="1" applyFont="1" applyFill="1" applyBorder="1" applyAlignment="1">
      <alignment horizontal="left" vertical="center" wrapText="1"/>
    </xf>
    <xf numFmtId="165" fontId="6" fillId="5" borderId="1" xfId="0" applyNumberFormat="1" applyFont="1" applyFill="1" applyBorder="1" applyAlignment="1">
      <alignment horizontal="center" vertical="center"/>
    </xf>
    <xf numFmtId="49" fontId="6" fillId="2" borderId="12" xfId="0" applyNumberFormat="1" applyFont="1" applyFill="1" applyBorder="1" applyAlignment="1">
      <alignment horizontal="center" vertical="center"/>
    </xf>
    <xf numFmtId="49" fontId="6" fillId="2" borderId="12" xfId="0" applyNumberFormat="1" applyFont="1" applyFill="1" applyBorder="1" applyAlignment="1">
      <alignment horizontal="centerContinuous" vertical="center"/>
    </xf>
    <xf numFmtId="49" fontId="6" fillId="2" borderId="4" xfId="0" applyNumberFormat="1" applyFont="1" applyFill="1" applyBorder="1" applyAlignment="1">
      <alignment horizontal="centerContinuous" vertical="center"/>
    </xf>
    <xf numFmtId="49" fontId="5" fillId="2" borderId="12" xfId="0" applyNumberFormat="1" applyFont="1" applyFill="1" applyBorder="1" applyAlignment="1">
      <alignment horizontal="center" vertical="center"/>
    </xf>
    <xf numFmtId="49" fontId="5" fillId="2" borderId="12" xfId="0" applyNumberFormat="1" applyFont="1" applyFill="1" applyBorder="1" applyAlignment="1">
      <alignment vertical="center"/>
    </xf>
    <xf numFmtId="49" fontId="6" fillId="0" borderId="1" xfId="0" applyNumberFormat="1" applyFont="1" applyFill="1" applyBorder="1" applyAlignment="1">
      <alignment horizontal="center" vertical="center"/>
    </xf>
    <xf numFmtId="49" fontId="6" fillId="4" borderId="2" xfId="0" applyNumberFormat="1" applyFont="1" applyFill="1" applyBorder="1" applyAlignment="1">
      <alignment horizontal="center" vertical="center"/>
    </xf>
    <xf numFmtId="165" fontId="6" fillId="0" borderId="4" xfId="0" applyNumberFormat="1" applyFont="1" applyFill="1" applyBorder="1" applyAlignment="1">
      <alignment horizontal="center" vertical="center"/>
    </xf>
    <xf numFmtId="0" fontId="0" fillId="0" borderId="0" xfId="0" applyAlignment="1">
      <alignment horizontal="right"/>
    </xf>
    <xf numFmtId="44" fontId="0" fillId="0" borderId="13" xfId="0" applyNumberFormat="1" applyBorder="1"/>
    <xf numFmtId="0" fontId="0" fillId="3" borderId="0" xfId="0" applyFill="1"/>
    <xf numFmtId="44" fontId="0" fillId="3" borderId="13" xfId="2" applyFont="1" applyFill="1" applyBorder="1" applyAlignment="1"/>
    <xf numFmtId="0" fontId="0" fillId="0" borderId="0" xfId="0" applyAlignment="1">
      <alignment horizontal="left" wrapText="1"/>
    </xf>
    <xf numFmtId="0" fontId="0" fillId="3" borderId="12" xfId="0" applyFill="1" applyBorder="1" applyAlignment="1">
      <alignment horizontal="center"/>
    </xf>
    <xf numFmtId="0" fontId="8" fillId="0" borderId="5" xfId="0" applyFont="1" applyBorder="1" applyAlignment="1">
      <alignment horizontal="center" vertical="center"/>
    </xf>
    <xf numFmtId="0" fontId="8" fillId="0" borderId="3" xfId="0" applyFont="1" applyBorder="1" applyAlignment="1">
      <alignment horizontal="center" vertical="center"/>
    </xf>
    <xf numFmtId="0" fontId="8" fillId="3" borderId="5"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0"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49" fontId="5" fillId="2" borderId="12" xfId="0" applyNumberFormat="1" applyFont="1" applyFill="1" applyBorder="1" applyAlignment="1">
      <alignment vertical="center" wrapText="1"/>
    </xf>
    <xf numFmtId="49" fontId="5" fillId="2" borderId="12" xfId="0" applyNumberFormat="1" applyFont="1" applyFill="1" applyBorder="1" applyAlignment="1">
      <alignment horizontal="left" vertical="center"/>
    </xf>
    <xf numFmtId="0" fontId="3" fillId="0" borderId="1" xfId="0" applyFont="1" applyBorder="1" applyAlignment="1">
      <alignment horizontal="left" vertical="center" wrapText="1"/>
    </xf>
    <xf numFmtId="0" fontId="0" fillId="0" borderId="2" xfId="0" applyBorder="1" applyAlignment="1">
      <alignment vertical="center"/>
    </xf>
    <xf numFmtId="0" fontId="0" fillId="0" borderId="4" xfId="0" applyBorder="1" applyAlignment="1">
      <alignment vertical="center"/>
    </xf>
    <xf numFmtId="0" fontId="4" fillId="0" borderId="2" xfId="0" applyFont="1" applyBorder="1" applyAlignment="1">
      <alignment horizontal="left" vertical="center" wrapText="1"/>
    </xf>
    <xf numFmtId="0" fontId="2" fillId="0" borderId="5" xfId="0" applyFont="1"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49" fontId="5" fillId="5" borderId="12" xfId="0" applyNumberFormat="1" applyFont="1" applyFill="1" applyBorder="1" applyAlignment="1">
      <alignment horizontal="center" vertical="center" wrapText="1"/>
    </xf>
    <xf numFmtId="49" fontId="5" fillId="5" borderId="1" xfId="0" applyNumberFormat="1" applyFont="1" applyFill="1" applyBorder="1" applyAlignment="1">
      <alignment horizontal="center" vertical="center" wrapText="1"/>
    </xf>
    <xf numFmtId="49" fontId="5" fillId="5" borderId="2" xfId="0" applyNumberFormat="1" applyFont="1" applyFill="1" applyBorder="1" applyAlignment="1">
      <alignment horizontal="center" vertical="center" wrapText="1"/>
    </xf>
    <xf numFmtId="49" fontId="5" fillId="5" borderId="4" xfId="0" applyNumberFormat="1" applyFont="1" applyFill="1" applyBorder="1" applyAlignment="1">
      <alignment horizontal="center" vertical="center" wrapText="1"/>
    </xf>
    <xf numFmtId="49" fontId="5" fillId="2" borderId="1" xfId="0" applyNumberFormat="1" applyFont="1" applyFill="1" applyBorder="1" applyAlignment="1">
      <alignment horizontal="left" vertical="center"/>
    </xf>
    <xf numFmtId="49" fontId="5" fillId="2" borderId="2" xfId="0" applyNumberFormat="1" applyFont="1" applyFill="1" applyBorder="1" applyAlignment="1">
      <alignment horizontal="left" vertical="center"/>
    </xf>
    <xf numFmtId="49" fontId="5" fillId="0" borderId="2" xfId="0" applyNumberFormat="1" applyFont="1" applyBorder="1" applyAlignment="1">
      <alignment horizontal="right" vertical="center" wrapText="1"/>
    </xf>
    <xf numFmtId="49" fontId="5" fillId="0" borderId="4" xfId="0" applyNumberFormat="1" applyFont="1" applyBorder="1" applyAlignment="1">
      <alignment horizontal="right" vertical="center" wrapText="1"/>
    </xf>
    <xf numFmtId="49" fontId="6" fillId="5" borderId="1" xfId="0" applyNumberFormat="1" applyFont="1" applyFill="1" applyBorder="1" applyAlignment="1">
      <alignment horizontal="center" vertical="center"/>
    </xf>
    <xf numFmtId="49" fontId="6" fillId="5" borderId="2" xfId="0" applyNumberFormat="1" applyFont="1" applyFill="1" applyBorder="1" applyAlignment="1">
      <alignment horizontal="center" vertical="center"/>
    </xf>
    <xf numFmtId="49" fontId="6" fillId="5" borderId="4" xfId="0" applyNumberFormat="1" applyFont="1" applyFill="1" applyBorder="1" applyAlignment="1">
      <alignment horizontal="center" vertical="center"/>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C1973-5AA3-49B2-979F-D16CBE6F4BE0}">
  <dimension ref="A1:L75"/>
  <sheetViews>
    <sheetView tabSelected="1" topLeftCell="A40" zoomScale="90" zoomScaleNormal="90" workbookViewId="0">
      <selection activeCell="K48" sqref="K48"/>
    </sheetView>
  </sheetViews>
  <sheetFormatPr defaultRowHeight="15" x14ac:dyDescent="0.25"/>
  <cols>
    <col min="1" max="1" width="9.140625" customWidth="1"/>
    <col min="2" max="2" width="47.42578125" customWidth="1"/>
    <col min="3" max="3" width="12.28515625" customWidth="1"/>
    <col min="6" max="6" width="51.5703125" customWidth="1"/>
  </cols>
  <sheetData>
    <row r="1" spans="1:6" ht="82.15" customHeight="1" x14ac:dyDescent="0.25">
      <c r="A1" s="55" t="s">
        <v>31</v>
      </c>
      <c r="B1" s="56"/>
      <c r="C1" s="56"/>
      <c r="D1" s="57"/>
      <c r="E1" s="57"/>
      <c r="F1" s="57"/>
    </row>
    <row r="2" spans="1:6" ht="14.45" customHeight="1" x14ac:dyDescent="0.25">
      <c r="A2" s="60" t="s">
        <v>0</v>
      </c>
      <c r="B2" s="61"/>
      <c r="C2" s="62"/>
      <c r="D2" s="64"/>
      <c r="E2" s="65"/>
      <c r="F2" s="66"/>
    </row>
    <row r="3" spans="1:6" ht="14.45" customHeight="1" x14ac:dyDescent="0.25">
      <c r="A3" s="60" t="s">
        <v>1</v>
      </c>
      <c r="B3" s="61"/>
      <c r="C3" s="62"/>
      <c r="D3" s="67"/>
      <c r="E3" s="68"/>
      <c r="F3" s="69"/>
    </row>
    <row r="4" spans="1:6" ht="15" customHeight="1" x14ac:dyDescent="0.25">
      <c r="A4" s="60" t="s">
        <v>2</v>
      </c>
      <c r="B4" s="61"/>
      <c r="C4" s="62"/>
      <c r="D4" s="67"/>
      <c r="E4" s="68"/>
      <c r="F4" s="69"/>
    </row>
    <row r="5" spans="1:6" ht="14.45" customHeight="1" x14ac:dyDescent="0.25">
      <c r="A5" s="60" t="s">
        <v>3</v>
      </c>
      <c r="B5" s="63"/>
      <c r="C5" s="62"/>
      <c r="D5" s="70"/>
      <c r="E5" s="71"/>
      <c r="F5" s="72"/>
    </row>
    <row r="6" spans="1:6" ht="31.5" x14ac:dyDescent="0.25">
      <c r="A6" s="1" t="s">
        <v>4</v>
      </c>
      <c r="B6" s="2" t="s">
        <v>5</v>
      </c>
      <c r="C6" s="3" t="s">
        <v>6</v>
      </c>
      <c r="D6" s="4" t="s">
        <v>7</v>
      </c>
      <c r="E6" s="5" t="s">
        <v>8</v>
      </c>
      <c r="F6" s="5" t="s">
        <v>9</v>
      </c>
    </row>
    <row r="7" spans="1:6" ht="15.75" customHeight="1" x14ac:dyDescent="0.25">
      <c r="A7" s="58" t="s">
        <v>20</v>
      </c>
      <c r="B7" s="58"/>
      <c r="C7" s="58"/>
      <c r="D7" s="58"/>
      <c r="E7" s="30"/>
      <c r="F7" s="30"/>
    </row>
    <row r="8" spans="1:6" ht="114.75" x14ac:dyDescent="0.25">
      <c r="A8" s="21" t="s">
        <v>10</v>
      </c>
      <c r="B8" s="22" t="s">
        <v>38</v>
      </c>
      <c r="C8" s="21" t="s">
        <v>33</v>
      </c>
      <c r="D8" s="23" t="s">
        <v>32</v>
      </c>
      <c r="E8" s="24"/>
      <c r="F8" s="24"/>
    </row>
    <row r="9" spans="1:6" ht="63.75" x14ac:dyDescent="0.25">
      <c r="A9" s="21" t="s">
        <v>34</v>
      </c>
      <c r="B9" s="22" t="s">
        <v>57</v>
      </c>
      <c r="C9" s="21" t="s">
        <v>52</v>
      </c>
      <c r="D9" s="23" t="s">
        <v>32</v>
      </c>
      <c r="E9" s="24"/>
      <c r="F9" s="24"/>
    </row>
    <row r="10" spans="1:6" ht="114.75" x14ac:dyDescent="0.25">
      <c r="A10" s="21" t="s">
        <v>51</v>
      </c>
      <c r="B10" s="22" t="s">
        <v>39</v>
      </c>
      <c r="C10" s="21" t="s">
        <v>35</v>
      </c>
      <c r="D10" s="23" t="s">
        <v>32</v>
      </c>
      <c r="E10" s="24"/>
      <c r="F10" s="24"/>
    </row>
    <row r="11" spans="1:6" ht="76.5" x14ac:dyDescent="0.25">
      <c r="A11" s="21" t="s">
        <v>53</v>
      </c>
      <c r="B11" s="22" t="s">
        <v>58</v>
      </c>
      <c r="C11" s="21" t="s">
        <v>54</v>
      </c>
      <c r="D11" s="23" t="s">
        <v>32</v>
      </c>
      <c r="E11" s="24"/>
      <c r="F11" s="24"/>
    </row>
    <row r="12" spans="1:6" ht="15.75" customHeight="1" x14ac:dyDescent="0.25">
      <c r="A12" s="73" t="s">
        <v>26</v>
      </c>
      <c r="B12" s="73"/>
      <c r="C12" s="74"/>
      <c r="D12" s="75"/>
      <c r="E12" s="76"/>
      <c r="F12" s="26">
        <f>SUM(F8:F10)</f>
        <v>0</v>
      </c>
    </row>
    <row r="13" spans="1:6" ht="15.75" x14ac:dyDescent="0.25">
      <c r="A13" s="59" t="s">
        <v>21</v>
      </c>
      <c r="B13" s="59"/>
      <c r="C13" s="59"/>
      <c r="D13" s="59"/>
      <c r="E13" s="30"/>
      <c r="F13" s="30"/>
    </row>
    <row r="14" spans="1:6" ht="114.75" x14ac:dyDescent="0.25">
      <c r="A14" s="21" t="s">
        <v>11</v>
      </c>
      <c r="B14" s="22" t="s">
        <v>40</v>
      </c>
      <c r="C14" s="21" t="s">
        <v>33</v>
      </c>
      <c r="D14" s="23" t="s">
        <v>32</v>
      </c>
      <c r="E14" s="24"/>
      <c r="F14" s="24"/>
    </row>
    <row r="15" spans="1:6" ht="63.75" x14ac:dyDescent="0.25">
      <c r="A15" s="21" t="s">
        <v>36</v>
      </c>
      <c r="B15" s="22" t="s">
        <v>59</v>
      </c>
      <c r="C15" s="21" t="s">
        <v>52</v>
      </c>
      <c r="D15" s="23" t="s">
        <v>32</v>
      </c>
      <c r="E15" s="24"/>
      <c r="F15" s="24"/>
    </row>
    <row r="16" spans="1:6" ht="114.75" x14ac:dyDescent="0.25">
      <c r="A16" s="21" t="s">
        <v>55</v>
      </c>
      <c r="B16" s="22" t="s">
        <v>82</v>
      </c>
      <c r="C16" s="21" t="s">
        <v>35</v>
      </c>
      <c r="D16" s="23" t="s">
        <v>32</v>
      </c>
      <c r="E16" s="24"/>
      <c r="F16" s="24"/>
    </row>
    <row r="17" spans="1:6" ht="76.5" x14ac:dyDescent="0.25">
      <c r="A17" s="21" t="s">
        <v>56</v>
      </c>
      <c r="B17" s="22" t="s">
        <v>83</v>
      </c>
      <c r="C17" s="35" t="s">
        <v>54</v>
      </c>
      <c r="D17" s="36" t="s">
        <v>32</v>
      </c>
      <c r="E17" s="37"/>
      <c r="F17" s="24"/>
    </row>
    <row r="18" spans="1:6" ht="15.75" customHeight="1" x14ac:dyDescent="0.25">
      <c r="A18" s="73" t="s">
        <v>27</v>
      </c>
      <c r="B18" s="73"/>
      <c r="C18" s="81"/>
      <c r="D18" s="82"/>
      <c r="E18" s="83"/>
      <c r="F18" s="26">
        <f>SUM(F14:F16)</f>
        <v>0</v>
      </c>
    </row>
    <row r="19" spans="1:6" ht="15.75" x14ac:dyDescent="0.25">
      <c r="A19" s="59" t="s">
        <v>22</v>
      </c>
      <c r="B19" s="59"/>
      <c r="C19" s="59"/>
      <c r="D19" s="59"/>
      <c r="E19" s="31"/>
      <c r="F19" s="31"/>
    </row>
    <row r="20" spans="1:6" ht="114.75" x14ac:dyDescent="0.25">
      <c r="A20" s="21" t="s">
        <v>12</v>
      </c>
      <c r="B20" s="22" t="s">
        <v>84</v>
      </c>
      <c r="C20" s="21" t="s">
        <v>33</v>
      </c>
      <c r="D20" s="23" t="s">
        <v>32</v>
      </c>
      <c r="E20" s="24"/>
      <c r="F20" s="24"/>
    </row>
    <row r="21" spans="1:6" ht="63.75" x14ac:dyDescent="0.25">
      <c r="A21" s="21" t="s">
        <v>37</v>
      </c>
      <c r="B21" s="22" t="s">
        <v>85</v>
      </c>
      <c r="C21" s="21" t="s">
        <v>52</v>
      </c>
      <c r="D21" s="23" t="s">
        <v>32</v>
      </c>
      <c r="E21" s="24"/>
      <c r="F21" s="24"/>
    </row>
    <row r="22" spans="1:6" ht="114.75" x14ac:dyDescent="0.25">
      <c r="A22" s="21" t="s">
        <v>60</v>
      </c>
      <c r="B22" s="22" t="s">
        <v>86</v>
      </c>
      <c r="C22" s="21" t="s">
        <v>35</v>
      </c>
      <c r="D22" s="23" t="s">
        <v>32</v>
      </c>
      <c r="E22" s="24"/>
      <c r="F22" s="24"/>
    </row>
    <row r="23" spans="1:6" ht="76.5" x14ac:dyDescent="0.25">
      <c r="A23" s="21" t="s">
        <v>61</v>
      </c>
      <c r="B23" s="22" t="s">
        <v>87</v>
      </c>
      <c r="C23" s="21" t="s">
        <v>54</v>
      </c>
      <c r="D23" s="23" t="s">
        <v>32</v>
      </c>
      <c r="E23" s="24"/>
      <c r="F23" s="24"/>
    </row>
    <row r="24" spans="1:6" ht="15.75" x14ac:dyDescent="0.25">
      <c r="A24" s="73" t="s">
        <v>28</v>
      </c>
      <c r="B24" s="73"/>
      <c r="C24" s="81"/>
      <c r="D24" s="82"/>
      <c r="E24" s="83"/>
      <c r="F24" s="26">
        <f>SUM(F20:F23)</f>
        <v>0</v>
      </c>
    </row>
    <row r="25" spans="1:6" ht="15.75" x14ac:dyDescent="0.25">
      <c r="A25" s="34" t="s">
        <v>23</v>
      </c>
      <c r="B25" s="34"/>
      <c r="C25" s="34"/>
      <c r="D25" s="34"/>
      <c r="E25" s="33"/>
      <c r="F25" s="31"/>
    </row>
    <row r="26" spans="1:6" ht="114.75" x14ac:dyDescent="0.25">
      <c r="A26" s="21" t="s">
        <v>17</v>
      </c>
      <c r="B26" s="22" t="s">
        <v>41</v>
      </c>
      <c r="C26" s="21" t="s">
        <v>33</v>
      </c>
      <c r="D26" s="23" t="s">
        <v>32</v>
      </c>
      <c r="E26" s="25"/>
      <c r="F26" s="24"/>
    </row>
    <row r="27" spans="1:6" ht="63.75" x14ac:dyDescent="0.25">
      <c r="A27" s="21" t="s">
        <v>48</v>
      </c>
      <c r="B27" s="22" t="s">
        <v>62</v>
      </c>
      <c r="C27" s="21" t="s">
        <v>52</v>
      </c>
      <c r="D27" s="23" t="s">
        <v>32</v>
      </c>
      <c r="E27" s="25"/>
      <c r="F27" s="24"/>
    </row>
    <row r="28" spans="1:6" ht="114.75" x14ac:dyDescent="0.25">
      <c r="A28" s="21" t="s">
        <v>63</v>
      </c>
      <c r="B28" s="22" t="s">
        <v>42</v>
      </c>
      <c r="C28" s="21" t="s">
        <v>35</v>
      </c>
      <c r="D28" s="23" t="s">
        <v>32</v>
      </c>
      <c r="E28" s="25"/>
      <c r="F28" s="24"/>
    </row>
    <row r="29" spans="1:6" ht="76.5" x14ac:dyDescent="0.25">
      <c r="A29" s="21" t="s">
        <v>64</v>
      </c>
      <c r="B29" s="22" t="s">
        <v>65</v>
      </c>
      <c r="C29" s="21" t="s">
        <v>54</v>
      </c>
      <c r="D29" s="23" t="s">
        <v>32</v>
      </c>
      <c r="E29" s="25"/>
      <c r="F29" s="24"/>
    </row>
    <row r="30" spans="1:6" ht="15.75" x14ac:dyDescent="0.25">
      <c r="A30" s="73" t="s">
        <v>29</v>
      </c>
      <c r="B30" s="73"/>
      <c r="C30" s="81"/>
      <c r="D30" s="82"/>
      <c r="E30" s="83"/>
      <c r="F30" s="26">
        <f>SUM(F26:F28)</f>
        <v>0</v>
      </c>
    </row>
    <row r="31" spans="1:6" ht="15.75" x14ac:dyDescent="0.25">
      <c r="A31" s="77" t="s">
        <v>24</v>
      </c>
      <c r="B31" s="78"/>
      <c r="C31" s="78"/>
      <c r="D31" s="78"/>
      <c r="E31" s="6"/>
      <c r="F31" s="32"/>
    </row>
    <row r="32" spans="1:6" ht="114.75" x14ac:dyDescent="0.25">
      <c r="A32" s="21" t="s">
        <v>18</v>
      </c>
      <c r="B32" s="22" t="s">
        <v>43</v>
      </c>
      <c r="C32" s="21" t="s">
        <v>33</v>
      </c>
      <c r="D32" s="23" t="s">
        <v>32</v>
      </c>
      <c r="E32" s="24"/>
      <c r="F32" s="24"/>
    </row>
    <row r="33" spans="1:6" ht="63.75" x14ac:dyDescent="0.25">
      <c r="A33" s="21" t="s">
        <v>44</v>
      </c>
      <c r="B33" s="22" t="s">
        <v>68</v>
      </c>
      <c r="C33" s="21" t="s">
        <v>52</v>
      </c>
      <c r="D33" s="23" t="s">
        <v>32</v>
      </c>
      <c r="E33" s="24"/>
      <c r="F33" s="24"/>
    </row>
    <row r="34" spans="1:6" ht="114.75" x14ac:dyDescent="0.25">
      <c r="A34" s="21" t="s">
        <v>66</v>
      </c>
      <c r="B34" s="22" t="s">
        <v>45</v>
      </c>
      <c r="C34" s="21" t="s">
        <v>35</v>
      </c>
      <c r="D34" s="23" t="s">
        <v>32</v>
      </c>
      <c r="E34" s="24"/>
      <c r="F34" s="24"/>
    </row>
    <row r="35" spans="1:6" ht="76.5" x14ac:dyDescent="0.25">
      <c r="A35" s="21" t="s">
        <v>67</v>
      </c>
      <c r="B35" s="22" t="s">
        <v>69</v>
      </c>
      <c r="C35" s="21" t="s">
        <v>54</v>
      </c>
      <c r="D35" s="23" t="s">
        <v>32</v>
      </c>
      <c r="E35" s="24"/>
      <c r="F35" s="24"/>
    </row>
    <row r="36" spans="1:6" ht="15.75" x14ac:dyDescent="0.25">
      <c r="A36" s="74" t="s">
        <v>30</v>
      </c>
      <c r="B36" s="76"/>
      <c r="C36" s="81"/>
      <c r="D36" s="82"/>
      <c r="E36" s="83"/>
      <c r="F36" s="26">
        <f>SUM(F32:F34)</f>
        <v>0</v>
      </c>
    </row>
    <row r="37" spans="1:6" ht="15.75" x14ac:dyDescent="0.25">
      <c r="A37" s="77" t="s">
        <v>25</v>
      </c>
      <c r="B37" s="78"/>
      <c r="C37" s="78"/>
      <c r="D37" s="78"/>
      <c r="E37" s="6"/>
      <c r="F37" s="6"/>
    </row>
    <row r="38" spans="1:6" ht="114.75" x14ac:dyDescent="0.25">
      <c r="A38" s="21" t="s">
        <v>19</v>
      </c>
      <c r="B38" s="22" t="s">
        <v>46</v>
      </c>
      <c r="C38" s="21" t="s">
        <v>50</v>
      </c>
      <c r="D38" s="23" t="s">
        <v>32</v>
      </c>
      <c r="E38" s="24"/>
      <c r="F38" s="24"/>
    </row>
    <row r="39" spans="1:6" ht="76.5" x14ac:dyDescent="0.25">
      <c r="A39" s="21" t="s">
        <v>47</v>
      </c>
      <c r="B39" s="22" t="s">
        <v>79</v>
      </c>
      <c r="C39" s="21" t="s">
        <v>80</v>
      </c>
      <c r="D39" s="23" t="s">
        <v>32</v>
      </c>
      <c r="E39" s="24"/>
      <c r="F39" s="24"/>
    </row>
    <row r="40" spans="1:6" ht="114.75" x14ac:dyDescent="0.25">
      <c r="A40" s="21" t="s">
        <v>70</v>
      </c>
      <c r="B40" s="22" t="s">
        <v>72</v>
      </c>
      <c r="C40" s="21" t="s">
        <v>49</v>
      </c>
      <c r="D40" s="23" t="s">
        <v>32</v>
      </c>
      <c r="E40" s="24"/>
      <c r="F40" s="24"/>
    </row>
    <row r="41" spans="1:6" ht="76.5" x14ac:dyDescent="0.25">
      <c r="A41" s="21" t="s">
        <v>71</v>
      </c>
      <c r="B41" s="22" t="s">
        <v>73</v>
      </c>
      <c r="C41" s="21" t="s">
        <v>81</v>
      </c>
      <c r="D41" s="23" t="s">
        <v>32</v>
      </c>
      <c r="E41" s="24"/>
      <c r="F41" s="24"/>
    </row>
    <row r="42" spans="1:6" ht="15.75" x14ac:dyDescent="0.25">
      <c r="A42" s="27"/>
      <c r="B42" s="28"/>
      <c r="C42" s="81"/>
      <c r="D42" s="82"/>
      <c r="E42" s="83"/>
      <c r="F42" s="29">
        <f>SUM(F38:F40)</f>
        <v>0</v>
      </c>
    </row>
    <row r="43" spans="1:6" ht="15.75" x14ac:dyDescent="0.25">
      <c r="A43" s="79" t="s">
        <v>13</v>
      </c>
      <c r="B43" s="79"/>
      <c r="C43" s="79"/>
      <c r="D43" s="79"/>
      <c r="E43" s="80"/>
      <c r="F43" s="7">
        <f>SUM(F12,F18,F24,F30,F36,F42)</f>
        <v>0</v>
      </c>
    </row>
    <row r="47" spans="1:6" x14ac:dyDescent="0.25">
      <c r="B47" t="s">
        <v>74</v>
      </c>
      <c r="C47" s="40"/>
    </row>
    <row r="49" spans="1:12" ht="54.75" customHeight="1" x14ac:dyDescent="0.25">
      <c r="B49" s="42" t="s">
        <v>75</v>
      </c>
      <c r="C49" s="42"/>
      <c r="D49" s="42"/>
      <c r="E49" s="42"/>
      <c r="F49" s="42"/>
    </row>
    <row r="50" spans="1:12" x14ac:dyDescent="0.25">
      <c r="B50" s="38" t="s">
        <v>76</v>
      </c>
      <c r="C50" s="41">
        <v>0</v>
      </c>
    </row>
    <row r="51" spans="1:12" x14ac:dyDescent="0.25">
      <c r="B51" s="38" t="s">
        <v>77</v>
      </c>
      <c r="C51" s="39">
        <f>D42-C50</f>
        <v>0</v>
      </c>
    </row>
    <row r="52" spans="1:12" x14ac:dyDescent="0.25">
      <c r="B52" s="38" t="s">
        <v>78</v>
      </c>
      <c r="C52" s="43"/>
      <c r="D52" s="43"/>
      <c r="E52" s="43"/>
      <c r="F52" s="43"/>
      <c r="G52" s="43"/>
      <c r="H52" s="43"/>
      <c r="I52" s="43"/>
      <c r="J52" s="43"/>
      <c r="K52" s="43"/>
      <c r="L52" s="43"/>
    </row>
    <row r="53" spans="1:12" x14ac:dyDescent="0.25">
      <c r="C53" s="43"/>
      <c r="D53" s="43"/>
      <c r="E53" s="43"/>
      <c r="F53" s="43"/>
      <c r="G53" s="43"/>
      <c r="H53" s="43"/>
      <c r="I53" s="43"/>
      <c r="J53" s="43"/>
      <c r="K53" s="43"/>
      <c r="L53" s="43"/>
    </row>
    <row r="54" spans="1:12" x14ac:dyDescent="0.25">
      <c r="C54" s="43"/>
      <c r="D54" s="43"/>
      <c r="E54" s="43"/>
      <c r="F54" s="43"/>
      <c r="G54" s="43"/>
      <c r="H54" s="43"/>
      <c r="I54" s="43"/>
      <c r="J54" s="43"/>
      <c r="K54" s="43"/>
      <c r="L54" s="43"/>
    </row>
    <row r="55" spans="1:12" x14ac:dyDescent="0.25">
      <c r="C55" s="43"/>
      <c r="D55" s="43"/>
      <c r="E55" s="43"/>
      <c r="F55" s="43"/>
      <c r="G55" s="43"/>
      <c r="H55" s="43"/>
      <c r="I55" s="43"/>
      <c r="J55" s="43"/>
      <c r="K55" s="43"/>
      <c r="L55" s="43"/>
    </row>
    <row r="56" spans="1:12" x14ac:dyDescent="0.25">
      <c r="C56" s="43"/>
      <c r="D56" s="43"/>
      <c r="E56" s="43"/>
      <c r="F56" s="43"/>
      <c r="G56" s="43"/>
      <c r="H56" s="43"/>
      <c r="I56" s="43"/>
      <c r="J56" s="43"/>
      <c r="K56" s="43"/>
      <c r="L56" s="43"/>
    </row>
    <row r="57" spans="1:12" x14ac:dyDescent="0.25">
      <c r="C57" s="43"/>
      <c r="D57" s="43"/>
      <c r="E57" s="43"/>
      <c r="F57" s="43"/>
      <c r="G57" s="43"/>
      <c r="H57" s="43"/>
      <c r="I57" s="43"/>
      <c r="J57" s="43"/>
      <c r="K57" s="43"/>
      <c r="L57" s="43"/>
    </row>
    <row r="58" spans="1:12" x14ac:dyDescent="0.25">
      <c r="C58" s="43"/>
      <c r="D58" s="43"/>
      <c r="E58" s="43"/>
      <c r="F58" s="43"/>
      <c r="G58" s="43"/>
      <c r="H58" s="43"/>
      <c r="I58" s="43"/>
      <c r="J58" s="43"/>
      <c r="K58" s="43"/>
      <c r="L58" s="43"/>
    </row>
    <row r="59" spans="1:12" x14ac:dyDescent="0.25">
      <c r="C59" s="43"/>
      <c r="D59" s="43"/>
      <c r="E59" s="43"/>
      <c r="F59" s="43"/>
      <c r="G59" s="43"/>
      <c r="H59" s="43"/>
      <c r="I59" s="43"/>
      <c r="J59" s="43"/>
      <c r="K59" s="43"/>
      <c r="L59" s="43"/>
    </row>
    <row r="60" spans="1:12" x14ac:dyDescent="0.25">
      <c r="C60" s="43"/>
      <c r="D60" s="43"/>
      <c r="E60" s="43"/>
      <c r="F60" s="43"/>
      <c r="G60" s="43"/>
      <c r="H60" s="43"/>
      <c r="I60" s="43"/>
      <c r="J60" s="43"/>
      <c r="K60" s="43"/>
      <c r="L60" s="43"/>
    </row>
    <row r="63" spans="1:12" ht="15.75" x14ac:dyDescent="0.25">
      <c r="A63" s="44"/>
      <c r="B63" s="45"/>
      <c r="C63" s="18"/>
      <c r="D63" s="46"/>
      <c r="E63" s="47"/>
      <c r="F63" s="48"/>
    </row>
    <row r="64" spans="1:12" ht="15.75" x14ac:dyDescent="0.25">
      <c r="A64" s="11"/>
      <c r="B64" s="12"/>
      <c r="C64" s="19"/>
      <c r="D64" s="49"/>
      <c r="E64" s="50"/>
      <c r="F64" s="51"/>
    </row>
    <row r="65" spans="1:6" ht="15.75" x14ac:dyDescent="0.25">
      <c r="A65" s="11"/>
      <c r="B65" s="12"/>
      <c r="C65" s="19"/>
      <c r="D65" s="49"/>
      <c r="E65" s="50"/>
      <c r="F65" s="51"/>
    </row>
    <row r="66" spans="1:6" ht="15.75" x14ac:dyDescent="0.25">
      <c r="A66" s="11"/>
      <c r="B66" s="12"/>
      <c r="C66" s="19"/>
      <c r="D66" s="49"/>
      <c r="E66" s="50"/>
      <c r="F66" s="51"/>
    </row>
    <row r="67" spans="1:6" ht="15.75" x14ac:dyDescent="0.25">
      <c r="A67" s="11"/>
      <c r="B67" s="12"/>
      <c r="C67" s="19"/>
      <c r="D67" s="49"/>
      <c r="E67" s="50"/>
      <c r="F67" s="51"/>
    </row>
    <row r="68" spans="1:6" ht="15.75" x14ac:dyDescent="0.25">
      <c r="A68" s="11"/>
      <c r="B68" s="12"/>
      <c r="C68" s="19"/>
      <c r="D68" s="49"/>
      <c r="E68" s="50"/>
      <c r="F68" s="51"/>
    </row>
    <row r="69" spans="1:6" ht="15.75" x14ac:dyDescent="0.25">
      <c r="A69" s="11"/>
      <c r="B69" s="12"/>
      <c r="C69" s="19"/>
      <c r="D69" s="49"/>
      <c r="E69" s="50"/>
      <c r="F69" s="51"/>
    </row>
    <row r="70" spans="1:6" ht="15.75" x14ac:dyDescent="0.25">
      <c r="A70" s="13" t="s">
        <v>14</v>
      </c>
      <c r="B70" s="8"/>
      <c r="C70" s="19"/>
      <c r="D70" s="49"/>
      <c r="E70" s="50"/>
      <c r="F70" s="51"/>
    </row>
    <row r="71" spans="1:6" ht="15.75" x14ac:dyDescent="0.25">
      <c r="A71" s="14"/>
      <c r="B71" s="15"/>
      <c r="C71" s="19"/>
      <c r="D71" s="49"/>
      <c r="E71" s="50"/>
      <c r="F71" s="51"/>
    </row>
    <row r="72" spans="1:6" ht="15.75" x14ac:dyDescent="0.25">
      <c r="A72" s="16" t="s">
        <v>16</v>
      </c>
      <c r="B72" s="9"/>
      <c r="C72" s="19"/>
      <c r="D72" s="49"/>
      <c r="E72" s="50"/>
      <c r="F72" s="51"/>
    </row>
    <row r="73" spans="1:6" ht="15.75" x14ac:dyDescent="0.25">
      <c r="A73" s="11"/>
      <c r="B73" s="12"/>
      <c r="C73" s="19"/>
      <c r="D73" s="49"/>
      <c r="E73" s="50"/>
      <c r="F73" s="51"/>
    </row>
    <row r="74" spans="1:6" ht="15.75" x14ac:dyDescent="0.25">
      <c r="A74" s="16" t="s">
        <v>15</v>
      </c>
      <c r="B74" s="9"/>
      <c r="C74" s="19"/>
      <c r="D74" s="49"/>
      <c r="E74" s="50"/>
      <c r="F74" s="51"/>
    </row>
    <row r="75" spans="1:6" ht="15.75" x14ac:dyDescent="0.25">
      <c r="A75" s="17"/>
      <c r="B75" s="10"/>
      <c r="C75" s="20"/>
      <c r="D75" s="52"/>
      <c r="E75" s="53"/>
      <c r="F75" s="54"/>
    </row>
  </sheetData>
  <mergeCells count="27">
    <mergeCell ref="C18:E18"/>
    <mergeCell ref="C24:E24"/>
    <mergeCell ref="C30:E30"/>
    <mergeCell ref="C36:E36"/>
    <mergeCell ref="A31:D31"/>
    <mergeCell ref="A24:B24"/>
    <mergeCell ref="A37:D37"/>
    <mergeCell ref="A43:E43"/>
    <mergeCell ref="C42:E42"/>
    <mergeCell ref="A30:B30"/>
    <mergeCell ref="A36:B36"/>
    <mergeCell ref="B49:F49"/>
    <mergeCell ref="C52:L60"/>
    <mergeCell ref="A63:B63"/>
    <mergeCell ref="D63:F75"/>
    <mergeCell ref="A1:F1"/>
    <mergeCell ref="A7:D7"/>
    <mergeCell ref="A13:D13"/>
    <mergeCell ref="A19:D19"/>
    <mergeCell ref="A4:C4"/>
    <mergeCell ref="A2:C2"/>
    <mergeCell ref="A3:C3"/>
    <mergeCell ref="A5:C5"/>
    <mergeCell ref="D2:F5"/>
    <mergeCell ref="A12:B12"/>
    <mergeCell ref="C12:E12"/>
    <mergeCell ref="A18:B18"/>
  </mergeCells>
  <pageMargins left="0.7" right="0.7" top="0.75" bottom="0.75" header="0.3" footer="0.3"/>
</worksheet>
</file>

<file path=docMetadata/LabelInfo.xml><?xml version="1.0" encoding="utf-8"?>
<clbl:labelList xmlns:clbl="http://schemas.microsoft.com/office/2020/mipLabelMetadata">
  <clbl:label id="{76a3f6ad-3d9b-49ad-9486-10bfd8fef73e}" enabled="1" method="Privileged" siteId="{8903a443-af33-4ed4-acf5-ee613bcb2f5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HT940626QB001 (RFQ)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Biser, Erin L CIV DHA DHA CONTRACTING ACT (USA)</dc:creator>
  <cp:lastModifiedBy>Belsches, Brittany N CIV DHA DHA CONTRACTING ACT (USA)</cp:lastModifiedBy>
  <dcterms:created xsi:type="dcterms:W3CDTF">2025-08-06T14:39:13Z</dcterms:created>
  <dcterms:modified xsi:type="dcterms:W3CDTF">2026-02-26T19:48:11Z</dcterms:modified>
</cp:coreProperties>
</file>