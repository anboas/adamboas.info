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uancarlos_r_belmonte_civ_us_navy_mil/Documents/Documents/Alisons team/N68335-25-RFPREQ-APM261-0115/Solicitation/"/>
    </mc:Choice>
  </mc:AlternateContent>
  <xr:revisionPtr revIDLastSave="1031" documentId="8_{5947FB15-7B48-4DF8-BF54-98BC44BA59B9}" xr6:coauthVersionLast="47" xr6:coauthVersionMax="47" xr10:uidLastSave="{989AD22F-00CF-4FDD-8D44-D13916A76E69}"/>
  <bookViews>
    <workbookView xWindow="-19310" yWindow="-110" windowWidth="19420" windowHeight="11500" activeTab="2" xr2:uid="{00000000-000D-0000-FFFF-FFFF00000000}"/>
  </bookViews>
  <sheets>
    <sheet name="Instructions" sheetId="3" r:id="rId1"/>
    <sheet name="1. Company Info" sheetId="2" r:id="rId2"/>
    <sheet name="2. Pricing - Offeror Complet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69" i="1"/>
  <c r="E68" i="1"/>
  <c r="E67" i="1"/>
  <c r="E65" i="1"/>
  <c r="E64" i="1"/>
  <c r="E63" i="1"/>
  <c r="E61" i="1"/>
  <c r="E60" i="1"/>
  <c r="E59" i="1"/>
  <c r="E57" i="1"/>
  <c r="E56" i="1"/>
  <c r="E55" i="1"/>
  <c r="E53" i="1"/>
  <c r="E52" i="1"/>
  <c r="E51" i="1"/>
  <c r="E49" i="1"/>
  <c r="E48" i="1"/>
  <c r="E47" i="1"/>
  <c r="E45" i="1"/>
  <c r="E44" i="1"/>
  <c r="E43" i="1"/>
  <c r="E41" i="1"/>
  <c r="E40" i="1"/>
  <c r="E39" i="1"/>
  <c r="E37" i="1"/>
  <c r="E36" i="1"/>
  <c r="E35" i="1"/>
  <c r="E33" i="1"/>
  <c r="E32" i="1"/>
  <c r="E31" i="1"/>
  <c r="E29" i="1"/>
  <c r="E28" i="1"/>
  <c r="E27" i="1"/>
  <c r="E25" i="1"/>
  <c r="E24" i="1"/>
  <c r="E23" i="1"/>
  <c r="E21" i="1"/>
  <c r="E20" i="1"/>
  <c r="E19" i="1"/>
  <c r="E17" i="1"/>
  <c r="E16" i="1"/>
  <c r="E15" i="1"/>
  <c r="E13" i="1"/>
  <c r="E12" i="1"/>
  <c r="E11" i="1"/>
  <c r="E9" i="1"/>
  <c r="E8" i="1"/>
  <c r="E7" i="1"/>
  <c r="E5" i="1"/>
  <c r="E4" i="1"/>
  <c r="E3" i="1"/>
  <c r="E77" i="3"/>
  <c r="E76" i="3"/>
  <c r="E75" i="3"/>
  <c r="E73" i="3"/>
  <c r="E72" i="3"/>
  <c r="E71" i="3"/>
  <c r="E69" i="3"/>
  <c r="E68" i="3"/>
  <c r="E67" i="3"/>
  <c r="E65" i="3"/>
  <c r="E64" i="3"/>
  <c r="E63" i="3"/>
  <c r="E61" i="3"/>
  <c r="E60" i="3"/>
  <c r="E59" i="3"/>
  <c r="E45" i="3"/>
  <c r="E27" i="3"/>
  <c r="E28" i="3"/>
  <c r="E35" i="3"/>
  <c r="E36" i="3"/>
  <c r="E34" i="3"/>
  <c r="E56" i="3"/>
  <c r="E57" i="3"/>
  <c r="E55" i="3"/>
  <c r="E52" i="3"/>
  <c r="E53" i="3"/>
  <c r="E51" i="3"/>
  <c r="E48" i="3"/>
  <c r="E49" i="3"/>
  <c r="E47" i="3"/>
  <c r="E43" i="3"/>
  <c r="E44" i="3"/>
  <c r="E42" i="3"/>
  <c r="E39" i="3"/>
  <c r="E40" i="3"/>
  <c r="E38" i="3"/>
  <c r="E31" i="3"/>
  <c r="E32" i="3"/>
  <c r="E30" i="3"/>
  <c r="E26" i="3"/>
  <c r="E22" i="3"/>
  <c r="E23" i="3"/>
  <c r="E24" i="3"/>
  <c r="E19" i="3"/>
  <c r="E20" i="3"/>
  <c r="E18" i="3"/>
  <c r="E15" i="3"/>
  <c r="E16" i="3"/>
  <c r="E14" i="3"/>
  <c r="E10" i="3"/>
  <c r="E11" i="3"/>
  <c r="E12" i="3"/>
  <c r="E82" i="3" l="1"/>
</calcChain>
</file>

<file path=xl/sharedStrings.xml><?xml version="1.0" encoding="utf-8"?>
<sst xmlns="http://schemas.openxmlformats.org/spreadsheetml/2006/main" count="441" uniqueCount="170">
  <si>
    <t>INSTRUCTIONS TO OFFERORS</t>
  </si>
  <si>
    <r>
      <rPr>
        <b/>
        <sz val="11"/>
        <color theme="1"/>
        <rFont val="Calibri"/>
        <family val="2"/>
        <scheme val="minor"/>
      </rPr>
      <t>1. COMPANY INFORMATION TAB</t>
    </r>
    <r>
      <rPr>
        <sz val="11"/>
        <color theme="1"/>
        <rFont val="Calibri"/>
        <family val="2"/>
        <scheme val="minor"/>
      </rPr>
      <t xml:space="preserve">: Offerors shall complete all the green colored cells on the Company Information tab. </t>
    </r>
  </si>
  <si>
    <t>Figure 1:</t>
  </si>
  <si>
    <t>Figure 2:</t>
  </si>
  <si>
    <t>CLIN</t>
  </si>
  <si>
    <t>ITEM</t>
  </si>
  <si>
    <t xml:space="preserve">QUANTITY </t>
  </si>
  <si>
    <t>UNIT PRICE</t>
  </si>
  <si>
    <t>AMOUNT</t>
  </si>
  <si>
    <t>TOTAL EVALUATED PRICE</t>
  </si>
  <si>
    <t>0001</t>
  </si>
  <si>
    <t>0002</t>
  </si>
  <si>
    <t>0003</t>
  </si>
  <si>
    <t>Offeror Company Information</t>
  </si>
  <si>
    <t>Offeror Name:</t>
  </si>
  <si>
    <t>Offeror Street Address:</t>
  </si>
  <si>
    <t>Offeror City:</t>
  </si>
  <si>
    <t>Offeror State:</t>
  </si>
  <si>
    <t>Offeror Zip Code:</t>
  </si>
  <si>
    <t>Offeror Primary Contact Name:</t>
  </si>
  <si>
    <t>Offeror Primary Contact Email:</t>
  </si>
  <si>
    <t>Offeror Primary Contact Phone Number:</t>
  </si>
  <si>
    <t>Offeror DUNS:</t>
  </si>
  <si>
    <t>Offeror CAGE Code:</t>
  </si>
  <si>
    <t>Offeror Secondary Contact Name:</t>
  </si>
  <si>
    <t>Offeror Secondary Contact Email:</t>
  </si>
  <si>
    <t>Offeror Secondary Contact Phone Number:</t>
  </si>
  <si>
    <t>CLIN Number</t>
  </si>
  <si>
    <t>0011</t>
  </si>
  <si>
    <t>0012</t>
  </si>
  <si>
    <t>0013</t>
  </si>
  <si>
    <t>0001AA</t>
  </si>
  <si>
    <t>0001AB</t>
  </si>
  <si>
    <t>0001AC</t>
  </si>
  <si>
    <t>N/A</t>
  </si>
  <si>
    <t>0002AA</t>
  </si>
  <si>
    <t>0002AB</t>
  </si>
  <si>
    <t>0002AC</t>
  </si>
  <si>
    <t>0003AA</t>
  </si>
  <si>
    <t>0003AB</t>
  </si>
  <si>
    <t>0003AC</t>
  </si>
  <si>
    <t>0004</t>
  </si>
  <si>
    <t>0004AA</t>
  </si>
  <si>
    <t>0004AB</t>
  </si>
  <si>
    <t>0004AC</t>
  </si>
  <si>
    <t>0005</t>
  </si>
  <si>
    <t>0005AA</t>
  </si>
  <si>
    <t>0005AB</t>
  </si>
  <si>
    <t>0005AC</t>
  </si>
  <si>
    <t>0006</t>
  </si>
  <si>
    <t>0006AA</t>
  </si>
  <si>
    <t>0006AB</t>
  </si>
  <si>
    <t>0006AC</t>
  </si>
  <si>
    <t>0007</t>
  </si>
  <si>
    <t>0007AA</t>
  </si>
  <si>
    <t>0007AB</t>
  </si>
  <si>
    <t>0007AC</t>
  </si>
  <si>
    <t>0008</t>
  </si>
  <si>
    <t>0008AA</t>
  </si>
  <si>
    <t>0008AB</t>
  </si>
  <si>
    <t>0008AC</t>
  </si>
  <si>
    <t>0009</t>
  </si>
  <si>
    <t>0009AA</t>
  </si>
  <si>
    <t>0009AB</t>
  </si>
  <si>
    <t>0009AC</t>
  </si>
  <si>
    <t>0010</t>
  </si>
  <si>
    <t>0010AA</t>
  </si>
  <si>
    <t>0010AB</t>
  </si>
  <si>
    <t>0010AC</t>
  </si>
  <si>
    <t>0011AA</t>
  </si>
  <si>
    <t>0011AB</t>
  </si>
  <si>
    <t>0011AC</t>
  </si>
  <si>
    <t>0012AA</t>
  </si>
  <si>
    <t>0012AB</t>
  </si>
  <si>
    <t>0012AC</t>
  </si>
  <si>
    <t>0013AA</t>
  </si>
  <si>
    <t>0013AB</t>
  </si>
  <si>
    <t>0013AC</t>
  </si>
  <si>
    <t>NSP</t>
  </si>
  <si>
    <t>Technical Data for CLINs</t>
  </si>
  <si>
    <r>
      <rPr>
        <b/>
        <sz val="11"/>
        <rFont val="Calibri"/>
        <family val="2"/>
        <scheme val="minor"/>
      </rPr>
      <t>2. PRICING  TAB</t>
    </r>
    <r>
      <rPr>
        <sz val="11"/>
        <rFont val="Calibri"/>
        <family val="2"/>
        <scheme val="minor"/>
      </rPr>
      <t>: Offerors shall propose Fixed-Price unit prices in the green colored cells in column D for each Contract Line Item as applicable.  All cells that are filled in with the color as that of Figure 1 below shall have a unit priced inserted. All Firm-Fixed-Price unit prices proposed in the Pricing tab, if awarded, shall be the contractual amounts. The amount in cell E61 of Figure 2 (E54 of the Pricing tab) is derived from the sum of the blue cells above them for each respective CLIN/SLIN. Figure 2 below provides an example of what a populated pricing tab shall look like.*DO NOT PRICE CDRLs; CDRLs are NOT SEPERATELY PRICED (NSP)</t>
    </r>
  </si>
  <si>
    <t>Sling, Pitch Change Shaft &amp; Tail Rotor Servo; P/N 4158AS0840-1; NSN: 4920-01-693-5365</t>
  </si>
  <si>
    <t>Sling, Pitch Change Shaft &amp; Tail Rotor Servo (Domestic CHK-53K Program)</t>
  </si>
  <si>
    <t>Sling, Pitch Change Shaft &amp; Tail Rotor Servo (FMS Israel)</t>
  </si>
  <si>
    <t>Sling, Pitch Change Shaft &amp; Tail Rotor Servo (Option-Domestic CHK-53K Program)</t>
  </si>
  <si>
    <t>Sling, Braking System, Main Rotor; P/N: 4158AS0870-1; NSN 1730-01-686-8524</t>
  </si>
  <si>
    <t>Sling, Braking System, Main Rotor;  (Domestic CHK-53K Program)</t>
  </si>
  <si>
    <t>Sling, Braking System, Main Rotor; (FMS Israel)</t>
  </si>
  <si>
    <t>Sling, Braking System, Main Rotor;  (Option-Domestic CHK-53K Program)</t>
  </si>
  <si>
    <t>Sling, Oil Cooler; P/N 4158AS0880-1; NSN 4940-01-694-3595</t>
  </si>
  <si>
    <t>Sling, Oil Cooler (Domestic CHK-53K Program)</t>
  </si>
  <si>
    <t>Sling, Oil Cooler (FMS Israel)</t>
  </si>
  <si>
    <t>Sling, Oil Cooler (Option-Domestic CHK-53K Program)</t>
  </si>
  <si>
    <t>Sling, Dockside Loading; P/N: 4158AS1000-1; NSN 1730-01-694-2574</t>
  </si>
  <si>
    <t>Sling, Dockside Loading  (Domestic CHK-53K Program)</t>
  </si>
  <si>
    <t>Sling, Dockside Loading  (FMS Israel)</t>
  </si>
  <si>
    <t>Sling, Dockside Loading (Option-Domestic CHK-53K Program)</t>
  </si>
  <si>
    <t>Fixture, Rod End, Main Rotor Damper; P/N: 4158AS1045-1; NSN 1650-01-690-1200</t>
  </si>
  <si>
    <t>Fixture, Rod End, Main Rotor Damper (Domestic CHK-53K Program)</t>
  </si>
  <si>
    <t>Fixture, Rod End, Main Rotor Damper (FMS Israel)</t>
  </si>
  <si>
    <t>Fixture, Rod End, Main Rotor Damper(Option-Domestic CHK-53K Program)</t>
  </si>
  <si>
    <t>Sling, Tail Stabilizer (Domestic CHK-53K Program)</t>
  </si>
  <si>
    <t>Sling, Tail Stabilizer (FMS Israel)</t>
  </si>
  <si>
    <t>Sling, Tail Stabilizer (Option-Domestic CHK-53K Program)</t>
  </si>
  <si>
    <t xml:space="preserve">Sling, Tail Stabilizer; P/N 4158AS1080-1; NSN 3940-01-694-1046 </t>
  </si>
  <si>
    <t>Sling, Main Rotor Damper (Domestic CHK-53K Program)</t>
  </si>
  <si>
    <t>Sling, Main Rotor Damper (FMS Israel)</t>
  </si>
  <si>
    <t>Sling, Main Rotor Damper (Option-Domestic CHK-53K Program)</t>
  </si>
  <si>
    <t>Sling, Swashplate Assembly; P/N 4158AS0120-1; NSN 4920-01-691-9796</t>
  </si>
  <si>
    <t>Sling, Swashplate Assembly (Domestic CHK-53K Program)</t>
  </si>
  <si>
    <t>Sling, Swashplate Assembly (FMS Israel)</t>
  </si>
  <si>
    <t>0009AD</t>
  </si>
  <si>
    <t>Sling, Swashplate Assembly (AEPD Plus up)</t>
  </si>
  <si>
    <t>Sling, Yoke and Focal Bearing Assembly; P/N 4158AS0145-1; NSN: 3940-01-693-8248</t>
  </si>
  <si>
    <t>Sling, Yoke and Focal Bearing Assembly (Domestic CHK-53K Program)</t>
  </si>
  <si>
    <t>Sling, Yoke and Focal Bearing Assembly (FMS Israel)</t>
  </si>
  <si>
    <t>Sling, Yoke and Focal Bearing Assembly (Option-Domestic CHK-53K Program)</t>
  </si>
  <si>
    <t>Sling, Sleeve and Hinge Cuff; P/N: 4158AS0153-1; NSN 5340-01-692-2427</t>
  </si>
  <si>
    <t>Sling, Sleeve and Hinge Cuff (Domestic CHK-53K Program)</t>
  </si>
  <si>
    <t>Sling, Sleeve and Hinge Cuff (FMS Israel)</t>
  </si>
  <si>
    <t>Sling, Sleeve and Hinge Cuff (Option-Domestic CHK-53K Program)</t>
  </si>
  <si>
    <t>Sling, OBIGGS; P/N: 4158AS0177-1; NSN 4730-01-047-3091</t>
  </si>
  <si>
    <t>Sling, OBIGGS (Domestic CHK-53K Program)</t>
  </si>
  <si>
    <t>Sling, OBIGGS (FMS Israel)</t>
  </si>
  <si>
    <t>Sling, OBIGGS (Option-Domestic CHK-53K Program)</t>
  </si>
  <si>
    <t>Sling, Intermediate Gearbox; P/N: 4158AS0192-1; NSN 1730-01-694-3042</t>
  </si>
  <si>
    <t>Sling, Intermediate Gearbox (Domestic CHK-53K Program)</t>
  </si>
  <si>
    <t>Sling, Intermediate Gearbox (FMS Israel)</t>
  </si>
  <si>
    <t>Sling, Intermediate Gearbox (Option-Domestic CHK-53K Program)</t>
  </si>
  <si>
    <t>0014</t>
  </si>
  <si>
    <t>0014AA</t>
  </si>
  <si>
    <t>0014AB</t>
  </si>
  <si>
    <t>0014AC</t>
  </si>
  <si>
    <t>Sling, Pilot/Co-Pilot Seat (Domestic CHK-53K Program)</t>
  </si>
  <si>
    <t>Sling, Pilot/Co-Pilot Seat (FMS Israel)</t>
  </si>
  <si>
    <t>Sling, Pilot/Co-Pilot Seat (Option-Domestic CHK-53K Program)</t>
  </si>
  <si>
    <t>Sling, Tail Stabilizer; P/N: 4158AS0216-1; NSN 1730-01-695-9906</t>
  </si>
  <si>
    <t>0015</t>
  </si>
  <si>
    <t>0015AA</t>
  </si>
  <si>
    <t>0015AB</t>
  </si>
  <si>
    <t>0015AC</t>
  </si>
  <si>
    <t>0016</t>
  </si>
  <si>
    <t>0016AA</t>
  </si>
  <si>
    <t>0016AB</t>
  </si>
  <si>
    <t>0016AC</t>
  </si>
  <si>
    <t>Separator, Main Rotor Head; P/N: 4158AS0224-1; NSN 1730-01-676-6806</t>
  </si>
  <si>
    <t>Separator, Main Rotor Head (Domestic CHK-53K Program)</t>
  </si>
  <si>
    <t>Separator, Main Rotor Head (FMS Israel)</t>
  </si>
  <si>
    <t>Separator, Main Rotor Head (Option-Domestic CHK-53K Program)</t>
  </si>
  <si>
    <t>0017</t>
  </si>
  <si>
    <t>0017AA</t>
  </si>
  <si>
    <t>0017AB</t>
  </si>
  <si>
    <t>0017AC</t>
  </si>
  <si>
    <t>Sling, Main Gearbox (FMS Israel)</t>
  </si>
  <si>
    <t>Sling, Main Gearbox (Option-Domestic CHK-53K Program)</t>
  </si>
  <si>
    <t>Sling, Stepdown Adapter, Overhead Crane; P/N 4158AS0992-1; NSN 5340-01-694-2012</t>
  </si>
  <si>
    <t>Sling, Stepdown Adapter, Overhead Crane (Domestic CHK-53K Program)</t>
  </si>
  <si>
    <t>Sling, Stepdown Adapter, Overhead Crane (FMS Israel)</t>
  </si>
  <si>
    <t>Sling, Stepdown Adapter, Overhead Crane (Option-Domestic CHK-53K Program)</t>
  </si>
  <si>
    <t xml:space="preserve">Technical Data for SLINs 0001-0012 0001AB, 0002AB, 0003AB, 0004AB, 0005AB, 0006AB, 0007AB, 0008AB, 0009AB, 0010AB, 0011AB, 0012AB, 0013AB, 0014AB , 0015AB, 0016AB, 0017AB </t>
  </si>
  <si>
    <t>0018</t>
  </si>
  <si>
    <t>0018AA</t>
  </si>
  <si>
    <t>0018AB</t>
  </si>
  <si>
    <t>0018AC</t>
  </si>
  <si>
    <t>QUANTITY</t>
  </si>
  <si>
    <t>Sling, Main Rotor Damper; P/N 4158AS0107-1 ; NSN 5340-01-693-2796</t>
  </si>
  <si>
    <t>Sling, Pilot/Co-Pilot Seat; P/N: 4158AS0211-10; NSN TBD</t>
  </si>
  <si>
    <t>Sling, Main Gearbox; P/N :4158AS0300-10; NSN TBD</t>
  </si>
  <si>
    <t>Technical Data for SLINs 0001-0012 0001AA, 0002AA, 0003AA, 0004AA, 0005AA, 0006AA, 0007AA, 0008AA, 0009AA, 0010AA, 0011AA, 0012AA, 0013AA, 0014AA , 0015AA, 0016AA</t>
  </si>
  <si>
    <t xml:space="preserve">Technical Data for SLINs 0001-0012 0001AC, 0002AC, 0003AC, 0004AC, 0005AC, 0006AC, 0007AC, 0008AC, 0009AC, 0010AC, 0011AC, 0012AC, 0013AC, 0014AC, 0015AC, 0016AC, 0017AA, 0017AC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</si>
</sst>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000"/>
    <numFmt numFmtId="165" formatCode="&quot;$&quot;#,##0.00"/>
    <numFmt numFmtId="166" formatCode="0.0"/>
  </numFmts>
  <fonts count="20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2"/>
      <color theme="1"/>
      <name val="Cambria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222222"/>
      <name val="Arial"/>
      <family val="2"/>
    </font>
    <font>
      <sz val="10"/>
      <color rgb="FF22222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41">
    <xf numFmtId="0" fontId="0" fillId="0" borderId="0" xfId="0"/>
    <xf numFmtId="0" fontId="2" fillId="4" borderId="0" xfId="0" applyFont="1" applyFill="1" applyAlignment="1" applyProtection="1">
      <alignment horizontal="center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Protection="1">
      <protection locked="0"/>
    </xf>
    <xf numFmtId="164" fontId="5" fillId="0" borderId="0" xfId="0" applyNumberFormat="1" applyFont="1" applyAlignment="1" applyProtection="1">
      <alignment horizontal="left" vertical="center"/>
      <protection locked="0" hidden="1"/>
    </xf>
    <xf numFmtId="164" fontId="2" fillId="4" borderId="0" xfId="0" applyNumberFormat="1" applyFont="1" applyFill="1" applyAlignment="1" applyProtection="1">
      <alignment horizontal="left" vertical="center"/>
      <protection locked="0" hidden="1"/>
    </xf>
    <xf numFmtId="165" fontId="2" fillId="4" borderId="0" xfId="0" applyNumberFormat="1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4" borderId="0" xfId="0" applyFont="1" applyFill="1" applyAlignment="1" applyProtection="1">
      <alignment horizontal="left"/>
      <protection locked="0"/>
    </xf>
    <xf numFmtId="49" fontId="5" fillId="4" borderId="0" xfId="0" applyNumberFormat="1" applyFont="1" applyFill="1" applyAlignment="1" applyProtection="1">
      <alignment horizontal="right" vertical="center"/>
      <protection locked="0"/>
    </xf>
    <xf numFmtId="165" fontId="5" fillId="4" borderId="0" xfId="0" applyNumberFormat="1" applyFont="1" applyFill="1" applyAlignment="1" applyProtection="1">
      <alignment horizontal="right" vertical="center"/>
      <protection locked="0"/>
    </xf>
    <xf numFmtId="49" fontId="5" fillId="4" borderId="0" xfId="0" applyNumberFormat="1" applyFont="1" applyFill="1" applyAlignment="1" applyProtection="1">
      <alignment horizontal="center" vertical="center"/>
      <protection locked="0"/>
    </xf>
    <xf numFmtId="165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right"/>
      <protection locked="0"/>
    </xf>
    <xf numFmtId="49" fontId="2" fillId="4" borderId="0" xfId="0" applyNumberFormat="1" applyFont="1" applyFill="1" applyAlignment="1" applyProtection="1">
      <alignment horizontal="center" vertical="center"/>
      <protection locked="0"/>
    </xf>
    <xf numFmtId="0" fontId="5" fillId="4" borderId="0" xfId="0" applyFont="1" applyFill="1" applyProtection="1">
      <protection locked="0"/>
    </xf>
    <xf numFmtId="165" fontId="6" fillId="4" borderId="0" xfId="0" applyNumberFormat="1" applyFont="1" applyFill="1" applyAlignment="1" applyProtection="1">
      <alignment horizontal="right"/>
      <protection locked="0"/>
    </xf>
    <xf numFmtId="165" fontId="6" fillId="0" borderId="0" xfId="0" applyNumberFormat="1" applyFont="1" applyAlignment="1" applyProtection="1">
      <alignment horizontal="right"/>
      <protection locked="0"/>
    </xf>
    <xf numFmtId="165" fontId="3" fillId="0" borderId="0" xfId="0" applyNumberFormat="1" applyFont="1" applyAlignment="1" applyProtection="1">
      <alignment horizontal="right"/>
      <protection locked="0"/>
    </xf>
    <xf numFmtId="165" fontId="3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 vertical="center"/>
      <protection locked="0" hidden="1"/>
    </xf>
    <xf numFmtId="164" fontId="5" fillId="4" borderId="0" xfId="0" applyNumberFormat="1" applyFont="1" applyFill="1" applyAlignment="1" applyProtection="1">
      <alignment horizontal="left" vertical="center"/>
      <protection locked="0" hidden="1"/>
    </xf>
    <xf numFmtId="164" fontId="2" fillId="4" borderId="0" xfId="0" applyNumberFormat="1" applyFont="1" applyFill="1" applyAlignment="1" applyProtection="1">
      <alignment horizontal="right" vertical="center"/>
      <protection locked="0" hidden="1"/>
    </xf>
    <xf numFmtId="165" fontId="6" fillId="0" borderId="0" xfId="0" applyNumberFormat="1" applyFont="1" applyAlignment="1">
      <alignment horizontal="right"/>
    </xf>
    <xf numFmtId="165" fontId="2" fillId="4" borderId="0" xfId="0" applyNumberFormat="1" applyFont="1" applyFill="1" applyAlignment="1" applyProtection="1">
      <alignment horizontal="right"/>
      <protection locked="0"/>
    </xf>
    <xf numFmtId="165" fontId="5" fillId="4" borderId="0" xfId="0" applyNumberFormat="1" applyFont="1" applyFill="1" applyAlignment="1" applyProtection="1">
      <alignment horizontal="right"/>
      <protection locked="0"/>
    </xf>
    <xf numFmtId="165" fontId="2" fillId="4" borderId="0" xfId="0" applyNumberFormat="1" applyFont="1" applyFill="1" applyAlignment="1" applyProtection="1">
      <alignment horizontal="right" vertical="center" wrapText="1"/>
      <protection locked="0" hidden="1"/>
    </xf>
    <xf numFmtId="49" fontId="5" fillId="4" borderId="0" xfId="0" applyNumberFormat="1" applyFont="1" applyFill="1" applyAlignment="1" applyProtection="1">
      <alignment horizontal="center" vertical="center" wrapText="1"/>
      <protection locked="0" hidden="1"/>
    </xf>
    <xf numFmtId="165" fontId="5" fillId="4" borderId="0" xfId="0" applyNumberFormat="1" applyFont="1" applyFill="1" applyAlignment="1" applyProtection="1">
      <alignment horizontal="right" vertical="center" wrapText="1"/>
      <protection locked="0" hidden="1"/>
    </xf>
    <xf numFmtId="0" fontId="7" fillId="4" borderId="0" xfId="0" applyFont="1" applyFill="1" applyProtection="1">
      <protection locked="0"/>
    </xf>
    <xf numFmtId="166" fontId="2" fillId="4" borderId="0" xfId="0" applyNumberFormat="1" applyFont="1" applyFill="1" applyAlignment="1" applyProtection="1">
      <alignment horizontal="center" vertical="center" wrapText="1"/>
      <protection locked="0"/>
    </xf>
    <xf numFmtId="164" fontId="5" fillId="4" borderId="0" xfId="0" applyNumberFormat="1" applyFont="1" applyFill="1" applyAlignment="1" applyProtection="1">
      <alignment horizontal="left" vertical="center" wrapText="1"/>
      <protection locked="0" hidden="1"/>
    </xf>
    <xf numFmtId="164" fontId="5" fillId="0" borderId="0" xfId="0" applyNumberFormat="1" applyFont="1" applyAlignment="1" applyProtection="1">
      <alignment horizontal="left" vertical="center" wrapText="1"/>
      <protection locked="0" hidden="1"/>
    </xf>
    <xf numFmtId="165" fontId="2" fillId="4" borderId="0" xfId="0" applyNumberFormat="1" applyFont="1" applyFill="1" applyAlignment="1" applyProtection="1">
      <alignment vertical="center" wrapText="1"/>
      <protection locked="0" hidden="1"/>
    </xf>
    <xf numFmtId="164" fontId="2" fillId="4" borderId="0" xfId="0" applyNumberFormat="1" applyFont="1" applyFill="1" applyAlignment="1" applyProtection="1">
      <alignment horizontal="left" vertical="center" wrapText="1"/>
      <protection locked="0" hidden="1"/>
    </xf>
    <xf numFmtId="166" fontId="5" fillId="4" borderId="0" xfId="0" applyNumberFormat="1" applyFont="1" applyFill="1" applyAlignment="1" applyProtection="1">
      <alignment horizontal="center" vertical="center" wrapText="1"/>
      <protection locked="0"/>
    </xf>
    <xf numFmtId="165" fontId="5" fillId="4" borderId="0" xfId="0" applyNumberFormat="1" applyFont="1" applyFill="1" applyAlignment="1" applyProtection="1">
      <alignment horizontal="center" vertical="center" wrapText="1"/>
      <protection locked="0"/>
    </xf>
    <xf numFmtId="164" fontId="5" fillId="0" borderId="0" xfId="1" applyNumberFormat="1" applyFont="1" applyAlignment="1" applyProtection="1">
      <alignment horizontal="left" vertical="center" wrapText="1"/>
      <protection locked="0" hidden="1"/>
    </xf>
    <xf numFmtId="165" fontId="6" fillId="0" borderId="0" xfId="0" applyNumberFormat="1" applyFont="1" applyProtection="1">
      <protection locked="0"/>
    </xf>
    <xf numFmtId="164" fontId="2" fillId="4" borderId="0" xfId="1" applyNumberFormat="1" applyFont="1" applyFill="1" applyAlignment="1" applyProtection="1">
      <alignment horizontal="left" vertical="center" wrapText="1"/>
      <protection locked="0" hidden="1"/>
    </xf>
    <xf numFmtId="49" fontId="5" fillId="4" borderId="0" xfId="0" applyNumberFormat="1" applyFont="1" applyFill="1" applyAlignment="1" applyProtection="1">
      <alignment horizontal="left" vertical="center"/>
      <protection locked="0" hidden="1"/>
    </xf>
    <xf numFmtId="49" fontId="5" fillId="0" borderId="0" xfId="0" applyNumberFormat="1" applyFont="1" applyAlignment="1" applyProtection="1">
      <alignment horizontal="left" vertical="center" wrapText="1"/>
      <protection locked="0" hidden="1"/>
    </xf>
    <xf numFmtId="0" fontId="6" fillId="4" borderId="0" xfId="0" applyFont="1" applyFill="1" applyAlignment="1" applyProtection="1">
      <alignment horizontal="right"/>
      <protection locked="0"/>
    </xf>
    <xf numFmtId="0" fontId="6" fillId="0" borderId="0" xfId="0" applyFont="1" applyProtection="1">
      <protection locked="0"/>
    </xf>
    <xf numFmtId="49" fontId="2" fillId="4" borderId="0" xfId="0" applyNumberFormat="1" applyFont="1" applyFill="1" applyAlignment="1" applyProtection="1">
      <alignment horizontal="left" vertical="center" wrapText="1"/>
      <protection locked="0" hidden="1"/>
    </xf>
    <xf numFmtId="166" fontId="5" fillId="4" borderId="0" xfId="0" applyNumberFormat="1" applyFont="1" applyFill="1" applyAlignment="1" applyProtection="1">
      <alignment horizontal="right" vertical="center" wrapText="1"/>
      <protection locked="0"/>
    </xf>
    <xf numFmtId="165" fontId="5" fillId="4" borderId="0" xfId="0" applyNumberFormat="1" applyFont="1" applyFill="1" applyAlignment="1" applyProtection="1">
      <alignment horizontal="right" vertical="center" wrapText="1"/>
      <protection locked="0"/>
    </xf>
    <xf numFmtId="166" fontId="2" fillId="4" borderId="0" xfId="0" applyNumberFormat="1" applyFont="1" applyFill="1" applyAlignment="1" applyProtection="1">
      <alignment horizontal="right" vertical="center" wrapText="1"/>
      <protection locked="0"/>
    </xf>
    <xf numFmtId="49" fontId="5" fillId="0" borderId="0" xfId="0" applyNumberFormat="1" applyFont="1" applyAlignment="1" applyProtection="1">
      <alignment horizontal="right" vertical="center" wrapText="1"/>
      <protection locked="0" hidden="1"/>
    </xf>
    <xf numFmtId="49" fontId="2" fillId="0" borderId="0" xfId="0" applyNumberFormat="1" applyFont="1" applyAlignment="1" applyProtection="1">
      <alignment horizontal="left" vertical="center" wrapText="1"/>
      <protection locked="0" hidden="1"/>
    </xf>
    <xf numFmtId="49" fontId="2" fillId="4" borderId="0" xfId="0" applyNumberFormat="1" applyFont="1" applyFill="1" applyAlignment="1" applyProtection="1">
      <alignment horizontal="right" vertical="center" wrapText="1"/>
      <protection locked="0" hidden="1"/>
    </xf>
    <xf numFmtId="165" fontId="9" fillId="4" borderId="0" xfId="0" applyNumberFormat="1" applyFont="1" applyFill="1" applyAlignment="1" applyProtection="1">
      <alignment horizontal="right"/>
      <protection locked="0"/>
    </xf>
    <xf numFmtId="49" fontId="5" fillId="4" borderId="0" xfId="0" applyNumberFormat="1" applyFont="1" applyFill="1" applyAlignment="1" applyProtection="1">
      <alignment horizontal="right" vertical="center" wrapText="1"/>
      <protection locked="0" hidden="1"/>
    </xf>
    <xf numFmtId="165" fontId="5" fillId="4" borderId="0" xfId="0" applyNumberFormat="1" applyFont="1" applyFill="1" applyAlignment="1" applyProtection="1">
      <alignment horizontal="center" vertical="center" wrapText="1"/>
      <protection locked="0" hidden="1"/>
    </xf>
    <xf numFmtId="0" fontId="3" fillId="4" borderId="0" xfId="0" applyFont="1" applyFill="1" applyProtection="1">
      <protection locked="0"/>
    </xf>
    <xf numFmtId="165" fontId="5" fillId="4" borderId="0" xfId="0" applyNumberFormat="1" applyFont="1" applyFill="1" applyAlignment="1" applyProtection="1">
      <alignment vertical="center" wrapText="1"/>
      <protection locked="0" hidden="1"/>
    </xf>
    <xf numFmtId="0" fontId="2" fillId="4" borderId="0" xfId="0" applyFont="1" applyFill="1" applyProtection="1">
      <protection locked="0"/>
    </xf>
    <xf numFmtId="0" fontId="2" fillId="0" borderId="0" xfId="0" applyFont="1" applyProtection="1">
      <protection locked="0"/>
    </xf>
    <xf numFmtId="165" fontId="6" fillId="4" borderId="0" xfId="0" applyNumberFormat="1" applyFont="1" applyFill="1" applyProtection="1">
      <protection locked="0"/>
    </xf>
    <xf numFmtId="0" fontId="12" fillId="2" borderId="1" xfId="0" applyFont="1" applyFill="1" applyBorder="1"/>
    <xf numFmtId="0" fontId="11" fillId="2" borderId="1" xfId="0" applyFont="1" applyFill="1" applyBorder="1"/>
    <xf numFmtId="0" fontId="10" fillId="0" borderId="1" xfId="0" applyFont="1" applyBorder="1"/>
    <xf numFmtId="0" fontId="10" fillId="5" borderId="1" xfId="0" applyFont="1" applyFill="1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center"/>
    </xf>
    <xf numFmtId="8" fontId="0" fillId="5" borderId="0" xfId="0" applyNumberFormat="1" applyFill="1" applyAlignment="1">
      <alignment horizontal="center" wrapText="1"/>
    </xf>
    <xf numFmtId="8" fontId="0" fillId="0" borderId="0" xfId="0" applyNumberFormat="1" applyAlignment="1">
      <alignment horizontal="center" wrapText="1"/>
    </xf>
    <xf numFmtId="0" fontId="6" fillId="0" borderId="0" xfId="0" applyFont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 applyProtection="1">
      <alignment horizontal="center" vertical="center" wrapText="1"/>
      <protection hidden="1"/>
    </xf>
    <xf numFmtId="164" fontId="1" fillId="3" borderId="0" xfId="0" applyNumberFormat="1" applyFont="1" applyFill="1" applyAlignment="1" applyProtection="1">
      <alignment horizontal="center" vertical="center" wrapText="1"/>
      <protection hidden="1"/>
    </xf>
    <xf numFmtId="49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2" fillId="5" borderId="1" xfId="0" applyNumberFormat="1" applyFont="1" applyFill="1" applyBorder="1" applyAlignment="1" applyProtection="1">
      <alignment vertical="center"/>
      <protection locked="0"/>
    </xf>
    <xf numFmtId="165" fontId="0" fillId="0" borderId="0" xfId="0" applyNumberFormat="1" applyAlignment="1">
      <alignment horizontal="right" wrapText="1"/>
    </xf>
    <xf numFmtId="165" fontId="0" fillId="0" borderId="0" xfId="0" applyNumberFormat="1"/>
    <xf numFmtId="165" fontId="10" fillId="0" borderId="0" xfId="0" applyNumberFormat="1" applyFont="1"/>
    <xf numFmtId="0" fontId="10" fillId="0" borderId="0" xfId="0" applyFont="1"/>
    <xf numFmtId="164" fontId="2" fillId="0" borderId="0" xfId="0" applyNumberFormat="1" applyFont="1" applyAlignment="1" applyProtection="1">
      <alignment horizontal="left" vertical="center"/>
      <protection hidden="1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 applyProtection="1">
      <alignment horizontal="center" vertical="center" wrapText="1"/>
      <protection hidden="1"/>
    </xf>
    <xf numFmtId="165" fontId="14" fillId="4" borderId="0" xfId="0" applyNumberFormat="1" applyFont="1" applyFill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 applyProtection="1">
      <alignment horizontal="left" vertical="center"/>
      <protection hidden="1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4" fontId="5" fillId="4" borderId="0" xfId="0" applyNumberFormat="1" applyFont="1" applyFill="1" applyAlignment="1" applyProtection="1">
      <alignment horizontal="left" vertical="center"/>
      <protection hidden="1"/>
    </xf>
    <xf numFmtId="164" fontId="2" fillId="4" borderId="0" xfId="0" applyNumberFormat="1" applyFont="1" applyFill="1" applyAlignment="1" applyProtection="1">
      <alignment horizontal="left" vertical="center"/>
      <protection hidden="1"/>
    </xf>
    <xf numFmtId="1" fontId="5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/>
    </xf>
    <xf numFmtId="1" fontId="2" fillId="4" borderId="0" xfId="0" applyNumberFormat="1" applyFont="1" applyFill="1" applyAlignment="1">
      <alignment horizontal="center" vertical="center"/>
    </xf>
    <xf numFmtId="165" fontId="2" fillId="4" borderId="0" xfId="0" applyNumberFormat="1" applyFont="1" applyFill="1" applyAlignment="1">
      <alignment vertical="center"/>
    </xf>
    <xf numFmtId="164" fontId="2" fillId="0" borderId="0" xfId="0" applyNumberFormat="1" applyFont="1" applyAlignment="1" applyProtection="1">
      <alignment horizontal="center" vertical="center"/>
      <protection hidden="1"/>
    </xf>
    <xf numFmtId="1" fontId="5" fillId="4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165" fontId="2" fillId="6" borderId="1" xfId="0" applyNumberFormat="1" applyFont="1" applyFill="1" applyBorder="1" applyAlignment="1">
      <alignment vertical="center"/>
    </xf>
    <xf numFmtId="164" fontId="5" fillId="4" borderId="0" xfId="0" applyNumberFormat="1" applyFont="1" applyFill="1" applyAlignment="1" applyProtection="1">
      <alignment vertical="center" wrapText="1"/>
      <protection locked="0" hidden="1"/>
    </xf>
    <xf numFmtId="0" fontId="0" fillId="0" borderId="0" xfId="0" applyAlignment="1" applyProtection="1">
      <alignment horizontal="left"/>
      <protection locked="0"/>
    </xf>
    <xf numFmtId="0" fontId="0" fillId="4" borderId="0" xfId="0" applyFill="1" applyAlignment="1" applyProtection="1">
      <alignment horizontal="left"/>
      <protection locked="0"/>
    </xf>
    <xf numFmtId="0" fontId="0" fillId="4" borderId="0" xfId="0" applyFill="1" applyAlignment="1" applyProtection="1">
      <alignment horizontal="right"/>
      <protection locked="0"/>
    </xf>
    <xf numFmtId="0" fontId="0" fillId="0" borderId="0" xfId="0" applyProtection="1">
      <protection locked="0"/>
    </xf>
    <xf numFmtId="49" fontId="0" fillId="0" borderId="1" xfId="0" quotePrefix="1" applyNumberFormat="1" applyBorder="1" applyAlignment="1">
      <alignment horizontal="center"/>
    </xf>
    <xf numFmtId="0" fontId="10" fillId="0" borderId="0" xfId="0" quotePrefix="1" applyFont="1" applyAlignment="1">
      <alignment horizontal="center"/>
    </xf>
    <xf numFmtId="165" fontId="10" fillId="6" borderId="2" xfId="0" applyNumberFormat="1" applyFont="1" applyFill="1" applyBorder="1" applyAlignment="1">
      <alignment horizontal="right" wrapText="1"/>
    </xf>
    <xf numFmtId="0" fontId="0" fillId="0" borderId="1" xfId="0" applyBorder="1"/>
    <xf numFmtId="0" fontId="15" fillId="2" borderId="3" xfId="0" applyFont="1" applyFill="1" applyBorder="1" applyAlignment="1" applyProtection="1">
      <alignment horizontal="center" vertical="center"/>
      <protection locked="0"/>
    </xf>
    <xf numFmtId="0" fontId="15" fillId="2" borderId="4" xfId="0" applyFont="1" applyFill="1" applyBorder="1" applyAlignment="1" applyProtection="1">
      <alignment horizontal="center" vertical="center"/>
      <protection locked="0"/>
    </xf>
    <xf numFmtId="164" fontId="15" fillId="2" borderId="4" xfId="0" applyNumberFormat="1" applyFont="1" applyFill="1" applyBorder="1" applyAlignment="1" applyProtection="1">
      <alignment horizontal="center" vertical="center" wrapText="1"/>
      <protection locked="0" hidden="1"/>
    </xf>
    <xf numFmtId="164" fontId="15" fillId="3" borderId="5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0" borderId="1" xfId="0" applyFont="1" applyBorder="1" applyAlignment="1">
      <alignment vertical="center"/>
    </xf>
    <xf numFmtId="0" fontId="18" fillId="0" borderId="0" xfId="0" applyFont="1"/>
    <xf numFmtId="0" fontId="4" fillId="0" borderId="1" xfId="0" applyFont="1" applyBorder="1" applyAlignment="1">
      <alignment vertical="center" wrapText="1"/>
    </xf>
    <xf numFmtId="165" fontId="2" fillId="0" borderId="1" xfId="0" applyNumberFormat="1" applyFont="1" applyFill="1" applyBorder="1" applyAlignment="1" applyProtection="1">
      <alignment vertical="center"/>
      <protection locked="0"/>
    </xf>
    <xf numFmtId="0" fontId="4" fillId="0" borderId="1" xfId="0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164" fontId="15" fillId="7" borderId="5" xfId="0" applyNumberFormat="1" applyFont="1" applyFill="1" applyBorder="1" applyAlignment="1" applyProtection="1">
      <alignment horizontal="center" vertical="center" wrapText="1"/>
      <protection locked="0" hidden="1"/>
    </xf>
    <xf numFmtId="165" fontId="2" fillId="0" borderId="7" xfId="0" applyNumberFormat="1" applyFont="1" applyFill="1" applyBorder="1" applyAlignment="1">
      <alignment vertical="center"/>
    </xf>
    <xf numFmtId="165" fontId="2" fillId="6" borderId="7" xfId="0" applyNumberFormat="1" applyFont="1" applyFill="1" applyBorder="1" applyAlignment="1">
      <alignment vertical="center"/>
    </xf>
    <xf numFmtId="0" fontId="2" fillId="0" borderId="7" xfId="0" applyNumberFormat="1" applyFont="1" applyFill="1" applyBorder="1" applyAlignment="1">
      <alignment vertical="center"/>
    </xf>
    <xf numFmtId="165" fontId="10" fillId="6" borderId="8" xfId="0" applyNumberFormat="1" applyFont="1" applyFill="1" applyBorder="1" applyAlignment="1">
      <alignment horizontal="right" wrapText="1"/>
    </xf>
    <xf numFmtId="0" fontId="3" fillId="0" borderId="1" xfId="0" applyFont="1" applyBorder="1" applyProtection="1">
      <protection locked="0"/>
    </xf>
    <xf numFmtId="165" fontId="6" fillId="0" borderId="1" xfId="0" applyNumberFormat="1" applyFont="1" applyBorder="1" applyAlignment="1" applyProtection="1">
      <alignment horizontal="right"/>
      <protection locked="0"/>
    </xf>
    <xf numFmtId="164" fontId="5" fillId="8" borderId="0" xfId="0" applyNumberFormat="1" applyFont="1" applyFill="1" applyAlignment="1" applyProtection="1">
      <alignment horizontal="left" vertical="center"/>
      <protection locked="0" hidden="1"/>
    </xf>
    <xf numFmtId="0" fontId="4" fillId="0" borderId="1" xfId="0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19" fillId="0" borderId="0" xfId="0" applyFont="1"/>
  </cellXfs>
  <cellStyles count="2">
    <cellStyle name="Normal" xfId="0" builtinId="0"/>
    <cellStyle name="Normal 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"/>
  <sheetViews>
    <sheetView topLeftCell="A61" zoomScaleNormal="100" workbookViewId="0">
      <selection activeCell="B78" sqref="B78"/>
    </sheetView>
  </sheetViews>
  <sheetFormatPr defaultRowHeight="15" x14ac:dyDescent="0.25"/>
  <cols>
    <col min="1" max="1" width="18.85546875" customWidth="1"/>
    <col min="2" max="2" width="86.42578125" customWidth="1"/>
    <col min="3" max="3" width="12.7109375" customWidth="1"/>
    <col min="4" max="4" width="14.7109375" customWidth="1"/>
    <col min="5" max="5" width="15" customWidth="1"/>
    <col min="6" max="6" width="24.28515625" customWidth="1"/>
    <col min="7" max="7" width="11.7109375" customWidth="1"/>
    <col min="8" max="8" width="14.140625" customWidth="1"/>
    <col min="9" max="9" width="13.42578125" customWidth="1"/>
    <col min="10" max="10" width="14.5703125" customWidth="1"/>
    <col min="11" max="11" width="12.7109375" customWidth="1"/>
    <col min="12" max="12" width="11.140625" bestFit="1" customWidth="1"/>
    <col min="13" max="13" width="12.140625" customWidth="1"/>
    <col min="14" max="14" width="11.140625" bestFit="1" customWidth="1"/>
    <col min="15" max="15" width="31.140625" customWidth="1"/>
  </cols>
  <sheetData>
    <row r="1" spans="1:9" x14ac:dyDescent="0.25">
      <c r="A1" s="135" t="s">
        <v>0</v>
      </c>
      <c r="B1" s="135"/>
      <c r="C1" s="135"/>
      <c r="D1" s="135"/>
      <c r="E1" s="135"/>
      <c r="F1" s="135"/>
    </row>
    <row r="2" spans="1:9" ht="30" customHeight="1" x14ac:dyDescent="0.25">
      <c r="A2" s="136" t="s">
        <v>1</v>
      </c>
      <c r="B2" s="136"/>
      <c r="C2" s="136"/>
      <c r="D2" s="136"/>
      <c r="E2" s="136"/>
      <c r="F2" s="136"/>
      <c r="G2" s="64"/>
      <c r="H2" s="64"/>
      <c r="I2" s="64"/>
    </row>
    <row r="3" spans="1:9" ht="75" customHeight="1" x14ac:dyDescent="0.25">
      <c r="A3" s="137" t="s">
        <v>80</v>
      </c>
      <c r="B3" s="137"/>
      <c r="C3" s="137"/>
      <c r="D3" s="137"/>
      <c r="E3" s="137"/>
      <c r="F3" s="137"/>
      <c r="G3" s="64"/>
      <c r="H3" s="64"/>
      <c r="I3" s="64"/>
    </row>
    <row r="4" spans="1:9" ht="49.9" customHeight="1" x14ac:dyDescent="0.25">
      <c r="A4" s="65"/>
      <c r="B4" s="66"/>
      <c r="C4" s="66"/>
      <c r="D4" s="66"/>
      <c r="E4" s="66"/>
      <c r="F4" s="66"/>
      <c r="G4" s="66"/>
      <c r="H4" s="66"/>
    </row>
    <row r="5" spans="1:9" ht="30" customHeight="1" x14ac:dyDescent="0.25">
      <c r="A5" s="67" t="s">
        <v>2</v>
      </c>
      <c r="B5" s="68">
        <v>12345</v>
      </c>
      <c r="C5" s="66"/>
      <c r="D5" s="66"/>
      <c r="E5" s="66"/>
      <c r="F5" s="66"/>
    </row>
    <row r="6" spans="1:9" ht="15" customHeight="1" x14ac:dyDescent="0.25">
      <c r="A6" s="67"/>
      <c r="B6" s="69"/>
      <c r="C6" s="66"/>
      <c r="D6" s="66"/>
      <c r="E6" s="66"/>
      <c r="F6" s="66"/>
      <c r="G6" s="66"/>
      <c r="H6" s="66"/>
    </row>
    <row r="7" spans="1:9" ht="15" customHeight="1" x14ac:dyDescent="0.25">
      <c r="A7" s="70" t="s">
        <v>3</v>
      </c>
      <c r="B7" s="69"/>
      <c r="C7" s="66"/>
      <c r="D7" s="66"/>
      <c r="E7" s="66"/>
      <c r="F7" s="66"/>
      <c r="G7" s="66"/>
      <c r="H7" s="66"/>
    </row>
    <row r="8" spans="1:9" ht="30" customHeight="1" x14ac:dyDescent="0.25">
      <c r="A8" s="71" t="s">
        <v>4</v>
      </c>
      <c r="B8" s="72" t="s">
        <v>5</v>
      </c>
      <c r="C8" s="73" t="s">
        <v>6</v>
      </c>
      <c r="D8" s="73" t="s">
        <v>7</v>
      </c>
      <c r="E8" s="73" t="s">
        <v>8</v>
      </c>
      <c r="F8" s="74" t="s">
        <v>9</v>
      </c>
    </row>
    <row r="9" spans="1:9" x14ac:dyDescent="0.25">
      <c r="A9" s="75" t="s">
        <v>10</v>
      </c>
      <c r="B9" s="118" t="s">
        <v>81</v>
      </c>
      <c r="C9" s="122" t="s">
        <v>34</v>
      </c>
      <c r="D9" s="121" t="s">
        <v>34</v>
      </c>
      <c r="E9" s="123" t="s">
        <v>34</v>
      </c>
      <c r="F9" s="113"/>
    </row>
    <row r="10" spans="1:9" x14ac:dyDescent="0.25">
      <c r="A10" s="75" t="s">
        <v>31</v>
      </c>
      <c r="B10" s="118" t="s">
        <v>82</v>
      </c>
      <c r="C10" s="77">
        <v>3</v>
      </c>
      <c r="D10" s="78">
        <v>123</v>
      </c>
      <c r="E10" s="104">
        <f t="shared" ref="E10:E16" si="0">D10*C10</f>
        <v>369</v>
      </c>
      <c r="F10" s="113"/>
    </row>
    <row r="11" spans="1:9" x14ac:dyDescent="0.25">
      <c r="A11" s="75" t="s">
        <v>32</v>
      </c>
      <c r="B11" s="118" t="s">
        <v>83</v>
      </c>
      <c r="C11" s="77">
        <v>2</v>
      </c>
      <c r="D11" s="78">
        <v>123</v>
      </c>
      <c r="E11" s="104">
        <f t="shared" si="0"/>
        <v>246</v>
      </c>
      <c r="F11" s="113"/>
    </row>
    <row r="12" spans="1:9" x14ac:dyDescent="0.25">
      <c r="A12" s="75" t="s">
        <v>33</v>
      </c>
      <c r="B12" s="118" t="s">
        <v>84</v>
      </c>
      <c r="C12" s="77">
        <v>2</v>
      </c>
      <c r="D12" s="78">
        <v>123</v>
      </c>
      <c r="E12" s="104">
        <f t="shared" si="0"/>
        <v>246</v>
      </c>
      <c r="F12" s="113"/>
    </row>
    <row r="13" spans="1:9" x14ac:dyDescent="0.25">
      <c r="A13" s="75" t="s">
        <v>11</v>
      </c>
      <c r="B13" s="76" t="s">
        <v>85</v>
      </c>
      <c r="C13" s="122" t="s">
        <v>34</v>
      </c>
      <c r="D13" s="121" t="s">
        <v>34</v>
      </c>
      <c r="E13" s="123" t="s">
        <v>34</v>
      </c>
      <c r="F13" s="113"/>
    </row>
    <row r="14" spans="1:9" x14ac:dyDescent="0.25">
      <c r="A14" s="75" t="s">
        <v>35</v>
      </c>
      <c r="B14" s="76" t="s">
        <v>86</v>
      </c>
      <c r="C14" s="77">
        <v>3</v>
      </c>
      <c r="D14" s="78">
        <v>123</v>
      </c>
      <c r="E14" s="104">
        <f t="shared" si="0"/>
        <v>369</v>
      </c>
      <c r="F14" s="113"/>
    </row>
    <row r="15" spans="1:9" x14ac:dyDescent="0.25">
      <c r="A15" s="75" t="s">
        <v>36</v>
      </c>
      <c r="B15" s="76" t="s">
        <v>87</v>
      </c>
      <c r="C15" s="77">
        <v>2</v>
      </c>
      <c r="D15" s="78">
        <v>123</v>
      </c>
      <c r="E15" s="104">
        <f t="shared" si="0"/>
        <v>246</v>
      </c>
      <c r="F15" s="113"/>
    </row>
    <row r="16" spans="1:9" x14ac:dyDescent="0.25">
      <c r="A16" s="75" t="s">
        <v>37</v>
      </c>
      <c r="B16" s="76" t="s">
        <v>88</v>
      </c>
      <c r="C16" s="77">
        <v>2</v>
      </c>
      <c r="D16" s="78">
        <v>123</v>
      </c>
      <c r="E16" s="104">
        <f t="shared" si="0"/>
        <v>246</v>
      </c>
      <c r="F16" s="113"/>
    </row>
    <row r="17" spans="1:6" x14ac:dyDescent="0.25">
      <c r="A17" s="75" t="s">
        <v>12</v>
      </c>
      <c r="B17" s="76" t="s">
        <v>89</v>
      </c>
      <c r="C17" s="122" t="s">
        <v>34</v>
      </c>
      <c r="D17" s="121" t="s">
        <v>34</v>
      </c>
      <c r="E17" s="123" t="s">
        <v>34</v>
      </c>
      <c r="F17" s="113"/>
    </row>
    <row r="18" spans="1:6" x14ac:dyDescent="0.25">
      <c r="A18" s="75" t="s">
        <v>38</v>
      </c>
      <c r="B18" s="76" t="s">
        <v>90</v>
      </c>
      <c r="C18" s="77">
        <v>4</v>
      </c>
      <c r="D18" s="78">
        <v>123</v>
      </c>
      <c r="E18" s="104">
        <f>C18*D18</f>
        <v>492</v>
      </c>
      <c r="F18" s="113"/>
    </row>
    <row r="19" spans="1:6" x14ac:dyDescent="0.25">
      <c r="A19" s="75" t="s">
        <v>39</v>
      </c>
      <c r="B19" s="76" t="s">
        <v>91</v>
      </c>
      <c r="C19" s="77">
        <v>2</v>
      </c>
      <c r="D19" s="78">
        <v>123</v>
      </c>
      <c r="E19" s="104">
        <f t="shared" ref="E19:E20" si="1">C19*D19</f>
        <v>246</v>
      </c>
      <c r="F19" s="113"/>
    </row>
    <row r="20" spans="1:6" x14ac:dyDescent="0.25">
      <c r="A20" s="75" t="s">
        <v>40</v>
      </c>
      <c r="B20" s="76" t="s">
        <v>92</v>
      </c>
      <c r="C20" s="77">
        <v>4</v>
      </c>
      <c r="D20" s="78">
        <v>123</v>
      </c>
      <c r="E20" s="104">
        <f t="shared" si="1"/>
        <v>492</v>
      </c>
      <c r="F20" s="113"/>
    </row>
    <row r="21" spans="1:6" x14ac:dyDescent="0.25">
      <c r="A21" s="110" t="s">
        <v>41</v>
      </c>
      <c r="B21" s="76" t="s">
        <v>155</v>
      </c>
      <c r="C21" s="122" t="s">
        <v>34</v>
      </c>
      <c r="D21" s="121" t="s">
        <v>34</v>
      </c>
      <c r="E21" s="123" t="s">
        <v>34</v>
      </c>
      <c r="F21" s="113"/>
    </row>
    <row r="22" spans="1:6" x14ac:dyDescent="0.25">
      <c r="A22" s="110" t="s">
        <v>42</v>
      </c>
      <c r="B22" s="76" t="s">
        <v>156</v>
      </c>
      <c r="C22" s="77">
        <v>3</v>
      </c>
      <c r="D22" s="78">
        <v>123</v>
      </c>
      <c r="E22" s="104">
        <f t="shared" ref="E22:E26" si="2">D22*C22</f>
        <v>369</v>
      </c>
      <c r="F22" s="113"/>
    </row>
    <row r="23" spans="1:6" x14ac:dyDescent="0.25">
      <c r="A23" s="110" t="s">
        <v>43</v>
      </c>
      <c r="B23" s="76" t="s">
        <v>157</v>
      </c>
      <c r="C23" s="77">
        <v>2</v>
      </c>
      <c r="D23" s="78">
        <v>123</v>
      </c>
      <c r="E23" s="104">
        <f t="shared" si="2"/>
        <v>246</v>
      </c>
      <c r="F23" s="113"/>
    </row>
    <row r="24" spans="1:6" x14ac:dyDescent="0.25">
      <c r="A24" s="110" t="s">
        <v>44</v>
      </c>
      <c r="B24" s="76" t="s">
        <v>158</v>
      </c>
      <c r="C24" s="77">
        <v>2</v>
      </c>
      <c r="D24" s="78">
        <v>123</v>
      </c>
      <c r="E24" s="104">
        <f t="shared" si="2"/>
        <v>246</v>
      </c>
      <c r="F24" s="113"/>
    </row>
    <row r="25" spans="1:6" x14ac:dyDescent="0.25">
      <c r="A25" s="110" t="s">
        <v>45</v>
      </c>
      <c r="B25" s="76" t="s">
        <v>93</v>
      </c>
      <c r="C25" s="122" t="s">
        <v>34</v>
      </c>
      <c r="D25" s="121" t="s">
        <v>34</v>
      </c>
      <c r="E25" s="123" t="s">
        <v>34</v>
      </c>
      <c r="F25" s="113"/>
    </row>
    <row r="26" spans="1:6" x14ac:dyDescent="0.25">
      <c r="A26" s="110" t="s">
        <v>46</v>
      </c>
      <c r="B26" s="76" t="s">
        <v>94</v>
      </c>
      <c r="C26" s="77">
        <v>3</v>
      </c>
      <c r="D26" s="78">
        <v>123</v>
      </c>
      <c r="E26" s="104">
        <f t="shared" si="2"/>
        <v>369</v>
      </c>
      <c r="F26" s="113"/>
    </row>
    <row r="27" spans="1:6" x14ac:dyDescent="0.25">
      <c r="A27" s="110" t="s">
        <v>47</v>
      </c>
      <c r="B27" s="76" t="s">
        <v>95</v>
      </c>
      <c r="C27" s="125">
        <v>1</v>
      </c>
      <c r="D27" s="78">
        <v>123</v>
      </c>
      <c r="E27" s="104">
        <f>D27*C27</f>
        <v>123</v>
      </c>
      <c r="F27" s="113"/>
    </row>
    <row r="28" spans="1:6" x14ac:dyDescent="0.25">
      <c r="A28" s="110" t="s">
        <v>48</v>
      </c>
      <c r="B28" s="76" t="s">
        <v>96</v>
      </c>
      <c r="C28" s="77">
        <v>2</v>
      </c>
      <c r="D28" s="78">
        <v>123</v>
      </c>
      <c r="E28" s="104">
        <f>D28*C28</f>
        <v>246</v>
      </c>
      <c r="F28" s="113"/>
    </row>
    <row r="29" spans="1:6" x14ac:dyDescent="0.25">
      <c r="A29" s="110" t="s">
        <v>49</v>
      </c>
      <c r="B29" s="76" t="s">
        <v>97</v>
      </c>
      <c r="C29" s="122" t="s">
        <v>34</v>
      </c>
      <c r="D29" s="121" t="s">
        <v>34</v>
      </c>
      <c r="E29" s="123" t="s">
        <v>34</v>
      </c>
      <c r="F29" s="113"/>
    </row>
    <row r="30" spans="1:6" x14ac:dyDescent="0.25">
      <c r="A30" s="110" t="s">
        <v>50</v>
      </c>
      <c r="B30" s="76" t="s">
        <v>98</v>
      </c>
      <c r="C30" s="77">
        <v>2</v>
      </c>
      <c r="D30" s="78">
        <v>123</v>
      </c>
      <c r="E30" s="104">
        <f>C30*D30</f>
        <v>246</v>
      </c>
      <c r="F30" s="113"/>
    </row>
    <row r="31" spans="1:6" x14ac:dyDescent="0.25">
      <c r="A31" s="110" t="s">
        <v>51</v>
      </c>
      <c r="B31" s="76" t="s">
        <v>99</v>
      </c>
      <c r="C31" s="77">
        <v>2</v>
      </c>
      <c r="D31" s="78">
        <v>123</v>
      </c>
      <c r="E31" s="104">
        <f t="shared" ref="E31:E32" si="3">C31*D31</f>
        <v>246</v>
      </c>
      <c r="F31" s="113"/>
    </row>
    <row r="32" spans="1:6" x14ac:dyDescent="0.25">
      <c r="A32" s="110" t="s">
        <v>52</v>
      </c>
      <c r="B32" s="76" t="s">
        <v>100</v>
      </c>
      <c r="C32" s="77">
        <v>2</v>
      </c>
      <c r="D32" s="78">
        <v>123</v>
      </c>
      <c r="E32" s="104">
        <f t="shared" si="3"/>
        <v>246</v>
      </c>
      <c r="F32" s="113"/>
    </row>
    <row r="33" spans="1:6" x14ac:dyDescent="0.25">
      <c r="A33" s="110" t="s">
        <v>53</v>
      </c>
      <c r="B33" s="76" t="s">
        <v>104</v>
      </c>
      <c r="C33" s="122" t="s">
        <v>34</v>
      </c>
      <c r="D33" s="121" t="s">
        <v>34</v>
      </c>
      <c r="E33" s="123" t="s">
        <v>34</v>
      </c>
      <c r="F33" s="113"/>
    </row>
    <row r="34" spans="1:6" x14ac:dyDescent="0.25">
      <c r="A34" s="110" t="s">
        <v>54</v>
      </c>
      <c r="B34" s="76" t="s">
        <v>101</v>
      </c>
      <c r="C34" s="77">
        <v>3</v>
      </c>
      <c r="D34" s="78">
        <v>123</v>
      </c>
      <c r="E34" s="104">
        <f>C34*D34</f>
        <v>369</v>
      </c>
      <c r="F34" s="113"/>
    </row>
    <row r="35" spans="1:6" x14ac:dyDescent="0.25">
      <c r="A35" s="110" t="s">
        <v>55</v>
      </c>
      <c r="B35" s="76" t="s">
        <v>102</v>
      </c>
      <c r="C35" s="77">
        <v>2</v>
      </c>
      <c r="D35" s="78">
        <v>123</v>
      </c>
      <c r="E35" s="104">
        <f t="shared" ref="E35:E36" si="4">C35*D35</f>
        <v>246</v>
      </c>
      <c r="F35" s="113"/>
    </row>
    <row r="36" spans="1:6" x14ac:dyDescent="0.25">
      <c r="A36" s="110" t="s">
        <v>56</v>
      </c>
      <c r="B36" s="76" t="s">
        <v>103</v>
      </c>
      <c r="C36" s="77">
        <v>2</v>
      </c>
      <c r="D36" s="78">
        <v>123</v>
      </c>
      <c r="E36" s="104">
        <f t="shared" si="4"/>
        <v>246</v>
      </c>
      <c r="F36" s="113"/>
    </row>
    <row r="37" spans="1:6" x14ac:dyDescent="0.25">
      <c r="A37" s="110" t="s">
        <v>57</v>
      </c>
      <c r="B37" s="76" t="s">
        <v>165</v>
      </c>
      <c r="C37" s="122" t="s">
        <v>34</v>
      </c>
      <c r="D37" s="121" t="s">
        <v>34</v>
      </c>
      <c r="E37" s="123" t="s">
        <v>34</v>
      </c>
      <c r="F37" s="113"/>
    </row>
    <row r="38" spans="1:6" x14ac:dyDescent="0.25">
      <c r="A38" s="110" t="s">
        <v>58</v>
      </c>
      <c r="B38" s="76" t="s">
        <v>105</v>
      </c>
      <c r="C38" s="77">
        <v>3</v>
      </c>
      <c r="D38" s="78">
        <v>123</v>
      </c>
      <c r="E38" s="104">
        <f>C38*D38</f>
        <v>369</v>
      </c>
      <c r="F38" s="113"/>
    </row>
    <row r="39" spans="1:6" x14ac:dyDescent="0.25">
      <c r="A39" s="110" t="s">
        <v>59</v>
      </c>
      <c r="B39" s="76" t="s">
        <v>106</v>
      </c>
      <c r="C39" s="77">
        <v>3</v>
      </c>
      <c r="D39" s="78">
        <v>123</v>
      </c>
      <c r="E39" s="104">
        <f t="shared" ref="E39:E40" si="5">C39*D39</f>
        <v>369</v>
      </c>
      <c r="F39" s="113"/>
    </row>
    <row r="40" spans="1:6" x14ac:dyDescent="0.25">
      <c r="A40" s="110" t="s">
        <v>60</v>
      </c>
      <c r="B40" s="76" t="s">
        <v>107</v>
      </c>
      <c r="C40" s="77">
        <v>2</v>
      </c>
      <c r="D40" s="78">
        <v>123</v>
      </c>
      <c r="E40" s="104">
        <f t="shared" si="5"/>
        <v>246</v>
      </c>
      <c r="F40" s="113"/>
    </row>
    <row r="41" spans="1:6" x14ac:dyDescent="0.25">
      <c r="A41" s="110" t="s">
        <v>61</v>
      </c>
      <c r="B41" s="76" t="s">
        <v>108</v>
      </c>
      <c r="C41" s="122" t="s">
        <v>34</v>
      </c>
      <c r="D41" s="121" t="s">
        <v>34</v>
      </c>
      <c r="E41" s="123" t="s">
        <v>34</v>
      </c>
      <c r="F41" s="113"/>
    </row>
    <row r="42" spans="1:6" x14ac:dyDescent="0.25">
      <c r="A42" s="110" t="s">
        <v>62</v>
      </c>
      <c r="B42" s="76" t="s">
        <v>109</v>
      </c>
      <c r="C42" s="77">
        <v>2</v>
      </c>
      <c r="D42" s="78">
        <v>123</v>
      </c>
      <c r="E42" s="104">
        <f>C42*D42</f>
        <v>246</v>
      </c>
      <c r="F42" s="113"/>
    </row>
    <row r="43" spans="1:6" x14ac:dyDescent="0.25">
      <c r="A43" s="110" t="s">
        <v>63</v>
      </c>
      <c r="B43" s="76" t="s">
        <v>110</v>
      </c>
      <c r="C43" s="77">
        <v>2</v>
      </c>
      <c r="D43" s="78">
        <v>123</v>
      </c>
      <c r="E43" s="104">
        <f t="shared" ref="E43:E45" si="6">C43*D43</f>
        <v>246</v>
      </c>
      <c r="F43" s="113"/>
    </row>
    <row r="44" spans="1:6" x14ac:dyDescent="0.25">
      <c r="A44" s="110" t="s">
        <v>64</v>
      </c>
      <c r="B44" s="76" t="s">
        <v>109</v>
      </c>
      <c r="C44" s="77">
        <v>2</v>
      </c>
      <c r="D44" s="78">
        <v>123</v>
      </c>
      <c r="E44" s="104">
        <f t="shared" si="6"/>
        <v>246</v>
      </c>
      <c r="F44" s="113"/>
    </row>
    <row r="45" spans="1:6" x14ac:dyDescent="0.25">
      <c r="A45" s="110" t="s">
        <v>111</v>
      </c>
      <c r="B45" s="76" t="s">
        <v>112</v>
      </c>
      <c r="C45" s="77">
        <v>1</v>
      </c>
      <c r="D45" s="78">
        <v>123</v>
      </c>
      <c r="E45" s="104">
        <f t="shared" si="6"/>
        <v>123</v>
      </c>
      <c r="F45" s="113"/>
    </row>
    <row r="46" spans="1:6" x14ac:dyDescent="0.25">
      <c r="A46" s="110" t="s">
        <v>65</v>
      </c>
      <c r="B46" s="76" t="s">
        <v>113</v>
      </c>
      <c r="C46" s="122" t="s">
        <v>34</v>
      </c>
      <c r="D46" s="121" t="s">
        <v>34</v>
      </c>
      <c r="E46" s="123" t="s">
        <v>34</v>
      </c>
      <c r="F46" s="113"/>
    </row>
    <row r="47" spans="1:6" x14ac:dyDescent="0.25">
      <c r="A47" s="110" t="s">
        <v>66</v>
      </c>
      <c r="B47" s="119" t="s">
        <v>114</v>
      </c>
      <c r="C47" s="77">
        <v>3</v>
      </c>
      <c r="D47" s="78">
        <v>123</v>
      </c>
      <c r="E47" s="104">
        <f>C47*D47</f>
        <v>369</v>
      </c>
      <c r="F47" s="113"/>
    </row>
    <row r="48" spans="1:6" x14ac:dyDescent="0.25">
      <c r="A48" s="110" t="s">
        <v>67</v>
      </c>
      <c r="B48" s="76" t="s">
        <v>115</v>
      </c>
      <c r="C48" s="77">
        <v>2</v>
      </c>
      <c r="D48" s="78">
        <v>123</v>
      </c>
      <c r="E48" s="104">
        <f t="shared" ref="E48:E49" si="7">C48*D48</f>
        <v>246</v>
      </c>
      <c r="F48" s="113"/>
    </row>
    <row r="49" spans="1:6" x14ac:dyDescent="0.25">
      <c r="A49" s="110" t="s">
        <v>68</v>
      </c>
      <c r="B49" s="76" t="s">
        <v>116</v>
      </c>
      <c r="C49" s="77">
        <v>2</v>
      </c>
      <c r="D49" s="78">
        <v>123</v>
      </c>
      <c r="E49" s="104">
        <f t="shared" si="7"/>
        <v>246</v>
      </c>
      <c r="F49" s="113"/>
    </row>
    <row r="50" spans="1:6" x14ac:dyDescent="0.25">
      <c r="A50" s="110" t="s">
        <v>28</v>
      </c>
      <c r="B50" s="76" t="s">
        <v>117</v>
      </c>
      <c r="C50" s="122" t="s">
        <v>34</v>
      </c>
      <c r="D50" s="121" t="s">
        <v>34</v>
      </c>
      <c r="E50" s="123" t="s">
        <v>34</v>
      </c>
      <c r="F50" s="113"/>
    </row>
    <row r="51" spans="1:6" x14ac:dyDescent="0.25">
      <c r="A51" s="110" t="s">
        <v>69</v>
      </c>
      <c r="B51" s="76" t="s">
        <v>118</v>
      </c>
      <c r="C51" s="77">
        <v>3</v>
      </c>
      <c r="D51" s="78">
        <v>123</v>
      </c>
      <c r="E51" s="104">
        <f>C51*D51</f>
        <v>369</v>
      </c>
      <c r="F51" s="113"/>
    </row>
    <row r="52" spans="1:6" x14ac:dyDescent="0.25">
      <c r="A52" s="110" t="s">
        <v>70</v>
      </c>
      <c r="B52" s="76" t="s">
        <v>119</v>
      </c>
      <c r="C52" s="77">
        <v>2</v>
      </c>
      <c r="D52" s="78">
        <v>123</v>
      </c>
      <c r="E52" s="104">
        <f t="shared" ref="E52:E53" si="8">C52*D52</f>
        <v>246</v>
      </c>
      <c r="F52" s="113"/>
    </row>
    <row r="53" spans="1:6" x14ac:dyDescent="0.25">
      <c r="A53" s="110" t="s">
        <v>71</v>
      </c>
      <c r="B53" s="76" t="s">
        <v>120</v>
      </c>
      <c r="C53" s="77">
        <v>2</v>
      </c>
      <c r="D53" s="78">
        <v>123</v>
      </c>
      <c r="E53" s="104">
        <f t="shared" si="8"/>
        <v>246</v>
      </c>
      <c r="F53" s="113"/>
    </row>
    <row r="54" spans="1:6" x14ac:dyDescent="0.25">
      <c r="A54" s="110" t="s">
        <v>29</v>
      </c>
      <c r="B54" s="76" t="s">
        <v>121</v>
      </c>
      <c r="C54" s="122" t="s">
        <v>34</v>
      </c>
      <c r="D54" s="121" t="s">
        <v>34</v>
      </c>
      <c r="E54" s="123" t="s">
        <v>34</v>
      </c>
      <c r="F54" s="113"/>
    </row>
    <row r="55" spans="1:6" x14ac:dyDescent="0.25">
      <c r="A55" s="110" t="s">
        <v>72</v>
      </c>
      <c r="B55" s="76" t="s">
        <v>122</v>
      </c>
      <c r="C55" s="77">
        <v>3</v>
      </c>
      <c r="D55" s="78">
        <v>123</v>
      </c>
      <c r="E55" s="104">
        <f>C55*D55</f>
        <v>369</v>
      </c>
      <c r="F55" s="113"/>
    </row>
    <row r="56" spans="1:6" x14ac:dyDescent="0.25">
      <c r="A56" s="110" t="s">
        <v>73</v>
      </c>
      <c r="B56" s="76" t="s">
        <v>123</v>
      </c>
      <c r="C56" s="77">
        <v>2</v>
      </c>
      <c r="D56" s="78">
        <v>123</v>
      </c>
      <c r="E56" s="104">
        <f t="shared" ref="E56:E57" si="9">C56*D56</f>
        <v>246</v>
      </c>
      <c r="F56" s="113"/>
    </row>
    <row r="57" spans="1:6" x14ac:dyDescent="0.25">
      <c r="A57" s="110" t="s">
        <v>74</v>
      </c>
      <c r="B57" s="76" t="s">
        <v>124</v>
      </c>
      <c r="C57" s="77">
        <v>2</v>
      </c>
      <c r="D57" s="78">
        <v>123</v>
      </c>
      <c r="E57" s="104">
        <f t="shared" si="9"/>
        <v>246</v>
      </c>
      <c r="F57" s="113"/>
    </row>
    <row r="58" spans="1:6" x14ac:dyDescent="0.25">
      <c r="A58" s="110" t="s">
        <v>30</v>
      </c>
      <c r="B58" s="76" t="s">
        <v>125</v>
      </c>
      <c r="C58" s="122" t="s">
        <v>34</v>
      </c>
      <c r="D58" s="121" t="s">
        <v>34</v>
      </c>
      <c r="E58" s="123" t="s">
        <v>34</v>
      </c>
      <c r="F58" s="113"/>
    </row>
    <row r="59" spans="1:6" x14ac:dyDescent="0.25">
      <c r="A59" s="110" t="s">
        <v>75</v>
      </c>
      <c r="B59" s="76" t="s">
        <v>126</v>
      </c>
      <c r="C59" s="77">
        <v>3</v>
      </c>
      <c r="D59" s="78">
        <v>123</v>
      </c>
      <c r="E59" s="104">
        <f>C59*D59</f>
        <v>369</v>
      </c>
      <c r="F59" s="113"/>
    </row>
    <row r="60" spans="1:6" x14ac:dyDescent="0.25">
      <c r="A60" s="110" t="s">
        <v>76</v>
      </c>
      <c r="B60" s="76" t="s">
        <v>127</v>
      </c>
      <c r="C60" s="77">
        <v>2</v>
      </c>
      <c r="D60" s="78">
        <v>123</v>
      </c>
      <c r="E60" s="104">
        <f t="shared" ref="E60:E61" si="10">C60*D60</f>
        <v>246</v>
      </c>
      <c r="F60" s="113"/>
    </row>
    <row r="61" spans="1:6" x14ac:dyDescent="0.25">
      <c r="A61" s="110" t="s">
        <v>77</v>
      </c>
      <c r="B61" s="76" t="s">
        <v>128</v>
      </c>
      <c r="C61" s="77">
        <v>2</v>
      </c>
      <c r="D61" s="78">
        <v>123</v>
      </c>
      <c r="E61" s="104">
        <f t="shared" si="10"/>
        <v>246</v>
      </c>
      <c r="F61" s="113"/>
    </row>
    <row r="62" spans="1:6" x14ac:dyDescent="0.25">
      <c r="A62" s="110" t="s">
        <v>129</v>
      </c>
      <c r="B62" s="76" t="s">
        <v>166</v>
      </c>
      <c r="C62" s="122" t="s">
        <v>34</v>
      </c>
      <c r="D62" s="121" t="s">
        <v>34</v>
      </c>
      <c r="E62" s="123" t="s">
        <v>34</v>
      </c>
      <c r="F62" s="113"/>
    </row>
    <row r="63" spans="1:6" x14ac:dyDescent="0.25">
      <c r="A63" s="110" t="s">
        <v>130</v>
      </c>
      <c r="B63" s="76" t="s">
        <v>133</v>
      </c>
      <c r="C63" s="77">
        <v>3</v>
      </c>
      <c r="D63" s="78">
        <v>123</v>
      </c>
      <c r="E63" s="104">
        <f>C63*D63</f>
        <v>369</v>
      </c>
      <c r="F63" s="113"/>
    </row>
    <row r="64" spans="1:6" x14ac:dyDescent="0.25">
      <c r="A64" s="110" t="s">
        <v>131</v>
      </c>
      <c r="B64" s="76" t="s">
        <v>134</v>
      </c>
      <c r="C64" s="77">
        <v>2</v>
      </c>
      <c r="D64" s="78">
        <v>123</v>
      </c>
      <c r="E64" s="104">
        <f t="shared" ref="E64:E65" si="11">C64*D64</f>
        <v>246</v>
      </c>
      <c r="F64" s="113"/>
    </row>
    <row r="65" spans="1:6" x14ac:dyDescent="0.25">
      <c r="A65" s="110" t="s">
        <v>132</v>
      </c>
      <c r="B65" s="76" t="s">
        <v>135</v>
      </c>
      <c r="C65" s="77">
        <v>2</v>
      </c>
      <c r="D65" s="78">
        <v>123</v>
      </c>
      <c r="E65" s="104">
        <f t="shared" si="11"/>
        <v>246</v>
      </c>
      <c r="F65" s="113"/>
    </row>
    <row r="66" spans="1:6" x14ac:dyDescent="0.25">
      <c r="A66" s="110" t="s">
        <v>137</v>
      </c>
      <c r="B66" s="76" t="s">
        <v>136</v>
      </c>
      <c r="C66" s="122" t="s">
        <v>34</v>
      </c>
      <c r="D66" s="121" t="s">
        <v>34</v>
      </c>
      <c r="E66" s="123" t="s">
        <v>34</v>
      </c>
      <c r="F66" s="113"/>
    </row>
    <row r="67" spans="1:6" x14ac:dyDescent="0.25">
      <c r="A67" s="110" t="s">
        <v>138</v>
      </c>
      <c r="B67" s="76" t="s">
        <v>101</v>
      </c>
      <c r="C67" s="77">
        <v>3</v>
      </c>
      <c r="D67" s="78">
        <v>123</v>
      </c>
      <c r="E67" s="104">
        <f>C67*D67</f>
        <v>369</v>
      </c>
      <c r="F67" s="113"/>
    </row>
    <row r="68" spans="1:6" x14ac:dyDescent="0.25">
      <c r="A68" s="110" t="s">
        <v>139</v>
      </c>
      <c r="B68" s="76" t="s">
        <v>102</v>
      </c>
      <c r="C68" s="77">
        <v>2</v>
      </c>
      <c r="D68" s="78">
        <v>123</v>
      </c>
      <c r="E68" s="104">
        <f t="shared" ref="E68:E69" si="12">C68*D68</f>
        <v>246</v>
      </c>
      <c r="F68" s="113"/>
    </row>
    <row r="69" spans="1:6" x14ac:dyDescent="0.25">
      <c r="A69" s="110" t="s">
        <v>140</v>
      </c>
      <c r="B69" s="76" t="s">
        <v>103</v>
      </c>
      <c r="C69" s="77">
        <v>2</v>
      </c>
      <c r="D69" s="78">
        <v>123</v>
      </c>
      <c r="E69" s="104">
        <f t="shared" si="12"/>
        <v>246</v>
      </c>
      <c r="F69" s="113"/>
    </row>
    <row r="70" spans="1:6" x14ac:dyDescent="0.25">
      <c r="A70" s="110" t="s">
        <v>141</v>
      </c>
      <c r="B70" s="76" t="s">
        <v>145</v>
      </c>
      <c r="C70" s="122" t="s">
        <v>34</v>
      </c>
      <c r="D70" s="121" t="s">
        <v>34</v>
      </c>
      <c r="E70" s="123" t="s">
        <v>34</v>
      </c>
      <c r="F70" s="113"/>
    </row>
    <row r="71" spans="1:6" x14ac:dyDescent="0.25">
      <c r="A71" s="110" t="s">
        <v>142</v>
      </c>
      <c r="B71" s="76" t="s">
        <v>146</v>
      </c>
      <c r="C71" s="77">
        <v>2</v>
      </c>
      <c r="D71" s="78">
        <v>123</v>
      </c>
      <c r="E71" s="104">
        <f>C71*D71</f>
        <v>246</v>
      </c>
      <c r="F71" s="113"/>
    </row>
    <row r="72" spans="1:6" x14ac:dyDescent="0.25">
      <c r="A72" s="110" t="s">
        <v>143</v>
      </c>
      <c r="B72" s="76" t="s">
        <v>147</v>
      </c>
      <c r="C72" s="77">
        <v>1</v>
      </c>
      <c r="D72" s="78">
        <v>123</v>
      </c>
      <c r="E72" s="104">
        <f t="shared" ref="E72:E73" si="13">C72*D72</f>
        <v>123</v>
      </c>
      <c r="F72" s="113"/>
    </row>
    <row r="73" spans="1:6" x14ac:dyDescent="0.25">
      <c r="A73" s="110" t="s">
        <v>144</v>
      </c>
      <c r="B73" s="76" t="s">
        <v>148</v>
      </c>
      <c r="C73" s="77">
        <v>2</v>
      </c>
      <c r="D73" s="78">
        <v>123</v>
      </c>
      <c r="E73" s="104">
        <f t="shared" si="13"/>
        <v>246</v>
      </c>
      <c r="F73" s="113"/>
    </row>
    <row r="74" spans="1:6" x14ac:dyDescent="0.25">
      <c r="A74" s="110" t="s">
        <v>149</v>
      </c>
      <c r="B74" s="76" t="s">
        <v>167</v>
      </c>
      <c r="C74" s="122" t="s">
        <v>34</v>
      </c>
      <c r="D74" s="121" t="s">
        <v>34</v>
      </c>
      <c r="E74" s="123" t="s">
        <v>34</v>
      </c>
      <c r="F74" s="113"/>
    </row>
    <row r="75" spans="1:6" x14ac:dyDescent="0.25">
      <c r="A75" s="110" t="s">
        <v>150</v>
      </c>
      <c r="B75" s="76" t="s">
        <v>154</v>
      </c>
      <c r="C75" s="77">
        <v>3</v>
      </c>
      <c r="D75" s="78">
        <v>123</v>
      </c>
      <c r="E75" s="104">
        <f>C75*D75</f>
        <v>369</v>
      </c>
      <c r="F75" s="113"/>
    </row>
    <row r="76" spans="1:6" x14ac:dyDescent="0.25">
      <c r="A76" s="110" t="s">
        <v>151</v>
      </c>
      <c r="B76" s="76" t="s">
        <v>153</v>
      </c>
      <c r="C76" s="77">
        <v>2</v>
      </c>
      <c r="D76" s="78">
        <v>123</v>
      </c>
      <c r="E76" s="104">
        <f t="shared" ref="E76:E77" si="14">C76*D76</f>
        <v>246</v>
      </c>
      <c r="F76" s="113"/>
    </row>
    <row r="77" spans="1:6" x14ac:dyDescent="0.25">
      <c r="A77" s="110" t="s">
        <v>152</v>
      </c>
      <c r="B77" s="76" t="s">
        <v>154</v>
      </c>
      <c r="C77" s="77">
        <v>2</v>
      </c>
      <c r="D77" s="78">
        <v>123</v>
      </c>
      <c r="E77" s="104">
        <f t="shared" si="14"/>
        <v>246</v>
      </c>
      <c r="F77" s="113"/>
    </row>
    <row r="78" spans="1:6" x14ac:dyDescent="0.25">
      <c r="A78" s="110" t="s">
        <v>160</v>
      </c>
      <c r="B78" s="76" t="s">
        <v>79</v>
      </c>
      <c r="C78" s="122" t="s">
        <v>34</v>
      </c>
      <c r="D78" s="121" t="s">
        <v>34</v>
      </c>
      <c r="E78" s="123" t="s">
        <v>34</v>
      </c>
      <c r="F78" s="113"/>
    </row>
    <row r="79" spans="1:6" ht="25.5" x14ac:dyDescent="0.25">
      <c r="A79" s="110" t="s">
        <v>161</v>
      </c>
      <c r="B79" s="120" t="s">
        <v>168</v>
      </c>
      <c r="C79" s="122">
        <v>1</v>
      </c>
      <c r="D79" s="121" t="s">
        <v>78</v>
      </c>
      <c r="E79" s="123" t="s">
        <v>78</v>
      </c>
      <c r="F79" s="113"/>
    </row>
    <row r="80" spans="1:6" ht="25.5" x14ac:dyDescent="0.25">
      <c r="A80" s="110" t="s">
        <v>162</v>
      </c>
      <c r="B80" s="120" t="s">
        <v>159</v>
      </c>
      <c r="C80" s="122">
        <v>1</v>
      </c>
      <c r="D80" s="121" t="s">
        <v>78</v>
      </c>
      <c r="E80" s="123" t="s">
        <v>78</v>
      </c>
      <c r="F80" s="113"/>
    </row>
    <row r="81" spans="1:15" ht="61.5" customHeight="1" x14ac:dyDescent="0.25">
      <c r="A81" s="110" t="s">
        <v>163</v>
      </c>
      <c r="B81" s="120" t="s">
        <v>169</v>
      </c>
      <c r="C81" s="122">
        <v>1</v>
      </c>
      <c r="D81" s="121" t="s">
        <v>78</v>
      </c>
      <c r="E81" s="124" t="s">
        <v>78</v>
      </c>
      <c r="F81" s="113"/>
    </row>
    <row r="82" spans="1:15" ht="15.75" thickBot="1" x14ac:dyDescent="0.3">
      <c r="A82" s="111"/>
      <c r="B82" s="69"/>
      <c r="C82" s="66"/>
      <c r="D82" s="66"/>
      <c r="E82" s="112">
        <f>SUM(E10:E12,E14:E16, E18:E20,E22:E24,E26:E28,E30:E32,E34:E36,E38:E40,E42:E45,E47:E49,E51:E53,E55:E57,E59:E61,E63:E65,E67:E69,E71:E73,E75:E77)</f>
        <v>14637</v>
      </c>
      <c r="F82" s="81"/>
      <c r="G82" s="79"/>
      <c r="H82" s="66"/>
      <c r="I82" s="80"/>
      <c r="K82" s="80"/>
      <c r="M82" s="80"/>
      <c r="N82" s="81"/>
    </row>
    <row r="83" spans="1:15" ht="15" customHeight="1" x14ac:dyDescent="0.25">
      <c r="A83" s="135"/>
      <c r="B83" s="135"/>
      <c r="C83" s="135"/>
      <c r="D83" s="135"/>
      <c r="E83" s="135"/>
      <c r="F83" s="135"/>
      <c r="G83" s="82"/>
      <c r="H83" s="82"/>
      <c r="I83" s="82"/>
      <c r="J83" s="82"/>
      <c r="K83" s="82"/>
      <c r="L83" s="82"/>
      <c r="M83" s="82"/>
      <c r="N83" s="82"/>
    </row>
    <row r="84" spans="1:15" ht="18" customHeight="1" x14ac:dyDescent="0.3">
      <c r="B84" s="83"/>
      <c r="C84" s="84"/>
      <c r="D84" s="85"/>
      <c r="E84" s="85"/>
      <c r="F84" s="85"/>
      <c r="O84" s="86"/>
    </row>
    <row r="85" spans="1:15" x14ac:dyDescent="0.25">
      <c r="A85" s="87"/>
      <c r="B85" s="83"/>
      <c r="C85" s="83"/>
      <c r="D85" s="88"/>
      <c r="E85" s="138"/>
      <c r="F85" s="138"/>
      <c r="G85" s="85"/>
      <c r="H85" s="85"/>
      <c r="I85" s="85"/>
      <c r="J85" s="85"/>
      <c r="K85" s="85"/>
      <c r="L85" s="85"/>
      <c r="M85" s="85"/>
      <c r="N85" s="85"/>
    </row>
    <row r="86" spans="1:15" x14ac:dyDescent="0.25">
      <c r="A86" s="89"/>
      <c r="B86" s="87"/>
      <c r="C86" s="90"/>
      <c r="D86" s="91"/>
      <c r="E86" s="92"/>
      <c r="F86" s="92"/>
      <c r="G86" s="138"/>
      <c r="H86" s="138"/>
      <c r="I86" s="138"/>
      <c r="J86" s="138"/>
      <c r="K86" s="138"/>
      <c r="L86" s="138"/>
      <c r="M86" s="138"/>
      <c r="N86" s="138"/>
    </row>
    <row r="87" spans="1:15" x14ac:dyDescent="0.25">
      <c r="A87" s="89"/>
      <c r="B87" s="83"/>
      <c r="C87" s="90"/>
      <c r="D87" s="91"/>
      <c r="E87" s="92"/>
      <c r="F87" s="92"/>
      <c r="G87" s="92"/>
      <c r="H87" s="92"/>
      <c r="I87" s="92"/>
      <c r="J87" s="92"/>
      <c r="K87" s="92"/>
      <c r="L87" s="92"/>
      <c r="M87" s="92"/>
      <c r="N87" s="92"/>
    </row>
    <row r="88" spans="1:15" x14ac:dyDescent="0.25">
      <c r="A88" s="89"/>
      <c r="B88" s="83"/>
      <c r="C88" s="90"/>
      <c r="D88" s="91"/>
      <c r="E88" s="92"/>
      <c r="F88" s="92"/>
      <c r="G88" s="92"/>
      <c r="H88" s="92"/>
      <c r="I88" s="92"/>
      <c r="J88" s="92"/>
      <c r="K88" s="92"/>
      <c r="L88" s="92"/>
      <c r="M88" s="92"/>
      <c r="N88" s="92"/>
    </row>
    <row r="89" spans="1:15" x14ac:dyDescent="0.25">
      <c r="A89" s="89"/>
      <c r="B89" s="83"/>
      <c r="C89" s="90"/>
      <c r="D89" s="91"/>
      <c r="E89" s="92"/>
      <c r="F89" s="92"/>
      <c r="G89" s="92"/>
      <c r="H89" s="92"/>
      <c r="I89" s="92"/>
      <c r="J89" s="92"/>
      <c r="K89" s="92"/>
      <c r="L89" s="92"/>
      <c r="M89" s="92"/>
      <c r="N89" s="92"/>
    </row>
    <row r="90" spans="1:15" x14ac:dyDescent="0.25">
      <c r="A90" s="89"/>
      <c r="B90" s="83"/>
      <c r="C90" s="90"/>
      <c r="D90" s="91"/>
      <c r="E90" s="92"/>
      <c r="F90" s="92"/>
      <c r="G90" s="92"/>
      <c r="H90" s="92"/>
      <c r="I90" s="92"/>
      <c r="J90" s="92"/>
      <c r="K90" s="92"/>
      <c r="L90" s="92"/>
      <c r="M90" s="92"/>
      <c r="N90" s="92"/>
    </row>
    <row r="91" spans="1:15" x14ac:dyDescent="0.25">
      <c r="A91" s="89"/>
      <c r="B91" s="83"/>
      <c r="C91" s="90"/>
      <c r="D91" s="91"/>
      <c r="E91" s="92"/>
      <c r="F91" s="92"/>
      <c r="G91" s="92"/>
      <c r="H91" s="92"/>
      <c r="I91" s="92"/>
      <c r="J91" s="92"/>
      <c r="K91" s="92"/>
      <c r="L91" s="92"/>
      <c r="M91" s="92"/>
      <c r="N91" s="92"/>
    </row>
    <row r="92" spans="1:15" x14ac:dyDescent="0.25">
      <c r="A92" s="89"/>
      <c r="B92" s="83"/>
      <c r="C92" s="90"/>
      <c r="D92" s="91"/>
      <c r="E92" s="92"/>
      <c r="F92" s="92"/>
      <c r="G92" s="92"/>
      <c r="H92" s="92"/>
      <c r="I92" s="92"/>
      <c r="J92" s="92"/>
      <c r="K92" s="92"/>
      <c r="L92" s="92"/>
      <c r="M92" s="92"/>
      <c r="N92" s="92"/>
    </row>
    <row r="93" spans="1:15" x14ac:dyDescent="0.25">
      <c r="A93" s="89"/>
      <c r="B93" s="83"/>
      <c r="C93" s="90"/>
      <c r="D93" s="91"/>
      <c r="E93" s="92"/>
      <c r="F93" s="92"/>
      <c r="G93" s="92"/>
      <c r="H93" s="92"/>
      <c r="I93" s="92"/>
      <c r="J93" s="92"/>
      <c r="K93" s="92"/>
      <c r="L93" s="92"/>
      <c r="M93" s="92"/>
      <c r="N93" s="92"/>
    </row>
    <row r="94" spans="1:15" x14ac:dyDescent="0.25">
      <c r="A94" s="89"/>
      <c r="B94" s="83"/>
      <c r="C94" s="90"/>
      <c r="D94" s="91"/>
      <c r="E94" s="92"/>
      <c r="F94" s="92"/>
      <c r="G94" s="92"/>
      <c r="H94" s="92"/>
      <c r="I94" s="92"/>
      <c r="J94" s="92"/>
      <c r="K94" s="92"/>
      <c r="L94" s="92"/>
      <c r="M94" s="92"/>
      <c r="N94" s="92"/>
    </row>
    <row r="95" spans="1:15" x14ac:dyDescent="0.25">
      <c r="A95" s="89"/>
      <c r="B95" s="83"/>
      <c r="C95" s="90"/>
      <c r="D95" s="91"/>
      <c r="E95" s="92"/>
      <c r="F95" s="92"/>
      <c r="G95" s="92"/>
      <c r="H95" s="92"/>
      <c r="I95" s="92"/>
      <c r="J95" s="92"/>
      <c r="K95" s="92"/>
      <c r="L95" s="92"/>
      <c r="M95" s="92"/>
      <c r="N95" s="92"/>
    </row>
    <row r="96" spans="1:15" x14ac:dyDescent="0.25">
      <c r="A96" s="89"/>
      <c r="B96" s="83"/>
      <c r="C96" s="90"/>
      <c r="D96" s="91"/>
      <c r="E96" s="92"/>
      <c r="F96" s="92"/>
      <c r="G96" s="92"/>
      <c r="H96" s="92"/>
      <c r="I96" s="92"/>
      <c r="J96" s="92"/>
      <c r="K96" s="92"/>
      <c r="L96" s="92"/>
      <c r="M96" s="92"/>
      <c r="N96" s="92"/>
    </row>
    <row r="97" spans="1:14" x14ac:dyDescent="0.25">
      <c r="A97" s="89"/>
      <c r="B97" s="83"/>
      <c r="C97" s="90"/>
      <c r="D97" s="91"/>
      <c r="E97" s="92"/>
      <c r="F97" s="92"/>
      <c r="G97" s="92"/>
      <c r="H97" s="92"/>
      <c r="I97" s="92"/>
      <c r="J97" s="92"/>
      <c r="K97" s="92"/>
      <c r="L97" s="92"/>
      <c r="M97" s="92"/>
      <c r="N97" s="92"/>
    </row>
    <row r="98" spans="1:14" x14ac:dyDescent="0.25">
      <c r="A98" s="89"/>
      <c r="B98" s="83"/>
      <c r="C98" s="90"/>
      <c r="D98" s="91"/>
      <c r="E98" s="92"/>
      <c r="F98" s="92"/>
      <c r="G98" s="92"/>
      <c r="H98" s="92"/>
      <c r="I98" s="92"/>
      <c r="J98" s="92"/>
      <c r="K98" s="92"/>
      <c r="L98" s="92"/>
      <c r="M98" s="92"/>
      <c r="N98" s="92"/>
    </row>
    <row r="99" spans="1:14" x14ac:dyDescent="0.25">
      <c r="A99" s="89"/>
      <c r="B99" s="83"/>
      <c r="C99" s="90"/>
      <c r="D99" s="91"/>
      <c r="E99" s="92"/>
      <c r="F99" s="92"/>
      <c r="G99" s="92"/>
      <c r="H99" s="92"/>
      <c r="I99" s="92"/>
      <c r="J99" s="92"/>
      <c r="K99" s="92"/>
      <c r="L99" s="92"/>
      <c r="M99" s="92"/>
      <c r="N99" s="92"/>
    </row>
    <row r="100" spans="1:14" x14ac:dyDescent="0.25">
      <c r="A100" s="93"/>
      <c r="B100" s="94"/>
      <c r="C100" s="83"/>
      <c r="D100" s="95"/>
      <c r="E100" s="139"/>
      <c r="F100" s="139"/>
      <c r="G100" s="92"/>
      <c r="H100" s="92"/>
      <c r="I100" s="92"/>
      <c r="J100" s="92"/>
      <c r="K100" s="92"/>
      <c r="L100" s="92"/>
      <c r="M100" s="92"/>
      <c r="N100" s="92"/>
    </row>
    <row r="101" spans="1:14" x14ac:dyDescent="0.25">
      <c r="A101" s="93"/>
      <c r="B101" s="96"/>
      <c r="C101" s="90"/>
      <c r="D101" s="97"/>
      <c r="E101" s="98"/>
      <c r="F101" s="98"/>
      <c r="G101" s="139"/>
      <c r="H101" s="139"/>
      <c r="I101" s="139"/>
      <c r="J101" s="139"/>
      <c r="K101" s="139"/>
      <c r="L101" s="139"/>
      <c r="M101" s="139"/>
      <c r="N101" s="139"/>
    </row>
    <row r="102" spans="1:14" x14ac:dyDescent="0.25">
      <c r="A102" s="93"/>
      <c r="B102" s="94"/>
      <c r="C102" s="90"/>
      <c r="D102" s="97"/>
      <c r="E102" s="98"/>
      <c r="F102" s="98"/>
      <c r="G102" s="98"/>
      <c r="H102" s="98"/>
      <c r="I102" s="98"/>
      <c r="J102" s="98"/>
      <c r="K102" s="98"/>
      <c r="L102" s="98"/>
      <c r="M102" s="98"/>
      <c r="N102" s="98"/>
    </row>
    <row r="103" spans="1:14" x14ac:dyDescent="0.25">
      <c r="A103" s="93"/>
      <c r="B103" s="94"/>
      <c r="C103" s="90"/>
      <c r="D103" s="97"/>
      <c r="E103" s="98"/>
      <c r="F103" s="98"/>
      <c r="G103" s="98"/>
      <c r="H103" s="98"/>
      <c r="I103" s="98"/>
      <c r="J103" s="98"/>
      <c r="K103" s="98"/>
      <c r="L103" s="98"/>
      <c r="M103" s="98"/>
      <c r="N103" s="98"/>
    </row>
    <row r="104" spans="1:14" x14ac:dyDescent="0.25">
      <c r="A104" s="93"/>
      <c r="B104" s="94"/>
      <c r="C104" s="90"/>
      <c r="D104" s="97"/>
      <c r="E104" s="98"/>
      <c r="F104" s="98"/>
      <c r="G104" s="98"/>
      <c r="H104" s="98"/>
      <c r="I104" s="98"/>
      <c r="J104" s="98"/>
      <c r="K104" s="98"/>
      <c r="L104" s="98"/>
      <c r="M104" s="98"/>
      <c r="N104" s="98"/>
    </row>
    <row r="105" spans="1:14" x14ac:dyDescent="0.25">
      <c r="A105" s="93"/>
      <c r="B105" s="94"/>
      <c r="C105" s="90"/>
      <c r="D105" s="97"/>
      <c r="E105" s="98"/>
      <c r="F105" s="98"/>
      <c r="G105" s="98"/>
      <c r="H105" s="98"/>
      <c r="I105" s="98"/>
      <c r="J105" s="98"/>
      <c r="K105" s="98"/>
      <c r="L105" s="98"/>
      <c r="M105" s="98"/>
      <c r="N105" s="98"/>
    </row>
    <row r="106" spans="1:14" x14ac:dyDescent="0.25">
      <c r="A106" s="93"/>
      <c r="B106" s="94"/>
      <c r="C106" s="90"/>
      <c r="D106" s="97"/>
      <c r="E106" s="98"/>
      <c r="F106" s="98"/>
      <c r="G106" s="98"/>
      <c r="H106" s="98"/>
      <c r="I106" s="98"/>
      <c r="J106" s="98"/>
      <c r="K106" s="98"/>
      <c r="L106" s="98"/>
      <c r="M106" s="98"/>
      <c r="N106" s="98"/>
    </row>
    <row r="107" spans="1:14" x14ac:dyDescent="0.25">
      <c r="A107" s="93"/>
      <c r="B107" s="94"/>
      <c r="C107" s="90"/>
      <c r="D107" s="97"/>
      <c r="E107" s="98"/>
      <c r="F107" s="98"/>
      <c r="G107" s="98"/>
      <c r="H107" s="98"/>
      <c r="I107" s="98"/>
      <c r="J107" s="98"/>
      <c r="K107" s="98"/>
      <c r="L107" s="98"/>
      <c r="M107" s="98"/>
      <c r="N107" s="98"/>
    </row>
    <row r="108" spans="1:14" x14ac:dyDescent="0.25">
      <c r="A108" s="93"/>
      <c r="B108" s="94"/>
      <c r="C108" s="90"/>
      <c r="D108" s="97"/>
      <c r="E108" s="98"/>
      <c r="F108" s="98"/>
      <c r="G108" s="98"/>
      <c r="H108" s="98"/>
      <c r="I108" s="98"/>
      <c r="J108" s="98"/>
      <c r="K108" s="98"/>
      <c r="L108" s="98"/>
      <c r="M108" s="98"/>
      <c r="N108" s="98"/>
    </row>
    <row r="109" spans="1:14" x14ac:dyDescent="0.25">
      <c r="A109" s="93"/>
      <c r="B109" s="94"/>
      <c r="C109" s="90"/>
      <c r="D109" s="97"/>
      <c r="E109" s="98"/>
      <c r="F109" s="98"/>
      <c r="G109" s="98"/>
      <c r="H109" s="98"/>
      <c r="I109" s="98"/>
      <c r="J109" s="98"/>
      <c r="K109" s="98"/>
      <c r="L109" s="98"/>
      <c r="M109" s="98"/>
      <c r="N109" s="98"/>
    </row>
    <row r="110" spans="1:14" x14ac:dyDescent="0.25">
      <c r="A110" s="93"/>
      <c r="B110" s="94"/>
      <c r="C110" s="90"/>
      <c r="D110" s="97"/>
      <c r="E110" s="98"/>
      <c r="F110" s="98"/>
      <c r="G110" s="98"/>
      <c r="H110" s="98"/>
      <c r="I110" s="98"/>
      <c r="J110" s="98"/>
      <c r="K110" s="98"/>
      <c r="L110" s="98"/>
      <c r="M110" s="98"/>
      <c r="N110" s="98"/>
    </row>
    <row r="111" spans="1:14" x14ac:dyDescent="0.25">
      <c r="A111" s="93"/>
      <c r="B111" s="94"/>
      <c r="C111" s="90"/>
      <c r="D111" s="97"/>
      <c r="E111" s="98"/>
      <c r="F111" s="98"/>
      <c r="G111" s="98"/>
      <c r="H111" s="98"/>
      <c r="I111" s="98"/>
      <c r="J111" s="98"/>
      <c r="K111" s="98"/>
      <c r="L111" s="98"/>
      <c r="M111" s="98"/>
      <c r="N111" s="98"/>
    </row>
    <row r="112" spans="1:14" x14ac:dyDescent="0.25">
      <c r="A112" s="93"/>
      <c r="B112" s="94"/>
      <c r="C112" s="90"/>
      <c r="D112" s="97"/>
      <c r="E112" s="98"/>
      <c r="F112" s="98"/>
      <c r="G112" s="98"/>
      <c r="H112" s="98"/>
      <c r="I112" s="98"/>
      <c r="J112" s="98"/>
      <c r="K112" s="98"/>
      <c r="L112" s="98"/>
      <c r="M112" s="98"/>
      <c r="N112" s="98"/>
    </row>
    <row r="113" spans="1:15" x14ac:dyDescent="0.25">
      <c r="A113" s="93"/>
      <c r="B113" s="94"/>
      <c r="C113" s="90"/>
      <c r="D113" s="97"/>
      <c r="E113" s="98"/>
      <c r="F113" s="98"/>
      <c r="G113" s="98"/>
      <c r="H113" s="98"/>
      <c r="I113" s="98"/>
      <c r="J113" s="98"/>
      <c r="K113" s="98"/>
      <c r="L113" s="98"/>
      <c r="M113" s="98"/>
      <c r="N113" s="98"/>
    </row>
    <row r="114" spans="1:15" x14ac:dyDescent="0.25">
      <c r="A114" s="93"/>
      <c r="B114" s="94"/>
      <c r="C114" s="90"/>
      <c r="D114" s="97"/>
      <c r="E114" s="98"/>
      <c r="F114" s="98"/>
      <c r="G114" s="98"/>
      <c r="H114" s="98"/>
      <c r="I114" s="98"/>
      <c r="J114" s="98"/>
      <c r="K114" s="98"/>
      <c r="L114" s="98"/>
      <c r="M114" s="98"/>
      <c r="N114" s="98"/>
    </row>
    <row r="115" spans="1:15" x14ac:dyDescent="0.25">
      <c r="A115" s="93"/>
      <c r="B115" s="94"/>
      <c r="C115" s="83"/>
      <c r="D115" s="95"/>
      <c r="E115" s="139"/>
      <c r="F115" s="139"/>
      <c r="G115" s="98"/>
      <c r="H115" s="98"/>
      <c r="I115" s="98"/>
      <c r="J115" s="98"/>
      <c r="K115" s="98"/>
      <c r="L115" s="98"/>
      <c r="M115" s="98"/>
      <c r="N115" s="98"/>
    </row>
    <row r="116" spans="1:15" x14ac:dyDescent="0.25">
      <c r="A116" s="93"/>
      <c r="B116" s="96"/>
      <c r="C116" s="90"/>
      <c r="D116" s="97"/>
      <c r="E116" s="98"/>
      <c r="F116" s="98"/>
      <c r="G116" s="139"/>
      <c r="H116" s="139"/>
      <c r="I116" s="139"/>
      <c r="J116" s="139"/>
      <c r="K116" s="139"/>
      <c r="L116" s="139"/>
      <c r="M116" s="139"/>
      <c r="N116" s="139"/>
    </row>
    <row r="117" spans="1:15" x14ac:dyDescent="0.25">
      <c r="A117" s="93"/>
      <c r="B117" s="94"/>
      <c r="C117" s="90"/>
      <c r="D117" s="97"/>
      <c r="E117" s="98"/>
      <c r="F117" s="98"/>
      <c r="G117" s="98"/>
      <c r="H117" s="98"/>
      <c r="I117" s="98"/>
      <c r="J117" s="98"/>
      <c r="K117" s="98"/>
      <c r="L117" s="98"/>
      <c r="M117" s="98"/>
      <c r="N117" s="98"/>
    </row>
    <row r="118" spans="1:15" x14ac:dyDescent="0.25">
      <c r="A118" s="93"/>
      <c r="B118" s="94"/>
      <c r="C118" s="90"/>
      <c r="D118" s="97"/>
      <c r="E118" s="98"/>
      <c r="F118" s="98"/>
      <c r="G118" s="98"/>
      <c r="H118" s="98"/>
      <c r="I118" s="98"/>
      <c r="J118" s="98"/>
      <c r="K118" s="98"/>
      <c r="L118" s="98"/>
      <c r="M118" s="98"/>
      <c r="N118" s="98"/>
    </row>
    <row r="119" spans="1:15" x14ac:dyDescent="0.25">
      <c r="A119" s="93"/>
      <c r="B119" s="94"/>
      <c r="C119" s="90"/>
      <c r="D119" s="97"/>
      <c r="E119" s="98"/>
      <c r="F119" s="98"/>
      <c r="G119" s="98"/>
      <c r="H119" s="98"/>
      <c r="I119" s="98"/>
      <c r="J119" s="98"/>
      <c r="K119" s="98"/>
      <c r="L119" s="98"/>
      <c r="M119" s="98"/>
      <c r="N119" s="98"/>
    </row>
    <row r="120" spans="1:15" x14ac:dyDescent="0.25">
      <c r="A120" s="93"/>
      <c r="B120" s="94"/>
      <c r="C120" s="90"/>
      <c r="D120" s="97"/>
      <c r="E120" s="98"/>
      <c r="F120" s="98"/>
      <c r="G120" s="98"/>
      <c r="H120" s="98"/>
      <c r="I120" s="98"/>
      <c r="J120" s="98"/>
      <c r="K120" s="98"/>
      <c r="L120" s="98"/>
      <c r="M120" s="98"/>
      <c r="N120" s="98"/>
    </row>
    <row r="121" spans="1:15" x14ac:dyDescent="0.25">
      <c r="A121" s="93"/>
      <c r="B121" s="94"/>
      <c r="C121" s="90"/>
      <c r="D121" s="97"/>
      <c r="E121" s="98"/>
      <c r="F121" s="98"/>
      <c r="G121" s="98"/>
      <c r="H121" s="98"/>
      <c r="I121" s="98"/>
      <c r="J121" s="98"/>
      <c r="K121" s="98"/>
      <c r="L121" s="98"/>
      <c r="M121" s="98"/>
      <c r="N121" s="98"/>
    </row>
    <row r="122" spans="1:15" x14ac:dyDescent="0.25">
      <c r="A122" s="93"/>
      <c r="B122" s="94"/>
      <c r="C122" s="90"/>
      <c r="D122" s="97"/>
      <c r="E122" s="98"/>
      <c r="F122" s="98"/>
      <c r="G122" s="98"/>
      <c r="H122" s="98"/>
      <c r="I122" s="98"/>
      <c r="J122" s="98"/>
      <c r="K122" s="98"/>
      <c r="L122" s="98"/>
      <c r="M122" s="98"/>
      <c r="N122" s="98"/>
    </row>
    <row r="123" spans="1:15" x14ac:dyDescent="0.25">
      <c r="A123" s="93"/>
      <c r="B123" s="94"/>
      <c r="C123" s="90"/>
      <c r="D123" s="97"/>
      <c r="E123" s="98"/>
      <c r="F123" s="98"/>
      <c r="G123" s="98"/>
      <c r="H123" s="98"/>
      <c r="I123" s="98"/>
      <c r="J123" s="98"/>
      <c r="K123" s="98"/>
      <c r="L123" s="98"/>
      <c r="M123" s="98"/>
      <c r="N123" s="98"/>
    </row>
    <row r="124" spans="1:15" x14ac:dyDescent="0.25">
      <c r="A124" s="93"/>
      <c r="B124" s="94"/>
      <c r="C124" s="90"/>
      <c r="D124" s="97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81"/>
    </row>
    <row r="125" spans="1:15" x14ac:dyDescent="0.25">
      <c r="A125" s="93"/>
      <c r="B125" s="94"/>
      <c r="C125" s="90"/>
      <c r="D125" s="97"/>
      <c r="E125" s="98"/>
      <c r="F125" s="98"/>
      <c r="G125" s="98"/>
      <c r="H125" s="98"/>
      <c r="I125" s="98"/>
      <c r="J125" s="98"/>
      <c r="K125" s="98"/>
      <c r="L125" s="98"/>
      <c r="M125" s="98"/>
      <c r="N125" s="98"/>
    </row>
    <row r="126" spans="1:15" x14ac:dyDescent="0.25">
      <c r="A126" s="93"/>
      <c r="B126" s="94"/>
      <c r="C126" s="90"/>
      <c r="D126" s="97"/>
      <c r="E126" s="98"/>
      <c r="F126" s="98"/>
      <c r="G126" s="98"/>
      <c r="H126" s="98"/>
      <c r="I126" s="98"/>
      <c r="J126" s="98"/>
      <c r="K126" s="98"/>
      <c r="L126" s="98"/>
      <c r="M126" s="98"/>
      <c r="N126" s="98"/>
    </row>
    <row r="127" spans="1:15" x14ac:dyDescent="0.25">
      <c r="A127" s="93"/>
      <c r="B127" s="94"/>
      <c r="C127" s="90"/>
      <c r="D127" s="97"/>
      <c r="E127" s="98"/>
      <c r="F127" s="98"/>
      <c r="G127" s="98"/>
      <c r="H127" s="98"/>
      <c r="I127" s="98"/>
      <c r="J127" s="98"/>
      <c r="K127" s="98"/>
      <c r="L127" s="98"/>
      <c r="M127" s="98"/>
      <c r="N127" s="98"/>
    </row>
    <row r="128" spans="1:15" x14ac:dyDescent="0.25">
      <c r="A128" s="93"/>
      <c r="B128" s="94"/>
      <c r="C128" s="90"/>
      <c r="D128" s="97"/>
      <c r="E128" s="98"/>
      <c r="F128" s="98"/>
      <c r="G128" s="98"/>
      <c r="H128" s="98"/>
      <c r="I128" s="98"/>
      <c r="J128" s="98"/>
      <c r="K128" s="98"/>
      <c r="L128" s="98"/>
      <c r="M128" s="98"/>
      <c r="N128" s="98"/>
    </row>
    <row r="129" spans="1:14" x14ac:dyDescent="0.25">
      <c r="A129" s="93"/>
      <c r="B129" s="94"/>
      <c r="C129" s="90"/>
      <c r="D129" s="97"/>
      <c r="E129" s="98"/>
      <c r="F129" s="98"/>
      <c r="G129" s="98"/>
      <c r="H129" s="98"/>
      <c r="I129" s="98"/>
      <c r="J129" s="98"/>
      <c r="K129" s="98"/>
      <c r="L129" s="98"/>
      <c r="M129" s="98"/>
      <c r="N129" s="98"/>
    </row>
    <row r="130" spans="1:14" x14ac:dyDescent="0.25">
      <c r="A130" s="93"/>
      <c r="B130" s="94"/>
      <c r="C130" s="99"/>
      <c r="D130" s="100"/>
      <c r="E130" s="101"/>
      <c r="F130" s="102"/>
      <c r="G130" s="98"/>
      <c r="H130" s="98"/>
      <c r="I130" s="98"/>
      <c r="J130" s="98"/>
      <c r="K130" s="98"/>
      <c r="L130" s="98"/>
      <c r="M130" s="98"/>
      <c r="N130" s="98"/>
    </row>
    <row r="131" spans="1:14" x14ac:dyDescent="0.25">
      <c r="G131" s="103"/>
      <c r="H131" s="102"/>
      <c r="I131" s="103"/>
      <c r="J131" s="102"/>
      <c r="K131" s="103"/>
      <c r="L131" s="102"/>
      <c r="M131" s="103"/>
      <c r="N131" s="102"/>
    </row>
  </sheetData>
  <mergeCells count="19">
    <mergeCell ref="E115:F115"/>
    <mergeCell ref="G116:H116"/>
    <mergeCell ref="I116:J116"/>
    <mergeCell ref="K116:L116"/>
    <mergeCell ref="M116:N116"/>
    <mergeCell ref="I86:J86"/>
    <mergeCell ref="K86:L86"/>
    <mergeCell ref="M86:N86"/>
    <mergeCell ref="E100:F100"/>
    <mergeCell ref="G101:H101"/>
    <mergeCell ref="I101:J101"/>
    <mergeCell ref="K101:L101"/>
    <mergeCell ref="M101:N101"/>
    <mergeCell ref="G86:H86"/>
    <mergeCell ref="A1:F1"/>
    <mergeCell ref="A2:F2"/>
    <mergeCell ref="A3:F3"/>
    <mergeCell ref="A83:F83"/>
    <mergeCell ref="E85:F85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A26" sqref="A26"/>
    </sheetView>
  </sheetViews>
  <sheetFormatPr defaultRowHeight="15" x14ac:dyDescent="0.25"/>
  <cols>
    <col min="1" max="1" width="39.7109375" bestFit="1" customWidth="1"/>
    <col min="2" max="2" width="60.7109375" customWidth="1"/>
  </cols>
  <sheetData>
    <row r="1" spans="1:2" ht="18.75" x14ac:dyDescent="0.3">
      <c r="A1" s="60" t="s">
        <v>13</v>
      </c>
      <c r="B1" s="61"/>
    </row>
    <row r="2" spans="1:2" x14ac:dyDescent="0.25">
      <c r="A2" s="62" t="s">
        <v>14</v>
      </c>
      <c r="B2" s="63"/>
    </row>
    <row r="3" spans="1:2" x14ac:dyDescent="0.25">
      <c r="A3" s="62" t="s">
        <v>15</v>
      </c>
      <c r="B3" s="63"/>
    </row>
    <row r="4" spans="1:2" x14ac:dyDescent="0.25">
      <c r="A4" s="62" t="s">
        <v>16</v>
      </c>
      <c r="B4" s="63"/>
    </row>
    <row r="5" spans="1:2" x14ac:dyDescent="0.25">
      <c r="A5" s="62" t="s">
        <v>17</v>
      </c>
      <c r="B5" s="63"/>
    </row>
    <row r="6" spans="1:2" x14ac:dyDescent="0.25">
      <c r="A6" s="62" t="s">
        <v>18</v>
      </c>
      <c r="B6" s="63"/>
    </row>
    <row r="7" spans="1:2" x14ac:dyDescent="0.25">
      <c r="A7" s="62" t="s">
        <v>19</v>
      </c>
      <c r="B7" s="63"/>
    </row>
    <row r="8" spans="1:2" x14ac:dyDescent="0.25">
      <c r="A8" s="62" t="s">
        <v>20</v>
      </c>
      <c r="B8" s="63"/>
    </row>
    <row r="9" spans="1:2" x14ac:dyDescent="0.25">
      <c r="A9" s="62" t="s">
        <v>21</v>
      </c>
      <c r="B9" s="63"/>
    </row>
    <row r="10" spans="1:2" x14ac:dyDescent="0.25">
      <c r="A10" s="62" t="s">
        <v>22</v>
      </c>
      <c r="B10" s="63"/>
    </row>
    <row r="11" spans="1:2" x14ac:dyDescent="0.25">
      <c r="A11" s="62" t="s">
        <v>23</v>
      </c>
      <c r="B11" s="63"/>
    </row>
    <row r="12" spans="1:2" x14ac:dyDescent="0.25">
      <c r="A12" s="62" t="s">
        <v>24</v>
      </c>
      <c r="B12" s="63"/>
    </row>
    <row r="13" spans="1:2" x14ac:dyDescent="0.25">
      <c r="A13" s="62" t="s">
        <v>25</v>
      </c>
      <c r="B13" s="63"/>
    </row>
    <row r="14" spans="1:2" x14ac:dyDescent="0.25">
      <c r="A14" s="62" t="s">
        <v>26</v>
      </c>
      <c r="B14" s="6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91"/>
  <sheetViews>
    <sheetView tabSelected="1" topLeftCell="A48" zoomScale="85" zoomScaleNormal="85" workbookViewId="0">
      <selection activeCell="B69" sqref="B69"/>
    </sheetView>
  </sheetViews>
  <sheetFormatPr defaultColWidth="9.140625" defaultRowHeight="15" x14ac:dyDescent="0.25"/>
  <cols>
    <col min="1" max="1" width="18.5703125" style="8" customWidth="1"/>
    <col min="2" max="2" width="86.85546875" style="9" bestFit="1" customWidth="1"/>
    <col min="3" max="3" width="15.7109375" style="58" customWidth="1"/>
    <col min="4" max="4" width="17.7109375" style="58" customWidth="1"/>
    <col min="5" max="5" width="19.7109375" style="3" customWidth="1"/>
    <col min="6" max="6" width="16.42578125" style="4" bestFit="1" customWidth="1"/>
    <col min="7" max="7" width="13.5703125" style="4" bestFit="1" customWidth="1"/>
    <col min="8" max="16384" width="9.140625" style="4"/>
  </cols>
  <sheetData>
    <row r="1" spans="1:14" s="2" customFormat="1" ht="28.15" customHeight="1" x14ac:dyDescent="0.25">
      <c r="A1" s="114" t="s">
        <v>27</v>
      </c>
      <c r="B1" s="115" t="s">
        <v>5</v>
      </c>
      <c r="C1" s="116" t="s">
        <v>164</v>
      </c>
      <c r="D1" s="116" t="s">
        <v>7</v>
      </c>
      <c r="E1" s="126" t="s">
        <v>8</v>
      </c>
      <c r="F1" s="117" t="s">
        <v>9</v>
      </c>
      <c r="G1" s="1"/>
      <c r="H1" s="1"/>
      <c r="I1" s="1"/>
      <c r="J1" s="1"/>
      <c r="K1" s="1"/>
      <c r="L1" s="105"/>
      <c r="M1" s="1"/>
      <c r="N1" s="1"/>
    </row>
    <row r="2" spans="1:14" x14ac:dyDescent="0.25">
      <c r="A2" s="75" t="s">
        <v>10</v>
      </c>
      <c r="B2" s="118" t="s">
        <v>81</v>
      </c>
      <c r="C2" s="122" t="s">
        <v>34</v>
      </c>
      <c r="D2" s="121" t="s">
        <v>34</v>
      </c>
      <c r="E2" s="127" t="s">
        <v>34</v>
      </c>
      <c r="F2" s="131"/>
    </row>
    <row r="3" spans="1:14" x14ac:dyDescent="0.25">
      <c r="A3" s="75" t="s">
        <v>31</v>
      </c>
      <c r="B3" s="118" t="s">
        <v>82</v>
      </c>
      <c r="C3" s="77">
        <v>3</v>
      </c>
      <c r="D3" s="78"/>
      <c r="E3" s="128">
        <f t="shared" ref="E3:E9" si="0">D3*C3</f>
        <v>0</v>
      </c>
      <c r="F3" s="131"/>
    </row>
    <row r="4" spans="1:14" x14ac:dyDescent="0.25">
      <c r="A4" s="75" t="s">
        <v>32</v>
      </c>
      <c r="B4" s="118" t="s">
        <v>83</v>
      </c>
      <c r="C4" s="77">
        <v>2</v>
      </c>
      <c r="D4" s="78"/>
      <c r="E4" s="128">
        <f t="shared" si="0"/>
        <v>0</v>
      </c>
      <c r="F4" s="131"/>
    </row>
    <row r="5" spans="1:14" x14ac:dyDescent="0.25">
      <c r="A5" s="75" t="s">
        <v>33</v>
      </c>
      <c r="B5" s="118" t="s">
        <v>84</v>
      </c>
      <c r="C5" s="77">
        <v>2</v>
      </c>
      <c r="D5" s="78"/>
      <c r="E5" s="128">
        <f t="shared" si="0"/>
        <v>0</v>
      </c>
      <c r="F5" s="131"/>
    </row>
    <row r="6" spans="1:14" x14ac:dyDescent="0.25">
      <c r="A6" s="75" t="s">
        <v>11</v>
      </c>
      <c r="B6" s="76" t="s">
        <v>85</v>
      </c>
      <c r="C6" s="122" t="s">
        <v>34</v>
      </c>
      <c r="D6" s="121" t="s">
        <v>34</v>
      </c>
      <c r="E6" s="127" t="s">
        <v>34</v>
      </c>
      <c r="F6" s="131"/>
    </row>
    <row r="7" spans="1:14" x14ac:dyDescent="0.25">
      <c r="A7" s="75" t="s">
        <v>35</v>
      </c>
      <c r="B7" s="76" t="s">
        <v>86</v>
      </c>
      <c r="C7" s="77">
        <v>3</v>
      </c>
      <c r="D7" s="78"/>
      <c r="E7" s="128">
        <f t="shared" si="0"/>
        <v>0</v>
      </c>
      <c r="F7" s="131"/>
    </row>
    <row r="8" spans="1:14" x14ac:dyDescent="0.25">
      <c r="A8" s="75" t="s">
        <v>36</v>
      </c>
      <c r="B8" s="76" t="s">
        <v>87</v>
      </c>
      <c r="C8" s="77">
        <v>2</v>
      </c>
      <c r="D8" s="78"/>
      <c r="E8" s="128">
        <f t="shared" si="0"/>
        <v>0</v>
      </c>
      <c r="F8" s="131"/>
    </row>
    <row r="9" spans="1:14" x14ac:dyDescent="0.25">
      <c r="A9" s="75" t="s">
        <v>37</v>
      </c>
      <c r="B9" s="76" t="s">
        <v>88</v>
      </c>
      <c r="C9" s="77">
        <v>2</v>
      </c>
      <c r="D9" s="78"/>
      <c r="E9" s="128">
        <f t="shared" si="0"/>
        <v>0</v>
      </c>
      <c r="F9" s="131"/>
    </row>
    <row r="10" spans="1:14" x14ac:dyDescent="0.25">
      <c r="A10" s="75" t="s">
        <v>12</v>
      </c>
      <c r="B10" s="76" t="s">
        <v>89</v>
      </c>
      <c r="C10" s="122" t="s">
        <v>34</v>
      </c>
      <c r="D10" s="121" t="s">
        <v>34</v>
      </c>
      <c r="E10" s="127" t="s">
        <v>34</v>
      </c>
      <c r="F10" s="131"/>
    </row>
    <row r="11" spans="1:14" x14ac:dyDescent="0.25">
      <c r="A11" s="75" t="s">
        <v>38</v>
      </c>
      <c r="B11" s="76" t="s">
        <v>90</v>
      </c>
      <c r="C11" s="77">
        <v>4</v>
      </c>
      <c r="D11" s="78"/>
      <c r="E11" s="128">
        <f>C11*D11</f>
        <v>0</v>
      </c>
      <c r="F11" s="131"/>
    </row>
    <row r="12" spans="1:14" x14ac:dyDescent="0.25">
      <c r="A12" s="75" t="s">
        <v>39</v>
      </c>
      <c r="B12" s="76" t="s">
        <v>91</v>
      </c>
      <c r="C12" s="77">
        <v>2</v>
      </c>
      <c r="D12" s="78"/>
      <c r="E12" s="128">
        <f t="shared" ref="E12:E13" si="1">C12*D12</f>
        <v>0</v>
      </c>
      <c r="F12" s="131"/>
    </row>
    <row r="13" spans="1:14" x14ac:dyDescent="0.25">
      <c r="A13" s="75" t="s">
        <v>40</v>
      </c>
      <c r="B13" s="76" t="s">
        <v>92</v>
      </c>
      <c r="C13" s="77">
        <v>4</v>
      </c>
      <c r="D13" s="78"/>
      <c r="E13" s="128">
        <f t="shared" si="1"/>
        <v>0</v>
      </c>
      <c r="F13" s="131"/>
    </row>
    <row r="14" spans="1:14" x14ac:dyDescent="0.25">
      <c r="A14" s="110" t="s">
        <v>41</v>
      </c>
      <c r="B14" s="76" t="s">
        <v>155</v>
      </c>
      <c r="C14" s="122" t="s">
        <v>34</v>
      </c>
      <c r="D14" s="121" t="s">
        <v>34</v>
      </c>
      <c r="E14" s="127" t="s">
        <v>34</v>
      </c>
      <c r="F14" s="131"/>
    </row>
    <row r="15" spans="1:14" x14ac:dyDescent="0.25">
      <c r="A15" s="110" t="s">
        <v>42</v>
      </c>
      <c r="B15" s="76" t="s">
        <v>156</v>
      </c>
      <c r="C15" s="77">
        <v>3</v>
      </c>
      <c r="D15" s="78"/>
      <c r="E15" s="128">
        <f t="shared" ref="E15:E19" si="2">D15*C15</f>
        <v>0</v>
      </c>
      <c r="F15" s="131"/>
    </row>
    <row r="16" spans="1:14" x14ac:dyDescent="0.25">
      <c r="A16" s="110" t="s">
        <v>43</v>
      </c>
      <c r="B16" s="76" t="s">
        <v>157</v>
      </c>
      <c r="C16" s="77">
        <v>2</v>
      </c>
      <c r="D16" s="78"/>
      <c r="E16" s="128">
        <f t="shared" si="2"/>
        <v>0</v>
      </c>
      <c r="F16" s="131"/>
    </row>
    <row r="17" spans="1:7" x14ac:dyDescent="0.25">
      <c r="A17" s="110" t="s">
        <v>44</v>
      </c>
      <c r="B17" s="76" t="s">
        <v>158</v>
      </c>
      <c r="C17" s="77">
        <v>2</v>
      </c>
      <c r="D17" s="78"/>
      <c r="E17" s="128">
        <f t="shared" si="2"/>
        <v>0</v>
      </c>
      <c r="F17" s="131"/>
    </row>
    <row r="18" spans="1:7" x14ac:dyDescent="0.25">
      <c r="A18" s="110" t="s">
        <v>45</v>
      </c>
      <c r="B18" s="76" t="s">
        <v>93</v>
      </c>
      <c r="C18" s="122" t="s">
        <v>34</v>
      </c>
      <c r="D18" s="121" t="s">
        <v>34</v>
      </c>
      <c r="E18" s="127" t="s">
        <v>34</v>
      </c>
      <c r="F18" s="131"/>
    </row>
    <row r="19" spans="1:7" x14ac:dyDescent="0.25">
      <c r="A19" s="110" t="s">
        <v>46</v>
      </c>
      <c r="B19" s="76" t="s">
        <v>94</v>
      </c>
      <c r="C19" s="77">
        <v>3</v>
      </c>
      <c r="D19" s="78"/>
      <c r="E19" s="128">
        <f t="shared" si="2"/>
        <v>0</v>
      </c>
      <c r="F19" s="131"/>
    </row>
    <row r="20" spans="1:7" x14ac:dyDescent="0.25">
      <c r="A20" s="110" t="s">
        <v>47</v>
      </c>
      <c r="B20" s="76" t="s">
        <v>95</v>
      </c>
      <c r="C20" s="125">
        <v>1</v>
      </c>
      <c r="D20" s="78"/>
      <c r="E20" s="128">
        <f>D20*C20</f>
        <v>0</v>
      </c>
      <c r="F20" s="131"/>
    </row>
    <row r="21" spans="1:7" x14ac:dyDescent="0.25">
      <c r="A21" s="110" t="s">
        <v>48</v>
      </c>
      <c r="B21" s="76" t="s">
        <v>96</v>
      </c>
      <c r="C21" s="77">
        <v>2</v>
      </c>
      <c r="D21" s="78"/>
      <c r="E21" s="128">
        <f>D21*C21</f>
        <v>0</v>
      </c>
      <c r="F21" s="131"/>
    </row>
    <row r="22" spans="1:7" x14ac:dyDescent="0.25">
      <c r="A22" s="110" t="s">
        <v>49</v>
      </c>
      <c r="B22" s="76" t="s">
        <v>97</v>
      </c>
      <c r="C22" s="122" t="s">
        <v>34</v>
      </c>
      <c r="D22" s="121" t="s">
        <v>34</v>
      </c>
      <c r="E22" s="127" t="s">
        <v>34</v>
      </c>
      <c r="F22" s="131"/>
    </row>
    <row r="23" spans="1:7" x14ac:dyDescent="0.25">
      <c r="A23" s="110" t="s">
        <v>50</v>
      </c>
      <c r="B23" s="76" t="s">
        <v>98</v>
      </c>
      <c r="C23" s="77">
        <v>2</v>
      </c>
      <c r="D23" s="78"/>
      <c r="E23" s="128">
        <f>C23*D23</f>
        <v>0</v>
      </c>
      <c r="F23" s="131"/>
    </row>
    <row r="24" spans="1:7" x14ac:dyDescent="0.25">
      <c r="A24" s="110" t="s">
        <v>51</v>
      </c>
      <c r="B24" s="76" t="s">
        <v>99</v>
      </c>
      <c r="C24" s="77">
        <v>2</v>
      </c>
      <c r="D24" s="78"/>
      <c r="E24" s="128">
        <f t="shared" ref="E24:E25" si="3">C24*D24</f>
        <v>0</v>
      </c>
      <c r="F24" s="131"/>
    </row>
    <row r="25" spans="1:7" x14ac:dyDescent="0.25">
      <c r="A25" s="110" t="s">
        <v>52</v>
      </c>
      <c r="B25" s="76" t="s">
        <v>100</v>
      </c>
      <c r="C25" s="77">
        <v>2</v>
      </c>
      <c r="D25" s="78"/>
      <c r="E25" s="128">
        <f t="shared" si="3"/>
        <v>0</v>
      </c>
      <c r="F25" s="131"/>
    </row>
    <row r="26" spans="1:7" s="3" customFormat="1" x14ac:dyDescent="0.25">
      <c r="A26" s="110" t="s">
        <v>53</v>
      </c>
      <c r="B26" s="76" t="s">
        <v>104</v>
      </c>
      <c r="C26" s="122" t="s">
        <v>34</v>
      </c>
      <c r="D26" s="121" t="s">
        <v>34</v>
      </c>
      <c r="E26" s="127" t="s">
        <v>34</v>
      </c>
      <c r="F26" s="132"/>
      <c r="G26" s="19"/>
    </row>
    <row r="27" spans="1:7" x14ac:dyDescent="0.25">
      <c r="A27" s="110" t="s">
        <v>54</v>
      </c>
      <c r="B27" s="76" t="s">
        <v>101</v>
      </c>
      <c r="C27" s="77">
        <v>3</v>
      </c>
      <c r="D27" s="78"/>
      <c r="E27" s="128">
        <f>C27*D27</f>
        <v>0</v>
      </c>
      <c r="F27" s="132"/>
      <c r="G27" s="20"/>
    </row>
    <row r="28" spans="1:7" x14ac:dyDescent="0.25">
      <c r="A28" s="110" t="s">
        <v>55</v>
      </c>
      <c r="B28" s="76" t="s">
        <v>102</v>
      </c>
      <c r="C28" s="77">
        <v>2</v>
      </c>
      <c r="D28" s="78"/>
      <c r="E28" s="128">
        <f t="shared" ref="E28:E29" si="4">C28*D28</f>
        <v>0</v>
      </c>
      <c r="F28" s="131"/>
    </row>
    <row r="29" spans="1:7" x14ac:dyDescent="0.25">
      <c r="A29" s="110" t="s">
        <v>56</v>
      </c>
      <c r="B29" s="76" t="s">
        <v>103</v>
      </c>
      <c r="C29" s="77">
        <v>2</v>
      </c>
      <c r="D29" s="78"/>
      <c r="E29" s="128">
        <f t="shared" si="4"/>
        <v>0</v>
      </c>
      <c r="F29" s="131"/>
    </row>
    <row r="30" spans="1:7" x14ac:dyDescent="0.25">
      <c r="A30" s="110" t="s">
        <v>57</v>
      </c>
      <c r="B30" s="76" t="s">
        <v>165</v>
      </c>
      <c r="C30" s="122" t="s">
        <v>34</v>
      </c>
      <c r="D30" s="121" t="s">
        <v>34</v>
      </c>
      <c r="E30" s="127" t="s">
        <v>34</v>
      </c>
      <c r="F30" s="131"/>
    </row>
    <row r="31" spans="1:7" x14ac:dyDescent="0.25">
      <c r="A31" s="110" t="s">
        <v>58</v>
      </c>
      <c r="B31" s="76" t="s">
        <v>105</v>
      </c>
      <c r="C31" s="77">
        <v>3</v>
      </c>
      <c r="D31" s="78"/>
      <c r="E31" s="128">
        <f>C31*D31</f>
        <v>0</v>
      </c>
      <c r="F31" s="131"/>
    </row>
    <row r="32" spans="1:7" x14ac:dyDescent="0.25">
      <c r="A32" s="110" t="s">
        <v>59</v>
      </c>
      <c r="B32" s="76" t="s">
        <v>106</v>
      </c>
      <c r="C32" s="77">
        <v>3</v>
      </c>
      <c r="D32" s="78"/>
      <c r="E32" s="128">
        <f t="shared" ref="E32:E33" si="5">C32*D32</f>
        <v>0</v>
      </c>
      <c r="F32" s="131"/>
    </row>
    <row r="33" spans="1:6" x14ac:dyDescent="0.25">
      <c r="A33" s="110" t="s">
        <v>60</v>
      </c>
      <c r="B33" s="76" t="s">
        <v>107</v>
      </c>
      <c r="C33" s="77">
        <v>2</v>
      </c>
      <c r="D33" s="78"/>
      <c r="E33" s="128">
        <f t="shared" si="5"/>
        <v>0</v>
      </c>
      <c r="F33" s="131"/>
    </row>
    <row r="34" spans="1:6" x14ac:dyDescent="0.25">
      <c r="A34" s="110" t="s">
        <v>61</v>
      </c>
      <c r="B34" s="76" t="s">
        <v>108</v>
      </c>
      <c r="C34" s="122" t="s">
        <v>34</v>
      </c>
      <c r="D34" s="121" t="s">
        <v>34</v>
      </c>
      <c r="E34" s="127" t="s">
        <v>34</v>
      </c>
      <c r="F34" s="131"/>
    </row>
    <row r="35" spans="1:6" x14ac:dyDescent="0.25">
      <c r="A35" s="110" t="s">
        <v>62</v>
      </c>
      <c r="B35" s="76" t="s">
        <v>109</v>
      </c>
      <c r="C35" s="77">
        <v>3</v>
      </c>
      <c r="D35" s="78"/>
      <c r="E35" s="128">
        <f>C35*D35</f>
        <v>0</v>
      </c>
      <c r="F35" s="131"/>
    </row>
    <row r="36" spans="1:6" x14ac:dyDescent="0.25">
      <c r="A36" s="110" t="s">
        <v>63</v>
      </c>
      <c r="B36" s="76" t="s">
        <v>110</v>
      </c>
      <c r="C36" s="77">
        <v>2</v>
      </c>
      <c r="D36" s="78"/>
      <c r="E36" s="128">
        <f t="shared" ref="E36:E37" si="6">C36*D36</f>
        <v>0</v>
      </c>
      <c r="F36" s="131"/>
    </row>
    <row r="37" spans="1:6" x14ac:dyDescent="0.25">
      <c r="A37" s="110" t="s">
        <v>64</v>
      </c>
      <c r="B37" s="76" t="s">
        <v>109</v>
      </c>
      <c r="C37" s="77">
        <v>2</v>
      </c>
      <c r="D37" s="78"/>
      <c r="E37" s="128">
        <f t="shared" si="6"/>
        <v>0</v>
      </c>
      <c r="F37" s="131"/>
    </row>
    <row r="38" spans="1:6" x14ac:dyDescent="0.25">
      <c r="A38" s="110" t="s">
        <v>65</v>
      </c>
      <c r="B38" s="76" t="s">
        <v>113</v>
      </c>
      <c r="C38" s="122" t="s">
        <v>34</v>
      </c>
      <c r="D38" s="121" t="s">
        <v>34</v>
      </c>
      <c r="E38" s="127" t="s">
        <v>34</v>
      </c>
      <c r="F38" s="131"/>
    </row>
    <row r="39" spans="1:6" x14ac:dyDescent="0.25">
      <c r="A39" s="110" t="s">
        <v>66</v>
      </c>
      <c r="B39" s="140" t="s">
        <v>114</v>
      </c>
      <c r="C39" s="77">
        <v>3</v>
      </c>
      <c r="D39" s="78"/>
      <c r="E39" s="128">
        <f>C39*D39</f>
        <v>0</v>
      </c>
      <c r="F39" s="131"/>
    </row>
    <row r="40" spans="1:6" x14ac:dyDescent="0.25">
      <c r="A40" s="110" t="s">
        <v>67</v>
      </c>
      <c r="B40" s="76" t="s">
        <v>115</v>
      </c>
      <c r="C40" s="77">
        <v>2</v>
      </c>
      <c r="D40" s="78"/>
      <c r="E40" s="128">
        <f t="shared" ref="E40:E41" si="7">C40*D40</f>
        <v>0</v>
      </c>
      <c r="F40" s="131"/>
    </row>
    <row r="41" spans="1:6" x14ac:dyDescent="0.25">
      <c r="A41" s="110" t="s">
        <v>68</v>
      </c>
      <c r="B41" s="76" t="s">
        <v>116</v>
      </c>
      <c r="C41" s="77">
        <v>2</v>
      </c>
      <c r="D41" s="78"/>
      <c r="E41" s="128">
        <f t="shared" si="7"/>
        <v>0</v>
      </c>
      <c r="F41" s="131"/>
    </row>
    <row r="42" spans="1:6" x14ac:dyDescent="0.25">
      <c r="A42" s="110" t="s">
        <v>28</v>
      </c>
      <c r="B42" s="76" t="s">
        <v>117</v>
      </c>
      <c r="C42" s="122" t="s">
        <v>34</v>
      </c>
      <c r="D42" s="121" t="s">
        <v>34</v>
      </c>
      <c r="E42" s="127" t="s">
        <v>34</v>
      </c>
      <c r="F42" s="131"/>
    </row>
    <row r="43" spans="1:6" x14ac:dyDescent="0.25">
      <c r="A43" s="110" t="s">
        <v>69</v>
      </c>
      <c r="B43" s="76" t="s">
        <v>118</v>
      </c>
      <c r="C43" s="77">
        <v>3</v>
      </c>
      <c r="D43" s="78"/>
      <c r="E43" s="128">
        <f>C43*D43</f>
        <v>0</v>
      </c>
      <c r="F43" s="131"/>
    </row>
    <row r="44" spans="1:6" x14ac:dyDescent="0.25">
      <c r="A44" s="110" t="s">
        <v>70</v>
      </c>
      <c r="B44" s="76" t="s">
        <v>119</v>
      </c>
      <c r="C44" s="77">
        <v>2</v>
      </c>
      <c r="D44" s="78"/>
      <c r="E44" s="128">
        <f t="shared" ref="E44:E45" si="8">C44*D44</f>
        <v>0</v>
      </c>
      <c r="F44" s="131"/>
    </row>
    <row r="45" spans="1:6" x14ac:dyDescent="0.25">
      <c r="A45" s="110" t="s">
        <v>71</v>
      </c>
      <c r="B45" s="76" t="s">
        <v>120</v>
      </c>
      <c r="C45" s="77">
        <v>2</v>
      </c>
      <c r="D45" s="78"/>
      <c r="E45" s="128">
        <f t="shared" si="8"/>
        <v>0</v>
      </c>
      <c r="F45" s="131"/>
    </row>
    <row r="46" spans="1:6" x14ac:dyDescent="0.25">
      <c r="A46" s="110" t="s">
        <v>29</v>
      </c>
      <c r="B46" s="76" t="s">
        <v>121</v>
      </c>
      <c r="C46" s="122" t="s">
        <v>34</v>
      </c>
      <c r="D46" s="121" t="s">
        <v>34</v>
      </c>
      <c r="E46" s="127" t="s">
        <v>34</v>
      </c>
      <c r="F46" s="131"/>
    </row>
    <row r="47" spans="1:6" x14ac:dyDescent="0.25">
      <c r="A47" s="110" t="s">
        <v>72</v>
      </c>
      <c r="B47" s="76" t="s">
        <v>122</v>
      </c>
      <c r="C47" s="77">
        <v>3</v>
      </c>
      <c r="D47" s="78"/>
      <c r="E47" s="128">
        <f>C47*D47</f>
        <v>0</v>
      </c>
      <c r="F47" s="131"/>
    </row>
    <row r="48" spans="1:6" x14ac:dyDescent="0.25">
      <c r="A48" s="110" t="s">
        <v>73</v>
      </c>
      <c r="B48" s="76" t="s">
        <v>123</v>
      </c>
      <c r="C48" s="77">
        <v>2</v>
      </c>
      <c r="D48" s="78"/>
      <c r="E48" s="128">
        <f t="shared" ref="E48:E49" si="9">C48*D48</f>
        <v>0</v>
      </c>
      <c r="F48" s="131"/>
    </row>
    <row r="49" spans="1:6" x14ac:dyDescent="0.25">
      <c r="A49" s="110" t="s">
        <v>74</v>
      </c>
      <c r="B49" s="76" t="s">
        <v>124</v>
      </c>
      <c r="C49" s="77">
        <v>2</v>
      </c>
      <c r="D49" s="78"/>
      <c r="E49" s="128">
        <f t="shared" si="9"/>
        <v>0</v>
      </c>
      <c r="F49" s="131"/>
    </row>
    <row r="50" spans="1:6" x14ac:dyDescent="0.25">
      <c r="A50" s="110" t="s">
        <v>30</v>
      </c>
      <c r="B50" s="76" t="s">
        <v>125</v>
      </c>
      <c r="C50" s="122" t="s">
        <v>34</v>
      </c>
      <c r="D50" s="121" t="s">
        <v>34</v>
      </c>
      <c r="E50" s="127" t="s">
        <v>34</v>
      </c>
      <c r="F50" s="131"/>
    </row>
    <row r="51" spans="1:6" x14ac:dyDescent="0.25">
      <c r="A51" s="110" t="s">
        <v>75</v>
      </c>
      <c r="B51" s="76" t="s">
        <v>126</v>
      </c>
      <c r="C51" s="77">
        <v>3</v>
      </c>
      <c r="D51" s="78"/>
      <c r="E51" s="128">
        <f>C51*D51</f>
        <v>0</v>
      </c>
      <c r="F51" s="131"/>
    </row>
    <row r="52" spans="1:6" x14ac:dyDescent="0.25">
      <c r="A52" s="110" t="s">
        <v>76</v>
      </c>
      <c r="B52" s="76" t="s">
        <v>127</v>
      </c>
      <c r="C52" s="77">
        <v>2</v>
      </c>
      <c r="D52" s="78"/>
      <c r="E52" s="128">
        <f t="shared" ref="E52:E53" si="10">C52*D52</f>
        <v>0</v>
      </c>
      <c r="F52" s="131"/>
    </row>
    <row r="53" spans="1:6" x14ac:dyDescent="0.25">
      <c r="A53" s="110" t="s">
        <v>77</v>
      </c>
      <c r="B53" s="76" t="s">
        <v>128</v>
      </c>
      <c r="C53" s="77">
        <v>2</v>
      </c>
      <c r="D53" s="78"/>
      <c r="E53" s="128">
        <f t="shared" si="10"/>
        <v>0</v>
      </c>
      <c r="F53" s="131"/>
    </row>
    <row r="54" spans="1:6" x14ac:dyDescent="0.25">
      <c r="A54" s="110" t="s">
        <v>129</v>
      </c>
      <c r="B54" s="76" t="s">
        <v>166</v>
      </c>
      <c r="C54" s="122" t="s">
        <v>34</v>
      </c>
      <c r="D54" s="121" t="s">
        <v>34</v>
      </c>
      <c r="E54" s="127" t="s">
        <v>34</v>
      </c>
      <c r="F54" s="131"/>
    </row>
    <row r="55" spans="1:6" x14ac:dyDescent="0.25">
      <c r="A55" s="110" t="s">
        <v>130</v>
      </c>
      <c r="B55" s="76" t="s">
        <v>133</v>
      </c>
      <c r="C55" s="77">
        <v>3</v>
      </c>
      <c r="D55" s="78"/>
      <c r="E55" s="128">
        <f>C55*D55</f>
        <v>0</v>
      </c>
      <c r="F55" s="131"/>
    </row>
    <row r="56" spans="1:6" x14ac:dyDescent="0.25">
      <c r="A56" s="110" t="s">
        <v>131</v>
      </c>
      <c r="B56" s="76" t="s">
        <v>134</v>
      </c>
      <c r="C56" s="77">
        <v>2</v>
      </c>
      <c r="D56" s="78"/>
      <c r="E56" s="128">
        <f t="shared" ref="E56:E57" si="11">C56*D56</f>
        <v>0</v>
      </c>
      <c r="F56" s="131"/>
    </row>
    <row r="57" spans="1:6" x14ac:dyDescent="0.25">
      <c r="A57" s="110" t="s">
        <v>132</v>
      </c>
      <c r="B57" s="134" t="s">
        <v>135</v>
      </c>
      <c r="C57" s="77">
        <v>2</v>
      </c>
      <c r="D57" s="78"/>
      <c r="E57" s="128">
        <f t="shared" si="11"/>
        <v>0</v>
      </c>
      <c r="F57" s="131"/>
    </row>
    <row r="58" spans="1:6" x14ac:dyDescent="0.25">
      <c r="A58" s="110" t="s">
        <v>137</v>
      </c>
      <c r="B58" s="76" t="s">
        <v>136</v>
      </c>
      <c r="C58" s="122" t="s">
        <v>34</v>
      </c>
      <c r="D58" s="121" t="s">
        <v>34</v>
      </c>
      <c r="E58" s="127" t="s">
        <v>34</v>
      </c>
      <c r="F58" s="131"/>
    </row>
    <row r="59" spans="1:6" x14ac:dyDescent="0.25">
      <c r="A59" s="110" t="s">
        <v>138</v>
      </c>
      <c r="B59" s="76" t="s">
        <v>101</v>
      </c>
      <c r="C59" s="77">
        <v>3</v>
      </c>
      <c r="D59" s="78"/>
      <c r="E59" s="128">
        <f>C59*D59</f>
        <v>0</v>
      </c>
      <c r="F59" s="131"/>
    </row>
    <row r="60" spans="1:6" x14ac:dyDescent="0.25">
      <c r="A60" s="110" t="s">
        <v>139</v>
      </c>
      <c r="B60" s="76" t="s">
        <v>102</v>
      </c>
      <c r="C60" s="77">
        <v>2</v>
      </c>
      <c r="D60" s="78"/>
      <c r="E60" s="128">
        <f t="shared" ref="E60:E61" si="12">C60*D60</f>
        <v>0</v>
      </c>
      <c r="F60" s="131"/>
    </row>
    <row r="61" spans="1:6" x14ac:dyDescent="0.25">
      <c r="A61" s="110" t="s">
        <v>140</v>
      </c>
      <c r="B61" s="134" t="s">
        <v>103</v>
      </c>
      <c r="C61" s="77">
        <v>2</v>
      </c>
      <c r="D61" s="78"/>
      <c r="E61" s="128">
        <f t="shared" si="12"/>
        <v>0</v>
      </c>
      <c r="F61" s="131"/>
    </row>
    <row r="62" spans="1:6" x14ac:dyDescent="0.25">
      <c r="A62" s="110" t="s">
        <v>141</v>
      </c>
      <c r="B62" s="76" t="s">
        <v>145</v>
      </c>
      <c r="C62" s="122" t="s">
        <v>34</v>
      </c>
      <c r="D62" s="121" t="s">
        <v>34</v>
      </c>
      <c r="E62" s="127" t="s">
        <v>34</v>
      </c>
      <c r="F62" s="131"/>
    </row>
    <row r="63" spans="1:6" x14ac:dyDescent="0.25">
      <c r="A63" s="110" t="s">
        <v>142</v>
      </c>
      <c r="B63" s="76" t="s">
        <v>146</v>
      </c>
      <c r="C63" s="77">
        <v>2</v>
      </c>
      <c r="D63" s="78"/>
      <c r="E63" s="128">
        <f>C63*D63</f>
        <v>0</v>
      </c>
      <c r="F63" s="131"/>
    </row>
    <row r="64" spans="1:6" x14ac:dyDescent="0.25">
      <c r="A64" s="110" t="s">
        <v>143</v>
      </c>
      <c r="B64" s="76" t="s">
        <v>147</v>
      </c>
      <c r="C64" s="77">
        <v>1</v>
      </c>
      <c r="D64" s="78"/>
      <c r="E64" s="128">
        <f t="shared" ref="E64:E65" si="13">C64*D64</f>
        <v>0</v>
      </c>
      <c r="F64" s="131"/>
    </row>
    <row r="65" spans="1:6" s="3" customFormat="1" x14ac:dyDescent="0.25">
      <c r="A65" s="110" t="s">
        <v>144</v>
      </c>
      <c r="B65" s="76" t="s">
        <v>148</v>
      </c>
      <c r="C65" s="77">
        <v>2</v>
      </c>
      <c r="D65" s="78"/>
      <c r="E65" s="128">
        <f t="shared" si="13"/>
        <v>0</v>
      </c>
      <c r="F65" s="132"/>
    </row>
    <row r="66" spans="1:6" x14ac:dyDescent="0.25">
      <c r="A66" s="110" t="s">
        <v>149</v>
      </c>
      <c r="B66" s="76" t="s">
        <v>167</v>
      </c>
      <c r="C66" s="122" t="s">
        <v>34</v>
      </c>
      <c r="D66" s="121" t="s">
        <v>34</v>
      </c>
      <c r="E66" s="127" t="s">
        <v>34</v>
      </c>
      <c r="F66" s="131"/>
    </row>
    <row r="67" spans="1:6" x14ac:dyDescent="0.25">
      <c r="A67" s="110" t="s">
        <v>150</v>
      </c>
      <c r="B67" s="76" t="s">
        <v>154</v>
      </c>
      <c r="C67" s="77">
        <v>3</v>
      </c>
      <c r="D67" s="78"/>
      <c r="E67" s="128">
        <f>C67*D67</f>
        <v>0</v>
      </c>
      <c r="F67" s="131"/>
    </row>
    <row r="68" spans="1:6" x14ac:dyDescent="0.25">
      <c r="A68" s="110" t="s">
        <v>151</v>
      </c>
      <c r="B68" s="76" t="s">
        <v>153</v>
      </c>
      <c r="C68" s="77">
        <v>2</v>
      </c>
      <c r="D68" s="78"/>
      <c r="E68" s="128">
        <f t="shared" ref="E68:E69" si="14">C68*D68</f>
        <v>0</v>
      </c>
      <c r="F68" s="131"/>
    </row>
    <row r="69" spans="1:6" x14ac:dyDescent="0.25">
      <c r="A69" s="110" t="s">
        <v>152</v>
      </c>
      <c r="B69" s="76" t="s">
        <v>154</v>
      </c>
      <c r="C69" s="77">
        <v>2</v>
      </c>
      <c r="D69" s="78"/>
      <c r="E69" s="128">
        <f t="shared" si="14"/>
        <v>0</v>
      </c>
      <c r="F69" s="131"/>
    </row>
    <row r="70" spans="1:6" x14ac:dyDescent="0.25">
      <c r="A70" s="110" t="s">
        <v>160</v>
      </c>
      <c r="B70" s="76" t="s">
        <v>79</v>
      </c>
      <c r="C70" s="122" t="s">
        <v>34</v>
      </c>
      <c r="D70" s="121" t="s">
        <v>34</v>
      </c>
      <c r="E70" s="127" t="s">
        <v>34</v>
      </c>
      <c r="F70" s="131"/>
    </row>
    <row r="71" spans="1:6" ht="25.5" x14ac:dyDescent="0.25">
      <c r="A71" s="110" t="s">
        <v>161</v>
      </c>
      <c r="B71" s="120" t="s">
        <v>168</v>
      </c>
      <c r="C71" s="122">
        <v>1</v>
      </c>
      <c r="D71" s="121" t="s">
        <v>78</v>
      </c>
      <c r="E71" s="127" t="s">
        <v>78</v>
      </c>
      <c r="F71" s="131"/>
    </row>
    <row r="72" spans="1:6" ht="25.5" x14ac:dyDescent="0.25">
      <c r="A72" s="110" t="s">
        <v>162</v>
      </c>
      <c r="B72" s="120" t="s">
        <v>159</v>
      </c>
      <c r="C72" s="122">
        <v>1</v>
      </c>
      <c r="D72" s="121" t="s">
        <v>78</v>
      </c>
      <c r="E72" s="127" t="s">
        <v>78</v>
      </c>
      <c r="F72" s="131"/>
    </row>
    <row r="73" spans="1:6" ht="38.25" customHeight="1" x14ac:dyDescent="0.25">
      <c r="A73" s="110" t="s">
        <v>163</v>
      </c>
      <c r="B73" s="120" t="s">
        <v>169</v>
      </c>
      <c r="C73" s="122">
        <v>1</v>
      </c>
      <c r="D73" s="121" t="s">
        <v>78</v>
      </c>
      <c r="E73" s="129" t="s">
        <v>78</v>
      </c>
      <c r="F73" s="131"/>
    </row>
    <row r="74" spans="1:6" ht="15.75" thickBot="1" x14ac:dyDescent="0.3">
      <c r="A74" s="133"/>
      <c r="B74" s="6"/>
      <c r="C74" s="7"/>
      <c r="D74" s="7"/>
      <c r="E74" s="130">
        <f>SUM(E3:E5,E7:E9, E11:E13,E15:E17,E19:E21,E23:E25,E27:E29,E31:E33,E35:E37,E39:E41,E43:E45,E47:E49,E51:E53,E55:E57,E59:E61,E63:E65,E67:E69)</f>
        <v>0</v>
      </c>
      <c r="F74" s="131"/>
    </row>
    <row r="75" spans="1:6" x14ac:dyDescent="0.25">
      <c r="B75" s="6"/>
      <c r="C75" s="7"/>
      <c r="D75" s="7"/>
      <c r="E75" s="14"/>
    </row>
    <row r="76" spans="1:6" x14ac:dyDescent="0.25">
      <c r="A76" s="5"/>
      <c r="B76" s="6"/>
      <c r="C76" s="7"/>
      <c r="D76" s="7"/>
      <c r="E76" s="14"/>
    </row>
    <row r="77" spans="1:6" x14ac:dyDescent="0.25">
      <c r="A77" s="5"/>
      <c r="B77" s="23"/>
      <c r="C77" s="7"/>
      <c r="D77" s="7"/>
      <c r="E77" s="14"/>
    </row>
    <row r="78" spans="1:6" x14ac:dyDescent="0.25">
      <c r="A78" s="5"/>
      <c r="B78" s="6"/>
      <c r="C78" s="7"/>
      <c r="D78" s="7"/>
      <c r="E78" s="14"/>
    </row>
    <row r="79" spans="1:6" x14ac:dyDescent="0.25">
      <c r="A79" s="5"/>
      <c r="B79" s="22"/>
      <c r="C79" s="7"/>
      <c r="D79" s="7"/>
      <c r="E79" s="14"/>
    </row>
    <row r="80" spans="1:6" x14ac:dyDescent="0.25">
      <c r="A80" s="5"/>
      <c r="B80" s="6"/>
      <c r="C80" s="7"/>
      <c r="D80" s="7"/>
      <c r="E80" s="14"/>
    </row>
    <row r="81" spans="1:5" x14ac:dyDescent="0.25">
      <c r="A81" s="5"/>
      <c r="C81" s="7"/>
      <c r="D81" s="7"/>
      <c r="E81" s="14"/>
    </row>
    <row r="82" spans="1:5" x14ac:dyDescent="0.25">
      <c r="A82" s="5"/>
      <c r="B82" s="6"/>
      <c r="C82" s="7"/>
      <c r="D82" s="7"/>
      <c r="E82" s="14"/>
    </row>
    <row r="83" spans="1:5" x14ac:dyDescent="0.25">
      <c r="A83" s="5"/>
      <c r="B83" s="6"/>
      <c r="C83" s="7"/>
      <c r="D83" s="7"/>
      <c r="E83" s="14"/>
    </row>
    <row r="84" spans="1:5" x14ac:dyDescent="0.25">
      <c r="A84" s="5"/>
      <c r="B84" s="6"/>
      <c r="C84" s="7"/>
      <c r="D84" s="7"/>
      <c r="E84" s="14"/>
    </row>
    <row r="85" spans="1:5" x14ac:dyDescent="0.25">
      <c r="A85" s="5"/>
      <c r="B85" s="6"/>
      <c r="C85" s="16"/>
      <c r="D85" s="16"/>
      <c r="E85" s="14"/>
    </row>
    <row r="86" spans="1:5" x14ac:dyDescent="0.25">
      <c r="A86" s="5"/>
      <c r="B86" s="6"/>
      <c r="C86" s="7"/>
      <c r="D86" s="7"/>
      <c r="E86" s="14"/>
    </row>
    <row r="87" spans="1:5" x14ac:dyDescent="0.25">
      <c r="A87" s="5"/>
      <c r="B87" s="6"/>
      <c r="C87" s="7"/>
      <c r="D87" s="7"/>
      <c r="E87" s="24"/>
    </row>
    <row r="88" spans="1:5" x14ac:dyDescent="0.25">
      <c r="A88" s="5"/>
      <c r="B88" s="6"/>
      <c r="C88" s="7"/>
      <c r="D88" s="7"/>
      <c r="E88" s="14"/>
    </row>
    <row r="89" spans="1:5" x14ac:dyDescent="0.25">
      <c r="A89" s="5"/>
      <c r="B89" s="6"/>
      <c r="C89" s="7"/>
      <c r="D89" s="7"/>
      <c r="E89" s="14"/>
    </row>
    <row r="90" spans="1:5" x14ac:dyDescent="0.25">
      <c r="B90" s="6"/>
      <c r="C90" s="7"/>
      <c r="D90" s="7"/>
      <c r="E90" s="14"/>
    </row>
    <row r="91" spans="1:5" x14ac:dyDescent="0.25">
      <c r="A91" s="5"/>
      <c r="B91" s="6"/>
      <c r="C91" s="7"/>
      <c r="D91" s="7"/>
      <c r="E91" s="14"/>
    </row>
    <row r="92" spans="1:5" x14ac:dyDescent="0.25">
      <c r="A92" s="5"/>
      <c r="B92" s="6"/>
      <c r="C92" s="7"/>
      <c r="D92" s="7"/>
      <c r="E92" s="14"/>
    </row>
    <row r="93" spans="1:5" x14ac:dyDescent="0.25">
      <c r="A93" s="5"/>
      <c r="B93" s="6"/>
      <c r="C93" s="7"/>
      <c r="D93" s="7"/>
      <c r="E93" s="14"/>
    </row>
    <row r="94" spans="1:5" x14ac:dyDescent="0.25">
      <c r="A94" s="5"/>
      <c r="B94" s="6"/>
      <c r="C94" s="7"/>
      <c r="D94" s="7"/>
      <c r="E94" s="14"/>
    </row>
    <row r="95" spans="1:5" x14ac:dyDescent="0.25">
      <c r="A95" s="5"/>
      <c r="B95" s="6"/>
      <c r="C95" s="7"/>
      <c r="D95" s="7"/>
      <c r="E95" s="14"/>
    </row>
    <row r="96" spans="1:5" x14ac:dyDescent="0.25">
      <c r="A96" s="5"/>
      <c r="C96" s="7"/>
      <c r="D96" s="7"/>
      <c r="E96" s="14"/>
    </row>
    <row r="97" spans="1:6" x14ac:dyDescent="0.25">
      <c r="A97" s="5"/>
      <c r="B97" s="6"/>
      <c r="C97" s="7"/>
      <c r="D97" s="7"/>
      <c r="E97" s="14"/>
    </row>
    <row r="98" spans="1:6" x14ac:dyDescent="0.25">
      <c r="A98" s="5"/>
      <c r="B98" s="6"/>
      <c r="C98" s="7"/>
      <c r="D98" s="7"/>
      <c r="E98" s="14"/>
    </row>
    <row r="99" spans="1:6" x14ac:dyDescent="0.25">
      <c r="A99" s="5"/>
      <c r="B99" s="6"/>
      <c r="C99" s="7"/>
      <c r="D99" s="7"/>
      <c r="E99" s="14"/>
    </row>
    <row r="100" spans="1:6" x14ac:dyDescent="0.25">
      <c r="A100" s="5"/>
      <c r="B100" s="6"/>
      <c r="C100" s="10"/>
      <c r="D100" s="11"/>
      <c r="E100" s="14"/>
    </row>
    <row r="101" spans="1:6" x14ac:dyDescent="0.25">
      <c r="A101" s="5"/>
      <c r="B101" s="6"/>
      <c r="C101" s="12"/>
      <c r="D101" s="13"/>
      <c r="E101" s="14"/>
    </row>
    <row r="102" spans="1:6" x14ac:dyDescent="0.25">
      <c r="A102" s="5"/>
      <c r="B102" s="6"/>
      <c r="C102" s="15"/>
      <c r="D102" s="15"/>
      <c r="E102" s="14"/>
    </row>
    <row r="103" spans="1:6" x14ac:dyDescent="0.25">
      <c r="A103" s="5"/>
      <c r="B103" s="6"/>
      <c r="C103" s="16"/>
      <c r="D103" s="16"/>
      <c r="E103" s="14"/>
    </row>
    <row r="104" spans="1:6" x14ac:dyDescent="0.25">
      <c r="A104" s="5"/>
      <c r="B104" s="6"/>
      <c r="C104" s="7"/>
      <c r="D104" s="7"/>
      <c r="E104" s="14"/>
    </row>
    <row r="105" spans="1:6" x14ac:dyDescent="0.25">
      <c r="B105" s="6"/>
      <c r="C105" s="7"/>
      <c r="D105" s="7"/>
      <c r="E105" s="14"/>
    </row>
    <row r="106" spans="1:6" x14ac:dyDescent="0.25">
      <c r="A106" s="5"/>
      <c r="B106" s="6"/>
      <c r="C106" s="7"/>
      <c r="D106" s="7"/>
      <c r="E106" s="14"/>
    </row>
    <row r="107" spans="1:6" x14ac:dyDescent="0.25">
      <c r="A107" s="5"/>
      <c r="B107" s="6"/>
      <c r="C107" s="7"/>
      <c r="D107" s="7"/>
      <c r="E107" s="14"/>
    </row>
    <row r="108" spans="1:6" x14ac:dyDescent="0.25">
      <c r="A108" s="5"/>
      <c r="B108" s="6"/>
      <c r="C108" s="7"/>
      <c r="D108" s="7"/>
      <c r="E108" s="14"/>
    </row>
    <row r="109" spans="1:6" x14ac:dyDescent="0.25">
      <c r="A109" s="5"/>
      <c r="B109" s="6"/>
      <c r="C109" s="7"/>
      <c r="D109" s="7"/>
      <c r="E109" s="17"/>
    </row>
    <row r="110" spans="1:6" x14ac:dyDescent="0.25">
      <c r="A110" s="5"/>
      <c r="B110" s="6"/>
      <c r="C110" s="7"/>
      <c r="D110" s="7"/>
      <c r="E110" s="17"/>
    </row>
    <row r="111" spans="1:6" s="3" customFormat="1" x14ac:dyDescent="0.25">
      <c r="A111" s="5"/>
      <c r="B111" s="9"/>
      <c r="C111" s="7"/>
      <c r="D111" s="7"/>
      <c r="E111" s="14"/>
      <c r="F111" s="18"/>
    </row>
    <row r="112" spans="1:6" x14ac:dyDescent="0.25">
      <c r="A112" s="5"/>
      <c r="B112" s="6"/>
      <c r="C112" s="7"/>
      <c r="D112" s="7"/>
      <c r="E112" s="14"/>
      <c r="F112" s="18"/>
    </row>
    <row r="113" spans="1:5" x14ac:dyDescent="0.25">
      <c r="A113" s="5"/>
      <c r="B113" s="6"/>
      <c r="C113" s="7"/>
      <c r="D113" s="7"/>
      <c r="E113" s="14"/>
    </row>
    <row r="114" spans="1:5" x14ac:dyDescent="0.25">
      <c r="A114" s="5"/>
      <c r="B114" s="6"/>
      <c r="C114" s="7"/>
      <c r="D114" s="7"/>
      <c r="E114" s="14"/>
    </row>
    <row r="115" spans="1:5" x14ac:dyDescent="0.25">
      <c r="A115" s="5"/>
      <c r="B115" s="6"/>
      <c r="C115" s="7"/>
      <c r="D115" s="7"/>
      <c r="E115" s="14"/>
    </row>
    <row r="116" spans="1:5" x14ac:dyDescent="0.25">
      <c r="A116" s="5"/>
      <c r="B116" s="6"/>
      <c r="C116" s="7"/>
      <c r="D116" s="7"/>
      <c r="E116" s="14"/>
    </row>
    <row r="117" spans="1:5" x14ac:dyDescent="0.25">
      <c r="A117" s="5"/>
      <c r="B117" s="6"/>
      <c r="C117" s="7"/>
      <c r="D117" s="7"/>
      <c r="E117" s="14"/>
    </row>
    <row r="118" spans="1:5" x14ac:dyDescent="0.25">
      <c r="A118" s="5"/>
      <c r="B118" s="6"/>
      <c r="C118" s="16"/>
      <c r="D118" s="16"/>
      <c r="E118" s="14"/>
    </row>
    <row r="119" spans="1:5" x14ac:dyDescent="0.25">
      <c r="A119" s="5"/>
      <c r="B119" s="6"/>
      <c r="C119" s="7"/>
      <c r="D119" s="7"/>
      <c r="E119" s="14"/>
    </row>
    <row r="120" spans="1:5" x14ac:dyDescent="0.25">
      <c r="A120" s="21"/>
      <c r="B120" s="6"/>
      <c r="C120" s="7"/>
      <c r="D120" s="7"/>
      <c r="E120" s="14"/>
    </row>
    <row r="121" spans="1:5" x14ac:dyDescent="0.25">
      <c r="A121" s="5"/>
      <c r="B121" s="6"/>
      <c r="C121" s="7"/>
      <c r="D121" s="7"/>
      <c r="E121" s="14"/>
    </row>
    <row r="122" spans="1:5" x14ac:dyDescent="0.25">
      <c r="A122" s="22"/>
      <c r="B122" s="6"/>
      <c r="C122" s="7"/>
      <c r="D122" s="7"/>
      <c r="E122" s="14"/>
    </row>
    <row r="123" spans="1:5" x14ac:dyDescent="0.25">
      <c r="B123" s="6"/>
      <c r="C123" s="7"/>
      <c r="D123" s="7"/>
      <c r="E123" s="14"/>
    </row>
    <row r="124" spans="1:5" x14ac:dyDescent="0.25">
      <c r="A124" s="5"/>
      <c r="B124" s="6"/>
      <c r="C124" s="7"/>
      <c r="D124" s="7"/>
      <c r="E124" s="14"/>
    </row>
    <row r="125" spans="1:5" x14ac:dyDescent="0.25">
      <c r="A125" s="5"/>
      <c r="B125" s="23"/>
      <c r="C125" s="7"/>
      <c r="D125" s="7"/>
      <c r="E125" s="14"/>
    </row>
    <row r="126" spans="1:5" x14ac:dyDescent="0.25">
      <c r="A126" s="5"/>
      <c r="B126" s="6"/>
      <c r="C126" s="7"/>
      <c r="D126" s="7"/>
      <c r="E126" s="14"/>
    </row>
    <row r="127" spans="1:5" x14ac:dyDescent="0.25">
      <c r="A127" s="5"/>
      <c r="B127" s="22"/>
      <c r="C127" s="7"/>
      <c r="D127" s="7"/>
      <c r="E127" s="14"/>
    </row>
    <row r="128" spans="1:5" x14ac:dyDescent="0.25">
      <c r="A128" s="5"/>
      <c r="B128" s="6"/>
      <c r="C128" s="7"/>
      <c r="D128" s="7"/>
      <c r="E128" s="14"/>
    </row>
    <row r="129" spans="1:5" x14ac:dyDescent="0.25">
      <c r="A129" s="5"/>
      <c r="C129" s="7"/>
      <c r="D129" s="7"/>
      <c r="E129" s="14"/>
    </row>
    <row r="130" spans="1:5" x14ac:dyDescent="0.25">
      <c r="A130" s="5"/>
      <c r="B130" s="6"/>
      <c r="C130" s="7"/>
      <c r="D130" s="7"/>
      <c r="E130" s="14"/>
    </row>
    <row r="131" spans="1:5" x14ac:dyDescent="0.25">
      <c r="A131" s="5"/>
      <c r="B131" s="6"/>
      <c r="C131" s="7"/>
      <c r="D131" s="7"/>
      <c r="E131" s="14"/>
    </row>
    <row r="132" spans="1:5" x14ac:dyDescent="0.25">
      <c r="A132" s="5"/>
      <c r="B132" s="6"/>
      <c r="C132" s="7"/>
      <c r="D132" s="7"/>
      <c r="E132" s="14"/>
    </row>
    <row r="133" spans="1:5" x14ac:dyDescent="0.25">
      <c r="A133" s="5"/>
      <c r="B133" s="6"/>
      <c r="C133" s="16"/>
      <c r="D133" s="16"/>
      <c r="E133" s="14"/>
    </row>
    <row r="134" spans="1:5" x14ac:dyDescent="0.25">
      <c r="A134" s="5"/>
      <c r="B134" s="6"/>
      <c r="C134" s="7"/>
      <c r="D134" s="7"/>
      <c r="E134" s="14"/>
    </row>
    <row r="135" spans="1:5" x14ac:dyDescent="0.25">
      <c r="A135" s="5"/>
      <c r="B135" s="6"/>
      <c r="C135" s="7"/>
      <c r="D135" s="7"/>
      <c r="E135" s="14"/>
    </row>
    <row r="136" spans="1:5" x14ac:dyDescent="0.25">
      <c r="A136" s="5"/>
      <c r="B136" s="6"/>
      <c r="C136" s="7"/>
      <c r="D136" s="7"/>
      <c r="E136" s="14"/>
    </row>
    <row r="137" spans="1:5" x14ac:dyDescent="0.25">
      <c r="A137" s="5"/>
      <c r="B137" s="6"/>
      <c r="C137" s="7"/>
      <c r="D137" s="7"/>
      <c r="E137" s="14"/>
    </row>
    <row r="138" spans="1:5" x14ac:dyDescent="0.25">
      <c r="B138" s="6"/>
      <c r="C138" s="7"/>
      <c r="D138" s="7"/>
      <c r="E138" s="14"/>
    </row>
    <row r="139" spans="1:5" x14ac:dyDescent="0.25">
      <c r="A139" s="5"/>
      <c r="B139" s="6"/>
      <c r="C139" s="7"/>
      <c r="D139" s="7"/>
      <c r="E139" s="14"/>
    </row>
    <row r="140" spans="1:5" x14ac:dyDescent="0.25">
      <c r="A140" s="5"/>
      <c r="B140" s="6"/>
      <c r="C140" s="7"/>
      <c r="D140" s="7"/>
      <c r="E140" s="14"/>
    </row>
    <row r="141" spans="1:5" x14ac:dyDescent="0.25">
      <c r="A141" s="5"/>
      <c r="B141" s="6"/>
      <c r="C141" s="7"/>
      <c r="D141" s="7"/>
      <c r="E141" s="14"/>
    </row>
    <row r="142" spans="1:5" x14ac:dyDescent="0.25">
      <c r="A142" s="5"/>
      <c r="B142" s="6"/>
      <c r="C142" s="7"/>
      <c r="D142" s="7"/>
      <c r="E142" s="14"/>
    </row>
    <row r="143" spans="1:5" x14ac:dyDescent="0.25">
      <c r="A143" s="5"/>
      <c r="B143" s="6"/>
      <c r="C143" s="7"/>
      <c r="D143" s="7"/>
      <c r="E143" s="14"/>
    </row>
    <row r="144" spans="1:5" x14ac:dyDescent="0.25">
      <c r="A144" s="5"/>
      <c r="C144" s="7"/>
      <c r="D144" s="7"/>
      <c r="E144" s="14"/>
    </row>
    <row r="145" spans="1:6" x14ac:dyDescent="0.25">
      <c r="A145" s="5"/>
      <c r="B145" s="6"/>
      <c r="C145" s="7"/>
      <c r="D145" s="7"/>
      <c r="E145" s="14"/>
    </row>
    <row r="146" spans="1:6" x14ac:dyDescent="0.25">
      <c r="A146" s="5"/>
      <c r="B146" s="6"/>
      <c r="C146" s="7"/>
      <c r="D146" s="7"/>
      <c r="E146" s="14"/>
    </row>
    <row r="147" spans="1:6" x14ac:dyDescent="0.25">
      <c r="A147" s="5"/>
      <c r="B147" s="6"/>
      <c r="C147" s="7"/>
      <c r="D147" s="7"/>
      <c r="E147" s="14"/>
    </row>
    <row r="148" spans="1:6" x14ac:dyDescent="0.25">
      <c r="A148" s="5"/>
      <c r="B148" s="6"/>
      <c r="C148" s="10"/>
      <c r="D148" s="11"/>
      <c r="E148" s="14"/>
    </row>
    <row r="149" spans="1:6" x14ac:dyDescent="0.25">
      <c r="A149" s="5"/>
      <c r="B149" s="6"/>
      <c r="C149" s="12"/>
      <c r="D149" s="13"/>
      <c r="E149" s="14"/>
    </row>
    <row r="150" spans="1:6" x14ac:dyDescent="0.25">
      <c r="A150" s="5"/>
      <c r="B150" s="6"/>
      <c r="C150" s="15"/>
      <c r="D150" s="15"/>
      <c r="E150" s="14"/>
    </row>
    <row r="151" spans="1:6" x14ac:dyDescent="0.25">
      <c r="A151" s="5"/>
      <c r="B151" s="6"/>
      <c r="C151" s="16"/>
      <c r="D151" s="16"/>
      <c r="E151" s="14"/>
    </row>
    <row r="152" spans="1:6" x14ac:dyDescent="0.25">
      <c r="A152" s="5"/>
      <c r="B152" s="6"/>
      <c r="C152" s="7"/>
      <c r="D152" s="7"/>
      <c r="E152" s="14"/>
    </row>
    <row r="153" spans="1:6" x14ac:dyDescent="0.25">
      <c r="B153" s="6"/>
      <c r="C153" s="7"/>
      <c r="D153" s="7"/>
      <c r="E153" s="14"/>
    </row>
    <row r="154" spans="1:6" x14ac:dyDescent="0.25">
      <c r="A154" s="5"/>
      <c r="B154" s="6"/>
      <c r="C154" s="7"/>
      <c r="D154" s="7"/>
      <c r="E154" s="14"/>
    </row>
    <row r="155" spans="1:6" x14ac:dyDescent="0.25">
      <c r="A155" s="5"/>
      <c r="B155" s="6"/>
      <c r="C155" s="7"/>
      <c r="D155" s="7"/>
      <c r="E155" s="14"/>
    </row>
    <row r="156" spans="1:6" x14ac:dyDescent="0.25">
      <c r="A156" s="5"/>
      <c r="B156" s="6"/>
      <c r="C156" s="7"/>
      <c r="D156" s="7"/>
      <c r="E156" s="14"/>
    </row>
    <row r="157" spans="1:6" x14ac:dyDescent="0.25">
      <c r="A157" s="5"/>
      <c r="B157" s="6"/>
      <c r="C157" s="7"/>
      <c r="D157" s="7"/>
      <c r="E157" s="17"/>
    </row>
    <row r="158" spans="1:6" x14ac:dyDescent="0.25">
      <c r="A158" s="5"/>
      <c r="B158" s="6"/>
      <c r="C158" s="7"/>
      <c r="D158" s="7"/>
      <c r="E158" s="17"/>
    </row>
    <row r="159" spans="1:6" s="3" customFormat="1" x14ac:dyDescent="0.25">
      <c r="A159" s="5"/>
      <c r="B159" s="9"/>
      <c r="C159" s="7"/>
      <c r="D159" s="7"/>
      <c r="E159" s="14"/>
      <c r="F159" s="18"/>
    </row>
    <row r="160" spans="1:6" x14ac:dyDescent="0.25">
      <c r="A160" s="5"/>
      <c r="B160" s="6"/>
      <c r="C160" s="7"/>
      <c r="D160" s="7"/>
      <c r="E160" s="14"/>
      <c r="F160" s="18"/>
    </row>
    <row r="161" spans="1:5" x14ac:dyDescent="0.25">
      <c r="A161" s="5"/>
      <c r="B161" s="6"/>
      <c r="C161" s="7"/>
      <c r="D161" s="7"/>
      <c r="E161" s="14"/>
    </row>
    <row r="162" spans="1:5" x14ac:dyDescent="0.25">
      <c r="A162" s="5"/>
      <c r="B162" s="6"/>
      <c r="C162" s="7"/>
      <c r="D162" s="7"/>
      <c r="E162" s="14"/>
    </row>
    <row r="163" spans="1:5" x14ac:dyDescent="0.25">
      <c r="A163" s="5"/>
      <c r="B163" s="6"/>
      <c r="C163" s="7"/>
      <c r="D163" s="7"/>
      <c r="E163" s="14"/>
    </row>
    <row r="164" spans="1:5" x14ac:dyDescent="0.25">
      <c r="A164" s="5"/>
      <c r="B164" s="6"/>
      <c r="C164" s="7"/>
      <c r="D164" s="7"/>
      <c r="E164" s="14"/>
    </row>
    <row r="165" spans="1:5" x14ac:dyDescent="0.25">
      <c r="A165" s="5"/>
      <c r="B165" s="6"/>
      <c r="C165" s="7"/>
      <c r="D165" s="7"/>
      <c r="E165" s="14"/>
    </row>
    <row r="166" spans="1:5" x14ac:dyDescent="0.25">
      <c r="A166" s="5"/>
      <c r="B166" s="6"/>
      <c r="C166" s="16"/>
      <c r="D166" s="16"/>
      <c r="E166" s="14"/>
    </row>
    <row r="167" spans="1:5" x14ac:dyDescent="0.25">
      <c r="A167" s="5"/>
      <c r="B167" s="6"/>
      <c r="C167" s="7"/>
      <c r="D167" s="7"/>
      <c r="E167" s="14"/>
    </row>
    <row r="168" spans="1:5" x14ac:dyDescent="0.25">
      <c r="A168" s="21"/>
      <c r="B168" s="6"/>
      <c r="C168" s="7"/>
      <c r="D168" s="7"/>
      <c r="E168" s="14"/>
    </row>
    <row r="169" spans="1:5" x14ac:dyDescent="0.25">
      <c r="A169" s="5"/>
      <c r="B169" s="6"/>
      <c r="C169" s="7"/>
      <c r="D169" s="7"/>
      <c r="E169" s="14"/>
    </row>
    <row r="170" spans="1:5" x14ac:dyDescent="0.25">
      <c r="A170" s="22"/>
      <c r="B170" s="6"/>
      <c r="C170" s="7"/>
      <c r="D170" s="7"/>
      <c r="E170" s="14"/>
    </row>
    <row r="171" spans="1:5" x14ac:dyDescent="0.25">
      <c r="B171" s="6"/>
      <c r="C171" s="7"/>
      <c r="D171" s="7"/>
      <c r="E171" s="14"/>
    </row>
    <row r="172" spans="1:5" x14ac:dyDescent="0.25">
      <c r="A172" s="5"/>
      <c r="B172" s="6"/>
      <c r="C172" s="7"/>
      <c r="D172" s="7"/>
      <c r="E172" s="14"/>
    </row>
    <row r="173" spans="1:5" x14ac:dyDescent="0.25">
      <c r="A173" s="5"/>
      <c r="B173" s="23"/>
      <c r="C173" s="7"/>
      <c r="D173" s="7"/>
      <c r="E173" s="14"/>
    </row>
    <row r="174" spans="1:5" x14ac:dyDescent="0.25">
      <c r="A174" s="5"/>
      <c r="B174" s="6"/>
      <c r="C174" s="7"/>
      <c r="D174" s="7"/>
      <c r="E174" s="14"/>
    </row>
    <row r="175" spans="1:5" x14ac:dyDescent="0.25">
      <c r="A175" s="5"/>
      <c r="B175" s="22"/>
      <c r="C175" s="7"/>
      <c r="D175" s="7"/>
      <c r="E175" s="14"/>
    </row>
    <row r="176" spans="1:5" x14ac:dyDescent="0.25">
      <c r="A176" s="5"/>
      <c r="B176" s="6"/>
      <c r="C176" s="7"/>
      <c r="D176" s="7"/>
      <c r="E176" s="14"/>
    </row>
    <row r="177" spans="1:5" x14ac:dyDescent="0.25">
      <c r="A177" s="5"/>
      <c r="C177" s="7"/>
      <c r="D177" s="7"/>
      <c r="E177" s="14"/>
    </row>
    <row r="178" spans="1:5" x14ac:dyDescent="0.25">
      <c r="A178" s="5"/>
      <c r="B178" s="6"/>
      <c r="C178" s="7"/>
      <c r="D178" s="7"/>
      <c r="E178" s="14"/>
    </row>
    <row r="179" spans="1:5" x14ac:dyDescent="0.25">
      <c r="A179" s="5"/>
      <c r="B179" s="6"/>
      <c r="C179" s="7"/>
      <c r="D179" s="7"/>
      <c r="E179" s="14"/>
    </row>
    <row r="180" spans="1:5" x14ac:dyDescent="0.25">
      <c r="A180" s="5"/>
      <c r="B180" s="6"/>
      <c r="C180" s="7"/>
      <c r="D180" s="7"/>
      <c r="E180" s="14"/>
    </row>
    <row r="181" spans="1:5" x14ac:dyDescent="0.25">
      <c r="A181" s="5"/>
      <c r="B181" s="6"/>
      <c r="C181" s="16"/>
      <c r="D181" s="16"/>
      <c r="E181" s="14"/>
    </row>
    <row r="182" spans="1:5" x14ac:dyDescent="0.25">
      <c r="A182" s="5"/>
      <c r="B182" s="6"/>
      <c r="C182" s="7"/>
      <c r="D182" s="7"/>
      <c r="E182" s="14"/>
    </row>
    <row r="183" spans="1:5" x14ac:dyDescent="0.25">
      <c r="A183" s="5"/>
      <c r="B183" s="6"/>
      <c r="C183" s="7"/>
      <c r="D183" s="7"/>
      <c r="E183" s="14"/>
    </row>
    <row r="184" spans="1:5" x14ac:dyDescent="0.25">
      <c r="A184" s="5"/>
      <c r="B184" s="6"/>
      <c r="C184" s="7"/>
      <c r="D184" s="7"/>
      <c r="E184" s="14"/>
    </row>
    <row r="185" spans="1:5" x14ac:dyDescent="0.25">
      <c r="A185" s="5"/>
      <c r="B185" s="6"/>
      <c r="C185" s="7"/>
      <c r="D185" s="7"/>
      <c r="E185" s="14"/>
    </row>
    <row r="186" spans="1:5" x14ac:dyDescent="0.25">
      <c r="B186" s="6"/>
      <c r="C186" s="7"/>
      <c r="D186" s="7"/>
      <c r="E186" s="14"/>
    </row>
    <row r="187" spans="1:5" x14ac:dyDescent="0.25">
      <c r="A187" s="5"/>
      <c r="B187" s="6"/>
      <c r="C187" s="7"/>
      <c r="D187" s="7"/>
      <c r="E187" s="14"/>
    </row>
    <row r="188" spans="1:5" x14ac:dyDescent="0.25">
      <c r="A188" s="5"/>
      <c r="B188" s="6"/>
      <c r="C188" s="7"/>
      <c r="D188" s="7"/>
      <c r="E188" s="14"/>
    </row>
    <row r="189" spans="1:5" x14ac:dyDescent="0.25">
      <c r="A189" s="5"/>
      <c r="B189" s="6"/>
      <c r="C189" s="7"/>
      <c r="D189" s="7"/>
      <c r="E189" s="14"/>
    </row>
    <row r="190" spans="1:5" x14ac:dyDescent="0.25">
      <c r="A190" s="5"/>
      <c r="B190" s="6"/>
      <c r="C190" s="7"/>
      <c r="D190" s="7"/>
      <c r="E190" s="14"/>
    </row>
    <row r="191" spans="1:5" x14ac:dyDescent="0.25">
      <c r="A191" s="5"/>
      <c r="B191" s="6"/>
      <c r="C191" s="7"/>
      <c r="D191" s="7"/>
      <c r="E191" s="14"/>
    </row>
    <row r="192" spans="1:5" x14ac:dyDescent="0.25">
      <c r="A192" s="5"/>
      <c r="C192" s="7"/>
      <c r="D192" s="7"/>
      <c r="E192" s="14"/>
    </row>
    <row r="193" spans="1:6" x14ac:dyDescent="0.25">
      <c r="A193" s="5"/>
      <c r="B193" s="6"/>
      <c r="C193" s="7"/>
      <c r="D193" s="7"/>
      <c r="E193" s="14"/>
    </row>
    <row r="194" spans="1:6" x14ac:dyDescent="0.25">
      <c r="A194" s="5"/>
      <c r="B194" s="6"/>
      <c r="C194" s="7"/>
      <c r="D194" s="7"/>
      <c r="E194" s="14"/>
    </row>
    <row r="195" spans="1:6" x14ac:dyDescent="0.25">
      <c r="A195" s="5"/>
      <c r="B195" s="6"/>
      <c r="C195" s="7"/>
      <c r="D195" s="7"/>
      <c r="E195" s="14"/>
    </row>
    <row r="196" spans="1:6" x14ac:dyDescent="0.25">
      <c r="A196" s="5"/>
      <c r="B196" s="6"/>
      <c r="C196" s="10"/>
      <c r="D196" s="11"/>
      <c r="E196" s="14"/>
    </row>
    <row r="197" spans="1:6" x14ac:dyDescent="0.25">
      <c r="A197" s="5"/>
      <c r="B197" s="6"/>
      <c r="C197" s="12"/>
      <c r="D197" s="13"/>
      <c r="E197" s="14"/>
    </row>
    <row r="198" spans="1:6" x14ac:dyDescent="0.25">
      <c r="A198" s="5"/>
      <c r="B198" s="6"/>
      <c r="C198" s="15"/>
      <c r="D198" s="15"/>
      <c r="E198" s="14"/>
    </row>
    <row r="199" spans="1:6" x14ac:dyDescent="0.25">
      <c r="A199" s="5"/>
      <c r="B199" s="6"/>
      <c r="C199" s="16"/>
      <c r="D199" s="16"/>
      <c r="E199" s="14"/>
    </row>
    <row r="200" spans="1:6" x14ac:dyDescent="0.25">
      <c r="A200" s="5"/>
      <c r="B200" s="6"/>
      <c r="C200" s="7"/>
      <c r="D200" s="7"/>
      <c r="E200" s="14"/>
    </row>
    <row r="201" spans="1:6" x14ac:dyDescent="0.25">
      <c r="B201" s="6"/>
      <c r="C201" s="7"/>
      <c r="D201" s="7"/>
      <c r="E201" s="14"/>
    </row>
    <row r="202" spans="1:6" x14ac:dyDescent="0.25">
      <c r="A202" s="5"/>
      <c r="B202" s="6"/>
      <c r="C202" s="7"/>
      <c r="D202" s="7"/>
      <c r="E202" s="14"/>
    </row>
    <row r="203" spans="1:6" x14ac:dyDescent="0.25">
      <c r="A203" s="5"/>
      <c r="B203" s="6"/>
      <c r="C203" s="7"/>
      <c r="D203" s="7"/>
      <c r="E203" s="14"/>
    </row>
    <row r="204" spans="1:6" x14ac:dyDescent="0.25">
      <c r="A204" s="5"/>
      <c r="B204" s="6"/>
      <c r="C204" s="7"/>
      <c r="D204" s="7"/>
      <c r="E204" s="14"/>
    </row>
    <row r="205" spans="1:6" x14ac:dyDescent="0.25">
      <c r="A205" s="5"/>
      <c r="B205" s="6"/>
      <c r="C205" s="7"/>
      <c r="D205" s="7"/>
      <c r="E205" s="17"/>
    </row>
    <row r="206" spans="1:6" x14ac:dyDescent="0.25">
      <c r="A206" s="5"/>
      <c r="B206" s="6"/>
      <c r="C206" s="7"/>
      <c r="D206" s="7"/>
      <c r="E206" s="17"/>
    </row>
    <row r="207" spans="1:6" s="3" customFormat="1" x14ac:dyDescent="0.25">
      <c r="A207" s="5"/>
      <c r="B207" s="9"/>
      <c r="C207" s="7"/>
      <c r="D207" s="7"/>
      <c r="E207" s="14"/>
      <c r="F207" s="18"/>
    </row>
    <row r="208" spans="1:6" x14ac:dyDescent="0.25">
      <c r="A208" s="5"/>
      <c r="B208" s="6"/>
      <c r="C208" s="7"/>
      <c r="D208" s="7"/>
      <c r="E208" s="14"/>
      <c r="F208" s="18"/>
    </row>
    <row r="209" spans="1:5" x14ac:dyDescent="0.25">
      <c r="A209" s="5"/>
      <c r="B209" s="6"/>
      <c r="C209" s="7"/>
      <c r="D209" s="7"/>
      <c r="E209" s="14"/>
    </row>
    <row r="210" spans="1:5" x14ac:dyDescent="0.25">
      <c r="A210" s="5"/>
      <c r="B210" s="6"/>
      <c r="C210" s="7"/>
      <c r="D210" s="7"/>
      <c r="E210" s="14"/>
    </row>
    <row r="211" spans="1:5" x14ac:dyDescent="0.25">
      <c r="A211" s="5"/>
      <c r="B211" s="6"/>
      <c r="C211" s="7"/>
      <c r="D211" s="7"/>
      <c r="E211" s="14"/>
    </row>
    <row r="212" spans="1:5" x14ac:dyDescent="0.25">
      <c r="A212" s="5"/>
      <c r="B212" s="6"/>
      <c r="C212" s="7"/>
      <c r="D212" s="7"/>
      <c r="E212" s="14"/>
    </row>
    <row r="213" spans="1:5" x14ac:dyDescent="0.25">
      <c r="A213" s="5"/>
      <c r="B213" s="6"/>
      <c r="C213" s="7"/>
      <c r="D213" s="7"/>
      <c r="E213" s="14"/>
    </row>
    <row r="214" spans="1:5" x14ac:dyDescent="0.25">
      <c r="A214" s="5"/>
      <c r="B214" s="6"/>
      <c r="C214" s="16"/>
      <c r="D214" s="16"/>
      <c r="E214" s="14"/>
    </row>
    <row r="215" spans="1:5" x14ac:dyDescent="0.25">
      <c r="A215" s="5"/>
      <c r="B215" s="6"/>
      <c r="C215" s="7"/>
      <c r="D215" s="7"/>
      <c r="E215" s="14"/>
    </row>
    <row r="216" spans="1:5" x14ac:dyDescent="0.25">
      <c r="A216" s="21"/>
      <c r="B216" s="6"/>
      <c r="C216" s="7"/>
      <c r="D216" s="7"/>
      <c r="E216" s="14"/>
    </row>
    <row r="217" spans="1:5" x14ac:dyDescent="0.25">
      <c r="A217" s="5"/>
      <c r="B217" s="6"/>
      <c r="C217" s="7"/>
      <c r="D217" s="7"/>
      <c r="E217" s="14"/>
    </row>
    <row r="218" spans="1:5" x14ac:dyDescent="0.25">
      <c r="A218" s="22"/>
      <c r="B218" s="6"/>
      <c r="C218" s="7"/>
      <c r="D218" s="7"/>
      <c r="E218" s="14"/>
    </row>
    <row r="219" spans="1:5" x14ac:dyDescent="0.25">
      <c r="B219" s="6"/>
      <c r="C219" s="7"/>
      <c r="D219" s="7"/>
      <c r="E219" s="14"/>
    </row>
    <row r="220" spans="1:5" x14ac:dyDescent="0.25">
      <c r="A220" s="5"/>
      <c r="B220" s="6"/>
      <c r="C220" s="7"/>
      <c r="D220" s="7"/>
      <c r="E220" s="14"/>
    </row>
    <row r="221" spans="1:5" x14ac:dyDescent="0.25">
      <c r="A221" s="5"/>
      <c r="B221" s="23"/>
      <c r="C221" s="7"/>
      <c r="D221" s="7"/>
      <c r="E221" s="14"/>
    </row>
    <row r="222" spans="1:5" x14ac:dyDescent="0.25">
      <c r="A222" s="5"/>
      <c r="B222" s="6"/>
      <c r="C222" s="7"/>
      <c r="D222" s="7"/>
      <c r="E222" s="14"/>
    </row>
    <row r="223" spans="1:5" x14ac:dyDescent="0.25">
      <c r="A223" s="5"/>
      <c r="B223" s="22"/>
      <c r="C223" s="7"/>
      <c r="D223" s="7"/>
      <c r="E223" s="14"/>
    </row>
    <row r="224" spans="1:5" x14ac:dyDescent="0.25">
      <c r="A224" s="5"/>
      <c r="B224" s="6"/>
      <c r="C224" s="7"/>
      <c r="D224" s="7"/>
      <c r="E224" s="14"/>
    </row>
    <row r="225" spans="1:5" x14ac:dyDescent="0.25">
      <c r="A225" s="5"/>
      <c r="C225" s="7"/>
      <c r="D225" s="7"/>
      <c r="E225" s="14"/>
    </row>
    <row r="226" spans="1:5" x14ac:dyDescent="0.25">
      <c r="A226" s="5"/>
      <c r="B226" s="6"/>
      <c r="C226" s="7"/>
      <c r="D226" s="7"/>
      <c r="E226" s="14"/>
    </row>
    <row r="227" spans="1:5" x14ac:dyDescent="0.25">
      <c r="A227" s="5"/>
      <c r="B227" s="6"/>
      <c r="C227" s="7"/>
      <c r="D227" s="7"/>
      <c r="E227" s="14"/>
    </row>
    <row r="228" spans="1:5" x14ac:dyDescent="0.25">
      <c r="A228" s="5"/>
      <c r="B228" s="6"/>
      <c r="C228" s="7"/>
      <c r="D228" s="7"/>
      <c r="E228" s="14"/>
    </row>
    <row r="229" spans="1:5" x14ac:dyDescent="0.25">
      <c r="A229" s="5"/>
      <c r="B229" s="6"/>
      <c r="C229" s="16"/>
      <c r="D229" s="16"/>
      <c r="E229" s="14"/>
    </row>
    <row r="230" spans="1:5" x14ac:dyDescent="0.25">
      <c r="A230" s="5"/>
      <c r="B230" s="6"/>
      <c r="C230" s="7"/>
      <c r="D230" s="7"/>
      <c r="E230" s="14"/>
    </row>
    <row r="231" spans="1:5" x14ac:dyDescent="0.25">
      <c r="A231" s="5"/>
      <c r="B231" s="6"/>
      <c r="C231" s="7"/>
      <c r="D231" s="7"/>
      <c r="E231" s="14"/>
    </row>
    <row r="232" spans="1:5" x14ac:dyDescent="0.25">
      <c r="A232" s="5"/>
      <c r="B232" s="6"/>
      <c r="C232" s="7"/>
      <c r="D232" s="7"/>
      <c r="E232" s="14"/>
    </row>
    <row r="233" spans="1:5" x14ac:dyDescent="0.25">
      <c r="A233" s="5"/>
      <c r="B233" s="6"/>
      <c r="C233" s="7"/>
      <c r="D233" s="7"/>
      <c r="E233" s="14"/>
    </row>
    <row r="234" spans="1:5" x14ac:dyDescent="0.25">
      <c r="B234" s="6"/>
      <c r="C234" s="7"/>
      <c r="D234" s="7"/>
      <c r="E234" s="14"/>
    </row>
    <row r="235" spans="1:5" x14ac:dyDescent="0.25">
      <c r="A235" s="5"/>
      <c r="B235" s="6"/>
      <c r="C235" s="7"/>
      <c r="D235" s="7"/>
      <c r="E235" s="14"/>
    </row>
    <row r="236" spans="1:5" x14ac:dyDescent="0.25">
      <c r="A236" s="5"/>
      <c r="B236" s="6"/>
      <c r="C236" s="7"/>
      <c r="D236" s="7"/>
      <c r="E236" s="14"/>
    </row>
    <row r="237" spans="1:5" x14ac:dyDescent="0.25">
      <c r="A237" s="5"/>
      <c r="B237" s="6"/>
      <c r="C237" s="7"/>
      <c r="D237" s="7"/>
      <c r="E237" s="14"/>
    </row>
    <row r="238" spans="1:5" x14ac:dyDescent="0.25">
      <c r="A238" s="5"/>
      <c r="B238" s="6"/>
      <c r="C238" s="7"/>
      <c r="D238" s="7"/>
      <c r="E238" s="14"/>
    </row>
    <row r="239" spans="1:5" x14ac:dyDescent="0.25">
      <c r="A239" s="5"/>
      <c r="B239" s="6"/>
      <c r="C239" s="7"/>
      <c r="D239" s="7"/>
      <c r="E239" s="14"/>
    </row>
    <row r="240" spans="1:5" x14ac:dyDescent="0.25">
      <c r="A240" s="5"/>
      <c r="C240" s="7"/>
      <c r="D240" s="7"/>
      <c r="E240" s="14"/>
    </row>
    <row r="241" spans="1:6" x14ac:dyDescent="0.25">
      <c r="A241" s="5"/>
      <c r="B241" s="6"/>
      <c r="C241" s="7"/>
      <c r="D241" s="7"/>
      <c r="E241" s="14"/>
    </row>
    <row r="242" spans="1:6" x14ac:dyDescent="0.25">
      <c r="A242" s="5"/>
      <c r="B242" s="6"/>
      <c r="C242" s="7"/>
      <c r="D242" s="7"/>
      <c r="E242" s="14"/>
    </row>
    <row r="243" spans="1:6" x14ac:dyDescent="0.25">
      <c r="A243" s="5"/>
      <c r="B243" s="6"/>
      <c r="C243" s="7"/>
      <c r="D243" s="7"/>
      <c r="E243" s="14"/>
    </row>
    <row r="244" spans="1:6" x14ac:dyDescent="0.25">
      <c r="A244" s="5"/>
      <c r="B244" s="6"/>
      <c r="C244" s="10"/>
      <c r="D244" s="11"/>
      <c r="E244" s="14"/>
    </row>
    <row r="245" spans="1:6" x14ac:dyDescent="0.25">
      <c r="A245" s="5"/>
      <c r="B245" s="6"/>
      <c r="C245" s="12"/>
      <c r="D245" s="13"/>
      <c r="E245" s="14"/>
    </row>
    <row r="246" spans="1:6" x14ac:dyDescent="0.25">
      <c r="A246" s="5"/>
      <c r="B246" s="6"/>
      <c r="C246" s="15"/>
      <c r="D246" s="15"/>
      <c r="E246" s="14"/>
    </row>
    <row r="247" spans="1:6" x14ac:dyDescent="0.25">
      <c r="A247" s="5"/>
      <c r="B247" s="6"/>
      <c r="C247" s="16"/>
      <c r="D247" s="16"/>
      <c r="E247" s="14"/>
    </row>
    <row r="248" spans="1:6" x14ac:dyDescent="0.25">
      <c r="A248" s="5"/>
      <c r="B248" s="6"/>
      <c r="C248" s="7"/>
      <c r="D248" s="7"/>
      <c r="E248" s="14"/>
    </row>
    <row r="249" spans="1:6" x14ac:dyDescent="0.25">
      <c r="B249" s="6"/>
      <c r="C249" s="7"/>
      <c r="D249" s="7"/>
      <c r="E249" s="14"/>
    </row>
    <row r="250" spans="1:6" x14ac:dyDescent="0.25">
      <c r="A250" s="5"/>
      <c r="B250" s="6"/>
      <c r="C250" s="7"/>
      <c r="D250" s="7"/>
      <c r="E250" s="14"/>
    </row>
    <row r="251" spans="1:6" x14ac:dyDescent="0.25">
      <c r="A251" s="5"/>
      <c r="B251" s="6"/>
      <c r="C251" s="7"/>
      <c r="D251" s="7"/>
      <c r="E251" s="14"/>
    </row>
    <row r="252" spans="1:6" x14ac:dyDescent="0.25">
      <c r="A252" s="5"/>
      <c r="B252" s="6"/>
      <c r="C252" s="7"/>
      <c r="D252" s="7"/>
      <c r="E252" s="14"/>
    </row>
    <row r="253" spans="1:6" x14ac:dyDescent="0.25">
      <c r="A253" s="5"/>
      <c r="B253" s="6"/>
      <c r="C253" s="7"/>
      <c r="D253" s="7"/>
      <c r="E253" s="17"/>
    </row>
    <row r="254" spans="1:6" x14ac:dyDescent="0.25">
      <c r="A254" s="5"/>
      <c r="B254" s="6"/>
      <c r="C254" s="7"/>
      <c r="D254" s="7"/>
      <c r="E254" s="17"/>
    </row>
    <row r="255" spans="1:6" s="3" customFormat="1" x14ac:dyDescent="0.25">
      <c r="A255" s="5"/>
      <c r="B255" s="9"/>
      <c r="C255" s="7"/>
      <c r="D255" s="7"/>
      <c r="E255" s="14"/>
      <c r="F255" s="18"/>
    </row>
    <row r="256" spans="1:6" x14ac:dyDescent="0.25">
      <c r="A256" s="5"/>
      <c r="B256" s="6"/>
      <c r="C256" s="7"/>
      <c r="D256" s="7"/>
      <c r="E256" s="14"/>
      <c r="F256" s="18"/>
    </row>
    <row r="257" spans="1:5" x14ac:dyDescent="0.25">
      <c r="A257" s="5"/>
      <c r="B257" s="6"/>
      <c r="C257" s="7"/>
      <c r="D257" s="7"/>
      <c r="E257" s="14"/>
    </row>
    <row r="258" spans="1:5" x14ac:dyDescent="0.25">
      <c r="A258" s="5"/>
      <c r="B258" s="6"/>
      <c r="C258" s="7"/>
      <c r="D258" s="7"/>
      <c r="E258" s="14"/>
    </row>
    <row r="259" spans="1:5" x14ac:dyDescent="0.25">
      <c r="A259" s="5"/>
      <c r="B259" s="6"/>
      <c r="C259" s="7"/>
      <c r="D259" s="7"/>
      <c r="E259" s="14"/>
    </row>
    <row r="260" spans="1:5" x14ac:dyDescent="0.25">
      <c r="A260" s="5"/>
      <c r="B260" s="6"/>
      <c r="C260" s="7"/>
      <c r="D260" s="7"/>
      <c r="E260" s="14"/>
    </row>
    <row r="261" spans="1:5" x14ac:dyDescent="0.25">
      <c r="A261" s="5"/>
      <c r="B261" s="6"/>
      <c r="C261" s="7"/>
      <c r="D261" s="7"/>
      <c r="E261" s="14"/>
    </row>
    <row r="262" spans="1:5" x14ac:dyDescent="0.25">
      <c r="A262" s="5"/>
      <c r="B262" s="6"/>
      <c r="C262" s="16"/>
      <c r="D262" s="16"/>
      <c r="E262" s="14"/>
    </row>
    <row r="263" spans="1:5" x14ac:dyDescent="0.25">
      <c r="A263" s="5"/>
      <c r="B263" s="6"/>
      <c r="C263" s="7"/>
      <c r="D263" s="7"/>
      <c r="E263" s="14"/>
    </row>
    <row r="264" spans="1:5" x14ac:dyDescent="0.25">
      <c r="A264" s="21"/>
      <c r="B264" s="6"/>
      <c r="C264" s="7"/>
      <c r="D264" s="7"/>
      <c r="E264" s="14"/>
    </row>
    <row r="265" spans="1:5" x14ac:dyDescent="0.25">
      <c r="A265" s="5"/>
      <c r="B265" s="6"/>
      <c r="C265" s="7"/>
      <c r="D265" s="7"/>
      <c r="E265" s="14"/>
    </row>
    <row r="266" spans="1:5" x14ac:dyDescent="0.25">
      <c r="A266" s="22"/>
      <c r="B266" s="6"/>
      <c r="C266" s="7"/>
      <c r="D266" s="7"/>
      <c r="E266" s="14"/>
    </row>
    <row r="267" spans="1:5" x14ac:dyDescent="0.25">
      <c r="B267" s="6"/>
      <c r="C267" s="7"/>
      <c r="D267" s="7"/>
      <c r="E267" s="14"/>
    </row>
    <row r="268" spans="1:5" x14ac:dyDescent="0.25">
      <c r="A268" s="5"/>
      <c r="B268" s="6"/>
      <c r="C268" s="7"/>
      <c r="D268" s="7"/>
      <c r="E268" s="14"/>
    </row>
    <row r="269" spans="1:5" x14ac:dyDescent="0.25">
      <c r="A269" s="5"/>
      <c r="B269" s="23"/>
      <c r="C269" s="7"/>
      <c r="D269" s="7"/>
      <c r="E269" s="14"/>
    </row>
    <row r="270" spans="1:5" x14ac:dyDescent="0.25">
      <c r="A270" s="5"/>
      <c r="B270" s="6"/>
      <c r="C270" s="7"/>
      <c r="D270" s="7"/>
      <c r="E270" s="14"/>
    </row>
    <row r="271" spans="1:5" x14ac:dyDescent="0.25">
      <c r="A271" s="5"/>
      <c r="B271" s="22"/>
      <c r="C271" s="7"/>
      <c r="D271" s="7"/>
      <c r="E271" s="14"/>
    </row>
    <row r="272" spans="1:5" x14ac:dyDescent="0.25">
      <c r="A272" s="5"/>
      <c r="B272" s="6"/>
      <c r="C272" s="7"/>
      <c r="D272" s="7"/>
      <c r="E272" s="14"/>
    </row>
    <row r="273" spans="1:5" x14ac:dyDescent="0.25">
      <c r="A273" s="5"/>
      <c r="C273" s="7"/>
      <c r="D273" s="7"/>
      <c r="E273" s="14"/>
    </row>
    <row r="274" spans="1:5" x14ac:dyDescent="0.25">
      <c r="A274" s="5"/>
      <c r="B274" s="6"/>
      <c r="C274" s="7"/>
      <c r="D274" s="7"/>
      <c r="E274" s="14"/>
    </row>
    <row r="275" spans="1:5" x14ac:dyDescent="0.25">
      <c r="A275" s="5"/>
      <c r="B275" s="6"/>
      <c r="C275" s="7"/>
      <c r="D275" s="7"/>
      <c r="E275" s="14"/>
    </row>
    <row r="276" spans="1:5" x14ac:dyDescent="0.25">
      <c r="A276" s="5"/>
      <c r="B276" s="6"/>
      <c r="C276" s="7"/>
      <c r="D276" s="7"/>
      <c r="E276" s="14"/>
    </row>
    <row r="277" spans="1:5" x14ac:dyDescent="0.25">
      <c r="A277" s="5"/>
      <c r="B277" s="6"/>
      <c r="C277" s="16"/>
      <c r="D277" s="16"/>
      <c r="E277" s="14"/>
    </row>
    <row r="278" spans="1:5" x14ac:dyDescent="0.25">
      <c r="A278" s="5"/>
      <c r="B278" s="6"/>
      <c r="C278" s="7"/>
      <c r="D278" s="7"/>
      <c r="E278" s="14"/>
    </row>
    <row r="279" spans="1:5" x14ac:dyDescent="0.25">
      <c r="A279" s="5"/>
      <c r="B279" s="6"/>
      <c r="C279" s="7"/>
      <c r="D279" s="7"/>
      <c r="E279" s="14"/>
    </row>
    <row r="280" spans="1:5" x14ac:dyDescent="0.25">
      <c r="A280" s="5"/>
      <c r="B280" s="6"/>
      <c r="C280" s="7"/>
      <c r="D280" s="7"/>
      <c r="E280" s="14"/>
    </row>
    <row r="281" spans="1:5" x14ac:dyDescent="0.25">
      <c r="A281" s="5"/>
      <c r="B281" s="6"/>
      <c r="C281" s="7"/>
      <c r="D281" s="7"/>
      <c r="E281" s="14"/>
    </row>
    <row r="282" spans="1:5" x14ac:dyDescent="0.25">
      <c r="B282" s="6"/>
      <c r="C282" s="7"/>
      <c r="D282" s="7"/>
      <c r="E282" s="14"/>
    </row>
    <row r="283" spans="1:5" x14ac:dyDescent="0.25">
      <c r="A283" s="5"/>
      <c r="B283" s="6"/>
      <c r="C283" s="7"/>
      <c r="D283" s="7"/>
      <c r="E283" s="14"/>
    </row>
    <row r="284" spans="1:5" x14ac:dyDescent="0.25">
      <c r="A284" s="5"/>
      <c r="B284" s="6"/>
      <c r="C284" s="7"/>
      <c r="D284" s="7"/>
      <c r="E284" s="14"/>
    </row>
    <row r="285" spans="1:5" x14ac:dyDescent="0.25">
      <c r="A285" s="5"/>
      <c r="B285" s="6"/>
      <c r="C285" s="7"/>
      <c r="D285" s="7"/>
      <c r="E285" s="14"/>
    </row>
    <row r="286" spans="1:5" x14ac:dyDescent="0.25">
      <c r="A286" s="5"/>
      <c r="B286" s="6"/>
      <c r="C286" s="7"/>
      <c r="D286" s="7"/>
      <c r="E286" s="14"/>
    </row>
    <row r="287" spans="1:5" x14ac:dyDescent="0.25">
      <c r="A287" s="5"/>
      <c r="B287" s="6"/>
      <c r="C287" s="7"/>
      <c r="D287" s="7"/>
      <c r="E287" s="14"/>
    </row>
    <row r="288" spans="1:5" x14ac:dyDescent="0.25">
      <c r="A288" s="5"/>
      <c r="C288" s="7"/>
      <c r="D288" s="7"/>
      <c r="E288" s="14"/>
    </row>
    <row r="289" spans="1:6" x14ac:dyDescent="0.25">
      <c r="A289" s="5"/>
      <c r="B289" s="6"/>
      <c r="C289" s="7"/>
      <c r="D289" s="7"/>
      <c r="E289" s="14"/>
    </row>
    <row r="290" spans="1:6" x14ac:dyDescent="0.25">
      <c r="A290" s="5"/>
      <c r="B290" s="6"/>
      <c r="C290" s="7"/>
      <c r="D290" s="7"/>
      <c r="E290" s="14"/>
    </row>
    <row r="291" spans="1:6" x14ac:dyDescent="0.25">
      <c r="A291" s="5"/>
      <c r="B291" s="6"/>
      <c r="C291" s="7"/>
      <c r="D291" s="7"/>
      <c r="E291" s="14"/>
    </row>
    <row r="292" spans="1:6" x14ac:dyDescent="0.25">
      <c r="A292" s="5"/>
      <c r="B292" s="6"/>
      <c r="C292" s="10"/>
      <c r="D292" s="11"/>
      <c r="E292" s="14"/>
    </row>
    <row r="293" spans="1:6" x14ac:dyDescent="0.25">
      <c r="A293" s="5"/>
      <c r="B293" s="6"/>
      <c r="C293" s="12"/>
      <c r="D293" s="13"/>
      <c r="E293" s="14"/>
    </row>
    <row r="294" spans="1:6" x14ac:dyDescent="0.25">
      <c r="A294" s="5"/>
      <c r="B294" s="6"/>
      <c r="C294" s="15"/>
      <c r="D294" s="15"/>
      <c r="E294" s="14"/>
    </row>
    <row r="295" spans="1:6" x14ac:dyDescent="0.25">
      <c r="A295" s="5"/>
      <c r="B295" s="6"/>
      <c r="C295" s="16"/>
      <c r="D295" s="16"/>
      <c r="E295" s="14"/>
    </row>
    <row r="296" spans="1:6" x14ac:dyDescent="0.25">
      <c r="A296" s="5"/>
      <c r="B296" s="6"/>
      <c r="C296" s="7"/>
      <c r="D296" s="7"/>
      <c r="E296" s="14"/>
    </row>
    <row r="297" spans="1:6" x14ac:dyDescent="0.25">
      <c r="B297" s="6"/>
      <c r="C297" s="7"/>
      <c r="D297" s="7"/>
      <c r="E297" s="14"/>
    </row>
    <row r="298" spans="1:6" x14ac:dyDescent="0.25">
      <c r="A298" s="5"/>
      <c r="B298" s="6"/>
      <c r="C298" s="7"/>
      <c r="D298" s="7"/>
      <c r="E298" s="14"/>
    </row>
    <row r="299" spans="1:6" x14ac:dyDescent="0.25">
      <c r="A299" s="5"/>
      <c r="B299" s="6"/>
      <c r="C299" s="7"/>
      <c r="D299" s="7"/>
      <c r="E299" s="14"/>
    </row>
    <row r="300" spans="1:6" x14ac:dyDescent="0.25">
      <c r="A300" s="5"/>
      <c r="B300" s="6"/>
      <c r="C300" s="7"/>
      <c r="D300" s="7"/>
      <c r="E300" s="14"/>
    </row>
    <row r="301" spans="1:6" x14ac:dyDescent="0.25">
      <c r="A301" s="5"/>
      <c r="B301" s="6"/>
      <c r="C301" s="7"/>
      <c r="D301" s="7"/>
      <c r="E301" s="17"/>
    </row>
    <row r="302" spans="1:6" x14ac:dyDescent="0.25">
      <c r="A302" s="5"/>
      <c r="B302" s="6"/>
      <c r="C302" s="7"/>
      <c r="D302" s="7"/>
      <c r="E302" s="17"/>
    </row>
    <row r="303" spans="1:6" s="3" customFormat="1" x14ac:dyDescent="0.25">
      <c r="A303" s="5"/>
      <c r="B303" s="9"/>
      <c r="C303" s="7"/>
      <c r="D303" s="7"/>
      <c r="E303" s="14"/>
      <c r="F303" s="18"/>
    </row>
    <row r="304" spans="1:6" x14ac:dyDescent="0.25">
      <c r="A304" s="5"/>
      <c r="B304" s="6"/>
      <c r="C304" s="7"/>
      <c r="D304" s="7"/>
      <c r="E304" s="14"/>
      <c r="F304" s="18"/>
    </row>
    <row r="305" spans="1:5" x14ac:dyDescent="0.25">
      <c r="A305" s="5"/>
      <c r="B305" s="6"/>
      <c r="C305" s="7"/>
      <c r="D305" s="7"/>
      <c r="E305" s="14"/>
    </row>
    <row r="306" spans="1:5" x14ac:dyDescent="0.25">
      <c r="A306" s="5"/>
      <c r="B306" s="6"/>
      <c r="C306" s="7"/>
      <c r="D306" s="7"/>
      <c r="E306" s="14"/>
    </row>
    <row r="307" spans="1:5" x14ac:dyDescent="0.25">
      <c r="A307" s="5"/>
      <c r="B307" s="6"/>
      <c r="C307" s="7"/>
      <c r="D307" s="7"/>
      <c r="E307" s="14"/>
    </row>
    <row r="308" spans="1:5" x14ac:dyDescent="0.25">
      <c r="A308" s="5"/>
      <c r="B308" s="6"/>
      <c r="C308" s="7"/>
      <c r="D308" s="7"/>
      <c r="E308" s="14"/>
    </row>
    <row r="309" spans="1:5" x14ac:dyDescent="0.25">
      <c r="A309" s="5"/>
      <c r="B309" s="6"/>
      <c r="C309" s="7"/>
      <c r="D309" s="7"/>
      <c r="E309" s="14"/>
    </row>
    <row r="310" spans="1:5" x14ac:dyDescent="0.25">
      <c r="A310" s="5"/>
      <c r="B310" s="6"/>
      <c r="C310" s="16"/>
      <c r="D310" s="16"/>
      <c r="E310" s="14"/>
    </row>
    <row r="311" spans="1:5" x14ac:dyDescent="0.25">
      <c r="A311" s="5"/>
      <c r="B311" s="6"/>
      <c r="C311" s="7"/>
      <c r="D311" s="7"/>
      <c r="E311" s="14"/>
    </row>
    <row r="312" spans="1:5" x14ac:dyDescent="0.25">
      <c r="A312" s="21"/>
      <c r="B312" s="6"/>
      <c r="C312" s="7"/>
      <c r="D312" s="7"/>
      <c r="E312" s="14"/>
    </row>
    <row r="313" spans="1:5" x14ac:dyDescent="0.25">
      <c r="A313" s="5"/>
      <c r="B313" s="6"/>
      <c r="C313" s="7"/>
      <c r="D313" s="7"/>
      <c r="E313" s="14"/>
    </row>
    <row r="314" spans="1:5" x14ac:dyDescent="0.25">
      <c r="A314" s="22"/>
      <c r="B314" s="6"/>
      <c r="C314" s="7"/>
      <c r="D314" s="7"/>
      <c r="E314" s="14"/>
    </row>
    <row r="315" spans="1:5" x14ac:dyDescent="0.25">
      <c r="B315" s="6"/>
      <c r="C315" s="7"/>
      <c r="D315" s="7"/>
      <c r="E315" s="14"/>
    </row>
    <row r="316" spans="1:5" x14ac:dyDescent="0.25">
      <c r="A316" s="5"/>
      <c r="B316" s="6"/>
      <c r="C316" s="7"/>
      <c r="D316" s="7"/>
      <c r="E316" s="14"/>
    </row>
    <row r="317" spans="1:5" x14ac:dyDescent="0.25">
      <c r="A317" s="5"/>
      <c r="B317" s="23"/>
      <c r="C317" s="7"/>
      <c r="D317" s="7"/>
      <c r="E317" s="14"/>
    </row>
    <row r="318" spans="1:5" x14ac:dyDescent="0.25">
      <c r="A318" s="5"/>
      <c r="B318" s="6"/>
      <c r="C318" s="7"/>
      <c r="D318" s="7"/>
      <c r="E318" s="14"/>
    </row>
    <row r="319" spans="1:5" x14ac:dyDescent="0.25">
      <c r="A319" s="5"/>
      <c r="B319" s="22"/>
      <c r="C319" s="7"/>
      <c r="D319" s="7"/>
      <c r="E319" s="14"/>
    </row>
    <row r="320" spans="1:5" x14ac:dyDescent="0.25">
      <c r="A320" s="5"/>
      <c r="B320" s="6"/>
      <c r="C320" s="7"/>
      <c r="D320" s="7"/>
      <c r="E320" s="14"/>
    </row>
    <row r="321" spans="1:5" x14ac:dyDescent="0.25">
      <c r="A321" s="5"/>
      <c r="C321" s="7"/>
      <c r="D321" s="7"/>
      <c r="E321" s="14"/>
    </row>
    <row r="322" spans="1:5" x14ac:dyDescent="0.25">
      <c r="A322" s="5"/>
      <c r="B322" s="6"/>
      <c r="C322" s="7"/>
      <c r="D322" s="7"/>
      <c r="E322" s="14"/>
    </row>
    <row r="323" spans="1:5" x14ac:dyDescent="0.25">
      <c r="A323" s="5"/>
      <c r="B323" s="6"/>
      <c r="C323" s="7"/>
      <c r="D323" s="7"/>
      <c r="E323" s="14"/>
    </row>
    <row r="324" spans="1:5" x14ac:dyDescent="0.25">
      <c r="A324" s="5"/>
      <c r="B324" s="6"/>
      <c r="C324" s="7"/>
      <c r="D324" s="7"/>
      <c r="E324" s="14"/>
    </row>
    <row r="325" spans="1:5" x14ac:dyDescent="0.25">
      <c r="A325" s="5"/>
      <c r="B325" s="6"/>
      <c r="C325" s="16"/>
      <c r="D325" s="16"/>
      <c r="E325" s="14"/>
    </row>
    <row r="326" spans="1:5" x14ac:dyDescent="0.25">
      <c r="A326" s="5"/>
      <c r="B326" s="6"/>
      <c r="C326" s="7"/>
      <c r="D326" s="7"/>
      <c r="E326" s="14"/>
    </row>
    <row r="327" spans="1:5" x14ac:dyDescent="0.25">
      <c r="A327" s="5"/>
      <c r="B327" s="6"/>
      <c r="C327" s="7"/>
      <c r="D327" s="7"/>
      <c r="E327" s="14"/>
    </row>
    <row r="328" spans="1:5" x14ac:dyDescent="0.25">
      <c r="A328" s="5"/>
      <c r="B328" s="6"/>
      <c r="C328" s="7"/>
      <c r="D328" s="7"/>
      <c r="E328" s="14"/>
    </row>
    <row r="329" spans="1:5" x14ac:dyDescent="0.25">
      <c r="A329" s="5"/>
      <c r="B329" s="6"/>
      <c r="C329" s="7"/>
      <c r="D329" s="7"/>
      <c r="E329" s="14"/>
    </row>
    <row r="330" spans="1:5" x14ac:dyDescent="0.25">
      <c r="B330" s="6"/>
      <c r="C330" s="7"/>
      <c r="D330" s="7"/>
      <c r="E330" s="14"/>
    </row>
    <row r="331" spans="1:5" x14ac:dyDescent="0.25">
      <c r="A331" s="5"/>
      <c r="B331" s="6"/>
      <c r="C331" s="7"/>
      <c r="D331" s="7"/>
      <c r="E331" s="14"/>
    </row>
    <row r="332" spans="1:5" x14ac:dyDescent="0.25">
      <c r="A332" s="5"/>
      <c r="B332" s="6"/>
      <c r="C332" s="7"/>
      <c r="D332" s="7"/>
      <c r="E332" s="14"/>
    </row>
    <row r="333" spans="1:5" x14ac:dyDescent="0.25">
      <c r="A333" s="5"/>
      <c r="B333" s="6"/>
      <c r="C333" s="7"/>
      <c r="D333" s="7"/>
      <c r="E333" s="14"/>
    </row>
    <row r="334" spans="1:5" x14ac:dyDescent="0.25">
      <c r="A334" s="5"/>
      <c r="B334" s="6"/>
      <c r="C334" s="7"/>
      <c r="D334" s="7"/>
      <c r="E334" s="14"/>
    </row>
    <row r="335" spans="1:5" x14ac:dyDescent="0.25">
      <c r="A335" s="5"/>
      <c r="B335" s="6"/>
      <c r="C335" s="7"/>
      <c r="D335" s="7"/>
      <c r="E335" s="14"/>
    </row>
    <row r="336" spans="1:5" x14ac:dyDescent="0.25">
      <c r="A336" s="5"/>
      <c r="C336" s="7"/>
      <c r="D336" s="7"/>
      <c r="E336" s="14"/>
    </row>
    <row r="337" spans="1:6" x14ac:dyDescent="0.25">
      <c r="A337" s="5"/>
      <c r="B337" s="6"/>
      <c r="C337" s="7"/>
      <c r="D337" s="7"/>
      <c r="E337" s="14"/>
    </row>
    <row r="338" spans="1:6" x14ac:dyDescent="0.25">
      <c r="A338" s="5"/>
      <c r="B338" s="6"/>
      <c r="C338" s="7"/>
      <c r="D338" s="7"/>
      <c r="E338" s="14"/>
    </row>
    <row r="339" spans="1:6" x14ac:dyDescent="0.25">
      <c r="A339" s="5"/>
      <c r="B339" s="6"/>
      <c r="C339" s="7"/>
      <c r="D339" s="7"/>
      <c r="E339" s="14"/>
    </row>
    <row r="340" spans="1:6" x14ac:dyDescent="0.25">
      <c r="A340" s="5"/>
      <c r="B340" s="6"/>
      <c r="C340" s="12"/>
      <c r="D340" s="11"/>
      <c r="E340" s="14"/>
    </row>
    <row r="341" spans="1:6" x14ac:dyDescent="0.25">
      <c r="A341" s="5"/>
      <c r="B341" s="6"/>
      <c r="C341" s="12"/>
      <c r="D341" s="13"/>
      <c r="E341" s="14"/>
    </row>
    <row r="342" spans="1:6" x14ac:dyDescent="0.25">
      <c r="A342" s="5"/>
      <c r="B342" s="6"/>
      <c r="C342" s="16"/>
      <c r="D342" s="16"/>
      <c r="E342" s="14"/>
    </row>
    <row r="343" spans="1:6" x14ac:dyDescent="0.25">
      <c r="A343" s="5"/>
      <c r="B343" s="6"/>
      <c r="C343" s="7"/>
      <c r="D343" s="25"/>
      <c r="E343" s="14"/>
    </row>
    <row r="344" spans="1:6" x14ac:dyDescent="0.25">
      <c r="A344" s="5"/>
      <c r="B344" s="6"/>
      <c r="C344" s="7"/>
      <c r="D344" s="25"/>
      <c r="E344" s="14"/>
    </row>
    <row r="345" spans="1:6" x14ac:dyDescent="0.25">
      <c r="B345" s="6"/>
      <c r="C345" s="7"/>
      <c r="D345" s="25"/>
      <c r="E345" s="14"/>
    </row>
    <row r="346" spans="1:6" x14ac:dyDescent="0.25">
      <c r="A346" s="5"/>
      <c r="B346" s="6"/>
      <c r="C346" s="26"/>
      <c r="D346" s="26"/>
      <c r="E346" s="14"/>
    </row>
    <row r="347" spans="1:6" x14ac:dyDescent="0.25">
      <c r="A347" s="5"/>
      <c r="B347" s="6"/>
      <c r="C347" s="25"/>
      <c r="D347" s="25"/>
      <c r="E347" s="14"/>
    </row>
    <row r="348" spans="1:6" x14ac:dyDescent="0.25">
      <c r="A348" s="5"/>
      <c r="B348" s="6"/>
      <c r="C348" s="16"/>
      <c r="D348" s="16"/>
      <c r="E348" s="14"/>
    </row>
    <row r="349" spans="1:6" x14ac:dyDescent="0.25">
      <c r="A349" s="5"/>
      <c r="B349" s="6"/>
      <c r="C349" s="16"/>
      <c r="D349" s="16"/>
      <c r="E349" s="17"/>
    </row>
    <row r="350" spans="1:6" x14ac:dyDescent="0.25">
      <c r="A350" s="5"/>
      <c r="B350" s="6"/>
      <c r="C350" s="7"/>
      <c r="D350" s="7"/>
      <c r="E350" s="17"/>
    </row>
    <row r="351" spans="1:6" s="3" customFormat="1" x14ac:dyDescent="0.25">
      <c r="A351" s="5"/>
      <c r="B351" s="9"/>
      <c r="C351" s="7"/>
      <c r="D351" s="7"/>
      <c r="E351" s="14"/>
      <c r="F351" s="18"/>
    </row>
    <row r="352" spans="1:6" x14ac:dyDescent="0.25">
      <c r="A352" s="5"/>
      <c r="B352" s="6"/>
      <c r="C352" s="7"/>
      <c r="D352" s="7"/>
      <c r="E352" s="14"/>
      <c r="F352" s="18"/>
    </row>
    <row r="353" spans="1:5" x14ac:dyDescent="0.25">
      <c r="A353" s="5"/>
      <c r="B353" s="6"/>
      <c r="C353" s="7"/>
      <c r="D353" s="7"/>
      <c r="E353" s="14"/>
    </row>
    <row r="354" spans="1:5" x14ac:dyDescent="0.25">
      <c r="A354" s="5"/>
      <c r="B354" s="6"/>
      <c r="C354" s="7"/>
      <c r="D354" s="7"/>
      <c r="E354" s="14"/>
    </row>
    <row r="355" spans="1:5" x14ac:dyDescent="0.25">
      <c r="A355" s="5"/>
      <c r="B355" s="6"/>
      <c r="C355" s="7"/>
      <c r="D355" s="7"/>
      <c r="E355" s="14"/>
    </row>
    <row r="356" spans="1:5" x14ac:dyDescent="0.25">
      <c r="A356" s="5"/>
      <c r="B356" s="6"/>
      <c r="C356" s="7"/>
      <c r="D356" s="7"/>
      <c r="E356" s="14"/>
    </row>
    <row r="357" spans="1:5" x14ac:dyDescent="0.25">
      <c r="A357" s="5"/>
      <c r="B357" s="6"/>
      <c r="C357" s="7"/>
      <c r="D357" s="7"/>
      <c r="E357" s="14"/>
    </row>
    <row r="358" spans="1:5" x14ac:dyDescent="0.25">
      <c r="A358" s="5"/>
      <c r="B358" s="6"/>
      <c r="C358" s="7"/>
      <c r="D358" s="7"/>
      <c r="E358" s="14"/>
    </row>
    <row r="359" spans="1:5" x14ac:dyDescent="0.25">
      <c r="A359" s="5"/>
      <c r="B359" s="6"/>
      <c r="C359" s="7"/>
      <c r="D359" s="7"/>
      <c r="E359" s="14"/>
    </row>
    <row r="360" spans="1:5" x14ac:dyDescent="0.25">
      <c r="A360" s="5"/>
      <c r="B360" s="6"/>
      <c r="C360" s="7"/>
      <c r="D360" s="7"/>
      <c r="E360" s="14"/>
    </row>
    <row r="361" spans="1:5" x14ac:dyDescent="0.25">
      <c r="A361" s="5"/>
      <c r="B361" s="6"/>
      <c r="C361" s="7"/>
      <c r="D361" s="7"/>
      <c r="E361" s="14"/>
    </row>
    <row r="362" spans="1:5" x14ac:dyDescent="0.25">
      <c r="A362" s="22"/>
      <c r="B362" s="6"/>
      <c r="C362" s="7"/>
      <c r="D362" s="7"/>
      <c r="E362" s="14"/>
    </row>
    <row r="363" spans="1:5" x14ac:dyDescent="0.25">
      <c r="B363" s="6"/>
      <c r="C363" s="7"/>
      <c r="D363" s="7"/>
      <c r="E363" s="14"/>
    </row>
    <row r="364" spans="1:5" x14ac:dyDescent="0.25">
      <c r="B364" s="6"/>
      <c r="C364" s="7"/>
      <c r="D364" s="26"/>
      <c r="E364" s="14"/>
    </row>
    <row r="365" spans="1:5" x14ac:dyDescent="0.25">
      <c r="A365" s="5"/>
      <c r="B365" s="6"/>
      <c r="C365" s="16"/>
      <c r="D365" s="16"/>
      <c r="E365" s="14"/>
    </row>
    <row r="366" spans="1:5" x14ac:dyDescent="0.25">
      <c r="A366" s="5"/>
      <c r="B366" s="6"/>
      <c r="C366" s="7"/>
      <c r="D366" s="7"/>
      <c r="E366" s="14"/>
    </row>
    <row r="367" spans="1:5" x14ac:dyDescent="0.25">
      <c r="A367" s="5"/>
      <c r="B367" s="22"/>
      <c r="C367" s="7"/>
      <c r="D367" s="7"/>
      <c r="E367" s="14"/>
    </row>
    <row r="368" spans="1:5" x14ac:dyDescent="0.25">
      <c r="A368" s="22"/>
      <c r="B368" s="6"/>
      <c r="C368" s="7"/>
      <c r="D368" s="7"/>
      <c r="E368" s="14"/>
    </row>
    <row r="369" spans="1:5" x14ac:dyDescent="0.25">
      <c r="B369" s="6"/>
      <c r="C369" s="7"/>
      <c r="D369" s="7"/>
      <c r="E369" s="14"/>
    </row>
    <row r="370" spans="1:5" x14ac:dyDescent="0.25">
      <c r="A370" s="5"/>
      <c r="B370" s="6"/>
      <c r="C370" s="7"/>
      <c r="D370" s="7"/>
      <c r="E370" s="14"/>
    </row>
    <row r="371" spans="1:5" x14ac:dyDescent="0.25">
      <c r="A371" s="5"/>
      <c r="C371" s="7"/>
      <c r="D371" s="7"/>
      <c r="E371" s="14"/>
    </row>
    <row r="372" spans="1:5" x14ac:dyDescent="0.25">
      <c r="A372" s="5"/>
      <c r="C372" s="7"/>
      <c r="D372" s="7"/>
      <c r="E372" s="14"/>
    </row>
    <row r="373" spans="1:5" x14ac:dyDescent="0.25">
      <c r="A373" s="5"/>
      <c r="B373" s="22"/>
      <c r="C373" s="7"/>
      <c r="D373" s="7"/>
      <c r="E373" s="14"/>
    </row>
    <row r="374" spans="1:5" x14ac:dyDescent="0.25">
      <c r="A374" s="5"/>
      <c r="B374" s="6"/>
      <c r="C374" s="7"/>
      <c r="D374" s="7"/>
      <c r="E374" s="14"/>
    </row>
    <row r="375" spans="1:5" x14ac:dyDescent="0.25">
      <c r="A375" s="5"/>
      <c r="C375" s="7"/>
      <c r="D375" s="7"/>
      <c r="E375" s="14"/>
    </row>
    <row r="376" spans="1:5" x14ac:dyDescent="0.25">
      <c r="A376" s="5"/>
      <c r="B376" s="6"/>
      <c r="C376" s="7"/>
      <c r="D376" s="7"/>
      <c r="E376" s="14"/>
    </row>
    <row r="377" spans="1:5" x14ac:dyDescent="0.25">
      <c r="A377" s="5"/>
      <c r="B377" s="6"/>
      <c r="C377" s="7"/>
      <c r="D377" s="7"/>
      <c r="E377" s="14"/>
    </row>
    <row r="378" spans="1:5" x14ac:dyDescent="0.25">
      <c r="A378" s="5"/>
      <c r="B378" s="6"/>
      <c r="C378" s="7"/>
      <c r="D378" s="7"/>
      <c r="E378" s="14"/>
    </row>
    <row r="379" spans="1:5" x14ac:dyDescent="0.25">
      <c r="A379" s="5"/>
      <c r="B379" s="6"/>
      <c r="C379" s="7"/>
      <c r="D379" s="7"/>
      <c r="E379" s="14"/>
    </row>
    <row r="380" spans="1:5" x14ac:dyDescent="0.25">
      <c r="A380" s="5"/>
      <c r="B380" s="6"/>
      <c r="C380" s="7"/>
      <c r="D380" s="26"/>
      <c r="E380" s="14"/>
    </row>
    <row r="381" spans="1:5" x14ac:dyDescent="0.25">
      <c r="A381" s="5"/>
      <c r="B381" s="6"/>
      <c r="C381" s="16"/>
      <c r="D381" s="16"/>
      <c r="E381" s="14"/>
    </row>
    <row r="382" spans="1:5" x14ac:dyDescent="0.25">
      <c r="A382" s="5"/>
      <c r="B382" s="6"/>
      <c r="C382" s="7"/>
      <c r="D382" s="7"/>
      <c r="E382" s="14"/>
    </row>
    <row r="383" spans="1:5" x14ac:dyDescent="0.25">
      <c r="A383" s="5"/>
      <c r="B383" s="6"/>
      <c r="C383" s="7"/>
      <c r="D383" s="7"/>
      <c r="E383" s="14"/>
    </row>
    <row r="384" spans="1:5" x14ac:dyDescent="0.25">
      <c r="A384" s="5"/>
      <c r="B384" s="6"/>
      <c r="C384" s="7"/>
      <c r="D384" s="7"/>
      <c r="E384" s="14"/>
    </row>
    <row r="385" spans="1:6" x14ac:dyDescent="0.25">
      <c r="A385" s="5"/>
      <c r="B385" s="6"/>
      <c r="C385" s="7"/>
      <c r="D385" s="7"/>
      <c r="E385" s="14"/>
    </row>
    <row r="386" spans="1:6" x14ac:dyDescent="0.25">
      <c r="A386" s="5"/>
      <c r="B386" s="6"/>
      <c r="C386" s="7"/>
      <c r="D386" s="7"/>
      <c r="E386" s="14"/>
    </row>
    <row r="387" spans="1:6" x14ac:dyDescent="0.25">
      <c r="A387" s="5"/>
      <c r="B387" s="6"/>
      <c r="C387" s="7"/>
      <c r="D387" s="7"/>
      <c r="E387" s="14"/>
    </row>
    <row r="388" spans="1:6" x14ac:dyDescent="0.25">
      <c r="A388" s="5"/>
      <c r="B388" s="6"/>
      <c r="C388" s="7"/>
      <c r="D388" s="7"/>
      <c r="E388" s="14"/>
    </row>
    <row r="389" spans="1:6" x14ac:dyDescent="0.25">
      <c r="A389" s="5"/>
      <c r="B389" s="6"/>
      <c r="C389" s="7"/>
      <c r="D389" s="7"/>
      <c r="E389" s="14"/>
    </row>
    <row r="390" spans="1:6" x14ac:dyDescent="0.25">
      <c r="A390" s="5"/>
      <c r="B390" s="6"/>
      <c r="C390" s="7"/>
      <c r="D390" s="7"/>
      <c r="E390" s="14"/>
    </row>
    <row r="391" spans="1:6" x14ac:dyDescent="0.25">
      <c r="A391" s="5"/>
      <c r="C391" s="7"/>
      <c r="D391" s="7"/>
      <c r="E391" s="14"/>
    </row>
    <row r="392" spans="1:6" x14ac:dyDescent="0.25">
      <c r="A392" s="5"/>
      <c r="B392" s="6"/>
      <c r="C392" s="7"/>
      <c r="D392" s="7"/>
      <c r="E392" s="14"/>
    </row>
    <row r="393" spans="1:6" x14ac:dyDescent="0.25">
      <c r="A393" s="5"/>
      <c r="B393" s="6"/>
      <c r="C393" s="7"/>
      <c r="D393" s="7"/>
      <c r="E393" s="14"/>
    </row>
    <row r="394" spans="1:6" x14ac:dyDescent="0.25">
      <c r="A394" s="5"/>
      <c r="B394" s="6"/>
      <c r="C394" s="7"/>
      <c r="D394" s="7"/>
      <c r="E394" s="14"/>
    </row>
    <row r="395" spans="1:6" x14ac:dyDescent="0.25">
      <c r="A395" s="5"/>
      <c r="B395" s="6"/>
      <c r="C395" s="7"/>
      <c r="D395" s="7"/>
      <c r="E395" s="14"/>
    </row>
    <row r="396" spans="1:6" x14ac:dyDescent="0.25">
      <c r="A396" s="5"/>
      <c r="B396" s="6"/>
      <c r="C396" s="12"/>
      <c r="D396" s="11"/>
      <c r="E396" s="14"/>
    </row>
    <row r="397" spans="1:6" x14ac:dyDescent="0.25">
      <c r="A397" s="5"/>
      <c r="B397" s="6"/>
      <c r="C397" s="15"/>
      <c r="D397" s="15"/>
      <c r="E397" s="17"/>
    </row>
    <row r="398" spans="1:6" x14ac:dyDescent="0.25">
      <c r="A398" s="5"/>
      <c r="B398" s="6"/>
      <c r="C398" s="16"/>
      <c r="D398" s="16"/>
      <c r="E398" s="17"/>
    </row>
    <row r="399" spans="1:6" s="3" customFormat="1" x14ac:dyDescent="0.25">
      <c r="A399" s="5"/>
      <c r="B399" s="6"/>
      <c r="C399" s="7"/>
      <c r="D399" s="7"/>
      <c r="E399" s="14"/>
      <c r="F399" s="18"/>
    </row>
    <row r="400" spans="1:6" x14ac:dyDescent="0.25">
      <c r="A400" s="5"/>
      <c r="B400" s="6"/>
      <c r="C400" s="7"/>
      <c r="D400" s="7"/>
      <c r="E400" s="14"/>
      <c r="F400" s="18"/>
    </row>
    <row r="401" spans="1:5" x14ac:dyDescent="0.25">
      <c r="A401" s="5"/>
      <c r="B401" s="6"/>
      <c r="C401" s="7"/>
      <c r="D401" s="7"/>
      <c r="E401" s="14"/>
    </row>
    <row r="402" spans="1:5" x14ac:dyDescent="0.25">
      <c r="A402" s="5"/>
      <c r="B402" s="6"/>
      <c r="C402" s="7"/>
      <c r="D402" s="7"/>
      <c r="E402" s="14"/>
    </row>
    <row r="403" spans="1:5" x14ac:dyDescent="0.25">
      <c r="A403" s="5"/>
      <c r="B403" s="6"/>
      <c r="C403" s="7"/>
      <c r="D403" s="7"/>
      <c r="E403" s="14"/>
    </row>
    <row r="404" spans="1:5" x14ac:dyDescent="0.25">
      <c r="A404" s="5"/>
      <c r="B404" s="6"/>
      <c r="C404" s="7"/>
      <c r="D404" s="7"/>
      <c r="E404" s="14"/>
    </row>
    <row r="405" spans="1:5" x14ac:dyDescent="0.25">
      <c r="A405" s="5"/>
      <c r="B405" s="6"/>
      <c r="C405" s="7"/>
      <c r="D405" s="7"/>
      <c r="E405" s="14"/>
    </row>
    <row r="406" spans="1:5" x14ac:dyDescent="0.25">
      <c r="A406" s="5"/>
      <c r="B406" s="6"/>
      <c r="C406" s="7"/>
      <c r="D406" s="7"/>
      <c r="E406" s="14"/>
    </row>
    <row r="407" spans="1:5" x14ac:dyDescent="0.25">
      <c r="A407" s="5"/>
      <c r="C407" s="7"/>
      <c r="D407" s="7"/>
      <c r="E407" s="14"/>
    </row>
    <row r="408" spans="1:5" x14ac:dyDescent="0.25">
      <c r="A408" s="5"/>
      <c r="B408" s="6"/>
      <c r="C408" s="7"/>
      <c r="D408" s="7"/>
      <c r="E408" s="14"/>
    </row>
    <row r="409" spans="1:5" x14ac:dyDescent="0.25">
      <c r="A409" s="5"/>
      <c r="B409" s="6"/>
      <c r="C409" s="7"/>
      <c r="D409" s="7"/>
      <c r="E409" s="14"/>
    </row>
    <row r="410" spans="1:5" x14ac:dyDescent="0.25">
      <c r="A410" s="5"/>
      <c r="B410" s="6"/>
      <c r="C410" s="7"/>
      <c r="D410" s="7"/>
      <c r="E410" s="14"/>
    </row>
    <row r="411" spans="1:5" x14ac:dyDescent="0.25">
      <c r="A411" s="5"/>
      <c r="B411" s="6"/>
      <c r="C411" s="7"/>
      <c r="D411" s="7"/>
      <c r="E411" s="14"/>
    </row>
    <row r="412" spans="1:5" x14ac:dyDescent="0.25">
      <c r="A412" s="5"/>
      <c r="B412" s="6"/>
      <c r="C412" s="7"/>
      <c r="D412" s="7"/>
      <c r="E412" s="14"/>
    </row>
    <row r="413" spans="1:5" x14ac:dyDescent="0.25">
      <c r="A413" s="5"/>
      <c r="B413" s="6"/>
      <c r="C413" s="16"/>
      <c r="D413" s="16"/>
      <c r="E413" s="14"/>
    </row>
    <row r="414" spans="1:5" x14ac:dyDescent="0.25">
      <c r="A414" s="5"/>
      <c r="B414" s="6"/>
      <c r="C414" s="7"/>
      <c r="D414" s="7"/>
      <c r="E414" s="14"/>
    </row>
    <row r="415" spans="1:5" x14ac:dyDescent="0.25">
      <c r="A415" s="5"/>
      <c r="B415" s="6"/>
      <c r="C415" s="7"/>
      <c r="D415" s="7"/>
      <c r="E415" s="14"/>
    </row>
    <row r="416" spans="1:5" x14ac:dyDescent="0.25">
      <c r="A416" s="5"/>
      <c r="B416" s="6"/>
      <c r="C416" s="7"/>
      <c r="D416" s="7"/>
      <c r="E416" s="14"/>
    </row>
    <row r="417" spans="1:5" x14ac:dyDescent="0.25">
      <c r="A417" s="22"/>
      <c r="B417" s="6"/>
      <c r="C417" s="7"/>
      <c r="D417" s="7"/>
      <c r="E417" s="14"/>
    </row>
    <row r="418" spans="1:5" x14ac:dyDescent="0.25">
      <c r="B418" s="6"/>
      <c r="C418" s="7"/>
      <c r="D418" s="7"/>
      <c r="E418" s="14"/>
    </row>
    <row r="419" spans="1:5" x14ac:dyDescent="0.25">
      <c r="A419" s="5"/>
      <c r="B419" s="6"/>
      <c r="C419" s="7"/>
      <c r="D419" s="7"/>
      <c r="E419" s="14"/>
    </row>
    <row r="420" spans="1:5" x14ac:dyDescent="0.25">
      <c r="A420" s="5"/>
      <c r="B420" s="6"/>
      <c r="C420" s="7"/>
      <c r="D420" s="7"/>
      <c r="E420" s="14"/>
    </row>
    <row r="421" spans="1:5" x14ac:dyDescent="0.25">
      <c r="A421" s="5"/>
      <c r="B421" s="6"/>
      <c r="C421" s="7"/>
      <c r="D421" s="7"/>
      <c r="E421" s="14"/>
    </row>
    <row r="422" spans="1:5" x14ac:dyDescent="0.25">
      <c r="A422" s="5"/>
      <c r="B422" s="22"/>
      <c r="C422" s="7"/>
      <c r="D422" s="7"/>
      <c r="E422" s="14"/>
    </row>
    <row r="423" spans="1:5" x14ac:dyDescent="0.25">
      <c r="A423" s="5"/>
      <c r="B423" s="6"/>
      <c r="C423" s="7"/>
      <c r="D423" s="7"/>
      <c r="E423" s="14"/>
    </row>
    <row r="424" spans="1:5" x14ac:dyDescent="0.25">
      <c r="A424" s="5"/>
      <c r="C424" s="7"/>
      <c r="D424" s="7"/>
      <c r="E424" s="14"/>
    </row>
    <row r="425" spans="1:5" x14ac:dyDescent="0.25">
      <c r="A425" s="5"/>
      <c r="B425" s="6"/>
      <c r="C425" s="7"/>
      <c r="D425" s="7"/>
      <c r="E425" s="14"/>
    </row>
    <row r="426" spans="1:5" x14ac:dyDescent="0.25">
      <c r="A426" s="5"/>
      <c r="B426" s="6"/>
      <c r="C426" s="7"/>
      <c r="D426" s="7"/>
      <c r="E426" s="14"/>
    </row>
    <row r="427" spans="1:5" x14ac:dyDescent="0.25">
      <c r="A427" s="5"/>
      <c r="B427" s="6"/>
      <c r="C427" s="7"/>
      <c r="D427" s="7"/>
      <c r="E427" s="14"/>
    </row>
    <row r="428" spans="1:5" x14ac:dyDescent="0.25">
      <c r="A428" s="5"/>
      <c r="B428" s="6"/>
      <c r="C428" s="16"/>
      <c r="D428" s="16"/>
      <c r="E428" s="14"/>
    </row>
    <row r="429" spans="1:5" x14ac:dyDescent="0.25">
      <c r="A429" s="5"/>
      <c r="B429" s="6"/>
      <c r="C429" s="7"/>
      <c r="D429" s="7"/>
      <c r="E429" s="14"/>
    </row>
    <row r="430" spans="1:5" x14ac:dyDescent="0.25">
      <c r="A430" s="5"/>
      <c r="B430" s="6"/>
      <c r="C430" s="7"/>
      <c r="D430" s="7"/>
      <c r="E430" s="14"/>
    </row>
    <row r="431" spans="1:5" x14ac:dyDescent="0.25">
      <c r="A431" s="5"/>
      <c r="B431" s="6"/>
      <c r="C431" s="7"/>
      <c r="D431" s="7"/>
      <c r="E431" s="14"/>
    </row>
    <row r="432" spans="1:5" x14ac:dyDescent="0.25">
      <c r="A432" s="5"/>
      <c r="B432" s="6"/>
      <c r="C432" s="7"/>
      <c r="D432" s="7"/>
      <c r="E432" s="14"/>
    </row>
    <row r="433" spans="1:6" x14ac:dyDescent="0.25">
      <c r="B433" s="6"/>
      <c r="C433" s="7"/>
      <c r="D433" s="7"/>
      <c r="E433" s="14"/>
    </row>
    <row r="434" spans="1:6" x14ac:dyDescent="0.25">
      <c r="A434" s="5"/>
      <c r="B434" s="6"/>
      <c r="C434" s="7"/>
      <c r="D434" s="7"/>
      <c r="E434" s="14"/>
    </row>
    <row r="435" spans="1:6" x14ac:dyDescent="0.25">
      <c r="A435" s="5"/>
      <c r="B435" s="6"/>
      <c r="C435" s="7"/>
      <c r="D435" s="7"/>
      <c r="E435" s="14"/>
    </row>
    <row r="436" spans="1:6" x14ac:dyDescent="0.25">
      <c r="A436" s="5"/>
      <c r="B436" s="6"/>
      <c r="C436" s="7"/>
      <c r="D436" s="7"/>
      <c r="E436" s="14"/>
    </row>
    <row r="437" spans="1:6" x14ac:dyDescent="0.25">
      <c r="A437" s="5"/>
      <c r="B437" s="6"/>
      <c r="C437" s="7"/>
      <c r="D437" s="7"/>
      <c r="E437" s="14"/>
    </row>
    <row r="438" spans="1:6" x14ac:dyDescent="0.25">
      <c r="A438" s="5"/>
      <c r="B438" s="6"/>
      <c r="C438" s="7"/>
      <c r="D438" s="7"/>
      <c r="E438" s="14"/>
    </row>
    <row r="439" spans="1:6" x14ac:dyDescent="0.25">
      <c r="A439" s="5"/>
      <c r="C439" s="7"/>
      <c r="D439" s="7"/>
      <c r="E439" s="14"/>
    </row>
    <row r="440" spans="1:6" x14ac:dyDescent="0.25">
      <c r="A440" s="5"/>
      <c r="B440" s="6"/>
      <c r="C440" s="7"/>
      <c r="D440" s="7"/>
      <c r="E440" s="14"/>
    </row>
    <row r="441" spans="1:6" x14ac:dyDescent="0.25">
      <c r="A441" s="5"/>
      <c r="B441" s="6"/>
      <c r="C441" s="7"/>
      <c r="D441" s="7"/>
      <c r="E441" s="14"/>
    </row>
    <row r="442" spans="1:6" x14ac:dyDescent="0.25">
      <c r="A442" s="5"/>
      <c r="B442" s="6"/>
      <c r="C442" s="7"/>
      <c r="D442" s="7"/>
      <c r="E442" s="14"/>
    </row>
    <row r="443" spans="1:6" x14ac:dyDescent="0.25">
      <c r="A443" s="5"/>
      <c r="B443" s="6"/>
      <c r="C443" s="12"/>
      <c r="D443" s="11"/>
      <c r="E443" s="14"/>
    </row>
    <row r="444" spans="1:6" x14ac:dyDescent="0.25">
      <c r="A444" s="5"/>
      <c r="B444" s="6"/>
      <c r="C444" s="12"/>
      <c r="D444" s="13"/>
      <c r="E444" s="14"/>
    </row>
    <row r="445" spans="1:6" x14ac:dyDescent="0.25">
      <c r="A445" s="5"/>
      <c r="B445" s="6"/>
      <c r="C445" s="16"/>
      <c r="D445" s="16"/>
      <c r="E445" s="17"/>
    </row>
    <row r="446" spans="1:6" x14ac:dyDescent="0.25">
      <c r="A446" s="5"/>
      <c r="B446" s="6"/>
      <c r="C446" s="27"/>
      <c r="D446" s="27"/>
      <c r="E446" s="17"/>
    </row>
    <row r="447" spans="1:6" s="3" customFormat="1" x14ac:dyDescent="0.25">
      <c r="A447" s="5"/>
      <c r="B447" s="6"/>
      <c r="C447" s="28"/>
      <c r="D447" s="29"/>
      <c r="E447" s="14"/>
      <c r="F447" s="18"/>
    </row>
    <row r="448" spans="1:6" x14ac:dyDescent="0.25">
      <c r="B448" s="6"/>
      <c r="C448" s="29"/>
      <c r="D448" s="29"/>
      <c r="E448" s="14"/>
      <c r="F448" s="18"/>
    </row>
    <row r="449" spans="1:5" x14ac:dyDescent="0.25">
      <c r="A449" s="5"/>
      <c r="B449" s="6"/>
      <c r="C449" s="16"/>
      <c r="D449" s="16"/>
      <c r="E449" s="14"/>
    </row>
    <row r="450" spans="1:5" x14ac:dyDescent="0.25">
      <c r="A450" s="5"/>
      <c r="B450" s="6"/>
      <c r="C450" s="7"/>
      <c r="D450" s="27"/>
      <c r="E450" s="14"/>
    </row>
    <row r="451" spans="1:5" x14ac:dyDescent="0.25">
      <c r="A451" s="5"/>
      <c r="B451" s="6"/>
      <c r="C451" s="28"/>
      <c r="D451" s="29"/>
      <c r="E451" s="14"/>
    </row>
    <row r="452" spans="1:5" x14ac:dyDescent="0.25">
      <c r="A452" s="5"/>
      <c r="B452" s="6"/>
      <c r="C452" s="30"/>
      <c r="D452" s="30"/>
      <c r="E452" s="14"/>
    </row>
    <row r="453" spans="1:5" x14ac:dyDescent="0.25">
      <c r="A453" s="5"/>
      <c r="B453" s="6"/>
      <c r="C453" s="16"/>
      <c r="D453" s="16"/>
      <c r="E453" s="14"/>
    </row>
    <row r="454" spans="1:5" x14ac:dyDescent="0.25">
      <c r="A454" s="5"/>
      <c r="C454" s="7"/>
      <c r="D454" s="27"/>
      <c r="E454" s="14"/>
    </row>
    <row r="455" spans="1:5" x14ac:dyDescent="0.25">
      <c r="A455" s="5"/>
      <c r="B455" s="6"/>
      <c r="C455" s="28"/>
      <c r="D455" s="29"/>
      <c r="E455" s="14"/>
    </row>
    <row r="456" spans="1:5" x14ac:dyDescent="0.25">
      <c r="A456" s="5"/>
      <c r="B456" s="6"/>
      <c r="C456" s="28"/>
      <c r="D456" s="28"/>
      <c r="E456" s="14"/>
    </row>
    <row r="457" spans="1:5" x14ac:dyDescent="0.25">
      <c r="A457" s="5"/>
      <c r="B457" s="6"/>
      <c r="C457" s="16"/>
      <c r="D457" s="16"/>
      <c r="E457" s="14"/>
    </row>
    <row r="458" spans="1:5" x14ac:dyDescent="0.25">
      <c r="A458" s="5"/>
      <c r="B458" s="6"/>
      <c r="C458" s="7"/>
      <c r="D458" s="27"/>
      <c r="E458" s="14"/>
    </row>
    <row r="459" spans="1:5" x14ac:dyDescent="0.25">
      <c r="A459" s="5"/>
      <c r="B459" s="6"/>
      <c r="C459" s="28"/>
      <c r="D459" s="29"/>
      <c r="E459" s="14"/>
    </row>
    <row r="460" spans="1:5" x14ac:dyDescent="0.25">
      <c r="A460" s="5"/>
      <c r="B460" s="6"/>
      <c r="C460" s="28"/>
      <c r="D460" s="28"/>
      <c r="E460" s="14"/>
    </row>
    <row r="461" spans="1:5" x14ac:dyDescent="0.25">
      <c r="A461" s="5"/>
      <c r="B461" s="6"/>
      <c r="C461" s="16"/>
      <c r="D461" s="16"/>
      <c r="E461" s="14"/>
    </row>
    <row r="462" spans="1:5" x14ac:dyDescent="0.25">
      <c r="A462" s="5"/>
      <c r="B462" s="6"/>
      <c r="C462" s="7"/>
      <c r="D462" s="27"/>
      <c r="E462" s="14"/>
    </row>
    <row r="463" spans="1:5" x14ac:dyDescent="0.25">
      <c r="A463" s="5"/>
      <c r="B463" s="6"/>
      <c r="C463" s="28"/>
      <c r="D463" s="29"/>
      <c r="E463" s="14"/>
    </row>
    <row r="464" spans="1:5" x14ac:dyDescent="0.25">
      <c r="A464" s="5"/>
      <c r="B464" s="6"/>
      <c r="C464" s="28"/>
      <c r="D464" s="28"/>
      <c r="E464" s="14"/>
    </row>
    <row r="465" spans="1:6" x14ac:dyDescent="0.25">
      <c r="A465" s="32"/>
      <c r="B465" s="6"/>
      <c r="C465" s="16"/>
      <c r="D465" s="16"/>
      <c r="E465" s="14"/>
    </row>
    <row r="466" spans="1:6" x14ac:dyDescent="0.25">
      <c r="A466" s="33"/>
      <c r="B466" s="6"/>
      <c r="C466" s="34"/>
      <c r="D466" s="34"/>
      <c r="E466" s="14"/>
    </row>
    <row r="467" spans="1:6" x14ac:dyDescent="0.25">
      <c r="A467" s="33"/>
      <c r="B467" s="6"/>
      <c r="C467" s="28"/>
      <c r="D467" s="29"/>
      <c r="E467" s="14"/>
    </row>
    <row r="468" spans="1:6" x14ac:dyDescent="0.25">
      <c r="A468" s="33"/>
      <c r="B468" s="6"/>
      <c r="C468" s="28"/>
      <c r="D468" s="28"/>
      <c r="E468" s="14"/>
    </row>
    <row r="469" spans="1:6" x14ac:dyDescent="0.25">
      <c r="A469" s="32"/>
      <c r="B469" s="6"/>
      <c r="C469" s="16"/>
      <c r="D469" s="16"/>
      <c r="E469" s="14"/>
    </row>
    <row r="470" spans="1:6" x14ac:dyDescent="0.25">
      <c r="A470" s="33"/>
      <c r="B470" s="32"/>
      <c r="C470" s="7"/>
      <c r="D470" s="27"/>
      <c r="E470" s="14"/>
    </row>
    <row r="471" spans="1:6" x14ac:dyDescent="0.25">
      <c r="A471" s="106"/>
      <c r="B471" s="35"/>
      <c r="C471" s="28"/>
      <c r="D471" s="29"/>
      <c r="E471" s="14"/>
    </row>
    <row r="472" spans="1:6" x14ac:dyDescent="0.25">
      <c r="A472" s="106"/>
      <c r="B472" s="35"/>
      <c r="C472" s="28"/>
      <c r="D472" s="28"/>
      <c r="E472" s="14"/>
    </row>
    <row r="473" spans="1:6" x14ac:dyDescent="0.25">
      <c r="A473" s="32"/>
      <c r="B473" s="35"/>
      <c r="C473" s="16"/>
      <c r="D473" s="16"/>
      <c r="E473" s="14"/>
    </row>
    <row r="474" spans="1:6" x14ac:dyDescent="0.25">
      <c r="A474" s="33"/>
      <c r="B474" s="32"/>
      <c r="C474" s="7"/>
      <c r="D474" s="27"/>
      <c r="E474" s="14"/>
    </row>
    <row r="475" spans="1:6" x14ac:dyDescent="0.25">
      <c r="A475" s="33"/>
      <c r="B475" s="35"/>
      <c r="C475" s="7"/>
      <c r="D475" s="27"/>
      <c r="E475" s="14"/>
    </row>
    <row r="476" spans="1:6" x14ac:dyDescent="0.25">
      <c r="A476" s="33"/>
      <c r="B476" s="107"/>
      <c r="C476" s="36"/>
      <c r="D476" s="37"/>
      <c r="E476" s="14"/>
    </row>
    <row r="477" spans="1:6" x14ac:dyDescent="0.25">
      <c r="A477" s="32"/>
      <c r="B477" s="107"/>
      <c r="C477" s="31"/>
      <c r="D477" s="31"/>
      <c r="E477" s="14"/>
    </row>
    <row r="478" spans="1:6" x14ac:dyDescent="0.25">
      <c r="A478" s="33"/>
      <c r="B478" s="32"/>
      <c r="C478" s="16"/>
      <c r="D478" s="16"/>
      <c r="E478" s="14"/>
    </row>
    <row r="479" spans="1:6" x14ac:dyDescent="0.25">
      <c r="A479" s="33"/>
      <c r="B479" s="35"/>
      <c r="C479" s="27"/>
      <c r="D479" s="27"/>
      <c r="E479" s="14"/>
      <c r="F479" s="20"/>
    </row>
    <row r="480" spans="1:6" x14ac:dyDescent="0.25">
      <c r="A480" s="33"/>
      <c r="B480" s="35"/>
      <c r="C480" s="31"/>
      <c r="D480" s="31"/>
      <c r="E480" s="14"/>
    </row>
    <row r="481" spans="1:6" x14ac:dyDescent="0.25">
      <c r="A481" s="32"/>
      <c r="B481" s="35"/>
      <c r="C481" s="16"/>
      <c r="D481" s="16"/>
      <c r="E481" s="14"/>
    </row>
    <row r="482" spans="1:6" x14ac:dyDescent="0.25">
      <c r="A482" s="33"/>
      <c r="B482" s="32"/>
      <c r="C482" s="7"/>
      <c r="D482" s="27"/>
      <c r="E482" s="14"/>
    </row>
    <row r="483" spans="1:6" x14ac:dyDescent="0.25">
      <c r="A483" s="33"/>
      <c r="B483" s="35"/>
      <c r="C483" s="28"/>
      <c r="D483" s="29"/>
      <c r="E483" s="14"/>
    </row>
    <row r="484" spans="1:6" x14ac:dyDescent="0.25">
      <c r="A484" s="33"/>
      <c r="B484" s="35"/>
      <c r="C484" s="28"/>
      <c r="D484" s="29"/>
      <c r="E484" s="14"/>
    </row>
    <row r="485" spans="1:6" x14ac:dyDescent="0.25">
      <c r="A485" s="32"/>
      <c r="B485" s="35"/>
      <c r="C485" s="16"/>
      <c r="D485" s="16"/>
      <c r="E485" s="14"/>
    </row>
    <row r="486" spans="1:6" x14ac:dyDescent="0.25">
      <c r="A486" s="33"/>
      <c r="B486" s="32"/>
      <c r="C486" s="7"/>
      <c r="D486" s="27"/>
      <c r="E486" s="14"/>
    </row>
    <row r="487" spans="1:6" x14ac:dyDescent="0.25">
      <c r="A487" s="33"/>
      <c r="B487" s="35"/>
      <c r="C487" s="28"/>
      <c r="D487" s="29"/>
      <c r="E487" s="14"/>
    </row>
    <row r="488" spans="1:6" x14ac:dyDescent="0.25">
      <c r="A488" s="33"/>
      <c r="B488" s="35"/>
      <c r="C488" s="12"/>
      <c r="D488" s="13"/>
      <c r="E488" s="14"/>
    </row>
    <row r="489" spans="1:6" x14ac:dyDescent="0.25">
      <c r="A489" s="32"/>
      <c r="B489" s="35"/>
      <c r="C489" s="16"/>
      <c r="D489" s="16"/>
      <c r="E489" s="14"/>
    </row>
    <row r="490" spans="1:6" x14ac:dyDescent="0.25">
      <c r="A490" s="33"/>
      <c r="B490" s="32"/>
      <c r="C490" s="7"/>
      <c r="D490" s="27"/>
      <c r="E490" s="14"/>
    </row>
    <row r="491" spans="1:6" x14ac:dyDescent="0.25">
      <c r="A491" s="33"/>
      <c r="B491" s="35"/>
      <c r="C491" s="28"/>
      <c r="D491" s="29"/>
      <c r="E491" s="14"/>
    </row>
    <row r="492" spans="1:6" x14ac:dyDescent="0.25">
      <c r="A492" s="33"/>
      <c r="B492" s="35"/>
      <c r="C492" s="28"/>
      <c r="D492" s="29"/>
      <c r="E492" s="14"/>
    </row>
    <row r="493" spans="1:6" x14ac:dyDescent="0.25">
      <c r="A493" s="32"/>
      <c r="B493" s="35"/>
      <c r="C493" s="16"/>
      <c r="D493" s="16"/>
      <c r="E493" s="17"/>
    </row>
    <row r="494" spans="1:6" x14ac:dyDescent="0.25">
      <c r="A494" s="38"/>
      <c r="B494" s="32"/>
      <c r="C494" s="7"/>
      <c r="D494" s="27"/>
      <c r="E494" s="14"/>
    </row>
    <row r="495" spans="1:6" x14ac:dyDescent="0.25">
      <c r="A495" s="38"/>
      <c r="B495" s="35"/>
      <c r="C495" s="28"/>
      <c r="D495" s="29"/>
      <c r="E495" s="14"/>
      <c r="F495" s="39"/>
    </row>
    <row r="496" spans="1:6" x14ac:dyDescent="0.25">
      <c r="A496" s="38"/>
      <c r="B496" s="35"/>
      <c r="C496" s="28"/>
      <c r="D496" s="29"/>
      <c r="E496" s="14"/>
    </row>
    <row r="497" spans="1:6" x14ac:dyDescent="0.25">
      <c r="A497" s="38"/>
      <c r="B497" s="35"/>
      <c r="C497" s="16"/>
      <c r="D497" s="16"/>
      <c r="E497" s="14"/>
    </row>
    <row r="498" spans="1:6" x14ac:dyDescent="0.25">
      <c r="A498" s="32"/>
      <c r="B498" s="32"/>
      <c r="C498" s="7"/>
      <c r="D498" s="27"/>
      <c r="E498" s="14"/>
    </row>
    <row r="499" spans="1:6" x14ac:dyDescent="0.25">
      <c r="A499" s="38"/>
      <c r="B499" s="40"/>
      <c r="C499" s="28"/>
      <c r="D499" s="29"/>
      <c r="E499" s="17"/>
    </row>
    <row r="500" spans="1:6" x14ac:dyDescent="0.25">
      <c r="A500" s="38"/>
      <c r="B500" s="40"/>
      <c r="C500" s="31"/>
      <c r="D500" s="31"/>
      <c r="E500" s="14"/>
    </row>
    <row r="501" spans="1:6" x14ac:dyDescent="0.25">
      <c r="A501" s="41"/>
      <c r="B501" s="40"/>
      <c r="C501" s="16"/>
      <c r="D501" s="16"/>
      <c r="E501" s="14"/>
      <c r="F501" s="39"/>
    </row>
    <row r="502" spans="1:6" x14ac:dyDescent="0.25">
      <c r="A502" s="42"/>
      <c r="B502" s="40"/>
      <c r="C502" s="34"/>
      <c r="D502" s="34"/>
      <c r="E502" s="43"/>
    </row>
    <row r="503" spans="1:6" x14ac:dyDescent="0.25">
      <c r="A503" s="42"/>
      <c r="B503" s="32"/>
      <c r="C503" s="34"/>
      <c r="D503" s="34"/>
      <c r="E503" s="14"/>
    </row>
    <row r="504" spans="1:6" x14ac:dyDescent="0.25">
      <c r="A504" s="42"/>
      <c r="B504" s="40"/>
      <c r="C504" s="34"/>
      <c r="D504" s="34"/>
      <c r="E504" s="14"/>
      <c r="F504" s="44"/>
    </row>
    <row r="505" spans="1:6" x14ac:dyDescent="0.25">
      <c r="A505" s="41"/>
      <c r="B505" s="40"/>
      <c r="C505" s="28"/>
      <c r="D505" s="28"/>
      <c r="E505" s="14"/>
    </row>
    <row r="506" spans="1:6" x14ac:dyDescent="0.25">
      <c r="A506" s="42"/>
      <c r="B506" s="41"/>
      <c r="C506" s="16"/>
      <c r="D506" s="16"/>
      <c r="E506" s="14"/>
    </row>
    <row r="507" spans="1:6" x14ac:dyDescent="0.25">
      <c r="A507" s="42"/>
      <c r="B507" s="45"/>
      <c r="C507" s="7"/>
      <c r="D507" s="27"/>
      <c r="E507" s="14"/>
    </row>
    <row r="508" spans="1:6" x14ac:dyDescent="0.25">
      <c r="A508" s="5"/>
      <c r="B508" s="45"/>
      <c r="C508" s="7"/>
      <c r="D508" s="27"/>
      <c r="E508" s="14"/>
    </row>
    <row r="509" spans="1:6" x14ac:dyDescent="0.25">
      <c r="A509" s="41"/>
      <c r="B509" s="45"/>
      <c r="C509" s="7"/>
      <c r="D509" s="27"/>
      <c r="E509" s="14"/>
    </row>
    <row r="510" spans="1:6" x14ac:dyDescent="0.25">
      <c r="A510" s="42"/>
      <c r="B510" s="41"/>
      <c r="C510" s="7"/>
      <c r="D510" s="27"/>
      <c r="E510" s="14"/>
    </row>
    <row r="511" spans="1:6" x14ac:dyDescent="0.25">
      <c r="A511" s="42"/>
      <c r="B511" s="45"/>
      <c r="C511" s="7"/>
      <c r="D511" s="27"/>
      <c r="E511" s="14"/>
    </row>
    <row r="512" spans="1:6" x14ac:dyDescent="0.25">
      <c r="A512" s="42"/>
      <c r="B512" s="45"/>
      <c r="C512" s="7"/>
      <c r="D512" s="27"/>
      <c r="E512" s="14"/>
    </row>
    <row r="513" spans="1:5" x14ac:dyDescent="0.25">
      <c r="A513" s="41"/>
      <c r="B513" s="6"/>
      <c r="C513" s="7"/>
      <c r="D513" s="27"/>
      <c r="E513" s="14"/>
    </row>
    <row r="514" spans="1:5" x14ac:dyDescent="0.25">
      <c r="A514" s="42"/>
      <c r="B514" s="41"/>
      <c r="C514" s="7"/>
      <c r="D514" s="27"/>
      <c r="E514" s="14"/>
    </row>
    <row r="515" spans="1:5" x14ac:dyDescent="0.25">
      <c r="A515" s="42"/>
      <c r="B515" s="45"/>
      <c r="C515" s="7"/>
      <c r="D515" s="27"/>
      <c r="E515" s="14"/>
    </row>
    <row r="516" spans="1:5" x14ac:dyDescent="0.25">
      <c r="A516" s="42"/>
      <c r="B516" s="45"/>
      <c r="C516" s="7"/>
      <c r="D516" s="27"/>
      <c r="E516" s="14"/>
    </row>
    <row r="517" spans="1:5" x14ac:dyDescent="0.25">
      <c r="A517" s="41"/>
      <c r="B517" s="45"/>
      <c r="C517" s="7"/>
      <c r="D517" s="27"/>
      <c r="E517" s="17"/>
    </row>
    <row r="518" spans="1:5" x14ac:dyDescent="0.25">
      <c r="A518" s="42"/>
      <c r="B518" s="41"/>
      <c r="C518" s="7"/>
      <c r="D518" s="27"/>
      <c r="E518" s="14"/>
    </row>
    <row r="519" spans="1:5" x14ac:dyDescent="0.25">
      <c r="A519" s="42"/>
      <c r="B519" s="45"/>
      <c r="C519" s="7"/>
      <c r="D519" s="27"/>
      <c r="E519" s="14"/>
    </row>
    <row r="520" spans="1:5" x14ac:dyDescent="0.25">
      <c r="A520" s="42"/>
      <c r="B520" s="45"/>
      <c r="C520" s="7"/>
      <c r="D520" s="27"/>
      <c r="E520" s="14"/>
    </row>
    <row r="521" spans="1:5" x14ac:dyDescent="0.25">
      <c r="A521" s="41"/>
      <c r="B521" s="45"/>
      <c r="C521" s="7"/>
      <c r="D521" s="27"/>
      <c r="E521" s="14"/>
    </row>
    <row r="522" spans="1:5" x14ac:dyDescent="0.25">
      <c r="A522" s="42"/>
      <c r="B522" s="41"/>
      <c r="C522" s="7"/>
      <c r="D522" s="27"/>
      <c r="E522" s="14"/>
    </row>
    <row r="523" spans="1:5" x14ac:dyDescent="0.25">
      <c r="A523" s="42"/>
      <c r="B523" s="45"/>
      <c r="C523" s="7"/>
      <c r="D523" s="27"/>
      <c r="E523" s="14"/>
    </row>
    <row r="524" spans="1:5" x14ac:dyDescent="0.25">
      <c r="A524" s="42"/>
      <c r="B524" s="45"/>
      <c r="C524" s="46"/>
      <c r="D524" s="47"/>
      <c r="E524" s="14"/>
    </row>
    <row r="525" spans="1:5" x14ac:dyDescent="0.25">
      <c r="A525" s="42"/>
      <c r="B525" s="45"/>
      <c r="C525" s="31"/>
      <c r="D525" s="31"/>
      <c r="E525" s="14"/>
    </row>
    <row r="526" spans="1:5" x14ac:dyDescent="0.25">
      <c r="A526" s="41"/>
      <c r="B526" s="41"/>
      <c r="C526" s="16"/>
      <c r="D526" s="16"/>
      <c r="E526" s="14"/>
    </row>
    <row r="527" spans="1:5" x14ac:dyDescent="0.25">
      <c r="A527" s="42"/>
      <c r="B527" s="45"/>
      <c r="C527" s="7"/>
      <c r="D527" s="27"/>
      <c r="E527" s="14"/>
    </row>
    <row r="528" spans="1:5" x14ac:dyDescent="0.25">
      <c r="A528" s="42"/>
      <c r="B528" s="45"/>
      <c r="C528" s="7"/>
      <c r="D528" s="27"/>
      <c r="E528" s="14"/>
    </row>
    <row r="529" spans="1:5" x14ac:dyDescent="0.25">
      <c r="A529" s="42"/>
      <c r="B529" s="45"/>
      <c r="C529" s="46"/>
      <c r="D529" s="47"/>
      <c r="E529" s="14"/>
    </row>
    <row r="530" spans="1:5" x14ac:dyDescent="0.25">
      <c r="A530" s="42"/>
      <c r="B530" s="45"/>
      <c r="C530" s="31"/>
      <c r="D530" s="31"/>
      <c r="E530" s="14"/>
    </row>
    <row r="531" spans="1:5" x14ac:dyDescent="0.25">
      <c r="A531" s="42"/>
      <c r="B531" s="41"/>
      <c r="C531" s="16"/>
      <c r="D531" s="16"/>
      <c r="E531" s="14"/>
    </row>
    <row r="532" spans="1:5" x14ac:dyDescent="0.25">
      <c r="A532" s="42"/>
      <c r="B532" s="45"/>
      <c r="C532" s="34"/>
      <c r="D532" s="34"/>
      <c r="E532" s="14"/>
    </row>
    <row r="533" spans="1:5" x14ac:dyDescent="0.25">
      <c r="A533" s="42"/>
      <c r="B533" s="45"/>
      <c r="C533" s="34"/>
      <c r="D533" s="34"/>
      <c r="E533" s="17"/>
    </row>
    <row r="534" spans="1:5" x14ac:dyDescent="0.25">
      <c r="A534" s="42"/>
      <c r="B534" s="45"/>
      <c r="C534" s="34"/>
      <c r="D534" s="34"/>
      <c r="E534" s="14"/>
    </row>
    <row r="535" spans="1:5" x14ac:dyDescent="0.25">
      <c r="A535" s="42"/>
      <c r="B535" s="45"/>
      <c r="C535" s="28"/>
      <c r="D535" s="28"/>
      <c r="E535" s="14"/>
    </row>
    <row r="536" spans="1:5" x14ac:dyDescent="0.25">
      <c r="A536" s="42"/>
      <c r="B536" s="45"/>
      <c r="C536" s="16"/>
      <c r="D536" s="16"/>
      <c r="E536" s="14"/>
    </row>
    <row r="537" spans="1:5" x14ac:dyDescent="0.25">
      <c r="A537" s="42"/>
      <c r="B537" s="45"/>
      <c r="C537" s="7"/>
      <c r="D537" s="27"/>
      <c r="E537" s="14"/>
    </row>
    <row r="538" spans="1:5" x14ac:dyDescent="0.25">
      <c r="A538" s="42"/>
      <c r="B538" s="45"/>
      <c r="C538" s="7"/>
      <c r="D538" s="27"/>
      <c r="E538" s="14"/>
    </row>
    <row r="539" spans="1:5" x14ac:dyDescent="0.25">
      <c r="A539" s="42"/>
      <c r="B539" s="45"/>
      <c r="C539" s="7"/>
      <c r="D539" s="27"/>
      <c r="E539" s="14"/>
    </row>
    <row r="540" spans="1:5" x14ac:dyDescent="0.25">
      <c r="A540" s="42"/>
      <c r="B540" s="45"/>
      <c r="C540" s="7"/>
      <c r="D540" s="27"/>
      <c r="E540" s="14"/>
    </row>
    <row r="541" spans="1:5" x14ac:dyDescent="0.25">
      <c r="A541" s="42"/>
      <c r="B541" s="45"/>
      <c r="C541" s="7"/>
      <c r="D541" s="27"/>
      <c r="E541" s="14"/>
    </row>
    <row r="542" spans="1:5" x14ac:dyDescent="0.25">
      <c r="A542" s="42"/>
      <c r="B542" s="45"/>
      <c r="C542" s="7"/>
      <c r="D542" s="27"/>
      <c r="E542" s="14"/>
    </row>
    <row r="543" spans="1:5" x14ac:dyDescent="0.25">
      <c r="A543" s="42"/>
      <c r="B543" s="45"/>
      <c r="C543" s="48"/>
      <c r="D543" s="47"/>
      <c r="E543" s="14"/>
    </row>
    <row r="544" spans="1:5" x14ac:dyDescent="0.25">
      <c r="A544" s="49"/>
      <c r="B544" s="50"/>
      <c r="C544" s="31"/>
      <c r="D544" s="31"/>
      <c r="E544" s="14"/>
    </row>
    <row r="545" spans="1:7" x14ac:dyDescent="0.25">
      <c r="A545" s="42"/>
      <c r="B545" s="50"/>
      <c r="C545" s="16"/>
      <c r="D545" s="16"/>
      <c r="E545" s="14"/>
    </row>
    <row r="546" spans="1:7" x14ac:dyDescent="0.25">
      <c r="A546" s="41"/>
      <c r="B546" s="45"/>
      <c r="C546" s="34"/>
      <c r="D546" s="34"/>
      <c r="E546" s="14"/>
    </row>
    <row r="547" spans="1:7" x14ac:dyDescent="0.25">
      <c r="A547" s="42"/>
      <c r="B547" s="45"/>
      <c r="C547" s="34"/>
      <c r="D547" s="34"/>
      <c r="E547" s="14"/>
    </row>
    <row r="548" spans="1:7" x14ac:dyDescent="0.25">
      <c r="A548" s="42"/>
      <c r="B548" s="45"/>
      <c r="C548" s="34"/>
      <c r="D548" s="34"/>
      <c r="E548" s="14"/>
    </row>
    <row r="549" spans="1:7" x14ac:dyDescent="0.25">
      <c r="A549" s="49"/>
      <c r="B549" s="51"/>
      <c r="C549" s="34"/>
      <c r="D549" s="34"/>
      <c r="E549" s="52"/>
    </row>
    <row r="550" spans="1:7" x14ac:dyDescent="0.25">
      <c r="A550" s="42"/>
      <c r="B550" s="45"/>
      <c r="C550" s="34"/>
      <c r="D550" s="34"/>
      <c r="E550" s="14"/>
    </row>
    <row r="551" spans="1:7" x14ac:dyDescent="0.25">
      <c r="A551" s="41"/>
      <c r="B551" s="41"/>
      <c r="C551" s="34"/>
      <c r="D551" s="34"/>
      <c r="E551" s="14"/>
      <c r="F551" s="39"/>
      <c r="G551" s="20"/>
    </row>
    <row r="552" spans="1:7" x14ac:dyDescent="0.25">
      <c r="A552" s="42"/>
      <c r="B552" s="45"/>
      <c r="C552" s="28"/>
      <c r="D552" s="28"/>
      <c r="E552" s="14"/>
    </row>
    <row r="553" spans="1:7" x14ac:dyDescent="0.25">
      <c r="A553" s="42"/>
      <c r="B553" s="45"/>
      <c r="C553" s="16"/>
      <c r="D553" s="16"/>
      <c r="E553" s="14"/>
    </row>
    <row r="554" spans="1:7" x14ac:dyDescent="0.25">
      <c r="A554" s="42"/>
      <c r="B554" s="51"/>
      <c r="C554" s="34"/>
      <c r="D554" s="34"/>
      <c r="E554" s="14"/>
    </row>
    <row r="555" spans="1:7" x14ac:dyDescent="0.25">
      <c r="A555" s="42"/>
      <c r="B555" s="45"/>
      <c r="C555" s="34"/>
      <c r="D555" s="34"/>
      <c r="E555" s="14"/>
    </row>
    <row r="556" spans="1:7" x14ac:dyDescent="0.25">
      <c r="A556" s="41"/>
      <c r="B556" s="41"/>
      <c r="C556" s="34"/>
      <c r="D556" s="34"/>
      <c r="E556" s="14"/>
    </row>
    <row r="557" spans="1:7" x14ac:dyDescent="0.25">
      <c r="A557" s="42"/>
      <c r="B557" s="45"/>
      <c r="C557" s="34"/>
      <c r="D557" s="34"/>
      <c r="E557" s="14"/>
    </row>
    <row r="558" spans="1:7" x14ac:dyDescent="0.25">
      <c r="A558" s="42"/>
      <c r="B558" s="45"/>
      <c r="C558" s="34"/>
      <c r="D558" s="34"/>
      <c r="E558" s="14"/>
    </row>
    <row r="559" spans="1:7" x14ac:dyDescent="0.25">
      <c r="A559" s="42"/>
      <c r="B559" s="45"/>
      <c r="C559" s="34"/>
      <c r="D559" s="34"/>
      <c r="E559" s="14"/>
    </row>
    <row r="560" spans="1:7" x14ac:dyDescent="0.25">
      <c r="A560" s="42"/>
      <c r="B560" s="45"/>
      <c r="C560" s="34"/>
      <c r="D560" s="34"/>
      <c r="E560" s="14"/>
    </row>
    <row r="561" spans="1:5" x14ac:dyDescent="0.25">
      <c r="A561" s="42"/>
      <c r="B561" s="41"/>
      <c r="C561" s="34"/>
      <c r="D561" s="34"/>
      <c r="E561" s="14"/>
    </row>
    <row r="562" spans="1:5" x14ac:dyDescent="0.25">
      <c r="A562" s="42"/>
      <c r="B562" s="45"/>
      <c r="C562" s="34"/>
      <c r="D562" s="34"/>
      <c r="E562" s="14"/>
    </row>
    <row r="563" spans="1:5" x14ac:dyDescent="0.25">
      <c r="A563" s="49"/>
      <c r="B563" s="45"/>
      <c r="C563" s="34"/>
      <c r="D563" s="34"/>
      <c r="E563" s="14"/>
    </row>
    <row r="564" spans="1:5" x14ac:dyDescent="0.25">
      <c r="A564" s="42"/>
      <c r="B564" s="45"/>
      <c r="C564" s="34"/>
      <c r="D564" s="34"/>
      <c r="E564" s="14"/>
    </row>
    <row r="565" spans="1:5" x14ac:dyDescent="0.25">
      <c r="A565" s="41"/>
      <c r="B565" s="45"/>
      <c r="C565" s="34"/>
      <c r="D565" s="34"/>
      <c r="E565" s="14"/>
    </row>
    <row r="566" spans="1:5" x14ac:dyDescent="0.25">
      <c r="A566" s="42"/>
      <c r="B566" s="45"/>
      <c r="C566" s="28"/>
      <c r="D566" s="28"/>
      <c r="E566" s="14"/>
    </row>
    <row r="567" spans="1:5" x14ac:dyDescent="0.25">
      <c r="A567" s="42"/>
      <c r="B567" s="45"/>
      <c r="C567" s="16"/>
      <c r="D567" s="16"/>
      <c r="E567" s="14"/>
    </row>
    <row r="568" spans="1:5" x14ac:dyDescent="0.25">
      <c r="A568" s="42"/>
      <c r="B568" s="51"/>
      <c r="C568" s="7"/>
      <c r="D568" s="27"/>
      <c r="E568" s="14"/>
    </row>
    <row r="569" spans="1:5" x14ac:dyDescent="0.25">
      <c r="A569" s="42"/>
      <c r="B569" s="45"/>
      <c r="C569" s="7"/>
      <c r="D569" s="27"/>
      <c r="E569" s="14"/>
    </row>
    <row r="570" spans="1:5" x14ac:dyDescent="0.25">
      <c r="A570" s="42"/>
      <c r="B570" s="41"/>
      <c r="C570" s="46"/>
      <c r="D570" s="47"/>
      <c r="E570" s="14"/>
    </row>
    <row r="571" spans="1:5" x14ac:dyDescent="0.25">
      <c r="A571" s="42"/>
      <c r="B571" s="45"/>
      <c r="C571" s="31"/>
      <c r="D571" s="31"/>
      <c r="E571" s="14"/>
    </row>
    <row r="572" spans="1:5" x14ac:dyDescent="0.25">
      <c r="A572" s="42"/>
      <c r="B572" s="45"/>
      <c r="C572" s="16"/>
      <c r="D572" s="16"/>
      <c r="E572" s="14"/>
    </row>
    <row r="573" spans="1:5" x14ac:dyDescent="0.25">
      <c r="A573" s="41"/>
      <c r="B573" s="45"/>
      <c r="C573" s="34"/>
      <c r="D573" s="34"/>
      <c r="E573" s="14"/>
    </row>
    <row r="574" spans="1:5" x14ac:dyDescent="0.25">
      <c r="A574" s="42"/>
      <c r="B574" s="45"/>
      <c r="C574" s="34"/>
      <c r="D574" s="34"/>
      <c r="E574" s="14"/>
    </row>
    <row r="575" spans="1:5" x14ac:dyDescent="0.25">
      <c r="A575" s="42"/>
      <c r="B575" s="45"/>
      <c r="C575" s="34"/>
      <c r="D575" s="34"/>
      <c r="E575" s="14"/>
    </row>
    <row r="576" spans="1:5" x14ac:dyDescent="0.25">
      <c r="A576" s="42"/>
      <c r="B576" s="45"/>
      <c r="C576" s="34"/>
      <c r="D576" s="34"/>
      <c r="E576" s="14"/>
    </row>
    <row r="577" spans="1:5" x14ac:dyDescent="0.25">
      <c r="A577" s="42"/>
      <c r="B577" s="45"/>
      <c r="C577" s="34"/>
      <c r="D577" s="34"/>
      <c r="E577" s="14"/>
    </row>
    <row r="578" spans="1:5" x14ac:dyDescent="0.25">
      <c r="A578" s="42"/>
      <c r="B578" s="41"/>
      <c r="C578" s="34"/>
      <c r="D578" s="34"/>
      <c r="E578" s="14"/>
    </row>
    <row r="579" spans="1:5" x14ac:dyDescent="0.25">
      <c r="A579" s="42"/>
      <c r="B579" s="45"/>
      <c r="C579" s="34"/>
      <c r="D579" s="34"/>
      <c r="E579" s="14"/>
    </row>
    <row r="580" spans="1:5" x14ac:dyDescent="0.25">
      <c r="A580" s="42"/>
      <c r="B580" s="45"/>
      <c r="C580" s="34"/>
      <c r="D580" s="34"/>
      <c r="E580" s="14"/>
    </row>
    <row r="581" spans="1:5" x14ac:dyDescent="0.25">
      <c r="A581" s="42"/>
      <c r="B581" s="45"/>
      <c r="C581" s="34"/>
      <c r="D581" s="34"/>
      <c r="E581" s="14"/>
    </row>
    <row r="582" spans="1:5" x14ac:dyDescent="0.25">
      <c r="A582" s="42"/>
      <c r="B582" s="45"/>
      <c r="C582" s="34"/>
      <c r="D582" s="34"/>
      <c r="E582" s="14"/>
    </row>
    <row r="583" spans="1:5" x14ac:dyDescent="0.25">
      <c r="A583" s="42"/>
      <c r="B583" s="45"/>
      <c r="C583" s="34"/>
      <c r="D583" s="34"/>
      <c r="E583" s="14"/>
    </row>
    <row r="584" spans="1:5" x14ac:dyDescent="0.25">
      <c r="A584" s="42"/>
      <c r="B584" s="45"/>
      <c r="C584" s="34"/>
      <c r="D584" s="34"/>
      <c r="E584" s="14"/>
    </row>
    <row r="585" spans="1:5" x14ac:dyDescent="0.25">
      <c r="A585" s="42"/>
      <c r="B585" s="45"/>
      <c r="C585" s="34"/>
      <c r="D585" s="34"/>
      <c r="E585" s="14"/>
    </row>
    <row r="586" spans="1:5" x14ac:dyDescent="0.25">
      <c r="A586" s="42"/>
      <c r="B586" s="45"/>
      <c r="C586" s="34"/>
      <c r="D586" s="34"/>
      <c r="E586" s="14"/>
    </row>
    <row r="587" spans="1:5" x14ac:dyDescent="0.25">
      <c r="A587" s="41"/>
      <c r="B587" s="45"/>
      <c r="C587" s="34"/>
      <c r="D587" s="34"/>
      <c r="E587" s="14"/>
    </row>
    <row r="588" spans="1:5" x14ac:dyDescent="0.25">
      <c r="A588" s="42"/>
      <c r="B588" s="45"/>
      <c r="C588" s="34"/>
      <c r="D588" s="34"/>
      <c r="E588" s="14"/>
    </row>
    <row r="589" spans="1:5" x14ac:dyDescent="0.25">
      <c r="A589" s="42"/>
      <c r="B589" s="45"/>
      <c r="C589" s="34"/>
      <c r="D589" s="34"/>
      <c r="E589" s="14"/>
    </row>
    <row r="590" spans="1:5" x14ac:dyDescent="0.25">
      <c r="A590" s="49"/>
      <c r="B590" s="45"/>
      <c r="C590" s="28"/>
      <c r="D590" s="28"/>
      <c r="E590" s="14"/>
    </row>
    <row r="591" spans="1:5" x14ac:dyDescent="0.25">
      <c r="A591" s="42"/>
      <c r="B591" s="45"/>
      <c r="C591" s="16"/>
      <c r="D591" s="16"/>
      <c r="E591" s="14"/>
    </row>
    <row r="592" spans="1:5" x14ac:dyDescent="0.25">
      <c r="A592" s="41"/>
      <c r="B592" s="41"/>
      <c r="C592" s="7"/>
      <c r="D592" s="27"/>
      <c r="E592" s="14"/>
    </row>
    <row r="593" spans="1:7" x14ac:dyDescent="0.25">
      <c r="A593" s="42"/>
      <c r="B593" s="45"/>
      <c r="C593" s="7"/>
      <c r="D593" s="27"/>
      <c r="E593" s="14"/>
    </row>
    <row r="594" spans="1:7" x14ac:dyDescent="0.25">
      <c r="A594" s="42"/>
      <c r="B594" s="45"/>
      <c r="C594" s="7"/>
      <c r="D594" s="27"/>
      <c r="E594" s="14"/>
    </row>
    <row r="595" spans="1:7" x14ac:dyDescent="0.25">
      <c r="A595" s="42"/>
      <c r="B595" s="51"/>
      <c r="C595" s="7"/>
      <c r="D595" s="27"/>
      <c r="E595" s="14"/>
    </row>
    <row r="596" spans="1:7" x14ac:dyDescent="0.25">
      <c r="A596" s="42"/>
      <c r="B596" s="45"/>
      <c r="C596" s="7"/>
      <c r="D596" s="27"/>
      <c r="E596" s="17"/>
    </row>
    <row r="597" spans="1:7" x14ac:dyDescent="0.25">
      <c r="A597" s="42"/>
      <c r="B597" s="41"/>
      <c r="C597" s="7"/>
      <c r="D597" s="27"/>
      <c r="E597" s="17"/>
    </row>
    <row r="598" spans="1:7" x14ac:dyDescent="0.25">
      <c r="A598" s="42"/>
      <c r="B598" s="45"/>
      <c r="C598" s="7"/>
      <c r="D598" s="27"/>
      <c r="E598" s="14"/>
      <c r="F598" s="39"/>
    </row>
    <row r="599" spans="1:7" x14ac:dyDescent="0.25">
      <c r="A599" s="42"/>
      <c r="B599" s="45"/>
      <c r="C599" s="7"/>
      <c r="D599" s="27"/>
      <c r="E599" s="14"/>
      <c r="F599" s="39"/>
      <c r="G599" s="20"/>
    </row>
    <row r="600" spans="1:7" x14ac:dyDescent="0.25">
      <c r="A600" s="42"/>
      <c r="B600" s="45"/>
      <c r="C600" s="7"/>
      <c r="D600" s="27"/>
      <c r="E600" s="17"/>
    </row>
    <row r="601" spans="1:7" x14ac:dyDescent="0.25">
      <c r="A601" s="42"/>
      <c r="B601" s="45"/>
      <c r="C601" s="7"/>
      <c r="D601" s="27"/>
      <c r="E601" s="14"/>
    </row>
    <row r="602" spans="1:7" x14ac:dyDescent="0.25">
      <c r="A602" s="42"/>
      <c r="B602" s="45"/>
      <c r="C602" s="7"/>
      <c r="D602" s="27"/>
      <c r="E602" s="14"/>
      <c r="F602" s="39"/>
    </row>
    <row r="603" spans="1:7" x14ac:dyDescent="0.25">
      <c r="A603" s="42"/>
      <c r="B603" s="45"/>
      <c r="C603" s="7"/>
      <c r="D603" s="27"/>
      <c r="E603" s="14"/>
    </row>
    <row r="604" spans="1:7" x14ac:dyDescent="0.25">
      <c r="A604" s="42"/>
      <c r="B604" s="45"/>
      <c r="C604" s="7"/>
      <c r="D604" s="27"/>
      <c r="E604" s="17"/>
    </row>
    <row r="605" spans="1:7" x14ac:dyDescent="0.25">
      <c r="A605" s="42"/>
      <c r="B605" s="45"/>
      <c r="C605" s="7"/>
      <c r="D605" s="27"/>
      <c r="E605" s="108"/>
    </row>
    <row r="606" spans="1:7" s="109" customFormat="1" x14ac:dyDescent="0.25">
      <c r="A606" s="42"/>
      <c r="B606" s="45"/>
      <c r="C606" s="7"/>
      <c r="D606" s="27"/>
      <c r="E606" s="14"/>
      <c r="F606" s="39"/>
    </row>
    <row r="607" spans="1:7" s="109" customFormat="1" x14ac:dyDescent="0.25">
      <c r="A607" s="42"/>
      <c r="B607" s="45"/>
      <c r="C607" s="7"/>
      <c r="D607" s="27"/>
      <c r="E607" s="14"/>
    </row>
    <row r="608" spans="1:7" x14ac:dyDescent="0.25">
      <c r="A608" s="42"/>
      <c r="B608" s="45"/>
      <c r="C608" s="7"/>
      <c r="D608" s="27"/>
      <c r="E608" s="17"/>
    </row>
    <row r="609" spans="1:6" x14ac:dyDescent="0.25">
      <c r="A609" s="42"/>
      <c r="B609" s="45"/>
      <c r="C609" s="7"/>
      <c r="D609" s="27"/>
      <c r="E609" s="14"/>
    </row>
    <row r="610" spans="1:6" x14ac:dyDescent="0.25">
      <c r="A610" s="42"/>
      <c r="B610" s="45"/>
      <c r="C610" s="7"/>
      <c r="D610" s="27"/>
      <c r="E610" s="14"/>
      <c r="F610" s="39"/>
    </row>
    <row r="611" spans="1:6" x14ac:dyDescent="0.25">
      <c r="A611" s="41"/>
      <c r="B611" s="45"/>
      <c r="C611" s="46"/>
      <c r="D611" s="47"/>
      <c r="E611" s="14"/>
    </row>
    <row r="612" spans="1:6" x14ac:dyDescent="0.25">
      <c r="A612" s="42"/>
      <c r="B612" s="45"/>
      <c r="C612" s="31"/>
      <c r="D612" s="31"/>
      <c r="E612" s="17"/>
    </row>
    <row r="613" spans="1:6" x14ac:dyDescent="0.25">
      <c r="A613" s="42"/>
      <c r="B613" s="45"/>
      <c r="C613" s="16"/>
      <c r="D613" s="16"/>
      <c r="E613" s="14"/>
    </row>
    <row r="614" spans="1:6" x14ac:dyDescent="0.25">
      <c r="A614" s="42"/>
      <c r="B614" s="45"/>
      <c r="C614" s="7"/>
      <c r="D614" s="25"/>
      <c r="E614" s="14"/>
      <c r="F614" s="39"/>
    </row>
    <row r="615" spans="1:6" x14ac:dyDescent="0.25">
      <c r="A615" s="42"/>
      <c r="B615" s="45"/>
      <c r="C615" s="7"/>
      <c r="D615" s="25"/>
      <c r="E615" s="14"/>
    </row>
    <row r="616" spans="1:6" x14ac:dyDescent="0.25">
      <c r="A616" s="42"/>
      <c r="B616" s="41"/>
      <c r="C616" s="7"/>
      <c r="D616" s="25"/>
      <c r="E616" s="17"/>
    </row>
    <row r="617" spans="1:6" x14ac:dyDescent="0.25">
      <c r="A617" s="42"/>
      <c r="B617" s="45"/>
      <c r="C617" s="53"/>
      <c r="D617" s="29"/>
      <c r="E617" s="14"/>
    </row>
    <row r="618" spans="1:6" x14ac:dyDescent="0.25">
      <c r="A618" s="42"/>
      <c r="B618" s="45"/>
      <c r="C618" s="28"/>
      <c r="D618" s="28"/>
      <c r="E618" s="14"/>
      <c r="F618" s="39"/>
    </row>
    <row r="619" spans="1:6" x14ac:dyDescent="0.25">
      <c r="A619" s="42"/>
      <c r="B619" s="45"/>
      <c r="C619" s="16"/>
      <c r="D619" s="16"/>
      <c r="E619" s="14"/>
    </row>
    <row r="620" spans="1:6" x14ac:dyDescent="0.25">
      <c r="A620" s="42"/>
      <c r="B620" s="45"/>
      <c r="C620" s="7"/>
      <c r="D620" s="25"/>
      <c r="E620" s="17"/>
    </row>
    <row r="621" spans="1:6" x14ac:dyDescent="0.25">
      <c r="A621" s="42"/>
      <c r="B621" s="45"/>
      <c r="C621" s="7"/>
      <c r="D621" s="25"/>
      <c r="E621" s="14"/>
    </row>
    <row r="622" spans="1:6" x14ac:dyDescent="0.25">
      <c r="A622" s="42"/>
      <c r="B622" s="45"/>
      <c r="C622" s="7"/>
      <c r="D622" s="25"/>
      <c r="E622" s="14"/>
      <c r="F622" s="39"/>
    </row>
    <row r="623" spans="1:6" x14ac:dyDescent="0.25">
      <c r="A623" s="42"/>
      <c r="B623" s="45"/>
      <c r="C623" s="53"/>
      <c r="D623" s="29"/>
      <c r="E623" s="14"/>
    </row>
    <row r="624" spans="1:6" x14ac:dyDescent="0.25">
      <c r="A624" s="42"/>
      <c r="B624" s="45"/>
      <c r="C624" s="28"/>
      <c r="D624" s="28"/>
      <c r="E624" s="17"/>
    </row>
    <row r="625" spans="1:6" x14ac:dyDescent="0.25">
      <c r="A625" s="42"/>
      <c r="B625" s="45"/>
      <c r="C625" s="16"/>
      <c r="D625" s="16"/>
      <c r="E625" s="14"/>
    </row>
    <row r="626" spans="1:6" x14ac:dyDescent="0.25">
      <c r="A626" s="42"/>
      <c r="B626" s="45"/>
      <c r="C626" s="7"/>
      <c r="D626" s="25"/>
      <c r="E626" s="14"/>
      <c r="F626" s="39"/>
    </row>
    <row r="627" spans="1:6" x14ac:dyDescent="0.25">
      <c r="A627" s="42"/>
      <c r="B627" s="45"/>
      <c r="C627" s="7"/>
      <c r="D627" s="25"/>
      <c r="E627" s="14"/>
    </row>
    <row r="628" spans="1:6" x14ac:dyDescent="0.25">
      <c r="A628" s="42"/>
      <c r="B628" s="45"/>
      <c r="C628" s="7"/>
      <c r="D628" s="25"/>
      <c r="E628" s="14"/>
    </row>
    <row r="629" spans="1:6" x14ac:dyDescent="0.25">
      <c r="A629" s="42"/>
      <c r="B629" s="45"/>
      <c r="C629" s="53"/>
      <c r="D629" s="29"/>
      <c r="E629" s="17"/>
    </row>
    <row r="630" spans="1:6" x14ac:dyDescent="0.25">
      <c r="A630" s="42"/>
      <c r="B630" s="45"/>
      <c r="C630" s="28"/>
      <c r="D630" s="28"/>
      <c r="E630" s="14"/>
    </row>
    <row r="631" spans="1:6" x14ac:dyDescent="0.25">
      <c r="A631" s="49"/>
      <c r="B631" s="45"/>
      <c r="C631" s="16"/>
      <c r="D631" s="16"/>
      <c r="E631" s="14"/>
      <c r="F631" s="39"/>
    </row>
    <row r="632" spans="1:6" x14ac:dyDescent="0.25">
      <c r="A632" s="42"/>
      <c r="B632" s="45"/>
      <c r="C632" s="7"/>
      <c r="D632" s="25"/>
      <c r="E632" s="14"/>
    </row>
    <row r="633" spans="1:6" x14ac:dyDescent="0.25">
      <c r="A633" s="41"/>
      <c r="B633" s="45"/>
      <c r="C633" s="7"/>
      <c r="D633" s="25"/>
      <c r="E633" s="14"/>
    </row>
    <row r="634" spans="1:6" x14ac:dyDescent="0.25">
      <c r="A634" s="42"/>
      <c r="B634" s="45"/>
      <c r="C634" s="7"/>
      <c r="D634" s="25"/>
      <c r="E634" s="14"/>
    </row>
    <row r="635" spans="1:6" x14ac:dyDescent="0.25">
      <c r="A635" s="42"/>
      <c r="B635" s="45"/>
      <c r="C635" s="53"/>
      <c r="D635" s="29"/>
      <c r="E635" s="14"/>
    </row>
    <row r="636" spans="1:6" x14ac:dyDescent="0.25">
      <c r="A636" s="42"/>
      <c r="B636" s="51"/>
      <c r="C636" s="28"/>
      <c r="D636" s="28"/>
      <c r="E636" s="17"/>
    </row>
    <row r="637" spans="1:6" x14ac:dyDescent="0.25">
      <c r="A637" s="49"/>
      <c r="B637" s="45"/>
      <c r="C637" s="16"/>
      <c r="D637" s="16"/>
      <c r="E637" s="17"/>
    </row>
    <row r="638" spans="1:6" x14ac:dyDescent="0.25">
      <c r="A638" s="42"/>
      <c r="B638" s="41"/>
      <c r="C638" s="7"/>
      <c r="D638" s="25"/>
      <c r="E638" s="14"/>
      <c r="F638" s="39"/>
    </row>
    <row r="639" spans="1:6" x14ac:dyDescent="0.25">
      <c r="A639" s="41"/>
      <c r="B639" s="45"/>
      <c r="C639" s="7"/>
      <c r="D639" s="25"/>
      <c r="E639" s="14"/>
      <c r="F639" s="39"/>
    </row>
    <row r="640" spans="1:6" x14ac:dyDescent="0.25">
      <c r="A640" s="42"/>
      <c r="B640" s="45"/>
      <c r="C640" s="7"/>
      <c r="D640" s="25"/>
      <c r="E640" s="17"/>
    </row>
    <row r="641" spans="1:6" x14ac:dyDescent="0.25">
      <c r="A641" s="42"/>
      <c r="B641" s="45"/>
      <c r="C641" s="53"/>
      <c r="D641" s="29"/>
      <c r="E641" s="17"/>
    </row>
    <row r="642" spans="1:6" x14ac:dyDescent="0.25">
      <c r="A642" s="42"/>
      <c r="B642" s="51"/>
      <c r="C642" s="28"/>
      <c r="D642" s="28"/>
      <c r="E642" s="14"/>
      <c r="F642" s="39"/>
    </row>
    <row r="643" spans="1:6" x14ac:dyDescent="0.25">
      <c r="A643" s="49"/>
      <c r="B643" s="45"/>
      <c r="C643" s="16"/>
      <c r="D643" s="16"/>
      <c r="E643" s="14"/>
      <c r="F643" s="39"/>
    </row>
    <row r="644" spans="1:6" x14ac:dyDescent="0.25">
      <c r="A644" s="42"/>
      <c r="B644" s="41"/>
      <c r="C644" s="7"/>
      <c r="D644" s="25"/>
      <c r="E644" s="17"/>
    </row>
    <row r="645" spans="1:6" x14ac:dyDescent="0.25">
      <c r="A645" s="41"/>
      <c r="B645" s="45"/>
      <c r="C645" s="7"/>
      <c r="D645" s="25"/>
      <c r="E645" s="17"/>
    </row>
    <row r="646" spans="1:6" x14ac:dyDescent="0.25">
      <c r="A646" s="42"/>
      <c r="B646" s="45"/>
      <c r="C646" s="7"/>
      <c r="D646" s="25"/>
      <c r="E646" s="14"/>
      <c r="F646" s="39"/>
    </row>
    <row r="647" spans="1:6" x14ac:dyDescent="0.25">
      <c r="A647" s="42"/>
      <c r="B647" s="45"/>
      <c r="C647" s="53"/>
      <c r="D647" s="29"/>
      <c r="E647" s="14"/>
      <c r="F647" s="39"/>
    </row>
    <row r="648" spans="1:6" x14ac:dyDescent="0.25">
      <c r="A648" s="42"/>
      <c r="B648" s="51"/>
      <c r="C648" s="28"/>
      <c r="D648" s="28"/>
      <c r="E648" s="17"/>
    </row>
    <row r="649" spans="1:6" x14ac:dyDescent="0.25">
      <c r="A649" s="49"/>
      <c r="B649" s="45"/>
      <c r="C649" s="16"/>
      <c r="D649" s="16"/>
      <c r="E649" s="17"/>
    </row>
    <row r="650" spans="1:6" x14ac:dyDescent="0.25">
      <c r="A650" s="42"/>
      <c r="B650" s="41"/>
      <c r="C650" s="7"/>
      <c r="D650" s="25"/>
      <c r="E650" s="14"/>
      <c r="F650" s="39"/>
    </row>
    <row r="651" spans="1:6" x14ac:dyDescent="0.25">
      <c r="A651" s="41"/>
      <c r="B651" s="45"/>
      <c r="C651" s="7"/>
      <c r="D651" s="25"/>
      <c r="E651" s="14"/>
      <c r="F651" s="39"/>
    </row>
    <row r="652" spans="1:6" x14ac:dyDescent="0.25">
      <c r="A652" s="42"/>
      <c r="B652" s="45"/>
      <c r="C652" s="7"/>
      <c r="D652" s="25"/>
      <c r="E652" s="17"/>
    </row>
    <row r="653" spans="1:6" x14ac:dyDescent="0.25">
      <c r="A653" s="42"/>
      <c r="B653" s="45"/>
      <c r="C653" s="53"/>
      <c r="D653" s="29"/>
      <c r="E653" s="14"/>
    </row>
    <row r="654" spans="1:6" x14ac:dyDescent="0.25">
      <c r="A654" s="42"/>
      <c r="B654" s="51"/>
      <c r="C654" s="28"/>
      <c r="D654" s="28"/>
      <c r="E654" s="14"/>
      <c r="F654" s="39"/>
    </row>
    <row r="655" spans="1:6" x14ac:dyDescent="0.25">
      <c r="A655" s="49"/>
      <c r="B655" s="45"/>
      <c r="C655" s="16"/>
      <c r="D655" s="16"/>
      <c r="E655" s="14"/>
    </row>
    <row r="656" spans="1:6" x14ac:dyDescent="0.25">
      <c r="A656" s="42"/>
      <c r="B656" s="41"/>
      <c r="C656" s="7"/>
      <c r="D656" s="25"/>
      <c r="E656" s="14"/>
    </row>
    <row r="657" spans="1:5" x14ac:dyDescent="0.25">
      <c r="A657" s="41"/>
      <c r="B657" s="45"/>
      <c r="C657" s="7"/>
      <c r="D657" s="25"/>
      <c r="E657" s="14"/>
    </row>
    <row r="658" spans="1:5" x14ac:dyDescent="0.25">
      <c r="A658" s="42"/>
      <c r="B658" s="45"/>
      <c r="C658" s="7"/>
      <c r="D658" s="25"/>
      <c r="E658" s="14"/>
    </row>
    <row r="659" spans="1:5" x14ac:dyDescent="0.25">
      <c r="A659" s="42"/>
      <c r="B659" s="45"/>
      <c r="C659" s="53"/>
      <c r="D659" s="29"/>
      <c r="E659" s="14"/>
    </row>
    <row r="660" spans="1:5" x14ac:dyDescent="0.25">
      <c r="A660" s="42"/>
      <c r="B660" s="51"/>
      <c r="C660" s="28"/>
      <c r="D660" s="28"/>
      <c r="E660" s="14"/>
    </row>
    <row r="661" spans="1:5" x14ac:dyDescent="0.25">
      <c r="A661" s="49"/>
      <c r="B661" s="45"/>
      <c r="C661" s="16"/>
      <c r="D661" s="16"/>
      <c r="E661" s="14"/>
    </row>
    <row r="662" spans="1:5" x14ac:dyDescent="0.25">
      <c r="A662" s="42"/>
      <c r="B662" s="41"/>
      <c r="C662" s="7"/>
      <c r="D662" s="25"/>
      <c r="E662" s="14"/>
    </row>
    <row r="663" spans="1:5" x14ac:dyDescent="0.25">
      <c r="A663" s="41"/>
      <c r="B663" s="45"/>
      <c r="C663" s="7"/>
      <c r="D663" s="25"/>
      <c r="E663" s="14"/>
    </row>
    <row r="664" spans="1:5" x14ac:dyDescent="0.25">
      <c r="A664" s="42"/>
      <c r="B664" s="45"/>
      <c r="C664" s="7"/>
      <c r="D664" s="25"/>
      <c r="E664" s="14"/>
    </row>
    <row r="665" spans="1:5" x14ac:dyDescent="0.25">
      <c r="A665" s="42"/>
      <c r="B665" s="45"/>
      <c r="C665" s="53"/>
      <c r="D665" s="29"/>
      <c r="E665" s="14"/>
    </row>
    <row r="666" spans="1:5" x14ac:dyDescent="0.25">
      <c r="A666" s="42"/>
      <c r="B666" s="51"/>
      <c r="C666" s="28"/>
      <c r="D666" s="28"/>
      <c r="E666" s="14"/>
    </row>
    <row r="667" spans="1:5" x14ac:dyDescent="0.25">
      <c r="A667" s="49"/>
      <c r="B667" s="45"/>
      <c r="C667" s="16"/>
      <c r="D667" s="16"/>
      <c r="E667" s="14"/>
    </row>
    <row r="668" spans="1:5" x14ac:dyDescent="0.25">
      <c r="A668" s="42"/>
      <c r="B668" s="41"/>
      <c r="C668" s="7"/>
      <c r="D668" s="25"/>
      <c r="E668" s="14"/>
    </row>
    <row r="669" spans="1:5" x14ac:dyDescent="0.25">
      <c r="A669" s="41"/>
      <c r="B669" s="45"/>
      <c r="C669" s="7"/>
      <c r="D669" s="25"/>
      <c r="E669" s="14"/>
    </row>
    <row r="670" spans="1:5" x14ac:dyDescent="0.25">
      <c r="A670" s="42"/>
      <c r="B670" s="45"/>
      <c r="C670" s="7"/>
      <c r="D670" s="25"/>
      <c r="E670" s="14"/>
    </row>
    <row r="671" spans="1:5" x14ac:dyDescent="0.25">
      <c r="A671" s="42"/>
      <c r="B671" s="45"/>
      <c r="C671" s="53"/>
      <c r="D671" s="29"/>
      <c r="E671" s="14"/>
    </row>
    <row r="672" spans="1:5" x14ac:dyDescent="0.25">
      <c r="A672" s="42"/>
      <c r="B672" s="51"/>
      <c r="C672" s="28"/>
      <c r="D672" s="28"/>
      <c r="E672" s="14"/>
    </row>
    <row r="673" spans="1:6" x14ac:dyDescent="0.25">
      <c r="A673" s="49"/>
      <c r="B673" s="45"/>
      <c r="C673" s="16"/>
      <c r="D673" s="16"/>
      <c r="E673" s="14"/>
    </row>
    <row r="674" spans="1:6" x14ac:dyDescent="0.25">
      <c r="A674" s="42"/>
      <c r="B674" s="41"/>
      <c r="C674" s="7"/>
      <c r="D674" s="25"/>
      <c r="E674" s="14"/>
    </row>
    <row r="675" spans="1:6" x14ac:dyDescent="0.25">
      <c r="A675" s="41"/>
      <c r="B675" s="45"/>
      <c r="C675" s="7"/>
      <c r="D675" s="25"/>
      <c r="E675" s="14"/>
    </row>
    <row r="676" spans="1:6" x14ac:dyDescent="0.25">
      <c r="A676" s="42"/>
      <c r="B676" s="45"/>
      <c r="C676" s="7"/>
      <c r="D676" s="25"/>
      <c r="E676" s="14"/>
      <c r="F676" s="44"/>
    </row>
    <row r="677" spans="1:6" x14ac:dyDescent="0.25">
      <c r="A677" s="42"/>
      <c r="B677" s="45"/>
      <c r="C677" s="53"/>
      <c r="D677" s="29"/>
      <c r="E677" s="17"/>
    </row>
    <row r="678" spans="1:6" x14ac:dyDescent="0.25">
      <c r="A678" s="42"/>
      <c r="B678" s="51"/>
      <c r="C678" s="28"/>
      <c r="D678" s="28"/>
      <c r="E678" s="14"/>
    </row>
    <row r="679" spans="1:6" s="3" customFormat="1" x14ac:dyDescent="0.25">
      <c r="A679" s="49"/>
      <c r="B679" s="45"/>
      <c r="C679" s="16"/>
      <c r="D679" s="16"/>
      <c r="E679" s="14"/>
    </row>
    <row r="680" spans="1:6" x14ac:dyDescent="0.25">
      <c r="A680" s="42"/>
      <c r="B680" s="41"/>
      <c r="C680" s="7"/>
      <c r="D680" s="25"/>
      <c r="E680" s="14"/>
    </row>
    <row r="681" spans="1:6" x14ac:dyDescent="0.25">
      <c r="A681" s="41"/>
      <c r="B681" s="45"/>
      <c r="C681" s="7"/>
      <c r="D681" s="25"/>
      <c r="E681" s="14"/>
      <c r="F681" s="39"/>
    </row>
    <row r="682" spans="1:6" x14ac:dyDescent="0.25">
      <c r="A682" s="42"/>
      <c r="B682" s="45"/>
      <c r="C682" s="7"/>
      <c r="D682" s="25"/>
      <c r="E682" s="17"/>
    </row>
    <row r="683" spans="1:6" x14ac:dyDescent="0.25">
      <c r="A683" s="42"/>
      <c r="B683" s="45"/>
      <c r="C683" s="53"/>
      <c r="D683" s="29"/>
      <c r="E683" s="14"/>
    </row>
    <row r="684" spans="1:6" s="3" customFormat="1" x14ac:dyDescent="0.25">
      <c r="A684" s="42"/>
      <c r="B684" s="51"/>
      <c r="C684" s="28"/>
      <c r="D684" s="28"/>
      <c r="E684" s="14"/>
    </row>
    <row r="685" spans="1:6" x14ac:dyDescent="0.25">
      <c r="A685" s="49"/>
      <c r="B685" s="45"/>
      <c r="C685" s="16"/>
      <c r="D685" s="16"/>
      <c r="E685" s="14"/>
    </row>
    <row r="686" spans="1:6" x14ac:dyDescent="0.25">
      <c r="A686" s="42"/>
      <c r="B686" s="41"/>
      <c r="C686" s="7"/>
      <c r="D686" s="25"/>
      <c r="E686" s="14"/>
    </row>
    <row r="687" spans="1:6" x14ac:dyDescent="0.25">
      <c r="A687" s="41"/>
      <c r="B687" s="45"/>
      <c r="C687" s="7"/>
      <c r="D687" s="25"/>
      <c r="E687" s="14"/>
    </row>
    <row r="688" spans="1:6" x14ac:dyDescent="0.25">
      <c r="A688" s="42"/>
      <c r="B688" s="45"/>
      <c r="C688" s="7"/>
      <c r="D688" s="25"/>
      <c r="E688" s="14"/>
    </row>
    <row r="689" spans="1:6" x14ac:dyDescent="0.25">
      <c r="A689" s="42"/>
      <c r="B689" s="45"/>
      <c r="C689" s="53"/>
      <c r="D689" s="29"/>
      <c r="E689" s="14"/>
    </row>
    <row r="690" spans="1:6" x14ac:dyDescent="0.25">
      <c r="A690" s="42"/>
      <c r="B690" s="51"/>
      <c r="C690" s="28"/>
      <c r="D690" s="28"/>
      <c r="E690" s="14"/>
    </row>
    <row r="691" spans="1:6" x14ac:dyDescent="0.25">
      <c r="A691" s="49"/>
      <c r="B691" s="45"/>
      <c r="C691" s="16"/>
      <c r="D691" s="16"/>
      <c r="E691" s="14"/>
    </row>
    <row r="692" spans="1:6" x14ac:dyDescent="0.25">
      <c r="A692" s="42"/>
      <c r="B692" s="41"/>
      <c r="C692" s="7"/>
      <c r="D692" s="25"/>
      <c r="E692" s="14"/>
    </row>
    <row r="693" spans="1:6" x14ac:dyDescent="0.25">
      <c r="A693" s="41"/>
      <c r="B693" s="45"/>
      <c r="C693" s="7"/>
      <c r="D693" s="25"/>
      <c r="E693" s="14"/>
      <c r="F693" s="39"/>
    </row>
    <row r="694" spans="1:6" x14ac:dyDescent="0.25">
      <c r="A694" s="42"/>
      <c r="B694" s="45"/>
      <c r="C694" s="7"/>
      <c r="D694" s="25"/>
      <c r="E694" s="14"/>
    </row>
    <row r="695" spans="1:6" x14ac:dyDescent="0.25">
      <c r="A695" s="42"/>
      <c r="B695" s="45"/>
      <c r="C695" s="53"/>
      <c r="D695" s="29"/>
      <c r="E695" s="14"/>
    </row>
    <row r="696" spans="1:6" x14ac:dyDescent="0.25">
      <c r="A696" s="42"/>
      <c r="B696" s="51"/>
      <c r="C696" s="28"/>
      <c r="D696" s="28"/>
      <c r="E696" s="17"/>
    </row>
    <row r="697" spans="1:6" x14ac:dyDescent="0.25">
      <c r="A697" s="49"/>
      <c r="B697" s="45"/>
      <c r="C697" s="16"/>
      <c r="D697" s="16"/>
      <c r="E697" s="14"/>
    </row>
    <row r="698" spans="1:6" s="3" customFormat="1" x14ac:dyDescent="0.25">
      <c r="A698" s="42"/>
      <c r="B698" s="41"/>
      <c r="C698" s="7"/>
      <c r="D698" s="25"/>
      <c r="E698" s="14"/>
    </row>
    <row r="699" spans="1:6" x14ac:dyDescent="0.25">
      <c r="A699" s="41"/>
      <c r="B699" s="45"/>
      <c r="C699" s="7"/>
      <c r="D699" s="25"/>
      <c r="E699" s="14"/>
    </row>
    <row r="700" spans="1:6" x14ac:dyDescent="0.25">
      <c r="A700" s="42"/>
      <c r="B700" s="45"/>
      <c r="C700" s="7"/>
      <c r="D700" s="25"/>
      <c r="E700" s="14"/>
    </row>
    <row r="701" spans="1:6" x14ac:dyDescent="0.25">
      <c r="A701" s="42"/>
      <c r="B701" s="45"/>
      <c r="C701" s="28"/>
      <c r="D701" s="29"/>
      <c r="E701" s="14"/>
    </row>
    <row r="702" spans="1:6" x14ac:dyDescent="0.25">
      <c r="A702" s="42"/>
      <c r="B702" s="51"/>
      <c r="C702" s="28"/>
      <c r="D702" s="28"/>
      <c r="E702" s="14"/>
    </row>
    <row r="703" spans="1:6" x14ac:dyDescent="0.25">
      <c r="A703" s="49"/>
      <c r="B703" s="45"/>
      <c r="C703" s="16"/>
      <c r="D703" s="16"/>
      <c r="E703" s="14"/>
    </row>
    <row r="704" spans="1:6" x14ac:dyDescent="0.25">
      <c r="A704" s="42"/>
      <c r="B704" s="41"/>
      <c r="C704" s="7"/>
      <c r="D704" s="25"/>
      <c r="E704" s="14"/>
    </row>
    <row r="705" spans="1:5" x14ac:dyDescent="0.25">
      <c r="A705" s="41"/>
      <c r="B705" s="45"/>
      <c r="C705" s="7"/>
      <c r="D705" s="25"/>
      <c r="E705" s="14"/>
    </row>
    <row r="706" spans="1:5" x14ac:dyDescent="0.25">
      <c r="A706" s="42"/>
      <c r="B706" s="45"/>
      <c r="C706" s="7"/>
      <c r="D706" s="25"/>
      <c r="E706" s="14"/>
    </row>
    <row r="707" spans="1:5" x14ac:dyDescent="0.25">
      <c r="A707" s="42"/>
      <c r="B707" s="45"/>
      <c r="C707" s="28"/>
      <c r="D707" s="29"/>
      <c r="E707" s="14"/>
    </row>
    <row r="708" spans="1:5" x14ac:dyDescent="0.25">
      <c r="A708" s="42"/>
      <c r="B708" s="51"/>
      <c r="C708" s="28"/>
      <c r="D708" s="28"/>
      <c r="E708" s="14"/>
    </row>
    <row r="709" spans="1:5" x14ac:dyDescent="0.25">
      <c r="A709" s="49"/>
      <c r="B709" s="45"/>
      <c r="C709" s="16"/>
      <c r="D709" s="16"/>
      <c r="E709" s="14"/>
    </row>
    <row r="710" spans="1:5" x14ac:dyDescent="0.25">
      <c r="A710" s="42"/>
      <c r="B710" s="41"/>
      <c r="C710" s="7"/>
      <c r="D710" s="25"/>
      <c r="E710" s="14"/>
    </row>
    <row r="711" spans="1:5" x14ac:dyDescent="0.25">
      <c r="A711" s="41"/>
      <c r="B711" s="45"/>
      <c r="C711" s="7"/>
      <c r="D711" s="25"/>
      <c r="E711" s="14"/>
    </row>
    <row r="712" spans="1:5" x14ac:dyDescent="0.25">
      <c r="A712" s="42"/>
      <c r="B712" s="45"/>
      <c r="C712" s="7"/>
      <c r="D712" s="25"/>
      <c r="E712" s="14"/>
    </row>
    <row r="713" spans="1:5" x14ac:dyDescent="0.25">
      <c r="A713" s="42"/>
      <c r="B713" s="45"/>
      <c r="C713" s="28"/>
      <c r="D713" s="29"/>
      <c r="E713" s="14"/>
    </row>
    <row r="714" spans="1:5" x14ac:dyDescent="0.25">
      <c r="A714" s="42"/>
      <c r="B714" s="51"/>
      <c r="C714" s="28"/>
      <c r="D714" s="28"/>
      <c r="E714" s="14"/>
    </row>
    <row r="715" spans="1:5" x14ac:dyDescent="0.25">
      <c r="A715" s="49"/>
      <c r="B715" s="45"/>
      <c r="C715" s="16"/>
      <c r="D715" s="16"/>
      <c r="E715" s="14"/>
    </row>
    <row r="716" spans="1:5" x14ac:dyDescent="0.25">
      <c r="A716" s="42"/>
      <c r="B716" s="41"/>
      <c r="C716" s="7"/>
      <c r="D716" s="25"/>
      <c r="E716" s="14"/>
    </row>
    <row r="717" spans="1:5" x14ac:dyDescent="0.25">
      <c r="A717" s="41"/>
      <c r="B717" s="45"/>
      <c r="C717" s="7"/>
      <c r="D717" s="25"/>
      <c r="E717" s="14"/>
    </row>
    <row r="718" spans="1:5" x14ac:dyDescent="0.25">
      <c r="A718" s="42"/>
      <c r="B718" s="45"/>
      <c r="C718" s="7"/>
      <c r="D718" s="25"/>
      <c r="E718" s="14"/>
    </row>
    <row r="719" spans="1:5" x14ac:dyDescent="0.25">
      <c r="A719" s="42"/>
      <c r="B719" s="45"/>
      <c r="C719" s="28"/>
      <c r="D719" s="29"/>
      <c r="E719" s="14"/>
    </row>
    <row r="720" spans="1:5" x14ac:dyDescent="0.25">
      <c r="A720" s="42"/>
      <c r="B720" s="51"/>
      <c r="C720" s="28"/>
      <c r="D720" s="28"/>
      <c r="E720" s="14"/>
    </row>
    <row r="721" spans="1:6" x14ac:dyDescent="0.25">
      <c r="A721" s="42"/>
      <c r="B721" s="45"/>
      <c r="C721" s="16"/>
      <c r="D721" s="16"/>
      <c r="E721" s="14"/>
    </row>
    <row r="722" spans="1:6" x14ac:dyDescent="0.25">
      <c r="A722" s="42"/>
      <c r="B722" s="41"/>
      <c r="C722" s="7"/>
      <c r="D722" s="25"/>
      <c r="E722" s="14"/>
      <c r="F722" s="39"/>
    </row>
    <row r="723" spans="1:6" x14ac:dyDescent="0.25">
      <c r="A723" s="41"/>
      <c r="B723" s="45"/>
      <c r="C723" s="7"/>
      <c r="D723" s="25"/>
      <c r="E723" s="17"/>
    </row>
    <row r="724" spans="1:6" x14ac:dyDescent="0.25">
      <c r="A724" s="42"/>
      <c r="B724" s="45"/>
      <c r="C724" s="7"/>
      <c r="D724" s="25"/>
      <c r="E724" s="14"/>
    </row>
    <row r="725" spans="1:6" s="3" customFormat="1" x14ac:dyDescent="0.25">
      <c r="A725" s="42"/>
      <c r="B725" s="45"/>
      <c r="C725" s="28"/>
      <c r="D725" s="29"/>
      <c r="E725" s="14"/>
    </row>
    <row r="726" spans="1:6" x14ac:dyDescent="0.25">
      <c r="A726" s="42"/>
      <c r="B726" s="45"/>
      <c r="C726" s="28"/>
      <c r="D726" s="54"/>
      <c r="E726" s="55"/>
    </row>
    <row r="727" spans="1:6" x14ac:dyDescent="0.25">
      <c r="A727" s="42"/>
      <c r="B727" s="45"/>
      <c r="C727" s="16"/>
      <c r="D727" s="16"/>
      <c r="E727" s="55"/>
    </row>
    <row r="728" spans="1:6" x14ac:dyDescent="0.25">
      <c r="A728" s="42"/>
      <c r="B728" s="41"/>
      <c r="C728" s="7"/>
      <c r="D728" s="25"/>
      <c r="E728" s="55"/>
    </row>
    <row r="729" spans="1:6" x14ac:dyDescent="0.25">
      <c r="A729" s="41"/>
      <c r="B729" s="45"/>
      <c r="C729" s="7"/>
      <c r="D729" s="25"/>
      <c r="E729" s="55"/>
    </row>
    <row r="730" spans="1:6" x14ac:dyDescent="0.25">
      <c r="A730" s="42"/>
      <c r="B730" s="45"/>
      <c r="C730" s="7"/>
      <c r="D730" s="25"/>
      <c r="E730" s="55"/>
    </row>
    <row r="731" spans="1:6" x14ac:dyDescent="0.25">
      <c r="A731" s="42"/>
      <c r="B731" s="45"/>
      <c r="C731" s="28"/>
      <c r="D731" s="29"/>
      <c r="E731" s="55"/>
    </row>
    <row r="732" spans="1:6" x14ac:dyDescent="0.25">
      <c r="A732" s="42"/>
      <c r="B732" s="45"/>
      <c r="C732" s="28"/>
      <c r="D732" s="28"/>
      <c r="E732" s="55"/>
    </row>
    <row r="733" spans="1:6" x14ac:dyDescent="0.25">
      <c r="A733" s="42"/>
      <c r="B733" s="45"/>
      <c r="C733" s="16"/>
      <c r="D733" s="16"/>
      <c r="E733" s="55"/>
    </row>
    <row r="734" spans="1:6" x14ac:dyDescent="0.25">
      <c r="A734" s="42"/>
      <c r="B734" s="41"/>
      <c r="C734" s="7"/>
      <c r="D734" s="25"/>
      <c r="E734" s="55"/>
    </row>
    <row r="735" spans="1:6" x14ac:dyDescent="0.25">
      <c r="A735" s="41"/>
      <c r="B735" s="45"/>
      <c r="C735" s="7"/>
      <c r="D735" s="25"/>
      <c r="E735" s="55"/>
    </row>
    <row r="736" spans="1:6" x14ac:dyDescent="0.25">
      <c r="A736" s="42"/>
      <c r="B736" s="45"/>
      <c r="C736" s="7"/>
      <c r="D736" s="25"/>
      <c r="E736" s="55"/>
    </row>
    <row r="737" spans="1:5" x14ac:dyDescent="0.25">
      <c r="A737" s="42"/>
      <c r="B737" s="45"/>
      <c r="C737" s="28"/>
      <c r="D737" s="29"/>
      <c r="E737" s="55"/>
    </row>
    <row r="738" spans="1:5" x14ac:dyDescent="0.25">
      <c r="A738" s="42"/>
      <c r="B738" s="45"/>
      <c r="C738" s="28"/>
      <c r="D738" s="28"/>
      <c r="E738" s="55"/>
    </row>
    <row r="739" spans="1:5" x14ac:dyDescent="0.25">
      <c r="A739" s="42"/>
      <c r="B739" s="45"/>
      <c r="C739" s="16"/>
      <c r="D739" s="16"/>
      <c r="E739" s="55"/>
    </row>
    <row r="740" spans="1:5" x14ac:dyDescent="0.25">
      <c r="A740" s="42"/>
      <c r="B740" s="41"/>
      <c r="C740" s="7"/>
      <c r="D740" s="25"/>
      <c r="E740" s="55"/>
    </row>
    <row r="741" spans="1:5" x14ac:dyDescent="0.25">
      <c r="A741" s="41"/>
      <c r="B741" s="45"/>
      <c r="C741" s="7"/>
      <c r="D741" s="25"/>
      <c r="E741" s="55"/>
    </row>
    <row r="742" spans="1:5" x14ac:dyDescent="0.25">
      <c r="A742" s="42"/>
      <c r="B742" s="45"/>
      <c r="C742" s="7"/>
      <c r="D742" s="25"/>
      <c r="E742" s="55"/>
    </row>
    <row r="743" spans="1:5" x14ac:dyDescent="0.25">
      <c r="A743" s="42"/>
      <c r="B743" s="45"/>
      <c r="C743" s="28"/>
      <c r="D743" s="29"/>
      <c r="E743" s="55"/>
    </row>
    <row r="744" spans="1:5" x14ac:dyDescent="0.25">
      <c r="A744" s="42"/>
      <c r="B744" s="45"/>
      <c r="C744" s="28"/>
      <c r="D744" s="28"/>
      <c r="E744" s="55"/>
    </row>
    <row r="745" spans="1:5" x14ac:dyDescent="0.25">
      <c r="A745" s="42"/>
      <c r="B745" s="45"/>
      <c r="C745" s="16"/>
      <c r="D745" s="16"/>
      <c r="E745" s="55"/>
    </row>
    <row r="746" spans="1:5" x14ac:dyDescent="0.25">
      <c r="A746" s="42"/>
      <c r="B746" s="41"/>
      <c r="C746" s="7"/>
      <c r="D746" s="25"/>
      <c r="E746" s="55"/>
    </row>
    <row r="747" spans="1:5" x14ac:dyDescent="0.25">
      <c r="A747" s="41"/>
      <c r="B747" s="45"/>
      <c r="C747" s="7"/>
      <c r="D747" s="25"/>
      <c r="E747" s="55"/>
    </row>
    <row r="748" spans="1:5" x14ac:dyDescent="0.25">
      <c r="A748" s="42"/>
      <c r="B748" s="45"/>
      <c r="C748" s="7"/>
      <c r="D748" s="25"/>
      <c r="E748" s="55"/>
    </row>
    <row r="749" spans="1:5" x14ac:dyDescent="0.25">
      <c r="A749" s="42"/>
      <c r="B749" s="45"/>
      <c r="C749" s="28"/>
      <c r="D749" s="29"/>
      <c r="E749" s="55"/>
    </row>
    <row r="750" spans="1:5" x14ac:dyDescent="0.25">
      <c r="A750" s="42"/>
      <c r="B750" s="45"/>
      <c r="C750" s="28"/>
      <c r="D750" s="28"/>
      <c r="E750" s="55"/>
    </row>
    <row r="751" spans="1:5" x14ac:dyDescent="0.25">
      <c r="A751" s="42"/>
      <c r="B751" s="45"/>
      <c r="C751" s="16"/>
      <c r="D751" s="16"/>
      <c r="E751" s="55"/>
    </row>
    <row r="752" spans="1:5" x14ac:dyDescent="0.25">
      <c r="A752" s="42"/>
      <c r="B752" s="41"/>
      <c r="C752" s="7"/>
      <c r="D752" s="25"/>
      <c r="E752" s="55"/>
    </row>
    <row r="753" spans="1:5" x14ac:dyDescent="0.25">
      <c r="A753" s="41"/>
      <c r="B753" s="45"/>
      <c r="C753" s="7"/>
      <c r="D753" s="25"/>
      <c r="E753" s="55"/>
    </row>
    <row r="754" spans="1:5" x14ac:dyDescent="0.25">
      <c r="A754" s="50"/>
      <c r="B754" s="45"/>
      <c r="C754" s="7"/>
      <c r="D754" s="25"/>
      <c r="E754" s="55"/>
    </row>
    <row r="755" spans="1:5" x14ac:dyDescent="0.25">
      <c r="A755" s="50"/>
      <c r="B755" s="45"/>
      <c r="C755" s="28"/>
      <c r="D755" s="29"/>
      <c r="E755" s="55"/>
    </row>
    <row r="756" spans="1:5" x14ac:dyDescent="0.25">
      <c r="A756" s="50"/>
      <c r="B756" s="45"/>
      <c r="C756" s="28"/>
      <c r="D756" s="28"/>
      <c r="E756" s="55"/>
    </row>
    <row r="757" spans="1:5" x14ac:dyDescent="0.25">
      <c r="A757" s="42"/>
      <c r="B757" s="45"/>
      <c r="C757" s="16"/>
      <c r="D757" s="16"/>
      <c r="E757" s="55"/>
    </row>
    <row r="758" spans="1:5" x14ac:dyDescent="0.25">
      <c r="A758" s="42"/>
      <c r="B758" s="41"/>
      <c r="C758" s="7"/>
      <c r="D758" s="25"/>
      <c r="E758" s="14"/>
    </row>
    <row r="759" spans="1:5" x14ac:dyDescent="0.25">
      <c r="A759" s="41"/>
      <c r="B759" s="45"/>
      <c r="C759" s="7"/>
      <c r="D759" s="25"/>
      <c r="E759" s="14"/>
    </row>
    <row r="760" spans="1:5" x14ac:dyDescent="0.25">
      <c r="B760" s="45"/>
      <c r="C760" s="7"/>
      <c r="D760" s="25"/>
      <c r="E760" s="14"/>
    </row>
    <row r="761" spans="1:5" x14ac:dyDescent="0.25">
      <c r="A761" s="50"/>
      <c r="B761" s="45"/>
      <c r="C761" s="28"/>
      <c r="D761" s="56"/>
      <c r="E761" s="14"/>
    </row>
    <row r="762" spans="1:5" x14ac:dyDescent="0.25">
      <c r="A762" s="50"/>
      <c r="B762" s="45"/>
      <c r="C762" s="28"/>
      <c r="D762" s="28"/>
      <c r="E762" s="14"/>
    </row>
    <row r="763" spans="1:5" x14ac:dyDescent="0.25">
      <c r="A763" s="42"/>
      <c r="B763" s="45"/>
      <c r="C763" s="16"/>
      <c r="D763" s="16"/>
      <c r="E763" s="14"/>
    </row>
    <row r="764" spans="1:5" x14ac:dyDescent="0.25">
      <c r="A764" s="42"/>
      <c r="B764" s="41"/>
      <c r="C764" s="7"/>
      <c r="D764" s="25"/>
      <c r="E764" s="17"/>
    </row>
    <row r="765" spans="1:5" x14ac:dyDescent="0.25">
      <c r="A765" s="41"/>
      <c r="B765" s="45"/>
      <c r="C765" s="7"/>
      <c r="D765" s="25"/>
      <c r="E765" s="14"/>
    </row>
    <row r="766" spans="1:5" s="3" customFormat="1" x14ac:dyDescent="0.25">
      <c r="A766" s="8"/>
      <c r="B766" s="45"/>
      <c r="C766" s="7"/>
      <c r="D766" s="25"/>
      <c r="E766" s="14"/>
    </row>
    <row r="767" spans="1:5" x14ac:dyDescent="0.25">
      <c r="A767" s="50"/>
      <c r="B767" s="45"/>
      <c r="C767" s="28"/>
      <c r="D767" s="56"/>
      <c r="E767" s="14"/>
    </row>
    <row r="768" spans="1:5" x14ac:dyDescent="0.25">
      <c r="A768" s="50"/>
      <c r="B768" s="45"/>
      <c r="C768" s="28"/>
      <c r="D768" s="28"/>
      <c r="E768" s="14"/>
    </row>
    <row r="769" spans="1:6" x14ac:dyDescent="0.25">
      <c r="A769" s="42"/>
      <c r="B769" s="45"/>
      <c r="C769" s="16"/>
      <c r="D769" s="16"/>
      <c r="E769" s="14"/>
      <c r="F769" s="39"/>
    </row>
    <row r="770" spans="1:6" x14ac:dyDescent="0.25">
      <c r="A770" s="42"/>
      <c r="B770" s="41"/>
      <c r="C770" s="7"/>
      <c r="D770" s="25"/>
      <c r="E770" s="17"/>
    </row>
    <row r="771" spans="1:6" x14ac:dyDescent="0.25">
      <c r="A771" s="41"/>
      <c r="B771" s="45"/>
      <c r="C771" s="7"/>
      <c r="D771" s="25"/>
      <c r="E771" s="14"/>
    </row>
    <row r="772" spans="1:6" s="3" customFormat="1" x14ac:dyDescent="0.25">
      <c r="A772" s="8"/>
      <c r="B772" s="45"/>
      <c r="C772" s="7"/>
      <c r="D772" s="25"/>
      <c r="E772" s="14"/>
    </row>
    <row r="773" spans="1:6" x14ac:dyDescent="0.25">
      <c r="A773" s="50"/>
      <c r="B773" s="45"/>
      <c r="C773" s="28"/>
      <c r="D773" s="56"/>
      <c r="E773" s="14"/>
    </row>
    <row r="774" spans="1:6" x14ac:dyDescent="0.25">
      <c r="A774" s="50"/>
      <c r="B774" s="45"/>
      <c r="C774" s="28"/>
      <c r="D774" s="54"/>
      <c r="E774" s="14"/>
    </row>
    <row r="775" spans="1:6" x14ac:dyDescent="0.25">
      <c r="A775" s="42"/>
      <c r="B775" s="45"/>
      <c r="C775" s="16"/>
      <c r="D775" s="16"/>
      <c r="E775" s="14"/>
      <c r="F775" s="39"/>
    </row>
    <row r="776" spans="1:6" x14ac:dyDescent="0.25">
      <c r="A776" s="42"/>
      <c r="B776" s="41"/>
      <c r="C776" s="7"/>
      <c r="D776" s="25"/>
      <c r="E776" s="17"/>
    </row>
    <row r="777" spans="1:6" x14ac:dyDescent="0.25">
      <c r="A777" s="41"/>
      <c r="B777" s="45"/>
      <c r="C777" s="7"/>
      <c r="D777" s="25"/>
      <c r="E777" s="14"/>
    </row>
    <row r="778" spans="1:6" s="3" customFormat="1" x14ac:dyDescent="0.25">
      <c r="A778" s="42"/>
      <c r="B778" s="45"/>
      <c r="C778" s="7"/>
      <c r="D778" s="25"/>
      <c r="E778" s="14"/>
    </row>
    <row r="779" spans="1:6" x14ac:dyDescent="0.25">
      <c r="A779" s="42"/>
      <c r="B779" s="45"/>
      <c r="C779" s="28"/>
      <c r="D779" s="29"/>
      <c r="E779" s="14"/>
    </row>
    <row r="780" spans="1:6" x14ac:dyDescent="0.25">
      <c r="A780" s="42"/>
      <c r="B780" s="45"/>
      <c r="C780" s="28"/>
      <c r="D780" s="28"/>
      <c r="E780" s="14"/>
    </row>
    <row r="781" spans="1:6" x14ac:dyDescent="0.25">
      <c r="A781" s="42"/>
      <c r="B781" s="45"/>
      <c r="C781" s="16"/>
      <c r="D781" s="16"/>
      <c r="E781" s="14"/>
      <c r="F781" s="39"/>
    </row>
    <row r="782" spans="1:6" x14ac:dyDescent="0.25">
      <c r="A782" s="42"/>
      <c r="B782" s="41"/>
      <c r="C782" s="7"/>
      <c r="D782" s="25"/>
      <c r="E782" s="17"/>
    </row>
    <row r="783" spans="1:6" x14ac:dyDescent="0.25">
      <c r="A783" s="41"/>
      <c r="B783" s="45"/>
      <c r="C783" s="7"/>
      <c r="D783" s="25"/>
      <c r="E783" s="14"/>
    </row>
    <row r="784" spans="1:6" s="3" customFormat="1" x14ac:dyDescent="0.25">
      <c r="A784" s="42"/>
      <c r="B784" s="45"/>
      <c r="C784" s="7"/>
      <c r="D784" s="25"/>
      <c r="E784" s="14"/>
    </row>
    <row r="785" spans="1:6" x14ac:dyDescent="0.25">
      <c r="A785" s="42"/>
      <c r="B785" s="45"/>
      <c r="C785" s="28"/>
      <c r="D785" s="29"/>
      <c r="E785" s="14"/>
    </row>
    <row r="786" spans="1:6" x14ac:dyDescent="0.25">
      <c r="A786" s="42"/>
      <c r="B786" s="45"/>
      <c r="C786" s="28"/>
      <c r="D786" s="54"/>
      <c r="E786" s="14"/>
    </row>
    <row r="787" spans="1:6" x14ac:dyDescent="0.25">
      <c r="A787" s="42"/>
      <c r="B787" s="45"/>
      <c r="C787" s="16"/>
      <c r="D787" s="16"/>
      <c r="E787" s="14"/>
      <c r="F787" s="39"/>
    </row>
    <row r="788" spans="1:6" x14ac:dyDescent="0.25">
      <c r="A788" s="42"/>
      <c r="B788" s="41"/>
      <c r="C788" s="7"/>
      <c r="D788" s="25"/>
      <c r="E788" s="17"/>
    </row>
    <row r="789" spans="1:6" x14ac:dyDescent="0.25">
      <c r="A789" s="41"/>
      <c r="B789" s="45"/>
      <c r="C789" s="7"/>
      <c r="D789" s="25"/>
      <c r="E789" s="14"/>
    </row>
    <row r="790" spans="1:6" s="3" customFormat="1" x14ac:dyDescent="0.25">
      <c r="A790" s="42"/>
      <c r="B790" s="45"/>
      <c r="C790" s="7"/>
      <c r="D790" s="25"/>
      <c r="E790" s="14"/>
    </row>
    <row r="791" spans="1:6" x14ac:dyDescent="0.25">
      <c r="A791" s="42"/>
      <c r="B791" s="45"/>
      <c r="C791" s="28"/>
      <c r="D791" s="29"/>
      <c r="E791" s="14"/>
    </row>
    <row r="792" spans="1:6" x14ac:dyDescent="0.25">
      <c r="A792" s="42"/>
      <c r="B792" s="45"/>
      <c r="C792" s="16"/>
      <c r="D792" s="16"/>
      <c r="E792" s="14"/>
    </row>
    <row r="793" spans="1:6" x14ac:dyDescent="0.25">
      <c r="A793" s="42"/>
      <c r="B793" s="45"/>
      <c r="C793" s="7"/>
      <c r="D793" s="25"/>
      <c r="E793" s="14"/>
      <c r="F793" s="39"/>
    </row>
    <row r="794" spans="1:6" x14ac:dyDescent="0.25">
      <c r="A794" s="42"/>
      <c r="B794" s="41"/>
      <c r="C794" s="7"/>
      <c r="D794" s="25"/>
      <c r="E794" s="17"/>
    </row>
    <row r="795" spans="1:6" x14ac:dyDescent="0.25">
      <c r="A795" s="41"/>
      <c r="B795" s="45"/>
      <c r="C795" s="7"/>
      <c r="D795" s="25"/>
      <c r="E795" s="14"/>
    </row>
    <row r="796" spans="1:6" s="3" customFormat="1" x14ac:dyDescent="0.25">
      <c r="A796" s="42"/>
      <c r="B796" s="45"/>
      <c r="C796" s="28"/>
      <c r="D796" s="29"/>
      <c r="E796" s="14"/>
    </row>
    <row r="797" spans="1:6" x14ac:dyDescent="0.25">
      <c r="A797" s="42"/>
      <c r="B797" s="45"/>
      <c r="C797" s="57"/>
      <c r="D797" s="57"/>
      <c r="E797" s="14"/>
    </row>
    <row r="798" spans="1:6" x14ac:dyDescent="0.25">
      <c r="A798" s="42"/>
      <c r="B798" s="45"/>
      <c r="C798" s="16"/>
      <c r="D798" s="16"/>
      <c r="E798" s="14"/>
    </row>
    <row r="799" spans="1:6" x14ac:dyDescent="0.25">
      <c r="A799" s="42"/>
      <c r="B799" s="45"/>
      <c r="C799" s="7"/>
      <c r="D799" s="25"/>
      <c r="E799" s="14"/>
      <c r="F799" s="39"/>
    </row>
    <row r="800" spans="1:6" x14ac:dyDescent="0.25">
      <c r="A800" s="42"/>
      <c r="B800" s="41"/>
      <c r="C800" s="7"/>
      <c r="D800" s="25"/>
      <c r="E800" s="17"/>
    </row>
    <row r="801" spans="1:6" x14ac:dyDescent="0.25">
      <c r="A801" s="41"/>
      <c r="B801" s="45"/>
      <c r="C801" s="7"/>
      <c r="D801" s="25"/>
      <c r="E801" s="14"/>
    </row>
    <row r="802" spans="1:6" s="3" customFormat="1" x14ac:dyDescent="0.25">
      <c r="A802" s="42"/>
      <c r="B802" s="45"/>
      <c r="C802" s="28"/>
      <c r="D802" s="29"/>
      <c r="E802" s="14"/>
    </row>
    <row r="803" spans="1:6" x14ac:dyDescent="0.25">
      <c r="A803" s="42"/>
      <c r="B803" s="45"/>
      <c r="C803" s="57"/>
      <c r="D803" s="57"/>
      <c r="E803" s="14"/>
    </row>
    <row r="804" spans="1:6" x14ac:dyDescent="0.25">
      <c r="A804" s="42"/>
      <c r="B804" s="45"/>
      <c r="C804" s="16"/>
      <c r="D804" s="16"/>
      <c r="E804" s="14"/>
    </row>
    <row r="805" spans="1:6" x14ac:dyDescent="0.25">
      <c r="A805" s="42"/>
      <c r="B805" s="45"/>
      <c r="C805" s="7"/>
      <c r="D805" s="25"/>
      <c r="E805" s="14"/>
      <c r="F805" s="39"/>
    </row>
    <row r="806" spans="1:6" x14ac:dyDescent="0.25">
      <c r="A806" s="42"/>
      <c r="B806" s="41"/>
      <c r="C806" s="7"/>
      <c r="D806" s="25"/>
      <c r="E806" s="17"/>
    </row>
    <row r="807" spans="1:6" x14ac:dyDescent="0.25">
      <c r="A807" s="41"/>
      <c r="B807" s="45"/>
      <c r="C807" s="7"/>
      <c r="D807" s="25"/>
      <c r="E807" s="14"/>
    </row>
    <row r="808" spans="1:6" s="3" customFormat="1" x14ac:dyDescent="0.25">
      <c r="A808" s="42"/>
      <c r="B808" s="45"/>
      <c r="C808" s="28"/>
      <c r="D808" s="29"/>
      <c r="E808" s="14"/>
    </row>
    <row r="809" spans="1:6" x14ac:dyDescent="0.25">
      <c r="A809" s="42"/>
      <c r="B809" s="45"/>
      <c r="C809" s="57"/>
      <c r="D809" s="57"/>
      <c r="E809" s="14"/>
    </row>
    <row r="810" spans="1:6" x14ac:dyDescent="0.25">
      <c r="A810" s="42"/>
      <c r="B810" s="45"/>
      <c r="C810" s="16"/>
      <c r="D810" s="16"/>
      <c r="E810" s="14"/>
    </row>
    <row r="811" spans="1:6" x14ac:dyDescent="0.25">
      <c r="A811" s="42"/>
      <c r="B811" s="45"/>
      <c r="C811" s="7"/>
      <c r="D811" s="25"/>
      <c r="E811" s="14"/>
      <c r="F811" s="39"/>
    </row>
    <row r="812" spans="1:6" x14ac:dyDescent="0.25">
      <c r="A812" s="41"/>
      <c r="B812" s="41"/>
      <c r="C812" s="7"/>
      <c r="D812" s="25"/>
      <c r="E812" s="17"/>
    </row>
    <row r="813" spans="1:6" x14ac:dyDescent="0.25">
      <c r="A813" s="42"/>
      <c r="B813" s="45"/>
      <c r="C813" s="7"/>
      <c r="D813" s="25"/>
      <c r="E813" s="14"/>
    </row>
    <row r="814" spans="1:6" s="3" customFormat="1" x14ac:dyDescent="0.25">
      <c r="A814" s="42"/>
      <c r="B814" s="45"/>
      <c r="C814" s="28"/>
      <c r="D814" s="29"/>
      <c r="E814" s="14"/>
    </row>
    <row r="815" spans="1:6" x14ac:dyDescent="0.25">
      <c r="A815" s="42"/>
      <c r="B815" s="45"/>
      <c r="C815" s="28"/>
      <c r="D815" s="28"/>
      <c r="E815" s="14"/>
    </row>
    <row r="816" spans="1:6" x14ac:dyDescent="0.25">
      <c r="B816" s="45"/>
      <c r="C816" s="16"/>
      <c r="D816" s="16"/>
      <c r="E816" s="14"/>
    </row>
    <row r="817" spans="1:6" x14ac:dyDescent="0.25">
      <c r="B817" s="41"/>
      <c r="C817" s="7"/>
      <c r="D817" s="25"/>
      <c r="E817" s="14"/>
      <c r="F817" s="39"/>
    </row>
    <row r="818" spans="1:6" x14ac:dyDescent="0.25">
      <c r="A818" s="41"/>
      <c r="B818" s="45"/>
      <c r="C818" s="7"/>
      <c r="D818" s="25"/>
      <c r="E818" s="17"/>
    </row>
    <row r="819" spans="1:6" x14ac:dyDescent="0.25">
      <c r="A819" s="42"/>
      <c r="B819" s="45"/>
      <c r="C819" s="7"/>
      <c r="D819" s="25"/>
      <c r="E819" s="14"/>
    </row>
    <row r="820" spans="1:6" s="3" customFormat="1" x14ac:dyDescent="0.25">
      <c r="A820" s="42"/>
      <c r="B820" s="45"/>
      <c r="C820" s="28"/>
      <c r="D820" s="29"/>
      <c r="E820" s="14"/>
    </row>
    <row r="821" spans="1:6" x14ac:dyDescent="0.25">
      <c r="A821" s="42"/>
      <c r="C821" s="57"/>
      <c r="D821" s="57"/>
      <c r="E821" s="14"/>
    </row>
    <row r="822" spans="1:6" x14ac:dyDescent="0.25">
      <c r="C822" s="16"/>
      <c r="D822" s="16"/>
      <c r="E822" s="14"/>
    </row>
    <row r="823" spans="1:6" x14ac:dyDescent="0.25">
      <c r="B823" s="41"/>
      <c r="C823" s="7"/>
      <c r="D823" s="25"/>
      <c r="E823" s="14"/>
      <c r="F823" s="39"/>
    </row>
    <row r="824" spans="1:6" x14ac:dyDescent="0.25">
      <c r="A824" s="41"/>
      <c r="B824" s="45"/>
      <c r="C824" s="7"/>
      <c r="D824" s="25"/>
      <c r="E824" s="17"/>
    </row>
    <row r="825" spans="1:6" x14ac:dyDescent="0.25">
      <c r="A825" s="42"/>
      <c r="B825" s="45"/>
      <c r="C825" s="7"/>
      <c r="D825" s="25"/>
      <c r="E825" s="14"/>
    </row>
    <row r="826" spans="1:6" s="3" customFormat="1" x14ac:dyDescent="0.25">
      <c r="A826" s="42"/>
      <c r="B826" s="45"/>
      <c r="C826" s="28"/>
      <c r="D826" s="29"/>
      <c r="E826" s="14"/>
    </row>
    <row r="827" spans="1:6" x14ac:dyDescent="0.25">
      <c r="A827" s="42"/>
      <c r="C827" s="57"/>
      <c r="D827" s="57"/>
      <c r="E827" s="14"/>
    </row>
    <row r="828" spans="1:6" x14ac:dyDescent="0.25">
      <c r="C828" s="16"/>
      <c r="D828" s="16"/>
      <c r="E828" s="14"/>
    </row>
    <row r="829" spans="1:6" x14ac:dyDescent="0.25">
      <c r="B829" s="41"/>
      <c r="C829" s="7"/>
      <c r="D829" s="25"/>
      <c r="E829" s="14"/>
      <c r="F829" s="39"/>
    </row>
    <row r="830" spans="1:6" x14ac:dyDescent="0.25">
      <c r="A830" s="41"/>
      <c r="B830" s="45"/>
      <c r="C830" s="7"/>
      <c r="D830" s="25"/>
      <c r="E830" s="17"/>
    </row>
    <row r="831" spans="1:6" x14ac:dyDescent="0.25">
      <c r="A831" s="42"/>
      <c r="B831" s="45"/>
      <c r="C831" s="7"/>
      <c r="D831" s="25"/>
      <c r="E831" s="14"/>
    </row>
    <row r="832" spans="1:6" s="3" customFormat="1" x14ac:dyDescent="0.25">
      <c r="A832" s="42"/>
      <c r="B832" s="45"/>
      <c r="C832" s="28"/>
      <c r="D832" s="29"/>
      <c r="E832" s="14"/>
    </row>
    <row r="833" spans="1:6" x14ac:dyDescent="0.25">
      <c r="A833" s="42"/>
      <c r="C833" s="57"/>
      <c r="D833" s="57"/>
      <c r="E833" s="14"/>
    </row>
    <row r="834" spans="1:6" x14ac:dyDescent="0.25">
      <c r="C834" s="16"/>
      <c r="D834" s="16"/>
      <c r="E834" s="14"/>
    </row>
    <row r="835" spans="1:6" x14ac:dyDescent="0.25">
      <c r="A835" s="42"/>
      <c r="B835" s="41"/>
      <c r="C835" s="7"/>
      <c r="D835" s="25"/>
      <c r="E835" s="14"/>
      <c r="F835" s="39"/>
    </row>
    <row r="836" spans="1:6" x14ac:dyDescent="0.25">
      <c r="A836" s="41"/>
      <c r="B836" s="45"/>
      <c r="C836" s="7"/>
      <c r="D836" s="25"/>
      <c r="E836" s="17"/>
    </row>
    <row r="837" spans="1:6" x14ac:dyDescent="0.25">
      <c r="A837" s="42"/>
      <c r="B837" s="45"/>
      <c r="C837" s="7"/>
      <c r="D837" s="25"/>
      <c r="E837" s="14"/>
    </row>
    <row r="838" spans="1:6" s="3" customFormat="1" x14ac:dyDescent="0.25">
      <c r="A838" s="42"/>
      <c r="B838" s="45"/>
      <c r="C838" s="28"/>
      <c r="D838" s="29"/>
      <c r="E838" s="14"/>
    </row>
    <row r="839" spans="1:6" x14ac:dyDescent="0.25">
      <c r="A839" s="42"/>
      <c r="C839" s="57"/>
      <c r="D839" s="57"/>
      <c r="E839" s="14"/>
    </row>
    <row r="840" spans="1:6" x14ac:dyDescent="0.25">
      <c r="B840" s="45"/>
      <c r="E840" s="14"/>
    </row>
    <row r="841" spans="1:6" x14ac:dyDescent="0.25">
      <c r="B841" s="41"/>
      <c r="E841" s="14"/>
      <c r="F841" s="39"/>
    </row>
    <row r="842" spans="1:6" x14ac:dyDescent="0.25">
      <c r="A842" s="41"/>
      <c r="B842" s="45"/>
      <c r="E842" s="17"/>
    </row>
    <row r="843" spans="1:6" x14ac:dyDescent="0.25">
      <c r="A843" s="42"/>
      <c r="B843" s="45"/>
      <c r="E843" s="14"/>
    </row>
    <row r="844" spans="1:6" s="3" customFormat="1" x14ac:dyDescent="0.25">
      <c r="A844" s="42"/>
      <c r="B844" s="45"/>
      <c r="C844" s="58"/>
      <c r="D844" s="58"/>
      <c r="E844" s="14"/>
    </row>
    <row r="845" spans="1:6" x14ac:dyDescent="0.25">
      <c r="A845" s="42"/>
      <c r="E845" s="14"/>
    </row>
    <row r="846" spans="1:6" x14ac:dyDescent="0.25">
      <c r="E846" s="14"/>
    </row>
    <row r="847" spans="1:6" x14ac:dyDescent="0.25">
      <c r="B847" s="41"/>
      <c r="E847" s="14"/>
      <c r="F847" s="39"/>
    </row>
    <row r="848" spans="1:6" x14ac:dyDescent="0.25">
      <c r="A848" s="41"/>
      <c r="B848" s="45"/>
      <c r="E848" s="17"/>
    </row>
    <row r="849" spans="1:6" x14ac:dyDescent="0.25">
      <c r="A849" s="42"/>
      <c r="B849" s="45"/>
      <c r="E849" s="14"/>
    </row>
    <row r="850" spans="1:6" s="3" customFormat="1" x14ac:dyDescent="0.25">
      <c r="A850" s="42"/>
      <c r="B850" s="45"/>
      <c r="C850" s="58"/>
      <c r="D850" s="58"/>
      <c r="E850" s="14"/>
    </row>
    <row r="851" spans="1:6" x14ac:dyDescent="0.25">
      <c r="A851" s="42"/>
      <c r="E851" s="14"/>
    </row>
    <row r="852" spans="1:6" x14ac:dyDescent="0.25">
      <c r="E852" s="14"/>
    </row>
    <row r="853" spans="1:6" x14ac:dyDescent="0.25">
      <c r="B853" s="41"/>
      <c r="E853" s="14"/>
      <c r="F853" s="39"/>
    </row>
    <row r="854" spans="1:6" x14ac:dyDescent="0.25">
      <c r="A854" s="41"/>
      <c r="B854" s="45"/>
      <c r="E854" s="17"/>
    </row>
    <row r="855" spans="1:6" x14ac:dyDescent="0.25">
      <c r="A855" s="42"/>
      <c r="B855" s="45"/>
      <c r="E855" s="14"/>
    </row>
    <row r="856" spans="1:6" x14ac:dyDescent="0.25">
      <c r="A856" s="42"/>
      <c r="B856" s="45"/>
      <c r="E856" s="14"/>
    </row>
    <row r="857" spans="1:6" x14ac:dyDescent="0.25">
      <c r="A857" s="42"/>
      <c r="E857" s="14"/>
    </row>
    <row r="858" spans="1:6" x14ac:dyDescent="0.25">
      <c r="E858" s="14"/>
    </row>
    <row r="859" spans="1:6" x14ac:dyDescent="0.25">
      <c r="B859" s="41"/>
      <c r="E859" s="14"/>
      <c r="F859" s="39"/>
    </row>
    <row r="860" spans="1:6" x14ac:dyDescent="0.25">
      <c r="B860" s="45"/>
      <c r="E860" s="17"/>
    </row>
    <row r="861" spans="1:6" x14ac:dyDescent="0.25">
      <c r="B861" s="45"/>
      <c r="E861" s="14"/>
    </row>
    <row r="862" spans="1:6" x14ac:dyDescent="0.25">
      <c r="B862" s="45"/>
      <c r="E862" s="14"/>
      <c r="F862" s="3"/>
    </row>
    <row r="863" spans="1:6" x14ac:dyDescent="0.25">
      <c r="E863" s="14"/>
    </row>
    <row r="864" spans="1:6" x14ac:dyDescent="0.25">
      <c r="E864" s="14"/>
    </row>
    <row r="865" spans="5:6" x14ac:dyDescent="0.25">
      <c r="E865" s="14"/>
      <c r="F865" s="39"/>
    </row>
    <row r="866" spans="5:6" x14ac:dyDescent="0.25">
      <c r="E866" s="17"/>
    </row>
    <row r="867" spans="5:6" x14ac:dyDescent="0.25">
      <c r="E867" s="14"/>
    </row>
    <row r="868" spans="5:6" x14ac:dyDescent="0.25">
      <c r="E868" s="14"/>
      <c r="F868" s="3"/>
    </row>
    <row r="869" spans="5:6" x14ac:dyDescent="0.25">
      <c r="E869" s="14"/>
    </row>
    <row r="870" spans="5:6" x14ac:dyDescent="0.25">
      <c r="E870" s="14"/>
    </row>
    <row r="871" spans="5:6" x14ac:dyDescent="0.25">
      <c r="E871" s="14"/>
      <c r="F871" s="39"/>
    </row>
    <row r="872" spans="5:6" x14ac:dyDescent="0.25">
      <c r="E872" s="17"/>
    </row>
    <row r="873" spans="5:6" x14ac:dyDescent="0.25">
      <c r="E873" s="14"/>
    </row>
    <row r="874" spans="5:6" x14ac:dyDescent="0.25">
      <c r="E874" s="14"/>
    </row>
    <row r="875" spans="5:6" x14ac:dyDescent="0.25">
      <c r="E875" s="14"/>
    </row>
    <row r="876" spans="5:6" x14ac:dyDescent="0.25">
      <c r="E876" s="14"/>
    </row>
    <row r="877" spans="5:6" x14ac:dyDescent="0.25">
      <c r="E877" s="14"/>
      <c r="F877" s="39"/>
    </row>
    <row r="878" spans="5:6" x14ac:dyDescent="0.25">
      <c r="E878" s="17"/>
    </row>
    <row r="879" spans="5:6" x14ac:dyDescent="0.25">
      <c r="E879" s="17"/>
    </row>
    <row r="880" spans="5:6" x14ac:dyDescent="0.25">
      <c r="E880" s="14"/>
    </row>
    <row r="881" spans="5:6" x14ac:dyDescent="0.25">
      <c r="E881" s="14"/>
    </row>
    <row r="882" spans="5:6" x14ac:dyDescent="0.25">
      <c r="E882" s="14"/>
    </row>
    <row r="883" spans="5:6" x14ac:dyDescent="0.25">
      <c r="E883" s="14"/>
      <c r="F883" s="39"/>
    </row>
    <row r="884" spans="5:6" x14ac:dyDescent="0.25">
      <c r="E884" s="17"/>
    </row>
    <row r="885" spans="5:6" x14ac:dyDescent="0.25">
      <c r="E885" s="14"/>
    </row>
    <row r="886" spans="5:6" x14ac:dyDescent="0.25">
      <c r="E886" s="14"/>
    </row>
    <row r="887" spans="5:6" x14ac:dyDescent="0.25">
      <c r="E887" s="14"/>
    </row>
    <row r="888" spans="5:6" x14ac:dyDescent="0.25">
      <c r="E888" s="14"/>
    </row>
    <row r="889" spans="5:6" x14ac:dyDescent="0.25">
      <c r="E889" s="14"/>
      <c r="F889" s="39"/>
    </row>
    <row r="890" spans="5:6" x14ac:dyDescent="0.25">
      <c r="E890" s="17"/>
    </row>
    <row r="891" spans="5:6" x14ac:dyDescent="0.25">
      <c r="E891" s="14"/>
    </row>
    <row r="892" spans="5:6" x14ac:dyDescent="0.25">
      <c r="E892" s="14"/>
    </row>
    <row r="893" spans="5:6" x14ac:dyDescent="0.25">
      <c r="E893" s="14"/>
    </row>
    <row r="894" spans="5:6" x14ac:dyDescent="0.25">
      <c r="E894" s="14"/>
    </row>
    <row r="895" spans="5:6" x14ac:dyDescent="0.25">
      <c r="E895" s="14"/>
      <c r="F895" s="39"/>
    </row>
    <row r="896" spans="5:6" x14ac:dyDescent="0.25">
      <c r="E896" s="17"/>
    </row>
    <row r="897" spans="5:6" x14ac:dyDescent="0.25">
      <c r="E897" s="14"/>
    </row>
    <row r="898" spans="5:6" x14ac:dyDescent="0.25">
      <c r="E898" s="14"/>
    </row>
    <row r="899" spans="5:6" x14ac:dyDescent="0.25">
      <c r="E899" s="14"/>
    </row>
    <row r="900" spans="5:6" x14ac:dyDescent="0.25">
      <c r="E900" s="14"/>
    </row>
    <row r="901" spans="5:6" x14ac:dyDescent="0.25">
      <c r="E901" s="14"/>
      <c r="F901" s="39"/>
    </row>
    <row r="902" spans="5:6" x14ac:dyDescent="0.25">
      <c r="E902" s="17"/>
    </row>
    <row r="903" spans="5:6" x14ac:dyDescent="0.25">
      <c r="E903" s="14"/>
    </row>
    <row r="904" spans="5:6" x14ac:dyDescent="0.25">
      <c r="E904" s="14"/>
      <c r="F904" s="3"/>
    </row>
    <row r="905" spans="5:6" x14ac:dyDescent="0.25">
      <c r="E905" s="14"/>
    </row>
    <row r="906" spans="5:6" x14ac:dyDescent="0.25">
      <c r="E906" s="14"/>
    </row>
    <row r="907" spans="5:6" x14ac:dyDescent="0.25">
      <c r="E907" s="14"/>
      <c r="F907" s="39"/>
    </row>
    <row r="908" spans="5:6" x14ac:dyDescent="0.25">
      <c r="E908" s="17"/>
    </row>
    <row r="909" spans="5:6" x14ac:dyDescent="0.25">
      <c r="E909" s="14"/>
    </row>
    <row r="910" spans="5:6" x14ac:dyDescent="0.25">
      <c r="E910" s="14"/>
    </row>
    <row r="911" spans="5:6" x14ac:dyDescent="0.25">
      <c r="E911" s="14"/>
    </row>
    <row r="912" spans="5:6" x14ac:dyDescent="0.25">
      <c r="E912" s="14"/>
    </row>
    <row r="913" spans="5:6" x14ac:dyDescent="0.25">
      <c r="E913" s="14"/>
      <c r="F913" s="39"/>
    </row>
    <row r="914" spans="5:6" x14ac:dyDescent="0.25">
      <c r="E914" s="59"/>
    </row>
    <row r="915" spans="5:6" x14ac:dyDescent="0.25">
      <c r="E915" s="14"/>
    </row>
    <row r="916" spans="5:6" x14ac:dyDescent="0.25">
      <c r="E916" s="14"/>
    </row>
    <row r="917" spans="5:6" x14ac:dyDescent="0.25">
      <c r="E917" s="14"/>
    </row>
    <row r="918" spans="5:6" x14ac:dyDescent="0.25">
      <c r="E918" s="14"/>
    </row>
    <row r="919" spans="5:6" x14ac:dyDescent="0.25">
      <c r="E919" s="14"/>
      <c r="F919" s="39"/>
    </row>
    <row r="920" spans="5:6" x14ac:dyDescent="0.25">
      <c r="E920" s="59"/>
    </row>
    <row r="921" spans="5:6" x14ac:dyDescent="0.25">
      <c r="E921" s="14"/>
    </row>
    <row r="922" spans="5:6" x14ac:dyDescent="0.25">
      <c r="E922" s="14"/>
    </row>
    <row r="923" spans="5:6" x14ac:dyDescent="0.25">
      <c r="E923" s="14"/>
    </row>
    <row r="924" spans="5:6" x14ac:dyDescent="0.25">
      <c r="E924" s="14"/>
    </row>
    <row r="925" spans="5:6" x14ac:dyDescent="0.25">
      <c r="E925" s="14"/>
      <c r="F925" s="39"/>
    </row>
    <row r="926" spans="5:6" x14ac:dyDescent="0.25">
      <c r="E926" s="59"/>
    </row>
    <row r="927" spans="5:6" x14ac:dyDescent="0.25">
      <c r="E927" s="17"/>
    </row>
    <row r="928" spans="5:6" x14ac:dyDescent="0.25">
      <c r="E928" s="14"/>
    </row>
    <row r="929" spans="5:6" x14ac:dyDescent="0.25">
      <c r="E929" s="14"/>
    </row>
    <row r="930" spans="5:6" x14ac:dyDescent="0.25">
      <c r="E930" s="14"/>
    </row>
    <row r="931" spans="5:6" x14ac:dyDescent="0.25">
      <c r="E931" s="14"/>
      <c r="F931" s="39"/>
    </row>
    <row r="932" spans="5:6" x14ac:dyDescent="0.25">
      <c r="E932" s="17"/>
    </row>
    <row r="933" spans="5:6" x14ac:dyDescent="0.25">
      <c r="E933" s="14"/>
    </row>
    <row r="934" spans="5:6" x14ac:dyDescent="0.25">
      <c r="E934" s="14"/>
    </row>
    <row r="935" spans="5:6" x14ac:dyDescent="0.25">
      <c r="E935" s="14"/>
    </row>
    <row r="936" spans="5:6" x14ac:dyDescent="0.25">
      <c r="E936" s="14"/>
    </row>
    <row r="937" spans="5:6" x14ac:dyDescent="0.25">
      <c r="E937" s="14"/>
      <c r="F937" s="39"/>
    </row>
    <row r="938" spans="5:6" x14ac:dyDescent="0.25">
      <c r="E938" s="17"/>
    </row>
    <row r="939" spans="5:6" x14ac:dyDescent="0.25">
      <c r="E939" s="17"/>
    </row>
    <row r="940" spans="5:6" x14ac:dyDescent="0.25">
      <c r="E940" s="14"/>
    </row>
    <row r="941" spans="5:6" x14ac:dyDescent="0.25">
      <c r="E941" s="14"/>
    </row>
    <row r="942" spans="5:6" x14ac:dyDescent="0.25">
      <c r="E942" s="14"/>
    </row>
    <row r="943" spans="5:6" x14ac:dyDescent="0.25">
      <c r="E943" s="14"/>
      <c r="F943" s="39"/>
    </row>
    <row r="944" spans="5:6" x14ac:dyDescent="0.25">
      <c r="E944" s="17"/>
    </row>
    <row r="945" spans="5:6" x14ac:dyDescent="0.25">
      <c r="E945" s="14"/>
    </row>
    <row r="946" spans="5:6" x14ac:dyDescent="0.25">
      <c r="E946" s="14"/>
    </row>
    <row r="947" spans="5:6" x14ac:dyDescent="0.25">
      <c r="E947" s="14"/>
    </row>
    <row r="948" spans="5:6" x14ac:dyDescent="0.25">
      <c r="E948" s="14"/>
      <c r="F948" s="39"/>
    </row>
    <row r="949" spans="5:6" x14ac:dyDescent="0.25">
      <c r="E949" s="17"/>
    </row>
    <row r="950" spans="5:6" x14ac:dyDescent="0.25">
      <c r="E950" s="14"/>
    </row>
    <row r="951" spans="5:6" x14ac:dyDescent="0.25">
      <c r="E951" s="14"/>
    </row>
    <row r="952" spans="5:6" x14ac:dyDescent="0.25">
      <c r="E952" s="14"/>
    </row>
    <row r="953" spans="5:6" x14ac:dyDescent="0.25">
      <c r="E953" s="14"/>
    </row>
    <row r="954" spans="5:6" x14ac:dyDescent="0.25">
      <c r="E954" s="14"/>
      <c r="F954" s="39"/>
    </row>
    <row r="955" spans="5:6" x14ac:dyDescent="0.25">
      <c r="E955" s="17"/>
    </row>
    <row r="956" spans="5:6" x14ac:dyDescent="0.25">
      <c r="E956" s="14"/>
    </row>
    <row r="957" spans="5:6" x14ac:dyDescent="0.25">
      <c r="E957" s="14"/>
    </row>
    <row r="958" spans="5:6" x14ac:dyDescent="0.25">
      <c r="E958" s="14"/>
    </row>
    <row r="959" spans="5:6" x14ac:dyDescent="0.25">
      <c r="E959" s="14"/>
    </row>
    <row r="960" spans="5:6" x14ac:dyDescent="0.25">
      <c r="E960" s="14"/>
      <c r="F960" s="39"/>
    </row>
    <row r="961" spans="5:6" x14ac:dyDescent="0.25">
      <c r="E961" s="17"/>
    </row>
    <row r="962" spans="5:6" x14ac:dyDescent="0.25">
      <c r="E962" s="14"/>
    </row>
    <row r="963" spans="5:6" x14ac:dyDescent="0.25">
      <c r="E963" s="14"/>
    </row>
    <row r="964" spans="5:6" x14ac:dyDescent="0.25">
      <c r="E964" s="14"/>
    </row>
    <row r="965" spans="5:6" x14ac:dyDescent="0.25">
      <c r="E965" s="14"/>
    </row>
    <row r="966" spans="5:6" x14ac:dyDescent="0.25">
      <c r="E966" s="14"/>
      <c r="F966" s="39"/>
    </row>
    <row r="967" spans="5:6" x14ac:dyDescent="0.25">
      <c r="E967" s="17"/>
    </row>
    <row r="972" spans="5:6" x14ac:dyDescent="0.25">
      <c r="F972" s="39"/>
    </row>
    <row r="973" spans="5:6" x14ac:dyDescent="0.25">
      <c r="E973" s="18"/>
    </row>
    <row r="978" spans="5:6" x14ac:dyDescent="0.25">
      <c r="F978" s="39"/>
    </row>
    <row r="979" spans="5:6" x14ac:dyDescent="0.25">
      <c r="E979" s="18"/>
    </row>
    <row r="984" spans="5:6" x14ac:dyDescent="0.25">
      <c r="F984" s="39"/>
    </row>
    <row r="985" spans="5:6" x14ac:dyDescent="0.25">
      <c r="E985" s="18"/>
    </row>
    <row r="990" spans="5:6" x14ac:dyDescent="0.25">
      <c r="F990" s="39"/>
    </row>
    <row r="991" spans="5:6" x14ac:dyDescent="0.25">
      <c r="E991" s="1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FC35099E5D03439D1DA3F6309014BE" ma:contentTypeVersion="12" ma:contentTypeDescription="Create a new document." ma:contentTypeScope="" ma:versionID="a02954a3ce2d1a969e5e30456ed70cd1">
  <xsd:schema xmlns:xsd="http://www.w3.org/2001/XMLSchema" xmlns:xs="http://www.w3.org/2001/XMLSchema" xmlns:p="http://schemas.microsoft.com/office/2006/metadata/properties" xmlns:ns2="cd6b6d9b-0f01-4d2d-b851-df7a1e79837d" xmlns:ns3="cffde6b5-7fbf-4e94-9a47-d471db5be0ee" targetNamespace="http://schemas.microsoft.com/office/2006/metadata/properties" ma:root="true" ma:fieldsID="89d32c58df60458ee1db4b61634728c8" ns2:_="" ns3:_="">
    <xsd:import namespace="cd6b6d9b-0f01-4d2d-b851-df7a1e79837d"/>
    <xsd:import namespace="cffde6b5-7fbf-4e94-9a47-d471db5be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b6d9b-0f01-4d2d-b851-df7a1e7983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fde6b5-7fbf-4e94-9a47-d471db5be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878650-B9B4-41E5-BDCA-5DBB3FC793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8C52FA-7444-41E2-87DB-A81CD44389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FBC23AE-9CE4-408B-BB8A-EAE5A3B33D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b6d9b-0f01-4d2d-b851-df7a1e79837d"/>
    <ds:schemaRef ds:uri="cffde6b5-7fbf-4e94-9a47-d471db5be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1. Company Info</vt:lpstr>
      <vt:lpstr>2. Pricing - Offeror Completes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Hemhauser, William T CIV USN (USA)</dc:creator>
  <cp:keywords/>
  <dc:description/>
  <cp:lastModifiedBy>Belmonte, Juan Carlos R CIV (USA)</cp:lastModifiedBy>
  <cp:revision/>
  <dcterms:created xsi:type="dcterms:W3CDTF">2022-01-11T19:59:58Z</dcterms:created>
  <dcterms:modified xsi:type="dcterms:W3CDTF">2026-03-25T14:39:46Z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0x01010075FC35099E5D03439D1DA3F6309014BE</vt:lpwstr>
  </property>
</Properties>
</file>