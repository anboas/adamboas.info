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flankspeed-my.sharepoint-mil.us/personal/tisha_n_langell_civ_us_navy_mil/Documents/Documents/NAVSEA Contracts/Pre-Award/PMS 470/"/>
    </mc:Choice>
  </mc:AlternateContent>
  <xr:revisionPtr revIDLastSave="4" documentId="8_{D5AAA45A-C274-43A9-96A2-6F8C94F5EFD7}" xr6:coauthVersionLast="47" xr6:coauthVersionMax="47" xr10:uidLastSave="{A8428F6C-957A-457E-8EB7-DA9A898B2E42}"/>
  <bookViews>
    <workbookView xWindow="-28920" yWindow="-1785" windowWidth="29040" windowHeight="15720" activeTab="1" xr2:uid="{5AC78E14-361F-482E-AC70-72648E5DAF74}"/>
  </bookViews>
  <sheets>
    <sheet name="Instructions - Labor Mix" sheetId="1" r:id="rId1"/>
    <sheet name="Personnel Quals" sheetId="2" r:id="rId2"/>
    <sheet name="FT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4" i="3" l="1"/>
  <c r="V34" i="3"/>
  <c r="U34" i="3"/>
  <c r="T34" i="3"/>
  <c r="S34" i="3"/>
  <c r="R34" i="3"/>
  <c r="Q34" i="3"/>
  <c r="P34" i="3"/>
  <c r="O34" i="3"/>
  <c r="N34" i="3"/>
  <c r="M34" i="3"/>
  <c r="L34" i="3"/>
  <c r="X34" i="3" s="1"/>
  <c r="K34" i="3"/>
  <c r="J34" i="3"/>
  <c r="I34" i="3"/>
  <c r="H34" i="3"/>
  <c r="G34" i="3"/>
  <c r="F34" i="3"/>
  <c r="E34" i="3"/>
  <c r="D34" i="3"/>
  <c r="C24" i="1" l="1"/>
  <c r="D18" i="1" s="1"/>
  <c r="D23" i="1" l="1"/>
  <c r="D19" i="1"/>
  <c r="D22" i="1"/>
  <c r="D20" i="1"/>
  <c r="D21" i="1"/>
  <c r="D24" i="1" l="1"/>
</calcChain>
</file>

<file path=xl/sharedStrings.xml><?xml version="1.0" encoding="utf-8"?>
<sst xmlns="http://schemas.openxmlformats.org/spreadsheetml/2006/main" count="568" uniqueCount="153">
  <si>
    <t>INSTRUCTIONS TO OFFERORS</t>
  </si>
  <si>
    <t>Offerors' proposals may not deviate from the total number of hours included in Section B. Offerors have the latitude to propose the labor mix they believe is best to accomplish the requirements identified within the SOW in a high quality, efficient, and cost effective manner. Nevertheless, the Government has provided the below labor mix estimate to serve as a reference for prospective Offerors to better understand the overall distribution of skills throughout this effort. This estimate is based on historical requirements; as such, this estimate will be considered in evaluating proposals. The Offeror may deviate but such deviation shall be explained in the Offeror's Staffing Plan Narrative. If the proposed labor mix differs from the estimate provided above, the Offeror shall describe how/why the proposed labor mix will result in a high quality, efficient, and cost effective solution. If the Offeror does not explain deviations from the above labor mix it may result in upward cost adjustments or one or more weaknesses/deficiencies during evaluation.</t>
  </si>
  <si>
    <t>NOTE TO OFFERORS</t>
  </si>
  <si>
    <t xml:space="preserve">Proposing personnel for labor levels with years of relevant professional experience below the minimum number of years noted in the table below may be evaluated as a technical and/or cost risk. </t>
  </si>
  <si>
    <t>Labor Mix**</t>
  </si>
  <si>
    <t>Labor Level</t>
  </si>
  <si>
    <t>Relevant Years of Experience</t>
  </si>
  <si>
    <t>Regular Labor Hours (LHs)</t>
  </si>
  <si>
    <t>LABOR MIX PERCENTAGE</t>
  </si>
  <si>
    <t>Entry</t>
  </si>
  <si>
    <t>0 - = 1 year</t>
  </si>
  <si>
    <t>Junior</t>
  </si>
  <si>
    <t>&gt;1 year - =4 years</t>
  </si>
  <si>
    <t>Low Mid-Level</t>
  </si>
  <si>
    <t>&gt;4 years - =7 years</t>
  </si>
  <si>
    <t>High Mid-Level</t>
  </si>
  <si>
    <t>&gt;7 years - =10 years</t>
  </si>
  <si>
    <t>Low Senior</t>
  </si>
  <si>
    <t>&gt;10 years - =15 years</t>
  </si>
  <si>
    <t>High Senior</t>
  </si>
  <si>
    <t>&gt;15 years</t>
  </si>
  <si>
    <t>Total</t>
  </si>
  <si>
    <t>** Note: Labor Mix table does not include Surge or Special Studies</t>
  </si>
  <si>
    <t>Location</t>
  </si>
  <si>
    <t>Key</t>
  </si>
  <si>
    <t>Degree Minimum Requirement</t>
  </si>
  <si>
    <t>Preferred Degree</t>
  </si>
  <si>
    <t>Certifications Minimum Requirement</t>
  </si>
  <si>
    <t>Preferred Certifications</t>
  </si>
  <si>
    <t xml:space="preserve"> Minimum Years Relevant Experience </t>
  </si>
  <si>
    <t>Preferred Years Relevant Experience</t>
  </si>
  <si>
    <t>Required Specialized Experience</t>
  </si>
  <si>
    <t>Preferred Specialized Experience</t>
  </si>
  <si>
    <t>Security Requirements</t>
  </si>
  <si>
    <t>Tasking Description</t>
  </si>
  <si>
    <t>Acquisition Management Support (AMSx)</t>
  </si>
  <si>
    <t>Washington Navy Yard</t>
  </si>
  <si>
    <t>Y</t>
  </si>
  <si>
    <t>Bachelor's degree in management, business, or a technical field.</t>
  </si>
  <si>
    <t>N/A</t>
  </si>
  <si>
    <t>&gt;15</t>
  </si>
  <si>
    <t>Supervisory experience; experience communicating with SES/Flag level personnel. Demonstrated ability to manage the type of contract in an efficient and cost effective manner. Demonstrated experience with DoD acquisition systems and reports. Examples are: Selected Acquisition Reports (SAR), Quarterly and Monthly DAES Reports, and Quarterly and Monthly ASN (RD&amp;A) Dashboard reporting</t>
  </si>
  <si>
    <t xml:space="preserve">DoD/DoN procedures and Policies (DoD 5000 process), knowledge of Navy Program Executive Office major acquisition programs. </t>
  </si>
  <si>
    <t>SECRET</t>
  </si>
  <si>
    <t>Acquisition Management provides daily program, analytical, and acquisition management support to Program Managers and senior level executives. Acquisition Management provides detail oriented management of records, business research analysis, and valuation strategies. They may also be involved in various administrative tasks such as reviewing and submitting acquisiton reports. Acquisition Management should have strong computer, finance, and analytical skills.</t>
  </si>
  <si>
    <t>&gt;10</t>
  </si>
  <si>
    <t>DoD/DoN procedures and Policies (DoD 5000 process), knowledge of Navy Program Executive Office major acquisition programs.</t>
  </si>
  <si>
    <t>Acquisition Management provides daily program, analytical, and acquisition management support to Program Managers and senior level executives. Acquisition Management provides detail oriented management of records, business research analysis, and valuation strategies. They may also be involved in various administrative tasks such as reviewing and submitting acquisiton reports. 
Acquisition Management should have strong computer, finance, and analytical skills.</t>
  </si>
  <si>
    <t>High Mid</t>
  </si>
  <si>
    <t>&gt;7</t>
  </si>
  <si>
    <t>Low Mid</t>
  </si>
  <si>
    <t>&gt;4</t>
  </si>
  <si>
    <t>&gt;1</t>
  </si>
  <si>
    <t>Analyst, Financial Systems (ANFS)</t>
  </si>
  <si>
    <t>Bachelor's degree in business, finance, accounting, or other related field</t>
  </si>
  <si>
    <t>Demonstrated expertise with Program Budget Information System (PBIS); Navy Enterprise Resource Planning (ERP); and NAVSEA Enterprise Data Warehouse (EDW). Experience with managing internal controls. Strong attention to detail, comfortable briefing senior leaders on financial execution status.</t>
  </si>
  <si>
    <t>Primary task is providing advice and technical assistance in the preparation of annual budgets. Measure organizational performance, assess the effects of various programs and policies on the budget. Analysts examine budget estimates or proposals for completeness, accuracy, and conformance with established procedures, regulations, and organizational objectives. May employ cost-benefit analysis to review financial requests, assess program tradeoffs, and explore alternative funding methods. Examine past and current budgets and research economic and financial developments that affect the organization’s spending. Develop guidelines and policies governing the formulation and maintenance of budgets. May conduct training sessions for company or government agency personnel regarding new budget procedures.</t>
  </si>
  <si>
    <t>Primary task is providing advice and technical assistance in the preparation of annual budgets. Measure organizational performance, assess the effects of various programs and policies on the budget.
Analysts examine budget estimates or proposals for completeness, accuracy, and conformance with established procedures, regulations, and organizational objectives. May employ cost-benefit analysis to review financial requests, assess program tradeoffs, and explore alternative funding methods. Examine past and current budgets and research economic and financial developments that affect the organization’s spending. Develop guidelines and policies governing the formulation and maintenance of budgets. May conduct training sessions for company or government agency personnel regarding new budget procedures.</t>
  </si>
  <si>
    <t>Primary task is providing advice and technical assistance in the preparation, execution, and analysis of annual budgets. Measure organizational performance, assess the effects of various programs and policies on the budget. Analysts examine budget estimates or proposals for completeness, accuracy, and conformance with established procedures, regulations, and organizational objectives. May employ cost-benefit analysis to review financial requests, assess program tradeoffs, and explore alternative funding methods. Examine past and current budgets and research policies and financial developments that affect the organization’s spending. Develop guidelines and policies governing the formulation and maintenance of budget data. May conduct training sessions for company or government agency personnel regarding new budget procedures or use of budget IT systems.</t>
  </si>
  <si>
    <t>Analyst, Management (ANMx)</t>
  </si>
  <si>
    <t>Bachelor's or Advanced Degree in a business or technical field</t>
  </si>
  <si>
    <t>Supervisory experience; experience communicating with SES/Flag level personnel. Demonstrated ability to manage the type of contract in an efficient and cost effective manner. 15 or more years experience in engineering/science management, operations research analysis or financial/cost analysis. Significant experience in U.S. Navy programs or operations.</t>
  </si>
  <si>
    <t>Collect, review, and analyze information in order to make senior level recommendations to the Government based on subject matter expertise.
Define the nature and extent of complex problems. Analyze relevant data, which may include budget information, technical information, human resources, program management, or program development.  Observe operations and develop solutions to problems. In the course of preparing recommendations, understand the nature of the organization, the relationship it has with others in the Government, and its internal organization and culture. Report findings and recommendations to the Government including Program Managers, Directors and executive level officials. Reports are usually submitted in writing, but oral presentations regarding findings also are common. For some projects, management analysts will help implement the suggestions they have made. Senior Analysts will lead teams of people in the support provided to the government.</t>
  </si>
  <si>
    <t>10 years experience in engineering/science management, operations research analysis or financial/cost analysis. Significant experience in U.S. Navy programs or operations.</t>
  </si>
  <si>
    <t>Collect, review, and analyze information in order to make recommendations to the Government.
Define the nature and extent of complex problems. Analyze relevant data, which may include budget information, technical information, human resources, program management, or program development.  Observe operations and develop solutions to problems. In the course of preparing recommendations, understand the nature of the organization, the relationship it has with others in the Government, and its internal organization and culture. Report findings and recommendations to the Government including Program Managers and Directors. Reports are usually submitted in writing, but oral presentations regarding findings also are common. For some projects, management analysts will help implement the suggestions they have made.</t>
  </si>
  <si>
    <t>Bachelor's degree in a business, technical, or management related field</t>
  </si>
  <si>
    <t>7 years experience in engineering/science management, operations research analysis or financial/cost analysis. Significant experience in U.S. Navy programs or operations.</t>
  </si>
  <si>
    <t>4 years experience in engineering/science management, operations research analysis or financial/cost analysis</t>
  </si>
  <si>
    <t>Collect, review, and analyze information in order to make recommendations to the Government or more senior management analysts. Define the nature and extent of problems. Analyze relevant data, which may include budget information, technical information, human resources, program management, or program development.  Observe operations and develop solutions to problems. In the course of preparing recommendations, understand the nature of the organization, the relationship it has with others in the Government, and its internal organization and culture. Report findings and recommendations to the Government or more senior management analysts. Reports are usually submitted in writing, but oral presentations regarding findings also are common. For some projects, management analysts will help implement the suggestions they have made.</t>
  </si>
  <si>
    <t>Engineer (Ex)</t>
  </si>
  <si>
    <t>Bachelor's degree in engineering discipline</t>
  </si>
  <si>
    <t>Master's level degree in any engineering discipline</t>
  </si>
  <si>
    <t>15 years professional experience in engineering</t>
  </si>
  <si>
    <t>Engineers apply the theories and principles of science and mathematics to research and develop economical solutions to technical problems. Their work is the link between perceived social needs and commercial applications. Engineers design products, machinery, implement improved ways to extract, process, and use raw materials, such as petroleum and natural gas, develop new materials that both improve the performance of products and take advantage of advances in technology. Engineers analyze the impact of the products they develop or the systems they design on the environment and on the people using them. In addition to design and development, many engineers work in testing, production, or maintenance by supervising production in factories, determining the causes of breakdowns, and the testing of manufactured products to maintain quality. They also estimate the time and cost to complete projects.</t>
  </si>
  <si>
    <t>10 years relevant professional experience in engineering</t>
  </si>
  <si>
    <t>7 years relevant professional experience in engineering</t>
  </si>
  <si>
    <t>4 years professional experience in engineering</t>
  </si>
  <si>
    <t>Bachelor's degree in engineering or related field</t>
  </si>
  <si>
    <t>Logistician (LGTx)</t>
  </si>
  <si>
    <t>Bachelor's degree in Logistics or related</t>
  </si>
  <si>
    <t>SECRET/CONFIDENTIAL</t>
  </si>
  <si>
    <t>Logisticians integrate the spectrum of the logistics processes within the operational, acquisition and wholesale environments. Logisticians are responsible for directing the integrated logistics process, developing support policies, procedures and systems, and providing implementation guidance. The Logistician prepares and implements directives to ensure effective logistics support, and establishes and enforces standards to ensure that the assigned work force is properly trained and equipped. It is the Logistician's duty to develop, initiate, integrate and manage all logistics actions associated with life cycle management of weapon systems, subsystems and equipment.</t>
  </si>
  <si>
    <t>Bachelor's degree in Logistics or related field. High school/vocational school degree or GED certificate.</t>
  </si>
  <si>
    <t>7 years relevant professional experience in integrated logistics support.</t>
  </si>
  <si>
    <t>4 years relevant professional experience in integrated logistics support.</t>
  </si>
  <si>
    <t>Logisticians integrate the spectrum of the logistics processes within the operational, acquisition and wholesale environments. Logisticians are responsible for directing the integrated logistics process, developing support policies, procedures and systems, and providing implementation guidance including internal control measures. The Logistician prepares and implements directives to ensure effective logistics support, and establishes and enforces standards to ensure that the assigned work force is properly trained and equipped.</t>
  </si>
  <si>
    <t>Manager, Administrative (MANAx)</t>
  </si>
  <si>
    <t>Bachelor's level degree in Accounting, Finance, Economics or Business Administration.</t>
  </si>
  <si>
    <t>4 years o relevant  professional experience</t>
  </si>
  <si>
    <t>Administrative managers coordinate and support services to organizations. These workers manage the services that allow organizations to operate efficiently, such as secretarial and reception, administration, payroll, conference planning and travel, information and data processing, mail, materials scheduling and distribution, printing and reproduction, records management, scheduling meetings, telecommunications management, security, parking, and personal property procurement, supply, and disposal. They also implement procedures to improve productivity and customer service. In addition, some administrative services managers acquire, distribute, and store supplies, while others dispose of surplus property or oversee the disposal of unclaimed property. They are responsible for coordinating the physical workplace with the people and work of an organization.</t>
  </si>
  <si>
    <t>Associate degree in any field</t>
  </si>
  <si>
    <t>1 year of general experience in the field of management or operations of an enterprise.</t>
  </si>
  <si>
    <t>Manager, Program/Project (MANPx)</t>
  </si>
  <si>
    <t xml:space="preserve">Bachelor's degree in business or management related </t>
  </si>
  <si>
    <t>Project Management Professional (PMP)</t>
  </si>
  <si>
    <t>Supervisory experience; experience communicating with SES/Flag level personnel. Demonstrated ability to manage the type of contract in an efficient and cost effective manner</t>
  </si>
  <si>
    <t>DoD/DoN procedures and Policies (DoD 5000 process), knowledge of Navy Program Executive Office and In-Service Ship operations and organizational strucutre.</t>
  </si>
  <si>
    <t>Program Managers are concerned with the overall planning, direction and success of major programs, systems development efforts, and research or technology initiatives which have great significance to the activity’s and agency’s needs. Programs are typically large, multi-year efforts divided into several sub-programs/tasks. Program Managers are also responsible for the overall program definition, organization, and direction of short and long range plans. This includes the responsibility for formulating, guiding, and directing the technical approach; and defining and negotiation with activity and agency personnel for necessary resources. Establishment and control of technical milestones, schedules, budgets and costs are also essential tasks for the Program Manager.</t>
  </si>
  <si>
    <t>Ship Cost Estimator (SCE)</t>
  </si>
  <si>
    <t>Bachelor’s Degree in Financial, Math, Economics, Engineering, or Naval Architecture</t>
  </si>
  <si>
    <t>15 years relevant professional experience</t>
  </si>
  <si>
    <t>A ship cost estimator provides cost related analysis and assessments of ships, submarines, and related ship systems. A ship cost estimator also provides technical expertise, performs parametric tradeoff studies, and assesses cost estimates. A ship cost estimator is proficient with using modern computational tools and spreadsheets to conduct cost assessments. Typical tools include the USN’s Visibility and Management of Operating Costs (VAMOSC) databases and Operating and Support Cost Analysis Model (OSCAM) suite of cost models for a variety of Operations and Support (O&amp;M) costing tasks. A ship cost estimator develops program life cycle cost estimates, and performs concepts and technology tradeoff studies for surface ship and submarine programs.</t>
  </si>
  <si>
    <t>1 year relevant professional experience</t>
  </si>
  <si>
    <t>Specialist, Configuration Management (SCMx)</t>
  </si>
  <si>
    <t>Bachelor's degree in any field</t>
  </si>
  <si>
    <t>10 years relevant professional experience in configuration management.</t>
  </si>
  <si>
    <t>The Configuration Management Specialist shall be responsible for configuration management issues associated with maintaining and controlling all hardware inventory, documentation, product releases, and software configuration management. Individual shall also work closely with the Configuration Control Board in defining and implementing procedures for releasing new products throughout the entire life cycle. Individual shall provide change management and product configuration management guidance.</t>
  </si>
  <si>
    <t>7 years relevant professional experience in configuration management.</t>
  </si>
  <si>
    <t>4 yearsrelevant professional experience in configuration management.</t>
  </si>
  <si>
    <t>Acquisition Management Support (AMS3)</t>
  </si>
  <si>
    <t>Acquisition Management Support (AMS2)</t>
  </si>
  <si>
    <t>Acquisition Management Support (AMS1)</t>
  </si>
  <si>
    <t>Analyst, Management (ANM3)</t>
  </si>
  <si>
    <t>Analyst, Management (ANM2)</t>
  </si>
  <si>
    <t>Analyst, Management (ANM1)</t>
  </si>
  <si>
    <t>Engineer (E4)</t>
  </si>
  <si>
    <t>Engineer (E3)</t>
  </si>
  <si>
    <t>Engineer (E2)</t>
  </si>
  <si>
    <t>Logistician (LGT3)</t>
  </si>
  <si>
    <t>Logistician (LGT2)</t>
  </si>
  <si>
    <t>Logistician (LGT1)</t>
  </si>
  <si>
    <t>Manager, Administrative (MANA3)</t>
  </si>
  <si>
    <t>Manager, Administrative (MANA1)</t>
  </si>
  <si>
    <t>Manager, Program/Project (MANP3)</t>
  </si>
  <si>
    <t>Specialist, Configuration Management (SCM3)</t>
  </si>
  <si>
    <t>Specialist, Configuration Management (SCM2)</t>
  </si>
  <si>
    <t>Labor Category
Description (See Note below)</t>
  </si>
  <si>
    <t>Note: eCraft codes are for post-award mapping purposes.  The requirements set forth in this document take precedence over the "typical" education and experience information included in eCraft labor category descriptions.</t>
  </si>
  <si>
    <t>Professional, Management, Financial, and Acquisition Planning Support for Program Executive Office (PEO) Ships, the BBG(X) Batttleship Program Office, PMS 470</t>
  </si>
  <si>
    <t>Labor Category
(with eCRAFT equivalent code)</t>
  </si>
  <si>
    <t>Level</t>
  </si>
  <si>
    <t>PMO</t>
  </si>
  <si>
    <t>BFM</t>
  </si>
  <si>
    <t>ACQ</t>
  </si>
  <si>
    <t>TD</t>
  </si>
  <si>
    <t>FY27</t>
  </si>
  <si>
    <t>FY28</t>
  </si>
  <si>
    <t>FY29</t>
  </si>
  <si>
    <t>FY30</t>
  </si>
  <si>
    <t>FY31</t>
  </si>
  <si>
    <t>High-Senior</t>
  </si>
  <si>
    <t>Low-Senior</t>
  </si>
  <si>
    <t>High-Mid</t>
  </si>
  <si>
    <t>Low-Mid</t>
  </si>
  <si>
    <t>PMS 470 Department Inputs:</t>
  </si>
  <si>
    <t>PMO:</t>
  </si>
  <si>
    <t>Program Management Office operation and PM/DPM support</t>
  </si>
  <si>
    <t>BFM:</t>
  </si>
  <si>
    <t>Business and Financial Manager department</t>
  </si>
  <si>
    <t>ACQ:</t>
  </si>
  <si>
    <t>Acquisition Manager department</t>
  </si>
  <si>
    <t>TD:</t>
  </si>
  <si>
    <t>Technical Director department to include Integrated Power Systems (Power and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</si>
</sst>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b/>
      <sz val="12"/>
      <color theme="0"/>
      <name val="Arial Narrow"/>
      <family val="2"/>
    </font>
    <font>
      <b/>
      <sz val="12"/>
      <color theme="1"/>
      <name val="Calibri"/>
      <family val="2"/>
      <charset val="1"/>
    </font>
    <font>
      <b/>
      <sz val="12"/>
      <color theme="1"/>
      <name val="Aptos Narrow"/>
      <family val="2"/>
      <scheme val="minor"/>
    </font>
    <font>
      <sz val="12"/>
      <color rgb="FF221F1F"/>
      <name val="Aptos Narrow"/>
      <family val="2"/>
      <scheme val="minor"/>
    </font>
    <font>
      <sz val="12"/>
      <color rgb="FF333333"/>
      <name val="Aptos Narrow"/>
      <family val="2"/>
      <scheme val="minor"/>
    </font>
    <font>
      <sz val="12"/>
      <color theme="1"/>
      <name val="Aptos Narrow"/>
      <family val="2"/>
      <scheme val="minor"/>
    </font>
    <font>
      <b/>
      <sz val="12"/>
      <color theme="0"/>
      <name val="Aptos Narrow"/>
      <family val="2"/>
      <scheme val="minor"/>
    </font>
    <font>
      <sz val="11"/>
      <color theme="1"/>
      <name val="Arial Narrow"/>
      <family val="2"/>
    </font>
    <font>
      <sz val="11"/>
      <name val="Arial Narrow"/>
      <family val="2"/>
    </font>
    <font>
      <sz val="11"/>
      <name val="Aptos Narrow"/>
      <family val="2"/>
      <scheme val="minor"/>
    </font>
    <font>
      <sz val="16"/>
      <color theme="1"/>
      <name val="Aptos Narrow"/>
      <family val="2"/>
      <scheme val="minor"/>
    </font>
    <font>
      <sz val="16"/>
      <color rgb="FFFF0000"/>
      <name val="Aptos Narrow"/>
      <family val="2"/>
      <scheme val="minor"/>
    </font>
    <font>
      <b/>
      <sz val="14"/>
      <color theme="1"/>
      <name val="Aptos Narrow"/>
      <family val="2"/>
      <scheme val="minor"/>
    </font>
    <font>
      <b/>
      <sz val="10"/>
      <color rgb="FF0000FF"/>
      <name val="Aptos Narrow"/>
      <family val="2"/>
      <scheme val="minor"/>
    </font>
    <font>
      <sz val="10"/>
      <color theme="1"/>
      <name val="Aptos Narrow"/>
      <family val="2"/>
      <scheme val="minor"/>
    </font>
    <font>
      <sz val="8"/>
      <color theme="1"/>
      <name val="Aptos Narrow"/>
      <family val="2"/>
      <scheme val="minor"/>
    </font>
  </fonts>
  <fills count="5">
    <fill>
      <patternFill patternType="none"/>
    </fill>
    <fill>
      <patternFill patternType="gray125"/>
    </fill>
    <fill>
      <patternFill patternType="solid">
        <fgColor rgb="FF3333C8"/>
        <bgColor indexed="64"/>
      </patternFill>
    </fill>
    <fill>
      <patternFill patternType="solid">
        <fgColor theme="0"/>
        <bgColor indexed="64"/>
      </patternFill>
    </fill>
    <fill>
      <patternFill patternType="solid">
        <fgColor rgb="FFFFFFFF"/>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double">
        <color auto="1"/>
      </bottom>
      <diagonal/>
    </border>
    <border>
      <left style="thin">
        <color auto="1"/>
      </left>
      <right style="thin">
        <color auto="1"/>
      </right>
      <top style="thin">
        <color auto="1"/>
      </top>
      <bottom style="double">
        <color auto="1"/>
      </bottom>
      <diagonal/>
    </border>
  </borders>
  <cellStyleXfs count="2">
    <xf numFmtId="0" fontId="0" fillId="0" borderId="0"/>
    <xf numFmtId="9" fontId="1" fillId="0" borderId="0" applyFont="0" applyFill="0" applyBorder="0" applyAlignment="0" applyProtection="0"/>
  </cellStyleXfs>
  <cellXfs count="73">
    <xf numFmtId="0" fontId="0" fillId="0" borderId="0" xfId="0"/>
    <xf numFmtId="0" fontId="5" fillId="2"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0" xfId="0" applyFont="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5" fillId="2" borderId="1" xfId="0" applyFont="1" applyFill="1" applyBorder="1" applyAlignment="1">
      <alignment vertical="center" wrapText="1"/>
    </xf>
    <xf numFmtId="0" fontId="0" fillId="3" borderId="3" xfId="0" applyFill="1" applyBorder="1"/>
    <xf numFmtId="0" fontId="5" fillId="3" borderId="3" xfId="0" applyFont="1" applyFill="1" applyBorder="1" applyAlignment="1">
      <alignment vertical="center" wrapText="1"/>
    </xf>
    <xf numFmtId="0" fontId="8"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3" borderId="0" xfId="0" applyFont="1" applyFill="1" applyAlignment="1">
      <alignment horizontal="center" vertical="center" wrapText="1"/>
    </xf>
    <xf numFmtId="0" fontId="0" fillId="3" borderId="0" xfId="0" applyFill="1"/>
    <xf numFmtId="0" fontId="8" fillId="4" borderId="1" xfId="0" applyFont="1" applyFill="1" applyBorder="1" applyAlignment="1">
      <alignment vertical="center" wrapText="1"/>
    </xf>
    <xf numFmtId="3" fontId="8" fillId="4" borderId="1" xfId="0" applyNumberFormat="1" applyFont="1" applyFill="1" applyBorder="1" applyAlignment="1">
      <alignment horizontal="right" vertical="center" wrapText="1"/>
    </xf>
    <xf numFmtId="10" fontId="9" fillId="4" borderId="1" xfId="0" applyNumberFormat="1" applyFont="1" applyFill="1" applyBorder="1" applyAlignment="1">
      <alignment horizontal="right" vertical="center" wrapText="1"/>
    </xf>
    <xf numFmtId="9" fontId="8" fillId="4" borderId="1" xfId="1" applyFont="1" applyFill="1" applyBorder="1" applyAlignment="1">
      <alignment horizontal="right" vertical="center" wrapText="1"/>
    </xf>
    <xf numFmtId="0" fontId="9" fillId="3" borderId="0" xfId="0" applyFont="1" applyFill="1" applyAlignment="1">
      <alignment vertical="center"/>
    </xf>
    <xf numFmtId="0" fontId="10" fillId="3" borderId="0" xfId="0" applyFont="1" applyFill="1"/>
    <xf numFmtId="0" fontId="8" fillId="4" borderId="0" xfId="0" applyFont="1" applyFill="1" applyAlignment="1">
      <alignment horizontal="left" vertical="center" wrapText="1"/>
    </xf>
    <xf numFmtId="0" fontId="7" fillId="0" borderId="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11" fillId="2" borderId="1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2" xfId="0" applyBorder="1" applyAlignment="1">
      <alignment vertical="center"/>
    </xf>
    <xf numFmtId="0" fontId="12" fillId="0" borderId="1" xfId="0" applyFont="1" applyBorder="1" applyAlignment="1">
      <alignment horizontal="center" vertical="center"/>
    </xf>
    <xf numFmtId="0" fontId="13" fillId="0" borderId="1" xfId="0" applyFont="1" applyBorder="1" applyAlignment="1">
      <alignment horizontal="center" vertical="center" wrapText="1"/>
    </xf>
    <xf numFmtId="0" fontId="0" fillId="0" borderId="1" xfId="0"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0" fontId="13" fillId="0" borderId="1" xfId="0" applyFont="1" applyBorder="1" applyAlignment="1">
      <alignment horizontal="center" vertical="center"/>
    </xf>
    <xf numFmtId="0" fontId="0" fillId="0" borderId="1" xfId="0" applyBorder="1" applyAlignment="1">
      <alignment vertical="center"/>
    </xf>
    <xf numFmtId="0" fontId="13" fillId="0" borderId="0" xfId="0" applyFont="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left" vertical="center" wrapText="1"/>
    </xf>
    <xf numFmtId="0" fontId="14" fillId="0" borderId="1" xfId="0" applyFont="1" applyBorder="1" applyAlignment="1">
      <alignment vertical="center" wrapText="1"/>
    </xf>
    <xf numFmtId="0" fontId="15" fillId="0" borderId="0" xfId="0" applyFont="1"/>
    <xf numFmtId="0" fontId="16" fillId="0" borderId="13" xfId="0" applyFont="1" applyFill="1" applyBorder="1" applyAlignment="1">
      <alignment vertical="center"/>
    </xf>
    <xf numFmtId="0" fontId="17" fillId="0" borderId="0" xfId="0" applyFont="1"/>
    <xf numFmtId="0" fontId="4" fillId="0" borderId="10" xfId="0" applyFont="1" applyBorder="1" applyAlignment="1">
      <alignment horizontal="center" vertical="center" wrapText="1"/>
    </xf>
    <xf numFmtId="0" fontId="18" fillId="0" borderId="1" xfId="0" applyFont="1" applyBorder="1" applyAlignment="1">
      <alignment horizontal="center" wrapText="1"/>
    </xf>
    <xf numFmtId="0" fontId="19" fillId="0" borderId="1" xfId="0" applyFont="1" applyBorder="1" applyAlignment="1">
      <alignment horizontal="center" wrapText="1"/>
    </xf>
    <xf numFmtId="0" fontId="19" fillId="0" borderId="0" xfId="0" applyFont="1" applyAlignment="1">
      <alignment horizontal="center"/>
    </xf>
    <xf numFmtId="0" fontId="0" fillId="0" borderId="14" xfId="0" applyBorder="1" applyAlignment="1">
      <alignment horizontal="center" vertical="center" wrapText="1"/>
    </xf>
    <xf numFmtId="0" fontId="0" fillId="0" borderId="14" xfId="0" applyBorder="1" applyAlignment="1">
      <alignment horizontal="center" vertical="center"/>
    </xf>
    <xf numFmtId="0" fontId="0" fillId="0" borderId="15" xfId="0" applyBorder="1" applyAlignment="1">
      <alignment horizontal="center"/>
    </xf>
    <xf numFmtId="0" fontId="0" fillId="0" borderId="0" xfId="0" applyAlignment="1">
      <alignment horizontal="center"/>
    </xf>
    <xf numFmtId="0" fontId="0" fillId="0" borderId="12" xfId="0" applyBorder="1"/>
    <xf numFmtId="0" fontId="0" fillId="0" borderId="12" xfId="0" applyBorder="1" applyAlignment="1">
      <alignment horizontal="center"/>
    </xf>
    <xf numFmtId="164" fontId="0" fillId="0" borderId="12" xfId="0" applyNumberFormat="1" applyBorder="1"/>
    <xf numFmtId="164" fontId="3" fillId="0" borderId="12" xfId="0" applyNumberFormat="1" applyFont="1" applyBorder="1"/>
    <xf numFmtId="0" fontId="0" fillId="0" borderId="1" xfId="0" applyBorder="1"/>
    <xf numFmtId="0" fontId="0" fillId="0" borderId="1" xfId="0" applyBorder="1" applyAlignment="1">
      <alignment horizontal="center"/>
    </xf>
    <xf numFmtId="164" fontId="0" fillId="0" borderId="1" xfId="0" applyNumberFormat="1" applyBorder="1"/>
    <xf numFmtId="164" fontId="14" fillId="0" borderId="1" xfId="0" applyNumberFormat="1" applyFont="1" applyBorder="1"/>
    <xf numFmtId="164" fontId="3" fillId="0" borderId="1" xfId="0" applyNumberFormat="1" applyFont="1" applyBorder="1"/>
    <xf numFmtId="0" fontId="20" fillId="0" borderId="0" xfId="0" applyFont="1"/>
    <xf numFmtId="164" fontId="20" fillId="0" borderId="0" xfId="0" applyNumberFormat="1" applyFont="1"/>
    <xf numFmtId="0" fontId="4" fillId="0" borderId="0" xfId="0" applyFont="1" applyAlignment="1">
      <alignment horizontal="right"/>
    </xf>
    <xf numFmtId="0" fontId="0" fillId="0" borderId="0" xfId="0" applyAlignment="1">
      <alignment horizontal="left" indent="2"/>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71AE3-E14C-41FD-8B62-A8377CEA680E}">
  <dimension ref="A1:J26"/>
  <sheetViews>
    <sheetView workbookViewId="0">
      <selection activeCell="I24" sqref="I24"/>
    </sheetView>
  </sheetViews>
  <sheetFormatPr defaultRowHeight="15" x14ac:dyDescent="0.25"/>
  <cols>
    <col min="1" max="1" width="26.5703125" customWidth="1"/>
    <col min="2" max="2" width="23" customWidth="1"/>
    <col min="3" max="3" width="15.5703125" customWidth="1"/>
    <col min="4" max="4" width="18.28515625" customWidth="1"/>
    <col min="10" max="10" width="69.7109375" customWidth="1"/>
  </cols>
  <sheetData>
    <row r="1" spans="1:10" ht="15.75" x14ac:dyDescent="0.25">
      <c r="A1" s="1" t="s">
        <v>0</v>
      </c>
      <c r="B1" s="1"/>
      <c r="C1" s="1"/>
      <c r="D1" s="1"/>
      <c r="E1" s="1"/>
      <c r="F1" s="1"/>
      <c r="G1" s="1"/>
      <c r="H1" s="1"/>
      <c r="I1" s="1"/>
      <c r="J1" s="1"/>
    </row>
    <row r="2" spans="1:10" x14ac:dyDescent="0.25">
      <c r="A2" s="2" t="s">
        <v>1</v>
      </c>
      <c r="B2" s="3"/>
      <c r="C2" s="3"/>
      <c r="D2" s="3"/>
      <c r="E2" s="3"/>
      <c r="F2" s="3"/>
      <c r="G2" s="3"/>
      <c r="H2" s="3"/>
      <c r="I2" s="3"/>
      <c r="J2" s="4"/>
    </row>
    <row r="3" spans="1:10" x14ac:dyDescent="0.25">
      <c r="A3" s="5"/>
      <c r="B3" s="6"/>
      <c r="C3" s="6"/>
      <c r="D3" s="6"/>
      <c r="E3" s="6"/>
      <c r="F3" s="6"/>
      <c r="G3" s="6"/>
      <c r="H3" s="6"/>
      <c r="I3" s="6"/>
      <c r="J3" s="7"/>
    </row>
    <row r="4" spans="1:10" x14ac:dyDescent="0.25">
      <c r="A4" s="5"/>
      <c r="B4" s="6"/>
      <c r="C4" s="6"/>
      <c r="D4" s="6"/>
      <c r="E4" s="6"/>
      <c r="F4" s="6"/>
      <c r="G4" s="6"/>
      <c r="H4" s="6"/>
      <c r="I4" s="6"/>
      <c r="J4" s="7"/>
    </row>
    <row r="5" spans="1:10" x14ac:dyDescent="0.25">
      <c r="A5" s="5"/>
      <c r="B5" s="6"/>
      <c r="C5" s="6"/>
      <c r="D5" s="6"/>
      <c r="E5" s="6"/>
      <c r="F5" s="6"/>
      <c r="G5" s="6"/>
      <c r="H5" s="6"/>
      <c r="I5" s="6"/>
      <c r="J5" s="7"/>
    </row>
    <row r="6" spans="1:10" x14ac:dyDescent="0.25">
      <c r="A6" s="5"/>
      <c r="B6" s="6"/>
      <c r="C6" s="6"/>
      <c r="D6" s="6"/>
      <c r="E6" s="6"/>
      <c r="F6" s="6"/>
      <c r="G6" s="6"/>
      <c r="H6" s="6"/>
      <c r="I6" s="6"/>
      <c r="J6" s="7"/>
    </row>
    <row r="7" spans="1:10" x14ac:dyDescent="0.25">
      <c r="A7" s="5"/>
      <c r="B7" s="6"/>
      <c r="C7" s="6"/>
      <c r="D7" s="6"/>
      <c r="E7" s="6"/>
      <c r="F7" s="6"/>
      <c r="G7" s="6"/>
      <c r="H7" s="6"/>
      <c r="I7" s="6"/>
      <c r="J7" s="7"/>
    </row>
    <row r="8" spans="1:10" x14ac:dyDescent="0.25">
      <c r="A8" s="5"/>
      <c r="B8" s="6"/>
      <c r="C8" s="6"/>
      <c r="D8" s="6"/>
      <c r="E8" s="6"/>
      <c r="F8" s="6"/>
      <c r="G8" s="6"/>
      <c r="H8" s="6"/>
      <c r="I8" s="6"/>
      <c r="J8" s="7"/>
    </row>
    <row r="9" spans="1:10" x14ac:dyDescent="0.25">
      <c r="A9" s="5"/>
      <c r="B9" s="6"/>
      <c r="C9" s="6"/>
      <c r="D9" s="6"/>
      <c r="E9" s="6"/>
      <c r="F9" s="6"/>
      <c r="G9" s="6"/>
      <c r="H9" s="6"/>
      <c r="I9" s="6"/>
      <c r="J9" s="7"/>
    </row>
    <row r="10" spans="1:10" x14ac:dyDescent="0.25">
      <c r="A10" s="5"/>
      <c r="B10" s="6"/>
      <c r="C10" s="6"/>
      <c r="D10" s="6"/>
      <c r="E10" s="6"/>
      <c r="F10" s="6"/>
      <c r="G10" s="6"/>
      <c r="H10" s="6"/>
      <c r="I10" s="6"/>
      <c r="J10" s="7"/>
    </row>
    <row r="11" spans="1:10" x14ac:dyDescent="0.25">
      <c r="A11" s="8"/>
      <c r="B11" s="9"/>
      <c r="C11" s="9"/>
      <c r="D11" s="9"/>
      <c r="E11" s="9"/>
      <c r="F11" s="9"/>
      <c r="G11" s="9"/>
      <c r="H11" s="9"/>
      <c r="I11" s="9"/>
      <c r="J11" s="10"/>
    </row>
    <row r="12" spans="1:10" ht="15.75" x14ac:dyDescent="0.25">
      <c r="A12" s="1" t="s">
        <v>2</v>
      </c>
      <c r="B12" s="1"/>
      <c r="C12" s="1"/>
      <c r="D12" s="1"/>
      <c r="E12" s="1"/>
      <c r="F12" s="1"/>
      <c r="G12" s="1"/>
      <c r="H12" s="1"/>
      <c r="I12" s="1"/>
      <c r="J12" s="1"/>
    </row>
    <row r="13" spans="1:10" ht="15" customHeight="1" x14ac:dyDescent="0.25">
      <c r="A13" s="26" t="s">
        <v>3</v>
      </c>
      <c r="B13" s="27"/>
      <c r="C13" s="27"/>
      <c r="D13" s="27"/>
      <c r="E13" s="27"/>
      <c r="F13" s="27"/>
      <c r="G13" s="27"/>
      <c r="H13" s="27"/>
      <c r="I13" s="27"/>
      <c r="J13" s="28"/>
    </row>
    <row r="14" spans="1:10" ht="15" customHeight="1" x14ac:dyDescent="0.25">
      <c r="A14" s="29"/>
      <c r="B14" s="25"/>
      <c r="C14" s="25"/>
      <c r="D14" s="25"/>
      <c r="E14" s="25"/>
      <c r="F14" s="25"/>
      <c r="G14" s="25"/>
      <c r="H14" s="25"/>
      <c r="I14" s="25"/>
      <c r="J14" s="30"/>
    </row>
    <row r="15" spans="1:10" ht="15" customHeight="1" x14ac:dyDescent="0.25">
      <c r="A15" s="31"/>
      <c r="B15" s="32"/>
      <c r="C15" s="32"/>
      <c r="D15" s="32"/>
      <c r="E15" s="32"/>
      <c r="F15" s="32"/>
      <c r="G15" s="32"/>
      <c r="H15" s="32"/>
      <c r="I15" s="32"/>
      <c r="J15" s="33"/>
    </row>
    <row r="16" spans="1:10" ht="15.75" x14ac:dyDescent="0.25">
      <c r="A16" s="11" t="s">
        <v>4</v>
      </c>
      <c r="B16" s="11"/>
      <c r="C16" s="11"/>
      <c r="D16" s="11"/>
      <c r="E16" s="12"/>
      <c r="F16" s="13"/>
      <c r="G16" s="13"/>
      <c r="H16" s="13"/>
      <c r="I16" s="13"/>
      <c r="J16" s="13"/>
    </row>
    <row r="17" spans="1:10" ht="31.5" x14ac:dyDescent="0.25">
      <c r="A17" s="14" t="s">
        <v>5</v>
      </c>
      <c r="B17" s="14" t="s">
        <v>6</v>
      </c>
      <c r="C17" s="14" t="s">
        <v>7</v>
      </c>
      <c r="D17" s="15" t="s">
        <v>8</v>
      </c>
      <c r="E17" s="16"/>
      <c r="F17" s="17"/>
      <c r="G17" s="17"/>
      <c r="H17" s="17"/>
      <c r="I17" s="17"/>
      <c r="J17" s="17"/>
    </row>
    <row r="18" spans="1:10" ht="15.75" x14ac:dyDescent="0.25">
      <c r="A18" s="18" t="s">
        <v>9</v>
      </c>
      <c r="B18" s="18" t="s">
        <v>10</v>
      </c>
      <c r="C18" s="19">
        <v>0</v>
      </c>
      <c r="D18" s="20">
        <f>C18/C24</f>
        <v>0</v>
      </c>
      <c r="E18" s="17"/>
      <c r="F18" s="17"/>
      <c r="G18" s="17"/>
      <c r="H18" s="17"/>
      <c r="I18" s="17"/>
      <c r="J18" s="17"/>
    </row>
    <row r="19" spans="1:10" ht="15.75" x14ac:dyDescent="0.25">
      <c r="A19" s="18" t="s">
        <v>11</v>
      </c>
      <c r="B19" s="18" t="s">
        <v>12</v>
      </c>
      <c r="C19" s="19">
        <v>96960</v>
      </c>
      <c r="D19" s="20">
        <f>C19/C24</f>
        <v>0.18738404452690166</v>
      </c>
      <c r="E19" s="17"/>
      <c r="F19" s="17"/>
      <c r="G19" s="17"/>
      <c r="H19" s="17"/>
      <c r="I19" s="17"/>
      <c r="J19" s="17"/>
    </row>
    <row r="20" spans="1:10" ht="15.75" x14ac:dyDescent="0.25">
      <c r="A20" s="18" t="s">
        <v>13</v>
      </c>
      <c r="B20" s="18" t="s">
        <v>14</v>
      </c>
      <c r="C20" s="19">
        <v>122880</v>
      </c>
      <c r="D20" s="20">
        <f>C20/C24</f>
        <v>0.23747680890538034</v>
      </c>
      <c r="E20" s="17"/>
      <c r="F20" s="17"/>
      <c r="G20" s="17"/>
      <c r="H20" s="17"/>
      <c r="I20" s="17"/>
      <c r="J20" s="17"/>
    </row>
    <row r="21" spans="1:10" ht="15.75" x14ac:dyDescent="0.25">
      <c r="A21" s="18" t="s">
        <v>15</v>
      </c>
      <c r="B21" s="18" t="s">
        <v>16</v>
      </c>
      <c r="C21" s="19">
        <v>113280</v>
      </c>
      <c r="D21" s="20">
        <f>C21/C24</f>
        <v>0.21892393320964751</v>
      </c>
      <c r="E21" s="17"/>
      <c r="F21" s="17"/>
      <c r="G21" s="17"/>
      <c r="H21" s="17"/>
      <c r="I21" s="17"/>
      <c r="J21" s="17"/>
    </row>
    <row r="22" spans="1:10" ht="15.75" x14ac:dyDescent="0.25">
      <c r="A22" s="18" t="s">
        <v>17</v>
      </c>
      <c r="B22" s="18" t="s">
        <v>18</v>
      </c>
      <c r="C22" s="19">
        <v>136320</v>
      </c>
      <c r="D22" s="20">
        <f>C22/C24</f>
        <v>0.26345083487940629</v>
      </c>
      <c r="E22" s="17"/>
      <c r="F22" s="17"/>
      <c r="G22" s="17"/>
      <c r="H22" s="17"/>
      <c r="I22" s="17"/>
      <c r="J22" s="17"/>
    </row>
    <row r="23" spans="1:10" ht="15.75" x14ac:dyDescent="0.25">
      <c r="A23" s="18" t="s">
        <v>19</v>
      </c>
      <c r="B23" s="18" t="s">
        <v>20</v>
      </c>
      <c r="C23" s="19">
        <v>48000</v>
      </c>
      <c r="D23" s="20">
        <f>C23/C24</f>
        <v>9.2764378478664186E-2</v>
      </c>
      <c r="E23" s="17"/>
      <c r="F23" s="17"/>
      <c r="G23" s="17"/>
      <c r="H23" s="17"/>
      <c r="I23" s="17"/>
      <c r="J23" s="17"/>
    </row>
    <row r="24" spans="1:10" ht="15.75" x14ac:dyDescent="0.25">
      <c r="A24" s="18" t="s">
        <v>21</v>
      </c>
      <c r="B24" s="18"/>
      <c r="C24" s="19">
        <f>SUM(C18:C23)</f>
        <v>517440</v>
      </c>
      <c r="D24" s="21">
        <f>SUM(D18:D23)</f>
        <v>0.99999999999999989</v>
      </c>
      <c r="E24" s="17"/>
      <c r="F24" s="17"/>
      <c r="G24" s="17"/>
      <c r="H24" s="17"/>
      <c r="I24" s="17"/>
      <c r="J24" s="17"/>
    </row>
    <row r="25" spans="1:10" ht="15.75" x14ac:dyDescent="0.25">
      <c r="A25" s="22"/>
      <c r="B25" s="23"/>
      <c r="C25" s="23"/>
      <c r="D25" s="23"/>
      <c r="E25" s="17"/>
      <c r="F25" s="17"/>
      <c r="G25" s="17"/>
      <c r="H25" s="17"/>
      <c r="I25" s="17"/>
      <c r="J25" s="17"/>
    </row>
    <row r="26" spans="1:10" ht="15.75" x14ac:dyDescent="0.25">
      <c r="A26" s="24" t="s">
        <v>22</v>
      </c>
      <c r="B26" s="24"/>
      <c r="C26" s="24"/>
      <c r="D26" s="24"/>
    </row>
  </sheetData>
  <mergeCells count="5">
    <mergeCell ref="A13:J15"/>
    <mergeCell ref="A1:J1"/>
    <mergeCell ref="A2:J11"/>
    <mergeCell ref="A12:J12"/>
    <mergeCell ref="A26:D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026D4-63EB-4691-A6DD-609F3CB951DA}">
  <dimension ref="A1:N40"/>
  <sheetViews>
    <sheetView tabSelected="1" zoomScale="80" zoomScaleNormal="80" workbookViewId="0">
      <selection activeCell="M33" sqref="M33"/>
    </sheetView>
  </sheetViews>
  <sheetFormatPr defaultRowHeight="15" x14ac:dyDescent="0.25"/>
  <cols>
    <col min="1" max="1" width="44.5703125" customWidth="1"/>
    <col min="2" max="2" width="14.7109375" customWidth="1"/>
    <col min="3" max="3" width="20.7109375" customWidth="1"/>
    <col min="4" max="4" width="13" customWidth="1"/>
    <col min="5" max="5" width="21.140625" customWidth="1"/>
    <col min="6" max="6" width="16.7109375" customWidth="1"/>
    <col min="7" max="10" width="21.140625" customWidth="1"/>
    <col min="11" max="11" width="50.5703125" customWidth="1"/>
    <col min="12" max="12" width="29.5703125" customWidth="1"/>
    <col min="13" max="13" width="26.140625" customWidth="1"/>
    <col min="14" max="14" width="91.5703125" customWidth="1"/>
  </cols>
  <sheetData>
    <row r="1" spans="1:14" ht="47.25" x14ac:dyDescent="0.25">
      <c r="A1" s="34" t="s">
        <v>126</v>
      </c>
      <c r="B1" s="35" t="s">
        <v>5</v>
      </c>
      <c r="C1" s="35" t="s">
        <v>23</v>
      </c>
      <c r="D1" s="35" t="s">
        <v>24</v>
      </c>
      <c r="E1" s="35" t="s">
        <v>25</v>
      </c>
      <c r="F1" s="35" t="s">
        <v>26</v>
      </c>
      <c r="G1" s="35" t="s">
        <v>27</v>
      </c>
      <c r="H1" s="35" t="s">
        <v>28</v>
      </c>
      <c r="I1" s="35" t="s">
        <v>29</v>
      </c>
      <c r="J1" s="35" t="s">
        <v>30</v>
      </c>
      <c r="K1" s="35" t="s">
        <v>31</v>
      </c>
      <c r="L1" s="36" t="s">
        <v>32</v>
      </c>
      <c r="M1" s="35" t="s">
        <v>33</v>
      </c>
      <c r="N1" s="35" t="s">
        <v>34</v>
      </c>
    </row>
    <row r="2" spans="1:14" ht="120" x14ac:dyDescent="0.25">
      <c r="A2" s="37" t="s">
        <v>109</v>
      </c>
      <c r="B2" s="38" t="s">
        <v>19</v>
      </c>
      <c r="C2" s="39" t="s">
        <v>36</v>
      </c>
      <c r="D2" s="39" t="s">
        <v>37</v>
      </c>
      <c r="E2" s="40" t="s">
        <v>38</v>
      </c>
      <c r="F2" s="40" t="s">
        <v>39</v>
      </c>
      <c r="G2" s="41" t="s">
        <v>39</v>
      </c>
      <c r="H2" s="41" t="s">
        <v>39</v>
      </c>
      <c r="I2" s="41" t="s">
        <v>40</v>
      </c>
      <c r="J2" s="39" t="s">
        <v>39</v>
      </c>
      <c r="K2" s="41" t="s">
        <v>41</v>
      </c>
      <c r="L2" s="41" t="s">
        <v>42</v>
      </c>
      <c r="M2" s="41" t="s">
        <v>43</v>
      </c>
      <c r="N2" s="42" t="s">
        <v>44</v>
      </c>
    </row>
    <row r="3" spans="1:14" ht="75" x14ac:dyDescent="0.25">
      <c r="A3" s="37" t="s">
        <v>109</v>
      </c>
      <c r="B3" s="38" t="s">
        <v>17</v>
      </c>
      <c r="C3" s="39" t="s">
        <v>36</v>
      </c>
      <c r="D3" s="39"/>
      <c r="E3" s="41" t="s">
        <v>39</v>
      </c>
      <c r="F3" s="40" t="s">
        <v>38</v>
      </c>
      <c r="G3" s="41" t="s">
        <v>39</v>
      </c>
      <c r="H3" s="41" t="s">
        <v>39</v>
      </c>
      <c r="I3" s="41" t="s">
        <v>45</v>
      </c>
      <c r="J3" s="39">
        <v>15</v>
      </c>
      <c r="K3" s="41" t="s">
        <v>39</v>
      </c>
      <c r="L3" s="41" t="s">
        <v>46</v>
      </c>
      <c r="M3" s="41" t="s">
        <v>43</v>
      </c>
      <c r="N3" s="42" t="s">
        <v>47</v>
      </c>
    </row>
    <row r="4" spans="1:14" ht="105" x14ac:dyDescent="0.25">
      <c r="A4" s="37" t="s">
        <v>110</v>
      </c>
      <c r="B4" s="38" t="s">
        <v>48</v>
      </c>
      <c r="C4" s="39" t="s">
        <v>36</v>
      </c>
      <c r="D4" s="39"/>
      <c r="E4" s="41" t="s">
        <v>39</v>
      </c>
      <c r="F4" s="40" t="s">
        <v>38</v>
      </c>
      <c r="G4" s="41" t="s">
        <v>39</v>
      </c>
      <c r="H4" s="41" t="s">
        <v>39</v>
      </c>
      <c r="I4" s="41" t="s">
        <v>49</v>
      </c>
      <c r="J4" s="39">
        <v>10</v>
      </c>
      <c r="K4" s="43" t="s">
        <v>39</v>
      </c>
      <c r="L4" s="41" t="s">
        <v>46</v>
      </c>
      <c r="M4" s="41" t="s">
        <v>43</v>
      </c>
      <c r="N4" s="42" t="s">
        <v>47</v>
      </c>
    </row>
    <row r="5" spans="1:14" ht="75" x14ac:dyDescent="0.25">
      <c r="A5" s="37" t="s">
        <v>110</v>
      </c>
      <c r="B5" s="38" t="s">
        <v>50</v>
      </c>
      <c r="C5" s="39" t="s">
        <v>36</v>
      </c>
      <c r="D5" s="39"/>
      <c r="E5" s="41" t="s">
        <v>39</v>
      </c>
      <c r="F5" s="40" t="s">
        <v>38</v>
      </c>
      <c r="G5" s="41" t="s">
        <v>39</v>
      </c>
      <c r="H5" s="41" t="s">
        <v>39</v>
      </c>
      <c r="I5" s="41" t="s">
        <v>51</v>
      </c>
      <c r="J5" s="39">
        <v>7</v>
      </c>
      <c r="K5" s="39" t="s">
        <v>39</v>
      </c>
      <c r="L5" s="41" t="s">
        <v>46</v>
      </c>
      <c r="M5" s="41" t="s">
        <v>43</v>
      </c>
      <c r="N5" s="42" t="s">
        <v>47</v>
      </c>
    </row>
    <row r="6" spans="1:14" ht="75" x14ac:dyDescent="0.25">
      <c r="A6" s="37" t="s">
        <v>111</v>
      </c>
      <c r="B6" s="38" t="s">
        <v>11</v>
      </c>
      <c r="C6" s="39" t="s">
        <v>36</v>
      </c>
      <c r="D6" s="39"/>
      <c r="E6" s="41" t="s">
        <v>39</v>
      </c>
      <c r="F6" s="40" t="s">
        <v>38</v>
      </c>
      <c r="G6" s="41" t="s">
        <v>39</v>
      </c>
      <c r="H6" s="41" t="s">
        <v>39</v>
      </c>
      <c r="I6" s="41" t="s">
        <v>52</v>
      </c>
      <c r="J6" s="39">
        <v>4</v>
      </c>
      <c r="K6" s="39" t="s">
        <v>39</v>
      </c>
      <c r="L6" s="41" t="s">
        <v>39</v>
      </c>
      <c r="M6" s="41" t="s">
        <v>43</v>
      </c>
      <c r="N6" s="42" t="s">
        <v>47</v>
      </c>
    </row>
    <row r="7" spans="1:14" ht="165" x14ac:dyDescent="0.25">
      <c r="A7" s="44" t="s">
        <v>53</v>
      </c>
      <c r="B7" s="38" t="s">
        <v>17</v>
      </c>
      <c r="C7" s="39" t="s">
        <v>36</v>
      </c>
      <c r="D7" s="39"/>
      <c r="E7" s="41" t="s">
        <v>39</v>
      </c>
      <c r="F7" s="40" t="s">
        <v>54</v>
      </c>
      <c r="G7" s="41" t="s">
        <v>39</v>
      </c>
      <c r="H7" s="41" t="s">
        <v>39</v>
      </c>
      <c r="I7" s="41" t="s">
        <v>45</v>
      </c>
      <c r="J7" s="39">
        <v>15</v>
      </c>
      <c r="K7" s="39" t="s">
        <v>39</v>
      </c>
      <c r="L7" s="41" t="s">
        <v>55</v>
      </c>
      <c r="M7" s="41" t="s">
        <v>43</v>
      </c>
      <c r="N7" s="42" t="s">
        <v>56</v>
      </c>
    </row>
    <row r="8" spans="1:14" ht="165" x14ac:dyDescent="0.25">
      <c r="A8" s="44" t="s">
        <v>53</v>
      </c>
      <c r="B8" s="38" t="s">
        <v>48</v>
      </c>
      <c r="C8" s="39" t="s">
        <v>36</v>
      </c>
      <c r="D8" s="39"/>
      <c r="E8" s="41" t="s">
        <v>39</v>
      </c>
      <c r="F8" s="40" t="s">
        <v>54</v>
      </c>
      <c r="G8" s="41" t="s">
        <v>39</v>
      </c>
      <c r="H8" s="41" t="s">
        <v>39</v>
      </c>
      <c r="I8" s="41" t="s">
        <v>49</v>
      </c>
      <c r="J8" s="39">
        <v>10</v>
      </c>
      <c r="K8" s="39" t="s">
        <v>39</v>
      </c>
      <c r="L8" s="41" t="s">
        <v>55</v>
      </c>
      <c r="M8" s="41" t="s">
        <v>43</v>
      </c>
      <c r="N8" s="42" t="s">
        <v>56</v>
      </c>
    </row>
    <row r="9" spans="1:14" ht="165" x14ac:dyDescent="0.25">
      <c r="A9" s="44" t="s">
        <v>53</v>
      </c>
      <c r="B9" s="38" t="s">
        <v>50</v>
      </c>
      <c r="C9" s="39" t="s">
        <v>36</v>
      </c>
      <c r="D9" s="39"/>
      <c r="E9" s="41" t="s">
        <v>39</v>
      </c>
      <c r="F9" s="40" t="s">
        <v>54</v>
      </c>
      <c r="G9" s="41" t="s">
        <v>39</v>
      </c>
      <c r="H9" s="41" t="s">
        <v>39</v>
      </c>
      <c r="I9" s="41" t="s">
        <v>51</v>
      </c>
      <c r="J9" s="39">
        <v>7</v>
      </c>
      <c r="K9" s="39" t="s">
        <v>39</v>
      </c>
      <c r="L9" s="41" t="s">
        <v>55</v>
      </c>
      <c r="M9" s="41" t="s">
        <v>43</v>
      </c>
      <c r="N9" s="42" t="s">
        <v>57</v>
      </c>
    </row>
    <row r="10" spans="1:14" ht="150" x14ac:dyDescent="0.25">
      <c r="A10" s="44" t="s">
        <v>53</v>
      </c>
      <c r="B10" s="38" t="s">
        <v>11</v>
      </c>
      <c r="C10" s="39" t="s">
        <v>36</v>
      </c>
      <c r="D10" s="39"/>
      <c r="E10" s="41" t="s">
        <v>39</v>
      </c>
      <c r="F10" s="40" t="s">
        <v>54</v>
      </c>
      <c r="G10" s="41" t="s">
        <v>39</v>
      </c>
      <c r="H10" s="41" t="s">
        <v>39</v>
      </c>
      <c r="I10" s="41" t="s">
        <v>52</v>
      </c>
      <c r="J10" s="39">
        <v>4</v>
      </c>
      <c r="K10" s="39" t="s">
        <v>39</v>
      </c>
      <c r="L10" s="41" t="s">
        <v>39</v>
      </c>
      <c r="M10" s="41" t="s">
        <v>43</v>
      </c>
      <c r="N10" s="42" t="s">
        <v>58</v>
      </c>
    </row>
    <row r="11" spans="1:14" ht="165" x14ac:dyDescent="0.25">
      <c r="A11" s="44" t="s">
        <v>112</v>
      </c>
      <c r="B11" s="38" t="s">
        <v>19</v>
      </c>
      <c r="C11" s="39" t="s">
        <v>36</v>
      </c>
      <c r="D11" s="39" t="s">
        <v>37</v>
      </c>
      <c r="E11" s="40" t="s">
        <v>60</v>
      </c>
      <c r="F11" s="40" t="s">
        <v>39</v>
      </c>
      <c r="G11" s="41" t="s">
        <v>39</v>
      </c>
      <c r="H11" s="41" t="s">
        <v>39</v>
      </c>
      <c r="I11" s="41" t="s">
        <v>40</v>
      </c>
      <c r="J11" s="45" t="s">
        <v>39</v>
      </c>
      <c r="K11" s="41" t="s">
        <v>61</v>
      </c>
      <c r="L11" s="41" t="s">
        <v>39</v>
      </c>
      <c r="M11" s="41" t="s">
        <v>43</v>
      </c>
      <c r="N11" s="42" t="s">
        <v>62</v>
      </c>
    </row>
    <row r="12" spans="1:14" ht="165" x14ac:dyDescent="0.25">
      <c r="A12" s="44" t="s">
        <v>112</v>
      </c>
      <c r="B12" s="38" t="s">
        <v>19</v>
      </c>
      <c r="C12" s="39" t="s">
        <v>36</v>
      </c>
      <c r="D12" s="39" t="s">
        <v>37</v>
      </c>
      <c r="E12" s="40" t="s">
        <v>60</v>
      </c>
      <c r="F12" s="40" t="s">
        <v>39</v>
      </c>
      <c r="G12" s="41" t="s">
        <v>39</v>
      </c>
      <c r="H12" s="41" t="s">
        <v>39</v>
      </c>
      <c r="I12" s="41" t="s">
        <v>40</v>
      </c>
      <c r="J12" s="39" t="s">
        <v>39</v>
      </c>
      <c r="K12" s="41" t="s">
        <v>61</v>
      </c>
      <c r="L12" s="41" t="s">
        <v>39</v>
      </c>
      <c r="M12" s="41" t="s">
        <v>43</v>
      </c>
      <c r="N12" s="42" t="s">
        <v>62</v>
      </c>
    </row>
    <row r="13" spans="1:14" ht="165" x14ac:dyDescent="0.25">
      <c r="A13" s="44" t="s">
        <v>112</v>
      </c>
      <c r="B13" s="38" t="s">
        <v>19</v>
      </c>
      <c r="C13" s="39" t="s">
        <v>36</v>
      </c>
      <c r="D13" s="39" t="s">
        <v>37</v>
      </c>
      <c r="E13" s="40" t="s">
        <v>60</v>
      </c>
      <c r="F13" s="40" t="s">
        <v>39</v>
      </c>
      <c r="G13" s="41" t="s">
        <v>39</v>
      </c>
      <c r="H13" s="41" t="s">
        <v>39</v>
      </c>
      <c r="I13" s="41" t="s">
        <v>40</v>
      </c>
      <c r="J13" s="39" t="s">
        <v>39</v>
      </c>
      <c r="K13" s="41" t="s">
        <v>61</v>
      </c>
      <c r="L13" s="41" t="s">
        <v>39</v>
      </c>
      <c r="M13" s="41" t="s">
        <v>43</v>
      </c>
      <c r="N13" s="42" t="s">
        <v>62</v>
      </c>
    </row>
    <row r="14" spans="1:14" ht="135" x14ac:dyDescent="0.25">
      <c r="A14" s="44" t="s">
        <v>112</v>
      </c>
      <c r="B14" s="38" t="s">
        <v>17</v>
      </c>
      <c r="C14" s="39" t="s">
        <v>36</v>
      </c>
      <c r="D14" s="39"/>
      <c r="E14" s="41" t="s">
        <v>39</v>
      </c>
      <c r="F14" s="40" t="s">
        <v>60</v>
      </c>
      <c r="G14" s="41" t="s">
        <v>39</v>
      </c>
      <c r="H14" s="41" t="s">
        <v>39</v>
      </c>
      <c r="I14" s="41" t="s">
        <v>45</v>
      </c>
      <c r="J14" s="39">
        <v>15</v>
      </c>
      <c r="K14" s="39" t="s">
        <v>39</v>
      </c>
      <c r="L14" s="41" t="s">
        <v>63</v>
      </c>
      <c r="M14" s="41" t="s">
        <v>43</v>
      </c>
      <c r="N14" s="42" t="s">
        <v>64</v>
      </c>
    </row>
    <row r="15" spans="1:14" ht="135" x14ac:dyDescent="0.25">
      <c r="A15" s="44" t="s">
        <v>113</v>
      </c>
      <c r="B15" s="38" t="s">
        <v>48</v>
      </c>
      <c r="C15" s="39" t="s">
        <v>36</v>
      </c>
      <c r="D15" s="39"/>
      <c r="E15" s="41" t="s">
        <v>39</v>
      </c>
      <c r="F15" s="40" t="s">
        <v>65</v>
      </c>
      <c r="G15" s="41" t="s">
        <v>39</v>
      </c>
      <c r="H15" s="41" t="s">
        <v>39</v>
      </c>
      <c r="I15" s="41" t="s">
        <v>49</v>
      </c>
      <c r="J15" s="39">
        <v>10</v>
      </c>
      <c r="K15" s="39" t="s">
        <v>39</v>
      </c>
      <c r="L15" s="41" t="s">
        <v>66</v>
      </c>
      <c r="M15" s="41" t="s">
        <v>43</v>
      </c>
      <c r="N15" s="42" t="s">
        <v>64</v>
      </c>
    </row>
    <row r="16" spans="1:14" ht="135" x14ac:dyDescent="0.25">
      <c r="A16" s="44" t="s">
        <v>113</v>
      </c>
      <c r="B16" s="38" t="s">
        <v>50</v>
      </c>
      <c r="C16" s="39" t="s">
        <v>36</v>
      </c>
      <c r="D16" s="39"/>
      <c r="E16" s="41" t="s">
        <v>39</v>
      </c>
      <c r="F16" s="40" t="s">
        <v>65</v>
      </c>
      <c r="G16" s="41" t="s">
        <v>39</v>
      </c>
      <c r="H16" s="41" t="s">
        <v>39</v>
      </c>
      <c r="I16" s="41" t="s">
        <v>51</v>
      </c>
      <c r="J16" s="39">
        <v>7</v>
      </c>
      <c r="K16" s="39" t="s">
        <v>39</v>
      </c>
      <c r="L16" s="41" t="s">
        <v>67</v>
      </c>
      <c r="M16" s="41" t="s">
        <v>43</v>
      </c>
      <c r="N16" s="42" t="s">
        <v>64</v>
      </c>
    </row>
    <row r="17" spans="1:14" ht="135" x14ac:dyDescent="0.25">
      <c r="A17" s="44" t="s">
        <v>114</v>
      </c>
      <c r="B17" s="38" t="s">
        <v>11</v>
      </c>
      <c r="C17" s="39" t="s">
        <v>36</v>
      </c>
      <c r="D17" s="39"/>
      <c r="E17" s="41" t="s">
        <v>39</v>
      </c>
      <c r="F17" s="40" t="s">
        <v>65</v>
      </c>
      <c r="G17" s="41" t="s">
        <v>39</v>
      </c>
      <c r="H17" s="41" t="s">
        <v>39</v>
      </c>
      <c r="I17" s="41" t="s">
        <v>52</v>
      </c>
      <c r="J17" s="39">
        <v>4</v>
      </c>
      <c r="K17" s="39" t="s">
        <v>39</v>
      </c>
      <c r="L17" s="41" t="s">
        <v>39</v>
      </c>
      <c r="M17" s="41" t="s">
        <v>43</v>
      </c>
      <c r="N17" s="42" t="s">
        <v>68</v>
      </c>
    </row>
    <row r="18" spans="1:14" ht="150" x14ac:dyDescent="0.25">
      <c r="A18" s="44" t="s">
        <v>115</v>
      </c>
      <c r="B18" s="38" t="s">
        <v>19</v>
      </c>
      <c r="C18" s="39" t="s">
        <v>36</v>
      </c>
      <c r="D18" s="39"/>
      <c r="E18" s="40" t="s">
        <v>70</v>
      </c>
      <c r="F18" s="40" t="s">
        <v>71</v>
      </c>
      <c r="G18" s="41" t="s">
        <v>39</v>
      </c>
      <c r="H18" s="41" t="s">
        <v>39</v>
      </c>
      <c r="I18" s="41">
        <v>15</v>
      </c>
      <c r="J18" s="39">
        <v>15</v>
      </c>
      <c r="K18" s="39" t="s">
        <v>39</v>
      </c>
      <c r="L18" s="41" t="s">
        <v>72</v>
      </c>
      <c r="M18" s="41" t="s">
        <v>43</v>
      </c>
      <c r="N18" s="42" t="s">
        <v>73</v>
      </c>
    </row>
    <row r="19" spans="1:14" ht="150" x14ac:dyDescent="0.25">
      <c r="A19" s="44" t="s">
        <v>115</v>
      </c>
      <c r="B19" s="38" t="s">
        <v>17</v>
      </c>
      <c r="C19" s="39" t="s">
        <v>36</v>
      </c>
      <c r="D19" s="39"/>
      <c r="E19" s="40" t="s">
        <v>70</v>
      </c>
      <c r="F19" s="40" t="s">
        <v>71</v>
      </c>
      <c r="G19" s="41" t="s">
        <v>39</v>
      </c>
      <c r="H19" s="41" t="s">
        <v>39</v>
      </c>
      <c r="I19" s="41" t="s">
        <v>45</v>
      </c>
      <c r="J19" s="39">
        <v>15</v>
      </c>
      <c r="K19" s="39" t="s">
        <v>39</v>
      </c>
      <c r="L19" s="41" t="s">
        <v>74</v>
      </c>
      <c r="M19" s="41" t="s">
        <v>43</v>
      </c>
      <c r="N19" s="42" t="s">
        <v>73</v>
      </c>
    </row>
    <row r="20" spans="1:14" ht="150" x14ac:dyDescent="0.25">
      <c r="A20" s="44" t="s">
        <v>116</v>
      </c>
      <c r="B20" s="38" t="s">
        <v>48</v>
      </c>
      <c r="C20" s="39" t="s">
        <v>36</v>
      </c>
      <c r="D20" s="39"/>
      <c r="E20" s="40" t="s">
        <v>70</v>
      </c>
      <c r="F20" s="40" t="s">
        <v>71</v>
      </c>
      <c r="G20" s="41" t="s">
        <v>39</v>
      </c>
      <c r="H20" s="41" t="s">
        <v>39</v>
      </c>
      <c r="I20" s="41" t="s">
        <v>49</v>
      </c>
      <c r="J20" s="39">
        <v>10</v>
      </c>
      <c r="K20" s="39" t="s">
        <v>39</v>
      </c>
      <c r="L20" s="41" t="s">
        <v>75</v>
      </c>
      <c r="M20" s="41" t="s">
        <v>43</v>
      </c>
      <c r="N20" s="42" t="s">
        <v>73</v>
      </c>
    </row>
    <row r="21" spans="1:14" ht="150" x14ac:dyDescent="0.25">
      <c r="A21" s="44" t="s">
        <v>116</v>
      </c>
      <c r="B21" s="38" t="s">
        <v>50</v>
      </c>
      <c r="C21" s="39" t="s">
        <v>36</v>
      </c>
      <c r="D21" s="39"/>
      <c r="E21" s="40" t="s">
        <v>70</v>
      </c>
      <c r="F21" s="40" t="s">
        <v>39</v>
      </c>
      <c r="G21" s="41" t="s">
        <v>39</v>
      </c>
      <c r="H21" s="46" t="s">
        <v>39</v>
      </c>
      <c r="I21" s="41">
        <v>4</v>
      </c>
      <c r="J21" s="39">
        <v>4</v>
      </c>
      <c r="K21" s="39" t="s">
        <v>39</v>
      </c>
      <c r="L21" s="41" t="s">
        <v>76</v>
      </c>
      <c r="M21" s="41" t="s">
        <v>43</v>
      </c>
      <c r="N21" s="42" t="s">
        <v>73</v>
      </c>
    </row>
    <row r="22" spans="1:14" ht="150" x14ac:dyDescent="0.25">
      <c r="A22" s="44" t="s">
        <v>117</v>
      </c>
      <c r="B22" s="38" t="s">
        <v>11</v>
      </c>
      <c r="C22" s="39" t="s">
        <v>36</v>
      </c>
      <c r="D22" s="39"/>
      <c r="E22" s="41" t="s">
        <v>39</v>
      </c>
      <c r="F22" s="40" t="s">
        <v>77</v>
      </c>
      <c r="G22" s="41" t="s">
        <v>39</v>
      </c>
      <c r="H22" s="41" t="s">
        <v>39</v>
      </c>
      <c r="I22" s="41">
        <v>1</v>
      </c>
      <c r="J22" s="39">
        <v>1</v>
      </c>
      <c r="K22" s="39" t="s">
        <v>39</v>
      </c>
      <c r="L22" s="41" t="s">
        <v>39</v>
      </c>
      <c r="M22" s="41" t="s">
        <v>43</v>
      </c>
      <c r="N22" s="42" t="s">
        <v>73</v>
      </c>
    </row>
    <row r="23" spans="1:14" ht="105" x14ac:dyDescent="0.25">
      <c r="A23" s="44" t="s">
        <v>118</v>
      </c>
      <c r="B23" s="38" t="s">
        <v>19</v>
      </c>
      <c r="C23" s="39" t="s">
        <v>36</v>
      </c>
      <c r="D23" s="39"/>
      <c r="E23" s="41" t="s">
        <v>39</v>
      </c>
      <c r="F23" s="41" t="s">
        <v>79</v>
      </c>
      <c r="G23" s="41" t="s">
        <v>39</v>
      </c>
      <c r="H23" s="41"/>
      <c r="I23" s="41">
        <v>15</v>
      </c>
      <c r="J23" s="39"/>
      <c r="K23" s="39"/>
      <c r="L23" s="41"/>
      <c r="M23" s="41" t="s">
        <v>80</v>
      </c>
      <c r="N23" s="42" t="s">
        <v>81</v>
      </c>
    </row>
    <row r="24" spans="1:14" ht="45" x14ac:dyDescent="0.25">
      <c r="A24" s="44" t="s">
        <v>118</v>
      </c>
      <c r="B24" s="38" t="s">
        <v>17</v>
      </c>
      <c r="C24" s="39" t="s">
        <v>36</v>
      </c>
      <c r="D24" s="39"/>
      <c r="E24" s="41"/>
      <c r="F24" s="41" t="s">
        <v>79</v>
      </c>
      <c r="G24" s="41" t="s">
        <v>39</v>
      </c>
      <c r="H24" s="41"/>
      <c r="I24" s="41">
        <v>10</v>
      </c>
      <c r="J24" s="39"/>
      <c r="K24" s="39"/>
      <c r="L24" s="41"/>
      <c r="M24" s="41" t="s">
        <v>80</v>
      </c>
      <c r="N24" s="47"/>
    </row>
    <row r="25" spans="1:14" ht="105" x14ac:dyDescent="0.25">
      <c r="A25" s="44" t="s">
        <v>119</v>
      </c>
      <c r="B25" s="38" t="s">
        <v>48</v>
      </c>
      <c r="C25" s="39" t="s">
        <v>36</v>
      </c>
      <c r="D25" s="39"/>
      <c r="E25" s="41" t="s">
        <v>39</v>
      </c>
      <c r="F25" s="41" t="s">
        <v>82</v>
      </c>
      <c r="G25" s="41" t="s">
        <v>39</v>
      </c>
      <c r="H25" s="41" t="s">
        <v>39</v>
      </c>
      <c r="I25" s="41" t="s">
        <v>49</v>
      </c>
      <c r="J25" s="39">
        <v>10</v>
      </c>
      <c r="K25" s="39" t="s">
        <v>39</v>
      </c>
      <c r="L25" s="41" t="s">
        <v>83</v>
      </c>
      <c r="M25" s="41" t="s">
        <v>43</v>
      </c>
      <c r="N25" s="42" t="s">
        <v>81</v>
      </c>
    </row>
    <row r="26" spans="1:14" ht="90" x14ac:dyDescent="0.25">
      <c r="A26" s="44" t="s">
        <v>119</v>
      </c>
      <c r="B26" s="38" t="s">
        <v>50</v>
      </c>
      <c r="C26" s="39" t="s">
        <v>36</v>
      </c>
      <c r="D26" s="39"/>
      <c r="E26" s="41" t="s">
        <v>39</v>
      </c>
      <c r="F26" s="41" t="s">
        <v>82</v>
      </c>
      <c r="G26" s="41" t="s">
        <v>39</v>
      </c>
      <c r="H26" s="41" t="s">
        <v>39</v>
      </c>
      <c r="I26" s="41" t="s">
        <v>51</v>
      </c>
      <c r="J26" s="39">
        <v>7</v>
      </c>
      <c r="K26" s="39" t="s">
        <v>39</v>
      </c>
      <c r="L26" s="41" t="s">
        <v>84</v>
      </c>
      <c r="M26" s="41" t="s">
        <v>43</v>
      </c>
      <c r="N26" s="42" t="s">
        <v>85</v>
      </c>
    </row>
    <row r="27" spans="1:14" ht="16.5" x14ac:dyDescent="0.25">
      <c r="A27" s="44" t="s">
        <v>120</v>
      </c>
      <c r="B27" s="38" t="s">
        <v>11</v>
      </c>
      <c r="C27" s="39" t="s">
        <v>36</v>
      </c>
      <c r="D27" s="39"/>
      <c r="E27" s="41" t="s">
        <v>39</v>
      </c>
      <c r="F27" s="39" t="s">
        <v>39</v>
      </c>
      <c r="G27" s="41" t="s">
        <v>39</v>
      </c>
      <c r="H27" s="41"/>
      <c r="I27" s="41">
        <v>1</v>
      </c>
      <c r="J27" s="39"/>
      <c r="K27" s="39"/>
      <c r="L27" s="41"/>
      <c r="M27" s="41" t="s">
        <v>80</v>
      </c>
      <c r="N27" s="47"/>
    </row>
    <row r="28" spans="1:14" ht="135" x14ac:dyDescent="0.25">
      <c r="A28" s="44" t="s">
        <v>121</v>
      </c>
      <c r="B28" s="38" t="s">
        <v>50</v>
      </c>
      <c r="C28" s="39" t="s">
        <v>36</v>
      </c>
      <c r="D28" s="39"/>
      <c r="E28" s="41" t="s">
        <v>39</v>
      </c>
      <c r="F28" s="41" t="s">
        <v>87</v>
      </c>
      <c r="G28" s="41" t="s">
        <v>39</v>
      </c>
      <c r="H28" s="41" t="s">
        <v>39</v>
      </c>
      <c r="I28" s="41" t="s">
        <v>51</v>
      </c>
      <c r="J28" s="39">
        <v>7</v>
      </c>
      <c r="K28" s="39" t="s">
        <v>39</v>
      </c>
      <c r="L28" s="41" t="s">
        <v>88</v>
      </c>
      <c r="M28" s="41" t="s">
        <v>43</v>
      </c>
      <c r="N28" s="42" t="s">
        <v>89</v>
      </c>
    </row>
    <row r="29" spans="1:14" ht="135" x14ac:dyDescent="0.25">
      <c r="A29" s="44" t="s">
        <v>122</v>
      </c>
      <c r="B29" s="38" t="s">
        <v>11</v>
      </c>
      <c r="C29" s="39" t="s">
        <v>36</v>
      </c>
      <c r="D29" s="39"/>
      <c r="E29" s="41" t="s">
        <v>39</v>
      </c>
      <c r="F29" s="41" t="s">
        <v>90</v>
      </c>
      <c r="G29" s="41" t="s">
        <v>39</v>
      </c>
      <c r="H29" s="41" t="s">
        <v>39</v>
      </c>
      <c r="I29" s="41" t="s">
        <v>52</v>
      </c>
      <c r="J29" s="39">
        <v>4</v>
      </c>
      <c r="K29" s="39" t="s">
        <v>39</v>
      </c>
      <c r="L29" s="41" t="s">
        <v>91</v>
      </c>
      <c r="M29" s="41" t="s">
        <v>43</v>
      </c>
      <c r="N29" s="42" t="s">
        <v>89</v>
      </c>
    </row>
    <row r="30" spans="1:14" ht="135" x14ac:dyDescent="0.25">
      <c r="A30" s="44" t="s">
        <v>123</v>
      </c>
      <c r="B30" s="38" t="s">
        <v>19</v>
      </c>
      <c r="C30" s="39" t="s">
        <v>36</v>
      </c>
      <c r="D30" s="39" t="s">
        <v>37</v>
      </c>
      <c r="E30" s="40" t="s">
        <v>93</v>
      </c>
      <c r="F30" s="40" t="s">
        <v>39</v>
      </c>
      <c r="G30" s="41" t="s">
        <v>94</v>
      </c>
      <c r="H30" s="41" t="s">
        <v>39</v>
      </c>
      <c r="I30" s="41" t="s">
        <v>40</v>
      </c>
      <c r="J30" s="39" t="s">
        <v>39</v>
      </c>
      <c r="K30" s="41" t="s">
        <v>95</v>
      </c>
      <c r="L30" s="41" t="s">
        <v>96</v>
      </c>
      <c r="M30" s="41" t="s">
        <v>43</v>
      </c>
      <c r="N30" s="48" t="s">
        <v>97</v>
      </c>
    </row>
    <row r="31" spans="1:14" ht="135" x14ac:dyDescent="0.25">
      <c r="A31" s="44" t="s">
        <v>123</v>
      </c>
      <c r="B31" s="38" t="s">
        <v>17</v>
      </c>
      <c r="C31" s="39" t="s">
        <v>36</v>
      </c>
      <c r="D31" s="39" t="s">
        <v>37</v>
      </c>
      <c r="E31" s="40" t="s">
        <v>93</v>
      </c>
      <c r="F31" s="40" t="s">
        <v>39</v>
      </c>
      <c r="G31" s="41" t="s">
        <v>39</v>
      </c>
      <c r="H31" s="41" t="s">
        <v>94</v>
      </c>
      <c r="I31" s="41" t="s">
        <v>45</v>
      </c>
      <c r="J31" s="39">
        <v>15</v>
      </c>
      <c r="K31" s="41" t="s">
        <v>95</v>
      </c>
      <c r="L31" s="41" t="s">
        <v>96</v>
      </c>
      <c r="M31" s="41" t="s">
        <v>43</v>
      </c>
      <c r="N31" s="48" t="s">
        <v>97</v>
      </c>
    </row>
    <row r="32" spans="1:14" ht="120" x14ac:dyDescent="0.25">
      <c r="A32" s="44" t="s">
        <v>98</v>
      </c>
      <c r="B32" s="41" t="s">
        <v>17</v>
      </c>
      <c r="C32" s="39" t="s">
        <v>36</v>
      </c>
      <c r="D32" s="39"/>
      <c r="E32" s="41" t="s">
        <v>99</v>
      </c>
      <c r="F32" s="41" t="s">
        <v>39</v>
      </c>
      <c r="G32" s="41" t="s">
        <v>39</v>
      </c>
      <c r="H32" s="41" t="s">
        <v>39</v>
      </c>
      <c r="I32" s="41" t="s">
        <v>45</v>
      </c>
      <c r="J32" s="39">
        <v>15</v>
      </c>
      <c r="K32" s="39" t="s">
        <v>39</v>
      </c>
      <c r="L32" s="41" t="s">
        <v>100</v>
      </c>
      <c r="M32" s="41" t="s">
        <v>43</v>
      </c>
      <c r="N32" s="48" t="s">
        <v>101</v>
      </c>
    </row>
    <row r="33" spans="1:14" ht="30" x14ac:dyDescent="0.25">
      <c r="A33" s="44" t="s">
        <v>98</v>
      </c>
      <c r="B33" s="41" t="s">
        <v>11</v>
      </c>
      <c r="C33" s="39" t="s">
        <v>36</v>
      </c>
      <c r="D33" s="39"/>
      <c r="E33" s="41" t="s">
        <v>39</v>
      </c>
      <c r="F33" s="41" t="s">
        <v>39</v>
      </c>
      <c r="G33" s="41" t="s">
        <v>39</v>
      </c>
      <c r="H33" s="41" t="s">
        <v>39</v>
      </c>
      <c r="I33" s="41" t="s">
        <v>52</v>
      </c>
      <c r="J33" s="39">
        <v>4</v>
      </c>
      <c r="K33" s="39" t="s">
        <v>39</v>
      </c>
      <c r="L33" s="41" t="s">
        <v>102</v>
      </c>
      <c r="M33" s="41" t="s">
        <v>80</v>
      </c>
      <c r="N33" s="48"/>
    </row>
    <row r="34" spans="1:14" ht="16.5" x14ac:dyDescent="0.25">
      <c r="A34" s="44" t="s">
        <v>98</v>
      </c>
      <c r="B34" s="41" t="s">
        <v>48</v>
      </c>
      <c r="C34" s="39" t="s">
        <v>36</v>
      </c>
      <c r="D34" s="39"/>
      <c r="E34" s="41"/>
      <c r="F34" s="41"/>
      <c r="G34" s="41" t="s">
        <v>39</v>
      </c>
      <c r="H34" s="41"/>
      <c r="I34" s="41">
        <v>7</v>
      </c>
      <c r="J34" s="39"/>
      <c r="K34" s="39"/>
      <c r="L34" s="41"/>
      <c r="M34" s="41" t="s">
        <v>80</v>
      </c>
      <c r="N34" s="48"/>
    </row>
    <row r="35" spans="1:14" ht="16.5" x14ac:dyDescent="0.25">
      <c r="A35" s="44" t="s">
        <v>98</v>
      </c>
      <c r="B35" s="41" t="s">
        <v>50</v>
      </c>
      <c r="C35" s="39" t="s">
        <v>36</v>
      </c>
      <c r="D35" s="39"/>
      <c r="E35" s="41" t="s">
        <v>39</v>
      </c>
      <c r="F35" s="41"/>
      <c r="G35" s="41" t="s">
        <v>39</v>
      </c>
      <c r="H35" s="41"/>
      <c r="I35" s="41">
        <v>4</v>
      </c>
      <c r="J35" s="39"/>
      <c r="K35" s="39"/>
      <c r="L35" s="41"/>
      <c r="M35" s="41" t="s">
        <v>80</v>
      </c>
      <c r="N35" s="48"/>
    </row>
    <row r="36" spans="1:14" ht="16.5" x14ac:dyDescent="0.25">
      <c r="A36" s="44" t="s">
        <v>124</v>
      </c>
      <c r="B36" s="41" t="s">
        <v>19</v>
      </c>
      <c r="C36" s="39" t="s">
        <v>36</v>
      </c>
      <c r="D36" s="39"/>
      <c r="E36" s="41" t="s">
        <v>39</v>
      </c>
      <c r="F36" s="41"/>
      <c r="G36" s="41" t="s">
        <v>39</v>
      </c>
      <c r="H36" s="41"/>
      <c r="I36" s="41">
        <v>15</v>
      </c>
      <c r="J36" s="39"/>
      <c r="K36" s="39"/>
      <c r="L36" s="41"/>
      <c r="M36" s="41" t="s">
        <v>80</v>
      </c>
      <c r="N36" s="48"/>
    </row>
    <row r="37" spans="1:14" ht="90" x14ac:dyDescent="0.25">
      <c r="A37" s="44" t="s">
        <v>124</v>
      </c>
      <c r="B37" s="41" t="s">
        <v>17</v>
      </c>
      <c r="C37" s="39" t="s">
        <v>36</v>
      </c>
      <c r="D37" s="39"/>
      <c r="E37" s="41" t="s">
        <v>39</v>
      </c>
      <c r="F37" s="40" t="s">
        <v>104</v>
      </c>
      <c r="G37" s="41" t="s">
        <v>39</v>
      </c>
      <c r="H37" s="41" t="s">
        <v>39</v>
      </c>
      <c r="I37" s="41" t="s">
        <v>45</v>
      </c>
      <c r="J37" s="39">
        <v>15</v>
      </c>
      <c r="K37" s="39" t="s">
        <v>39</v>
      </c>
      <c r="L37" s="41" t="s">
        <v>105</v>
      </c>
      <c r="M37" s="41" t="s">
        <v>43</v>
      </c>
      <c r="N37" s="48" t="s">
        <v>106</v>
      </c>
    </row>
    <row r="38" spans="1:14" ht="90" x14ac:dyDescent="0.25">
      <c r="A38" s="44" t="s">
        <v>125</v>
      </c>
      <c r="B38" s="41" t="s">
        <v>48</v>
      </c>
      <c r="C38" s="39" t="s">
        <v>36</v>
      </c>
      <c r="D38" s="39"/>
      <c r="E38" s="41" t="s">
        <v>39</v>
      </c>
      <c r="F38" s="40" t="s">
        <v>104</v>
      </c>
      <c r="G38" s="41" t="s">
        <v>39</v>
      </c>
      <c r="H38" s="41" t="s">
        <v>39</v>
      </c>
      <c r="I38" s="41" t="s">
        <v>49</v>
      </c>
      <c r="J38" s="39">
        <v>10</v>
      </c>
      <c r="K38" s="39" t="s">
        <v>39</v>
      </c>
      <c r="L38" s="41" t="s">
        <v>107</v>
      </c>
      <c r="M38" s="41" t="s">
        <v>43</v>
      </c>
      <c r="N38" s="48" t="s">
        <v>106</v>
      </c>
    </row>
    <row r="39" spans="1:14" ht="90" x14ac:dyDescent="0.25">
      <c r="A39" s="44" t="s">
        <v>125</v>
      </c>
      <c r="B39" s="41" t="s">
        <v>50</v>
      </c>
      <c r="C39" s="39" t="s">
        <v>36</v>
      </c>
      <c r="D39" s="39"/>
      <c r="E39" s="41" t="s">
        <v>39</v>
      </c>
      <c r="F39" s="40" t="s">
        <v>104</v>
      </c>
      <c r="G39" s="41" t="s">
        <v>39</v>
      </c>
      <c r="H39" s="41" t="s">
        <v>39</v>
      </c>
      <c r="I39" s="41" t="s">
        <v>51</v>
      </c>
      <c r="J39" s="39">
        <v>7</v>
      </c>
      <c r="K39" s="39" t="s">
        <v>39</v>
      </c>
      <c r="L39" s="41" t="s">
        <v>108</v>
      </c>
      <c r="M39" s="41" t="s">
        <v>43</v>
      </c>
      <c r="N39" s="48" t="s">
        <v>106</v>
      </c>
    </row>
    <row r="40" spans="1:14" s="49" customFormat="1" ht="21" x14ac:dyDescent="0.35">
      <c r="A40" s="50" t="s">
        <v>127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92307-BD65-4F48-A61F-99D9768BC71A}">
  <dimension ref="A1:Y42"/>
  <sheetViews>
    <sheetView workbookViewId="0">
      <selection activeCell="Y22" sqref="Y22"/>
    </sheetView>
  </sheetViews>
  <sheetFormatPr defaultRowHeight="15" x14ac:dyDescent="0.25"/>
  <sheetData>
    <row r="1" spans="1:25" ht="18.75" x14ac:dyDescent="0.3">
      <c r="A1" s="51" t="s">
        <v>128</v>
      </c>
    </row>
    <row r="3" spans="1:25" x14ac:dyDescent="0.25">
      <c r="A3" s="52" t="s">
        <v>129</v>
      </c>
      <c r="B3" s="52" t="s">
        <v>130</v>
      </c>
      <c r="C3" s="52" t="s">
        <v>24</v>
      </c>
      <c r="D3" s="53" t="s">
        <v>131</v>
      </c>
      <c r="E3" s="54"/>
      <c r="F3" s="54"/>
      <c r="G3" s="54"/>
      <c r="H3" s="54"/>
      <c r="I3" s="53" t="s">
        <v>132</v>
      </c>
      <c r="J3" s="54"/>
      <c r="K3" s="54"/>
      <c r="L3" s="54"/>
      <c r="M3" s="54"/>
      <c r="N3" s="53" t="s">
        <v>133</v>
      </c>
      <c r="O3" s="54"/>
      <c r="P3" s="54"/>
      <c r="Q3" s="54"/>
      <c r="R3" s="54"/>
      <c r="S3" s="53" t="s">
        <v>134</v>
      </c>
      <c r="T3" s="54"/>
      <c r="U3" s="54"/>
      <c r="V3" s="54"/>
      <c r="W3" s="54"/>
      <c r="X3" s="55"/>
      <c r="Y3" s="55"/>
    </row>
    <row r="4" spans="1:25" ht="15.75" thickBot="1" x14ac:dyDescent="0.3">
      <c r="A4" s="56"/>
      <c r="B4" s="57"/>
      <c r="C4" s="57"/>
      <c r="D4" s="58" t="s">
        <v>135</v>
      </c>
      <c r="E4" s="58" t="s">
        <v>136</v>
      </c>
      <c r="F4" s="58" t="s">
        <v>137</v>
      </c>
      <c r="G4" s="58" t="s">
        <v>138</v>
      </c>
      <c r="H4" s="58" t="s">
        <v>139</v>
      </c>
      <c r="I4" s="58" t="s">
        <v>135</v>
      </c>
      <c r="J4" s="58" t="s">
        <v>136</v>
      </c>
      <c r="K4" s="58" t="s">
        <v>137</v>
      </c>
      <c r="L4" s="58" t="s">
        <v>138</v>
      </c>
      <c r="M4" s="58" t="s">
        <v>139</v>
      </c>
      <c r="N4" s="58" t="s">
        <v>135</v>
      </c>
      <c r="O4" s="58" t="s">
        <v>136</v>
      </c>
      <c r="P4" s="58" t="s">
        <v>137</v>
      </c>
      <c r="Q4" s="58" t="s">
        <v>138</v>
      </c>
      <c r="R4" s="58" t="s">
        <v>139</v>
      </c>
      <c r="S4" s="58" t="s">
        <v>135</v>
      </c>
      <c r="T4" s="58" t="s">
        <v>136</v>
      </c>
      <c r="U4" s="58" t="s">
        <v>137</v>
      </c>
      <c r="V4" s="58" t="s">
        <v>138</v>
      </c>
      <c r="W4" s="58" t="s">
        <v>139</v>
      </c>
      <c r="X4" s="59"/>
      <c r="Y4" s="59"/>
    </row>
    <row r="5" spans="1:25" ht="15.75" thickTop="1" x14ac:dyDescent="0.25">
      <c r="A5" s="60" t="s">
        <v>35</v>
      </c>
      <c r="B5" s="60" t="s">
        <v>140</v>
      </c>
      <c r="C5" s="61" t="s">
        <v>24</v>
      </c>
      <c r="D5" s="62"/>
      <c r="E5" s="62"/>
      <c r="F5" s="62"/>
      <c r="G5" s="62"/>
      <c r="H5" s="62"/>
      <c r="I5" s="62"/>
      <c r="J5" s="62"/>
      <c r="K5" s="62"/>
      <c r="L5" s="62"/>
      <c r="M5" s="62"/>
      <c r="N5" s="63">
        <v>1</v>
      </c>
      <c r="O5" s="63">
        <v>1</v>
      </c>
      <c r="P5" s="63">
        <v>1</v>
      </c>
      <c r="Q5" s="62">
        <v>1</v>
      </c>
      <c r="R5" s="62">
        <v>1</v>
      </c>
      <c r="S5" s="62"/>
      <c r="T5" s="62"/>
      <c r="U5" s="62"/>
      <c r="V5" s="62"/>
      <c r="W5" s="62"/>
    </row>
    <row r="6" spans="1:25" x14ac:dyDescent="0.25">
      <c r="A6" s="60" t="s">
        <v>35</v>
      </c>
      <c r="B6" s="60" t="s">
        <v>141</v>
      </c>
      <c r="C6" s="61"/>
      <c r="D6" s="62"/>
      <c r="E6" s="62"/>
      <c r="F6" s="62"/>
      <c r="G6" s="62"/>
      <c r="H6" s="62"/>
      <c r="I6" s="62"/>
      <c r="J6" s="62"/>
      <c r="K6" s="62"/>
      <c r="L6" s="62"/>
      <c r="M6" s="62"/>
      <c r="N6" s="62">
        <v>1</v>
      </c>
      <c r="O6" s="62">
        <v>1</v>
      </c>
      <c r="P6" s="62">
        <v>1</v>
      </c>
      <c r="Q6" s="62">
        <v>1</v>
      </c>
      <c r="R6" s="62">
        <v>1</v>
      </c>
      <c r="S6" s="62">
        <v>2</v>
      </c>
      <c r="T6" s="62">
        <v>2</v>
      </c>
      <c r="U6" s="62">
        <v>2</v>
      </c>
      <c r="V6" s="62">
        <v>1</v>
      </c>
      <c r="W6" s="62">
        <v>1</v>
      </c>
    </row>
    <row r="7" spans="1:25" x14ac:dyDescent="0.25">
      <c r="A7" s="60" t="s">
        <v>35</v>
      </c>
      <c r="B7" s="64" t="s">
        <v>142</v>
      </c>
      <c r="C7" s="65"/>
      <c r="D7" s="66"/>
      <c r="E7" s="66"/>
      <c r="F7" s="66"/>
      <c r="G7" s="66"/>
      <c r="H7" s="66"/>
      <c r="I7" s="66"/>
      <c r="J7" s="66"/>
      <c r="K7" s="66"/>
      <c r="L7" s="66"/>
      <c r="M7" s="66"/>
      <c r="N7" s="67">
        <v>1</v>
      </c>
      <c r="O7" s="67">
        <v>1</v>
      </c>
      <c r="P7" s="67">
        <v>2</v>
      </c>
      <c r="Q7" s="67">
        <v>2</v>
      </c>
      <c r="R7" s="67">
        <v>2</v>
      </c>
      <c r="S7" s="66"/>
      <c r="T7" s="66"/>
      <c r="U7" s="66"/>
      <c r="V7" s="66">
        <v>2</v>
      </c>
      <c r="W7" s="66">
        <v>2</v>
      </c>
    </row>
    <row r="8" spans="1:25" x14ac:dyDescent="0.25">
      <c r="A8" s="60" t="s">
        <v>35</v>
      </c>
      <c r="B8" s="64" t="s">
        <v>143</v>
      </c>
      <c r="C8" s="65"/>
      <c r="D8" s="66"/>
      <c r="E8" s="66"/>
      <c r="F8" s="66"/>
      <c r="G8" s="66"/>
      <c r="H8" s="66"/>
      <c r="I8" s="66"/>
      <c r="J8" s="66"/>
      <c r="K8" s="66"/>
      <c r="L8" s="66"/>
      <c r="M8" s="66"/>
      <c r="N8" s="67">
        <v>1</v>
      </c>
      <c r="O8" s="67">
        <v>1</v>
      </c>
      <c r="P8" s="67">
        <v>2</v>
      </c>
      <c r="Q8" s="67">
        <v>2</v>
      </c>
      <c r="R8" s="67">
        <v>2</v>
      </c>
      <c r="S8" s="66"/>
      <c r="T8" s="66"/>
      <c r="U8" s="66"/>
      <c r="V8" s="66"/>
      <c r="W8" s="66"/>
    </row>
    <row r="9" spans="1:25" x14ac:dyDescent="0.25">
      <c r="A9" s="60" t="s">
        <v>35</v>
      </c>
      <c r="B9" s="64" t="s">
        <v>11</v>
      </c>
      <c r="C9" s="65"/>
      <c r="D9" s="66"/>
      <c r="E9" s="66"/>
      <c r="F9" s="66"/>
      <c r="G9" s="66"/>
      <c r="H9" s="66"/>
      <c r="I9" s="66"/>
      <c r="J9" s="66"/>
      <c r="K9" s="66"/>
      <c r="L9" s="66"/>
      <c r="M9" s="66"/>
      <c r="N9" s="68">
        <v>2</v>
      </c>
      <c r="O9" s="68">
        <v>2</v>
      </c>
      <c r="P9" s="67">
        <v>2</v>
      </c>
      <c r="Q9" s="67">
        <v>2</v>
      </c>
      <c r="R9" s="67">
        <v>2</v>
      </c>
      <c r="S9" s="66"/>
      <c r="T9" s="66">
        <v>1</v>
      </c>
      <c r="U9" s="66">
        <v>1</v>
      </c>
      <c r="V9" s="66">
        <v>1</v>
      </c>
      <c r="W9" s="66">
        <v>1</v>
      </c>
    </row>
    <row r="10" spans="1:25" x14ac:dyDescent="0.25">
      <c r="A10" s="64" t="s">
        <v>53</v>
      </c>
      <c r="B10" s="60" t="s">
        <v>141</v>
      </c>
      <c r="C10" s="65"/>
      <c r="D10" s="66"/>
      <c r="E10" s="66"/>
      <c r="F10" s="66"/>
      <c r="G10" s="66"/>
      <c r="H10" s="66"/>
      <c r="I10" s="66">
        <v>1</v>
      </c>
      <c r="J10" s="66">
        <v>1</v>
      </c>
      <c r="K10" s="66">
        <v>1</v>
      </c>
      <c r="L10" s="66">
        <v>1</v>
      </c>
      <c r="M10" s="66">
        <v>1</v>
      </c>
      <c r="N10" s="66"/>
      <c r="O10" s="66"/>
      <c r="P10" s="66"/>
      <c r="Q10" s="66"/>
      <c r="R10" s="66"/>
      <c r="S10" s="66">
        <v>2</v>
      </c>
      <c r="T10" s="66">
        <v>2</v>
      </c>
      <c r="U10" s="66">
        <v>2</v>
      </c>
      <c r="V10" s="66">
        <v>2</v>
      </c>
      <c r="W10" s="66">
        <v>2</v>
      </c>
    </row>
    <row r="11" spans="1:25" x14ac:dyDescent="0.25">
      <c r="A11" s="64" t="s">
        <v>53</v>
      </c>
      <c r="B11" s="64" t="s">
        <v>142</v>
      </c>
      <c r="C11" s="65"/>
      <c r="D11" s="66"/>
      <c r="E11" s="66"/>
      <c r="F11" s="66"/>
      <c r="G11" s="66"/>
      <c r="H11" s="66"/>
      <c r="I11" s="66">
        <v>1</v>
      </c>
      <c r="J11" s="66">
        <v>1</v>
      </c>
      <c r="K11" s="66">
        <v>1</v>
      </c>
      <c r="L11" s="66">
        <v>1</v>
      </c>
      <c r="M11" s="66">
        <v>1</v>
      </c>
      <c r="N11" s="66"/>
      <c r="O11" s="66"/>
      <c r="P11" s="66"/>
      <c r="Q11" s="66"/>
      <c r="R11" s="66"/>
      <c r="S11" s="66"/>
      <c r="T11" s="66"/>
      <c r="U11" s="66">
        <v>1</v>
      </c>
      <c r="V11" s="66">
        <v>1</v>
      </c>
      <c r="W11" s="66">
        <v>1</v>
      </c>
    </row>
    <row r="12" spans="1:25" x14ac:dyDescent="0.25">
      <c r="A12" s="64" t="s">
        <v>53</v>
      </c>
      <c r="B12" s="64" t="s">
        <v>143</v>
      </c>
      <c r="C12" s="65"/>
      <c r="D12" s="66"/>
      <c r="E12" s="66"/>
      <c r="F12" s="66"/>
      <c r="G12" s="66"/>
      <c r="H12" s="66"/>
      <c r="I12" s="66">
        <v>2</v>
      </c>
      <c r="J12" s="66">
        <v>2</v>
      </c>
      <c r="K12" s="66">
        <v>2</v>
      </c>
      <c r="L12" s="66">
        <v>2</v>
      </c>
      <c r="M12" s="66">
        <v>2</v>
      </c>
      <c r="N12" s="66"/>
      <c r="O12" s="66"/>
      <c r="P12" s="66"/>
      <c r="Q12" s="66"/>
      <c r="R12" s="66"/>
      <c r="S12" s="66"/>
      <c r="T12" s="66"/>
      <c r="U12" s="66"/>
      <c r="V12" s="66">
        <v>1</v>
      </c>
      <c r="W12" s="66">
        <v>1</v>
      </c>
    </row>
    <row r="13" spans="1:25" x14ac:dyDescent="0.25">
      <c r="A13" s="64" t="s">
        <v>53</v>
      </c>
      <c r="B13" s="64" t="s">
        <v>11</v>
      </c>
      <c r="C13" s="65"/>
      <c r="D13" s="66"/>
      <c r="E13" s="66"/>
      <c r="F13" s="66"/>
      <c r="G13" s="66"/>
      <c r="H13" s="66"/>
      <c r="I13" s="66">
        <v>1</v>
      </c>
      <c r="J13" s="66">
        <v>1</v>
      </c>
      <c r="K13" s="66">
        <v>1</v>
      </c>
      <c r="L13" s="66">
        <v>1</v>
      </c>
      <c r="M13" s="66">
        <v>1</v>
      </c>
      <c r="N13" s="66"/>
      <c r="O13" s="66"/>
      <c r="P13" s="66"/>
      <c r="Q13" s="66"/>
      <c r="R13" s="66"/>
      <c r="S13" s="66">
        <v>0.5</v>
      </c>
      <c r="T13" s="66">
        <v>0.5</v>
      </c>
      <c r="U13" s="66">
        <v>0.5</v>
      </c>
      <c r="V13" s="66">
        <v>0.5</v>
      </c>
      <c r="W13" s="66">
        <v>0.5</v>
      </c>
    </row>
    <row r="14" spans="1:25" x14ac:dyDescent="0.25">
      <c r="A14" s="64" t="s">
        <v>59</v>
      </c>
      <c r="B14" s="60" t="s">
        <v>140</v>
      </c>
      <c r="C14" s="65" t="s">
        <v>24</v>
      </c>
      <c r="D14" s="66"/>
      <c r="E14" s="66"/>
      <c r="F14" s="66"/>
      <c r="G14" s="66"/>
      <c r="H14" s="66"/>
      <c r="I14" s="67">
        <v>1</v>
      </c>
      <c r="J14" s="67">
        <v>1</v>
      </c>
      <c r="K14" s="67">
        <v>1</v>
      </c>
      <c r="L14" s="67">
        <v>1</v>
      </c>
      <c r="M14" s="67">
        <v>1</v>
      </c>
      <c r="N14" s="66"/>
      <c r="O14" s="66"/>
      <c r="P14" s="66"/>
      <c r="Q14" s="66"/>
      <c r="R14" s="66"/>
      <c r="S14" s="66"/>
      <c r="T14" s="66"/>
      <c r="U14" s="66"/>
      <c r="V14" s="66"/>
      <c r="W14" s="66"/>
    </row>
    <row r="15" spans="1:25" x14ac:dyDescent="0.25">
      <c r="A15" s="64" t="s">
        <v>59</v>
      </c>
      <c r="B15" s="60" t="s">
        <v>140</v>
      </c>
      <c r="C15" s="65" t="s">
        <v>24</v>
      </c>
      <c r="D15" s="66"/>
      <c r="E15" s="66"/>
      <c r="F15" s="66"/>
      <c r="G15" s="66"/>
      <c r="H15" s="66"/>
      <c r="I15" s="68"/>
      <c r="J15" s="68"/>
      <c r="K15" s="68"/>
      <c r="L15" s="68"/>
      <c r="M15" s="68"/>
      <c r="N15" s="66"/>
      <c r="O15" s="66"/>
      <c r="P15" s="66"/>
      <c r="Q15" s="66"/>
      <c r="R15" s="66"/>
      <c r="S15" s="66">
        <v>1</v>
      </c>
      <c r="T15" s="66">
        <v>1</v>
      </c>
      <c r="U15" s="66">
        <v>1</v>
      </c>
      <c r="V15" s="66">
        <v>1</v>
      </c>
      <c r="W15" s="66">
        <v>1</v>
      </c>
    </row>
    <row r="16" spans="1:25" x14ac:dyDescent="0.25">
      <c r="A16" s="64" t="s">
        <v>59</v>
      </c>
      <c r="B16" s="60" t="s">
        <v>140</v>
      </c>
      <c r="C16" s="65" t="s">
        <v>24</v>
      </c>
      <c r="D16" s="66"/>
      <c r="E16" s="66"/>
      <c r="F16" s="66"/>
      <c r="G16" s="66"/>
      <c r="H16" s="66"/>
      <c r="I16" s="66"/>
      <c r="J16" s="66"/>
      <c r="K16" s="66"/>
      <c r="L16" s="66"/>
      <c r="M16" s="66"/>
      <c r="N16" s="66"/>
      <c r="O16" s="66"/>
      <c r="P16" s="66"/>
      <c r="Q16" s="66"/>
      <c r="R16" s="66"/>
      <c r="S16" s="66">
        <v>1</v>
      </c>
      <c r="T16" s="66">
        <v>1</v>
      </c>
      <c r="U16" s="66">
        <v>1</v>
      </c>
      <c r="V16" s="66">
        <v>1</v>
      </c>
      <c r="W16" s="66">
        <v>1</v>
      </c>
    </row>
    <row r="17" spans="1:23" x14ac:dyDescent="0.25">
      <c r="A17" s="64" t="s">
        <v>59</v>
      </c>
      <c r="B17" s="60" t="s">
        <v>141</v>
      </c>
      <c r="C17" s="65"/>
      <c r="D17" s="67">
        <v>1</v>
      </c>
      <c r="E17" s="67">
        <v>1</v>
      </c>
      <c r="F17" s="67">
        <v>1</v>
      </c>
      <c r="G17" s="66">
        <v>1</v>
      </c>
      <c r="H17" s="66">
        <v>1</v>
      </c>
      <c r="I17" s="66"/>
      <c r="J17" s="66"/>
      <c r="K17" s="66"/>
      <c r="L17" s="66"/>
      <c r="M17" s="66"/>
      <c r="N17" s="66"/>
      <c r="O17" s="66"/>
      <c r="P17" s="66"/>
      <c r="Q17" s="66"/>
      <c r="R17" s="66"/>
      <c r="S17" s="66">
        <v>1.5</v>
      </c>
      <c r="T17" s="66">
        <v>1.5</v>
      </c>
      <c r="U17" s="66">
        <v>2</v>
      </c>
      <c r="V17" s="66">
        <v>2</v>
      </c>
      <c r="W17" s="66">
        <v>2</v>
      </c>
    </row>
    <row r="18" spans="1:23" x14ac:dyDescent="0.25">
      <c r="A18" s="64" t="s">
        <v>59</v>
      </c>
      <c r="B18" s="64" t="s">
        <v>142</v>
      </c>
      <c r="C18" s="65"/>
      <c r="D18" s="66">
        <v>1</v>
      </c>
      <c r="E18" s="66">
        <v>2</v>
      </c>
      <c r="F18" s="66">
        <v>2</v>
      </c>
      <c r="G18" s="66">
        <v>2</v>
      </c>
      <c r="H18" s="66">
        <v>2</v>
      </c>
      <c r="I18" s="66"/>
      <c r="J18" s="66"/>
      <c r="K18" s="66"/>
      <c r="L18" s="66"/>
      <c r="M18" s="66"/>
      <c r="N18" s="66"/>
      <c r="O18" s="66"/>
      <c r="P18" s="66"/>
      <c r="Q18" s="68">
        <v>1</v>
      </c>
      <c r="R18" s="68">
        <v>1</v>
      </c>
      <c r="S18" s="66"/>
      <c r="T18" s="66">
        <v>1</v>
      </c>
      <c r="U18" s="66">
        <v>1</v>
      </c>
      <c r="V18" s="66">
        <v>1</v>
      </c>
      <c r="W18" s="66">
        <v>1</v>
      </c>
    </row>
    <row r="19" spans="1:23" x14ac:dyDescent="0.25">
      <c r="A19" s="64" t="s">
        <v>59</v>
      </c>
      <c r="B19" s="64" t="s">
        <v>143</v>
      </c>
      <c r="C19" s="65"/>
      <c r="D19" s="66">
        <v>3</v>
      </c>
      <c r="E19" s="66">
        <v>3</v>
      </c>
      <c r="F19" s="66">
        <v>3</v>
      </c>
      <c r="G19" s="66">
        <v>3</v>
      </c>
      <c r="H19" s="66">
        <v>3</v>
      </c>
      <c r="I19" s="66"/>
      <c r="J19" s="66"/>
      <c r="K19" s="66"/>
      <c r="L19" s="66"/>
      <c r="M19" s="66"/>
      <c r="N19" s="66"/>
      <c r="O19" s="66"/>
      <c r="P19" s="66"/>
      <c r="Q19" s="66"/>
      <c r="R19" s="66"/>
      <c r="S19" s="66">
        <v>2</v>
      </c>
      <c r="T19" s="66">
        <v>2</v>
      </c>
      <c r="U19" s="68">
        <v>3</v>
      </c>
      <c r="V19" s="68">
        <v>3</v>
      </c>
      <c r="W19" s="68">
        <v>3</v>
      </c>
    </row>
    <row r="20" spans="1:23" x14ac:dyDescent="0.25">
      <c r="A20" s="64" t="s">
        <v>59</v>
      </c>
      <c r="B20" s="64" t="s">
        <v>11</v>
      </c>
      <c r="C20" s="65"/>
      <c r="D20" s="66">
        <v>1</v>
      </c>
      <c r="E20" s="66">
        <v>1</v>
      </c>
      <c r="F20" s="66">
        <v>1</v>
      </c>
      <c r="G20" s="66">
        <v>1</v>
      </c>
      <c r="H20" s="66">
        <v>1</v>
      </c>
      <c r="I20" s="66"/>
      <c r="J20" s="66"/>
      <c r="K20" s="66"/>
      <c r="L20" s="66"/>
      <c r="M20" s="66"/>
      <c r="N20" s="66"/>
      <c r="O20" s="66"/>
      <c r="P20" s="66"/>
      <c r="Q20" s="66"/>
      <c r="R20" s="66"/>
      <c r="S20" s="66">
        <v>1</v>
      </c>
      <c r="T20" s="66">
        <v>2</v>
      </c>
      <c r="U20" s="66">
        <v>2</v>
      </c>
      <c r="V20" s="66">
        <v>3</v>
      </c>
      <c r="W20" s="66">
        <v>3</v>
      </c>
    </row>
    <row r="21" spans="1:23" x14ac:dyDescent="0.25">
      <c r="A21" s="64" t="s">
        <v>69</v>
      </c>
      <c r="B21" s="60" t="s">
        <v>141</v>
      </c>
      <c r="C21" s="65"/>
      <c r="D21" s="68">
        <v>1</v>
      </c>
      <c r="E21" s="68">
        <v>1</v>
      </c>
      <c r="F21" s="68">
        <v>1</v>
      </c>
      <c r="G21" s="68">
        <v>1</v>
      </c>
      <c r="H21" s="68">
        <v>1</v>
      </c>
      <c r="I21" s="66"/>
      <c r="J21" s="66"/>
      <c r="K21" s="66"/>
      <c r="L21" s="66"/>
      <c r="M21" s="66"/>
      <c r="N21" s="66"/>
      <c r="O21" s="66"/>
      <c r="P21" s="66"/>
      <c r="Q21" s="66"/>
      <c r="R21" s="66"/>
      <c r="S21" s="66">
        <v>1</v>
      </c>
      <c r="T21" s="66">
        <v>1</v>
      </c>
      <c r="U21" s="66">
        <v>1</v>
      </c>
      <c r="V21" s="66">
        <v>1</v>
      </c>
      <c r="W21" s="66">
        <v>1</v>
      </c>
    </row>
    <row r="22" spans="1:23" x14ac:dyDescent="0.25">
      <c r="A22" s="64" t="s">
        <v>69</v>
      </c>
      <c r="B22" s="64" t="s">
        <v>142</v>
      </c>
      <c r="C22" s="65"/>
      <c r="D22" s="66"/>
      <c r="E22" s="66"/>
      <c r="F22" s="66"/>
      <c r="G22" s="66"/>
      <c r="H22" s="66"/>
      <c r="I22" s="66"/>
      <c r="J22" s="66"/>
      <c r="K22" s="66"/>
      <c r="L22" s="66"/>
      <c r="M22" s="66"/>
      <c r="N22" s="66"/>
      <c r="O22" s="66"/>
      <c r="P22" s="66"/>
      <c r="Q22" s="66"/>
      <c r="R22" s="66"/>
      <c r="S22" s="68">
        <v>2</v>
      </c>
      <c r="T22" s="66">
        <v>2</v>
      </c>
      <c r="U22" s="66">
        <v>2</v>
      </c>
      <c r="V22" s="68">
        <v>2</v>
      </c>
      <c r="W22" s="68">
        <v>2</v>
      </c>
    </row>
    <row r="23" spans="1:23" x14ac:dyDescent="0.25">
      <c r="A23" s="64" t="s">
        <v>78</v>
      </c>
      <c r="B23" s="64" t="s">
        <v>142</v>
      </c>
      <c r="C23" s="65"/>
      <c r="D23" s="66"/>
      <c r="E23" s="66"/>
      <c r="F23" s="66"/>
      <c r="G23" s="66"/>
      <c r="H23" s="66"/>
      <c r="I23" s="66"/>
      <c r="J23" s="66"/>
      <c r="K23" s="66"/>
      <c r="L23" s="66"/>
      <c r="M23" s="66"/>
      <c r="N23" s="66"/>
      <c r="O23" s="66"/>
      <c r="P23" s="66"/>
      <c r="Q23" s="66"/>
      <c r="R23" s="66"/>
      <c r="S23" s="66">
        <v>2</v>
      </c>
      <c r="T23" s="66">
        <v>2</v>
      </c>
      <c r="U23" s="66">
        <v>2</v>
      </c>
      <c r="V23" s="66">
        <v>2</v>
      </c>
      <c r="W23" s="66">
        <v>2</v>
      </c>
    </row>
    <row r="24" spans="1:23" x14ac:dyDescent="0.25">
      <c r="A24" s="64" t="s">
        <v>78</v>
      </c>
      <c r="B24" s="64" t="s">
        <v>143</v>
      </c>
      <c r="C24" s="65"/>
      <c r="D24" s="66"/>
      <c r="E24" s="66"/>
      <c r="F24" s="66"/>
      <c r="G24" s="66"/>
      <c r="H24" s="66"/>
      <c r="I24" s="66"/>
      <c r="J24" s="66"/>
      <c r="K24" s="66"/>
      <c r="L24" s="66"/>
      <c r="M24" s="66"/>
      <c r="N24" s="66"/>
      <c r="O24" s="66"/>
      <c r="P24" s="66"/>
      <c r="Q24" s="66"/>
      <c r="R24" s="66"/>
      <c r="S24" s="66">
        <v>1</v>
      </c>
      <c r="T24" s="66">
        <v>1</v>
      </c>
      <c r="U24" s="66">
        <v>1</v>
      </c>
      <c r="V24" s="66">
        <v>1</v>
      </c>
      <c r="W24" s="66">
        <v>1</v>
      </c>
    </row>
    <row r="25" spans="1:23" x14ac:dyDescent="0.25">
      <c r="A25" s="64" t="s">
        <v>86</v>
      </c>
      <c r="B25" s="64" t="s">
        <v>143</v>
      </c>
      <c r="C25" s="65"/>
      <c r="D25" s="66">
        <v>1</v>
      </c>
      <c r="E25" s="66">
        <v>1</v>
      </c>
      <c r="F25" s="66">
        <v>1</v>
      </c>
      <c r="G25" s="66">
        <v>1</v>
      </c>
      <c r="H25" s="66">
        <v>1</v>
      </c>
      <c r="I25" s="66"/>
      <c r="J25" s="66"/>
      <c r="K25" s="66"/>
      <c r="L25" s="66"/>
      <c r="M25" s="66"/>
      <c r="N25" s="66"/>
      <c r="O25" s="66"/>
      <c r="P25" s="66"/>
      <c r="Q25" s="66"/>
      <c r="R25" s="66"/>
      <c r="S25" s="66"/>
      <c r="T25" s="66"/>
      <c r="U25" s="66"/>
      <c r="V25" s="66"/>
      <c r="W25" s="66"/>
    </row>
    <row r="26" spans="1:23" x14ac:dyDescent="0.25">
      <c r="A26" s="64" t="s">
        <v>86</v>
      </c>
      <c r="B26" s="64" t="s">
        <v>11</v>
      </c>
      <c r="C26" s="65"/>
      <c r="D26" s="68">
        <v>1</v>
      </c>
      <c r="E26" s="68">
        <v>1</v>
      </c>
      <c r="F26" s="66">
        <v>1</v>
      </c>
      <c r="G26" s="66">
        <v>1</v>
      </c>
      <c r="H26" s="66">
        <v>1</v>
      </c>
      <c r="I26" s="66"/>
      <c r="J26" s="66"/>
      <c r="K26" s="66"/>
      <c r="L26" s="66"/>
      <c r="M26" s="66"/>
      <c r="N26" s="66"/>
      <c r="O26" s="66"/>
      <c r="P26" s="66"/>
      <c r="Q26" s="66"/>
      <c r="R26" s="66"/>
      <c r="S26" s="68">
        <v>1</v>
      </c>
      <c r="T26" s="68">
        <v>1</v>
      </c>
      <c r="U26" s="68">
        <v>1</v>
      </c>
      <c r="V26" s="68">
        <v>1</v>
      </c>
      <c r="W26" s="68">
        <v>1</v>
      </c>
    </row>
    <row r="27" spans="1:23" x14ac:dyDescent="0.25">
      <c r="A27" s="64" t="s">
        <v>92</v>
      </c>
      <c r="B27" s="60" t="s">
        <v>140</v>
      </c>
      <c r="C27" s="65" t="s">
        <v>24</v>
      </c>
      <c r="D27" s="66">
        <v>1</v>
      </c>
      <c r="E27" s="66">
        <v>1</v>
      </c>
      <c r="F27" s="66">
        <v>1</v>
      </c>
      <c r="G27" s="66">
        <v>1</v>
      </c>
      <c r="H27" s="66">
        <v>1</v>
      </c>
      <c r="I27" s="66"/>
      <c r="J27" s="66"/>
      <c r="K27" s="66"/>
      <c r="L27" s="66"/>
      <c r="M27" s="66"/>
      <c r="N27" s="66"/>
      <c r="O27" s="66"/>
      <c r="P27" s="66"/>
      <c r="Q27" s="66"/>
      <c r="R27" s="66"/>
      <c r="S27" s="66"/>
      <c r="T27" s="66"/>
      <c r="U27" s="66"/>
      <c r="V27" s="66"/>
      <c r="W27" s="66"/>
    </row>
    <row r="28" spans="1:23" x14ac:dyDescent="0.25">
      <c r="A28" s="64" t="s">
        <v>92</v>
      </c>
      <c r="B28" s="60" t="s">
        <v>141</v>
      </c>
      <c r="C28" s="65" t="s">
        <v>24</v>
      </c>
      <c r="D28" s="66"/>
      <c r="E28" s="66"/>
      <c r="F28" s="66"/>
      <c r="G28" s="66"/>
      <c r="H28" s="66"/>
      <c r="I28" s="66"/>
      <c r="J28" s="66"/>
      <c r="K28" s="66"/>
      <c r="L28" s="66"/>
      <c r="M28" s="66"/>
      <c r="N28" s="66"/>
      <c r="O28" s="66"/>
      <c r="P28" s="66"/>
      <c r="Q28" s="66"/>
      <c r="R28" s="66"/>
      <c r="S28" s="66">
        <v>1</v>
      </c>
      <c r="T28" s="66">
        <v>1</v>
      </c>
      <c r="U28" s="66">
        <v>1</v>
      </c>
      <c r="V28" s="66">
        <v>1</v>
      </c>
      <c r="W28" s="66">
        <v>1</v>
      </c>
    </row>
    <row r="29" spans="1:23" x14ac:dyDescent="0.25">
      <c r="A29" s="64" t="s">
        <v>98</v>
      </c>
      <c r="B29" s="60" t="s">
        <v>141</v>
      </c>
      <c r="C29" s="65"/>
      <c r="D29" s="66"/>
      <c r="E29" s="66"/>
      <c r="F29" s="66"/>
      <c r="G29" s="66"/>
      <c r="H29" s="66"/>
      <c r="I29" s="66"/>
      <c r="J29" s="66"/>
      <c r="K29" s="66"/>
      <c r="L29" s="66"/>
      <c r="M29" s="66"/>
      <c r="N29" s="66"/>
      <c r="O29" s="66"/>
      <c r="P29" s="66"/>
      <c r="Q29" s="66"/>
      <c r="R29" s="66"/>
      <c r="S29" s="66"/>
      <c r="T29" s="68">
        <v>1</v>
      </c>
      <c r="U29" s="66">
        <v>1</v>
      </c>
      <c r="V29" s="66">
        <v>1</v>
      </c>
      <c r="W29" s="66">
        <v>1</v>
      </c>
    </row>
    <row r="30" spans="1:23" x14ac:dyDescent="0.25">
      <c r="A30" s="64" t="s">
        <v>98</v>
      </c>
      <c r="B30" s="60" t="s">
        <v>11</v>
      </c>
      <c r="C30" s="65"/>
      <c r="D30" s="66"/>
      <c r="E30" s="66"/>
      <c r="F30" s="66"/>
      <c r="G30" s="66"/>
      <c r="H30" s="66"/>
      <c r="I30" s="66"/>
      <c r="J30" s="66"/>
      <c r="K30" s="66"/>
      <c r="L30" s="66"/>
      <c r="M30" s="66"/>
      <c r="N30" s="66"/>
      <c r="O30" s="66"/>
      <c r="P30" s="66"/>
      <c r="Q30" s="66"/>
      <c r="R30" s="66"/>
      <c r="S30" s="66"/>
      <c r="T30" s="68"/>
      <c r="U30" s="68">
        <v>1</v>
      </c>
      <c r="V30" s="68">
        <v>1</v>
      </c>
      <c r="W30" s="68">
        <v>1</v>
      </c>
    </row>
    <row r="31" spans="1:23" x14ac:dyDescent="0.25">
      <c r="A31" s="64" t="s">
        <v>103</v>
      </c>
      <c r="B31" s="60" t="s">
        <v>141</v>
      </c>
      <c r="C31" s="65"/>
      <c r="D31" s="66"/>
      <c r="E31" s="66"/>
      <c r="F31" s="66"/>
      <c r="G31" s="66"/>
      <c r="H31" s="66"/>
      <c r="I31" s="68"/>
      <c r="J31" s="68"/>
      <c r="K31" s="68"/>
      <c r="L31" s="68"/>
      <c r="M31" s="68"/>
      <c r="N31" s="67">
        <v>1</v>
      </c>
      <c r="O31" s="67">
        <v>1</v>
      </c>
      <c r="P31" s="67">
        <v>1</v>
      </c>
      <c r="Q31" s="67">
        <v>1</v>
      </c>
      <c r="R31" s="67">
        <v>1</v>
      </c>
      <c r="S31" s="66">
        <v>1</v>
      </c>
      <c r="T31" s="66">
        <v>1</v>
      </c>
      <c r="U31" s="66">
        <v>1</v>
      </c>
      <c r="V31" s="66">
        <v>1</v>
      </c>
      <c r="W31" s="66">
        <v>1</v>
      </c>
    </row>
    <row r="32" spans="1:23" x14ac:dyDescent="0.25">
      <c r="A32" s="64" t="s">
        <v>103</v>
      </c>
      <c r="B32" s="64" t="s">
        <v>142</v>
      </c>
      <c r="C32" s="65"/>
      <c r="D32" s="66"/>
      <c r="E32" s="66"/>
      <c r="F32" s="66"/>
      <c r="G32" s="66"/>
      <c r="H32" s="66"/>
      <c r="I32" s="66"/>
      <c r="J32" s="66"/>
      <c r="K32" s="66"/>
      <c r="L32" s="66"/>
      <c r="M32" s="66"/>
      <c r="N32" s="67"/>
      <c r="O32" s="67"/>
      <c r="P32" s="67"/>
      <c r="Q32" s="67"/>
      <c r="R32" s="67"/>
      <c r="S32" s="66"/>
      <c r="T32" s="66"/>
      <c r="U32" s="66">
        <v>1</v>
      </c>
      <c r="V32" s="66">
        <v>1.5</v>
      </c>
      <c r="W32" s="66">
        <v>1.5</v>
      </c>
    </row>
    <row r="33" spans="1:25" x14ac:dyDescent="0.25">
      <c r="A33" s="64" t="s">
        <v>103</v>
      </c>
      <c r="B33" s="64" t="s">
        <v>143</v>
      </c>
      <c r="C33" s="65"/>
      <c r="D33" s="66"/>
      <c r="E33" s="66"/>
      <c r="F33" s="66"/>
      <c r="G33" s="66"/>
      <c r="H33" s="66"/>
      <c r="I33" s="66"/>
      <c r="J33" s="66"/>
      <c r="K33" s="66"/>
      <c r="L33" s="68"/>
      <c r="M33" s="68"/>
      <c r="N33" s="67"/>
      <c r="O33" s="67"/>
      <c r="P33" s="67"/>
      <c r="Q33" s="67">
        <v>1</v>
      </c>
      <c r="R33" s="67">
        <v>1</v>
      </c>
      <c r="S33" s="66"/>
      <c r="T33" s="66"/>
      <c r="U33" s="66">
        <v>1</v>
      </c>
      <c r="V33" s="66">
        <v>1.5</v>
      </c>
      <c r="W33" s="66">
        <v>1.5</v>
      </c>
    </row>
    <row r="34" spans="1:25" x14ac:dyDescent="0.25">
      <c r="A34" s="69"/>
      <c r="B34" s="69"/>
      <c r="C34" s="69"/>
      <c r="D34" s="70">
        <f t="shared" ref="D34:W34" si="0">SUM(D5:D33)</f>
        <v>10</v>
      </c>
      <c r="E34" s="70">
        <f t="shared" si="0"/>
        <v>11</v>
      </c>
      <c r="F34" s="70">
        <f t="shared" si="0"/>
        <v>11</v>
      </c>
      <c r="G34" s="70">
        <f t="shared" si="0"/>
        <v>11</v>
      </c>
      <c r="H34" s="70">
        <f t="shared" si="0"/>
        <v>11</v>
      </c>
      <c r="I34" s="70">
        <f t="shared" si="0"/>
        <v>6</v>
      </c>
      <c r="J34" s="70">
        <f t="shared" si="0"/>
        <v>6</v>
      </c>
      <c r="K34" s="70">
        <f t="shared" si="0"/>
        <v>6</v>
      </c>
      <c r="L34" s="70">
        <f t="shared" si="0"/>
        <v>6</v>
      </c>
      <c r="M34" s="70">
        <f t="shared" si="0"/>
        <v>6</v>
      </c>
      <c r="N34" s="70">
        <f t="shared" si="0"/>
        <v>7</v>
      </c>
      <c r="O34" s="70">
        <f t="shared" si="0"/>
        <v>7</v>
      </c>
      <c r="P34" s="70">
        <f t="shared" si="0"/>
        <v>9</v>
      </c>
      <c r="Q34" s="70">
        <f t="shared" si="0"/>
        <v>11</v>
      </c>
      <c r="R34" s="70">
        <f t="shared" si="0"/>
        <v>11</v>
      </c>
      <c r="S34" s="70">
        <f t="shared" si="0"/>
        <v>20</v>
      </c>
      <c r="T34" s="70">
        <f t="shared" si="0"/>
        <v>24</v>
      </c>
      <c r="U34" s="70">
        <f t="shared" si="0"/>
        <v>29.5</v>
      </c>
      <c r="V34" s="70">
        <f t="shared" si="0"/>
        <v>33.5</v>
      </c>
      <c r="W34" s="70">
        <f t="shared" si="0"/>
        <v>33.5</v>
      </c>
      <c r="X34" s="70">
        <f>SUM(D34:W34)</f>
        <v>269.5</v>
      </c>
      <c r="Y34" s="69"/>
    </row>
    <row r="36" spans="1:25" x14ac:dyDescent="0.25">
      <c r="B36" s="71"/>
      <c r="C36" s="72"/>
    </row>
    <row r="37" spans="1:25" x14ac:dyDescent="0.25">
      <c r="B37" s="71" t="s">
        <v>144</v>
      </c>
    </row>
    <row r="38" spans="1:25" x14ac:dyDescent="0.25">
      <c r="B38" s="71" t="s">
        <v>145</v>
      </c>
      <c r="C38" t="s">
        <v>146</v>
      </c>
    </row>
    <row r="39" spans="1:25" x14ac:dyDescent="0.25">
      <c r="B39" s="71" t="s">
        <v>147</v>
      </c>
      <c r="C39" t="s">
        <v>148</v>
      </c>
    </row>
    <row r="40" spans="1:25" x14ac:dyDescent="0.25">
      <c r="B40" s="71" t="s">
        <v>149</v>
      </c>
      <c r="C40" t="s">
        <v>150</v>
      </c>
    </row>
    <row r="41" spans="1:25" x14ac:dyDescent="0.25">
      <c r="B41" s="71" t="s">
        <v>151</v>
      </c>
      <c r="C41" t="s">
        <v>152</v>
      </c>
    </row>
    <row r="42" spans="1:25" x14ac:dyDescent="0.25">
      <c r="B42" s="71"/>
    </row>
  </sheetData>
  <mergeCells count="7">
    <mergeCell ref="S3:W3"/>
    <mergeCell ref="A3:A4"/>
    <mergeCell ref="B3:B4"/>
    <mergeCell ref="C3:C4"/>
    <mergeCell ref="D3:H3"/>
    <mergeCell ref="I3:M3"/>
    <mergeCell ref="N3:R3"/>
  </mergeCells>
  <pageMargins left="0.7" right="0.7" top="0.75" bottom="0.75" header="0.3" footer="0.3"/>
</worksheet>
</file>

<file path=docMetadata/LabelInfo.xml><?xml version="1.0" encoding="utf-8"?>
<clbl:labelList xmlns:clbl="http://schemas.microsoft.com/office/2020/mipLabelMetadata">
  <clbl:label id="{e3333e00-c877-4b87-b6ad-45e942de1750}" enabled="0" method="" siteId="{e3333e00-c877-4b87-b6ad-45e942de17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 - Labor Mix</vt:lpstr>
      <vt:lpstr>Personnel Quals</vt:lpstr>
      <vt:lpstr>FTEs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Langell, Tisha N CIV USN NSWC CD CRANE IN (USA)</dc:creator>
  <cp:lastModifiedBy>Langell, Tisha N CIV USN NSWC CD CRANE IN (USA)</cp:lastModifiedBy>
  <dcterms:created xsi:type="dcterms:W3CDTF">2026-02-18T20:45:42Z</dcterms:created>
  <dcterms:modified xsi:type="dcterms:W3CDTF">2026-02-18T21:46:11Z</dcterms:modified>
</cp:coreProperties>
</file>